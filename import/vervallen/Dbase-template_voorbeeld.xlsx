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_cursus\PVtool2025_github\import\"/>
    </mc:Choice>
  </mc:AlternateContent>
  <xr:revisionPtr revIDLastSave="0" documentId="8_{15BBA53F-0CE4-4C98-9FFF-9BFD0D4746F6}" xr6:coauthVersionLast="47" xr6:coauthVersionMax="47" xr10:uidLastSave="{00000000-0000-0000-0000-000000000000}"/>
  <bookViews>
    <workbookView xWindow="28680" yWindow="-1845" windowWidth="29040" windowHeight="17520" activeTab="1" xr2:uid="{00000000-000D-0000-FFFF-FFFF00000000}"/>
  </bookViews>
  <sheets>
    <sheet name="Dbase5_0" sheetId="1" r:id="rId1"/>
    <sheet name="Resultat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<sst xmlns="http://schemas.openxmlformats.org/spreadsheetml/2006/main" count="5781" uniqueCount="1391">
  <si>
    <t>ALG__REGEL</t>
  </si>
  <si>
    <t>ALG__CLASSIFICATIE</t>
  </si>
  <si>
    <t>ALG__VEENCLASSIFICATIE</t>
  </si>
  <si>
    <t>ALG__KORRELVERDELING</t>
  </si>
  <si>
    <t>ALG__SONDEERWAARDE</t>
  </si>
  <si>
    <t>ALG__CRS</t>
  </si>
  <si>
    <t>ALG__SAMENDRUKKING</t>
  </si>
  <si>
    <t>ALG__DSS</t>
  </si>
  <si>
    <t>ALG__TRIAXIAAL</t>
  </si>
  <si>
    <t>ALG_OPDRACHTGEVER</t>
  </si>
  <si>
    <t>ALG_PROJECTNAAM</t>
  </si>
  <si>
    <t>ALG_PROJECTNUMMER</t>
  </si>
  <si>
    <t>ALG_NAAM_POLDER_DIJK</t>
  </si>
  <si>
    <t>ALG_REFERENTIE</t>
  </si>
  <si>
    <t>ALG_REGIO</t>
  </si>
  <si>
    <t>ALG_TYPE_WATERKERING</t>
  </si>
  <si>
    <t>ALG_AANLEGJAAR</t>
  </si>
  <si>
    <t>ALG_BODEMKAART</t>
  </si>
  <si>
    <t>ALG_GEOLOGIE</t>
  </si>
  <si>
    <t>ALG_FILENAAM_GEOT_PROFIEL</t>
  </si>
  <si>
    <t>BORING_XID</t>
  </si>
  <si>
    <t>BORING_YID</t>
  </si>
  <si>
    <t>BORING_MAAIVELDPEIL</t>
  </si>
  <si>
    <t>BORING_NUMMER</t>
  </si>
  <si>
    <t>BORING_POSITIE</t>
  </si>
  <si>
    <t>BORING_DATUM</t>
  </si>
  <si>
    <t>BORING_FILENAAM_PDF</t>
  </si>
  <si>
    <t>BORING_FILENAAM_GEF</t>
  </si>
  <si>
    <t>BORING_BEDRIJF</t>
  </si>
  <si>
    <t>BORING_BOORMEESTER</t>
  </si>
  <si>
    <t>BORING_METHODE</t>
  </si>
  <si>
    <t>BORING_OPNAME_GWS</t>
  </si>
  <si>
    <t>BORING_GLG</t>
  </si>
  <si>
    <t>MONSTER_ID</t>
  </si>
  <si>
    <t>MONSTER_STEEKMETHODE</t>
  </si>
  <si>
    <t>MONSTER_OPSLAGWIJZE</t>
  </si>
  <si>
    <t>MONSTER_NIVEAU_NAP_VANAF</t>
  </si>
  <si>
    <t>MONSTER_NIVEAU_NAP_TOT</t>
  </si>
  <si>
    <t>MONSTER_NIVEAU_MV_VANAF</t>
  </si>
  <si>
    <t>MONSTER_NIVEAU_MV_TOT</t>
  </si>
  <si>
    <t>MONSTER_TOTAAL_VOLUMEGEWICHT</t>
  </si>
  <si>
    <t>CLAS_FILENAAM_PDF</t>
  </si>
  <si>
    <t>CLAS_FILENAAM_DIGITAAL</t>
  </si>
  <si>
    <t>CLAS_MONSTERID</t>
  </si>
  <si>
    <t>CLAS_LABORATORIUM</t>
  </si>
  <si>
    <t>CLAS_NORMEN</t>
  </si>
  <si>
    <t>CLAS_DATUM</t>
  </si>
  <si>
    <t>CLAS_GRONDSOORT</t>
  </si>
  <si>
    <t>CLAS_OVERIGE_BESTANDDELEN</t>
  </si>
  <si>
    <t>CLAS_MONSTERNIVEAU</t>
  </si>
  <si>
    <t>CLAS_VOLUMEGEWICHT_NAT</t>
  </si>
  <si>
    <t>CLAS_VOLUMEGEWICHT_DRG</t>
  </si>
  <si>
    <t>CLAS_WATERGEHALTE</t>
  </si>
  <si>
    <t>CLAS_POROSITEIT</t>
  </si>
  <si>
    <t>CLAS_PORIENGETAL</t>
  </si>
  <si>
    <t>CLAS_VERZADIGINGSGRAAD</t>
  </si>
  <si>
    <t>CLAS_VOLUMEGEWICHT_VERZADIGD</t>
  </si>
  <si>
    <t>CLAS_SPECIFIEKE_MASSA_INSCHATTING</t>
  </si>
  <si>
    <t>CLAS_SPECIFIEKE_MASSA</t>
  </si>
  <si>
    <t>CLAS_GLOEIVERLIES</t>
  </si>
  <si>
    <t>CLAS_KALKGEHALTE</t>
  </si>
  <si>
    <t>CLAS_POCKETPENETRO</t>
  </si>
  <si>
    <t>CLAS_TORVANE</t>
  </si>
  <si>
    <t>CLAS_FALLINGHEAD_K10</t>
  </si>
  <si>
    <t>CLAS_CONSTANTHEAD_K10</t>
  </si>
  <si>
    <t>CLAS_OPMERKING</t>
  </si>
  <si>
    <t>CLAS_AT_VLOEIGRENS_CAS</t>
  </si>
  <si>
    <t>CLAS_AT_UITROLGRENS</t>
  </si>
  <si>
    <t>CLAS_AT_PI</t>
  </si>
  <si>
    <t>CLAS_AT_IC</t>
  </si>
  <si>
    <t>CLAS_VN_FILENAAM_PDF</t>
  </si>
  <si>
    <t>CLAS_VN_FILENAAM_DIGITAAL</t>
  </si>
  <si>
    <t>CLAS_VN_HOOFDNAAM</t>
  </si>
  <si>
    <t>CLAS_VN_BOTANISCH</t>
  </si>
  <si>
    <t>CLAS_VN_VERWERINGSGRAAD</t>
  </si>
  <si>
    <t>CLAS_VN_WATERGEHALTE</t>
  </si>
  <si>
    <t>CLAS_VN_FIJNEVEZELS</t>
  </si>
  <si>
    <t>CLAS_VN_GROVEVEZELS</t>
  </si>
  <si>
    <t>CLAS_VN_HOUT</t>
  </si>
  <si>
    <t>CLAS_VN_GLOEIVERLIES</t>
  </si>
  <si>
    <t>CLAS_VN_ASGEHALTE</t>
  </si>
  <si>
    <t>KV_FILENAAM_PDF</t>
  </si>
  <si>
    <t>KV_FILENAAM_GEF</t>
  </si>
  <si>
    <t>KV_MONSTERID</t>
  </si>
  <si>
    <t>KV_LABORATORIUM</t>
  </si>
  <si>
    <t>KV_NORMEN</t>
  </si>
  <si>
    <t>KV_DATUM</t>
  </si>
  <si>
    <t>KV_GRONDSOORT</t>
  </si>
  <si>
    <t>KV_OVERIGE_BESTANDDELEN</t>
  </si>
  <si>
    <t>KV_MEDIAAN_ZANDFRACTIE</t>
  </si>
  <si>
    <t>KV_MEDIAAN_ALLEFRACTIES</t>
  </si>
  <si>
    <t>KV_GRIND%</t>
  </si>
  <si>
    <t>KV_ZAND%</t>
  </si>
  <si>
    <t>KV_SILT%</t>
  </si>
  <si>
    <t>KV_DOOR_63MM</t>
  </si>
  <si>
    <t>KV_DOOR_31.5MM</t>
  </si>
  <si>
    <t>KV_DOOR_16MM</t>
  </si>
  <si>
    <t>KV_DOOR_8MM</t>
  </si>
  <si>
    <t>KV_DOOR_4MM</t>
  </si>
  <si>
    <t>KV_DOOR_2MM</t>
  </si>
  <si>
    <t>KV_DOOR_1MM</t>
  </si>
  <si>
    <t>KV_DOOR_500MU</t>
  </si>
  <si>
    <t>KV_DOOR_250MU</t>
  </si>
  <si>
    <t>KV_DOOR_180MU</t>
  </si>
  <si>
    <t>KV_DOOR_125MU</t>
  </si>
  <si>
    <t>KV_DOOR_63MU</t>
  </si>
  <si>
    <t>KV_DOOR_32MU</t>
  </si>
  <si>
    <t>KV_DOOR_20MU</t>
  </si>
  <si>
    <t>KV_DOOR_16MU</t>
  </si>
  <si>
    <t>KV_DOOR_2MU</t>
  </si>
  <si>
    <t>KV_D70</t>
  </si>
  <si>
    <t>KV_D60</t>
  </si>
  <si>
    <t>KV_D50</t>
  </si>
  <si>
    <t>KV_D10</t>
  </si>
  <si>
    <t>KV_CU_ZAND</t>
  </si>
  <si>
    <t>CPT_FILENAAM_PDF</t>
  </si>
  <si>
    <t>CPT_FILENAAM_GEF</t>
  </si>
  <si>
    <t>CPT_NIVEAU</t>
  </si>
  <si>
    <t>CPT_TRAJECTLENGTE_GEM</t>
  </si>
  <si>
    <t>CPT_CONUSWEERSTAND_GEM</t>
  </si>
  <si>
    <t>CPT_WRIJVINGSWEERSTAND_GEM</t>
  </si>
  <si>
    <t>CPT_WRIJVINGSGETAL_GEM</t>
  </si>
  <si>
    <t>CPT_WATERSPANNING_GEM</t>
  </si>
  <si>
    <t>CPT_QNET</t>
  </si>
  <si>
    <t>CPT_QT</t>
  </si>
  <si>
    <t>CPT_VO</t>
  </si>
  <si>
    <t>CPT_KLASSE</t>
  </si>
  <si>
    <t>CPT_A_FACTOR</t>
  </si>
  <si>
    <t>CPT_QBALL</t>
  </si>
  <si>
    <t>CRS_FILENAAM_PDF</t>
  </si>
  <si>
    <t>CRS_FILENAAM_SPANNINGSPAD</t>
  </si>
  <si>
    <t>CRS_MONSTERID</t>
  </si>
  <si>
    <t>CRS_LABORATORIUM</t>
  </si>
  <si>
    <t>CRS_NORM</t>
  </si>
  <si>
    <t>CRS_DATUM</t>
  </si>
  <si>
    <t>CRS_GRONDSOORT</t>
  </si>
  <si>
    <t>CRS_OVERIGE_BESTANDDELEN</t>
  </si>
  <si>
    <t>CRS_MONSTERNIVEAU</t>
  </si>
  <si>
    <t>CRS_TERREINSPANNING</t>
  </si>
  <si>
    <t>CRS_VOLUMEGEWICHT_NAT</t>
  </si>
  <si>
    <t>CRS_VOLUMEGEWICHT_DRG</t>
  </si>
  <si>
    <t>CRS_WATERGEHALTE_VOOR</t>
  </si>
  <si>
    <t>CRS_WATERGEHALTE_NA_PROEF</t>
  </si>
  <si>
    <t>CRS_VERZADIGING</t>
  </si>
  <si>
    <t>CRS_TEMPERATUUR_PROEF_MAX</t>
  </si>
  <si>
    <t>CRS_TEMPERATUUR_PROEF_MIN</t>
  </si>
  <si>
    <t>CRS_PROEFSTUKDIAMETER_VOOR</t>
  </si>
  <si>
    <t>CRS_PROEFSTUKHOOGTE_VOOR</t>
  </si>
  <si>
    <t>CRS_PROEFSTUKHOOGTE_NA_VERZADIGING</t>
  </si>
  <si>
    <t>CRS_PROEFSTUKHOOGTE_NA_PROEF</t>
  </si>
  <si>
    <t>CRS_REKSNELHEID_BELASTEN</t>
  </si>
  <si>
    <t>CRS_REKSNELHEID_ONTLASTEN</t>
  </si>
  <si>
    <t>CRS_RELAXATIEDUUR</t>
  </si>
  <si>
    <t>CRS_EFF_SPANNING_START_RELAXATIE</t>
  </si>
  <si>
    <t>CRS_EFF_SPANNING_EIND_RELAXATIE</t>
  </si>
  <si>
    <t>CRS_EFF_VERT_SPANNING_START_ONTLASTEN</t>
  </si>
  <si>
    <t>CRS_EFF_VERT_SPANNING_EIND_ONTLASTEN</t>
  </si>
  <si>
    <t>CRS_EFF_VERT_SPANNING_EIND_PROEF</t>
  </si>
  <si>
    <t>CRS_MAX_REL_WATEROVERSPANNING_PROEF</t>
  </si>
  <si>
    <t>CRS_GRENSSPANNING_A</t>
  </si>
  <si>
    <t>CRS_REK_BIJ_GRENSSPANNING_A</t>
  </si>
  <si>
    <t>CRS_BOVENGRENS_GRENSSPANNING_B</t>
  </si>
  <si>
    <t>CRS_ISOTACHE_A</t>
  </si>
  <si>
    <t>CRS_ISOTACHE_B</t>
  </si>
  <si>
    <t>CRS_ISOTACHE_C</t>
  </si>
  <si>
    <t>SD_FILENAAM_PDF</t>
  </si>
  <si>
    <t>SD_FILENAAM_SPANNINGSPAD</t>
  </si>
  <si>
    <t>SD_MONSTERID</t>
  </si>
  <si>
    <t>SD_LABORATORIUM</t>
  </si>
  <si>
    <t>SD_NORM</t>
  </si>
  <si>
    <t>SD_DATUM</t>
  </si>
  <si>
    <t>SD_GRONDSOORT</t>
  </si>
  <si>
    <t>SD_OVERIGE_BESTANDDELEN</t>
  </si>
  <si>
    <t>SD_MONSTERNIVEAU</t>
  </si>
  <si>
    <t>SD_TERREINSPANNING</t>
  </si>
  <si>
    <t>SD_VOLUMEGEWICHT_NAT</t>
  </si>
  <si>
    <t>SD_VOLUMEGEWICHT_DR</t>
  </si>
  <si>
    <t>SD_WATERGEHALTE_INI</t>
  </si>
  <si>
    <t>SD_WATERGEHALTE_NA_PROEF</t>
  </si>
  <si>
    <t>SD_PORIENGETAL</t>
  </si>
  <si>
    <t>SD_MAX_TEMPERATUUR_PROEF</t>
  </si>
  <si>
    <t>SD_MIN_TEMPERATUUR_PROEF</t>
  </si>
  <si>
    <t>SD_BELAST_ONTLASTSTAPPEN</t>
  </si>
  <si>
    <t>SD_TYPEPROEF</t>
  </si>
  <si>
    <t>SD_BJERRUM_GRENSSPANNING</t>
  </si>
  <si>
    <t>SD_BJERRUM_REK_BIJ_GRENSSPANNING</t>
  </si>
  <si>
    <t>SD_BJERRUM_CC</t>
  </si>
  <si>
    <t>SD_BJERRUM_CC_TRAP1_2</t>
  </si>
  <si>
    <t>SD_BJERRUM_CC_TRAP2_3</t>
  </si>
  <si>
    <t>SD_BJERRUM_CC_TRAP3_4</t>
  </si>
  <si>
    <t>SD_BJERRUM_CC_TRAP4_5</t>
  </si>
  <si>
    <t>SD_BJERRUM_CC_TRAP5_6</t>
  </si>
  <si>
    <t>SD_BJERRUM_CC_TRAP6_7</t>
  </si>
  <si>
    <t>SD_BJERRUM_CC_TRAP7_8</t>
  </si>
  <si>
    <t>SD_BJERRUM_CC_TRAP8_9</t>
  </si>
  <si>
    <t>SD_BJERRUM_CC_TRAP9_10</t>
  </si>
  <si>
    <t>SD_BJERRUM_CR</t>
  </si>
  <si>
    <t>SD_BJERRUM_CR_TRAP1_2</t>
  </si>
  <si>
    <t>SD_BJERRUM_CR_TRAP2_3</t>
  </si>
  <si>
    <t>SD_BJERRUM_CR_TRAP3_4</t>
  </si>
  <si>
    <t>SD_BJERRUM_CR_TRAP4_5</t>
  </si>
  <si>
    <t>SD_BJERRUM_CR_TRAP5_6</t>
  </si>
  <si>
    <t>SD_BJERRUM_CR_TRAP6_7</t>
  </si>
  <si>
    <t>SD_BJERRUM_CR_TRAP7_8</t>
  </si>
  <si>
    <t>SD_BJERRUM_SR_TRAP8_9</t>
  </si>
  <si>
    <t>SD_BJERRUM_RR_TRAP9_10</t>
  </si>
  <si>
    <t>SD_BJERRUM_CALPHA</t>
  </si>
  <si>
    <t>SD_BJERRUM_CALPHA_TRAP1</t>
  </si>
  <si>
    <t>SD_BJERRUM_CALPHA_TRAP2</t>
  </si>
  <si>
    <t>SD_BJERRUM_CALPHA_TRAP3</t>
  </si>
  <si>
    <t>SD_BJERRUM_CALPHA_TRAP4</t>
  </si>
  <si>
    <t>SD_BJERRUM_CALPHA_TRAP5</t>
  </si>
  <si>
    <t>SD_BJERRUM_CALPHA_TRAP6</t>
  </si>
  <si>
    <t>SD_BJERRUM_CALPHA_TRAP7</t>
  </si>
  <si>
    <t>SD_BJERRUM_CALPHA_TRAP8</t>
  </si>
  <si>
    <t>SD_BJERRUM_CALPHA_TRAP9</t>
  </si>
  <si>
    <t>SD_BJERRUM_CALPHA_TRAP10</t>
  </si>
  <si>
    <t>SD_BJERRUM_V0</t>
  </si>
  <si>
    <t>SD_KOPPEJAN_GRENSSPANNING</t>
  </si>
  <si>
    <t>SD_KOPPEJAN_REK_BIJ_GRENSSPANNING</t>
  </si>
  <si>
    <t>SD_KOPPEJAN_C</t>
  </si>
  <si>
    <t>SD_KOPPEJAN_C'</t>
  </si>
  <si>
    <t>SD_KOPPEJAN_C_TRAP2_3</t>
  </si>
  <si>
    <t>SD_KOPPEJAN_C_TRAP3_4</t>
  </si>
  <si>
    <t>SD_KOPPEJAN_C_TRAP4_5</t>
  </si>
  <si>
    <t>SD_KOPPEJAN_C_TRAP5_6</t>
  </si>
  <si>
    <t>SD_KOPPEJAN_C_TRAP6_7</t>
  </si>
  <si>
    <t>SD_KOPPEJAN_C_TRAP7_8</t>
  </si>
  <si>
    <t>SD_KOPPEJAN_C_TRAP8_9</t>
  </si>
  <si>
    <t>SD_KOPPEJAN_CP</t>
  </si>
  <si>
    <t>SD_KOPPEJAN_C'P</t>
  </si>
  <si>
    <t>SD_KOPPEJAN_CP_TRAP2_3</t>
  </si>
  <si>
    <t>SD_KOPPEJAN_CP_TRAP3_4</t>
  </si>
  <si>
    <t>SD_KOPPEJAN_CP_TRAP4_5</t>
  </si>
  <si>
    <t>SD_KOPPEJAN_CP_TRAP5_6</t>
  </si>
  <si>
    <t>SD_KOPPEJAN_CP_TRAP6_7</t>
  </si>
  <si>
    <t>SD_KOPPEJAN_CP_TRAP7_8</t>
  </si>
  <si>
    <t>SD_KOPPEJAN_CP_TRAP8_9</t>
  </si>
  <si>
    <t>SD_KOPPEJAN_CS</t>
  </si>
  <si>
    <t>SD_KOPPEJAN_C'S</t>
  </si>
  <si>
    <t>SD_KOPPEJAN_CS_TRAP2_3</t>
  </si>
  <si>
    <t>SD_KOPPEJAN_CS_TRAP3_4</t>
  </si>
  <si>
    <t>SD_KOPPEJAN_CS_TRAP4_5</t>
  </si>
  <si>
    <t>SD_KOPPEJAN_CS_TRAP5_6</t>
  </si>
  <si>
    <t>SD_KOPPEJAN_CS_TRAP6_7</t>
  </si>
  <si>
    <t>SD_KOPPEJAN_CS_TRAP7_8</t>
  </si>
  <si>
    <t>SD_KOPPEJAN_CS_TRAP8_9</t>
  </si>
  <si>
    <t>SD_ISOTACHE_A</t>
  </si>
  <si>
    <t>SD_ISOTACHE_B</t>
  </si>
  <si>
    <t>SD_ISOTACHE_C</t>
  </si>
  <si>
    <t>SD_ISOTACHE_GRENSSPANNING_A</t>
  </si>
  <si>
    <t>SD_ISOTACHE_REK_BIJ_GRENSSPANNING_A</t>
  </si>
  <si>
    <t>SD_ISOTACHE_BOVENGRENS_GRENSSPANNING_B</t>
  </si>
  <si>
    <t>SD_CASAGRANDE_CV10_TRAP2</t>
  </si>
  <si>
    <t>SD_CASAGRANDE_CV10_TRAP3</t>
  </si>
  <si>
    <t>SD_CASAGRANDE_CV10_TRAP4</t>
  </si>
  <si>
    <t>SD_CASAGRANDE_CV10_TRAP5</t>
  </si>
  <si>
    <t>SD_CASAGRANDE_CV10_TRAP6</t>
  </si>
  <si>
    <t>SD_CASAGRANDE_CV10_TRAP7</t>
  </si>
  <si>
    <t>SD_CASAGRANDE_CV10_TRAP8</t>
  </si>
  <si>
    <t>SD_CASAGRANDE_CV10_TRAP9</t>
  </si>
  <si>
    <t>SD_CASAGRANDE_K10_TRAP2</t>
  </si>
  <si>
    <t>SD_CASAGRANDE_K10_TRAP3</t>
  </si>
  <si>
    <t>SD_CASAGRANDE_K10_TRAP4</t>
  </si>
  <si>
    <t>SD_CASAGRANDE_K10_TRAP5</t>
  </si>
  <si>
    <t>SD_CASAGRANDE_K10_TRAP6</t>
  </si>
  <si>
    <t>SD_CASAGRANDE_K10_TRAP7</t>
  </si>
  <si>
    <t>SD_CASAGRANDE_K10_TRAP8</t>
  </si>
  <si>
    <t>SD_CASAGRANDE_K10_TRAP9</t>
  </si>
  <si>
    <t>SD_CASAGRANDE_MV_TRAP2</t>
  </si>
  <si>
    <t>SD_CASAGRANDE_MV_TRAP3</t>
  </si>
  <si>
    <t>SD_CASAGRANDE_MV_TRAP4</t>
  </si>
  <si>
    <t>SD_CASAGRANDE_MV_TRAP5</t>
  </si>
  <si>
    <t>SD_CASAGRANDE_MV_TRAP6</t>
  </si>
  <si>
    <t>SD_CASAGRANDE_MV_TRAP7</t>
  </si>
  <si>
    <t>SD_CASAGRANDE_MV_TRAP8</t>
  </si>
  <si>
    <t>SD_CASAGRANDE_MV_TRAP9</t>
  </si>
  <si>
    <t>SD_CASAGRANDE_SPANNING_CV10_TRAP2</t>
  </si>
  <si>
    <t>SD_CASAGRANDE_SPANNING_CV10_TRAP3</t>
  </si>
  <si>
    <t>SD_CASAGRANDE_SPANNING_CV10_TRAP4</t>
  </si>
  <si>
    <t>SD_CASAGRANDE_SPANNING_CV10_TRAP5</t>
  </si>
  <si>
    <t>SD_CASAGRANDE_SPANNING_CV10_TRAP6</t>
  </si>
  <si>
    <t>SD_CASAGRANDE_SPANNING_CV10_TRAP7</t>
  </si>
  <si>
    <t>SD_CASAGRANDE_SPANNING_CV10_TRAP8</t>
  </si>
  <si>
    <t>SD_CASAGRANDE_SPANNING_CV10_TRAP9</t>
  </si>
  <si>
    <t>SD_TAYLOR_CV10_TRAP2</t>
  </si>
  <si>
    <t>SD_TAYLOR_CV10_TRAP3</t>
  </si>
  <si>
    <t>SD_TAYLOR_CV10_TRAP4</t>
  </si>
  <si>
    <t>SD_TAYLOR_CV10_TRAP5</t>
  </si>
  <si>
    <t>SD_TAYLOR_CV10_TRAP6</t>
  </si>
  <si>
    <t>SD_TAYLOR_CV10_TRAP7</t>
  </si>
  <si>
    <t>SD_TAYLOR_CV10_TRAP8</t>
  </si>
  <si>
    <t>SD_TAYLOR_CV10_TRAP9</t>
  </si>
  <si>
    <t>SD_TAYLOR_K10_TRAP2</t>
  </si>
  <si>
    <t>SD_TAYLOR_K10_TRAP3</t>
  </si>
  <si>
    <t>SD_TAYLOR_K10_TRAP4</t>
  </si>
  <si>
    <t>SD_TAYLOR_K10_TRAP5</t>
  </si>
  <si>
    <t>SD_TAYLOR_K10_TRAP6</t>
  </si>
  <si>
    <t>SD_TAYLOR_K10_TRAP7</t>
  </si>
  <si>
    <t>SD_TAYLOR_K10_TRAP8</t>
  </si>
  <si>
    <t>SD_TAYLOR_K10_TRAP9</t>
  </si>
  <si>
    <t>SD_TAYLOR_MV_TRAP2</t>
  </si>
  <si>
    <t>SD_TAYLOR_MV_TRAP3</t>
  </si>
  <si>
    <t>SD_TAYLOR_MV_TRAP4</t>
  </si>
  <si>
    <t>SD_TAYLOR_MV_TRAP5</t>
  </si>
  <si>
    <t>SD_TAYLOR_MV_TRAP6</t>
  </si>
  <si>
    <t>SD_TAYLOR_MV_TRAP7</t>
  </si>
  <si>
    <t>SD_TAYLOR_MV_TRAP8</t>
  </si>
  <si>
    <t>SD_TAYLOR_MV_TRAP9</t>
  </si>
  <si>
    <t>SD_TAYLOR_SPANNING_CV10_TRAP2</t>
  </si>
  <si>
    <t>SD_TAYLOR_SPANNING_CV10_TRAP3</t>
  </si>
  <si>
    <t>SD_TAYLOR_SPANNING_CV10_TRAP4</t>
  </si>
  <si>
    <t>SD_TAYLOR_SPANNING_CV10_TRAP5</t>
  </si>
  <si>
    <t>SD_TAYLOR_SPANNING_CV10_TRAP6</t>
  </si>
  <si>
    <t>SD_TAYLOR_SPANNING_CV10_TRAP7</t>
  </si>
  <si>
    <t>SD_TAYLOR_SPANNING_CV10_TRAP8</t>
  </si>
  <si>
    <t>SD_TAYLOR_SPANNING_CV10_TRAP9</t>
  </si>
  <si>
    <t>DSS_FILENAAM_PDF</t>
  </si>
  <si>
    <t>DSS_FILENAAM_SPANNINGSPAD</t>
  </si>
  <si>
    <t>DSS_MONSTERID</t>
  </si>
  <si>
    <t>DSS_LABORATORIUM</t>
  </si>
  <si>
    <t>DSS_NORM</t>
  </si>
  <si>
    <t>DSS_DATUM</t>
  </si>
  <si>
    <t>DSS_GRONDSOORT</t>
  </si>
  <si>
    <t>DSS_OVERIGE_BESTANDDELEN</t>
  </si>
  <si>
    <t>DSS_MONSTERNIVEAU</t>
  </si>
  <si>
    <t>DSS_TERREINSPANNING</t>
  </si>
  <si>
    <t>DSS_VOLUMEGEWICHT_NAT</t>
  </si>
  <si>
    <t>DSS_VOLUMEGEWICHT_DRG</t>
  </si>
  <si>
    <t>DSS_WATERGEHALTE_VOOR</t>
  </si>
  <si>
    <t>DSS_WATERGEHALTE_NA_PROEF</t>
  </si>
  <si>
    <t>DSS_VERZADIGINGGRAAD_VOOR</t>
  </si>
  <si>
    <t>DSS_PORIENGETAL_VOOR</t>
  </si>
  <si>
    <t>DSS_PORIENGETAL_EINDE_CONSOLIDATIE</t>
  </si>
  <si>
    <t>DSS_SPECIFIEKE_MASSA</t>
  </si>
  <si>
    <t>DSS_TEMPERATUUR_PROEF_MAX</t>
  </si>
  <si>
    <t>DSS_TEMPERATUUR_PROEF_MIN</t>
  </si>
  <si>
    <t>DSS_PROEFSTUKDIAMETER_VOOR</t>
  </si>
  <si>
    <t>DSS_PROEFSTUKHOOGTE_VOOR</t>
  </si>
  <si>
    <t>DSS_PROEFSTUKHOOGTE_NA_CONSOLIDATIE</t>
  </si>
  <si>
    <t>DSS_UITGEVOERDE_CORRECTIES</t>
  </si>
  <si>
    <t>DSS_UITVOERINGSWIJZE</t>
  </si>
  <si>
    <t>DSS_MAX_EFF_VERT_SPANNING_CONSOLIDATIE</t>
  </si>
  <si>
    <t>DSS_EFF_VERT_SPANNING_EINDE_CONSOLIDATIE</t>
  </si>
  <si>
    <t>DSS_OCR</t>
  </si>
  <si>
    <t>DSS_AXIALEREK_EINDE_CONSOLIDATIE</t>
  </si>
  <si>
    <t>DSS_BELASTINGSSTAPPEN_CONSOLIDATIE</t>
  </si>
  <si>
    <t>DSS_DUUR_CONSOLIDATIE</t>
  </si>
  <si>
    <t>DSS_AFSCHUIFSNELHEID_%UUR</t>
  </si>
  <si>
    <t>DSS_AFSCHUIFSNELHEID_MMUUR</t>
  </si>
  <si>
    <t>DSS_S_2%</t>
  </si>
  <si>
    <t>DSS_T_2%</t>
  </si>
  <si>
    <t>DSS_S_5%</t>
  </si>
  <si>
    <t>DSS_T_5%</t>
  </si>
  <si>
    <t>DSS_S_10%</t>
  </si>
  <si>
    <t>DSS_T_10%</t>
  </si>
  <si>
    <t>DSS_S_15%</t>
  </si>
  <si>
    <t>DSS_T_15%</t>
  </si>
  <si>
    <t>DSS_S_20%</t>
  </si>
  <si>
    <t>DSS_T_20%</t>
  </si>
  <si>
    <t>DSS_S_BIJ_T_MAX</t>
  </si>
  <si>
    <t>DSS_T_MAX</t>
  </si>
  <si>
    <t>DSS_REK_BIJ_T_MAX</t>
  </si>
  <si>
    <t>DSS_S_BIJ_T_EIND</t>
  </si>
  <si>
    <t>DSS_T_EIND</t>
  </si>
  <si>
    <t>DSS_REK_BIJ_T_EIND</t>
  </si>
  <si>
    <t>DSS_S_BIJ_MAX_S1S3</t>
  </si>
  <si>
    <t>DSS_T_BIJ_MAX_S1S3</t>
  </si>
  <si>
    <t>DSS_REK_BIJ_MAX_S1S3</t>
  </si>
  <si>
    <t>DSS_SCHUIFMODULUS_G50</t>
  </si>
  <si>
    <t>TXT_SS_FILENAAM_PDF</t>
  </si>
  <si>
    <t>TXT_SS_FILENAAM_SPANNINGSPAD</t>
  </si>
  <si>
    <t>TXT_SS_MONSTERID</t>
  </si>
  <si>
    <t>TXT_SS_LABORATORIUM</t>
  </si>
  <si>
    <t>TXT_SS_NORM</t>
  </si>
  <si>
    <t>TXT_SS_DATUM</t>
  </si>
  <si>
    <t>TXT_SS_GRONDSOORT</t>
  </si>
  <si>
    <t>TXT_SS_OVERIGE_BESTANDDELEN</t>
  </si>
  <si>
    <t>TXT_SS_MONSTERNIVEAU</t>
  </si>
  <si>
    <t>TXT_SS_TERREINSPANNING</t>
  </si>
  <si>
    <t>TXT_SS_VOLUMEGEWICHT_NAT</t>
  </si>
  <si>
    <t>TXT_SS_VOLUMEGEWICHT_DRG</t>
  </si>
  <si>
    <t>TXT_SS_WATERGEHALTE_NA_PROEF</t>
  </si>
  <si>
    <t>TXT_SS_WATERGEHALTE_VOOR</t>
  </si>
  <si>
    <t>TXT_SS_VERZADIGINGSGRAAD_VOOR</t>
  </si>
  <si>
    <t>TXT_SS_PORIENGETAL_VOOR</t>
  </si>
  <si>
    <t>TXT_SS_SPECIFIEKE_MASSA</t>
  </si>
  <si>
    <t>TXT_SS_TEMPERATUUR_PROEF_MAX</t>
  </si>
  <si>
    <t>TXT_SS_TEMPERATUUR_PROEF_MIN</t>
  </si>
  <si>
    <t>TXT_SS_PROEFSTUKDIAMETER_VOOR</t>
  </si>
  <si>
    <t>TXT_SS_PROEFSTUKHOOGTE_VOOR</t>
  </si>
  <si>
    <t>TXT_SS_TYPE_PROEF</t>
  </si>
  <si>
    <t>TXT_SS_MEMBRAANCORRECTIE</t>
  </si>
  <si>
    <t>TXT_SS_OVERIGECORRECTIES</t>
  </si>
  <si>
    <t>TXT_SS_BACKPRESSURE</t>
  </si>
  <si>
    <t>TXT_SS_CONSOLIDATIEWIJZE</t>
  </si>
  <si>
    <t>TXT_SS_SPANNINGSVERHOUDING_STOPCR_K</t>
  </si>
  <si>
    <t>TXT_SS_STOPCRITERIUM_CONSOLIDATIE</t>
  </si>
  <si>
    <t>TXT_SS_S'_ISOTROOP_CONSOLIDATIE</t>
  </si>
  <si>
    <t>TXT_SS_T_ISOTROOP_CONSOLIDATIE</t>
  </si>
  <si>
    <t>TXT_SS_S'_MAX_CONSOLIDATIE</t>
  </si>
  <si>
    <t>TXT_SS_T_MAX_CONSOLIDATIE</t>
  </si>
  <si>
    <t>TXT_SS_S'_EIND_CONSOLIDATIE</t>
  </si>
  <si>
    <t>TXT_SS_T_EIND_CONSOLIDATIE</t>
  </si>
  <si>
    <t>TXT_SS_OCR</t>
  </si>
  <si>
    <t>TXT_SS_AXIALEREK_CONSOLIDATIE</t>
  </si>
  <si>
    <t>TXT_SS_VOLUMEREK_CONSOLIDATIE</t>
  </si>
  <si>
    <t>TXT_SS_STOPCRITERIUM_AFSCHUIVEN</t>
  </si>
  <si>
    <t>TXT_SS_AXIALEREKSNELHEID_AFSCHUIVEN</t>
  </si>
  <si>
    <t>TXT_SS_S'_2%</t>
  </si>
  <si>
    <t>TXT_SS_T_2%</t>
  </si>
  <si>
    <t>TXT_SS_S'_5%</t>
  </si>
  <si>
    <t>TXT_SS_T_5%</t>
  </si>
  <si>
    <t>TXT_SS_S'_15%</t>
  </si>
  <si>
    <t>TXT_SS_T_15%</t>
  </si>
  <si>
    <t>TXT_SS_S'_BIJ_T_PIEK</t>
  </si>
  <si>
    <t>TXT_SS_T_PIEK</t>
  </si>
  <si>
    <t>TXT_SS_REK_BIJ_T_PIEK</t>
  </si>
  <si>
    <t>TXT_SS_S'_BIJ_T_EIND</t>
  </si>
  <si>
    <t>TXT_SS_T_EIND</t>
  </si>
  <si>
    <t>TXT_SS_REK_BIJ_T_EIND</t>
  </si>
  <si>
    <t>TXT_SS_E_UNDR50</t>
  </si>
  <si>
    <t>TXT_SS_REK_BIJ_E_UNDR50</t>
  </si>
  <si>
    <t>TXT_SS_SKEMPTON_A</t>
  </si>
  <si>
    <t>TXT_MS_FILENAAM_PDF</t>
  </si>
  <si>
    <t>TXT_MS_FILENAAM_SPANNINGSPAD</t>
  </si>
  <si>
    <t>TXT_MS_MONSTERID</t>
  </si>
  <si>
    <t>TXT_MS_LABORATORIUM</t>
  </si>
  <si>
    <t>TXT_MS_CONSOLIDATIESPANNING</t>
  </si>
  <si>
    <t>TXT_MS_REK_BIJ_E_UNDR50</t>
  </si>
  <si>
    <t>TXT_MS_E_UNDR50</t>
  </si>
  <si>
    <t>TXT_MS_S1'_2%</t>
  </si>
  <si>
    <t>TXT_MS_S2'_2%</t>
  </si>
  <si>
    <t>TXT_MS_S3'_2%</t>
  </si>
  <si>
    <t>TXT_MS_T1_2%</t>
  </si>
  <si>
    <t>TXT_MS_T2_2%</t>
  </si>
  <si>
    <t>TXT_MS_T3_2%</t>
  </si>
  <si>
    <t>TXT_MS_C_2%</t>
  </si>
  <si>
    <t>TXT_MS_PHI_2%</t>
  </si>
  <si>
    <t>TXT_MS_S1'_5%</t>
  </si>
  <si>
    <t>TXT_MS_S2'_5%</t>
  </si>
  <si>
    <t>TXT_MS_S3'_5%</t>
  </si>
  <si>
    <t>TXT_MS_T1_5%</t>
  </si>
  <si>
    <t>TXT_MS_T2_5%</t>
  </si>
  <si>
    <t>TXT_MS_T3_5%</t>
  </si>
  <si>
    <t>TXT_MS_C_5%</t>
  </si>
  <si>
    <t>TXT_MS_PHI_5%</t>
  </si>
  <si>
    <t>CEL_FILENAAM_PDF</t>
  </si>
  <si>
    <t>CEL_FILENAAM_SPANNINGSPAD</t>
  </si>
  <si>
    <t>CEL_PHI1</t>
  </si>
  <si>
    <t>CEL_C1</t>
  </si>
  <si>
    <t>CEL_PHI2</t>
  </si>
  <si>
    <t>CEL_C2</t>
  </si>
  <si>
    <t>CEL_PHI3</t>
  </si>
  <si>
    <t>CEL_C3</t>
  </si>
  <si>
    <t>CEL_PHI4</t>
  </si>
  <si>
    <t>CEL_C4</t>
  </si>
  <si>
    <t>CEL_PHI5</t>
  </si>
  <si>
    <t>CEL_C5</t>
  </si>
  <si>
    <t>CEL_EINDSPANNING</t>
  </si>
  <si>
    <t>PV_NAAM</t>
  </si>
  <si>
    <t>PV_OPMERKING</t>
  </si>
  <si>
    <t>ANA_GRENSSPANNING_HANDMATIG</t>
  </si>
  <si>
    <t>ANA_TERREINSPANNING</t>
  </si>
  <si>
    <t>ANA_GRENSSPANNING</t>
  </si>
  <si>
    <t>ANA_TXT_MAX_VERTICALE_CONSOLIDATIE_SPANNING</t>
  </si>
  <si>
    <t>ANA_DSS_MAX_CONSOLIDATIE_SPANNING</t>
  </si>
  <si>
    <t>ANA_TXT_CONSOLIDATIE_TYPE_VOORSTEL</t>
  </si>
  <si>
    <t>ANA_DSS_CONSOLIDATIE_TYPE_VOORSTEL</t>
  </si>
  <si>
    <t>ANA_TXT_CONSOLIDATIE_TYPE_HANDMATIG</t>
  </si>
  <si>
    <t>ANA_DSS_CONSOLIDATIE_TYPE_HANDMATIG</t>
  </si>
  <si>
    <t>ANA_MAX_VERTICALE_SPANNING</t>
  </si>
  <si>
    <t>ANA_OCR_TXT_MONSTER</t>
  </si>
  <si>
    <t>ANA_OCR_DSS_MONSTER</t>
  </si>
  <si>
    <t>Uitvoeren grondonderzoek, verkenning en planuitwerking te Doeveren</t>
  </si>
  <si>
    <t>23ZP0747</t>
  </si>
  <si>
    <t>Doeveren</t>
  </si>
  <si>
    <t>bo_36-5_1002+002_kr</t>
  </si>
  <si>
    <t>bo_36-5_964+006_kr</t>
  </si>
  <si>
    <t>bo_36-5_969+001_kr</t>
  </si>
  <si>
    <t>bo_36-5_972+100_kr</t>
  </si>
  <si>
    <t>bo_36-5_978+101_kr</t>
  </si>
  <si>
    <t>bo_36-5_983+001_kr</t>
  </si>
  <si>
    <t>bo_36-5_987+094_bit</t>
  </si>
  <si>
    <t>bo_36-5_990+099_bit</t>
  </si>
  <si>
    <t>bo_36-5_991+042_kr</t>
  </si>
  <si>
    <t>bo_36-5_994+094_kr</t>
  </si>
  <si>
    <t>bo_36-5_999+001_kr</t>
  </si>
  <si>
    <t>hb_36-5_1000+003_bit</t>
  </si>
  <si>
    <t>hb_36-5_1000+003_buta</t>
  </si>
  <si>
    <t>hb_36-5_1000+098_buta</t>
  </si>
  <si>
    <t>hb_36-5_1001+002_bit</t>
  </si>
  <si>
    <t>hb_36-5_1001+099_bit</t>
  </si>
  <si>
    <t>hb_36-5_1002+093_buta</t>
  </si>
  <si>
    <t>hb_36-5_1003+050_buta</t>
  </si>
  <si>
    <t>hb_36-5_963+102_bit</t>
  </si>
  <si>
    <t>hb_36-5_964+003_buta</t>
  </si>
  <si>
    <t>hb_36-5_965+004_buta</t>
  </si>
  <si>
    <t>hb_36-5_966+002_bit</t>
  </si>
  <si>
    <t>hb_36-5_967+002_buta</t>
  </si>
  <si>
    <t>hb_36-5_967+003_bit</t>
  </si>
  <si>
    <t>hb_36-5_969+005_buta</t>
  </si>
  <si>
    <t>hb_36-5_970+001_buta</t>
  </si>
  <si>
    <t>hb_36-5_971+002_buta</t>
  </si>
  <si>
    <t>hb_36-5_971+096_buta</t>
  </si>
  <si>
    <t>hb_36-5_971+100_bita</t>
  </si>
  <si>
    <t>hb_36-5_972+000_bit</t>
  </si>
  <si>
    <t>hb_36-5_973+002_buta</t>
  </si>
  <si>
    <t>hb_36-5_974+000_bita</t>
  </si>
  <si>
    <t>hb_36-5_974+002_buta</t>
  </si>
  <si>
    <t>hb_36-5_975+004_buta</t>
  </si>
  <si>
    <t>hb_36-5_976+000_bit</t>
  </si>
  <si>
    <t>hb_36-5_977+001_buta</t>
  </si>
  <si>
    <t>hb_36-5_977+100_buta</t>
  </si>
  <si>
    <t>hb_36-5_979+008_buta</t>
  </si>
  <si>
    <t>hb_36-5_980+001_bit</t>
  </si>
  <si>
    <t>hb_36-5_980+002_buta</t>
  </si>
  <si>
    <t>hb_36-5_980+098_bit</t>
  </si>
  <si>
    <t>hb_36-5_981+002_buta</t>
  </si>
  <si>
    <t>hb_36-5_982+007_buta</t>
  </si>
  <si>
    <t>hb_36-5_982+099_bit_1</t>
  </si>
  <si>
    <t>hb_36-5_983+003_buta</t>
  </si>
  <si>
    <t>hb_36-5_984+002_buta</t>
  </si>
  <si>
    <t>hb_36-5_984+100_bit_1</t>
  </si>
  <si>
    <t>hb_36-5_985+001_bit</t>
  </si>
  <si>
    <t>hb_36-5_985+010_buta</t>
  </si>
  <si>
    <t>hb_36-5_986+000_bit</t>
  </si>
  <si>
    <t>hb_36-5_986+003_bit</t>
  </si>
  <si>
    <t>hb_36-5_987+001_buta</t>
  </si>
  <si>
    <t>hb_36-5_988+001_bit</t>
  </si>
  <si>
    <t>hb_36-5_988+002_buta</t>
  </si>
  <si>
    <t>hb_36-5_989+003_bit</t>
  </si>
  <si>
    <t>hb_36-5_989+007_buta</t>
  </si>
  <si>
    <t>hb_36-5_989+099_bit</t>
  </si>
  <si>
    <t>hb_36-5_990+001_bita</t>
  </si>
  <si>
    <t>hb_36-5_990+001_buta</t>
  </si>
  <si>
    <t>hb_36-5_990+098_bit</t>
  </si>
  <si>
    <t>hb_36-5_991+000_buta</t>
  </si>
  <si>
    <t>hb_36-5_991+096_buta</t>
  </si>
  <si>
    <t>hb_36-5_992+000_bit</t>
  </si>
  <si>
    <t>hb_36-5_992+091_bit</t>
  </si>
  <si>
    <t>hb_36-5_993+000_buta</t>
  </si>
  <si>
    <t>hb_36-5_994+004_buta</t>
  </si>
  <si>
    <t>hb_36-5_994+094_buta</t>
  </si>
  <si>
    <t>hb_36-5_994+099_bit</t>
  </si>
  <si>
    <t>hb_36-5_995+099_bit</t>
  </si>
  <si>
    <t>hb_36-5_997+000_buta</t>
  </si>
  <si>
    <t>hb_36-5_997+099_buta</t>
  </si>
  <si>
    <t>hb_36-5_999+000_buta</t>
  </si>
  <si>
    <t>hb_36-5_999+003_bit</t>
  </si>
  <si>
    <t>kruin</t>
  </si>
  <si>
    <t>binnenteen</t>
  </si>
  <si>
    <t>buitenteen achterland</t>
  </si>
  <si>
    <t>binnenteen achterland</t>
  </si>
  <si>
    <t>bo_36-5_1002+002_kr.pdf</t>
  </si>
  <si>
    <t>bo_36-5_964+006_kr.pdf</t>
  </si>
  <si>
    <t>bo_36-5_969+001_kr.pdf</t>
  </si>
  <si>
    <t>bo_36-5_972+100_kr.pdf</t>
  </si>
  <si>
    <t>bo_36-5_978+101_kr.pdf</t>
  </si>
  <si>
    <t>bo_36-5_983+001_kr.pdf</t>
  </si>
  <si>
    <t>bo_36-5_987+094_bit.pdf</t>
  </si>
  <si>
    <t>bo_36-5_990+099_bit.pdf</t>
  </si>
  <si>
    <t>bo_36-5_991+042_kr.pdf</t>
  </si>
  <si>
    <t>bo_36-5_994+094_kr.pdf</t>
  </si>
  <si>
    <t>bo_36-5_999+001_kr.pdf</t>
  </si>
  <si>
    <t>hb_36-5_1000+003_bit.pdf</t>
  </si>
  <si>
    <t>hb_36-5_1000+003_buta.pdf</t>
  </si>
  <si>
    <t>hb_36-5_1000+098_buta.pdf</t>
  </si>
  <si>
    <t>hb_36-5_1001+002_bit.pdf</t>
  </si>
  <si>
    <t>hb_36-5_1001+099_bit.pdf</t>
  </si>
  <si>
    <t>hb_36-5_1002+093_buta.pdf</t>
  </si>
  <si>
    <t>hb_36-5_1003+050_buta.pdf</t>
  </si>
  <si>
    <t>hb_36-5_963+102_bit.pdf</t>
  </si>
  <si>
    <t>hb_36-5_964+003_buta.pdf</t>
  </si>
  <si>
    <t>hb_36-5_965+004_buta.pdf</t>
  </si>
  <si>
    <t>hb_36-5_966+002_bit.pdf</t>
  </si>
  <si>
    <t>hb_36-5_967+002_buta.pdf</t>
  </si>
  <si>
    <t>hb_36-5_967+003_bit.pdf</t>
  </si>
  <si>
    <t>hb_36-5_969+005_buta.pdf</t>
  </si>
  <si>
    <t>hb_36-5_970+001_buta.pdf</t>
  </si>
  <si>
    <t>hb_36-5_971+002_buta.pdf</t>
  </si>
  <si>
    <t>hb_36-5_971+096_buta.pdf</t>
  </si>
  <si>
    <t>hb_36-5_971+100_bita.pdf</t>
  </si>
  <si>
    <t>hb_36-5_972+000_bit.pdf</t>
  </si>
  <si>
    <t>hb_36-5_973+002_buta.pdf</t>
  </si>
  <si>
    <t>hb_36-5_974+000_bita.pdf</t>
  </si>
  <si>
    <t>hb_36-5_974+002_buta.pdf</t>
  </si>
  <si>
    <t>hb_36-5_975+004_buta.pdf</t>
  </si>
  <si>
    <t>hb_36-5_976+000_bit.pdf</t>
  </si>
  <si>
    <t>hb_36-5_977+001_buta.pdf</t>
  </si>
  <si>
    <t>hb_36-5_977+100_buta.pdf</t>
  </si>
  <si>
    <t>hb_36-5_979+008_buta.pdf</t>
  </si>
  <si>
    <t>hb_36-5_980+001_bit.pdf</t>
  </si>
  <si>
    <t>hb_36-5_980+002_buta.pdf</t>
  </si>
  <si>
    <t>hb_36-5_980+098_bit.pdf</t>
  </si>
  <si>
    <t>hb_36-5_981+002_buta.pdf</t>
  </si>
  <si>
    <t>hb_36-5_982+007_buta.pdf</t>
  </si>
  <si>
    <t>hb_36-5_982+099_bit_1.pdf</t>
  </si>
  <si>
    <t>hb_36-5_983+003_buta.pdf</t>
  </si>
  <si>
    <t>hb_36-5_984+002_buta.pdf</t>
  </si>
  <si>
    <t>hb_36-5_984+100_bit_1.pdf</t>
  </si>
  <si>
    <t>hb_36-5_985+001_bit.pdf</t>
  </si>
  <si>
    <t>hb_36-5_985+010_buta.pdf</t>
  </si>
  <si>
    <t>hb_36-5_986+000_bit.pdf</t>
  </si>
  <si>
    <t>hb_36-5_986+003_bit.pdf</t>
  </si>
  <si>
    <t>hb_36-5_987+001_buta.pdf</t>
  </si>
  <si>
    <t>hb_36-5_988+001_bit.pdf</t>
  </si>
  <si>
    <t>hb_36-5_988+002_buta.pdf</t>
  </si>
  <si>
    <t>hb_36-5_989+003_bit.pdf</t>
  </si>
  <si>
    <t>hb_36-5_989+007_buta.pdf</t>
  </si>
  <si>
    <t>hb_36-5_989+099_bit.pdf</t>
  </si>
  <si>
    <t>hb_36-5_990+001_bita.pdf</t>
  </si>
  <si>
    <t>hb_36-5_990+001_buta.pdf</t>
  </si>
  <si>
    <t>hb_36-5_990+098_bit.pdf</t>
  </si>
  <si>
    <t>hb_36-5_991+000_buta.pdf</t>
  </si>
  <si>
    <t>hb_36-5_991+096_buta.pdf</t>
  </si>
  <si>
    <t>hb_36-5_992+000_bit.pdf</t>
  </si>
  <si>
    <t>hb_36-5_992+091_bit.pdf</t>
  </si>
  <si>
    <t>hb_36-5_993+000_buta.pdf</t>
  </si>
  <si>
    <t>hb_36-5_994+004_buta.pdf</t>
  </si>
  <si>
    <t>hb_36-5_994+094_buta.pdf</t>
  </si>
  <si>
    <t>hb_36-5_994+099_bit.pdf</t>
  </si>
  <si>
    <t>hb_36-5_995+099_bit.pdf</t>
  </si>
  <si>
    <t>hb_36-5_997+000_buta.pdf</t>
  </si>
  <si>
    <t>hb_36-5_997+099_buta.pdf</t>
  </si>
  <si>
    <t>hb_36-5_999+000_buta.pdf</t>
  </si>
  <si>
    <t>hb_36-5_999+003_bit.pdf</t>
  </si>
  <si>
    <t>bo_36-5_1002+002_kr.gef</t>
  </si>
  <si>
    <t>bo_36-5_964+006_kr.gef</t>
  </si>
  <si>
    <t>bo_36-5_969+001_kr.gef</t>
  </si>
  <si>
    <t>bo_36-5_972+100_kr.gef</t>
  </si>
  <si>
    <t>bo_36-5_978+101_kr.gef</t>
  </si>
  <si>
    <t>bo_36-5_983+001_kr.gef</t>
  </si>
  <si>
    <t>bo_36-5_987+094_bit.gef</t>
  </si>
  <si>
    <t>bo_36-5_990+099_bit.gef</t>
  </si>
  <si>
    <t>bo_36-5_991+042_kr.gef</t>
  </si>
  <si>
    <t>bo_36-5_994+094_kr.gef</t>
  </si>
  <si>
    <t>bo_36-5_999+001_kr.gef</t>
  </si>
  <si>
    <t>hb_36-5_1000+003_bit.gef</t>
  </si>
  <si>
    <t>hb_36-5_1000+003_buta.gef</t>
  </si>
  <si>
    <t>hb_36-5_1000+098_buta.gef</t>
  </si>
  <si>
    <t>hb_36-5_1001+002_bit.gef</t>
  </si>
  <si>
    <t>hb_36-5_1001+099_bit.gef</t>
  </si>
  <si>
    <t>hb_36-5_1002+093_buta.gef</t>
  </si>
  <si>
    <t>hb_36-5_1003+050_buta.gef</t>
  </si>
  <si>
    <t>hb_36-5_963+102_bit.gef</t>
  </si>
  <si>
    <t>hb_36-5_964+003_buta.gef</t>
  </si>
  <si>
    <t>hb_36-5_965+004_buta.gef</t>
  </si>
  <si>
    <t>hb_36-5_966+002_bit.gef</t>
  </si>
  <si>
    <t>hb_36-5_967+002_buta.gef</t>
  </si>
  <si>
    <t>hb_36-5_967+003_bit.gef</t>
  </si>
  <si>
    <t>hb_36-5_969+005_buta.gef</t>
  </si>
  <si>
    <t>hb_36-5_970+001_buta.gef</t>
  </si>
  <si>
    <t>hb_36-5_971+002_buta.gef</t>
  </si>
  <si>
    <t>hb_36-5_971+096_buta.gef</t>
  </si>
  <si>
    <t>hb_36-5_971+100_bita.gef</t>
  </si>
  <si>
    <t>hb_36-5_972+000_bit.gef</t>
  </si>
  <si>
    <t>hb_36-5_973+002_buta.gef</t>
  </si>
  <si>
    <t>hb_36-5_974+000_bita.gef</t>
  </si>
  <si>
    <t>hb_36-5_974+002_buta.gef</t>
  </si>
  <si>
    <t>hb_36-5_975+004_buta.gef</t>
  </si>
  <si>
    <t>hb_36-5_976+000_bit.gef</t>
  </si>
  <si>
    <t>hb_36-5_977+001_buta.gef</t>
  </si>
  <si>
    <t>hb_36-5_977+100_buta.gef</t>
  </si>
  <si>
    <t>hb_36-5_979+008_buta.gef</t>
  </si>
  <si>
    <t>hb_36-5_980+001_bit.gef</t>
  </si>
  <si>
    <t>hb_36-5_980+002_buta.gef</t>
  </si>
  <si>
    <t>hb_36-5_980+098_bit.gef</t>
  </si>
  <si>
    <t>hb_36-5_981+002_buta.gef</t>
  </si>
  <si>
    <t>hb_36-5_982+007_buta.gef</t>
  </si>
  <si>
    <t>hb_36-5_982+099_bit_1.gef</t>
  </si>
  <si>
    <t>hb_36-5_983+003_buta.gef</t>
  </si>
  <si>
    <t>hb_36-5_984+002_buta.gef</t>
  </si>
  <si>
    <t>hb_36-5_984+100_bit_1.gef</t>
  </si>
  <si>
    <t>hb_36-5_985+001_bit.gef</t>
  </si>
  <si>
    <t>hb_36-5_985+010_buta.gef</t>
  </si>
  <si>
    <t>hb_36-5_986+000_bit.gef</t>
  </si>
  <si>
    <t>hb_36-5_986+003_bit.gef</t>
  </si>
  <si>
    <t>hb_36-5_987+001_buta.gef</t>
  </si>
  <si>
    <t>hb_36-5_988+001_bit.gef</t>
  </si>
  <si>
    <t>hb_36-5_988+002_buta.gef</t>
  </si>
  <si>
    <t>hb_36-5_989+003_bit.gef</t>
  </si>
  <si>
    <t>hb_36-5_989+007_buta.gef</t>
  </si>
  <si>
    <t>hb_36-5_989+099_bit.gef</t>
  </si>
  <si>
    <t>hb_36-5_990+001_bita.gef</t>
  </si>
  <si>
    <t>hb_36-5_990+001_buta.gef</t>
  </si>
  <si>
    <t>hb_36-5_990+098_bit.gef</t>
  </si>
  <si>
    <t>hb_36-5_991+000_buta.gef</t>
  </si>
  <si>
    <t>hb_36-5_991+096_buta.gef</t>
  </si>
  <si>
    <t>hb_36-5_992+000_bit.gef</t>
  </si>
  <si>
    <t>hb_36-5_992+091_bit.gef</t>
  </si>
  <si>
    <t>hb_36-5_993+000_buta.gef</t>
  </si>
  <si>
    <t>hb_36-5_994+004_buta.gef</t>
  </si>
  <si>
    <t>hb_36-5_994+094_buta.gef</t>
  </si>
  <si>
    <t>hb_36-5_994+099_bit.gef</t>
  </si>
  <si>
    <t>hb_36-5_995+099_bit.gef</t>
  </si>
  <si>
    <t>hb_36-5_997+000_buta.gef</t>
  </si>
  <si>
    <t>hb_36-5_997+099_buta.gef</t>
  </si>
  <si>
    <t>hb_36-5_999+000_buta.gef</t>
  </si>
  <si>
    <t>hb_36-5_999+003_bit.gef</t>
  </si>
  <si>
    <t>Inpijn-Blokpoel</t>
  </si>
  <si>
    <t>BBK</t>
  </si>
  <si>
    <t>BWN</t>
  </si>
  <si>
    <t>AYS</t>
  </si>
  <si>
    <t>Fbi</t>
  </si>
  <si>
    <t>JBE</t>
  </si>
  <si>
    <t>AHL</t>
  </si>
  <si>
    <t>H. Sanders</t>
  </si>
  <si>
    <t>MLT</t>
  </si>
  <si>
    <t>RBN</t>
  </si>
  <si>
    <t>JSI</t>
  </si>
  <si>
    <t>Pulsboring / Ackermann steekbussen gedrukt</t>
  </si>
  <si>
    <t>1</t>
  </si>
  <si>
    <t>2</t>
  </si>
  <si>
    <t>3</t>
  </si>
  <si>
    <t>4a</t>
  </si>
  <si>
    <t>4b</t>
  </si>
  <si>
    <t>7</t>
  </si>
  <si>
    <t>8</t>
  </si>
  <si>
    <t>9a</t>
  </si>
  <si>
    <t>9b</t>
  </si>
  <si>
    <t>2a</t>
  </si>
  <si>
    <t>2b</t>
  </si>
  <si>
    <t>3a</t>
  </si>
  <si>
    <t>3b</t>
  </si>
  <si>
    <t>4</t>
  </si>
  <si>
    <t>5</t>
  </si>
  <si>
    <t>6</t>
  </si>
  <si>
    <t>7a</t>
  </si>
  <si>
    <t>7b</t>
  </si>
  <si>
    <t>9</t>
  </si>
  <si>
    <t>10</t>
  </si>
  <si>
    <t>11</t>
  </si>
  <si>
    <t>12</t>
  </si>
  <si>
    <t>13</t>
  </si>
  <si>
    <t>14a</t>
  </si>
  <si>
    <t>14b</t>
  </si>
  <si>
    <t>15</t>
  </si>
  <si>
    <t>9a1</t>
  </si>
  <si>
    <t>9a2</t>
  </si>
  <si>
    <t>10a</t>
  </si>
  <si>
    <t>10b</t>
  </si>
  <si>
    <t>11a</t>
  </si>
  <si>
    <t>11b</t>
  </si>
  <si>
    <t>12a</t>
  </si>
  <si>
    <t>12b</t>
  </si>
  <si>
    <t>5a</t>
  </si>
  <si>
    <t>5b</t>
  </si>
  <si>
    <t>6a</t>
  </si>
  <si>
    <t>6b</t>
  </si>
  <si>
    <t>14</t>
  </si>
  <si>
    <t>14-1</t>
  </si>
  <si>
    <t>14-2</t>
  </si>
  <si>
    <t>15a</t>
  </si>
  <si>
    <t>15b</t>
  </si>
  <si>
    <t>16</t>
  </si>
  <si>
    <t>17</t>
  </si>
  <si>
    <t>19a</t>
  </si>
  <si>
    <t>19b</t>
  </si>
  <si>
    <t>20a</t>
  </si>
  <si>
    <t>20b</t>
  </si>
  <si>
    <t>105</t>
  </si>
  <si>
    <t>106</t>
  </si>
  <si>
    <t>107</t>
  </si>
  <si>
    <t>104</t>
  </si>
  <si>
    <t>109</t>
  </si>
  <si>
    <t>100</t>
  </si>
  <si>
    <t>112</t>
  </si>
  <si>
    <t>steekbus 67 mm</t>
  </si>
  <si>
    <t>emmer</t>
  </si>
  <si>
    <t>steekbus 40 mm</t>
  </si>
  <si>
    <t>klein geroerd monster</t>
  </si>
  <si>
    <t>steekbus</t>
  </si>
  <si>
    <t>Ackermann steekbus gedrukt, diameter 67 mm, ongeroerd</t>
  </si>
  <si>
    <t>geconditioneerd in gekoelde opslag bij 10 graden Celsius</t>
  </si>
  <si>
    <t>ongeconditioneerd in monstermagazijn</t>
  </si>
  <si>
    <t>bo_36-5_1002+002_kr_CLA.pdf</t>
  </si>
  <si>
    <t>bo_36-5_964+006_kr_CLA.pdf</t>
  </si>
  <si>
    <t>bo_36-5_969+001_kr_CLA.pdf</t>
  </si>
  <si>
    <t>bo_36-5_972+100_kr_CLA.pdf</t>
  </si>
  <si>
    <t>bo_36-5_978+101_kr_CLA.pdf</t>
  </si>
  <si>
    <t>bo_36-5_983+001_kr_CLA.pdf</t>
  </si>
  <si>
    <t>bo_36-5_987+094_bit_CLA.pdf</t>
  </si>
  <si>
    <t>bo_36-5_990+099_bit_CLA.pdf</t>
  </si>
  <si>
    <t>bo_36-5_991+042_kr_CLA.pdf</t>
  </si>
  <si>
    <t>bo_36-5_994+094_kr_CLA.pdf</t>
  </si>
  <si>
    <t>bo_36-5_999+001_kr_CLA.pdf</t>
  </si>
  <si>
    <t>23ZP0747-HB-CLA</t>
  </si>
  <si>
    <t>nvt</t>
  </si>
  <si>
    <t>bo_36-5_1002+002_kr_1</t>
  </si>
  <si>
    <t>bo_36-5_1002+002_kr_2</t>
  </si>
  <si>
    <t>bo_36-5_1002+002_kr_3</t>
  </si>
  <si>
    <t>bo_36-5_1002+002_kr_4a</t>
  </si>
  <si>
    <t>bo_36-5_1002+002_kr_4b</t>
  </si>
  <si>
    <t>bo_36-5_1002+002_kr_7</t>
  </si>
  <si>
    <t>bo_36-5_1002+002_kr_8</t>
  </si>
  <si>
    <t>bo_36-5_1002+002_kr_9a</t>
  </si>
  <si>
    <t>bo_36-5_1002+002_kr_9b</t>
  </si>
  <si>
    <t>bo_36-5_964+006_kr_1</t>
  </si>
  <si>
    <t>bo_36-5_964+006_kr_2a</t>
  </si>
  <si>
    <t>bo_36-5_964+006_kr_2b</t>
  </si>
  <si>
    <t>bo_36-5_964+006_kr_3a</t>
  </si>
  <si>
    <t>bo_36-5_964+006_kr_3b</t>
  </si>
  <si>
    <t>bo_36-5_964+006_kr_4</t>
  </si>
  <si>
    <t>bo_36-5_964+006_kr_5</t>
  </si>
  <si>
    <t>bo_36-5_964+006_kr_6</t>
  </si>
  <si>
    <t>bo_36-5_964+006_kr_7a</t>
  </si>
  <si>
    <t>bo_36-5_964+006_kr_7b</t>
  </si>
  <si>
    <t>bo_36-5_964+006_kr_8</t>
  </si>
  <si>
    <t>bo_36-5_964+006_kr_9</t>
  </si>
  <si>
    <t>bo_36-5_964+006_kr_10</t>
  </si>
  <si>
    <t>bo_36-5_964+006_kr_11</t>
  </si>
  <si>
    <t>bo_36-5_964+006_kr_12</t>
  </si>
  <si>
    <t>bo_36-5_964+006_kr_13</t>
  </si>
  <si>
    <t>bo_36-5_964+006_kr_14a</t>
  </si>
  <si>
    <t>bo_36-5_964+006_kr_14b</t>
  </si>
  <si>
    <t>bo_36-5_964+006_kr_15</t>
  </si>
  <si>
    <t>bo_36-5_969+001_kr_1</t>
  </si>
  <si>
    <t>bo_36-5_969+001_kr_2</t>
  </si>
  <si>
    <t>bo_36-5_969+001_kr_3</t>
  </si>
  <si>
    <t>bo_36-5_969+001_kr_4</t>
  </si>
  <si>
    <t>bo_36-5_969+001_kr_5</t>
  </si>
  <si>
    <t>bo_36-5_969+001_kr_6</t>
  </si>
  <si>
    <t>bo_36-5_969+001_kr_7</t>
  </si>
  <si>
    <t>bo_36-5_969+001_kr_8</t>
  </si>
  <si>
    <t>bo_36-5_969+001_kr_9a1</t>
  </si>
  <si>
    <t>bo_36-5_969+001_kr_9a2</t>
  </si>
  <si>
    <t>bo_36-5_969+001_kr_10a</t>
  </si>
  <si>
    <t>bo_36-5_969+001_kr_10b</t>
  </si>
  <si>
    <t>bo_36-5_969+001_kr_11a</t>
  </si>
  <si>
    <t>bo_36-5_969+001_kr_11b</t>
  </si>
  <si>
    <t>bo_36-5_969+001_kr_12a</t>
  </si>
  <si>
    <t>bo_36-5_969+001_kr_12b</t>
  </si>
  <si>
    <t>bo_36-5_969+001_kr_13</t>
  </si>
  <si>
    <t>bo_36-5_972+100_kr_1</t>
  </si>
  <si>
    <t>bo_36-5_972+100_kr_2</t>
  </si>
  <si>
    <t>bo_36-5_972+100_kr_13</t>
  </si>
  <si>
    <t>bo_36-5_972+100_kr_3</t>
  </si>
  <si>
    <t>bo_36-5_972+100_kr_4</t>
  </si>
  <si>
    <t>bo_36-5_972+100_kr_14a</t>
  </si>
  <si>
    <t>bo_36-5_972+100_kr_14b</t>
  </si>
  <si>
    <t>bo_36-5_972+100_kr_5</t>
  </si>
  <si>
    <t>bo_36-5_972+100_kr_6</t>
  </si>
  <si>
    <t>bo_36-5_972+100_kr_7</t>
  </si>
  <si>
    <t>bo_36-5_972+100_kr_8</t>
  </si>
  <si>
    <t>bo_36-5_978+101_kr_1</t>
  </si>
  <si>
    <t>bo_36-5_978+101_kr_2</t>
  </si>
  <si>
    <t>bo_36-5_978+101_kr_3</t>
  </si>
  <si>
    <t>bo_36-5_978+101_kr_4</t>
  </si>
  <si>
    <t>bo_36-5_978+101_kr_5</t>
  </si>
  <si>
    <t>bo_36-5_978+101_kr_6</t>
  </si>
  <si>
    <t>bo_36-5_978+101_kr_7</t>
  </si>
  <si>
    <t>bo_36-5_978+101_kr_8</t>
  </si>
  <si>
    <t>bo_36-5_978+101_kr_9</t>
  </si>
  <si>
    <t>bo_36-5_978+101_kr_10a</t>
  </si>
  <si>
    <t>bo_36-5_983+001_kr_1</t>
  </si>
  <si>
    <t>bo_36-5_983+001_kr_2a</t>
  </si>
  <si>
    <t>bo_36-5_983+001_kr_2b</t>
  </si>
  <si>
    <t>bo_36-5_983+001_kr_3a</t>
  </si>
  <si>
    <t>bo_36-5_983+001_kr_3b</t>
  </si>
  <si>
    <t>bo_36-5_983+001_kr_4</t>
  </si>
  <si>
    <t>bo_36-5_983+001_kr_5a</t>
  </si>
  <si>
    <t>bo_36-5_983+001_kr_5b</t>
  </si>
  <si>
    <t>bo_36-5_983+001_kr_6</t>
  </si>
  <si>
    <t>bo_36-5_983+001_kr_7</t>
  </si>
  <si>
    <t>bo_36-5_983+001_kr_8</t>
  </si>
  <si>
    <t>bo_36-5_983+001_kr_9</t>
  </si>
  <si>
    <t>bo_36-5_983+001_kr_10</t>
  </si>
  <si>
    <t>bo_36-5_983+001_kr_11</t>
  </si>
  <si>
    <t>bo_36-5_987+094_bit_1</t>
  </si>
  <si>
    <t>bo_36-5_987+094_bit_2</t>
  </si>
  <si>
    <t>bo_36-5_987+094_bit_3</t>
  </si>
  <si>
    <t>bo_36-5_987+094_bit_4</t>
  </si>
  <si>
    <t>bo_36-5_987+094_bit_5</t>
  </si>
  <si>
    <t>bo_36-5_987+094_bit_6a</t>
  </si>
  <si>
    <t>bo_36-5_987+094_bit_6b</t>
  </si>
  <si>
    <t>bo_36-5_987+094_bit_7a</t>
  </si>
  <si>
    <t>bo_36-5_987+094_bit_7b</t>
  </si>
  <si>
    <t>bo_36-5_987+094_bit_8</t>
  </si>
  <si>
    <t>bo_36-5_990+099_bit_1</t>
  </si>
  <si>
    <t>bo_36-5_990+099_bit_2a</t>
  </si>
  <si>
    <t>bo_36-5_990+099_bit_2b</t>
  </si>
  <si>
    <t>bo_36-5_990+099_bit_3</t>
  </si>
  <si>
    <t>bo_36-5_990+099_bit_4</t>
  </si>
  <si>
    <t>bo_36-5_990+099_bit_5a</t>
  </si>
  <si>
    <t>bo_36-5_990+099_bit_5b</t>
  </si>
  <si>
    <t>bo_36-5_990+099_bit_6a</t>
  </si>
  <si>
    <t>bo_36-5_990+099_bit_6b</t>
  </si>
  <si>
    <t>bo_36-5_990+099_bit_7</t>
  </si>
  <si>
    <t>bo_36-5_990+099_bit_8</t>
  </si>
  <si>
    <t>bo_36-5_990+099_bit_9</t>
  </si>
  <si>
    <t>bo_36-5_990+099_bit_10a</t>
  </si>
  <si>
    <t>bo_36-5_990+099_bit_10b</t>
  </si>
  <si>
    <t>bo_36-5_990+099_bit_11</t>
  </si>
  <si>
    <t>bo_36-5_990+099_bit_12a</t>
  </si>
  <si>
    <t>bo_36-5_990+099_bit_12b</t>
  </si>
  <si>
    <t>bo_36-5_991+042_kr_1</t>
  </si>
  <si>
    <t>bo_36-5_991+042_kr_2</t>
  </si>
  <si>
    <t>bo_36-5_991+042_kr_3</t>
  </si>
  <si>
    <t>bo_36-5_991+042_kr_4a</t>
  </si>
  <si>
    <t>bo_36-5_991+042_kr_4b</t>
  </si>
  <si>
    <t>bo_36-5_991+042_kr_5</t>
  </si>
  <si>
    <t>bo_36-5_991+042_kr_6</t>
  </si>
  <si>
    <t>bo_36-5_991+042_kr_7</t>
  </si>
  <si>
    <t>bo_36-5_991+042_kr_8</t>
  </si>
  <si>
    <t>bo_36-5_991+042_kr_9</t>
  </si>
  <si>
    <t>bo_36-5_991+042_kr_10a</t>
  </si>
  <si>
    <t>bo_36-5_991+042_kr_10b</t>
  </si>
  <si>
    <t>bo_36-5_991+042_kr_11</t>
  </si>
  <si>
    <t>bo_36-5_991+042_kr_14</t>
  </si>
  <si>
    <t>bo_36-5_991+042_kr_15a</t>
  </si>
  <si>
    <t>bo_36-5_991+042_kr_15b</t>
  </si>
  <si>
    <t>bo_36-5_991+042_kr_16</t>
  </si>
  <si>
    <t>bo_36-5_991+042_kr_17</t>
  </si>
  <si>
    <t>bo_36-5_994+094_kr_1</t>
  </si>
  <si>
    <t>bo_36-5_994+094_kr_2</t>
  </si>
  <si>
    <t>bo_36-5_994+094_kr_3</t>
  </si>
  <si>
    <t>bo_36-5_994+094_kr_4</t>
  </si>
  <si>
    <t>bo_36-5_994+094_kr_5</t>
  </si>
  <si>
    <t>bo_36-5_994+094_kr_6</t>
  </si>
  <si>
    <t>bo_36-5_994+094_kr_7a</t>
  </si>
  <si>
    <t>bo_36-5_994+094_kr_7b</t>
  </si>
  <si>
    <t>bo_36-5_994+094_kr_8</t>
  </si>
  <si>
    <t>bo_36-5_994+094_kr_9</t>
  </si>
  <si>
    <t>bo_36-5_994+094_kr_10</t>
  </si>
  <si>
    <t>bo_36-5_994+094_kr_11a</t>
  </si>
  <si>
    <t>bo_36-5_994+094_kr_11b</t>
  </si>
  <si>
    <t>bo_36-5_994+094_kr_12</t>
  </si>
  <si>
    <t>bo_36-5_999+001_kr_2</t>
  </si>
  <si>
    <t>bo_36-5_999+001_kr_3</t>
  </si>
  <si>
    <t>bo_36-5_999+001_kr_4</t>
  </si>
  <si>
    <t>bo_36-5_999+001_kr_5</t>
  </si>
  <si>
    <t>bo_36-5_999+001_kr_6</t>
  </si>
  <si>
    <t>bo_36-5_999+001_kr_7</t>
  </si>
  <si>
    <t>bo_36-5_999+001_kr_8</t>
  </si>
  <si>
    <t>bo_36-5_999+001_kr_10</t>
  </si>
  <si>
    <t>bo_36-5_999+001_kr_11a</t>
  </si>
  <si>
    <t>bo_36-5_999+001_kr_11b</t>
  </si>
  <si>
    <t>bo_36-5_999+001_kr_12</t>
  </si>
  <si>
    <t>bo_36-5_999+001_kr_13</t>
  </si>
  <si>
    <t>bo_36-5_999+001_kr_19a</t>
  </si>
  <si>
    <t>bo_36-5_999+001_kr_19b</t>
  </si>
  <si>
    <t>bo_36-5_999+001_kr_20a</t>
  </si>
  <si>
    <t>bo_36-5_999+001_kr_20b</t>
  </si>
  <si>
    <t>hb_36-5_1000+003_bit_1</t>
  </si>
  <si>
    <t>hb_36-5_1000+003_buta_106</t>
  </si>
  <si>
    <t>hb_36-5_1000+098_buta_107</t>
  </si>
  <si>
    <t>hb_36-5_1001+002_bit_1</t>
  </si>
  <si>
    <t>hb_36-5_1001+099_bit_109</t>
  </si>
  <si>
    <t>hb_36-5_1002+093_buta_1</t>
  </si>
  <si>
    <t>hb_36-5_1003+050_buta_3</t>
  </si>
  <si>
    <t>hb_36-5_964+003_buta_100</t>
  </si>
  <si>
    <t>hb_36-5_965+004_buta_1</t>
  </si>
  <si>
    <t>hb_36-5_967+002_buta_1</t>
  </si>
  <si>
    <t>hb_36-5_969+005_buta_100</t>
  </si>
  <si>
    <t>hb_36-5_970+001_buta_1</t>
  </si>
  <si>
    <t>hb_36-5_971+002_buta_100</t>
  </si>
  <si>
    <t>hb_36-5_971+096_buta_100</t>
  </si>
  <si>
    <t>hb_36-5_971+100_bita_100</t>
  </si>
  <si>
    <t>hb_36-5_972+000_bit_100</t>
  </si>
  <si>
    <t>hb_36-5_973+002_buta_1</t>
  </si>
  <si>
    <t>hb_36-5_974+000_bita_5</t>
  </si>
  <si>
    <t>hb_36-5_974+002_buta_1</t>
  </si>
  <si>
    <t>hb_36-5_975+004_buta_100</t>
  </si>
  <si>
    <t>hb_36-5_977+001_buta_100</t>
  </si>
  <si>
    <t>hb_36-5_977+100_buta_100</t>
  </si>
  <si>
    <t>hb_36-5_979+008_buta_1</t>
  </si>
  <si>
    <t>hb_36-5_980+002_buta_100</t>
  </si>
  <si>
    <t>hb_36-5_981+002_buta_100</t>
  </si>
  <si>
    <t>hb_36-5_982+007_buta_100</t>
  </si>
  <si>
    <t>hb_36-5_982+099_bit_1_1</t>
  </si>
  <si>
    <t>hb_36-5_982+099_bit_1_2</t>
  </si>
  <si>
    <t>hb_36-5_982+099_bit_1_3</t>
  </si>
  <si>
    <t>hb_36-5_982+099_bit_1_4</t>
  </si>
  <si>
    <t>hb_36-5_982+099_bit_1_5</t>
  </si>
  <si>
    <t>hb_36-5_983+003_buta_100</t>
  </si>
  <si>
    <t>hb_36-5_984+002_buta_100</t>
  </si>
  <si>
    <t>hb_36-5_985+001_bit_1</t>
  </si>
  <si>
    <t>hb_36-5_985+010_buta_100</t>
  </si>
  <si>
    <t>hb_36-5_987+001_buta_1</t>
  </si>
  <si>
    <t>hb_36-5_988+002_buta_1</t>
  </si>
  <si>
    <t>hb_36-5_989+007_buta_1</t>
  </si>
  <si>
    <t>hb_36-5_990+001_bita_100</t>
  </si>
  <si>
    <t>hb_36-5_990+001_buta_1</t>
  </si>
  <si>
    <t>hb_36-5_991+000_buta_1</t>
  </si>
  <si>
    <t>hb_36-5_991+096_buta_1</t>
  </si>
  <si>
    <t>hb_36-5_993+000_buta_1</t>
  </si>
  <si>
    <t>hb_36-5_994+004_buta_1</t>
  </si>
  <si>
    <t>hb_36-5_994+094_buta_1</t>
  </si>
  <si>
    <t>hb_36-5_997+000_buta_1</t>
  </si>
  <si>
    <t>hb_36-5_997+099_buta_1</t>
  </si>
  <si>
    <t>hb_36-5_999+000_buta_3</t>
  </si>
  <si>
    <t>hb_36-5_999+003_bit_1</t>
  </si>
  <si>
    <t>NEN-EN-ISO 14688-1:2019+NEN8990:2020</t>
  </si>
  <si>
    <t>Zand fijn 105-150, siltig, subrond, bolvormig, kalkhoudend, weinig kleibrokken, weinig puin, standaardbruin</t>
  </si>
  <si>
    <t>Klei, stevig, sterk zandig, weinig plastisch, kalkhoudend, weinig zandlensjes, weinig puin, standaardbruin</t>
  </si>
  <si>
    <t>Klei, stevig, sterk zandig, zwak organisch, weinig plastisch, kalkhoudend, weinig zandlensjes, weinig puin, donkergrijs</t>
  </si>
  <si>
    <t>Klei, stevig, sterk zandig, zwak organisch, weinig plastisch, zwak kalkhoudend, weinig zandlensjes, weinig plantenresten, standaardgrijs</t>
  </si>
  <si>
    <t>Zand fijn 105-150, siltig, subrond, bolvormig, zwak kalkhoudend, weinig kleilensjes, weinig plantenresten, lichtbruin</t>
  </si>
  <si>
    <t>Zand fijn 150-200, siltig, subhoekig, bolvormig, kalkloos, lichtbruin</t>
  </si>
  <si>
    <t>Zand fijn 150-200, siltig, subhoekig, bolvormig, kalkloos, weinig kleilensjes, lichtbruin</t>
  </si>
  <si>
    <t>Klei, stevig, sterk zandig, zwak organisch, matig plastisch, kalkloos, weinig veenbrokken, donkergrijs</t>
  </si>
  <si>
    <t>Klei, stevig, sterk zandig, zwak organisch, weinig plastisch, kalkloos, weinig zandlensjes, donkergrijs</t>
  </si>
  <si>
    <t>Zand fijn 105-150, siltig, subhoekig, bolvormig, kalkloos, weinig kleilensjes, weinig puin, lichtbruin</t>
  </si>
  <si>
    <t>Klei, stevig, sterk zandig, weinig plastisch, kalkloos, weinig zandlensjes, weinig plantenresten, standaardgrijs</t>
  </si>
  <si>
    <t>Zand fijn 105-150, siltig, subhoekig, bolvormig, kalkloos, weinig kleilensjes, weinig plantenresten, lichtbruin</t>
  </si>
  <si>
    <t>Zand fijn 105-150, siltig, subhoekig, bolvormig, kalkloos, weinig kleilensjes, lichtbruin</t>
  </si>
  <si>
    <t>Klei, stijf, niet plastisch, kalkloos, weinig zandlensjes, weinig plantenresten, standaardgrijs</t>
  </si>
  <si>
    <t>Klei, stevig, zwak zandig, zwak organisch, weinig plastisch, kalkloos, weinig zandlensjes, weinig plantenresten, standaardgrijs</t>
  </si>
  <si>
    <t>Klei, stevig, sterk zandig, zwak organisch, weinig plastisch, kalkloos, weinig zandlensjes, weinig plantenresten, standaardbruin</t>
  </si>
  <si>
    <t>Klei, stevig, zwak zandig, zwak organisch, weinig plastisch, kalkloos, weinig zandlensjes, weinig plantenresten, donkergrijs</t>
  </si>
  <si>
    <t>Zand fijn 150-200, siltig, zwak organisch, subhoekig, bolvormig, kalkloos, weinig kleilensjes, weinig plantenresten, donkergrijs</t>
  </si>
  <si>
    <t>Klei, stevig, zwak organisch, matig plastisch, kalkloos, weinig plantenresten, standaardgrijs</t>
  </si>
  <si>
    <t>Klei, stevig, sterk zandig, zwak organisch, weinig plastisch, kalkloos, veel zandlensjes, weinig plantenresten, standaardgrijs</t>
  </si>
  <si>
    <t>Zand fijn 150-200, siltig, subhoekig, bolvormig, zwak kalkhoudend, weinig kleilensjes, standaardgrijs</t>
  </si>
  <si>
    <t>Zand middelgrof 200-300, siltig, subhoekig, bolvormig, zwak kalkhoudend, weinig plantenresten, standaardgrijs</t>
  </si>
  <si>
    <t>Zand middelgrof 200-300, siltig, subhoekig, bolvormig, zwak kalkhoudend, standaardgrijs</t>
  </si>
  <si>
    <t>Klei, slap, sterk zandig, weinig plastisch, kalkloos, weinig zandlensjes, standaardgrijs</t>
  </si>
  <si>
    <t>Zand fijn 105-150, siltig, subhoekig, bolvormig, kalkloos, weinig kleilensjes, standaardgrijs</t>
  </si>
  <si>
    <t>Zand fijn 105-150, siltig, zwak organisch, subhoekig, bolvormig, kalkloos, weinig kleibrokken, weinig plantenresten, standaardgrijs</t>
  </si>
  <si>
    <t>Klei, stijf, sterk zandig, niet plastisch, kalkloos, weinig zandlensjes, weinig plantenresten, standaardbruin</t>
  </si>
  <si>
    <t>Klei, stevig, zwak zandig, sterk organisch, weinig plastisch, kalkloos, weinig plantenresten, donkergrijs</t>
  </si>
  <si>
    <t>Klei, stevig, zwak zandig, sterk organisch, weinig plastisch, kalkloos, weinig zandlensjes, weinig plantenresten, donkergrijs</t>
  </si>
  <si>
    <t>Klei, stevig, zwak zandig, zwak organisch, matig plastisch, kalkloos, weinig zandlensjes, weinig plantenresten, standaardgrijs</t>
  </si>
  <si>
    <t>Klei, stevig, sterk zandig, zwak organisch, matig plastisch, kalkloos, weinig zandlensjes, weinig plantenresten, donkergrijs</t>
  </si>
  <si>
    <t>Klei, stevig, zwak zandig, matig plastisch, kalkloos, weinig schelpen, standaardgrijs</t>
  </si>
  <si>
    <t>Veen, matig stevig, lage treksterkte, fijn pseudo-vezelig, weinig plantenresten, donkerbruin</t>
  </si>
  <si>
    <t>Zand fijn 150-200, siltig, subhoekig, bolvormig, zwak kalkhoudend, weinig kleibrokken, standaardgrijs</t>
  </si>
  <si>
    <t>Klei, stevig, sterk zandig, weinig plastisch, kalkloos, weinig kleilensjes, standaardgrijs</t>
  </si>
  <si>
    <t>Zand middelgrof 200-300, siltig, subhoekig, bolvormig, kalkloos, standaardgrijs</t>
  </si>
  <si>
    <t>Zand fijn 63-105, siltig, subhoekig, bolvormig, kalkloos, weinig kleilensjes, standaardgrijs</t>
  </si>
  <si>
    <t>Zand fijn 150-200, siltig, subhoekig, bolvormig, kalkhoudend, weinig kleilensjes, standaardgrijs</t>
  </si>
  <si>
    <t>Klei, stevig, sterk zandig, matig plastisch, kalkloos, zeer dun gelaagd met weinig dun gelamineerde zandlagen, weinig zandlensjes, standaardgrijs</t>
  </si>
  <si>
    <t>Zand fijn 105-150, siltig, subhoekig, bolvormig, kalkloos, standaardgrijs</t>
  </si>
  <si>
    <t>Klei, stevig, zwak zandig, matig plastisch, zwak kalkhoudend, weinig zandlensjes, weinig plantenresten, standaardbruin</t>
  </si>
  <si>
    <t>Klei, stevig, zwak organisch, matig plastisch, zwak kalkhoudend, zeer dun gelaagd met weinig dik gelamineerde veenlagen, weinig plantenresten, standaardgrijs</t>
  </si>
  <si>
    <t>Veen, matig stevig, kleiïg, geen treksterkte, veel kleilensjes, amorf, weinig plantenresten, standaardbruin</t>
  </si>
  <si>
    <t>Klei, stevig, zwak zandig, zwak organisch, weinig plastisch, kalkloos, weinig veenbrokken, weinig plantenresten, standaardbruin</t>
  </si>
  <si>
    <t>Klei, stevig, zwak zandig, sterk organisch, matig plastisch, kalkloos, veel veenbrokken, weinig plantenresten, standaardgrijs</t>
  </si>
  <si>
    <t>Klei, stevig, zwak zandig, sterk organisch, weinig plastisch, kalkloos, weinig veenbrokken, weinig plantenresten, standaardbruin</t>
  </si>
  <si>
    <t>Klei, stevig, sterk zandig, zwak organisch, niet plastisch, kalkloos, weinig zandlensjes, standaardbruin</t>
  </si>
  <si>
    <t>Klei, stevig, sterk zandig, weinig plastisch, kalkloos, veel zandlensjes, standaardgrijs</t>
  </si>
  <si>
    <t>Klei, stevig, zwak zandig, zwak organisch, weinig plastisch, kalkloos, weinig zandlensjes, standaardgrijs</t>
  </si>
  <si>
    <t>Klei, stevig, zwak zandig, matig plastisch, kalkloos, weinig plantenresten, standaardgrijs</t>
  </si>
  <si>
    <t>Klei, stevig, zwak zandig, sterk organisch, weinig plastisch, kalkloos, weinig veenbrokken, weinig plantenresten, donkergrijs</t>
  </si>
  <si>
    <t>Klei, stevig, sterk plastisch, kalkloos, weinig zandlensjes, weinig plantenresten, standaardgrijs</t>
  </si>
  <si>
    <t>Klei, stevig, zwak zandig, zwak organisch, sterk plastisch, zwak kalkhoudend, weinig veenbrokken, standaardgrijs</t>
  </si>
  <si>
    <t>Klei, stevig, zwak zandig, sterk plastisch, kalkloos, zeer dun gelaagd met weinig dik gelamineerde zandlagen, standaardgrijs</t>
  </si>
  <si>
    <t>Klei, stevig, zwak zandig, matig plastisch, kalkloos, zeer dun gelaagd met veel dik gelamineerde zandlagen, standaardgrijs</t>
  </si>
  <si>
    <t>Klei, stevig, zwak organisch, matig plastisch, zwak kalkhoudend, zeer dun gelaagd met weinig dik gelamineerde kleilagen, weinig veenbrokken, standaardgrijs</t>
  </si>
  <si>
    <t>Klei, stijf, zwak zandig, zwak organisch, matig plastisch, zwak kalkhoudend, zeer dun gelaagd met weinig dik gelamineerde zandlagen, weinig veenbrokken, standaardgrijs</t>
  </si>
  <si>
    <t>Klei, stijf, zwak zandig, matig plastisch, kalkloos, zeer dun gelaagd met veel dik gelamineerde zandlagen, weinig veenbrokken, weinig plantenresten, standaardgrijs</t>
  </si>
  <si>
    <t>Klei, stijf, sterk plastisch, kalkloos, zeer dun gelaagd met weinig dun gelamineerde zandlagen, standaardgrijs</t>
  </si>
  <si>
    <t>Klei, stijf, zwak organisch, matig plastisch, kalkloos, standaardbruin</t>
  </si>
  <si>
    <t>Zand fijn 105-150, kleiïg, zwak organisch, subrond, bolvormig, kalkloos, donkerbruin</t>
  </si>
  <si>
    <t>Klei, stijf, zwak organisch, matig plastisch, kalkloos, weinig zandlensjes, weinig ijzerconcreties, standaardgrijs</t>
  </si>
  <si>
    <t>Klei, stijf, zwak organisch, matig plastisch, kalkloos, lichtbruin</t>
  </si>
  <si>
    <t>Veen, matig stevig, kleiïg, lage treksterkte, zeer dun gelaagd met veel dik gelamineerde zandlagen, amorf, donkerbruin</t>
  </si>
  <si>
    <t>Klei, stevig, zwak zandig, sterk organisch, weinig plastisch, kalkloos, weinig zandlensjes, donkerbruin</t>
  </si>
  <si>
    <t>Klei, stijf, sterk organisch, matig plastisch, kalkloos, weinig zandlensjes, donkerbruin</t>
  </si>
  <si>
    <t>Klei, stevig, matig plastisch, zwak kalkhoudend, weinig zandlensjes, standaardgrijs</t>
  </si>
  <si>
    <t>Klei, stevig, sterk plastisch, kalkloos, zeer dun gelaagd met weinig dik gelamineerde zandlagen, standaardgrijs</t>
  </si>
  <si>
    <t>Klei, stevig, sterk organisch, matig plastisch, kalkloos, donkerbruin</t>
  </si>
  <si>
    <t>Klei, stijf, sterk plastisch, kalkhoudend, standaardgrijs</t>
  </si>
  <si>
    <t>Klei, stevig, sterk plastisch, kalkloos, zeer dun gelaagd met weinig dik gelamineerde zandlagen, weinig veenbrokken, standaardgrijs</t>
  </si>
  <si>
    <t>Klei, stijf, matig plastisch, kalkloos, standaardgrijs</t>
  </si>
  <si>
    <t>Klei, stevig, sterk plastisch, kalkloos, standaardgrijs</t>
  </si>
  <si>
    <t>Klei, stijf, sterk plastisch, kalkloos, standaardgrijs</t>
  </si>
  <si>
    <t>Klei, stijf, sterk zandig, sterk organisch, niet plastisch, kalkloos, weinig plantenresten, weinig wortels, donkerbruin</t>
  </si>
  <si>
    <t>Klei, stevig, sterk plastisch, kalkhoudend, zeer dun gelaagd met veel dik gelamineerde zandlagen, standaardgrijs</t>
  </si>
  <si>
    <t>Klei, stevig, matig plastisch, kalkloos, standaardgrijs</t>
  </si>
  <si>
    <t>Veen, matig stevig, matige treksterkte, fijn pseudo-vezelig, donkerbruin</t>
  </si>
  <si>
    <t>Klei, stevig, zwak organisch, matig plastisch, kalkloos, standaardgrijs</t>
  </si>
  <si>
    <t>Veen, matig stevig, lage treksterkte, fijn pseudo-vezelig, donkerbruin</t>
  </si>
  <si>
    <t>Zand fijn 150-200, kleiïg, organisch, subrond, bolvormig, kalkloos, weinig veenbrokken, standaardgrijs</t>
  </si>
  <si>
    <t>Zand fijn 105-150, subrond, bolvormig, zwak kalkhoudend, lichtbruin</t>
  </si>
  <si>
    <t>Zand middelgrof 200-300, subrond, bolvormig, kalkloos, lichtbruin</t>
  </si>
  <si>
    <t>Klei, stevig, sterk plastisch, kalkloos, donkergrijs</t>
  </si>
  <si>
    <t>Klei, stevig, sterk plastisch, kalkhoudend, standaardgrijs</t>
  </si>
  <si>
    <t>Klei, stevig, sterk zandig, weinig plastisch, kalkhoudend, standaardgrijs</t>
  </si>
  <si>
    <t>Klei, slap, sterk zandig, matig plastisch, zwak kalkhoudend, standaardgrijs</t>
  </si>
  <si>
    <t>Klei, stevig, weinig plastisch, zwak kalkhoudend, zeer dun gelaagd met weinig zeer dun gelaagde zandlagen, standaardgrijs</t>
  </si>
  <si>
    <t>Klei, slap, zwak zandig, matig plastisch, kalkrijk, weinig kalk, standaardgrijs</t>
  </si>
  <si>
    <t>Zand fijn 150-200, subrond, bolvormig, kalkloos, lichtgrijs</t>
  </si>
  <si>
    <t>Zand middelgrof 200-300, subrond, bolvormig, kalkloos, lichtgrijs</t>
  </si>
  <si>
    <t>Zand fijn 150-200, subrond, bolvormig, kalkloos, dun gelaagd met weinig dun gelamineerde veenlagen, standaardgrijs</t>
  </si>
  <si>
    <t>Volledig hout, donkerbruin</t>
  </si>
  <si>
    <t>Zand middelgrof 300-420, subhoekig, bolvormig, kalkloos, standaardgrijs</t>
  </si>
  <si>
    <t>Zand middelgrof 300-420, zwak grindig, subhoekig, bolvormig, kalkloos, standaardgrijs</t>
  </si>
  <si>
    <t>Zand fijn 105-150, subrond, bolvormig, kalkloos, standaardgrijs</t>
  </si>
  <si>
    <t>Zand fijn 105-150, siltig, subrond, bolvormig, kalkhoudend, weinig kleibrokken, lichtbruin</t>
  </si>
  <si>
    <t>Zand fijn 150-200, siltig, subhoekig, bolvormig, kalkhoudend, weinig kleibrokken, lichtbruin</t>
  </si>
  <si>
    <t>Veen, matig stevig, zwak zandig, geen treksterkte, veel zandlensjes, fijn pseudo-vezelig, donkerbruin</t>
  </si>
  <si>
    <t>Zand fijn 150-200, subrond, bolvormig, zwak kalkhoudend, weinig kleibrokken, lichtbruin</t>
  </si>
  <si>
    <t>Zand fijn 150-200, subhoekig, bolvormig, zwak kalkhoudend, weinig veenbrokken, lichtbruin</t>
  </si>
  <si>
    <t>Klei, stevig, sterk plastisch, zwak kalkhoudend, standaardgrijs</t>
  </si>
  <si>
    <t>Klei, stevig, matig plastisch, zwak kalkhoudend, standaardgrijs</t>
  </si>
  <si>
    <t>Zand fijn 150-200, subhoekig, bolvormig, kalkloos, weinig veenbrokken, lichtgrijs</t>
  </si>
  <si>
    <t>Zand middelgrof 200-300, subhoekig, bolvormig, kalkloos, weinig veenbrokken, lichtgrijs</t>
  </si>
  <si>
    <t>Zand fijn 105-150, subhoekig, bolvormig, kalkloos, dun gelaagd met weinig dik gelamineerde kleilagen, lichtgrijs</t>
  </si>
  <si>
    <t>Klei, stevig, zwak zandig, weinig plastisch, kalkloos, standaardgrijs</t>
  </si>
  <si>
    <t>Zand middelgrof 200-300, subrond, bolvormig, kalkloos, weinig veenbrokken, standaardgrijs</t>
  </si>
  <si>
    <t>Zand middelgrof 200-300, subrond, bolvormig, kalkloos, standaardgrijs</t>
  </si>
  <si>
    <t>Zand fijn 150-200, subrond, bolvormig, kalkloos, dun gelaagd met weinig dik gelamineerde kleilagen, standaardgrijs</t>
  </si>
  <si>
    <t>Klei, zeer stijf, niet plastisch, kalkhoudend, weinig plantenresten, standaardbruin</t>
  </si>
  <si>
    <t>Zand middelgrof 200-300, subrond, bolvormig, kalkloos, standaardbruin</t>
  </si>
  <si>
    <t>Zand fijn 150-200, subrond, bolvormig, kalkloos, weinig kleibrokken, weinig plantenresten, standaardbruin</t>
  </si>
  <si>
    <t>Zand fijn 150-200, subrond, bolvormig, zwak kalkhoudend, weinig kleibrokken, standaardbruin</t>
  </si>
  <si>
    <t>Zand fijn 150-200, subrond, bolvormig, kalkloos, standaardbruin</t>
  </si>
  <si>
    <t>Klei, stevig, zwak organisch, matig plastisch, kalkloos, donkergrijs</t>
  </si>
  <si>
    <t>Klei, stevig, matig plastisch, kalkhoudend, veel zandlensjes, standaardgrijs</t>
  </si>
  <si>
    <t>Zand middelgrof 300-420, subrond, bolvormig, kalkloos, lichtgrijs</t>
  </si>
  <si>
    <t>Veen, matig stevig, matige treksterkte, veel zandlensjes, grofvezelig, donkerbruin</t>
  </si>
  <si>
    <t>Zand fijn 105-150, subrond, bolvormig, kalkloos, weinig veenbrokken, lichtgrijs</t>
  </si>
  <si>
    <t>Klei, stijf, sterk zandig, weinig plastisch, kalkhoudend, dun gelaagd met zeer dun gelaagde kleilagen, lichtbruin</t>
  </si>
  <si>
    <t>Zand fijn 150-200, subrond, bolvormig, kalkloos, weinig kleibrokken, lichtbruin</t>
  </si>
  <si>
    <t>Zand fijn 150-200, subrond, bolvormig, kalkhoudend, weinig veenbrokken, donkerbruin</t>
  </si>
  <si>
    <t>Zand fijn 150-200, subrond, bolvormig, kalkhoudend, weinig veenbrokken, lichtbruin</t>
  </si>
  <si>
    <t>Zand middelgrof 200-300, subrond, bolvormig, zwak kalkhoudend, weinig kleibrokken, lichtbruin</t>
  </si>
  <si>
    <t>Zand fijn 105-150, subhoekig, bolvormig, kalkloos, dun gelaagd met weinig dun gelamineerde veenlagen, lichtgrijs</t>
  </si>
  <si>
    <t>Zand middelgrof 300-420, subhoekig, bolvormig, kalkloos, lichtgrijs</t>
  </si>
  <si>
    <t>Klei, stevig, sterk zandig, weinig plastisch, kalkloos, weinig plantenresten, standaardbruin</t>
  </si>
  <si>
    <t>Klei, stevig, sterk zandig, zwak organisch, weinig plastisch, kalkhoudend, weinig plantenresten, standaardbruin</t>
  </si>
  <si>
    <t>Klei, stevig, sterk zandig, matig plastisch, kalkloos, standaardbruin</t>
  </si>
  <si>
    <t>Klei, stijf, weinig plastisch, zwak kalkhoudend, weinig plantenresten, standaardgrijs</t>
  </si>
  <si>
    <t>Klei, stevig, sterk zandig, weinig plastisch, kalkhoudend, weinig plantenresten, standaardbruin</t>
  </si>
  <si>
    <t>Klei, stevig, sterk zandig, weinig plastisch, kalkhoudend, donkerbruin</t>
  </si>
  <si>
    <t>Zand fijn 150-200, subrond, bolvormig, kalkloos, lichtbruin</t>
  </si>
  <si>
    <t>Klei, stijf, sterk plastisch, kalkloos, lichtgrijs</t>
  </si>
  <si>
    <t>Klei, stevig, sterk plastisch, kalkloos, lichtbruin</t>
  </si>
  <si>
    <t>Klei, stijf, sterk plastisch, kalkloos, lichtbruin</t>
  </si>
  <si>
    <t>Klei, stevig, sterk plastisch, kalkloos, weinig plantenresten, standaardgrijs</t>
  </si>
  <si>
    <t>Zand fijn 105-150, subrond, bolvormig, kalkloos, weinig kleibrokken, lichtbruin</t>
  </si>
  <si>
    <t>Klei, stijf, sterk zandig, niet plastisch, kalkloos, weinig plantenresten, standaardbruin</t>
  </si>
  <si>
    <t>Klei, stevig, matig plastisch, kalkloos, standaardbruin</t>
  </si>
  <si>
    <t>Klei, stijf, zwak zandig, weinig plastisch, kalkloos, standaardbruin</t>
  </si>
  <si>
    <t>Klei, stevig, matig plastisch, kalkloos, weinig plantenresten, lichtbruin</t>
  </si>
  <si>
    <t>Klei, stevig, matig plastisch, kalkloos, lichtbruin</t>
  </si>
  <si>
    <t>Klei, stijf, matig plastisch, kalkloos, weinig plantenresten, lichtbruin</t>
  </si>
  <si>
    <t>Klei, stijf, matig plastisch, kalkloos, lichtbruin</t>
  </si>
  <si>
    <t>Klei, stijf, zwak zandig, matig plastisch, kalkloos, standaardbruin</t>
  </si>
  <si>
    <t>Veen, matig stevig, matige treksterkte, amorf, donkerbruin</t>
  </si>
  <si>
    <t>Veen, slap, matige treksterkte, amorf, donkerbruin</t>
  </si>
  <si>
    <t>Zand fijn 150-200, siltig, subrond, bolvormig, kalkloos, standaardgrijs</t>
  </si>
  <si>
    <t>Klei, stevig, sterk plastisch, kalkhoudend, lichtbruin</t>
  </si>
  <si>
    <t>Klei, stevig, sterk plastisch, kalkloos, weinig plantenresten, lichtbruin</t>
  </si>
  <si>
    <t>Zand fijn 105-150, siltig, zwak organisch, subrond, bolvormig, kalkloos, lichtbruin</t>
  </si>
  <si>
    <t>Klei, stevig, zwak zandig, matig plastisch, zwak kalkhoudend, weinig zandlensjes, standaardbruin</t>
  </si>
  <si>
    <t>Klei, stevig, zwak zandig, matig plastisch, kalkhoudend, weinig plantenresten, lichtbruin</t>
  </si>
  <si>
    <t>Klei, stijf, matig plastisch, kalkhoudend, standaardbruin</t>
  </si>
  <si>
    <t>Klei, stijf, sterk zandig, sterk organisch, met grind, matig plastisch, kalkhoudend, weinig wortels, standaardbruin</t>
  </si>
  <si>
    <t>Klei, stijf, zwak zandig, zwak organisch, matig plastisch, kalkhoudend, standaardbruin</t>
  </si>
  <si>
    <t>Klei, zeer stijf, zwak zandig, zwak organisch, met grind, matig plastisch, zwak kalkhoudend, standaardbruin</t>
  </si>
  <si>
    <t>Klei, zeer stijf, zwak organisch, sterk plastisch, kalkhoudend, weinig kalk, standaardbruin</t>
  </si>
  <si>
    <t>Klei, stijf, zwak zandig, zwak organisch, matig plastisch, kalkhoudend, veel kalk, standaardbruin</t>
  </si>
  <si>
    <t>Klei, zeer stijf, zwak zandig, zwak organisch, matig plastisch, kalkloos, standaardbruin</t>
  </si>
  <si>
    <t>Klei, zeer stijf, zwak zandig, zwak organisch, matig plastisch, kalkhoudend, standaardbruin</t>
  </si>
  <si>
    <t>bo_36-5_964+006_kr_13-KVD</t>
  </si>
  <si>
    <t>bo_36-5_964+006_kr_14b-KVD</t>
  </si>
  <si>
    <t>bo_36-5_969+001_kr_10a-KVD</t>
  </si>
  <si>
    <t>bo_36-5_972+100_kr_9-KVD</t>
  </si>
  <si>
    <t>bo_36-5_978+101_kr_10b-KVD</t>
  </si>
  <si>
    <t>bo_36-5_990+099_bit_6b-KVD</t>
  </si>
  <si>
    <t>bo_36-5_991+042_kr_14-KVD</t>
  </si>
  <si>
    <t>bo_36-5_994+094_kr_11a-KVD</t>
  </si>
  <si>
    <t>bo_36-5_999+001_kr_11b-KVD</t>
  </si>
  <si>
    <t>hb_36-5_1000+003_bit_105-KVD</t>
  </si>
  <si>
    <t>hb_36-5_1001+002_bit_104-KVD</t>
  </si>
  <si>
    <t>hb_36-5_1001+099_bit_105-KVD</t>
  </si>
  <si>
    <t>hb_36-5_963+102_bit_5-KVD</t>
  </si>
  <si>
    <t>hb_36-5_966+002_bit_100-KVD</t>
  </si>
  <si>
    <t>hb_36-5_967+003_bit_3-KVD</t>
  </si>
  <si>
    <t>hb_36-5_976+000_bit_100-KVD</t>
  </si>
  <si>
    <t>hb_36-5_980+001_bit_7-KVD</t>
  </si>
  <si>
    <t>hb_36-5_980+098_bit_6-KVD</t>
  </si>
  <si>
    <t>hb_36-5_984+100_bit_1_6-KVD</t>
  </si>
  <si>
    <t>hb_36-5_986+000_bit_6-KVD</t>
  </si>
  <si>
    <t>hb_36-5_986+003_bit_9-KVD</t>
  </si>
  <si>
    <t>hb_36-5_988+001_bit_6-KVD</t>
  </si>
  <si>
    <t>hb_36-5_989+003_bit_6-KVD</t>
  </si>
  <si>
    <t>hb_36-5_989+099_bit_9-KVD</t>
  </si>
  <si>
    <t>hb_36-5_990+098_bit_2-KVD</t>
  </si>
  <si>
    <t>hb_36-5_992+000_bit_7-KVD</t>
  </si>
  <si>
    <t>hb_36-5_992+091_bit_8-KVD</t>
  </si>
  <si>
    <t>hb_36-5_994+099_bit_8-KVD</t>
  </si>
  <si>
    <t>hb_36-5_995+099_bit_112-KVD</t>
  </si>
  <si>
    <t>hb_36-5_999+003_bit_104-KVD</t>
  </si>
  <si>
    <t>n.v.t.</t>
  </si>
  <si>
    <t>bo_36-5_972+100_kr_9</t>
  </si>
  <si>
    <t>bo_36-5_978+101_kr_10b</t>
  </si>
  <si>
    <t>hb_36-5_1000+003_bit_105</t>
  </si>
  <si>
    <t>hb_36-5_1001+002_bit_104</t>
  </si>
  <si>
    <t>hb_36-5_1001+099_bit_105</t>
  </si>
  <si>
    <t>hb_36-5_963+102_bit_5</t>
  </si>
  <si>
    <t>hb_36-5_966+002_bit_100</t>
  </si>
  <si>
    <t>hb_36-5_967+003_bit_3</t>
  </si>
  <si>
    <t>hb_36-5_976+000_bit_100</t>
  </si>
  <si>
    <t>hb_36-5_980+001_bit_7</t>
  </si>
  <si>
    <t>hb_36-5_980+098_bit_6</t>
  </si>
  <si>
    <t>hb_36-5_984+100_bit_1_6</t>
  </si>
  <si>
    <t>hb_36-5_986+000_bit_6</t>
  </si>
  <si>
    <t>hb_36-5_986+003_bit_9</t>
  </si>
  <si>
    <t>hb_36-5_988+001_bit_6</t>
  </si>
  <si>
    <t>hb_36-5_989+003_bit_6</t>
  </si>
  <si>
    <t>hb_36-5_989+099_bit_9</t>
  </si>
  <si>
    <t>hb_36-5_990+098_bit_2</t>
  </si>
  <si>
    <t>hb_36-5_992+000_bit_7</t>
  </si>
  <si>
    <t>hb_36-5_992+091_bit_8</t>
  </si>
  <si>
    <t>hb_36-5_994+099_bit_8</t>
  </si>
  <si>
    <t>hb_36-5_995+099_bit_112</t>
  </si>
  <si>
    <t>hb_36-5_999+003_bit_104</t>
  </si>
  <si>
    <t>NEN-EN-ISO 17892-4:2016</t>
  </si>
  <si>
    <t>Zand, middelgrof 300-420</t>
  </si>
  <si>
    <t>Zand, middelgrof 200-300, siltig</t>
  </si>
  <si>
    <t>Zand, middelgrof 200-300</t>
  </si>
  <si>
    <t>Zand, fijn 150-200, siltig</t>
  </si>
  <si>
    <t>Zand, middelgrof 420-630</t>
  </si>
  <si>
    <t>Zand, fijn 150-200</t>
  </si>
  <si>
    <t>Zand, middelgrof 200-300, kleiig</t>
  </si>
  <si>
    <t>Zand, fijn 105-150, siltig</t>
  </si>
  <si>
    <t>weinig siltlagen</t>
  </si>
  <si>
    <t>bo_36-5_1002+002_kr_9a-C05.pdf</t>
  </si>
  <si>
    <t>bo_36-5_964+006_kr_10-C04.pdf</t>
  </si>
  <si>
    <t>bo_36-5_969+001_kr_3-C01.pdf</t>
  </si>
  <si>
    <t>bo_36-5_969+001_kr_8-C02.pdf</t>
  </si>
  <si>
    <t>bo_36-5_969+001_kr_9a1-C03.pdf</t>
  </si>
  <si>
    <t>bo_36-5_972+100_kr_7-C08.pdf</t>
  </si>
  <si>
    <t>bo_36-5_978+101_kr_3-C07.pdf</t>
  </si>
  <si>
    <t>bo_36-5_978+101_kr_9-C09.pdf</t>
  </si>
  <si>
    <t>bo_36-5_983+001_kr_7-C15.pdf</t>
  </si>
  <si>
    <t>bo_36-5_987+094_bit_4-C12.pdf</t>
  </si>
  <si>
    <t>bo_36-5_990+099_bit_4-C14.pdf</t>
  </si>
  <si>
    <t>bo_36-5_991+042_kr_7-C10.pdf</t>
  </si>
  <si>
    <t>bo_36-5_991+042_kr_9-C11.pdf</t>
  </si>
  <si>
    <t>bo_36-5_994+094_kr_8-C06.pdf</t>
  </si>
  <si>
    <t>bo_36-5_999+001_kr_10-C13.pdf</t>
  </si>
  <si>
    <t>bo_36-5_1002+002_kr_9a-C05.txt</t>
  </si>
  <si>
    <t>bo_36-5_964+006_kr_10-C04.txt</t>
  </si>
  <si>
    <t>bo_36-5_969+001_kr_3-C01.txt</t>
  </si>
  <si>
    <t>bo_36-5_969+001_kr_8-C02.txt</t>
  </si>
  <si>
    <t>bo_36-5_969+001_kr_9a1-C03.txt</t>
  </si>
  <si>
    <t>bo_36-5_972+100_kr_7-C08.txt</t>
  </si>
  <si>
    <t>bo_36-5_978+101_kr_3-C07.txt</t>
  </si>
  <si>
    <t>bo_36-5_978+101_kr_9-C09.txt</t>
  </si>
  <si>
    <t>bo_36-5_983+001_kr_7-C15.txt</t>
  </si>
  <si>
    <t>bo_36-5_987+094_bit_4-C12.txt</t>
  </si>
  <si>
    <t>bo_36-5_990+099_bit_4-C14.txt</t>
  </si>
  <si>
    <t>bo_36-5_991+042_kr_7-C10.txt</t>
  </si>
  <si>
    <t>bo_36-5_991+042_kr_9-C11.txt</t>
  </si>
  <si>
    <t>bo_36-5_994+094_kr_8-C06.txt</t>
  </si>
  <si>
    <t>bo_36-5_999+001_kr_10-C13.txt</t>
  </si>
  <si>
    <t>bo_36-5_1002+002_kr_9a-C05</t>
  </si>
  <si>
    <t>bo_36-5_964+006_kr_10-C04</t>
  </si>
  <si>
    <t>bo_36-5_969+001_kr_3-C01</t>
  </si>
  <si>
    <t>bo_36-5_969+001_kr_8-C02</t>
  </si>
  <si>
    <t>bo_36-5_969+001_kr_9a1-C03</t>
  </si>
  <si>
    <t>bo_36-5_972+100_kr_7-C08</t>
  </si>
  <si>
    <t>bo_36-5_978+101_kr_3-C07</t>
  </si>
  <si>
    <t>bo_36-5_978+101_kr_9-C09</t>
  </si>
  <si>
    <t>bo_36-5_983+001_kr_7-C15</t>
  </si>
  <si>
    <t>bo_36-5_987+094_bit_4-C12</t>
  </si>
  <si>
    <t>bo_36-5_990+099_bit_4-C14</t>
  </si>
  <si>
    <t>bo_36-5_991+042_kr_7-C10</t>
  </si>
  <si>
    <t>bo_36-5_991+042_kr_9-C11</t>
  </si>
  <si>
    <t>bo_36-5_994+094_kr_8-C06</t>
  </si>
  <si>
    <t>bo_36-5_999+001_kr_10-C13</t>
  </si>
  <si>
    <t>Inpijn-Blokpoel ingenieursbureau</t>
  </si>
  <si>
    <t>ASTM D4186M/D4186M-12</t>
  </si>
  <si>
    <t>Klei</t>
  </si>
  <si>
    <t>Veen</t>
  </si>
  <si>
    <t>sterk organisch</t>
  </si>
  <si>
    <t>kleiig</t>
  </si>
  <si>
    <t>zwak zandig</t>
  </si>
  <si>
    <t>sterk zandig</t>
  </si>
  <si>
    <t>bo_36-5_969+001_kr_9a1-DO01.pdf</t>
  </si>
  <si>
    <t>bo_36-5_969+001_kr_9a2-DN01.pdf</t>
  </si>
  <si>
    <t>bo_36-5_972+100_kr_14b-DO03.pdf</t>
  </si>
  <si>
    <t>bo_36-5_983+001_kr_2a-DO04.pdf</t>
  </si>
  <si>
    <t>bo_36-5_983+001_kr_3a-DO05.pdf</t>
  </si>
  <si>
    <t>bo_36-5_983+001_kr_5b-DO06.pdf</t>
  </si>
  <si>
    <t>bo_36-5_987+094_bit_6b-DO02.pdf</t>
  </si>
  <si>
    <t>bo_36-5_969+001_kr_9a1-DO01.txt</t>
  </si>
  <si>
    <t>bo_36-5_969+001_kr_9a2-DN01.txt</t>
  </si>
  <si>
    <t>bo_36-5_972+100_kr_14b-DO03.txt</t>
  </si>
  <si>
    <t>bo_36-5_983+001_kr_2a-DO04.txt</t>
  </si>
  <si>
    <t>bo_36-5_983+001_kr_3a-DO05.txt</t>
  </si>
  <si>
    <t>bo_36-5_983+001_kr_5b-DO06.txt</t>
  </si>
  <si>
    <t>bo_36-5_987+094_bit_6b-DO02.txt</t>
  </si>
  <si>
    <t>Inpijn-Blokpoel ingenieursbureau Son</t>
  </si>
  <si>
    <t>ASTM D6528-17</t>
  </si>
  <si>
    <t>zwak zandig, sterk organisch</t>
  </si>
  <si>
    <t>correctie na Calibratie op Agar Agar</t>
  </si>
  <si>
    <t>Constante hoogte</t>
  </si>
  <si>
    <t>bo_36-5_1002+002_kr_9a-TO05.pdf</t>
  </si>
  <si>
    <t>bo_36-5_964+006_kr_5-TO03.pdf</t>
  </si>
  <si>
    <t>bo_36-5_964+006_kr_10-TO04.pdf</t>
  </si>
  <si>
    <t>bo_36-5_969+001_kr_3-TO01.pdf</t>
  </si>
  <si>
    <t>bo_36-5_969+001_kr_7-TO02.pdf</t>
  </si>
  <si>
    <t>bo_36-5_972+100_kr_13-TO19.pdf</t>
  </si>
  <si>
    <t>bo_36-5_972+100_kr_7-TO08.pdf</t>
  </si>
  <si>
    <t>bo_36-5_978+101_kr_3-TO09.pdf</t>
  </si>
  <si>
    <t>bo_36-5_978+101_kr_9-TO10.pdf</t>
  </si>
  <si>
    <t>bo_36-5_983+001_kr_7-TO21.pdf</t>
  </si>
  <si>
    <t>bo_36-5_987+094_bit_4-TO11.pdf</t>
  </si>
  <si>
    <t>bo_36-5_987+094_bit_5-TO12.pdf</t>
  </si>
  <si>
    <t>bo_36-5_987+094_bit_6a-TO20.pdf</t>
  </si>
  <si>
    <t>bo_36-5_990+099_bit_3-TO17.pdf</t>
  </si>
  <si>
    <t>bo_36-5_990+099_bit_4-TO18.pdf</t>
  </si>
  <si>
    <t>bo_36-5_991+042_kr_6-TO13.pdf</t>
  </si>
  <si>
    <t>bo_36-5_991+042_kr_7-TO14.pdf</t>
  </si>
  <si>
    <t>bo_36-5_991+042_kr_9-TO15.pdf</t>
  </si>
  <si>
    <t>bo_36-5_994+094_kr_1-TO06.pdf</t>
  </si>
  <si>
    <t>bo_36-5_994+094_kr_8-TO07.pdf</t>
  </si>
  <si>
    <t>bo_36-5_999+001_kr_10-TO16.pdf</t>
  </si>
  <si>
    <t>bo_36-5_1002+002_kr_9a-TO05.txt</t>
  </si>
  <si>
    <t>bo_36-5_964+006_kr_5-TO03.txt</t>
  </si>
  <si>
    <t>bo_36-5_964+006_kr_10-TO04.txt</t>
  </si>
  <si>
    <t>bo_36-5_969+001_kr_3-TO01.txt</t>
  </si>
  <si>
    <t>bo_36-5_969+001_kr_7-TO02.txt</t>
  </si>
  <si>
    <t>bo_36-5_972+100_kr_13-TO19.txt</t>
  </si>
  <si>
    <t>bo_36-5_972+100_kr_7-TO08.txt</t>
  </si>
  <si>
    <t>bo_36-5_978+101_kr_3-TO09.txt</t>
  </si>
  <si>
    <t>bo_36-5_978+101_kr_9-TO10.txt</t>
  </si>
  <si>
    <t>bo_36-5_983+001_kr_7-TO21.txt</t>
  </si>
  <si>
    <t>bo_36-5_987+094_bit_4-TO11.txt</t>
  </si>
  <si>
    <t>bo_36-5_987+094_bit_5-TO12.txt</t>
  </si>
  <si>
    <t>bo_36-5_987+094_bit_6a-TO20.txt</t>
  </si>
  <si>
    <t>bo_36-5_990+099_bit_3-TO17.txt</t>
  </si>
  <si>
    <t>bo_36-5_990+099_bit_4-TO18.txt</t>
  </si>
  <si>
    <t>bo_36-5_991+042_kr_6-TO13.txt</t>
  </si>
  <si>
    <t>bo_36-5_991+042_kr_7-TO14.txt</t>
  </si>
  <si>
    <t>bo_36-5_991+042_kr_9-TO15.txt</t>
  </si>
  <si>
    <t>bo_36-5_994+094_kr_1-TO06.txt</t>
  </si>
  <si>
    <t>bo_36-5_994+094_kr_8-TO07.txt</t>
  </si>
  <si>
    <t>bo_36-5_999+001_kr_10-TO16.txt</t>
  </si>
  <si>
    <t>bo_36-5_1002+002_kr_9a-TO05</t>
  </si>
  <si>
    <t>bo_36-5_964+006_kr_5-TO03</t>
  </si>
  <si>
    <t>bo_36-5_964+006_kr_10-TO04</t>
  </si>
  <si>
    <t>bo_36-5_969+001_kr_3-TO01</t>
  </si>
  <si>
    <t>bo_36-5_969+001_kr_7-TO02</t>
  </si>
  <si>
    <t>bo_36-5_972+100_kr_13-TO19</t>
  </si>
  <si>
    <t>bo_36-5_972+100_kr_7-TO08</t>
  </si>
  <si>
    <t>bo_36-5_978+101_kr_3-TO09</t>
  </si>
  <si>
    <t>bo_36-5_978+101_kr_9-TO10</t>
  </si>
  <si>
    <t>bo_36-5_983+001_kr_7-TO21</t>
  </si>
  <si>
    <t>bo_36-5_987+094_bit_4-TO11</t>
  </si>
  <si>
    <t>bo_36-5_987+094_bit_5-TO12</t>
  </si>
  <si>
    <t>bo_36-5_987+094_bit_6a-TO20</t>
  </si>
  <si>
    <t>bo_36-5_990+099_bit_3-TO17</t>
  </si>
  <si>
    <t>bo_36-5_990+099_bit_4-TO18</t>
  </si>
  <si>
    <t>bo_36-5_991+042_kr_6-TO13</t>
  </si>
  <si>
    <t>bo_36-5_991+042_kr_7-TO14</t>
  </si>
  <si>
    <t>bo_36-5_991+042_kr_9-TO15</t>
  </si>
  <si>
    <t>bo_36-5_994+094_kr_1-TO06</t>
  </si>
  <si>
    <t>bo_36-5_994+094_kr_8-TO07</t>
  </si>
  <si>
    <t>bo_36-5_999+001_kr_10-TO16</t>
  </si>
  <si>
    <t>NEN-EN-ISO 17892-9:2018</t>
  </si>
  <si>
    <t>Klei, sterk zandig</t>
  </si>
  <si>
    <t>zwak organisch</t>
  </si>
  <si>
    <t>zwak organsich</t>
  </si>
  <si>
    <t>CaU</t>
  </si>
  <si>
    <t>Volgens NEN-EN-ISO 17892-9:2018</t>
  </si>
  <si>
    <t>Drainagepapier volgens NEN-EN-ISO 17892-9:2018</t>
  </si>
  <si>
    <t>Eerst isotroop vervolgens anisotroop</t>
  </si>
  <si>
    <t>Pore pressure mag niet meer dan 3 kPa oplopen in 30 minuten</t>
  </si>
  <si>
    <t>25% rek of einde slag ram/verplaatsingsopnemer</t>
  </si>
  <si>
    <t>TXT-proef</t>
  </si>
  <si>
    <t>DSS-proef</t>
  </si>
  <si>
    <t>NC</t>
  </si>
  <si>
    <t>OC</t>
  </si>
  <si>
    <t>PVNAAM</t>
  </si>
  <si>
    <t>Klei_zwaar</t>
  </si>
  <si>
    <t>Rekpercentage</t>
  </si>
  <si>
    <t>Eindrek</t>
  </si>
  <si>
    <t>Resultaat_ID</t>
  </si>
  <si>
    <t>a2gem (phi gemiddeld)</t>
  </si>
  <si>
    <t>a1gem =snijpunt y-as (cohesie gemiddeld)</t>
  </si>
  <si>
    <t>a2kar (phi karakteristiek)</t>
  </si>
  <si>
    <t>a1kar =snijpunt y-as (cohesie karakteristiek)</t>
  </si>
  <si>
    <t>partiele materiaalfactor tan phi [-]</t>
  </si>
  <si>
    <t>partiele materiaalfactor cohesie [-]</t>
  </si>
  <si>
    <t>type verzameling: lokaal = 1,0; regionaal = 0,75</t>
  </si>
  <si>
    <t>Phi gemiddeld</t>
  </si>
  <si>
    <t>C Gemiddeld</t>
  </si>
  <si>
    <t>Phi kark</t>
  </si>
  <si>
    <t>C kar</t>
  </si>
  <si>
    <t>phi reken</t>
  </si>
  <si>
    <t>Analyse</t>
  </si>
  <si>
    <t>C_PHI</t>
  </si>
  <si>
    <t>TXT</t>
  </si>
  <si>
    <t>TYPE_proef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</si>
</sst>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F230"/>
  <sheetViews>
    <sheetView topLeftCell="PB1" workbookViewId="0">
      <selection activeCell="C30" sqref="C30"/>
    </sheetView>
  </sheetViews>
  <sheetFormatPr defaultRowHeight="14.4" x14ac:dyDescent="0.3"/>
  <sheetData>
    <row r="1" spans="1:47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</row>
    <row r="2" spans="1:474" x14ac:dyDescent="0.3">
      <c r="B2" t="b">
        <v>1</v>
      </c>
      <c r="F2" t="b">
        <v>0</v>
      </c>
      <c r="G2" t="b">
        <v>0</v>
      </c>
      <c r="H2" t="b">
        <v>0</v>
      </c>
      <c r="I2" t="b">
        <v>0</v>
      </c>
      <c r="K2" t="s">
        <v>474</v>
      </c>
      <c r="L2" t="s">
        <v>475</v>
      </c>
      <c r="O2" t="s">
        <v>476</v>
      </c>
      <c r="U2">
        <v>133397.91</v>
      </c>
      <c r="V2">
        <v>414057.58</v>
      </c>
      <c r="W2">
        <v>6.04</v>
      </c>
      <c r="X2" t="s">
        <v>477</v>
      </c>
      <c r="Y2" t="s">
        <v>550</v>
      </c>
      <c r="Z2" s="2">
        <v>45167</v>
      </c>
      <c r="AA2" t="s">
        <v>554</v>
      </c>
      <c r="AB2" t="s">
        <v>627</v>
      </c>
      <c r="AC2" t="s">
        <v>700</v>
      </c>
      <c r="AD2" t="s">
        <v>701</v>
      </c>
      <c r="AE2" t="s">
        <v>711</v>
      </c>
      <c r="AF2">
        <v>-0.26</v>
      </c>
      <c r="AH2" t="s">
        <v>712</v>
      </c>
      <c r="AI2" t="s">
        <v>768</v>
      </c>
      <c r="AJ2" t="s">
        <v>774</v>
      </c>
      <c r="AK2">
        <v>5.54</v>
      </c>
      <c r="AL2">
        <v>5.14</v>
      </c>
      <c r="AM2">
        <v>0.5</v>
      </c>
      <c r="AN2">
        <v>0.9</v>
      </c>
      <c r="AP2" t="s">
        <v>776</v>
      </c>
      <c r="AQ2" t="s">
        <v>788</v>
      </c>
      <c r="AR2" t="s">
        <v>789</v>
      </c>
      <c r="AS2" t="s">
        <v>700</v>
      </c>
      <c r="AT2" t="s">
        <v>993</v>
      </c>
      <c r="AU2" s="2">
        <v>45279</v>
      </c>
      <c r="AV2" t="s">
        <v>994</v>
      </c>
      <c r="AX2">
        <v>5.34</v>
      </c>
      <c r="QZ2" t="s">
        <v>1368</v>
      </c>
      <c r="RA2" t="s">
        <v>1368</v>
      </c>
    </row>
    <row r="3" spans="1:474" x14ac:dyDescent="0.3">
      <c r="B3" t="b">
        <v>1</v>
      </c>
      <c r="F3" t="b">
        <v>0</v>
      </c>
      <c r="G3" t="b">
        <v>0</v>
      </c>
      <c r="H3" t="b">
        <v>0</v>
      </c>
      <c r="I3" t="b">
        <v>0</v>
      </c>
      <c r="K3" t="s">
        <v>474</v>
      </c>
      <c r="L3" t="s">
        <v>475</v>
      </c>
      <c r="O3" t="s">
        <v>476</v>
      </c>
      <c r="U3">
        <v>133397.91</v>
      </c>
      <c r="V3">
        <v>414057.58</v>
      </c>
      <c r="W3">
        <v>6.04</v>
      </c>
      <c r="X3" t="s">
        <v>477</v>
      </c>
      <c r="Y3" t="s">
        <v>550</v>
      </c>
      <c r="Z3" s="2">
        <v>45167</v>
      </c>
      <c r="AA3" t="s">
        <v>554</v>
      </c>
      <c r="AB3" t="s">
        <v>627</v>
      </c>
      <c r="AC3" t="s">
        <v>700</v>
      </c>
      <c r="AD3" t="s">
        <v>701</v>
      </c>
      <c r="AE3" t="s">
        <v>711</v>
      </c>
      <c r="AF3">
        <v>-0.26</v>
      </c>
      <c r="AH3" t="s">
        <v>713</v>
      </c>
      <c r="AI3" t="s">
        <v>768</v>
      </c>
      <c r="AJ3" t="s">
        <v>774</v>
      </c>
      <c r="AK3">
        <v>4.54</v>
      </c>
      <c r="AL3">
        <v>4.1399999999999997</v>
      </c>
      <c r="AM3">
        <v>1.5</v>
      </c>
      <c r="AN3">
        <v>1.9</v>
      </c>
      <c r="AP3" t="s">
        <v>776</v>
      </c>
      <c r="AQ3" t="s">
        <v>788</v>
      </c>
      <c r="AR3" t="s">
        <v>790</v>
      </c>
      <c r="AS3" t="s">
        <v>700</v>
      </c>
      <c r="AT3" t="s">
        <v>993</v>
      </c>
      <c r="AU3" s="2">
        <v>45279</v>
      </c>
      <c r="AV3" t="s">
        <v>995</v>
      </c>
      <c r="AX3">
        <v>4.28</v>
      </c>
      <c r="AY3">
        <v>18.2</v>
      </c>
      <c r="AZ3">
        <v>14.7</v>
      </c>
      <c r="BA3">
        <v>24.2</v>
      </c>
      <c r="QZ3" t="s">
        <v>1368</v>
      </c>
      <c r="RA3" t="s">
        <v>1368</v>
      </c>
    </row>
    <row r="4" spans="1:474" x14ac:dyDescent="0.3">
      <c r="B4" t="b">
        <v>1</v>
      </c>
      <c r="F4" t="b">
        <v>0</v>
      </c>
      <c r="G4" t="b">
        <v>0</v>
      </c>
      <c r="H4" t="b">
        <v>0</v>
      </c>
      <c r="I4" t="b">
        <v>0</v>
      </c>
      <c r="K4" t="s">
        <v>474</v>
      </c>
      <c r="L4" t="s">
        <v>475</v>
      </c>
      <c r="O4" t="s">
        <v>476</v>
      </c>
      <c r="U4">
        <v>133397.91</v>
      </c>
      <c r="V4">
        <v>414057.58</v>
      </c>
      <c r="W4">
        <v>6.04</v>
      </c>
      <c r="X4" t="s">
        <v>477</v>
      </c>
      <c r="Y4" t="s">
        <v>550</v>
      </c>
      <c r="Z4" s="2">
        <v>45167</v>
      </c>
      <c r="AA4" t="s">
        <v>554</v>
      </c>
      <c r="AB4" t="s">
        <v>627</v>
      </c>
      <c r="AC4" t="s">
        <v>700</v>
      </c>
      <c r="AD4" t="s">
        <v>701</v>
      </c>
      <c r="AE4" t="s">
        <v>711</v>
      </c>
      <c r="AF4">
        <v>-0.26</v>
      </c>
      <c r="AH4" t="s">
        <v>714</v>
      </c>
      <c r="AI4" t="s">
        <v>768</v>
      </c>
      <c r="AJ4" t="s">
        <v>774</v>
      </c>
      <c r="AK4">
        <v>3.54</v>
      </c>
      <c r="AL4">
        <v>3.14</v>
      </c>
      <c r="AM4">
        <v>2.5</v>
      </c>
      <c r="AN4">
        <v>2.9</v>
      </c>
      <c r="AP4" t="s">
        <v>776</v>
      </c>
      <c r="AQ4" t="s">
        <v>788</v>
      </c>
      <c r="AR4" t="s">
        <v>791</v>
      </c>
      <c r="AS4" t="s">
        <v>700</v>
      </c>
      <c r="AT4" t="s">
        <v>993</v>
      </c>
      <c r="AU4" s="2">
        <v>45279</v>
      </c>
      <c r="AV4" t="s">
        <v>996</v>
      </c>
      <c r="AX4">
        <v>3.35</v>
      </c>
      <c r="AY4">
        <v>19.100000000000001</v>
      </c>
      <c r="AZ4">
        <v>15.2</v>
      </c>
      <c r="BA4">
        <v>25.5</v>
      </c>
      <c r="QZ4" t="s">
        <v>1368</v>
      </c>
      <c r="RA4" t="s">
        <v>1368</v>
      </c>
    </row>
    <row r="5" spans="1:474" x14ac:dyDescent="0.3">
      <c r="B5" t="b">
        <v>1</v>
      </c>
      <c r="F5" t="b">
        <v>0</v>
      </c>
      <c r="G5" t="b">
        <v>0</v>
      </c>
      <c r="H5" t="b">
        <v>0</v>
      </c>
      <c r="I5" t="b">
        <v>0</v>
      </c>
      <c r="K5" t="s">
        <v>474</v>
      </c>
      <c r="L5" t="s">
        <v>475</v>
      </c>
      <c r="O5" t="s">
        <v>476</v>
      </c>
      <c r="U5">
        <v>133397.91</v>
      </c>
      <c r="V5">
        <v>414057.58</v>
      </c>
      <c r="W5">
        <v>6.04</v>
      </c>
      <c r="X5" t="s">
        <v>477</v>
      </c>
      <c r="Y5" t="s">
        <v>550</v>
      </c>
      <c r="Z5" s="2">
        <v>45167</v>
      </c>
      <c r="AA5" t="s">
        <v>554</v>
      </c>
      <c r="AB5" t="s">
        <v>627</v>
      </c>
      <c r="AC5" t="s">
        <v>700</v>
      </c>
      <c r="AD5" t="s">
        <v>701</v>
      </c>
      <c r="AE5" t="s">
        <v>711</v>
      </c>
      <c r="AF5">
        <v>-0.26</v>
      </c>
      <c r="AH5" t="s">
        <v>715</v>
      </c>
      <c r="AI5" t="s">
        <v>768</v>
      </c>
      <c r="AJ5" t="s">
        <v>774</v>
      </c>
      <c r="AK5">
        <v>2.54</v>
      </c>
      <c r="AL5">
        <v>2.29</v>
      </c>
      <c r="AM5">
        <v>3.5</v>
      </c>
      <c r="AN5">
        <v>3.75</v>
      </c>
      <c r="AP5" t="s">
        <v>776</v>
      </c>
      <c r="AQ5" t="s">
        <v>788</v>
      </c>
      <c r="AR5" t="s">
        <v>792</v>
      </c>
      <c r="AS5" t="s">
        <v>700</v>
      </c>
      <c r="AT5" t="s">
        <v>993</v>
      </c>
      <c r="AU5" s="2">
        <v>45279</v>
      </c>
      <c r="AV5" t="s">
        <v>997</v>
      </c>
      <c r="AX5">
        <v>2.41</v>
      </c>
      <c r="AY5">
        <v>18</v>
      </c>
      <c r="AZ5">
        <v>14.6</v>
      </c>
      <c r="BA5">
        <v>23.4</v>
      </c>
      <c r="QZ5" t="s">
        <v>1368</v>
      </c>
      <c r="RA5" t="s">
        <v>1368</v>
      </c>
    </row>
    <row r="6" spans="1:474" x14ac:dyDescent="0.3">
      <c r="B6" t="b">
        <v>1</v>
      </c>
      <c r="F6" t="b">
        <v>0</v>
      </c>
      <c r="G6" t="b">
        <v>0</v>
      </c>
      <c r="H6" t="b">
        <v>0</v>
      </c>
      <c r="I6" t="b">
        <v>0</v>
      </c>
      <c r="K6" t="s">
        <v>474</v>
      </c>
      <c r="L6" t="s">
        <v>475</v>
      </c>
      <c r="O6" t="s">
        <v>476</v>
      </c>
      <c r="U6">
        <v>133397.91</v>
      </c>
      <c r="V6">
        <v>414057.58</v>
      </c>
      <c r="W6">
        <v>6.04</v>
      </c>
      <c r="X6" t="s">
        <v>477</v>
      </c>
      <c r="Y6" t="s">
        <v>550</v>
      </c>
      <c r="Z6" s="2">
        <v>45167</v>
      </c>
      <c r="AA6" t="s">
        <v>554</v>
      </c>
      <c r="AB6" t="s">
        <v>627</v>
      </c>
      <c r="AC6" t="s">
        <v>700</v>
      </c>
      <c r="AD6" t="s">
        <v>701</v>
      </c>
      <c r="AE6" t="s">
        <v>711</v>
      </c>
      <c r="AF6">
        <v>-0.26</v>
      </c>
      <c r="AH6" t="s">
        <v>716</v>
      </c>
      <c r="AI6" t="s">
        <v>768</v>
      </c>
      <c r="AJ6" t="s">
        <v>774</v>
      </c>
      <c r="AK6">
        <v>2.29</v>
      </c>
      <c r="AL6">
        <v>2.14</v>
      </c>
      <c r="AM6">
        <v>3.75</v>
      </c>
      <c r="AN6">
        <v>3.9</v>
      </c>
      <c r="AP6" t="s">
        <v>776</v>
      </c>
      <c r="AQ6" t="s">
        <v>788</v>
      </c>
      <c r="AR6" t="s">
        <v>793</v>
      </c>
      <c r="AS6" t="s">
        <v>700</v>
      </c>
      <c r="AT6" t="s">
        <v>993</v>
      </c>
      <c r="AU6" s="2">
        <v>45279</v>
      </c>
      <c r="AV6" t="s">
        <v>998</v>
      </c>
      <c r="AX6">
        <v>2.2200000000000002</v>
      </c>
      <c r="QZ6" t="s">
        <v>1368</v>
      </c>
      <c r="RA6" t="s">
        <v>1368</v>
      </c>
    </row>
    <row r="7" spans="1:474" x14ac:dyDescent="0.3">
      <c r="B7" t="b">
        <v>1</v>
      </c>
      <c r="F7" t="b">
        <v>0</v>
      </c>
      <c r="G7" t="b">
        <v>0</v>
      </c>
      <c r="H7" t="b">
        <v>0</v>
      </c>
      <c r="I7" t="b">
        <v>0</v>
      </c>
      <c r="K7" t="s">
        <v>474</v>
      </c>
      <c r="L7" t="s">
        <v>475</v>
      </c>
      <c r="O7" t="s">
        <v>476</v>
      </c>
      <c r="U7">
        <v>133397.91</v>
      </c>
      <c r="V7">
        <v>414057.58</v>
      </c>
      <c r="W7">
        <v>6.04</v>
      </c>
      <c r="X7" t="s">
        <v>477</v>
      </c>
      <c r="Y7" t="s">
        <v>550</v>
      </c>
      <c r="Z7" s="2">
        <v>45167</v>
      </c>
      <c r="AA7" t="s">
        <v>554</v>
      </c>
      <c r="AB7" t="s">
        <v>627</v>
      </c>
      <c r="AC7" t="s">
        <v>700</v>
      </c>
      <c r="AD7" t="s">
        <v>701</v>
      </c>
      <c r="AE7" t="s">
        <v>711</v>
      </c>
      <c r="AF7">
        <v>-0.26</v>
      </c>
      <c r="AH7" t="s">
        <v>717</v>
      </c>
      <c r="AI7" t="s">
        <v>768</v>
      </c>
      <c r="AJ7" t="s">
        <v>774</v>
      </c>
      <c r="AK7">
        <v>0.54</v>
      </c>
      <c r="AL7">
        <v>0.14000000000000001</v>
      </c>
      <c r="AM7">
        <v>5.5</v>
      </c>
      <c r="AN7">
        <v>5.9</v>
      </c>
      <c r="AP7" t="s">
        <v>776</v>
      </c>
      <c r="AQ7" t="s">
        <v>788</v>
      </c>
      <c r="AR7" t="s">
        <v>794</v>
      </c>
      <c r="AS7" t="s">
        <v>700</v>
      </c>
      <c r="AT7" t="s">
        <v>993</v>
      </c>
      <c r="AU7" s="2">
        <v>45279</v>
      </c>
      <c r="AV7" t="s">
        <v>999</v>
      </c>
      <c r="AX7">
        <v>0.34</v>
      </c>
      <c r="QZ7" t="s">
        <v>1368</v>
      </c>
      <c r="RA7" t="s">
        <v>1368</v>
      </c>
    </row>
    <row r="8" spans="1:474" x14ac:dyDescent="0.3">
      <c r="B8" t="b">
        <v>1</v>
      </c>
      <c r="F8" t="b">
        <v>0</v>
      </c>
      <c r="G8" t="b">
        <v>0</v>
      </c>
      <c r="H8" t="b">
        <v>0</v>
      </c>
      <c r="I8" t="b">
        <v>0</v>
      </c>
      <c r="K8" t="s">
        <v>474</v>
      </c>
      <c r="L8" t="s">
        <v>475</v>
      </c>
      <c r="O8" t="s">
        <v>476</v>
      </c>
      <c r="U8">
        <v>133397.91</v>
      </c>
      <c r="V8">
        <v>414057.58</v>
      </c>
      <c r="W8">
        <v>6.04</v>
      </c>
      <c r="X8" t="s">
        <v>477</v>
      </c>
      <c r="Y8" t="s">
        <v>550</v>
      </c>
      <c r="Z8" s="2">
        <v>45167</v>
      </c>
      <c r="AA8" t="s">
        <v>554</v>
      </c>
      <c r="AB8" t="s">
        <v>627</v>
      </c>
      <c r="AC8" t="s">
        <v>700</v>
      </c>
      <c r="AD8" t="s">
        <v>701</v>
      </c>
      <c r="AE8" t="s">
        <v>711</v>
      </c>
      <c r="AF8">
        <v>-0.26</v>
      </c>
      <c r="AH8" t="s">
        <v>718</v>
      </c>
      <c r="AI8" t="s">
        <v>768</v>
      </c>
      <c r="AJ8" t="s">
        <v>774</v>
      </c>
      <c r="AK8">
        <v>0.04</v>
      </c>
      <c r="AL8">
        <v>-0.36</v>
      </c>
      <c r="AM8">
        <v>6</v>
      </c>
      <c r="AN8">
        <v>6.4</v>
      </c>
      <c r="AP8" t="s">
        <v>776</v>
      </c>
      <c r="AQ8" t="s">
        <v>788</v>
      </c>
      <c r="AR8" t="s">
        <v>795</v>
      </c>
      <c r="AS8" t="s">
        <v>700</v>
      </c>
      <c r="AT8" t="s">
        <v>993</v>
      </c>
      <c r="AU8" s="2">
        <v>45279</v>
      </c>
      <c r="AV8" t="s">
        <v>1000</v>
      </c>
      <c r="AX8">
        <v>-0.16</v>
      </c>
      <c r="QZ8" t="s">
        <v>1368</v>
      </c>
      <c r="RA8" t="s">
        <v>1368</v>
      </c>
    </row>
    <row r="9" spans="1:474" x14ac:dyDescent="0.3">
      <c r="B9" t="b">
        <v>1</v>
      </c>
      <c r="F9" t="b">
        <v>1</v>
      </c>
      <c r="G9" t="b">
        <v>0</v>
      </c>
      <c r="H9" t="b">
        <v>0</v>
      </c>
      <c r="I9" t="b">
        <v>1</v>
      </c>
      <c r="K9" t="s">
        <v>474</v>
      </c>
      <c r="L9" t="s">
        <v>475</v>
      </c>
      <c r="O9" t="s">
        <v>476</v>
      </c>
      <c r="U9">
        <v>133397.91</v>
      </c>
      <c r="V9">
        <v>414057.58</v>
      </c>
      <c r="W9">
        <v>6.04</v>
      </c>
      <c r="X9" t="s">
        <v>477</v>
      </c>
      <c r="Y9" t="s">
        <v>550</v>
      </c>
      <c r="Z9" s="2">
        <v>45167</v>
      </c>
      <c r="AA9" t="s">
        <v>554</v>
      </c>
      <c r="AB9" t="s">
        <v>627</v>
      </c>
      <c r="AC9" t="s">
        <v>700</v>
      </c>
      <c r="AD9" t="s">
        <v>701</v>
      </c>
      <c r="AE9" t="s">
        <v>711</v>
      </c>
      <c r="AF9">
        <v>-0.26</v>
      </c>
      <c r="AH9" t="s">
        <v>719</v>
      </c>
      <c r="AI9" t="s">
        <v>768</v>
      </c>
      <c r="AJ9" t="s">
        <v>774</v>
      </c>
      <c r="AK9">
        <v>-0.46</v>
      </c>
      <c r="AL9">
        <v>-0.76</v>
      </c>
      <c r="AM9">
        <v>6.5</v>
      </c>
      <c r="AN9">
        <v>6.8</v>
      </c>
      <c r="AP9" t="s">
        <v>776</v>
      </c>
      <c r="AQ9" t="s">
        <v>788</v>
      </c>
      <c r="AR9" t="s">
        <v>796</v>
      </c>
      <c r="AS9" t="s">
        <v>700</v>
      </c>
      <c r="AT9" t="s">
        <v>993</v>
      </c>
      <c r="AU9" s="2">
        <v>45279</v>
      </c>
      <c r="AV9" t="s">
        <v>1001</v>
      </c>
      <c r="AX9">
        <v>-0.51</v>
      </c>
      <c r="AY9">
        <v>17</v>
      </c>
      <c r="AZ9">
        <v>11.7</v>
      </c>
      <c r="BA9">
        <v>45.7</v>
      </c>
      <c r="DZ9" t="s">
        <v>1221</v>
      </c>
      <c r="EA9" t="s">
        <v>1236</v>
      </c>
      <c r="EB9" t="s">
        <v>1251</v>
      </c>
      <c r="EC9" t="s">
        <v>1266</v>
      </c>
      <c r="ED9" t="s">
        <v>1267</v>
      </c>
      <c r="EE9" s="2">
        <v>45183</v>
      </c>
      <c r="EF9" t="s">
        <v>1268</v>
      </c>
      <c r="EG9" t="s">
        <v>1270</v>
      </c>
      <c r="EH9">
        <v>-0.48</v>
      </c>
      <c r="EI9">
        <v>122.9</v>
      </c>
      <c r="EJ9">
        <v>14.06</v>
      </c>
      <c r="EK9">
        <v>7</v>
      </c>
      <c r="EL9">
        <v>100.9</v>
      </c>
      <c r="EM9">
        <v>55.57</v>
      </c>
      <c r="EN9">
        <v>102.1</v>
      </c>
      <c r="EO9">
        <v>21.7</v>
      </c>
      <c r="EP9">
        <v>19.8</v>
      </c>
      <c r="EQ9">
        <v>65.44</v>
      </c>
      <c r="ER9">
        <v>18.8</v>
      </c>
      <c r="ES9">
        <v>18.46</v>
      </c>
      <c r="ET9">
        <v>10.66</v>
      </c>
      <c r="EU9">
        <v>0.5</v>
      </c>
      <c r="EV9">
        <v>-0.2</v>
      </c>
      <c r="EW9">
        <v>16</v>
      </c>
      <c r="EX9">
        <v>726.8</v>
      </c>
      <c r="EY9">
        <v>549</v>
      </c>
      <c r="EZ9">
        <v>436.9</v>
      </c>
      <c r="FA9">
        <v>244.5</v>
      </c>
      <c r="FB9">
        <v>1227</v>
      </c>
      <c r="FC9">
        <v>1.98</v>
      </c>
      <c r="FD9">
        <v>157.6</v>
      </c>
      <c r="FE9">
        <v>19.920000000000002</v>
      </c>
      <c r="FF9">
        <v>865.5</v>
      </c>
      <c r="FG9">
        <v>1.2699999999999999E-2</v>
      </c>
      <c r="FH9">
        <v>0.186</v>
      </c>
      <c r="FI9">
        <v>1.2E-2</v>
      </c>
      <c r="NG9" t="s">
        <v>1293</v>
      </c>
      <c r="NH9" t="s">
        <v>1314</v>
      </c>
      <c r="NI9" t="s">
        <v>1335</v>
      </c>
      <c r="NJ9" t="s">
        <v>1266</v>
      </c>
      <c r="NK9" t="s">
        <v>1356</v>
      </c>
      <c r="NL9" s="2">
        <v>45198</v>
      </c>
      <c r="NM9" t="s">
        <v>1357</v>
      </c>
      <c r="NO9">
        <v>-0.51</v>
      </c>
      <c r="NP9">
        <v>122.9</v>
      </c>
      <c r="NQ9">
        <v>16.989999999999998</v>
      </c>
      <c r="NR9">
        <v>11.66</v>
      </c>
      <c r="NS9">
        <v>44.32</v>
      </c>
      <c r="NT9">
        <v>45.69</v>
      </c>
      <c r="NU9">
        <v>108.83</v>
      </c>
      <c r="NV9">
        <v>1</v>
      </c>
      <c r="NW9">
        <v>2373</v>
      </c>
      <c r="NX9">
        <v>21.3</v>
      </c>
      <c r="NY9">
        <v>21.3</v>
      </c>
      <c r="NZ9">
        <v>50</v>
      </c>
      <c r="OA9">
        <v>100</v>
      </c>
      <c r="OB9" t="s">
        <v>1360</v>
      </c>
      <c r="OC9" t="s">
        <v>1361</v>
      </c>
      <c r="OD9" t="s">
        <v>1362</v>
      </c>
      <c r="OE9">
        <v>299</v>
      </c>
      <c r="OF9" t="s">
        <v>1363</v>
      </c>
      <c r="OG9">
        <v>0.62</v>
      </c>
      <c r="OH9" t="s">
        <v>1364</v>
      </c>
      <c r="OI9">
        <v>76.88</v>
      </c>
      <c r="OJ9">
        <v>0.88</v>
      </c>
      <c r="OK9">
        <v>98.66</v>
      </c>
      <c r="OL9">
        <v>23.77</v>
      </c>
      <c r="OM9">
        <v>98.66</v>
      </c>
      <c r="ON9">
        <v>23.77</v>
      </c>
      <c r="OO9">
        <v>1</v>
      </c>
      <c r="OP9">
        <v>3.27</v>
      </c>
      <c r="OQ9">
        <v>9.14</v>
      </c>
      <c r="OR9" t="s">
        <v>1365</v>
      </c>
      <c r="OS9">
        <v>0.93</v>
      </c>
      <c r="OT9">
        <v>96.77</v>
      </c>
      <c r="OU9">
        <v>55.08</v>
      </c>
      <c r="OV9">
        <v>91.11</v>
      </c>
      <c r="OW9">
        <v>56.32</v>
      </c>
      <c r="OX9">
        <v>82.85</v>
      </c>
      <c r="OY9">
        <v>52.56</v>
      </c>
      <c r="OZ9">
        <v>91.25</v>
      </c>
      <c r="PA9">
        <v>56.35</v>
      </c>
      <c r="PB9">
        <v>4.92</v>
      </c>
      <c r="PC9">
        <v>75.73</v>
      </c>
      <c r="PD9">
        <v>47.34</v>
      </c>
      <c r="PE9">
        <v>25</v>
      </c>
      <c r="PF9">
        <v>27.77</v>
      </c>
      <c r="PG9">
        <v>0.12</v>
      </c>
      <c r="PH9">
        <v>0.36</v>
      </c>
      <c r="QS9" t="s">
        <v>1366</v>
      </c>
      <c r="QV9">
        <v>122.9</v>
      </c>
      <c r="QW9">
        <v>157.6</v>
      </c>
      <c r="QX9">
        <v>122.43</v>
      </c>
      <c r="QZ9" t="s">
        <v>1369</v>
      </c>
      <c r="RA9" t="s">
        <v>1368</v>
      </c>
      <c r="RD9">
        <v>157.6</v>
      </c>
      <c r="RE9">
        <v>1.2872661929265701</v>
      </c>
    </row>
    <row r="10" spans="1:474" x14ac:dyDescent="0.3">
      <c r="B10" t="b">
        <v>1</v>
      </c>
      <c r="F10" t="b">
        <v>0</v>
      </c>
      <c r="G10" t="b">
        <v>0</v>
      </c>
      <c r="H10" t="b">
        <v>0</v>
      </c>
      <c r="I10" t="b">
        <v>0</v>
      </c>
      <c r="K10" t="s">
        <v>474</v>
      </c>
      <c r="L10" t="s">
        <v>475</v>
      </c>
      <c r="O10" t="s">
        <v>476</v>
      </c>
      <c r="U10">
        <v>133397.91</v>
      </c>
      <c r="V10">
        <v>414057.58</v>
      </c>
      <c r="W10">
        <v>6.04</v>
      </c>
      <c r="X10" t="s">
        <v>477</v>
      </c>
      <c r="Y10" t="s">
        <v>550</v>
      </c>
      <c r="Z10" s="2">
        <v>45167</v>
      </c>
      <c r="AA10" t="s">
        <v>554</v>
      </c>
      <c r="AB10" t="s">
        <v>627</v>
      </c>
      <c r="AC10" t="s">
        <v>700</v>
      </c>
      <c r="AD10" t="s">
        <v>701</v>
      </c>
      <c r="AE10" t="s">
        <v>711</v>
      </c>
      <c r="AF10">
        <v>-0.26</v>
      </c>
      <c r="AH10" t="s">
        <v>720</v>
      </c>
      <c r="AI10" t="s">
        <v>768</v>
      </c>
      <c r="AJ10" t="s">
        <v>774</v>
      </c>
      <c r="AK10">
        <v>-0.76</v>
      </c>
      <c r="AL10">
        <v>-0.86</v>
      </c>
      <c r="AM10">
        <v>6.8</v>
      </c>
      <c r="AN10">
        <v>6.9</v>
      </c>
      <c r="AP10" t="s">
        <v>776</v>
      </c>
      <c r="AQ10" t="s">
        <v>788</v>
      </c>
      <c r="AR10" t="s">
        <v>797</v>
      </c>
      <c r="AS10" t="s">
        <v>700</v>
      </c>
      <c r="AT10" t="s">
        <v>993</v>
      </c>
      <c r="AU10" s="2">
        <v>45279</v>
      </c>
      <c r="AV10" t="s">
        <v>1002</v>
      </c>
      <c r="AX10">
        <v>-0.79</v>
      </c>
      <c r="AY10">
        <v>19.899999999999999</v>
      </c>
      <c r="AZ10">
        <v>16.2</v>
      </c>
      <c r="BA10">
        <v>22.6</v>
      </c>
      <c r="QZ10" t="s">
        <v>1368</v>
      </c>
      <c r="RA10" t="s">
        <v>1368</v>
      </c>
    </row>
    <row r="11" spans="1:474" x14ac:dyDescent="0.3">
      <c r="B11" t="b">
        <v>1</v>
      </c>
      <c r="F11" t="b">
        <v>0</v>
      </c>
      <c r="G11" t="b">
        <v>0</v>
      </c>
      <c r="H11" t="b">
        <v>0</v>
      </c>
      <c r="I11" t="b">
        <v>0</v>
      </c>
      <c r="K11" t="s">
        <v>474</v>
      </c>
      <c r="L11" t="s">
        <v>475</v>
      </c>
      <c r="O11" t="s">
        <v>476</v>
      </c>
      <c r="U11">
        <v>136410</v>
      </c>
      <c r="V11">
        <v>416228.74</v>
      </c>
      <c r="W11">
        <v>8.56</v>
      </c>
      <c r="X11" t="s">
        <v>478</v>
      </c>
      <c r="Y11" t="s">
        <v>550</v>
      </c>
      <c r="Z11" s="2">
        <v>45162</v>
      </c>
      <c r="AA11" t="s">
        <v>555</v>
      </c>
      <c r="AB11" t="s">
        <v>628</v>
      </c>
      <c r="AC11" t="s">
        <v>700</v>
      </c>
      <c r="AD11" t="s">
        <v>702</v>
      </c>
      <c r="AE11" t="s">
        <v>711</v>
      </c>
      <c r="AF11">
        <v>1.06</v>
      </c>
      <c r="AH11" t="s">
        <v>712</v>
      </c>
      <c r="AI11" t="s">
        <v>768</v>
      </c>
      <c r="AJ11" t="s">
        <v>774</v>
      </c>
      <c r="AK11">
        <v>7.76</v>
      </c>
      <c r="AL11">
        <v>7.36</v>
      </c>
      <c r="AM11">
        <v>0.8</v>
      </c>
      <c r="AN11">
        <v>1.2</v>
      </c>
      <c r="AP11" t="s">
        <v>777</v>
      </c>
      <c r="AQ11" t="s">
        <v>788</v>
      </c>
      <c r="AR11" t="s">
        <v>798</v>
      </c>
      <c r="AS11" t="s">
        <v>700</v>
      </c>
      <c r="AT11" t="s">
        <v>993</v>
      </c>
      <c r="AU11" s="2">
        <v>45279</v>
      </c>
      <c r="AV11" t="s">
        <v>1003</v>
      </c>
      <c r="AX11">
        <v>7.69</v>
      </c>
      <c r="AY11">
        <v>18.3</v>
      </c>
      <c r="AZ11">
        <v>14.5</v>
      </c>
      <c r="BA11">
        <v>26</v>
      </c>
      <c r="QZ11" t="s">
        <v>1368</v>
      </c>
      <c r="RA11" t="s">
        <v>1368</v>
      </c>
    </row>
    <row r="12" spans="1:474" x14ac:dyDescent="0.3">
      <c r="B12" t="b">
        <v>1</v>
      </c>
      <c r="F12" t="b">
        <v>0</v>
      </c>
      <c r="G12" t="b">
        <v>0</v>
      </c>
      <c r="H12" t="b">
        <v>0</v>
      </c>
      <c r="I12" t="b">
        <v>0</v>
      </c>
      <c r="K12" t="s">
        <v>474</v>
      </c>
      <c r="L12" t="s">
        <v>475</v>
      </c>
      <c r="O12" t="s">
        <v>476</v>
      </c>
      <c r="U12">
        <v>136410</v>
      </c>
      <c r="V12">
        <v>416228.74</v>
      </c>
      <c r="W12">
        <v>8.56</v>
      </c>
      <c r="X12" t="s">
        <v>478</v>
      </c>
      <c r="Y12" t="s">
        <v>550</v>
      </c>
      <c r="Z12" s="2">
        <v>45162</v>
      </c>
      <c r="AA12" t="s">
        <v>555</v>
      </c>
      <c r="AB12" t="s">
        <v>628</v>
      </c>
      <c r="AC12" t="s">
        <v>700</v>
      </c>
      <c r="AD12" t="s">
        <v>702</v>
      </c>
      <c r="AE12" t="s">
        <v>711</v>
      </c>
      <c r="AF12">
        <v>1.06</v>
      </c>
      <c r="AH12" t="s">
        <v>721</v>
      </c>
      <c r="AI12" t="s">
        <v>768</v>
      </c>
      <c r="AJ12" t="s">
        <v>774</v>
      </c>
      <c r="AK12">
        <v>6.76</v>
      </c>
      <c r="AL12">
        <v>6.66</v>
      </c>
      <c r="AM12">
        <v>1.8</v>
      </c>
      <c r="AN12">
        <v>1.9</v>
      </c>
      <c r="AP12" t="s">
        <v>777</v>
      </c>
      <c r="AQ12" t="s">
        <v>788</v>
      </c>
      <c r="AR12" t="s">
        <v>799</v>
      </c>
      <c r="AS12" t="s">
        <v>700</v>
      </c>
      <c r="AT12" t="s">
        <v>993</v>
      </c>
      <c r="AU12" s="2">
        <v>45279</v>
      </c>
      <c r="AV12" t="s">
        <v>1004</v>
      </c>
      <c r="AX12">
        <v>6.73</v>
      </c>
      <c r="AY12">
        <v>19.8</v>
      </c>
      <c r="AZ12">
        <v>16.100000000000001</v>
      </c>
      <c r="BA12">
        <v>22.3</v>
      </c>
      <c r="QZ12" t="s">
        <v>1368</v>
      </c>
      <c r="RA12" t="s">
        <v>1368</v>
      </c>
    </row>
    <row r="13" spans="1:474" x14ac:dyDescent="0.3">
      <c r="B13" t="b">
        <v>1</v>
      </c>
      <c r="F13" t="b">
        <v>0</v>
      </c>
      <c r="G13" t="b">
        <v>0</v>
      </c>
      <c r="H13" t="b">
        <v>0</v>
      </c>
      <c r="I13" t="b">
        <v>0</v>
      </c>
      <c r="K13" t="s">
        <v>474</v>
      </c>
      <c r="L13" t="s">
        <v>475</v>
      </c>
      <c r="O13" t="s">
        <v>476</v>
      </c>
      <c r="U13">
        <v>136410</v>
      </c>
      <c r="V13">
        <v>416228.74</v>
      </c>
      <c r="W13">
        <v>8.56</v>
      </c>
      <c r="X13" t="s">
        <v>478</v>
      </c>
      <c r="Y13" t="s">
        <v>550</v>
      </c>
      <c r="Z13" s="2">
        <v>45162</v>
      </c>
      <c r="AA13" t="s">
        <v>555</v>
      </c>
      <c r="AB13" t="s">
        <v>628</v>
      </c>
      <c r="AC13" t="s">
        <v>700</v>
      </c>
      <c r="AD13" t="s">
        <v>702</v>
      </c>
      <c r="AE13" t="s">
        <v>711</v>
      </c>
      <c r="AF13">
        <v>1.06</v>
      </c>
      <c r="AH13" t="s">
        <v>722</v>
      </c>
      <c r="AI13" t="s">
        <v>768</v>
      </c>
      <c r="AJ13" t="s">
        <v>774</v>
      </c>
      <c r="AK13">
        <v>6.66</v>
      </c>
      <c r="AL13">
        <v>6.36</v>
      </c>
      <c r="AM13">
        <v>1.9</v>
      </c>
      <c r="AN13">
        <v>2.2000000000000002</v>
      </c>
      <c r="AP13" t="s">
        <v>777</v>
      </c>
      <c r="AQ13" t="s">
        <v>788</v>
      </c>
      <c r="AR13" t="s">
        <v>800</v>
      </c>
      <c r="AS13" t="s">
        <v>700</v>
      </c>
      <c r="AT13" t="s">
        <v>993</v>
      </c>
      <c r="AU13" s="2">
        <v>45279</v>
      </c>
      <c r="AV13" t="s">
        <v>1005</v>
      </c>
      <c r="AX13">
        <v>6.51</v>
      </c>
      <c r="QZ13" t="s">
        <v>1368</v>
      </c>
      <c r="RA13" t="s">
        <v>1368</v>
      </c>
    </row>
    <row r="14" spans="1:474" x14ac:dyDescent="0.3">
      <c r="B14" t="b">
        <v>1</v>
      </c>
      <c r="F14" t="b">
        <v>0</v>
      </c>
      <c r="G14" t="b">
        <v>0</v>
      </c>
      <c r="H14" t="b">
        <v>0</v>
      </c>
      <c r="I14" t="b">
        <v>0</v>
      </c>
      <c r="K14" t="s">
        <v>474</v>
      </c>
      <c r="L14" t="s">
        <v>475</v>
      </c>
      <c r="O14" t="s">
        <v>476</v>
      </c>
      <c r="U14">
        <v>136410</v>
      </c>
      <c r="V14">
        <v>416228.74</v>
      </c>
      <c r="W14">
        <v>8.56</v>
      </c>
      <c r="X14" t="s">
        <v>478</v>
      </c>
      <c r="Y14" t="s">
        <v>550</v>
      </c>
      <c r="Z14" s="2">
        <v>45162</v>
      </c>
      <c r="AA14" t="s">
        <v>555</v>
      </c>
      <c r="AB14" t="s">
        <v>628</v>
      </c>
      <c r="AC14" t="s">
        <v>700</v>
      </c>
      <c r="AD14" t="s">
        <v>702</v>
      </c>
      <c r="AE14" t="s">
        <v>711</v>
      </c>
      <c r="AF14">
        <v>1.06</v>
      </c>
      <c r="AH14" t="s">
        <v>723</v>
      </c>
      <c r="AI14" t="s">
        <v>768</v>
      </c>
      <c r="AJ14" t="s">
        <v>774</v>
      </c>
      <c r="AK14">
        <v>5.76</v>
      </c>
      <c r="AL14">
        <v>5.56</v>
      </c>
      <c r="AM14">
        <v>2.8</v>
      </c>
      <c r="AN14">
        <v>3</v>
      </c>
      <c r="AP14" t="s">
        <v>777</v>
      </c>
      <c r="AQ14" t="s">
        <v>788</v>
      </c>
      <c r="AR14" t="s">
        <v>801</v>
      </c>
      <c r="AS14" t="s">
        <v>700</v>
      </c>
      <c r="AT14" t="s">
        <v>993</v>
      </c>
      <c r="AU14" s="2">
        <v>45279</v>
      </c>
      <c r="AV14" t="s">
        <v>1004</v>
      </c>
      <c r="AX14">
        <v>5.66</v>
      </c>
      <c r="QZ14" t="s">
        <v>1368</v>
      </c>
      <c r="RA14" t="s">
        <v>1368</v>
      </c>
    </row>
    <row r="15" spans="1:474" x14ac:dyDescent="0.3">
      <c r="B15" t="b">
        <v>1</v>
      </c>
      <c r="F15" t="b">
        <v>0</v>
      </c>
      <c r="G15" t="b">
        <v>0</v>
      </c>
      <c r="H15" t="b">
        <v>0</v>
      </c>
      <c r="I15" t="b">
        <v>0</v>
      </c>
      <c r="K15" t="s">
        <v>474</v>
      </c>
      <c r="L15" t="s">
        <v>475</v>
      </c>
      <c r="O15" t="s">
        <v>476</v>
      </c>
      <c r="U15">
        <v>136410</v>
      </c>
      <c r="V15">
        <v>416228.74</v>
      </c>
      <c r="W15">
        <v>8.56</v>
      </c>
      <c r="X15" t="s">
        <v>478</v>
      </c>
      <c r="Y15" t="s">
        <v>550</v>
      </c>
      <c r="Z15" s="2">
        <v>45162</v>
      </c>
      <c r="AA15" t="s">
        <v>555</v>
      </c>
      <c r="AB15" t="s">
        <v>628</v>
      </c>
      <c r="AC15" t="s">
        <v>700</v>
      </c>
      <c r="AD15" t="s">
        <v>702</v>
      </c>
      <c r="AE15" t="s">
        <v>711</v>
      </c>
      <c r="AF15">
        <v>1.06</v>
      </c>
      <c r="AH15" t="s">
        <v>724</v>
      </c>
      <c r="AI15" t="s">
        <v>768</v>
      </c>
      <c r="AJ15" t="s">
        <v>774</v>
      </c>
      <c r="AK15">
        <v>5.56</v>
      </c>
      <c r="AL15">
        <v>5.36</v>
      </c>
      <c r="AM15">
        <v>3</v>
      </c>
      <c r="AN15">
        <v>3.2</v>
      </c>
      <c r="AP15" t="s">
        <v>777</v>
      </c>
      <c r="AQ15" t="s">
        <v>788</v>
      </c>
      <c r="AR15" t="s">
        <v>802</v>
      </c>
      <c r="AS15" t="s">
        <v>700</v>
      </c>
      <c r="AT15" t="s">
        <v>993</v>
      </c>
      <c r="AU15" s="2">
        <v>45279</v>
      </c>
      <c r="AV15" t="s">
        <v>1006</v>
      </c>
      <c r="AX15">
        <v>5.46</v>
      </c>
      <c r="QZ15" t="s">
        <v>1368</v>
      </c>
      <c r="RA15" t="s">
        <v>1368</v>
      </c>
    </row>
    <row r="16" spans="1:474" x14ac:dyDescent="0.3">
      <c r="B16" t="b">
        <v>1</v>
      </c>
      <c r="F16" t="b">
        <v>0</v>
      </c>
      <c r="G16" t="b">
        <v>0</v>
      </c>
      <c r="H16" t="b">
        <v>0</v>
      </c>
      <c r="I16" t="b">
        <v>0</v>
      </c>
      <c r="K16" t="s">
        <v>474</v>
      </c>
      <c r="L16" t="s">
        <v>475</v>
      </c>
      <c r="O16" t="s">
        <v>476</v>
      </c>
      <c r="U16">
        <v>136410</v>
      </c>
      <c r="V16">
        <v>416228.74</v>
      </c>
      <c r="W16">
        <v>8.56</v>
      </c>
      <c r="X16" t="s">
        <v>478</v>
      </c>
      <c r="Y16" t="s">
        <v>550</v>
      </c>
      <c r="Z16" s="2">
        <v>45162</v>
      </c>
      <c r="AA16" t="s">
        <v>555</v>
      </c>
      <c r="AB16" t="s">
        <v>628</v>
      </c>
      <c r="AC16" t="s">
        <v>700</v>
      </c>
      <c r="AD16" t="s">
        <v>702</v>
      </c>
      <c r="AE16" t="s">
        <v>711</v>
      </c>
      <c r="AF16">
        <v>1.06</v>
      </c>
      <c r="AH16" t="s">
        <v>725</v>
      </c>
      <c r="AI16" t="s">
        <v>768</v>
      </c>
      <c r="AJ16" t="s">
        <v>774</v>
      </c>
      <c r="AK16">
        <v>5.0599999999999996</v>
      </c>
      <c r="AL16">
        <v>4.66</v>
      </c>
      <c r="AM16">
        <v>3.5</v>
      </c>
      <c r="AN16">
        <v>3.9</v>
      </c>
      <c r="AP16" t="s">
        <v>777</v>
      </c>
      <c r="AQ16" t="s">
        <v>788</v>
      </c>
      <c r="AR16" t="s">
        <v>803</v>
      </c>
      <c r="AS16" t="s">
        <v>700</v>
      </c>
      <c r="AT16" t="s">
        <v>993</v>
      </c>
      <c r="AU16" s="2">
        <v>45279</v>
      </c>
      <c r="AV16" t="s">
        <v>1007</v>
      </c>
      <c r="AX16">
        <v>5</v>
      </c>
      <c r="AY16">
        <v>18.7</v>
      </c>
      <c r="AZ16">
        <v>14.4</v>
      </c>
      <c r="BA16">
        <v>30.3</v>
      </c>
      <c r="QZ16" t="s">
        <v>1368</v>
      </c>
      <c r="RA16" t="s">
        <v>1368</v>
      </c>
    </row>
    <row r="17" spans="2:473" x14ac:dyDescent="0.3">
      <c r="B17" t="b">
        <v>1</v>
      </c>
      <c r="F17" t="b">
        <v>0</v>
      </c>
      <c r="G17" t="b">
        <v>0</v>
      </c>
      <c r="H17" t="b">
        <v>0</v>
      </c>
      <c r="I17" t="b">
        <v>1</v>
      </c>
      <c r="K17" t="s">
        <v>474</v>
      </c>
      <c r="L17" t="s">
        <v>475</v>
      </c>
      <c r="O17" t="s">
        <v>476</v>
      </c>
      <c r="U17">
        <v>136410</v>
      </c>
      <c r="V17">
        <v>416228.74</v>
      </c>
      <c r="W17">
        <v>8.56</v>
      </c>
      <c r="X17" t="s">
        <v>478</v>
      </c>
      <c r="Y17" t="s">
        <v>550</v>
      </c>
      <c r="Z17" s="2">
        <v>45162</v>
      </c>
      <c r="AA17" t="s">
        <v>555</v>
      </c>
      <c r="AB17" t="s">
        <v>628</v>
      </c>
      <c r="AC17" t="s">
        <v>700</v>
      </c>
      <c r="AD17" t="s">
        <v>702</v>
      </c>
      <c r="AE17" t="s">
        <v>711</v>
      </c>
      <c r="AF17">
        <v>1.06</v>
      </c>
      <c r="AH17" t="s">
        <v>726</v>
      </c>
      <c r="AI17" t="s">
        <v>768</v>
      </c>
      <c r="AJ17" t="s">
        <v>774</v>
      </c>
      <c r="AK17">
        <v>4.0599999999999996</v>
      </c>
      <c r="AL17">
        <v>3.66</v>
      </c>
      <c r="AM17">
        <v>4.5</v>
      </c>
      <c r="AN17">
        <v>4.9000000000000004</v>
      </c>
      <c r="AP17" t="s">
        <v>777</v>
      </c>
      <c r="AQ17" t="s">
        <v>788</v>
      </c>
      <c r="AR17" t="s">
        <v>804</v>
      </c>
      <c r="AS17" t="s">
        <v>700</v>
      </c>
      <c r="AT17" t="s">
        <v>993</v>
      </c>
      <c r="AU17" s="2">
        <v>45279</v>
      </c>
      <c r="AV17" t="s">
        <v>1008</v>
      </c>
      <c r="AX17">
        <v>3.95</v>
      </c>
      <c r="AY17">
        <v>15.7</v>
      </c>
      <c r="AZ17">
        <v>9.9</v>
      </c>
      <c r="BA17">
        <v>58.7</v>
      </c>
      <c r="NG17" t="s">
        <v>1294</v>
      </c>
      <c r="NH17" t="s">
        <v>1315</v>
      </c>
      <c r="NI17" t="s">
        <v>1336</v>
      </c>
      <c r="NJ17" t="s">
        <v>1266</v>
      </c>
      <c r="NK17" t="s">
        <v>1356</v>
      </c>
      <c r="NL17" s="2">
        <v>45182</v>
      </c>
      <c r="NM17" t="s">
        <v>1268</v>
      </c>
      <c r="NN17" t="s">
        <v>1272</v>
      </c>
      <c r="NO17">
        <v>3.95</v>
      </c>
      <c r="NP17">
        <v>86.7</v>
      </c>
      <c r="NQ17">
        <v>15.65</v>
      </c>
      <c r="NR17">
        <v>9.86</v>
      </c>
      <c r="NS17">
        <v>74.45</v>
      </c>
      <c r="NT17">
        <v>58.71</v>
      </c>
      <c r="NU17">
        <v>98.04</v>
      </c>
      <c r="NV17">
        <v>1.51</v>
      </c>
      <c r="NW17">
        <v>2523</v>
      </c>
      <c r="NX17">
        <v>21.3</v>
      </c>
      <c r="NY17">
        <v>21.3</v>
      </c>
      <c r="NZ17">
        <v>50</v>
      </c>
      <c r="OA17">
        <v>100</v>
      </c>
      <c r="OB17" t="s">
        <v>1360</v>
      </c>
      <c r="OC17" t="s">
        <v>1361</v>
      </c>
      <c r="OD17" t="s">
        <v>1362</v>
      </c>
      <c r="OE17">
        <v>399</v>
      </c>
      <c r="OF17" t="s">
        <v>1363</v>
      </c>
      <c r="OG17">
        <v>0.92</v>
      </c>
      <c r="OH17" t="s">
        <v>1364</v>
      </c>
      <c r="OI17">
        <v>78.680000000000007</v>
      </c>
      <c r="OJ17">
        <v>0.68</v>
      </c>
      <c r="OK17">
        <v>81.349999999999994</v>
      </c>
      <c r="OL17">
        <v>3.67</v>
      </c>
      <c r="OM17">
        <v>81.349999999999994</v>
      </c>
      <c r="ON17">
        <v>3.67</v>
      </c>
      <c r="OO17">
        <v>1</v>
      </c>
      <c r="OP17">
        <v>1.68</v>
      </c>
      <c r="OQ17">
        <v>3.93</v>
      </c>
      <c r="OR17" t="s">
        <v>1365</v>
      </c>
      <c r="OS17">
        <v>0.97</v>
      </c>
      <c r="OT17">
        <v>93.65</v>
      </c>
      <c r="OU17">
        <v>58.67</v>
      </c>
      <c r="OV17">
        <v>92.68</v>
      </c>
      <c r="OW17">
        <v>43</v>
      </c>
      <c r="OX17">
        <v>103.6</v>
      </c>
      <c r="OY17">
        <v>49.99</v>
      </c>
      <c r="OZ17">
        <v>94.73</v>
      </c>
      <c r="PA17">
        <v>59.34</v>
      </c>
      <c r="PB17">
        <v>2.27</v>
      </c>
      <c r="PC17">
        <v>111.1</v>
      </c>
      <c r="PD17">
        <v>46.05</v>
      </c>
      <c r="PE17">
        <v>25</v>
      </c>
      <c r="PF17">
        <v>16.25</v>
      </c>
      <c r="PG17">
        <v>0.34</v>
      </c>
      <c r="PH17">
        <v>0.36</v>
      </c>
      <c r="QS17" t="s">
        <v>1366</v>
      </c>
      <c r="QV17">
        <v>86.7</v>
      </c>
      <c r="QX17">
        <v>85.02</v>
      </c>
      <c r="QZ17" t="s">
        <v>1369</v>
      </c>
      <c r="RA17" t="s">
        <v>1368</v>
      </c>
      <c r="RD17">
        <v>85.02</v>
      </c>
      <c r="RE17">
        <v>1</v>
      </c>
    </row>
    <row r="18" spans="2:473" x14ac:dyDescent="0.3">
      <c r="B18" t="b">
        <v>1</v>
      </c>
      <c r="F18" t="b">
        <v>0</v>
      </c>
      <c r="G18" t="b">
        <v>0</v>
      </c>
      <c r="H18" t="b">
        <v>0</v>
      </c>
      <c r="I18" t="b">
        <v>0</v>
      </c>
      <c r="K18" t="s">
        <v>474</v>
      </c>
      <c r="L18" t="s">
        <v>475</v>
      </c>
      <c r="O18" t="s">
        <v>476</v>
      </c>
      <c r="U18">
        <v>136410</v>
      </c>
      <c r="V18">
        <v>416228.74</v>
      </c>
      <c r="W18">
        <v>8.56</v>
      </c>
      <c r="X18" t="s">
        <v>478</v>
      </c>
      <c r="Y18" t="s">
        <v>550</v>
      </c>
      <c r="Z18" s="2">
        <v>45162</v>
      </c>
      <c r="AA18" t="s">
        <v>555</v>
      </c>
      <c r="AB18" t="s">
        <v>628</v>
      </c>
      <c r="AC18" t="s">
        <v>700</v>
      </c>
      <c r="AD18" t="s">
        <v>702</v>
      </c>
      <c r="AE18" t="s">
        <v>711</v>
      </c>
      <c r="AF18">
        <v>1.06</v>
      </c>
      <c r="AH18" t="s">
        <v>727</v>
      </c>
      <c r="AI18" t="s">
        <v>768</v>
      </c>
      <c r="AJ18" t="s">
        <v>774</v>
      </c>
      <c r="AK18">
        <v>3.06</v>
      </c>
      <c r="AL18">
        <v>2.66</v>
      </c>
      <c r="AM18">
        <v>5.5</v>
      </c>
      <c r="AN18">
        <v>5.9</v>
      </c>
      <c r="AP18" t="s">
        <v>777</v>
      </c>
      <c r="AQ18" t="s">
        <v>788</v>
      </c>
      <c r="AR18" t="s">
        <v>805</v>
      </c>
      <c r="AS18" t="s">
        <v>700</v>
      </c>
      <c r="AT18" t="s">
        <v>993</v>
      </c>
      <c r="AU18" s="2">
        <v>45279</v>
      </c>
      <c r="AV18" t="s">
        <v>1009</v>
      </c>
      <c r="AX18">
        <v>3.01</v>
      </c>
      <c r="AY18">
        <v>17</v>
      </c>
      <c r="AZ18">
        <v>11.7</v>
      </c>
      <c r="BA18">
        <v>44.9</v>
      </c>
      <c r="QZ18" t="s">
        <v>1368</v>
      </c>
      <c r="RA18" t="s">
        <v>1368</v>
      </c>
    </row>
    <row r="19" spans="2:473" x14ac:dyDescent="0.3">
      <c r="B19" t="b">
        <v>1</v>
      </c>
      <c r="F19" t="b">
        <v>0</v>
      </c>
      <c r="G19" t="b">
        <v>0</v>
      </c>
      <c r="H19" t="b">
        <v>0</v>
      </c>
      <c r="I19" t="b">
        <v>0</v>
      </c>
      <c r="K19" t="s">
        <v>474</v>
      </c>
      <c r="L19" t="s">
        <v>475</v>
      </c>
      <c r="O19" t="s">
        <v>476</v>
      </c>
      <c r="U19">
        <v>136410</v>
      </c>
      <c r="V19">
        <v>416228.74</v>
      </c>
      <c r="W19">
        <v>8.56</v>
      </c>
      <c r="X19" t="s">
        <v>478</v>
      </c>
      <c r="Y19" t="s">
        <v>550</v>
      </c>
      <c r="Z19" s="2">
        <v>45162</v>
      </c>
      <c r="AA19" t="s">
        <v>555</v>
      </c>
      <c r="AB19" t="s">
        <v>628</v>
      </c>
      <c r="AC19" t="s">
        <v>700</v>
      </c>
      <c r="AD19" t="s">
        <v>702</v>
      </c>
      <c r="AE19" t="s">
        <v>711</v>
      </c>
      <c r="AF19">
        <v>1.06</v>
      </c>
      <c r="AH19" t="s">
        <v>728</v>
      </c>
      <c r="AI19" t="s">
        <v>768</v>
      </c>
      <c r="AJ19" t="s">
        <v>774</v>
      </c>
      <c r="AK19">
        <v>2.06</v>
      </c>
      <c r="AL19">
        <v>1.96</v>
      </c>
      <c r="AM19">
        <v>6.5</v>
      </c>
      <c r="AN19">
        <v>6.6</v>
      </c>
      <c r="AP19" t="s">
        <v>777</v>
      </c>
      <c r="AQ19" t="s">
        <v>788</v>
      </c>
      <c r="AR19" t="s">
        <v>806</v>
      </c>
      <c r="AS19" t="s">
        <v>700</v>
      </c>
      <c r="AT19" t="s">
        <v>993</v>
      </c>
      <c r="AU19" s="2">
        <v>45279</v>
      </c>
      <c r="AV19" t="s">
        <v>1010</v>
      </c>
      <c r="AX19">
        <v>2</v>
      </c>
      <c r="AY19">
        <v>18.8</v>
      </c>
      <c r="AZ19">
        <v>14.7</v>
      </c>
      <c r="BA19">
        <v>28.3</v>
      </c>
      <c r="QZ19" t="s">
        <v>1368</v>
      </c>
      <c r="RA19" t="s">
        <v>1368</v>
      </c>
    </row>
    <row r="20" spans="2:473" x14ac:dyDescent="0.3">
      <c r="B20" t="b">
        <v>1</v>
      </c>
      <c r="F20" t="b">
        <v>0</v>
      </c>
      <c r="G20" t="b">
        <v>0</v>
      </c>
      <c r="H20" t="b">
        <v>0</v>
      </c>
      <c r="I20" t="b">
        <v>0</v>
      </c>
      <c r="K20" t="s">
        <v>474</v>
      </c>
      <c r="L20" t="s">
        <v>475</v>
      </c>
      <c r="O20" t="s">
        <v>476</v>
      </c>
      <c r="U20">
        <v>136410</v>
      </c>
      <c r="V20">
        <v>416228.74</v>
      </c>
      <c r="W20">
        <v>8.56</v>
      </c>
      <c r="X20" t="s">
        <v>478</v>
      </c>
      <c r="Y20" t="s">
        <v>550</v>
      </c>
      <c r="Z20" s="2">
        <v>45162</v>
      </c>
      <c r="AA20" t="s">
        <v>555</v>
      </c>
      <c r="AB20" t="s">
        <v>628</v>
      </c>
      <c r="AC20" t="s">
        <v>700</v>
      </c>
      <c r="AD20" t="s">
        <v>702</v>
      </c>
      <c r="AE20" t="s">
        <v>711</v>
      </c>
      <c r="AF20">
        <v>1.06</v>
      </c>
      <c r="AH20" t="s">
        <v>729</v>
      </c>
      <c r="AI20" t="s">
        <v>768</v>
      </c>
      <c r="AJ20" t="s">
        <v>774</v>
      </c>
      <c r="AK20">
        <v>1.96</v>
      </c>
      <c r="AL20">
        <v>1.66</v>
      </c>
      <c r="AM20">
        <v>6.6</v>
      </c>
      <c r="AN20">
        <v>6.9</v>
      </c>
      <c r="AP20" t="s">
        <v>777</v>
      </c>
      <c r="AQ20" t="s">
        <v>788</v>
      </c>
      <c r="AR20" t="s">
        <v>807</v>
      </c>
      <c r="AS20" t="s">
        <v>700</v>
      </c>
      <c r="AT20" t="s">
        <v>993</v>
      </c>
      <c r="AU20" s="2">
        <v>45279</v>
      </c>
      <c r="AV20" t="s">
        <v>1011</v>
      </c>
      <c r="AX20">
        <v>1.81</v>
      </c>
      <c r="QZ20" t="s">
        <v>1368</v>
      </c>
      <c r="RA20" t="s">
        <v>1368</v>
      </c>
    </row>
    <row r="21" spans="2:473" x14ac:dyDescent="0.3">
      <c r="B21" t="b">
        <v>1</v>
      </c>
      <c r="F21" t="b">
        <v>0</v>
      </c>
      <c r="G21" t="b">
        <v>0</v>
      </c>
      <c r="H21" t="b">
        <v>0</v>
      </c>
      <c r="I21" t="b">
        <v>0</v>
      </c>
      <c r="K21" t="s">
        <v>474</v>
      </c>
      <c r="L21" t="s">
        <v>475</v>
      </c>
      <c r="O21" t="s">
        <v>476</v>
      </c>
      <c r="U21">
        <v>136410</v>
      </c>
      <c r="V21">
        <v>416228.74</v>
      </c>
      <c r="W21">
        <v>8.56</v>
      </c>
      <c r="X21" t="s">
        <v>478</v>
      </c>
      <c r="Y21" t="s">
        <v>550</v>
      </c>
      <c r="Z21" s="2">
        <v>45162</v>
      </c>
      <c r="AA21" t="s">
        <v>555</v>
      </c>
      <c r="AB21" t="s">
        <v>628</v>
      </c>
      <c r="AC21" t="s">
        <v>700</v>
      </c>
      <c r="AD21" t="s">
        <v>702</v>
      </c>
      <c r="AE21" t="s">
        <v>711</v>
      </c>
      <c r="AF21">
        <v>1.06</v>
      </c>
      <c r="AH21" t="s">
        <v>718</v>
      </c>
      <c r="AI21" t="s">
        <v>768</v>
      </c>
      <c r="AJ21" t="s">
        <v>774</v>
      </c>
      <c r="AK21">
        <v>1.06</v>
      </c>
      <c r="AL21">
        <v>0.66</v>
      </c>
      <c r="AM21">
        <v>7.5</v>
      </c>
      <c r="AN21">
        <v>7.9</v>
      </c>
      <c r="AP21" t="s">
        <v>777</v>
      </c>
      <c r="AQ21" t="s">
        <v>788</v>
      </c>
      <c r="AR21" t="s">
        <v>808</v>
      </c>
      <c r="AS21" t="s">
        <v>700</v>
      </c>
      <c r="AT21" t="s">
        <v>993</v>
      </c>
      <c r="AU21" s="2">
        <v>45279</v>
      </c>
      <c r="AV21" t="s">
        <v>1012</v>
      </c>
      <c r="AX21">
        <v>0.91</v>
      </c>
      <c r="AY21">
        <v>15.7</v>
      </c>
      <c r="AZ21">
        <v>9.6999999999999993</v>
      </c>
      <c r="BA21">
        <v>61</v>
      </c>
      <c r="QZ21" t="s">
        <v>1368</v>
      </c>
      <c r="RA21" t="s">
        <v>1368</v>
      </c>
    </row>
    <row r="22" spans="2:473" x14ac:dyDescent="0.3">
      <c r="B22" t="b">
        <v>1</v>
      </c>
      <c r="F22" t="b">
        <v>0</v>
      </c>
      <c r="G22" t="b">
        <v>0</v>
      </c>
      <c r="H22" t="b">
        <v>0</v>
      </c>
      <c r="I22" t="b">
        <v>0</v>
      </c>
      <c r="K22" t="s">
        <v>474</v>
      </c>
      <c r="L22" t="s">
        <v>475</v>
      </c>
      <c r="O22" t="s">
        <v>476</v>
      </c>
      <c r="U22">
        <v>136410</v>
      </c>
      <c r="V22">
        <v>416228.74</v>
      </c>
      <c r="W22">
        <v>8.56</v>
      </c>
      <c r="X22" t="s">
        <v>478</v>
      </c>
      <c r="Y22" t="s">
        <v>550</v>
      </c>
      <c r="Z22" s="2">
        <v>45162</v>
      </c>
      <c r="AA22" t="s">
        <v>555</v>
      </c>
      <c r="AB22" t="s">
        <v>628</v>
      </c>
      <c r="AC22" t="s">
        <v>700</v>
      </c>
      <c r="AD22" t="s">
        <v>702</v>
      </c>
      <c r="AE22" t="s">
        <v>711</v>
      </c>
      <c r="AF22">
        <v>1.06</v>
      </c>
      <c r="AH22" t="s">
        <v>730</v>
      </c>
      <c r="AI22" t="s">
        <v>768</v>
      </c>
      <c r="AJ22" t="s">
        <v>774</v>
      </c>
      <c r="AK22">
        <v>0.06</v>
      </c>
      <c r="AL22">
        <v>-0.34</v>
      </c>
      <c r="AM22">
        <v>8.5</v>
      </c>
      <c r="AN22">
        <v>8.9</v>
      </c>
      <c r="AP22" t="s">
        <v>777</v>
      </c>
      <c r="AQ22" t="s">
        <v>788</v>
      </c>
      <c r="AR22" t="s">
        <v>809</v>
      </c>
      <c r="AS22" t="s">
        <v>700</v>
      </c>
      <c r="AT22" t="s">
        <v>993</v>
      </c>
      <c r="AU22" s="2">
        <v>45279</v>
      </c>
      <c r="AV22" t="s">
        <v>1013</v>
      </c>
      <c r="AX22">
        <v>-0.14000000000000001</v>
      </c>
      <c r="AY22">
        <v>17</v>
      </c>
      <c r="AZ22">
        <v>10.4</v>
      </c>
      <c r="BA22">
        <v>64.400000000000006</v>
      </c>
      <c r="QZ22" t="s">
        <v>1368</v>
      </c>
      <c r="RA22" t="s">
        <v>1368</v>
      </c>
    </row>
    <row r="23" spans="2:473" x14ac:dyDescent="0.3">
      <c r="B23" t="b">
        <v>1</v>
      </c>
      <c r="F23" t="b">
        <v>1</v>
      </c>
      <c r="G23" t="b">
        <v>0</v>
      </c>
      <c r="H23" t="b">
        <v>0</v>
      </c>
      <c r="I23" t="b">
        <v>1</v>
      </c>
      <c r="K23" t="s">
        <v>474</v>
      </c>
      <c r="L23" t="s">
        <v>475</v>
      </c>
      <c r="O23" t="s">
        <v>476</v>
      </c>
      <c r="U23">
        <v>136410</v>
      </c>
      <c r="V23">
        <v>416228.74</v>
      </c>
      <c r="W23">
        <v>8.56</v>
      </c>
      <c r="X23" t="s">
        <v>478</v>
      </c>
      <c r="Y23" t="s">
        <v>550</v>
      </c>
      <c r="Z23" s="2">
        <v>45162</v>
      </c>
      <c r="AA23" t="s">
        <v>555</v>
      </c>
      <c r="AB23" t="s">
        <v>628</v>
      </c>
      <c r="AC23" t="s">
        <v>700</v>
      </c>
      <c r="AD23" t="s">
        <v>702</v>
      </c>
      <c r="AE23" t="s">
        <v>711</v>
      </c>
      <c r="AF23">
        <v>1.06</v>
      </c>
      <c r="AH23" t="s">
        <v>731</v>
      </c>
      <c r="AI23" t="s">
        <v>768</v>
      </c>
      <c r="AJ23" t="s">
        <v>774</v>
      </c>
      <c r="AK23">
        <v>-0.44</v>
      </c>
      <c r="AL23">
        <v>-0.84</v>
      </c>
      <c r="AM23">
        <v>9</v>
      </c>
      <c r="AN23">
        <v>9.4</v>
      </c>
      <c r="AP23" t="s">
        <v>777</v>
      </c>
      <c r="AQ23" t="s">
        <v>788</v>
      </c>
      <c r="AR23" t="s">
        <v>810</v>
      </c>
      <c r="AS23" t="s">
        <v>700</v>
      </c>
      <c r="AT23" t="s">
        <v>993</v>
      </c>
      <c r="AU23" s="2">
        <v>45279</v>
      </c>
      <c r="AV23" t="s">
        <v>1008</v>
      </c>
      <c r="AX23">
        <v>-0.56000000000000005</v>
      </c>
      <c r="AY23">
        <v>17.5</v>
      </c>
      <c r="AZ23">
        <v>12.3</v>
      </c>
      <c r="BA23">
        <v>41.8</v>
      </c>
      <c r="DZ23" t="s">
        <v>1222</v>
      </c>
      <c r="EA23" t="s">
        <v>1237</v>
      </c>
      <c r="EB23" t="s">
        <v>1252</v>
      </c>
      <c r="EC23" t="s">
        <v>1266</v>
      </c>
      <c r="ED23" t="s">
        <v>1267</v>
      </c>
      <c r="EE23" s="2">
        <v>45176</v>
      </c>
      <c r="EF23" t="s">
        <v>1268</v>
      </c>
      <c r="EH23">
        <v>-0.52</v>
      </c>
      <c r="EI23">
        <v>147.80000000000001</v>
      </c>
      <c r="EJ23">
        <v>16.82</v>
      </c>
      <c r="EK23">
        <v>11.46</v>
      </c>
      <c r="EL23">
        <v>46.81</v>
      </c>
      <c r="EM23">
        <v>29.79</v>
      </c>
      <c r="EN23">
        <v>97.46</v>
      </c>
      <c r="EO23">
        <v>21.7</v>
      </c>
      <c r="EP23">
        <v>19.8</v>
      </c>
      <c r="EQ23">
        <v>65.349999999999994</v>
      </c>
      <c r="ER23">
        <v>19</v>
      </c>
      <c r="ES23">
        <v>18.82</v>
      </c>
      <c r="ET23">
        <v>13.73</v>
      </c>
      <c r="EU23">
        <v>0.5</v>
      </c>
      <c r="EV23">
        <v>-0.2</v>
      </c>
      <c r="EW23">
        <v>16</v>
      </c>
      <c r="EX23">
        <v>875.9</v>
      </c>
      <c r="EY23">
        <v>737.4</v>
      </c>
      <c r="EZ23">
        <v>526.20000000000005</v>
      </c>
      <c r="FA23">
        <v>295.60000000000002</v>
      </c>
      <c r="FB23">
        <v>1446</v>
      </c>
      <c r="FC23">
        <v>2.67</v>
      </c>
      <c r="FD23">
        <v>217.4</v>
      </c>
      <c r="FE23">
        <v>9.51</v>
      </c>
      <c r="FF23">
        <v>1050.5</v>
      </c>
      <c r="FG23">
        <v>8.0999999999999996E-3</v>
      </c>
      <c r="FH23">
        <v>0.1232</v>
      </c>
      <c r="FI23">
        <v>4.1000000000000003E-3</v>
      </c>
      <c r="NG23" t="s">
        <v>1295</v>
      </c>
      <c r="NH23" t="s">
        <v>1316</v>
      </c>
      <c r="NI23" t="s">
        <v>1337</v>
      </c>
      <c r="NJ23" t="s">
        <v>1266</v>
      </c>
      <c r="NK23" t="s">
        <v>1356</v>
      </c>
      <c r="NL23" s="2">
        <v>45190</v>
      </c>
      <c r="NM23" t="s">
        <v>1268</v>
      </c>
      <c r="NO23">
        <v>-0.56000000000000005</v>
      </c>
      <c r="NP23">
        <v>147.80000000000001</v>
      </c>
      <c r="NQ23">
        <v>17.45</v>
      </c>
      <c r="NR23">
        <v>12.31</v>
      </c>
      <c r="NS23">
        <v>39.130000000000003</v>
      </c>
      <c r="NT23">
        <v>41.78</v>
      </c>
      <c r="NU23">
        <v>100.98</v>
      </c>
      <c r="NV23">
        <v>1.08</v>
      </c>
      <c r="NW23">
        <v>2609</v>
      </c>
      <c r="NX23">
        <v>21.3</v>
      </c>
      <c r="NY23">
        <v>21.3</v>
      </c>
      <c r="NZ23">
        <v>50</v>
      </c>
      <c r="OA23">
        <v>100</v>
      </c>
      <c r="OB23" t="s">
        <v>1360</v>
      </c>
      <c r="OC23" t="s">
        <v>1361</v>
      </c>
      <c r="OD23" t="s">
        <v>1362</v>
      </c>
      <c r="OE23">
        <v>300</v>
      </c>
      <c r="OF23" t="s">
        <v>1363</v>
      </c>
      <c r="OG23">
        <v>0.59</v>
      </c>
      <c r="OH23" t="s">
        <v>1364</v>
      </c>
      <c r="OI23">
        <v>85.75</v>
      </c>
      <c r="OJ23">
        <v>0.75</v>
      </c>
      <c r="OK23">
        <v>113.7</v>
      </c>
      <c r="OL23">
        <v>29.61</v>
      </c>
      <c r="OM23">
        <v>113.7</v>
      </c>
      <c r="ON23">
        <v>29.61</v>
      </c>
      <c r="OO23">
        <v>1</v>
      </c>
      <c r="OP23">
        <v>4.0199999999999996</v>
      </c>
      <c r="OQ23">
        <v>8.26</v>
      </c>
      <c r="OR23" t="s">
        <v>1365</v>
      </c>
      <c r="OS23">
        <v>0.92</v>
      </c>
      <c r="OT23">
        <v>105.1</v>
      </c>
      <c r="OU23">
        <v>52.9</v>
      </c>
      <c r="OV23">
        <v>102.2</v>
      </c>
      <c r="OW23">
        <v>57.84</v>
      </c>
      <c r="OX23">
        <v>98.59</v>
      </c>
      <c r="OY23">
        <v>50.7</v>
      </c>
      <c r="OZ23">
        <v>103.6</v>
      </c>
      <c r="PA23">
        <v>58.95</v>
      </c>
      <c r="PB23">
        <v>7.46</v>
      </c>
      <c r="PC23">
        <v>91.76</v>
      </c>
      <c r="PD23">
        <v>43.57</v>
      </c>
      <c r="PE23">
        <v>25</v>
      </c>
      <c r="PF23">
        <v>8.9700000000000006</v>
      </c>
      <c r="PG23">
        <v>0.33</v>
      </c>
      <c r="PH23">
        <v>0.34</v>
      </c>
      <c r="QS23" t="s">
        <v>1366</v>
      </c>
      <c r="QV23">
        <v>147.80000000000001</v>
      </c>
      <c r="QW23">
        <v>217.4</v>
      </c>
      <c r="QX23">
        <v>143.31</v>
      </c>
      <c r="QZ23" t="s">
        <v>1369</v>
      </c>
      <c r="RA23" t="s">
        <v>1368</v>
      </c>
      <c r="RD23">
        <v>217.4</v>
      </c>
      <c r="RE23">
        <v>1.5169911380922481</v>
      </c>
    </row>
    <row r="24" spans="2:473" x14ac:dyDescent="0.3">
      <c r="B24" t="b">
        <v>1</v>
      </c>
      <c r="F24" t="b">
        <v>0</v>
      </c>
      <c r="G24" t="b">
        <v>0</v>
      </c>
      <c r="H24" t="b">
        <v>0</v>
      </c>
      <c r="I24" t="b">
        <v>0</v>
      </c>
      <c r="K24" t="s">
        <v>474</v>
      </c>
      <c r="L24" t="s">
        <v>475</v>
      </c>
      <c r="O24" t="s">
        <v>476</v>
      </c>
      <c r="U24">
        <v>136410</v>
      </c>
      <c r="V24">
        <v>416228.74</v>
      </c>
      <c r="W24">
        <v>8.56</v>
      </c>
      <c r="X24" t="s">
        <v>478</v>
      </c>
      <c r="Y24" t="s">
        <v>550</v>
      </c>
      <c r="Z24" s="2">
        <v>45162</v>
      </c>
      <c r="AA24" t="s">
        <v>555</v>
      </c>
      <c r="AB24" t="s">
        <v>628</v>
      </c>
      <c r="AC24" t="s">
        <v>700</v>
      </c>
      <c r="AD24" t="s">
        <v>702</v>
      </c>
      <c r="AE24" t="s">
        <v>711</v>
      </c>
      <c r="AF24">
        <v>1.06</v>
      </c>
      <c r="AH24" t="s">
        <v>732</v>
      </c>
      <c r="AI24" t="s">
        <v>768</v>
      </c>
      <c r="AJ24" t="s">
        <v>774</v>
      </c>
      <c r="AK24">
        <v>-0.94</v>
      </c>
      <c r="AL24">
        <v>-1.34</v>
      </c>
      <c r="AM24">
        <v>9.5</v>
      </c>
      <c r="AN24">
        <v>9.9</v>
      </c>
      <c r="AP24" t="s">
        <v>777</v>
      </c>
      <c r="AQ24" t="s">
        <v>788</v>
      </c>
      <c r="AR24" t="s">
        <v>811</v>
      </c>
      <c r="AS24" t="s">
        <v>700</v>
      </c>
      <c r="AT24" t="s">
        <v>993</v>
      </c>
      <c r="AU24" s="2">
        <v>45279</v>
      </c>
      <c r="AV24" t="s">
        <v>1014</v>
      </c>
      <c r="AX24">
        <v>-1.1399999999999999</v>
      </c>
      <c r="QZ24" t="s">
        <v>1368</v>
      </c>
      <c r="RA24" t="s">
        <v>1368</v>
      </c>
    </row>
    <row r="25" spans="2:473" x14ac:dyDescent="0.3">
      <c r="B25" t="b">
        <v>1</v>
      </c>
      <c r="F25" t="b">
        <v>0</v>
      </c>
      <c r="G25" t="b">
        <v>0</v>
      </c>
      <c r="H25" t="b">
        <v>0</v>
      </c>
      <c r="I25" t="b">
        <v>0</v>
      </c>
      <c r="K25" t="s">
        <v>474</v>
      </c>
      <c r="L25" t="s">
        <v>475</v>
      </c>
      <c r="O25" t="s">
        <v>476</v>
      </c>
      <c r="U25">
        <v>136410</v>
      </c>
      <c r="V25">
        <v>416228.74</v>
      </c>
      <c r="W25">
        <v>8.56</v>
      </c>
      <c r="X25" t="s">
        <v>478</v>
      </c>
      <c r="Y25" t="s">
        <v>550</v>
      </c>
      <c r="Z25" s="2">
        <v>45162</v>
      </c>
      <c r="AA25" t="s">
        <v>555</v>
      </c>
      <c r="AB25" t="s">
        <v>628</v>
      </c>
      <c r="AC25" t="s">
        <v>700</v>
      </c>
      <c r="AD25" t="s">
        <v>702</v>
      </c>
      <c r="AE25" t="s">
        <v>711</v>
      </c>
      <c r="AF25">
        <v>1.06</v>
      </c>
      <c r="AH25" t="s">
        <v>733</v>
      </c>
      <c r="AI25" t="s">
        <v>768</v>
      </c>
      <c r="AJ25" t="s">
        <v>774</v>
      </c>
      <c r="AK25">
        <v>-1.44</v>
      </c>
      <c r="AL25">
        <v>-1.84</v>
      </c>
      <c r="AM25">
        <v>10</v>
      </c>
      <c r="AN25">
        <v>10.4</v>
      </c>
      <c r="AP25" t="s">
        <v>777</v>
      </c>
      <c r="AQ25" t="s">
        <v>788</v>
      </c>
      <c r="AR25" t="s">
        <v>812</v>
      </c>
      <c r="AS25" t="s">
        <v>700</v>
      </c>
      <c r="AT25" t="s">
        <v>993</v>
      </c>
      <c r="AU25" s="2">
        <v>45279</v>
      </c>
      <c r="AV25" t="s">
        <v>1015</v>
      </c>
      <c r="AX25">
        <v>-1.64</v>
      </c>
      <c r="QZ25" t="s">
        <v>1368</v>
      </c>
      <c r="RA25" t="s">
        <v>1368</v>
      </c>
    </row>
    <row r="26" spans="2:473" x14ac:dyDescent="0.3">
      <c r="B26" t="b">
        <v>1</v>
      </c>
      <c r="F26" t="b">
        <v>0</v>
      </c>
      <c r="G26" t="b">
        <v>0</v>
      </c>
      <c r="H26" t="b">
        <v>0</v>
      </c>
      <c r="I26" t="b">
        <v>0</v>
      </c>
      <c r="K26" t="s">
        <v>474</v>
      </c>
      <c r="L26" t="s">
        <v>475</v>
      </c>
      <c r="O26" t="s">
        <v>476</v>
      </c>
      <c r="U26">
        <v>136410</v>
      </c>
      <c r="V26">
        <v>416228.74</v>
      </c>
      <c r="W26">
        <v>8.56</v>
      </c>
      <c r="X26" t="s">
        <v>478</v>
      </c>
      <c r="Y26" t="s">
        <v>550</v>
      </c>
      <c r="Z26" s="2">
        <v>45162</v>
      </c>
      <c r="AA26" t="s">
        <v>555</v>
      </c>
      <c r="AB26" t="s">
        <v>628</v>
      </c>
      <c r="AC26" t="s">
        <v>700</v>
      </c>
      <c r="AD26" t="s">
        <v>702</v>
      </c>
      <c r="AE26" t="s">
        <v>711</v>
      </c>
      <c r="AF26">
        <v>1.06</v>
      </c>
      <c r="AH26" t="s">
        <v>734</v>
      </c>
      <c r="AI26" t="s">
        <v>768</v>
      </c>
      <c r="AJ26" t="s">
        <v>774</v>
      </c>
      <c r="AK26">
        <v>-1.94</v>
      </c>
      <c r="AL26">
        <v>-2.34</v>
      </c>
      <c r="AM26">
        <v>10.5</v>
      </c>
      <c r="AN26">
        <v>10.9</v>
      </c>
      <c r="AP26" t="s">
        <v>777</v>
      </c>
      <c r="AQ26" t="s">
        <v>788</v>
      </c>
      <c r="AR26" t="s">
        <v>813</v>
      </c>
      <c r="AS26" t="s">
        <v>700</v>
      </c>
      <c r="AT26" t="s">
        <v>993</v>
      </c>
      <c r="AU26" s="2">
        <v>45279</v>
      </c>
      <c r="AV26" t="s">
        <v>1016</v>
      </c>
      <c r="AX26">
        <v>-2.14</v>
      </c>
      <c r="CD26" t="s">
        <v>1157</v>
      </c>
      <c r="CE26" t="s">
        <v>788</v>
      </c>
      <c r="CF26" t="s">
        <v>813</v>
      </c>
      <c r="CG26" t="s">
        <v>700</v>
      </c>
      <c r="CH26" t="s">
        <v>1211</v>
      </c>
      <c r="CI26" s="2">
        <v>45212</v>
      </c>
      <c r="CJ26" t="s">
        <v>1212</v>
      </c>
      <c r="CL26">
        <v>308</v>
      </c>
      <c r="CM26">
        <v>305</v>
      </c>
      <c r="CN26">
        <v>0</v>
      </c>
      <c r="CO26">
        <v>97.62</v>
      </c>
      <c r="CP26">
        <v>1.38</v>
      </c>
      <c r="CQ26">
        <v>100</v>
      </c>
      <c r="CR26">
        <v>100</v>
      </c>
      <c r="CS26">
        <v>100</v>
      </c>
      <c r="CT26">
        <v>100</v>
      </c>
      <c r="CU26">
        <v>100</v>
      </c>
      <c r="CV26">
        <v>100</v>
      </c>
      <c r="CW26">
        <v>99.85</v>
      </c>
      <c r="CX26">
        <v>96.02</v>
      </c>
      <c r="CY26">
        <v>24.06</v>
      </c>
      <c r="CZ26">
        <v>7.51</v>
      </c>
      <c r="DA26">
        <v>3.3</v>
      </c>
      <c r="DB26">
        <v>2.38</v>
      </c>
      <c r="DC26">
        <v>1.7</v>
      </c>
      <c r="DD26">
        <v>1.56</v>
      </c>
      <c r="DE26">
        <v>1.5</v>
      </c>
      <c r="DF26">
        <v>1</v>
      </c>
      <c r="DG26">
        <v>349</v>
      </c>
      <c r="DH26">
        <v>328</v>
      </c>
      <c r="DI26">
        <v>308</v>
      </c>
      <c r="DJ26">
        <v>200</v>
      </c>
      <c r="DK26">
        <v>1.65</v>
      </c>
      <c r="QZ26" t="s">
        <v>1368</v>
      </c>
      <c r="RA26" t="s">
        <v>1368</v>
      </c>
    </row>
    <row r="27" spans="2:473" x14ac:dyDescent="0.3">
      <c r="B27" t="b">
        <v>1</v>
      </c>
      <c r="F27" t="b">
        <v>0</v>
      </c>
      <c r="G27" t="b">
        <v>0</v>
      </c>
      <c r="H27" t="b">
        <v>0</v>
      </c>
      <c r="I27" t="b">
        <v>0</v>
      </c>
      <c r="K27" t="s">
        <v>474</v>
      </c>
      <c r="L27" t="s">
        <v>475</v>
      </c>
      <c r="O27" t="s">
        <v>476</v>
      </c>
      <c r="U27">
        <v>136410</v>
      </c>
      <c r="V27">
        <v>416228.74</v>
      </c>
      <c r="W27">
        <v>8.56</v>
      </c>
      <c r="X27" t="s">
        <v>478</v>
      </c>
      <c r="Y27" t="s">
        <v>550</v>
      </c>
      <c r="Z27" s="2">
        <v>45162</v>
      </c>
      <c r="AA27" t="s">
        <v>555</v>
      </c>
      <c r="AB27" t="s">
        <v>628</v>
      </c>
      <c r="AC27" t="s">
        <v>700</v>
      </c>
      <c r="AD27" t="s">
        <v>702</v>
      </c>
      <c r="AE27" t="s">
        <v>711</v>
      </c>
      <c r="AF27">
        <v>1.06</v>
      </c>
      <c r="AH27" t="s">
        <v>735</v>
      </c>
      <c r="AI27" t="s">
        <v>768</v>
      </c>
      <c r="AJ27" t="s">
        <v>774</v>
      </c>
      <c r="AK27">
        <v>-8.44</v>
      </c>
      <c r="AL27">
        <v>-8.66</v>
      </c>
      <c r="AM27">
        <v>17</v>
      </c>
      <c r="AN27">
        <v>17.22</v>
      </c>
      <c r="AP27" t="s">
        <v>777</v>
      </c>
      <c r="AQ27" t="s">
        <v>788</v>
      </c>
      <c r="AR27" t="s">
        <v>814</v>
      </c>
      <c r="AS27" t="s">
        <v>700</v>
      </c>
      <c r="AT27" t="s">
        <v>993</v>
      </c>
      <c r="AU27" s="2">
        <v>45279</v>
      </c>
      <c r="AV27" t="s">
        <v>1017</v>
      </c>
      <c r="AX27">
        <v>-8.73</v>
      </c>
      <c r="AY27">
        <v>18.8</v>
      </c>
      <c r="AZ27">
        <v>14.2</v>
      </c>
      <c r="BA27">
        <v>32.200000000000003</v>
      </c>
      <c r="QZ27" t="s">
        <v>1368</v>
      </c>
      <c r="RA27" t="s">
        <v>1368</v>
      </c>
    </row>
    <row r="28" spans="2:473" x14ac:dyDescent="0.3">
      <c r="B28" t="b">
        <v>1</v>
      </c>
      <c r="F28" t="b">
        <v>0</v>
      </c>
      <c r="G28" t="b">
        <v>0</v>
      </c>
      <c r="H28" t="b">
        <v>0</v>
      </c>
      <c r="I28" t="b">
        <v>0</v>
      </c>
      <c r="K28" t="s">
        <v>474</v>
      </c>
      <c r="L28" t="s">
        <v>475</v>
      </c>
      <c r="O28" t="s">
        <v>476</v>
      </c>
      <c r="U28">
        <v>136410</v>
      </c>
      <c r="V28">
        <v>416228.74</v>
      </c>
      <c r="W28">
        <v>8.56</v>
      </c>
      <c r="X28" t="s">
        <v>478</v>
      </c>
      <c r="Y28" t="s">
        <v>550</v>
      </c>
      <c r="Z28" s="2">
        <v>45162</v>
      </c>
      <c r="AA28" t="s">
        <v>555</v>
      </c>
      <c r="AB28" t="s">
        <v>628</v>
      </c>
      <c r="AC28" t="s">
        <v>700</v>
      </c>
      <c r="AD28" t="s">
        <v>702</v>
      </c>
      <c r="AE28" t="s">
        <v>711</v>
      </c>
      <c r="AF28">
        <v>1.06</v>
      </c>
      <c r="AH28" t="s">
        <v>736</v>
      </c>
      <c r="AI28" t="s">
        <v>768</v>
      </c>
      <c r="AJ28" t="s">
        <v>774</v>
      </c>
      <c r="AK28">
        <v>-8.66</v>
      </c>
      <c r="AL28">
        <v>-8.84</v>
      </c>
      <c r="AM28">
        <v>17.22</v>
      </c>
      <c r="AN28">
        <v>17.399999999999999</v>
      </c>
      <c r="AP28" t="s">
        <v>777</v>
      </c>
      <c r="AQ28" t="s">
        <v>788</v>
      </c>
      <c r="AR28" t="s">
        <v>815</v>
      </c>
      <c r="AS28" t="s">
        <v>700</v>
      </c>
      <c r="AT28" t="s">
        <v>993</v>
      </c>
      <c r="AU28" s="2">
        <v>45279</v>
      </c>
      <c r="AV28" t="s">
        <v>1018</v>
      </c>
      <c r="AX28">
        <v>-8.75</v>
      </c>
      <c r="BH28">
        <v>3.3</v>
      </c>
      <c r="BL28">
        <v>6.2530041073347142E-6</v>
      </c>
      <c r="CD28" t="s">
        <v>1158</v>
      </c>
      <c r="CE28" t="s">
        <v>788</v>
      </c>
      <c r="CF28" t="s">
        <v>815</v>
      </c>
      <c r="CG28" t="s">
        <v>700</v>
      </c>
      <c r="CH28" t="s">
        <v>1211</v>
      </c>
      <c r="CI28" s="2">
        <v>45212</v>
      </c>
      <c r="CJ28" t="s">
        <v>1213</v>
      </c>
      <c r="CL28">
        <v>232</v>
      </c>
      <c r="CM28">
        <v>207</v>
      </c>
      <c r="CN28">
        <v>0.01</v>
      </c>
      <c r="CO28">
        <v>85.87</v>
      </c>
      <c r="CP28">
        <v>10.92</v>
      </c>
      <c r="CQ28">
        <v>100</v>
      </c>
      <c r="CR28">
        <v>100</v>
      </c>
      <c r="CS28">
        <v>100</v>
      </c>
      <c r="CT28">
        <v>100</v>
      </c>
      <c r="CU28">
        <v>100</v>
      </c>
      <c r="CV28">
        <v>99.99</v>
      </c>
      <c r="CW28">
        <v>99.23</v>
      </c>
      <c r="CX28">
        <v>95.39</v>
      </c>
      <c r="CY28">
        <v>62.28</v>
      </c>
      <c r="CZ28">
        <v>42.46</v>
      </c>
      <c r="DA28">
        <v>25.1</v>
      </c>
      <c r="DB28">
        <v>14.12</v>
      </c>
      <c r="DC28">
        <v>6.7</v>
      </c>
      <c r="DD28">
        <v>4.87</v>
      </c>
      <c r="DE28">
        <v>4</v>
      </c>
      <c r="DF28">
        <v>3.2</v>
      </c>
      <c r="DG28">
        <v>300</v>
      </c>
      <c r="DH28">
        <v>264</v>
      </c>
      <c r="DI28">
        <v>232</v>
      </c>
      <c r="DJ28">
        <v>113</v>
      </c>
      <c r="DK28">
        <v>2.34</v>
      </c>
      <c r="QZ28" t="s">
        <v>1368</v>
      </c>
      <c r="RA28" t="s">
        <v>1368</v>
      </c>
    </row>
    <row r="29" spans="2:473" x14ac:dyDescent="0.3">
      <c r="B29" t="b">
        <v>1</v>
      </c>
      <c r="F29" t="b">
        <v>0</v>
      </c>
      <c r="G29" t="b">
        <v>0</v>
      </c>
      <c r="H29" t="b">
        <v>0</v>
      </c>
      <c r="I29" t="b">
        <v>0</v>
      </c>
      <c r="K29" t="s">
        <v>474</v>
      </c>
      <c r="L29" t="s">
        <v>475</v>
      </c>
      <c r="O29" t="s">
        <v>476</v>
      </c>
      <c r="U29">
        <v>136410</v>
      </c>
      <c r="V29">
        <v>416228.74</v>
      </c>
      <c r="W29">
        <v>8.56</v>
      </c>
      <c r="X29" t="s">
        <v>478</v>
      </c>
      <c r="Y29" t="s">
        <v>550</v>
      </c>
      <c r="Z29" s="2">
        <v>45162</v>
      </c>
      <c r="AA29" t="s">
        <v>555</v>
      </c>
      <c r="AB29" t="s">
        <v>628</v>
      </c>
      <c r="AC29" t="s">
        <v>700</v>
      </c>
      <c r="AD29" t="s">
        <v>702</v>
      </c>
      <c r="AE29" t="s">
        <v>711</v>
      </c>
      <c r="AF29">
        <v>1.06</v>
      </c>
      <c r="AH29" t="s">
        <v>737</v>
      </c>
      <c r="AI29" t="s">
        <v>768</v>
      </c>
      <c r="AJ29" t="s">
        <v>774</v>
      </c>
      <c r="AK29">
        <v>-10.44</v>
      </c>
      <c r="AL29">
        <v>-10.84</v>
      </c>
      <c r="AM29">
        <v>19</v>
      </c>
      <c r="AN29">
        <v>19.399999999999999</v>
      </c>
      <c r="AP29" t="s">
        <v>777</v>
      </c>
      <c r="AQ29" t="s">
        <v>788</v>
      </c>
      <c r="AR29" t="s">
        <v>816</v>
      </c>
      <c r="AS29" t="s">
        <v>700</v>
      </c>
      <c r="AT29" t="s">
        <v>993</v>
      </c>
      <c r="AU29" s="2">
        <v>45279</v>
      </c>
      <c r="AV29" t="s">
        <v>1019</v>
      </c>
      <c r="AX29">
        <v>-10.64</v>
      </c>
      <c r="QZ29" t="s">
        <v>1368</v>
      </c>
      <c r="RA29" t="s">
        <v>1368</v>
      </c>
    </row>
    <row r="30" spans="2:473" x14ac:dyDescent="0.3">
      <c r="B30" t="b">
        <v>1</v>
      </c>
      <c r="F30" t="b">
        <v>0</v>
      </c>
      <c r="G30" t="b">
        <v>0</v>
      </c>
      <c r="H30" t="b">
        <v>0</v>
      </c>
      <c r="I30" t="b">
        <v>0</v>
      </c>
      <c r="K30" t="s">
        <v>474</v>
      </c>
      <c r="L30" t="s">
        <v>475</v>
      </c>
      <c r="O30" t="s">
        <v>476</v>
      </c>
      <c r="U30">
        <v>135949.51999999999</v>
      </c>
      <c r="V30">
        <v>416050.62</v>
      </c>
      <c r="W30">
        <v>6.52</v>
      </c>
      <c r="X30" t="s">
        <v>479</v>
      </c>
      <c r="Y30" t="s">
        <v>550</v>
      </c>
      <c r="Z30" s="2">
        <v>45166</v>
      </c>
      <c r="AA30" t="s">
        <v>556</v>
      </c>
      <c r="AB30" t="s">
        <v>629</v>
      </c>
      <c r="AC30" t="s">
        <v>700</v>
      </c>
      <c r="AD30" t="s">
        <v>702</v>
      </c>
      <c r="AE30" t="s">
        <v>711</v>
      </c>
      <c r="AF30">
        <v>1.02</v>
      </c>
      <c r="AH30" t="s">
        <v>712</v>
      </c>
      <c r="AI30" t="s">
        <v>768</v>
      </c>
      <c r="AJ30" t="s">
        <v>774</v>
      </c>
      <c r="AK30">
        <v>5.62</v>
      </c>
      <c r="AL30">
        <v>5.22</v>
      </c>
      <c r="AM30">
        <v>0.9</v>
      </c>
      <c r="AN30">
        <v>1.3</v>
      </c>
      <c r="AP30" t="s">
        <v>778</v>
      </c>
      <c r="AQ30" t="s">
        <v>788</v>
      </c>
      <c r="AR30" t="s">
        <v>817</v>
      </c>
      <c r="AS30" t="s">
        <v>700</v>
      </c>
      <c r="AT30" t="s">
        <v>993</v>
      </c>
      <c r="AU30" s="2">
        <v>45279</v>
      </c>
      <c r="AV30" t="s">
        <v>1020</v>
      </c>
      <c r="AX30">
        <v>5.59</v>
      </c>
      <c r="AY30">
        <v>17.3</v>
      </c>
      <c r="AZ30">
        <v>14.5</v>
      </c>
      <c r="BA30">
        <v>19.2</v>
      </c>
      <c r="QZ30" t="s">
        <v>1368</v>
      </c>
      <c r="RA30" t="s">
        <v>1368</v>
      </c>
    </row>
    <row r="31" spans="2:473" x14ac:dyDescent="0.3">
      <c r="B31" t="b">
        <v>1</v>
      </c>
      <c r="F31" t="b">
        <v>0</v>
      </c>
      <c r="G31" t="b">
        <v>0</v>
      </c>
      <c r="H31" t="b">
        <v>0</v>
      </c>
      <c r="I31" t="b">
        <v>0</v>
      </c>
      <c r="K31" t="s">
        <v>474</v>
      </c>
      <c r="L31" t="s">
        <v>475</v>
      </c>
      <c r="O31" t="s">
        <v>476</v>
      </c>
      <c r="U31">
        <v>135949.51999999999</v>
      </c>
      <c r="V31">
        <v>416050.62</v>
      </c>
      <c r="W31">
        <v>6.52</v>
      </c>
      <c r="X31" t="s">
        <v>479</v>
      </c>
      <c r="Y31" t="s">
        <v>550</v>
      </c>
      <c r="Z31" s="2">
        <v>45166</v>
      </c>
      <c r="AA31" t="s">
        <v>556</v>
      </c>
      <c r="AB31" t="s">
        <v>629</v>
      </c>
      <c r="AC31" t="s">
        <v>700</v>
      </c>
      <c r="AD31" t="s">
        <v>702</v>
      </c>
      <c r="AE31" t="s">
        <v>711</v>
      </c>
      <c r="AF31">
        <v>1.02</v>
      </c>
      <c r="AH31" t="s">
        <v>713</v>
      </c>
      <c r="AI31" t="s">
        <v>768</v>
      </c>
      <c r="AJ31" t="s">
        <v>774</v>
      </c>
      <c r="AK31">
        <v>4.72</v>
      </c>
      <c r="AL31">
        <v>4.32</v>
      </c>
      <c r="AM31">
        <v>1.8</v>
      </c>
      <c r="AN31">
        <v>2.2000000000000002</v>
      </c>
      <c r="AP31" t="s">
        <v>778</v>
      </c>
      <c r="AQ31" t="s">
        <v>788</v>
      </c>
      <c r="AR31" t="s">
        <v>818</v>
      </c>
      <c r="AS31" t="s">
        <v>700</v>
      </c>
      <c r="AT31" t="s">
        <v>993</v>
      </c>
      <c r="AU31" s="2">
        <v>45279</v>
      </c>
      <c r="AV31" t="s">
        <v>1021</v>
      </c>
      <c r="AX31">
        <v>4.66</v>
      </c>
      <c r="AY31">
        <v>12.9</v>
      </c>
      <c r="AZ31">
        <v>5.2</v>
      </c>
      <c r="BA31">
        <v>149</v>
      </c>
      <c r="QZ31" t="s">
        <v>1368</v>
      </c>
      <c r="RA31" t="s">
        <v>1368</v>
      </c>
    </row>
    <row r="32" spans="2:473" x14ac:dyDescent="0.3">
      <c r="B32" t="b">
        <v>1</v>
      </c>
      <c r="F32" t="b">
        <v>1</v>
      </c>
      <c r="G32" t="b">
        <v>0</v>
      </c>
      <c r="H32" t="b">
        <v>0</v>
      </c>
      <c r="I32" t="b">
        <v>1</v>
      </c>
      <c r="K32" t="s">
        <v>474</v>
      </c>
      <c r="L32" t="s">
        <v>475</v>
      </c>
      <c r="O32" t="s">
        <v>476</v>
      </c>
      <c r="U32">
        <v>135949.51999999999</v>
      </c>
      <c r="V32">
        <v>416050.62</v>
      </c>
      <c r="W32">
        <v>6.52</v>
      </c>
      <c r="X32" t="s">
        <v>479</v>
      </c>
      <c r="Y32" t="s">
        <v>550</v>
      </c>
      <c r="Z32" s="2">
        <v>45166</v>
      </c>
      <c r="AA32" t="s">
        <v>556</v>
      </c>
      <c r="AB32" t="s">
        <v>629</v>
      </c>
      <c r="AC32" t="s">
        <v>700</v>
      </c>
      <c r="AD32" t="s">
        <v>702</v>
      </c>
      <c r="AE32" t="s">
        <v>711</v>
      </c>
      <c r="AF32">
        <v>1.02</v>
      </c>
      <c r="AH32" t="s">
        <v>714</v>
      </c>
      <c r="AI32" t="s">
        <v>768</v>
      </c>
      <c r="AJ32" t="s">
        <v>774</v>
      </c>
      <c r="AK32">
        <v>3.82</v>
      </c>
      <c r="AL32">
        <v>3.42</v>
      </c>
      <c r="AM32">
        <v>2.7</v>
      </c>
      <c r="AN32">
        <v>3.1</v>
      </c>
      <c r="AP32" t="s">
        <v>778</v>
      </c>
      <c r="AQ32" t="s">
        <v>788</v>
      </c>
      <c r="AR32" t="s">
        <v>819</v>
      </c>
      <c r="AS32" t="s">
        <v>700</v>
      </c>
      <c r="AT32" t="s">
        <v>993</v>
      </c>
      <c r="AU32" s="2">
        <v>45279</v>
      </c>
      <c r="AV32" t="s">
        <v>1022</v>
      </c>
      <c r="AX32">
        <v>3.57</v>
      </c>
      <c r="AY32">
        <v>15.8</v>
      </c>
      <c r="AZ32">
        <v>9.1999999999999993</v>
      </c>
      <c r="BA32">
        <v>72.2</v>
      </c>
      <c r="DZ32" t="s">
        <v>1223</v>
      </c>
      <c r="EA32" t="s">
        <v>1238</v>
      </c>
      <c r="EB32" t="s">
        <v>1253</v>
      </c>
      <c r="EC32" t="s">
        <v>1266</v>
      </c>
      <c r="ED32" t="s">
        <v>1267</v>
      </c>
      <c r="EE32" s="2">
        <v>45176</v>
      </c>
      <c r="EF32" t="s">
        <v>1268</v>
      </c>
      <c r="EG32" t="s">
        <v>1270</v>
      </c>
      <c r="EH32">
        <v>3.76</v>
      </c>
      <c r="EI32">
        <v>45.8</v>
      </c>
      <c r="EJ32">
        <v>12.83</v>
      </c>
      <c r="EK32">
        <v>7.03</v>
      </c>
      <c r="EL32">
        <v>82.33</v>
      </c>
      <c r="EM32">
        <v>89.85</v>
      </c>
      <c r="EN32">
        <v>82.32</v>
      </c>
      <c r="EO32">
        <v>21.7</v>
      </c>
      <c r="EP32">
        <v>19.8</v>
      </c>
      <c r="EQ32">
        <v>65.44</v>
      </c>
      <c r="ER32">
        <v>18.8</v>
      </c>
      <c r="ES32">
        <v>18.149999999999999</v>
      </c>
      <c r="ET32">
        <v>10.220000000000001</v>
      </c>
      <c r="EU32">
        <v>0.5</v>
      </c>
      <c r="EV32">
        <v>-0.2</v>
      </c>
      <c r="EW32">
        <v>16</v>
      </c>
      <c r="EX32">
        <v>267.7</v>
      </c>
      <c r="EY32">
        <v>202.6</v>
      </c>
      <c r="EZ32">
        <v>164.1</v>
      </c>
      <c r="FA32">
        <v>91.55</v>
      </c>
      <c r="FB32">
        <v>732.2</v>
      </c>
      <c r="FC32">
        <v>2.61</v>
      </c>
      <c r="FD32">
        <v>87</v>
      </c>
      <c r="FE32">
        <v>12.9</v>
      </c>
      <c r="FF32">
        <v>315.2</v>
      </c>
      <c r="FG32">
        <v>1.4999999999999999E-2</v>
      </c>
      <c r="FH32">
        <v>0.23980000000000001</v>
      </c>
      <c r="FI32">
        <v>1.8499999999999999E-2</v>
      </c>
      <c r="NG32" t="s">
        <v>1296</v>
      </c>
      <c r="NH32" t="s">
        <v>1317</v>
      </c>
      <c r="NI32" t="s">
        <v>1338</v>
      </c>
      <c r="NJ32" t="s">
        <v>1266</v>
      </c>
      <c r="NK32" t="s">
        <v>1356</v>
      </c>
      <c r="NL32" s="2">
        <v>45196</v>
      </c>
      <c r="NM32" t="s">
        <v>1268</v>
      </c>
      <c r="NO32">
        <v>3.57</v>
      </c>
      <c r="NP32">
        <v>45.8</v>
      </c>
      <c r="NQ32">
        <v>15.84</v>
      </c>
      <c r="NR32">
        <v>9.1999999999999993</v>
      </c>
      <c r="NS32">
        <v>64.180000000000007</v>
      </c>
      <c r="NT32">
        <v>72.17</v>
      </c>
      <c r="NU32">
        <v>108.6</v>
      </c>
      <c r="NV32">
        <v>1.65</v>
      </c>
      <c r="NW32">
        <v>2487</v>
      </c>
      <c r="NX32">
        <v>21.3</v>
      </c>
      <c r="NY32">
        <v>21.3</v>
      </c>
      <c r="NZ32">
        <v>50</v>
      </c>
      <c r="OA32">
        <v>100</v>
      </c>
      <c r="OB32" t="s">
        <v>1360</v>
      </c>
      <c r="OC32" t="s">
        <v>1361</v>
      </c>
      <c r="OD32" t="s">
        <v>1362</v>
      </c>
      <c r="OE32">
        <v>300</v>
      </c>
      <c r="OF32" t="s">
        <v>1363</v>
      </c>
      <c r="OG32">
        <v>0.57999999999999996</v>
      </c>
      <c r="OH32" t="s">
        <v>1364</v>
      </c>
      <c r="OI32">
        <v>26.78</v>
      </c>
      <c r="OJ32">
        <v>0.78</v>
      </c>
      <c r="OK32">
        <v>35.229999999999997</v>
      </c>
      <c r="OL32">
        <v>9.91</v>
      </c>
      <c r="OM32">
        <v>35.229999999999997</v>
      </c>
      <c r="ON32">
        <v>9.91</v>
      </c>
      <c r="OO32">
        <v>1</v>
      </c>
      <c r="OP32">
        <v>2.1800000000000002</v>
      </c>
      <c r="OQ32">
        <v>5.38</v>
      </c>
      <c r="OR32" t="s">
        <v>1365</v>
      </c>
      <c r="OS32">
        <v>0.98</v>
      </c>
      <c r="OT32">
        <v>38.54</v>
      </c>
      <c r="OU32">
        <v>23.72</v>
      </c>
      <c r="OV32">
        <v>39.51</v>
      </c>
      <c r="OW32">
        <v>23.79</v>
      </c>
      <c r="OX32">
        <v>39.08</v>
      </c>
      <c r="OY32">
        <v>20.96</v>
      </c>
      <c r="OZ32">
        <v>39.18</v>
      </c>
      <c r="PA32">
        <v>24.17</v>
      </c>
      <c r="PB32">
        <v>3</v>
      </c>
      <c r="PC32">
        <v>37.46</v>
      </c>
      <c r="PD32">
        <v>18.14</v>
      </c>
      <c r="PE32">
        <v>25</v>
      </c>
      <c r="PF32">
        <v>9.1</v>
      </c>
      <c r="PG32">
        <v>0.16</v>
      </c>
      <c r="PH32">
        <v>0.21</v>
      </c>
      <c r="QS32" t="s">
        <v>1366</v>
      </c>
      <c r="QV32">
        <v>45.8</v>
      </c>
      <c r="QW32">
        <v>87</v>
      </c>
      <c r="QX32">
        <v>45.14</v>
      </c>
      <c r="QZ32" t="s">
        <v>1369</v>
      </c>
      <c r="RA32" t="s">
        <v>1368</v>
      </c>
      <c r="RD32">
        <v>87</v>
      </c>
      <c r="RE32">
        <v>1.927337173238812</v>
      </c>
    </row>
    <row r="33" spans="2:474" x14ac:dyDescent="0.3">
      <c r="B33" t="b">
        <v>1</v>
      </c>
      <c r="F33" t="b">
        <v>0</v>
      </c>
      <c r="G33" t="b">
        <v>0</v>
      </c>
      <c r="H33" t="b">
        <v>0</v>
      </c>
      <c r="I33" t="b">
        <v>0</v>
      </c>
      <c r="K33" t="s">
        <v>474</v>
      </c>
      <c r="L33" t="s">
        <v>475</v>
      </c>
      <c r="O33" t="s">
        <v>476</v>
      </c>
      <c r="U33">
        <v>135949.51999999999</v>
      </c>
      <c r="V33">
        <v>416050.62</v>
      </c>
      <c r="W33">
        <v>6.52</v>
      </c>
      <c r="X33" t="s">
        <v>479</v>
      </c>
      <c r="Y33" t="s">
        <v>550</v>
      </c>
      <c r="Z33" s="2">
        <v>45166</v>
      </c>
      <c r="AA33" t="s">
        <v>556</v>
      </c>
      <c r="AB33" t="s">
        <v>629</v>
      </c>
      <c r="AC33" t="s">
        <v>700</v>
      </c>
      <c r="AD33" t="s">
        <v>702</v>
      </c>
      <c r="AE33" t="s">
        <v>711</v>
      </c>
      <c r="AF33">
        <v>1.02</v>
      </c>
      <c r="AH33" t="s">
        <v>725</v>
      </c>
      <c r="AI33" t="s">
        <v>768</v>
      </c>
      <c r="AJ33" t="s">
        <v>774</v>
      </c>
      <c r="AK33">
        <v>2.92</v>
      </c>
      <c r="AL33">
        <v>2.52</v>
      </c>
      <c r="AM33">
        <v>3.6</v>
      </c>
      <c r="AN33">
        <v>4</v>
      </c>
      <c r="AP33" t="s">
        <v>778</v>
      </c>
      <c r="AQ33" t="s">
        <v>788</v>
      </c>
      <c r="AR33" t="s">
        <v>820</v>
      </c>
      <c r="AS33" t="s">
        <v>700</v>
      </c>
      <c r="AT33" t="s">
        <v>993</v>
      </c>
      <c r="AU33" s="2">
        <v>45279</v>
      </c>
      <c r="AV33" t="s">
        <v>1021</v>
      </c>
      <c r="AX33">
        <v>2.88</v>
      </c>
      <c r="AY33">
        <v>17.600000000000001</v>
      </c>
      <c r="AZ33">
        <v>12.5</v>
      </c>
      <c r="BA33">
        <v>41.3</v>
      </c>
      <c r="QZ33" t="s">
        <v>1368</v>
      </c>
      <c r="RA33" t="s">
        <v>1368</v>
      </c>
    </row>
    <row r="34" spans="2:474" x14ac:dyDescent="0.3">
      <c r="B34" t="b">
        <v>1</v>
      </c>
      <c r="F34" t="b">
        <v>0</v>
      </c>
      <c r="G34" t="b">
        <v>0</v>
      </c>
      <c r="H34" t="b">
        <v>0</v>
      </c>
      <c r="I34" t="b">
        <v>0</v>
      </c>
      <c r="K34" t="s">
        <v>474</v>
      </c>
      <c r="L34" t="s">
        <v>475</v>
      </c>
      <c r="O34" t="s">
        <v>476</v>
      </c>
      <c r="U34">
        <v>135949.51999999999</v>
      </c>
      <c r="V34">
        <v>416050.62</v>
      </c>
      <c r="W34">
        <v>6.52</v>
      </c>
      <c r="X34" t="s">
        <v>479</v>
      </c>
      <c r="Y34" t="s">
        <v>550</v>
      </c>
      <c r="Z34" s="2">
        <v>45166</v>
      </c>
      <c r="AA34" t="s">
        <v>556</v>
      </c>
      <c r="AB34" t="s">
        <v>629</v>
      </c>
      <c r="AC34" t="s">
        <v>700</v>
      </c>
      <c r="AD34" t="s">
        <v>702</v>
      </c>
      <c r="AE34" t="s">
        <v>711</v>
      </c>
      <c r="AF34">
        <v>1.02</v>
      </c>
      <c r="AH34" t="s">
        <v>726</v>
      </c>
      <c r="AI34" t="s">
        <v>768</v>
      </c>
      <c r="AJ34" t="s">
        <v>774</v>
      </c>
      <c r="AK34">
        <v>2.02</v>
      </c>
      <c r="AL34">
        <v>1.62</v>
      </c>
      <c r="AM34">
        <v>4.5</v>
      </c>
      <c r="AN34">
        <v>4.9000000000000004</v>
      </c>
      <c r="AP34" t="s">
        <v>778</v>
      </c>
      <c r="AQ34" t="s">
        <v>788</v>
      </c>
      <c r="AR34" t="s">
        <v>821</v>
      </c>
      <c r="AS34" t="s">
        <v>700</v>
      </c>
      <c r="AT34" t="s">
        <v>993</v>
      </c>
      <c r="AU34" s="2">
        <v>45279</v>
      </c>
      <c r="AV34" t="s">
        <v>1021</v>
      </c>
      <c r="AX34">
        <v>1.98</v>
      </c>
      <c r="AY34">
        <v>14.5</v>
      </c>
      <c r="AZ34">
        <v>7.8</v>
      </c>
      <c r="BA34">
        <v>85.8</v>
      </c>
      <c r="QZ34" t="s">
        <v>1368</v>
      </c>
      <c r="RA34" t="s">
        <v>1368</v>
      </c>
    </row>
    <row r="35" spans="2:474" x14ac:dyDescent="0.3">
      <c r="B35" t="b">
        <v>1</v>
      </c>
      <c r="F35" t="b">
        <v>0</v>
      </c>
      <c r="G35" t="b">
        <v>0</v>
      </c>
      <c r="H35" t="b">
        <v>0</v>
      </c>
      <c r="I35" t="b">
        <v>0</v>
      </c>
      <c r="K35" t="s">
        <v>474</v>
      </c>
      <c r="L35" t="s">
        <v>475</v>
      </c>
      <c r="O35" t="s">
        <v>476</v>
      </c>
      <c r="U35">
        <v>135949.51999999999</v>
      </c>
      <c r="V35">
        <v>416050.62</v>
      </c>
      <c r="W35">
        <v>6.52</v>
      </c>
      <c r="X35" t="s">
        <v>479</v>
      </c>
      <c r="Y35" t="s">
        <v>550</v>
      </c>
      <c r="Z35" s="2">
        <v>45166</v>
      </c>
      <c r="AA35" t="s">
        <v>556</v>
      </c>
      <c r="AB35" t="s">
        <v>629</v>
      </c>
      <c r="AC35" t="s">
        <v>700</v>
      </c>
      <c r="AD35" t="s">
        <v>702</v>
      </c>
      <c r="AE35" t="s">
        <v>711</v>
      </c>
      <c r="AF35">
        <v>1.02</v>
      </c>
      <c r="AH35" t="s">
        <v>727</v>
      </c>
      <c r="AI35" t="s">
        <v>768</v>
      </c>
      <c r="AJ35" t="s">
        <v>774</v>
      </c>
      <c r="AK35">
        <v>1.1200000000000001</v>
      </c>
      <c r="AL35">
        <v>0.72</v>
      </c>
      <c r="AM35">
        <v>5.4</v>
      </c>
      <c r="AN35">
        <v>5.8</v>
      </c>
      <c r="AP35" t="s">
        <v>778</v>
      </c>
      <c r="AQ35" t="s">
        <v>788</v>
      </c>
      <c r="AR35" t="s">
        <v>822</v>
      </c>
      <c r="AS35" t="s">
        <v>700</v>
      </c>
      <c r="AT35" t="s">
        <v>993</v>
      </c>
      <c r="AU35" s="2">
        <v>45279</v>
      </c>
      <c r="AV35" t="s">
        <v>1023</v>
      </c>
      <c r="AX35">
        <v>1.07</v>
      </c>
      <c r="AY35">
        <v>17.8</v>
      </c>
      <c r="AZ35">
        <v>12.8</v>
      </c>
      <c r="BA35">
        <v>38.5</v>
      </c>
      <c r="QZ35" t="s">
        <v>1368</v>
      </c>
      <c r="RA35" t="s">
        <v>1368</v>
      </c>
    </row>
    <row r="36" spans="2:474" x14ac:dyDescent="0.3">
      <c r="B36" t="b">
        <v>1</v>
      </c>
      <c r="F36" t="b">
        <v>0</v>
      </c>
      <c r="G36" t="b">
        <v>0</v>
      </c>
      <c r="H36" t="b">
        <v>0</v>
      </c>
      <c r="I36" t="b">
        <v>1</v>
      </c>
      <c r="K36" t="s">
        <v>474</v>
      </c>
      <c r="L36" t="s">
        <v>475</v>
      </c>
      <c r="O36" t="s">
        <v>476</v>
      </c>
      <c r="U36">
        <v>135949.51999999999</v>
      </c>
      <c r="V36">
        <v>416050.62</v>
      </c>
      <c r="W36">
        <v>6.52</v>
      </c>
      <c r="X36" t="s">
        <v>479</v>
      </c>
      <c r="Y36" t="s">
        <v>550</v>
      </c>
      <c r="Z36" s="2">
        <v>45166</v>
      </c>
      <c r="AA36" t="s">
        <v>556</v>
      </c>
      <c r="AB36" t="s">
        <v>629</v>
      </c>
      <c r="AC36" t="s">
        <v>700</v>
      </c>
      <c r="AD36" t="s">
        <v>702</v>
      </c>
      <c r="AE36" t="s">
        <v>711</v>
      </c>
      <c r="AF36">
        <v>1.02</v>
      </c>
      <c r="AH36" t="s">
        <v>717</v>
      </c>
      <c r="AI36" t="s">
        <v>768</v>
      </c>
      <c r="AJ36" t="s">
        <v>774</v>
      </c>
      <c r="AK36">
        <v>0.22</v>
      </c>
      <c r="AL36">
        <v>-0.18</v>
      </c>
      <c r="AM36">
        <v>6.3</v>
      </c>
      <c r="AN36">
        <v>6.7</v>
      </c>
      <c r="AP36" t="s">
        <v>778</v>
      </c>
      <c r="AQ36" t="s">
        <v>788</v>
      </c>
      <c r="AR36" t="s">
        <v>823</v>
      </c>
      <c r="AS36" t="s">
        <v>700</v>
      </c>
      <c r="AT36" t="s">
        <v>993</v>
      </c>
      <c r="AU36" s="2">
        <v>45279</v>
      </c>
      <c r="AV36" t="s">
        <v>1024</v>
      </c>
      <c r="AX36">
        <v>-0.04</v>
      </c>
      <c r="AY36">
        <v>16.899999999999999</v>
      </c>
      <c r="AZ36">
        <v>12.2</v>
      </c>
      <c r="BA36">
        <v>38.5</v>
      </c>
      <c r="NG36" t="s">
        <v>1297</v>
      </c>
      <c r="NH36" t="s">
        <v>1318</v>
      </c>
      <c r="NI36" t="s">
        <v>1339</v>
      </c>
      <c r="NJ36" t="s">
        <v>1266</v>
      </c>
      <c r="NK36" t="s">
        <v>1356</v>
      </c>
      <c r="NL36" s="2">
        <v>45205</v>
      </c>
      <c r="NM36" t="s">
        <v>1268</v>
      </c>
      <c r="NN36" t="s">
        <v>1272</v>
      </c>
      <c r="NO36">
        <v>-0.04</v>
      </c>
      <c r="NP36">
        <v>94.9</v>
      </c>
      <c r="NQ36">
        <v>16.93</v>
      </c>
      <c r="NR36">
        <v>12.22</v>
      </c>
      <c r="NS36">
        <v>38.76</v>
      </c>
      <c r="NT36">
        <v>38.51</v>
      </c>
      <c r="NU36">
        <v>96.33</v>
      </c>
      <c r="NV36">
        <v>0.99</v>
      </c>
      <c r="NW36">
        <v>2482</v>
      </c>
      <c r="NX36">
        <v>21.3</v>
      </c>
      <c r="NY36">
        <v>21.3</v>
      </c>
      <c r="NZ36">
        <v>50</v>
      </c>
      <c r="OA36">
        <v>100</v>
      </c>
      <c r="OB36" t="s">
        <v>1360</v>
      </c>
      <c r="OC36" t="s">
        <v>1361</v>
      </c>
      <c r="OD36" t="s">
        <v>1362</v>
      </c>
      <c r="OE36">
        <v>299</v>
      </c>
      <c r="OF36" t="s">
        <v>1363</v>
      </c>
      <c r="OG36">
        <v>0.66</v>
      </c>
      <c r="OH36" t="s">
        <v>1364</v>
      </c>
      <c r="OI36">
        <v>59.7</v>
      </c>
      <c r="OJ36">
        <v>0.7</v>
      </c>
      <c r="OK36">
        <v>73.66</v>
      </c>
      <c r="OL36">
        <v>15.67</v>
      </c>
      <c r="OM36">
        <v>73.66</v>
      </c>
      <c r="ON36">
        <v>15.67</v>
      </c>
      <c r="OO36">
        <v>1</v>
      </c>
      <c r="OP36">
        <v>3.63</v>
      </c>
      <c r="OQ36">
        <v>7.79</v>
      </c>
      <c r="OR36" t="s">
        <v>1365</v>
      </c>
      <c r="OS36">
        <v>1.1000000000000001</v>
      </c>
      <c r="OT36">
        <v>63.63</v>
      </c>
      <c r="OU36">
        <v>33.24</v>
      </c>
      <c r="OV36">
        <v>67.42</v>
      </c>
      <c r="OW36">
        <v>40.67</v>
      </c>
      <c r="OX36">
        <v>79.73</v>
      </c>
      <c r="OY36">
        <v>48.18</v>
      </c>
      <c r="OZ36">
        <v>80.61</v>
      </c>
      <c r="PA36">
        <v>48.47</v>
      </c>
      <c r="PB36">
        <v>17.66</v>
      </c>
      <c r="PC36">
        <v>78.88</v>
      </c>
      <c r="PD36">
        <v>46.63</v>
      </c>
      <c r="PE36">
        <v>25</v>
      </c>
      <c r="PF36">
        <v>2</v>
      </c>
      <c r="PG36">
        <v>1.64</v>
      </c>
      <c r="PH36">
        <v>0.28000000000000003</v>
      </c>
      <c r="QS36" t="s">
        <v>1366</v>
      </c>
      <c r="QV36">
        <v>94.9</v>
      </c>
      <c r="QX36">
        <v>89.33</v>
      </c>
      <c r="QZ36" t="s">
        <v>1369</v>
      </c>
      <c r="RA36" t="s">
        <v>1368</v>
      </c>
      <c r="RD36">
        <v>89.33</v>
      </c>
      <c r="RE36">
        <v>1</v>
      </c>
    </row>
    <row r="37" spans="2:474" x14ac:dyDescent="0.3">
      <c r="B37" t="b">
        <v>1</v>
      </c>
      <c r="F37" t="b">
        <v>1</v>
      </c>
      <c r="G37" t="b">
        <v>0</v>
      </c>
      <c r="H37" t="b">
        <v>0</v>
      </c>
      <c r="I37" t="b">
        <v>0</v>
      </c>
      <c r="K37" t="s">
        <v>474</v>
      </c>
      <c r="L37" t="s">
        <v>475</v>
      </c>
      <c r="O37" t="s">
        <v>476</v>
      </c>
      <c r="U37">
        <v>135949.51999999999</v>
      </c>
      <c r="V37">
        <v>416050.62</v>
      </c>
      <c r="W37">
        <v>6.52</v>
      </c>
      <c r="X37" t="s">
        <v>479</v>
      </c>
      <c r="Y37" t="s">
        <v>550</v>
      </c>
      <c r="Z37" s="2">
        <v>45166</v>
      </c>
      <c r="AA37" t="s">
        <v>556</v>
      </c>
      <c r="AB37" t="s">
        <v>629</v>
      </c>
      <c r="AC37" t="s">
        <v>700</v>
      </c>
      <c r="AD37" t="s">
        <v>702</v>
      </c>
      <c r="AE37" t="s">
        <v>711</v>
      </c>
      <c r="AF37">
        <v>1.02</v>
      </c>
      <c r="AH37" t="s">
        <v>718</v>
      </c>
      <c r="AI37" t="s">
        <v>768</v>
      </c>
      <c r="AJ37" t="s">
        <v>774</v>
      </c>
      <c r="AK37">
        <v>-0.68</v>
      </c>
      <c r="AL37">
        <v>-1.08</v>
      </c>
      <c r="AM37">
        <v>7.2</v>
      </c>
      <c r="AN37">
        <v>7.6</v>
      </c>
      <c r="AP37" t="s">
        <v>778</v>
      </c>
      <c r="AQ37" t="s">
        <v>788</v>
      </c>
      <c r="AR37" t="s">
        <v>824</v>
      </c>
      <c r="AS37" t="s">
        <v>700</v>
      </c>
      <c r="AT37" t="s">
        <v>993</v>
      </c>
      <c r="AU37" s="2">
        <v>45279</v>
      </c>
      <c r="AV37" t="s">
        <v>1025</v>
      </c>
      <c r="AX37">
        <v>-0.72</v>
      </c>
      <c r="AY37">
        <v>19.5</v>
      </c>
      <c r="AZ37">
        <v>15.3</v>
      </c>
      <c r="BA37">
        <v>27.3</v>
      </c>
      <c r="DZ37" t="s">
        <v>1224</v>
      </c>
      <c r="EA37" t="s">
        <v>1239</v>
      </c>
      <c r="EB37" t="s">
        <v>1254</v>
      </c>
      <c r="EC37" t="s">
        <v>1266</v>
      </c>
      <c r="ED37" t="s">
        <v>1267</v>
      </c>
      <c r="EE37" s="2">
        <v>45176</v>
      </c>
      <c r="EF37" t="s">
        <v>1268</v>
      </c>
      <c r="EH37">
        <v>-0.73</v>
      </c>
      <c r="EI37">
        <v>101</v>
      </c>
      <c r="EJ37">
        <v>19.079999999999998</v>
      </c>
      <c r="EK37">
        <v>15.08</v>
      </c>
      <c r="EL37">
        <v>26.56</v>
      </c>
      <c r="EM37">
        <v>22.34</v>
      </c>
      <c r="EN37">
        <v>94.78</v>
      </c>
      <c r="EO37">
        <v>21.7</v>
      </c>
      <c r="EP37">
        <v>19.8</v>
      </c>
      <c r="EQ37">
        <v>63.49</v>
      </c>
      <c r="ER37">
        <v>18.95</v>
      </c>
      <c r="ES37">
        <v>18.170000000000002</v>
      </c>
      <c r="ET37">
        <v>15.25</v>
      </c>
      <c r="EU37">
        <v>0.5</v>
      </c>
      <c r="EV37">
        <v>-0.2</v>
      </c>
      <c r="EW37">
        <v>16</v>
      </c>
      <c r="EX37">
        <v>593.6</v>
      </c>
      <c r="EY37">
        <v>506.5</v>
      </c>
      <c r="EZ37">
        <v>364.4</v>
      </c>
      <c r="FA37">
        <v>201.1</v>
      </c>
      <c r="FB37">
        <v>1008</v>
      </c>
      <c r="FC37">
        <v>1.29</v>
      </c>
      <c r="FD37">
        <v>171.6</v>
      </c>
      <c r="FE37">
        <v>9.1199999999999992</v>
      </c>
      <c r="FF37">
        <v>691</v>
      </c>
      <c r="FG37">
        <v>4.4999999999999997E-3</v>
      </c>
      <c r="FH37">
        <v>7.6899999999999996E-2</v>
      </c>
      <c r="FI37">
        <v>2.5000000000000001E-3</v>
      </c>
      <c r="QV37">
        <v>101</v>
      </c>
      <c r="QW37">
        <v>171.6</v>
      </c>
      <c r="QZ37" t="s">
        <v>1368</v>
      </c>
      <c r="RA37" t="s">
        <v>1368</v>
      </c>
      <c r="RD37">
        <v>171.6</v>
      </c>
    </row>
    <row r="38" spans="2:474" x14ac:dyDescent="0.3">
      <c r="B38" t="b">
        <v>1</v>
      </c>
      <c r="F38" t="b">
        <v>1</v>
      </c>
      <c r="G38" t="b">
        <v>0</v>
      </c>
      <c r="H38" t="b">
        <v>1</v>
      </c>
      <c r="I38" t="b">
        <v>0</v>
      </c>
      <c r="K38" t="s">
        <v>474</v>
      </c>
      <c r="L38" t="s">
        <v>475</v>
      </c>
      <c r="O38" t="s">
        <v>476</v>
      </c>
      <c r="U38">
        <v>135949.51999999999</v>
      </c>
      <c r="V38">
        <v>416050.62</v>
      </c>
      <c r="W38">
        <v>6.52</v>
      </c>
      <c r="X38" t="s">
        <v>479</v>
      </c>
      <c r="Y38" t="s">
        <v>550</v>
      </c>
      <c r="Z38" s="2">
        <v>45166</v>
      </c>
      <c r="AA38" t="s">
        <v>556</v>
      </c>
      <c r="AB38" t="s">
        <v>629</v>
      </c>
      <c r="AC38" t="s">
        <v>700</v>
      </c>
      <c r="AD38" t="s">
        <v>702</v>
      </c>
      <c r="AE38" t="s">
        <v>711</v>
      </c>
      <c r="AF38">
        <v>1.02</v>
      </c>
      <c r="AH38" t="s">
        <v>738</v>
      </c>
      <c r="AI38" t="s">
        <v>768</v>
      </c>
      <c r="AJ38" t="s">
        <v>774</v>
      </c>
      <c r="AK38">
        <v>-1.58</v>
      </c>
      <c r="AL38">
        <v>-1.78</v>
      </c>
      <c r="AM38">
        <v>8.1</v>
      </c>
      <c r="AN38">
        <v>8.3000000000000007</v>
      </c>
      <c r="AP38" t="s">
        <v>778</v>
      </c>
      <c r="AQ38" t="s">
        <v>788</v>
      </c>
      <c r="AR38" t="s">
        <v>825</v>
      </c>
      <c r="AS38" t="s">
        <v>700</v>
      </c>
      <c r="AT38" t="s">
        <v>993</v>
      </c>
      <c r="AU38" s="2">
        <v>45279</v>
      </c>
      <c r="AV38" t="s">
        <v>1026</v>
      </c>
      <c r="AX38">
        <v>-1.71</v>
      </c>
      <c r="AY38">
        <v>11.1</v>
      </c>
      <c r="AZ38">
        <v>3.6</v>
      </c>
      <c r="BA38">
        <v>211.6</v>
      </c>
      <c r="DZ38" t="s">
        <v>1225</v>
      </c>
      <c r="EA38" t="s">
        <v>1240</v>
      </c>
      <c r="EB38" t="s">
        <v>1255</v>
      </c>
      <c r="EC38" t="s">
        <v>1266</v>
      </c>
      <c r="ED38" t="s">
        <v>1267</v>
      </c>
      <c r="EE38" s="2">
        <v>45176</v>
      </c>
      <c r="EF38" t="s">
        <v>1269</v>
      </c>
      <c r="EG38" t="s">
        <v>1271</v>
      </c>
      <c r="EH38">
        <v>-1.76</v>
      </c>
      <c r="EI38">
        <v>107.5</v>
      </c>
      <c r="EJ38">
        <v>10.96</v>
      </c>
      <c r="EK38">
        <v>3.63</v>
      </c>
      <c r="EL38">
        <v>201.8</v>
      </c>
      <c r="EM38">
        <v>146.1</v>
      </c>
      <c r="EN38">
        <v>93.93</v>
      </c>
      <c r="EO38">
        <v>21.7</v>
      </c>
      <c r="EP38">
        <v>19.8</v>
      </c>
      <c r="EQ38">
        <v>50.03</v>
      </c>
      <c r="ER38">
        <v>18.89</v>
      </c>
      <c r="ES38">
        <v>18.87</v>
      </c>
      <c r="ET38">
        <v>10.16</v>
      </c>
      <c r="EU38">
        <v>0.5</v>
      </c>
      <c r="EV38">
        <v>-0.2</v>
      </c>
      <c r="EW38">
        <v>16</v>
      </c>
      <c r="EX38">
        <v>648.9</v>
      </c>
      <c r="EY38">
        <v>487.8</v>
      </c>
      <c r="EZ38">
        <v>396.5</v>
      </c>
      <c r="FA38">
        <v>226.8</v>
      </c>
      <c r="FB38">
        <v>1083</v>
      </c>
      <c r="FC38">
        <v>2.67</v>
      </c>
      <c r="FD38">
        <v>174.9</v>
      </c>
      <c r="FE38">
        <v>5.66</v>
      </c>
      <c r="FF38">
        <v>750.4</v>
      </c>
      <c r="FG38">
        <v>2.7400000000000001E-2</v>
      </c>
      <c r="FH38">
        <v>0.312</v>
      </c>
      <c r="FI38">
        <v>2.7E-2</v>
      </c>
      <c r="LF38" t="s">
        <v>1274</v>
      </c>
      <c r="LG38" t="s">
        <v>1281</v>
      </c>
      <c r="LH38" t="s">
        <v>825</v>
      </c>
      <c r="LI38" t="s">
        <v>1288</v>
      </c>
      <c r="LJ38" t="s">
        <v>1289</v>
      </c>
      <c r="LK38" s="2">
        <v>45180</v>
      </c>
      <c r="LL38" t="s">
        <v>1269</v>
      </c>
      <c r="LM38" t="s">
        <v>1271</v>
      </c>
      <c r="LN38">
        <v>-1.71</v>
      </c>
      <c r="LO38">
        <v>107.5</v>
      </c>
      <c r="LP38">
        <v>11.14</v>
      </c>
      <c r="LQ38">
        <v>3.57</v>
      </c>
      <c r="LR38">
        <v>211.9</v>
      </c>
      <c r="LS38">
        <v>232.7</v>
      </c>
      <c r="LT38">
        <v>0.97050000000000003</v>
      </c>
      <c r="LU38">
        <v>3.87</v>
      </c>
      <c r="LV38">
        <v>3.2639999999999998</v>
      </c>
      <c r="LW38">
        <v>1772.5</v>
      </c>
      <c r="LX38">
        <v>21.7</v>
      </c>
      <c r="LY38">
        <v>19.8</v>
      </c>
      <c r="LZ38">
        <v>65.319999999999993</v>
      </c>
      <c r="MA38">
        <v>27.93</v>
      </c>
      <c r="MB38">
        <v>24.45</v>
      </c>
      <c r="MC38" t="s">
        <v>1291</v>
      </c>
      <c r="MD38" t="s">
        <v>1292</v>
      </c>
      <c r="ME38">
        <v>107.5</v>
      </c>
      <c r="MF38">
        <v>107.5</v>
      </c>
      <c r="MG38">
        <v>1</v>
      </c>
      <c r="MH38">
        <v>12.45</v>
      </c>
      <c r="MI38">
        <v>1</v>
      </c>
      <c r="MJ38">
        <v>22.06</v>
      </c>
      <c r="MK38">
        <v>4.58</v>
      </c>
      <c r="ML38">
        <v>1.1200000000000001</v>
      </c>
      <c r="MM38">
        <v>97.16</v>
      </c>
      <c r="MN38">
        <v>16.34</v>
      </c>
      <c r="MO38">
        <v>87.82</v>
      </c>
      <c r="MP38">
        <v>23.87</v>
      </c>
      <c r="MQ38">
        <v>78.69</v>
      </c>
      <c r="MR38">
        <v>32.19</v>
      </c>
      <c r="MS38">
        <v>75.08</v>
      </c>
      <c r="MT38">
        <v>34.75</v>
      </c>
      <c r="MU38">
        <v>71.47</v>
      </c>
      <c r="MV38">
        <v>37.159999999999997</v>
      </c>
      <c r="MW38">
        <v>66.22</v>
      </c>
      <c r="MX38">
        <v>37.76</v>
      </c>
      <c r="MY38">
        <v>29.32</v>
      </c>
      <c r="MZ38">
        <v>54.64</v>
      </c>
      <c r="NA38">
        <v>34.44</v>
      </c>
      <c r="NB38">
        <v>45.8</v>
      </c>
      <c r="NF38">
        <v>694.6</v>
      </c>
      <c r="QS38" t="s">
        <v>1367</v>
      </c>
      <c r="QV38">
        <v>107.5</v>
      </c>
      <c r="QW38">
        <v>174.9</v>
      </c>
      <c r="QY38">
        <v>107.5</v>
      </c>
      <c r="QZ38" t="s">
        <v>1368</v>
      </c>
      <c r="RA38" t="s">
        <v>1369</v>
      </c>
      <c r="RD38">
        <v>174.9</v>
      </c>
      <c r="RF38">
        <v>1.626976744186047</v>
      </c>
    </row>
    <row r="39" spans="2:474" x14ac:dyDescent="0.3">
      <c r="B39" t="b">
        <v>1</v>
      </c>
      <c r="F39" t="b">
        <v>0</v>
      </c>
      <c r="G39" t="b">
        <v>0</v>
      </c>
      <c r="H39" t="b">
        <v>1</v>
      </c>
      <c r="I39" t="b">
        <v>0</v>
      </c>
      <c r="K39" t="s">
        <v>474</v>
      </c>
      <c r="L39" t="s">
        <v>475</v>
      </c>
      <c r="O39" t="s">
        <v>476</v>
      </c>
      <c r="U39">
        <v>135949.51999999999</v>
      </c>
      <c r="V39">
        <v>416050.62</v>
      </c>
      <c r="W39">
        <v>6.52</v>
      </c>
      <c r="X39" t="s">
        <v>479</v>
      </c>
      <c r="Y39" t="s">
        <v>550</v>
      </c>
      <c r="Z39" s="2">
        <v>45166</v>
      </c>
      <c r="AA39" t="s">
        <v>556</v>
      </c>
      <c r="AB39" t="s">
        <v>629</v>
      </c>
      <c r="AC39" t="s">
        <v>700</v>
      </c>
      <c r="AD39" t="s">
        <v>702</v>
      </c>
      <c r="AE39" t="s">
        <v>711</v>
      </c>
      <c r="AF39">
        <v>1.02</v>
      </c>
      <c r="AH39" t="s">
        <v>739</v>
      </c>
      <c r="AI39" t="s">
        <v>768</v>
      </c>
      <c r="AJ39" t="s">
        <v>774</v>
      </c>
      <c r="AK39">
        <v>-1.78</v>
      </c>
      <c r="AL39">
        <v>-1.98</v>
      </c>
      <c r="AM39">
        <v>8.3000000000000007</v>
      </c>
      <c r="AN39">
        <v>8.5</v>
      </c>
      <c r="AP39" t="s">
        <v>778</v>
      </c>
      <c r="AQ39" t="s">
        <v>788</v>
      </c>
      <c r="AR39" t="s">
        <v>826</v>
      </c>
      <c r="AS39" t="s">
        <v>700</v>
      </c>
      <c r="AT39" t="s">
        <v>993</v>
      </c>
      <c r="AU39" s="2">
        <v>45279</v>
      </c>
      <c r="AV39" t="s">
        <v>1026</v>
      </c>
      <c r="AX39">
        <v>-1.81</v>
      </c>
      <c r="AY39">
        <v>11.1</v>
      </c>
      <c r="AZ39">
        <v>3.4</v>
      </c>
      <c r="BA39">
        <v>228.1</v>
      </c>
      <c r="LF39" t="s">
        <v>1275</v>
      </c>
      <c r="LG39" t="s">
        <v>1282</v>
      </c>
      <c r="LH39" t="s">
        <v>826</v>
      </c>
      <c r="LI39" t="s">
        <v>1288</v>
      </c>
      <c r="LJ39" t="s">
        <v>1289</v>
      </c>
      <c r="LK39" s="2">
        <v>45201</v>
      </c>
      <c r="LL39" t="s">
        <v>1269</v>
      </c>
      <c r="LM39" t="s">
        <v>1271</v>
      </c>
      <c r="LN39">
        <v>-1.81</v>
      </c>
      <c r="LO39">
        <v>107.5</v>
      </c>
      <c r="LP39">
        <v>11.14</v>
      </c>
      <c r="LQ39">
        <v>3.4</v>
      </c>
      <c r="LR39">
        <v>228.1</v>
      </c>
      <c r="LS39">
        <v>181.1</v>
      </c>
      <c r="LT39">
        <v>0.98129999999999995</v>
      </c>
      <c r="LU39">
        <v>4.1210000000000004</v>
      </c>
      <c r="LV39">
        <v>1.0529999999999999</v>
      </c>
      <c r="LW39">
        <v>1772.6</v>
      </c>
      <c r="LX39">
        <v>21.7</v>
      </c>
      <c r="LY39">
        <v>19.8</v>
      </c>
      <c r="LZ39">
        <v>65.319999999999993</v>
      </c>
      <c r="MA39">
        <v>27.93</v>
      </c>
      <c r="MB39">
        <v>11.2</v>
      </c>
      <c r="MC39" t="s">
        <v>1291</v>
      </c>
      <c r="MD39" t="s">
        <v>1292</v>
      </c>
      <c r="ME39">
        <v>295.10000000000002</v>
      </c>
      <c r="MF39">
        <v>295</v>
      </c>
      <c r="MG39">
        <v>1</v>
      </c>
      <c r="MH39">
        <v>59.9</v>
      </c>
      <c r="MI39">
        <v>1</v>
      </c>
      <c r="MJ39">
        <v>24.55</v>
      </c>
      <c r="MK39">
        <v>4.6790000000000003</v>
      </c>
      <c r="ML39">
        <v>0.52410000000000001</v>
      </c>
      <c r="MM39">
        <v>285</v>
      </c>
      <c r="MN39">
        <v>23.14</v>
      </c>
      <c r="MO39">
        <v>272.8</v>
      </c>
      <c r="MP39">
        <v>46.43</v>
      </c>
      <c r="MQ39">
        <v>253.7</v>
      </c>
      <c r="MR39">
        <v>68.56</v>
      </c>
      <c r="MS39">
        <v>240</v>
      </c>
      <c r="MT39">
        <v>82.37</v>
      </c>
      <c r="MU39">
        <v>230.2</v>
      </c>
      <c r="MV39">
        <v>91.5</v>
      </c>
      <c r="MW39">
        <v>204.7</v>
      </c>
      <c r="MX39">
        <v>108.7</v>
      </c>
      <c r="MY39">
        <v>46.48</v>
      </c>
      <c r="MZ39">
        <v>205.1</v>
      </c>
      <c r="NA39">
        <v>108.7</v>
      </c>
      <c r="NB39">
        <v>46.8</v>
      </c>
      <c r="NF39">
        <v>843.7</v>
      </c>
      <c r="QS39" t="s">
        <v>1367</v>
      </c>
      <c r="QV39">
        <v>107.5</v>
      </c>
      <c r="QY39">
        <v>295.10000000000002</v>
      </c>
      <c r="QZ39" t="s">
        <v>1368</v>
      </c>
      <c r="RA39" t="s">
        <v>1368</v>
      </c>
      <c r="RD39">
        <v>295.10000000000002</v>
      </c>
      <c r="RF39">
        <v>1.000338983050848</v>
      </c>
    </row>
    <row r="40" spans="2:474" x14ac:dyDescent="0.3">
      <c r="B40" t="b">
        <v>1</v>
      </c>
      <c r="F40" t="b">
        <v>0</v>
      </c>
      <c r="G40" t="b">
        <v>0</v>
      </c>
      <c r="H40" t="b">
        <v>0</v>
      </c>
      <c r="I40" t="b">
        <v>0</v>
      </c>
      <c r="K40" t="s">
        <v>474</v>
      </c>
      <c r="L40" t="s">
        <v>475</v>
      </c>
      <c r="O40" t="s">
        <v>476</v>
      </c>
      <c r="U40">
        <v>135949.51999999999</v>
      </c>
      <c r="V40">
        <v>416050.62</v>
      </c>
      <c r="W40">
        <v>6.52</v>
      </c>
      <c r="X40" t="s">
        <v>479</v>
      </c>
      <c r="Y40" t="s">
        <v>550</v>
      </c>
      <c r="Z40" s="2">
        <v>45166</v>
      </c>
      <c r="AA40" t="s">
        <v>556</v>
      </c>
      <c r="AB40" t="s">
        <v>629</v>
      </c>
      <c r="AC40" t="s">
        <v>700</v>
      </c>
      <c r="AD40" t="s">
        <v>702</v>
      </c>
      <c r="AE40" t="s">
        <v>711</v>
      </c>
      <c r="AF40">
        <v>1.02</v>
      </c>
      <c r="AH40" t="s">
        <v>740</v>
      </c>
      <c r="AI40" t="s">
        <v>768</v>
      </c>
      <c r="AJ40" t="s">
        <v>774</v>
      </c>
      <c r="AK40">
        <v>-6.98</v>
      </c>
      <c r="AL40">
        <v>-7.2</v>
      </c>
      <c r="AM40">
        <v>13.5</v>
      </c>
      <c r="AN40">
        <v>13.72</v>
      </c>
      <c r="AP40" t="s">
        <v>778</v>
      </c>
      <c r="AQ40" t="s">
        <v>788</v>
      </c>
      <c r="AR40" t="s">
        <v>827</v>
      </c>
      <c r="AS40" t="s">
        <v>700</v>
      </c>
      <c r="AT40" t="s">
        <v>993</v>
      </c>
      <c r="AU40" s="2">
        <v>45279</v>
      </c>
      <c r="AV40" t="s">
        <v>1027</v>
      </c>
      <c r="AX40">
        <v>-7.09</v>
      </c>
      <c r="CD40" t="s">
        <v>1159</v>
      </c>
      <c r="CE40" t="s">
        <v>788</v>
      </c>
      <c r="CF40" t="s">
        <v>827</v>
      </c>
      <c r="CG40" t="s">
        <v>700</v>
      </c>
      <c r="CH40" t="s">
        <v>1211</v>
      </c>
      <c r="CI40" s="2">
        <v>45212</v>
      </c>
      <c r="CJ40" t="s">
        <v>1214</v>
      </c>
      <c r="CL40">
        <v>263</v>
      </c>
      <c r="CM40">
        <v>258</v>
      </c>
      <c r="CN40">
        <v>0.77</v>
      </c>
      <c r="CO40">
        <v>95.61</v>
      </c>
      <c r="CP40">
        <v>2.12</v>
      </c>
      <c r="CQ40">
        <v>100</v>
      </c>
      <c r="CR40">
        <v>100</v>
      </c>
      <c r="CS40">
        <v>100</v>
      </c>
      <c r="CT40">
        <v>99.99</v>
      </c>
      <c r="CU40">
        <v>99.69</v>
      </c>
      <c r="CV40">
        <v>99.23</v>
      </c>
      <c r="CW40">
        <v>98.31</v>
      </c>
      <c r="CX40">
        <v>91.7</v>
      </c>
      <c r="CY40">
        <v>47.66</v>
      </c>
      <c r="CZ40">
        <v>20.53</v>
      </c>
      <c r="DA40">
        <v>8.92</v>
      </c>
      <c r="DB40">
        <v>3.62</v>
      </c>
      <c r="DC40">
        <v>2.5</v>
      </c>
      <c r="DD40">
        <v>2.16</v>
      </c>
      <c r="DE40">
        <v>2</v>
      </c>
      <c r="DF40">
        <v>1.5</v>
      </c>
      <c r="DG40">
        <v>332</v>
      </c>
      <c r="DH40">
        <v>298</v>
      </c>
      <c r="DI40">
        <v>263</v>
      </c>
      <c r="DJ40">
        <v>145</v>
      </c>
      <c r="DK40">
        <v>2.0499999999999998</v>
      </c>
      <c r="QZ40" t="s">
        <v>1368</v>
      </c>
      <c r="RA40" t="s">
        <v>1368</v>
      </c>
    </row>
    <row r="41" spans="2:474" x14ac:dyDescent="0.3">
      <c r="B41" t="b">
        <v>1</v>
      </c>
      <c r="F41" t="b">
        <v>0</v>
      </c>
      <c r="G41" t="b">
        <v>0</v>
      </c>
      <c r="H41" t="b">
        <v>0</v>
      </c>
      <c r="I41" t="b">
        <v>0</v>
      </c>
      <c r="K41" t="s">
        <v>474</v>
      </c>
      <c r="L41" t="s">
        <v>475</v>
      </c>
      <c r="O41" t="s">
        <v>476</v>
      </c>
      <c r="U41">
        <v>135949.51999999999</v>
      </c>
      <c r="V41">
        <v>416050.62</v>
      </c>
      <c r="W41">
        <v>6.52</v>
      </c>
      <c r="X41" t="s">
        <v>479</v>
      </c>
      <c r="Y41" t="s">
        <v>550</v>
      </c>
      <c r="Z41" s="2">
        <v>45166</v>
      </c>
      <c r="AA41" t="s">
        <v>556</v>
      </c>
      <c r="AB41" t="s">
        <v>629</v>
      </c>
      <c r="AC41" t="s">
        <v>700</v>
      </c>
      <c r="AD41" t="s">
        <v>702</v>
      </c>
      <c r="AE41" t="s">
        <v>711</v>
      </c>
      <c r="AF41">
        <v>1.02</v>
      </c>
      <c r="AH41" t="s">
        <v>741</v>
      </c>
      <c r="AI41" t="s">
        <v>768</v>
      </c>
      <c r="AJ41" t="s">
        <v>774</v>
      </c>
      <c r="AK41">
        <v>-7.2</v>
      </c>
      <c r="AL41">
        <v>-7.38</v>
      </c>
      <c r="AM41">
        <v>13.72</v>
      </c>
      <c r="AN41">
        <v>13.9</v>
      </c>
      <c r="AP41" t="s">
        <v>778</v>
      </c>
      <c r="AQ41" t="s">
        <v>788</v>
      </c>
      <c r="AR41" t="s">
        <v>828</v>
      </c>
      <c r="AS41" t="s">
        <v>700</v>
      </c>
      <c r="AT41" t="s">
        <v>993</v>
      </c>
      <c r="AU41" s="2">
        <v>45279</v>
      </c>
      <c r="AV41" t="s">
        <v>1028</v>
      </c>
      <c r="AX41">
        <v>-7.29</v>
      </c>
      <c r="BH41">
        <v>2</v>
      </c>
      <c r="BL41">
        <v>3.5990733823438608E-6</v>
      </c>
      <c r="QZ41" t="s">
        <v>1368</v>
      </c>
      <c r="RA41" t="s">
        <v>1368</v>
      </c>
    </row>
    <row r="42" spans="2:474" x14ac:dyDescent="0.3">
      <c r="B42" t="b">
        <v>1</v>
      </c>
      <c r="F42" t="b">
        <v>0</v>
      </c>
      <c r="G42" t="b">
        <v>0</v>
      </c>
      <c r="H42" t="b">
        <v>0</v>
      </c>
      <c r="I42" t="b">
        <v>0</v>
      </c>
      <c r="K42" t="s">
        <v>474</v>
      </c>
      <c r="L42" t="s">
        <v>475</v>
      </c>
      <c r="O42" t="s">
        <v>476</v>
      </c>
      <c r="U42">
        <v>135949.51999999999</v>
      </c>
      <c r="V42">
        <v>416050.62</v>
      </c>
      <c r="W42">
        <v>6.52</v>
      </c>
      <c r="X42" t="s">
        <v>479</v>
      </c>
      <c r="Y42" t="s">
        <v>550</v>
      </c>
      <c r="Z42" s="2">
        <v>45166</v>
      </c>
      <c r="AA42" t="s">
        <v>556</v>
      </c>
      <c r="AB42" t="s">
        <v>629</v>
      </c>
      <c r="AC42" t="s">
        <v>700</v>
      </c>
      <c r="AD42" t="s">
        <v>702</v>
      </c>
      <c r="AE42" t="s">
        <v>711</v>
      </c>
      <c r="AF42">
        <v>1.02</v>
      </c>
      <c r="AH42" t="s">
        <v>742</v>
      </c>
      <c r="AI42" t="s">
        <v>768</v>
      </c>
      <c r="AJ42" t="s">
        <v>774</v>
      </c>
      <c r="AK42">
        <v>-7.48</v>
      </c>
      <c r="AL42">
        <v>-7.68</v>
      </c>
      <c r="AM42">
        <v>14</v>
      </c>
      <c r="AN42">
        <v>14.2</v>
      </c>
      <c r="AP42" t="s">
        <v>778</v>
      </c>
      <c r="AQ42" t="s">
        <v>788</v>
      </c>
      <c r="AR42" t="s">
        <v>829</v>
      </c>
      <c r="AS42" t="s">
        <v>700</v>
      </c>
      <c r="AT42" t="s">
        <v>993</v>
      </c>
      <c r="AU42" s="2">
        <v>45279</v>
      </c>
      <c r="AV42" t="s">
        <v>1029</v>
      </c>
      <c r="AX42">
        <v>-7.58</v>
      </c>
      <c r="QZ42" t="s">
        <v>1368</v>
      </c>
      <c r="RA42" t="s">
        <v>1368</v>
      </c>
    </row>
    <row r="43" spans="2:474" x14ac:dyDescent="0.3">
      <c r="B43" t="b">
        <v>1</v>
      </c>
      <c r="F43" t="b">
        <v>0</v>
      </c>
      <c r="G43" t="b">
        <v>0</v>
      </c>
      <c r="H43" t="b">
        <v>0</v>
      </c>
      <c r="I43" t="b">
        <v>0</v>
      </c>
      <c r="K43" t="s">
        <v>474</v>
      </c>
      <c r="L43" t="s">
        <v>475</v>
      </c>
      <c r="O43" t="s">
        <v>476</v>
      </c>
      <c r="U43">
        <v>135949.51999999999</v>
      </c>
      <c r="V43">
        <v>416050.62</v>
      </c>
      <c r="W43">
        <v>6.52</v>
      </c>
      <c r="X43" t="s">
        <v>479</v>
      </c>
      <c r="Y43" t="s">
        <v>550</v>
      </c>
      <c r="Z43" s="2">
        <v>45166</v>
      </c>
      <c r="AA43" t="s">
        <v>556</v>
      </c>
      <c r="AB43" t="s">
        <v>629</v>
      </c>
      <c r="AC43" t="s">
        <v>700</v>
      </c>
      <c r="AD43" t="s">
        <v>702</v>
      </c>
      <c r="AE43" t="s">
        <v>711</v>
      </c>
      <c r="AF43">
        <v>1.02</v>
      </c>
      <c r="AH43" t="s">
        <v>743</v>
      </c>
      <c r="AI43" t="s">
        <v>768</v>
      </c>
      <c r="AJ43" t="s">
        <v>774</v>
      </c>
      <c r="AK43">
        <v>-7.68</v>
      </c>
      <c r="AL43">
        <v>-7.98</v>
      </c>
      <c r="AM43">
        <v>14.2</v>
      </c>
      <c r="AN43">
        <v>14.5</v>
      </c>
      <c r="AP43" t="s">
        <v>778</v>
      </c>
      <c r="AQ43" t="s">
        <v>788</v>
      </c>
      <c r="AR43" t="s">
        <v>830</v>
      </c>
      <c r="AS43" t="s">
        <v>700</v>
      </c>
      <c r="AT43" t="s">
        <v>993</v>
      </c>
      <c r="AU43" s="2">
        <v>45279</v>
      </c>
      <c r="AV43" t="s">
        <v>1030</v>
      </c>
      <c r="AX43">
        <v>-7.83</v>
      </c>
      <c r="QZ43" t="s">
        <v>1368</v>
      </c>
      <c r="RA43" t="s">
        <v>1368</v>
      </c>
    </row>
    <row r="44" spans="2:474" x14ac:dyDescent="0.3">
      <c r="B44" t="b">
        <v>1</v>
      </c>
      <c r="F44" t="b">
        <v>0</v>
      </c>
      <c r="G44" t="b">
        <v>0</v>
      </c>
      <c r="H44" t="b">
        <v>0</v>
      </c>
      <c r="I44" t="b">
        <v>0</v>
      </c>
      <c r="K44" t="s">
        <v>474</v>
      </c>
      <c r="L44" t="s">
        <v>475</v>
      </c>
      <c r="O44" t="s">
        <v>476</v>
      </c>
      <c r="U44">
        <v>135949.51999999999</v>
      </c>
      <c r="V44">
        <v>416050.62</v>
      </c>
      <c r="W44">
        <v>6.52</v>
      </c>
      <c r="X44" t="s">
        <v>479</v>
      </c>
      <c r="Y44" t="s">
        <v>550</v>
      </c>
      <c r="Z44" s="2">
        <v>45166</v>
      </c>
      <c r="AA44" t="s">
        <v>556</v>
      </c>
      <c r="AB44" t="s">
        <v>629</v>
      </c>
      <c r="AC44" t="s">
        <v>700</v>
      </c>
      <c r="AD44" t="s">
        <v>702</v>
      </c>
      <c r="AE44" t="s">
        <v>711</v>
      </c>
      <c r="AF44">
        <v>1.02</v>
      </c>
      <c r="AH44" t="s">
        <v>744</v>
      </c>
      <c r="AI44" t="s">
        <v>768</v>
      </c>
      <c r="AJ44" t="s">
        <v>774</v>
      </c>
      <c r="AK44">
        <v>-11.48</v>
      </c>
      <c r="AL44">
        <v>-11.59</v>
      </c>
      <c r="AM44">
        <v>18</v>
      </c>
      <c r="AN44">
        <v>18.11</v>
      </c>
      <c r="AP44" t="s">
        <v>778</v>
      </c>
      <c r="AQ44" t="s">
        <v>788</v>
      </c>
      <c r="AR44" t="s">
        <v>831</v>
      </c>
      <c r="AS44" t="s">
        <v>700</v>
      </c>
      <c r="AT44" t="s">
        <v>993</v>
      </c>
      <c r="AU44" s="2">
        <v>45279</v>
      </c>
      <c r="AV44" t="s">
        <v>1031</v>
      </c>
      <c r="AX44">
        <v>-11.54</v>
      </c>
      <c r="QZ44" t="s">
        <v>1368</v>
      </c>
      <c r="RA44" t="s">
        <v>1368</v>
      </c>
    </row>
    <row r="45" spans="2:474" x14ac:dyDescent="0.3">
      <c r="B45" t="b">
        <v>1</v>
      </c>
      <c r="F45" t="b">
        <v>0</v>
      </c>
      <c r="G45" t="b">
        <v>0</v>
      </c>
      <c r="H45" t="b">
        <v>0</v>
      </c>
      <c r="I45" t="b">
        <v>0</v>
      </c>
      <c r="K45" t="s">
        <v>474</v>
      </c>
      <c r="L45" t="s">
        <v>475</v>
      </c>
      <c r="O45" t="s">
        <v>476</v>
      </c>
      <c r="U45">
        <v>135949.51999999999</v>
      </c>
      <c r="V45">
        <v>416050.62</v>
      </c>
      <c r="W45">
        <v>6.52</v>
      </c>
      <c r="X45" t="s">
        <v>479</v>
      </c>
      <c r="Y45" t="s">
        <v>550</v>
      </c>
      <c r="Z45" s="2">
        <v>45166</v>
      </c>
      <c r="AA45" t="s">
        <v>556</v>
      </c>
      <c r="AB45" t="s">
        <v>629</v>
      </c>
      <c r="AC45" t="s">
        <v>700</v>
      </c>
      <c r="AD45" t="s">
        <v>702</v>
      </c>
      <c r="AE45" t="s">
        <v>711</v>
      </c>
      <c r="AF45">
        <v>1.02</v>
      </c>
      <c r="AH45" t="s">
        <v>745</v>
      </c>
      <c r="AI45" t="s">
        <v>768</v>
      </c>
      <c r="AJ45" t="s">
        <v>774</v>
      </c>
      <c r="AK45">
        <v>-11.59</v>
      </c>
      <c r="AL45">
        <v>-11.88</v>
      </c>
      <c r="AM45">
        <v>18.11</v>
      </c>
      <c r="AN45">
        <v>18.399999999999999</v>
      </c>
      <c r="AP45" t="s">
        <v>778</v>
      </c>
      <c r="AQ45" t="s">
        <v>788</v>
      </c>
      <c r="AR45" t="s">
        <v>832</v>
      </c>
      <c r="AS45" t="s">
        <v>700</v>
      </c>
      <c r="AT45" t="s">
        <v>993</v>
      </c>
      <c r="AU45" s="2">
        <v>45279</v>
      </c>
      <c r="AV45" t="s">
        <v>1032</v>
      </c>
      <c r="AX45">
        <v>-11.68</v>
      </c>
      <c r="AY45">
        <v>18.600000000000001</v>
      </c>
      <c r="AZ45">
        <v>14.4</v>
      </c>
      <c r="BA45">
        <v>29.1</v>
      </c>
      <c r="QZ45" t="s">
        <v>1368</v>
      </c>
      <c r="RA45" t="s">
        <v>1368</v>
      </c>
    </row>
    <row r="46" spans="2:474" x14ac:dyDescent="0.3">
      <c r="B46" t="b">
        <v>1</v>
      </c>
      <c r="F46" t="b">
        <v>0</v>
      </c>
      <c r="G46" t="b">
        <v>0</v>
      </c>
      <c r="H46" t="b">
        <v>0</v>
      </c>
      <c r="I46" t="b">
        <v>0</v>
      </c>
      <c r="K46" t="s">
        <v>474</v>
      </c>
      <c r="L46" t="s">
        <v>475</v>
      </c>
      <c r="O46" t="s">
        <v>476</v>
      </c>
      <c r="U46">
        <v>135949.51999999999</v>
      </c>
      <c r="V46">
        <v>416050.62</v>
      </c>
      <c r="W46">
        <v>6.52</v>
      </c>
      <c r="X46" t="s">
        <v>479</v>
      </c>
      <c r="Y46" t="s">
        <v>550</v>
      </c>
      <c r="Z46" s="2">
        <v>45166</v>
      </c>
      <c r="AA46" t="s">
        <v>556</v>
      </c>
      <c r="AB46" t="s">
        <v>629</v>
      </c>
      <c r="AC46" t="s">
        <v>700</v>
      </c>
      <c r="AD46" t="s">
        <v>702</v>
      </c>
      <c r="AE46" t="s">
        <v>711</v>
      </c>
      <c r="AF46">
        <v>1.02</v>
      </c>
      <c r="AH46" t="s">
        <v>734</v>
      </c>
      <c r="AI46" t="s">
        <v>768</v>
      </c>
      <c r="AJ46" t="s">
        <v>774</v>
      </c>
      <c r="AK46">
        <v>-11.98</v>
      </c>
      <c r="AL46">
        <v>-12.38</v>
      </c>
      <c r="AM46">
        <v>18.5</v>
      </c>
      <c r="AN46">
        <v>18.899999999999999</v>
      </c>
      <c r="AP46" t="s">
        <v>778</v>
      </c>
      <c r="AQ46" t="s">
        <v>788</v>
      </c>
      <c r="AR46" t="s">
        <v>833</v>
      </c>
      <c r="AS46" t="s">
        <v>700</v>
      </c>
      <c r="AT46" t="s">
        <v>993</v>
      </c>
      <c r="AU46" s="2">
        <v>45279</v>
      </c>
      <c r="AV46" t="s">
        <v>1033</v>
      </c>
      <c r="AX46">
        <v>-12.18</v>
      </c>
      <c r="QZ46" t="s">
        <v>1368</v>
      </c>
      <c r="RA46" t="s">
        <v>1368</v>
      </c>
    </row>
    <row r="47" spans="2:474" x14ac:dyDescent="0.3">
      <c r="B47" t="b">
        <v>1</v>
      </c>
      <c r="F47" t="b">
        <v>0</v>
      </c>
      <c r="G47" t="b">
        <v>0</v>
      </c>
      <c r="H47" t="b">
        <v>0</v>
      </c>
      <c r="I47" t="b">
        <v>0</v>
      </c>
      <c r="K47" t="s">
        <v>474</v>
      </c>
      <c r="L47" t="s">
        <v>475</v>
      </c>
      <c r="O47" t="s">
        <v>476</v>
      </c>
      <c r="U47">
        <v>135592.91</v>
      </c>
      <c r="V47">
        <v>415884.41</v>
      </c>
      <c r="W47">
        <v>6.56</v>
      </c>
      <c r="X47" t="s">
        <v>480</v>
      </c>
      <c r="Y47" t="s">
        <v>550</v>
      </c>
      <c r="Z47" s="2">
        <v>45168</v>
      </c>
      <c r="AA47" t="s">
        <v>557</v>
      </c>
      <c r="AB47" t="s">
        <v>630</v>
      </c>
      <c r="AC47" t="s">
        <v>700</v>
      </c>
      <c r="AD47" t="s">
        <v>703</v>
      </c>
      <c r="AE47" t="s">
        <v>711</v>
      </c>
      <c r="AF47">
        <v>-0.34</v>
      </c>
      <c r="AH47" t="s">
        <v>712</v>
      </c>
      <c r="AI47" t="s">
        <v>768</v>
      </c>
      <c r="AJ47" t="s">
        <v>774</v>
      </c>
      <c r="AK47">
        <v>5.46</v>
      </c>
      <c r="AL47">
        <v>5.0599999999999996</v>
      </c>
      <c r="AM47">
        <v>1.1000000000000001</v>
      </c>
      <c r="AN47">
        <v>1.5</v>
      </c>
      <c r="AP47" t="s">
        <v>779</v>
      </c>
      <c r="AQ47" t="s">
        <v>788</v>
      </c>
      <c r="AR47" t="s">
        <v>834</v>
      </c>
      <c r="AS47" t="s">
        <v>700</v>
      </c>
      <c r="AT47" t="s">
        <v>993</v>
      </c>
      <c r="AU47" s="2">
        <v>45279</v>
      </c>
      <c r="AV47" t="s">
        <v>1034</v>
      </c>
      <c r="AX47">
        <v>5.31</v>
      </c>
      <c r="AY47">
        <v>17.8</v>
      </c>
      <c r="AZ47">
        <v>13.1</v>
      </c>
      <c r="BA47">
        <v>35.9</v>
      </c>
      <c r="QZ47" t="s">
        <v>1368</v>
      </c>
      <c r="RA47" t="s">
        <v>1368</v>
      </c>
    </row>
    <row r="48" spans="2:474" x14ac:dyDescent="0.3">
      <c r="B48" t="b">
        <v>1</v>
      </c>
      <c r="F48" t="b">
        <v>0</v>
      </c>
      <c r="G48" t="b">
        <v>0</v>
      </c>
      <c r="H48" t="b">
        <v>0</v>
      </c>
      <c r="I48" t="b">
        <v>0</v>
      </c>
      <c r="K48" t="s">
        <v>474</v>
      </c>
      <c r="L48" t="s">
        <v>475</v>
      </c>
      <c r="O48" t="s">
        <v>476</v>
      </c>
      <c r="U48">
        <v>135592.91</v>
      </c>
      <c r="V48">
        <v>415884.41</v>
      </c>
      <c r="W48">
        <v>6.56</v>
      </c>
      <c r="X48" t="s">
        <v>480</v>
      </c>
      <c r="Y48" t="s">
        <v>550</v>
      </c>
      <c r="Z48" s="2">
        <v>45168</v>
      </c>
      <c r="AA48" t="s">
        <v>557</v>
      </c>
      <c r="AB48" t="s">
        <v>630</v>
      </c>
      <c r="AC48" t="s">
        <v>700</v>
      </c>
      <c r="AD48" t="s">
        <v>703</v>
      </c>
      <c r="AE48" t="s">
        <v>711</v>
      </c>
      <c r="AF48">
        <v>-0.34</v>
      </c>
      <c r="AH48" t="s">
        <v>713</v>
      </c>
      <c r="AI48" t="s">
        <v>768</v>
      </c>
      <c r="AJ48" t="s">
        <v>774</v>
      </c>
      <c r="AK48">
        <v>4.5599999999999996</v>
      </c>
      <c r="AL48">
        <v>4.16</v>
      </c>
      <c r="AM48">
        <v>2</v>
      </c>
      <c r="AN48">
        <v>2.4</v>
      </c>
      <c r="AP48" t="s">
        <v>779</v>
      </c>
      <c r="AQ48" t="s">
        <v>788</v>
      </c>
      <c r="AR48" t="s">
        <v>835</v>
      </c>
      <c r="AS48" t="s">
        <v>700</v>
      </c>
      <c r="AT48" t="s">
        <v>993</v>
      </c>
      <c r="AU48" s="2">
        <v>45279</v>
      </c>
      <c r="AV48" t="s">
        <v>1035</v>
      </c>
      <c r="AX48">
        <v>4.38</v>
      </c>
      <c r="AY48">
        <v>17.2</v>
      </c>
      <c r="AZ48">
        <v>11.9</v>
      </c>
      <c r="BA48">
        <v>44.4</v>
      </c>
      <c r="QZ48" t="s">
        <v>1368</v>
      </c>
      <c r="RA48" t="s">
        <v>1368</v>
      </c>
    </row>
    <row r="49" spans="2:474" x14ac:dyDescent="0.3">
      <c r="B49" t="b">
        <v>1</v>
      </c>
      <c r="F49" t="b">
        <v>0</v>
      </c>
      <c r="G49" t="b">
        <v>0</v>
      </c>
      <c r="H49" t="b">
        <v>0</v>
      </c>
      <c r="I49" t="b">
        <v>1</v>
      </c>
      <c r="K49" t="s">
        <v>474</v>
      </c>
      <c r="L49" t="s">
        <v>475</v>
      </c>
      <c r="O49" t="s">
        <v>476</v>
      </c>
      <c r="U49">
        <v>135592.91</v>
      </c>
      <c r="V49">
        <v>415884.41</v>
      </c>
      <c r="W49">
        <v>6.56</v>
      </c>
      <c r="X49" t="s">
        <v>480</v>
      </c>
      <c r="Y49" t="s">
        <v>550</v>
      </c>
      <c r="Z49" s="2">
        <v>45168</v>
      </c>
      <c r="AA49" t="s">
        <v>557</v>
      </c>
      <c r="AB49" t="s">
        <v>630</v>
      </c>
      <c r="AC49" t="s">
        <v>700</v>
      </c>
      <c r="AD49" t="s">
        <v>703</v>
      </c>
      <c r="AE49" t="s">
        <v>711</v>
      </c>
      <c r="AF49">
        <v>-0.34</v>
      </c>
      <c r="AH49" t="s">
        <v>734</v>
      </c>
      <c r="AI49" t="s">
        <v>768</v>
      </c>
      <c r="AJ49" t="s">
        <v>774</v>
      </c>
      <c r="AK49">
        <v>4.16</v>
      </c>
      <c r="AL49">
        <v>3.76</v>
      </c>
      <c r="AM49">
        <v>2.4</v>
      </c>
      <c r="AN49">
        <v>2.8</v>
      </c>
      <c r="AO49">
        <v>13.6</v>
      </c>
      <c r="AP49" t="s">
        <v>779</v>
      </c>
      <c r="AQ49" t="s">
        <v>788</v>
      </c>
      <c r="AR49" t="s">
        <v>836</v>
      </c>
      <c r="AS49" t="s">
        <v>700</v>
      </c>
      <c r="AT49" t="s">
        <v>993</v>
      </c>
      <c r="AU49" s="2">
        <v>45279</v>
      </c>
      <c r="AV49" t="s">
        <v>1036</v>
      </c>
      <c r="AX49">
        <v>3.96</v>
      </c>
      <c r="AY49">
        <v>13.6</v>
      </c>
      <c r="AZ49">
        <v>6.7</v>
      </c>
      <c r="BA49">
        <v>104</v>
      </c>
      <c r="NG49" t="s">
        <v>1298</v>
      </c>
      <c r="NH49" t="s">
        <v>1319</v>
      </c>
      <c r="NI49" t="s">
        <v>1340</v>
      </c>
      <c r="NJ49" t="s">
        <v>1266</v>
      </c>
      <c r="NK49" t="s">
        <v>1356</v>
      </c>
      <c r="NL49" s="2">
        <v>45212</v>
      </c>
      <c r="NM49" t="s">
        <v>1268</v>
      </c>
      <c r="NN49" t="s">
        <v>1358</v>
      </c>
      <c r="NO49">
        <v>3.96</v>
      </c>
      <c r="NP49">
        <v>45.2</v>
      </c>
      <c r="NQ49">
        <v>13.59</v>
      </c>
      <c r="NR49">
        <v>6.66</v>
      </c>
      <c r="NS49">
        <v>119.1</v>
      </c>
      <c r="NT49">
        <v>103.95</v>
      </c>
      <c r="NU49">
        <v>98.91</v>
      </c>
      <c r="NV49">
        <v>2.4900000000000002</v>
      </c>
      <c r="NW49">
        <v>2373</v>
      </c>
      <c r="NX49">
        <v>21.3</v>
      </c>
      <c r="NY49">
        <v>21.3</v>
      </c>
      <c r="NZ49">
        <v>50</v>
      </c>
      <c r="OA49">
        <v>100</v>
      </c>
      <c r="OB49" t="s">
        <v>1360</v>
      </c>
      <c r="OC49" t="s">
        <v>1361</v>
      </c>
      <c r="OD49" t="s">
        <v>1362</v>
      </c>
      <c r="OE49">
        <v>299</v>
      </c>
      <c r="OF49" t="s">
        <v>1363</v>
      </c>
      <c r="OG49">
        <v>0.93</v>
      </c>
      <c r="OH49" t="s">
        <v>1364</v>
      </c>
      <c r="OI49">
        <v>41.83</v>
      </c>
      <c r="OJ49">
        <v>0.83</v>
      </c>
      <c r="OK49">
        <v>42.06</v>
      </c>
      <c r="OL49">
        <v>1.95</v>
      </c>
      <c r="OM49">
        <v>42.06</v>
      </c>
      <c r="ON49">
        <v>1.95</v>
      </c>
      <c r="OO49">
        <v>1</v>
      </c>
      <c r="OP49">
        <v>1.98</v>
      </c>
      <c r="OQ49">
        <v>6.43</v>
      </c>
      <c r="OR49" t="s">
        <v>1365</v>
      </c>
      <c r="OS49">
        <v>0.97</v>
      </c>
      <c r="OT49">
        <v>40.9</v>
      </c>
      <c r="OU49">
        <v>23.49</v>
      </c>
      <c r="OV49">
        <v>41.41</v>
      </c>
      <c r="OW49">
        <v>28.81</v>
      </c>
      <c r="OX49">
        <v>36.520000000000003</v>
      </c>
      <c r="OY49">
        <v>24.11</v>
      </c>
      <c r="OZ49">
        <v>41.45</v>
      </c>
      <c r="PA49">
        <v>28.94</v>
      </c>
      <c r="PB49">
        <v>5.54</v>
      </c>
      <c r="PC49">
        <v>30.8</v>
      </c>
      <c r="PD49">
        <v>18.489999999999998</v>
      </c>
      <c r="PE49">
        <v>25</v>
      </c>
      <c r="PF49">
        <v>3.82</v>
      </c>
      <c r="PG49">
        <v>0.71</v>
      </c>
      <c r="PH49">
        <v>0.48</v>
      </c>
      <c r="QS49" t="s">
        <v>1366</v>
      </c>
      <c r="QV49">
        <v>45.2</v>
      </c>
      <c r="QX49">
        <v>44.010000000000012</v>
      </c>
      <c r="QZ49" t="s">
        <v>1369</v>
      </c>
      <c r="RA49" t="s">
        <v>1368</v>
      </c>
      <c r="RD49">
        <v>44.010000000000012</v>
      </c>
      <c r="RE49">
        <v>1</v>
      </c>
    </row>
    <row r="50" spans="2:474" x14ac:dyDescent="0.3">
      <c r="B50" t="b">
        <v>1</v>
      </c>
      <c r="F50" t="b">
        <v>0</v>
      </c>
      <c r="G50" t="b">
        <v>0</v>
      </c>
      <c r="H50" t="b">
        <v>0</v>
      </c>
      <c r="I50" t="b">
        <v>0</v>
      </c>
      <c r="K50" t="s">
        <v>474</v>
      </c>
      <c r="L50" t="s">
        <v>475</v>
      </c>
      <c r="O50" t="s">
        <v>476</v>
      </c>
      <c r="U50">
        <v>135592.91</v>
      </c>
      <c r="V50">
        <v>415884.41</v>
      </c>
      <c r="W50">
        <v>6.56</v>
      </c>
      <c r="X50" t="s">
        <v>480</v>
      </c>
      <c r="Y50" t="s">
        <v>550</v>
      </c>
      <c r="Z50" s="2">
        <v>45168</v>
      </c>
      <c r="AA50" t="s">
        <v>557</v>
      </c>
      <c r="AB50" t="s">
        <v>630</v>
      </c>
      <c r="AC50" t="s">
        <v>700</v>
      </c>
      <c r="AD50" t="s">
        <v>703</v>
      </c>
      <c r="AE50" t="s">
        <v>711</v>
      </c>
      <c r="AF50">
        <v>-0.34</v>
      </c>
      <c r="AH50" t="s">
        <v>714</v>
      </c>
      <c r="AI50" t="s">
        <v>768</v>
      </c>
      <c r="AJ50" t="s">
        <v>774</v>
      </c>
      <c r="AK50">
        <v>3.66</v>
      </c>
      <c r="AL50">
        <v>3.26</v>
      </c>
      <c r="AM50">
        <v>2.9</v>
      </c>
      <c r="AN50">
        <v>3.3</v>
      </c>
      <c r="AP50" t="s">
        <v>779</v>
      </c>
      <c r="AQ50" t="s">
        <v>788</v>
      </c>
      <c r="AR50" t="s">
        <v>837</v>
      </c>
      <c r="AS50" t="s">
        <v>700</v>
      </c>
      <c r="AT50" t="s">
        <v>993</v>
      </c>
      <c r="AU50" s="2">
        <v>45279</v>
      </c>
      <c r="AV50" t="s">
        <v>1037</v>
      </c>
      <c r="AX50">
        <v>3.51</v>
      </c>
      <c r="AY50">
        <v>17.100000000000001</v>
      </c>
      <c r="AZ50">
        <v>11.9</v>
      </c>
      <c r="BA50">
        <v>44.1</v>
      </c>
      <c r="QZ50" t="s">
        <v>1368</v>
      </c>
      <c r="RA50" t="s">
        <v>1368</v>
      </c>
    </row>
    <row r="51" spans="2:474" x14ac:dyDescent="0.3">
      <c r="B51" t="b">
        <v>1</v>
      </c>
      <c r="F51" t="b">
        <v>0</v>
      </c>
      <c r="G51" t="b">
        <v>0</v>
      </c>
      <c r="H51" t="b">
        <v>0</v>
      </c>
      <c r="I51" t="b">
        <v>0</v>
      </c>
      <c r="K51" t="s">
        <v>474</v>
      </c>
      <c r="L51" t="s">
        <v>475</v>
      </c>
      <c r="O51" t="s">
        <v>476</v>
      </c>
      <c r="U51">
        <v>135592.91</v>
      </c>
      <c r="V51">
        <v>415884.41</v>
      </c>
      <c r="W51">
        <v>6.56</v>
      </c>
      <c r="X51" t="s">
        <v>480</v>
      </c>
      <c r="Y51" t="s">
        <v>550</v>
      </c>
      <c r="Z51" s="2">
        <v>45168</v>
      </c>
      <c r="AA51" t="s">
        <v>557</v>
      </c>
      <c r="AB51" t="s">
        <v>630</v>
      </c>
      <c r="AC51" t="s">
        <v>700</v>
      </c>
      <c r="AD51" t="s">
        <v>703</v>
      </c>
      <c r="AE51" t="s">
        <v>711</v>
      </c>
      <c r="AF51">
        <v>-0.34</v>
      </c>
      <c r="AH51" t="s">
        <v>725</v>
      </c>
      <c r="AI51" t="s">
        <v>768</v>
      </c>
      <c r="AJ51" t="s">
        <v>774</v>
      </c>
      <c r="AK51">
        <v>2.76</v>
      </c>
      <c r="AL51">
        <v>2.36</v>
      </c>
      <c r="AM51">
        <v>3.8</v>
      </c>
      <c r="AN51">
        <v>4.2</v>
      </c>
      <c r="AP51" t="s">
        <v>779</v>
      </c>
      <c r="AQ51" t="s">
        <v>788</v>
      </c>
      <c r="AR51" t="s">
        <v>838</v>
      </c>
      <c r="AS51" t="s">
        <v>700</v>
      </c>
      <c r="AT51" t="s">
        <v>993</v>
      </c>
      <c r="AU51" s="2">
        <v>45279</v>
      </c>
      <c r="AV51" t="s">
        <v>1038</v>
      </c>
      <c r="AX51">
        <v>2.57</v>
      </c>
      <c r="AY51">
        <v>17.600000000000001</v>
      </c>
      <c r="AZ51">
        <v>12.8</v>
      </c>
      <c r="BA51">
        <v>37.299999999999997</v>
      </c>
      <c r="QZ51" t="s">
        <v>1368</v>
      </c>
      <c r="RA51" t="s">
        <v>1368</v>
      </c>
    </row>
    <row r="52" spans="2:474" x14ac:dyDescent="0.3">
      <c r="B52" t="b">
        <v>1</v>
      </c>
      <c r="F52" t="b">
        <v>0</v>
      </c>
      <c r="G52" t="b">
        <v>0</v>
      </c>
      <c r="H52" t="b">
        <v>0</v>
      </c>
      <c r="I52" t="b">
        <v>0</v>
      </c>
      <c r="K52" t="s">
        <v>474</v>
      </c>
      <c r="L52" t="s">
        <v>475</v>
      </c>
      <c r="O52" t="s">
        <v>476</v>
      </c>
      <c r="U52">
        <v>135592.91</v>
      </c>
      <c r="V52">
        <v>415884.41</v>
      </c>
      <c r="W52">
        <v>6.56</v>
      </c>
      <c r="X52" t="s">
        <v>480</v>
      </c>
      <c r="Y52" t="s">
        <v>550</v>
      </c>
      <c r="Z52" s="2">
        <v>45168</v>
      </c>
      <c r="AA52" t="s">
        <v>557</v>
      </c>
      <c r="AB52" t="s">
        <v>630</v>
      </c>
      <c r="AC52" t="s">
        <v>700</v>
      </c>
      <c r="AD52" t="s">
        <v>703</v>
      </c>
      <c r="AE52" t="s">
        <v>711</v>
      </c>
      <c r="AF52">
        <v>-0.34</v>
      </c>
      <c r="AH52" t="s">
        <v>735</v>
      </c>
      <c r="AI52" t="s">
        <v>768</v>
      </c>
      <c r="AJ52" t="s">
        <v>774</v>
      </c>
      <c r="AK52">
        <v>2.36</v>
      </c>
      <c r="AL52">
        <v>2.06</v>
      </c>
      <c r="AM52">
        <v>4.2</v>
      </c>
      <c r="AN52">
        <v>4.5</v>
      </c>
      <c r="AO52">
        <v>15.3</v>
      </c>
      <c r="AP52" t="s">
        <v>779</v>
      </c>
      <c r="AQ52" t="s">
        <v>788</v>
      </c>
      <c r="AR52" t="s">
        <v>839</v>
      </c>
      <c r="AS52" t="s">
        <v>700</v>
      </c>
      <c r="AT52" t="s">
        <v>993</v>
      </c>
      <c r="AU52" s="2">
        <v>45279</v>
      </c>
      <c r="AV52" t="s">
        <v>1039</v>
      </c>
      <c r="AX52">
        <v>2.11</v>
      </c>
      <c r="AY52">
        <v>16.5</v>
      </c>
      <c r="AZ52">
        <v>10.9</v>
      </c>
      <c r="BA52">
        <v>51.7</v>
      </c>
      <c r="QZ52" t="s">
        <v>1368</v>
      </c>
      <c r="RA52" t="s">
        <v>1368</v>
      </c>
    </row>
    <row r="53" spans="2:474" x14ac:dyDescent="0.3">
      <c r="B53" t="b">
        <v>1</v>
      </c>
      <c r="F53" t="b">
        <v>0</v>
      </c>
      <c r="G53" t="b">
        <v>0</v>
      </c>
      <c r="H53" t="b">
        <v>1</v>
      </c>
      <c r="I53" t="b">
        <v>0</v>
      </c>
      <c r="K53" t="s">
        <v>474</v>
      </c>
      <c r="L53" t="s">
        <v>475</v>
      </c>
      <c r="O53" t="s">
        <v>476</v>
      </c>
      <c r="U53">
        <v>135592.91</v>
      </c>
      <c r="V53">
        <v>415884.41</v>
      </c>
      <c r="W53">
        <v>6.56</v>
      </c>
      <c r="X53" t="s">
        <v>480</v>
      </c>
      <c r="Y53" t="s">
        <v>550</v>
      </c>
      <c r="Z53" s="2">
        <v>45168</v>
      </c>
      <c r="AA53" t="s">
        <v>557</v>
      </c>
      <c r="AB53" t="s">
        <v>630</v>
      </c>
      <c r="AC53" t="s">
        <v>700</v>
      </c>
      <c r="AD53" t="s">
        <v>703</v>
      </c>
      <c r="AE53" t="s">
        <v>711</v>
      </c>
      <c r="AF53">
        <v>-0.34</v>
      </c>
      <c r="AH53" t="s">
        <v>736</v>
      </c>
      <c r="AI53" t="s">
        <v>768</v>
      </c>
      <c r="AJ53" t="s">
        <v>774</v>
      </c>
      <c r="AK53">
        <v>2.0699999999999998</v>
      </c>
      <c r="AL53">
        <v>1.97</v>
      </c>
      <c r="AM53">
        <v>4.49</v>
      </c>
      <c r="AN53">
        <v>4.59</v>
      </c>
      <c r="AP53" t="s">
        <v>779</v>
      </c>
      <c r="AQ53" t="s">
        <v>788</v>
      </c>
      <c r="AR53" t="s">
        <v>840</v>
      </c>
      <c r="AS53" t="s">
        <v>700</v>
      </c>
      <c r="AT53" t="s">
        <v>993</v>
      </c>
      <c r="AU53" s="2">
        <v>45279</v>
      </c>
      <c r="AV53" t="s">
        <v>1040</v>
      </c>
      <c r="AX53">
        <v>2.0299999999999998</v>
      </c>
      <c r="AY53">
        <v>12.8</v>
      </c>
      <c r="AZ53">
        <v>5.7</v>
      </c>
      <c r="BA53">
        <v>125</v>
      </c>
      <c r="LF53" t="s">
        <v>1276</v>
      </c>
      <c r="LG53" t="s">
        <v>1283</v>
      </c>
      <c r="LH53" t="s">
        <v>840</v>
      </c>
      <c r="LI53" t="s">
        <v>1288</v>
      </c>
      <c r="LJ53" t="s">
        <v>1289</v>
      </c>
      <c r="LK53" s="2">
        <v>45211</v>
      </c>
      <c r="LL53" t="s">
        <v>1268</v>
      </c>
      <c r="LM53" t="s">
        <v>1270</v>
      </c>
      <c r="LN53">
        <v>2.0299999999999998</v>
      </c>
      <c r="LO53">
        <v>72.8</v>
      </c>
      <c r="LP53">
        <v>12.8</v>
      </c>
      <c r="LQ53">
        <v>5.69</v>
      </c>
      <c r="LR53">
        <v>125</v>
      </c>
      <c r="LS53">
        <v>132.5</v>
      </c>
      <c r="LT53">
        <v>0.98729999999999996</v>
      </c>
      <c r="LU53">
        <v>2.7610000000000001</v>
      </c>
      <c r="LV53">
        <v>2.3490000000000002</v>
      </c>
      <c r="LW53">
        <v>2179.6999999999998</v>
      </c>
      <c r="LX53">
        <v>21.7</v>
      </c>
      <c r="LY53">
        <v>19.8</v>
      </c>
      <c r="LZ53">
        <v>65.319999999999993</v>
      </c>
      <c r="MA53">
        <v>27.93</v>
      </c>
      <c r="MB53">
        <v>24.88</v>
      </c>
      <c r="MC53" t="s">
        <v>1291</v>
      </c>
      <c r="MD53" t="s">
        <v>1292</v>
      </c>
      <c r="ME53">
        <v>72.81</v>
      </c>
      <c r="MF53">
        <v>72.81</v>
      </c>
      <c r="MG53">
        <v>1</v>
      </c>
      <c r="MH53">
        <v>10.94</v>
      </c>
      <c r="MI53">
        <v>1</v>
      </c>
      <c r="MJ53">
        <v>23.09</v>
      </c>
      <c r="MK53">
        <v>4.4960000000000004</v>
      </c>
      <c r="ML53">
        <v>1.1180000000000001</v>
      </c>
      <c r="MM53">
        <v>63.23</v>
      </c>
      <c r="MN53">
        <v>16.37</v>
      </c>
      <c r="MO53">
        <v>56.73</v>
      </c>
      <c r="MP53">
        <v>23.84</v>
      </c>
      <c r="MQ53">
        <v>50.85</v>
      </c>
      <c r="MR53">
        <v>28.55</v>
      </c>
      <c r="MS53">
        <v>46.7</v>
      </c>
      <c r="MT53">
        <v>29.91</v>
      </c>
      <c r="MU53">
        <v>42.02</v>
      </c>
      <c r="MV53">
        <v>29.91</v>
      </c>
      <c r="MW53">
        <v>40.380000000000003</v>
      </c>
      <c r="MX53">
        <v>30.75</v>
      </c>
      <c r="MY53">
        <v>23.45</v>
      </c>
      <c r="MZ53">
        <v>27.6</v>
      </c>
      <c r="NA53">
        <v>26.35</v>
      </c>
      <c r="NB53">
        <v>41.86</v>
      </c>
      <c r="NF53">
        <v>892</v>
      </c>
      <c r="QS53" t="s">
        <v>1367</v>
      </c>
      <c r="QV53">
        <v>72.8</v>
      </c>
      <c r="QY53">
        <v>72.81</v>
      </c>
      <c r="QZ53" t="s">
        <v>1368</v>
      </c>
      <c r="RA53" t="s">
        <v>1369</v>
      </c>
      <c r="RD53">
        <v>72.81</v>
      </c>
      <c r="RF53">
        <v>1</v>
      </c>
    </row>
    <row r="54" spans="2:474" x14ac:dyDescent="0.3">
      <c r="B54" t="b">
        <v>1</v>
      </c>
      <c r="F54" t="b">
        <v>0</v>
      </c>
      <c r="G54" t="b">
        <v>0</v>
      </c>
      <c r="H54" t="b">
        <v>0</v>
      </c>
      <c r="I54" t="b">
        <v>0</v>
      </c>
      <c r="K54" t="s">
        <v>474</v>
      </c>
      <c r="L54" t="s">
        <v>475</v>
      </c>
      <c r="O54" t="s">
        <v>476</v>
      </c>
      <c r="U54">
        <v>135592.91</v>
      </c>
      <c r="V54">
        <v>415884.41</v>
      </c>
      <c r="W54">
        <v>6.56</v>
      </c>
      <c r="X54" t="s">
        <v>480</v>
      </c>
      <c r="Y54" t="s">
        <v>550</v>
      </c>
      <c r="Z54" s="2">
        <v>45168</v>
      </c>
      <c r="AA54" t="s">
        <v>557</v>
      </c>
      <c r="AB54" t="s">
        <v>630</v>
      </c>
      <c r="AC54" t="s">
        <v>700</v>
      </c>
      <c r="AD54" t="s">
        <v>703</v>
      </c>
      <c r="AE54" t="s">
        <v>711</v>
      </c>
      <c r="AF54">
        <v>-0.34</v>
      </c>
      <c r="AH54" t="s">
        <v>726</v>
      </c>
      <c r="AI54" t="s">
        <v>768</v>
      </c>
      <c r="AJ54" t="s">
        <v>774</v>
      </c>
      <c r="AK54">
        <v>1.86</v>
      </c>
      <c r="AL54">
        <v>1.46</v>
      </c>
      <c r="AM54">
        <v>4.7</v>
      </c>
      <c r="AN54">
        <v>5.0999999999999996</v>
      </c>
      <c r="AP54" t="s">
        <v>779</v>
      </c>
      <c r="AQ54" t="s">
        <v>788</v>
      </c>
      <c r="AR54" t="s">
        <v>841</v>
      </c>
      <c r="AS54" t="s">
        <v>700</v>
      </c>
      <c r="AT54" t="s">
        <v>993</v>
      </c>
      <c r="AU54" s="2">
        <v>45279</v>
      </c>
      <c r="AV54" t="s">
        <v>1041</v>
      </c>
      <c r="AX54">
        <v>1.62</v>
      </c>
      <c r="AY54">
        <v>18.600000000000001</v>
      </c>
      <c r="AZ54">
        <v>14.1</v>
      </c>
      <c r="BA54">
        <v>32.4</v>
      </c>
      <c r="QZ54" t="s">
        <v>1368</v>
      </c>
      <c r="RA54" t="s">
        <v>1368</v>
      </c>
    </row>
    <row r="55" spans="2:474" x14ac:dyDescent="0.3">
      <c r="B55" t="b">
        <v>1</v>
      </c>
      <c r="F55" t="b">
        <v>0</v>
      </c>
      <c r="G55" t="b">
        <v>0</v>
      </c>
      <c r="H55" t="b">
        <v>0</v>
      </c>
      <c r="I55" t="b">
        <v>0</v>
      </c>
      <c r="K55" t="s">
        <v>474</v>
      </c>
      <c r="L55" t="s">
        <v>475</v>
      </c>
      <c r="O55" t="s">
        <v>476</v>
      </c>
      <c r="U55">
        <v>135592.91</v>
      </c>
      <c r="V55">
        <v>415884.41</v>
      </c>
      <c r="W55">
        <v>6.56</v>
      </c>
      <c r="X55" t="s">
        <v>480</v>
      </c>
      <c r="Y55" t="s">
        <v>550</v>
      </c>
      <c r="Z55" s="2">
        <v>45168</v>
      </c>
      <c r="AA55" t="s">
        <v>557</v>
      </c>
      <c r="AB55" t="s">
        <v>630</v>
      </c>
      <c r="AC55" t="s">
        <v>700</v>
      </c>
      <c r="AD55" t="s">
        <v>703</v>
      </c>
      <c r="AE55" t="s">
        <v>711</v>
      </c>
      <c r="AF55">
        <v>-0.34</v>
      </c>
      <c r="AH55" t="s">
        <v>727</v>
      </c>
      <c r="AI55" t="s">
        <v>768</v>
      </c>
      <c r="AJ55" t="s">
        <v>774</v>
      </c>
      <c r="AK55">
        <v>0.96</v>
      </c>
      <c r="AL55">
        <v>0.56000000000000005</v>
      </c>
      <c r="AM55">
        <v>5.6</v>
      </c>
      <c r="AN55">
        <v>6</v>
      </c>
      <c r="AP55" t="s">
        <v>779</v>
      </c>
      <c r="AQ55" t="s">
        <v>788</v>
      </c>
      <c r="AR55" t="s">
        <v>842</v>
      </c>
      <c r="AS55" t="s">
        <v>700</v>
      </c>
      <c r="AT55" t="s">
        <v>993</v>
      </c>
      <c r="AU55" s="2">
        <v>45279</v>
      </c>
      <c r="AV55" t="s">
        <v>1042</v>
      </c>
      <c r="AX55">
        <v>0.66</v>
      </c>
      <c r="AY55">
        <v>17.7</v>
      </c>
      <c r="AZ55">
        <v>12.8</v>
      </c>
      <c r="BA55">
        <v>38.4</v>
      </c>
      <c r="QZ55" t="s">
        <v>1368</v>
      </c>
      <c r="RA55" t="s">
        <v>1368</v>
      </c>
    </row>
    <row r="56" spans="2:474" x14ac:dyDescent="0.3">
      <c r="B56" t="b">
        <v>1</v>
      </c>
      <c r="F56" t="b">
        <v>1</v>
      </c>
      <c r="G56" t="b">
        <v>0</v>
      </c>
      <c r="H56" t="b">
        <v>0</v>
      </c>
      <c r="I56" t="b">
        <v>1</v>
      </c>
      <c r="K56" t="s">
        <v>474</v>
      </c>
      <c r="L56" t="s">
        <v>475</v>
      </c>
      <c r="O56" t="s">
        <v>476</v>
      </c>
      <c r="U56">
        <v>135592.91</v>
      </c>
      <c r="V56">
        <v>415884.41</v>
      </c>
      <c r="W56">
        <v>6.56</v>
      </c>
      <c r="X56" t="s">
        <v>480</v>
      </c>
      <c r="Y56" t="s">
        <v>550</v>
      </c>
      <c r="Z56" s="2">
        <v>45168</v>
      </c>
      <c r="AA56" t="s">
        <v>557</v>
      </c>
      <c r="AB56" t="s">
        <v>630</v>
      </c>
      <c r="AC56" t="s">
        <v>700</v>
      </c>
      <c r="AD56" t="s">
        <v>703</v>
      </c>
      <c r="AE56" t="s">
        <v>711</v>
      </c>
      <c r="AF56">
        <v>-0.34</v>
      </c>
      <c r="AH56" t="s">
        <v>717</v>
      </c>
      <c r="AI56" t="s">
        <v>768</v>
      </c>
      <c r="AJ56" t="s">
        <v>774</v>
      </c>
      <c r="AK56">
        <v>0.06</v>
      </c>
      <c r="AL56">
        <v>-0.34</v>
      </c>
      <c r="AM56">
        <v>6.5</v>
      </c>
      <c r="AN56">
        <v>6.9</v>
      </c>
      <c r="AP56" t="s">
        <v>779</v>
      </c>
      <c r="AQ56" t="s">
        <v>788</v>
      </c>
      <c r="AR56" t="s">
        <v>843</v>
      </c>
      <c r="AS56" t="s">
        <v>700</v>
      </c>
      <c r="AT56" t="s">
        <v>993</v>
      </c>
      <c r="AU56" s="2">
        <v>45279</v>
      </c>
      <c r="AV56" t="s">
        <v>1043</v>
      </c>
      <c r="AX56">
        <v>-0.19</v>
      </c>
      <c r="AY56">
        <v>18.399999999999999</v>
      </c>
      <c r="AZ56">
        <v>13.4</v>
      </c>
      <c r="BA56">
        <v>36.9</v>
      </c>
      <c r="DZ56" t="s">
        <v>1226</v>
      </c>
      <c r="EA56" t="s">
        <v>1241</v>
      </c>
      <c r="EB56" t="s">
        <v>1256</v>
      </c>
      <c r="EC56" t="s">
        <v>1266</v>
      </c>
      <c r="ED56" t="s">
        <v>1267</v>
      </c>
      <c r="EE56" s="2">
        <v>45183</v>
      </c>
      <c r="EF56" t="s">
        <v>1268</v>
      </c>
      <c r="EH56">
        <v>0.01</v>
      </c>
      <c r="EI56">
        <v>113</v>
      </c>
      <c r="EJ56">
        <v>18.96</v>
      </c>
      <c r="EK56">
        <v>14.33</v>
      </c>
      <c r="EL56">
        <v>32.35</v>
      </c>
      <c r="EM56">
        <v>27.41</v>
      </c>
      <c r="EN56">
        <v>102.2</v>
      </c>
      <c r="EO56">
        <v>21.7</v>
      </c>
      <c r="EP56">
        <v>19.8</v>
      </c>
      <c r="EQ56">
        <v>65.44</v>
      </c>
      <c r="ER56">
        <v>18.8</v>
      </c>
      <c r="ES56">
        <v>18.66</v>
      </c>
      <c r="ET56">
        <v>16.13</v>
      </c>
      <c r="EU56">
        <v>0.5</v>
      </c>
      <c r="EV56">
        <v>-0.2</v>
      </c>
      <c r="EW56">
        <v>16</v>
      </c>
      <c r="EX56">
        <v>663.4</v>
      </c>
      <c r="EY56">
        <v>564</v>
      </c>
      <c r="EZ56">
        <v>416.6</v>
      </c>
      <c r="FA56">
        <v>225.3</v>
      </c>
      <c r="FB56">
        <v>1128</v>
      </c>
      <c r="FC56">
        <v>0.98</v>
      </c>
      <c r="FD56">
        <v>231</v>
      </c>
      <c r="FE56">
        <v>2.88</v>
      </c>
      <c r="FF56">
        <v>671.8</v>
      </c>
      <c r="FG56">
        <v>6.1999999999999998E-3</v>
      </c>
      <c r="FH56">
        <v>7.7700000000000005E-2</v>
      </c>
      <c r="FI56">
        <v>2.5000000000000001E-3</v>
      </c>
      <c r="NG56" t="s">
        <v>1299</v>
      </c>
      <c r="NH56" t="s">
        <v>1320</v>
      </c>
      <c r="NI56" t="s">
        <v>1341</v>
      </c>
      <c r="NJ56" t="s">
        <v>1266</v>
      </c>
      <c r="NK56" t="s">
        <v>1356</v>
      </c>
      <c r="NL56" s="2">
        <v>45194</v>
      </c>
      <c r="NM56" t="s">
        <v>1268</v>
      </c>
      <c r="NO56">
        <v>-0.19</v>
      </c>
      <c r="NP56">
        <v>113</v>
      </c>
      <c r="NQ56">
        <v>18.399999999999999</v>
      </c>
      <c r="NR56">
        <v>13.44</v>
      </c>
      <c r="NS56">
        <v>36.64</v>
      </c>
      <c r="NT56">
        <v>36.93</v>
      </c>
      <c r="NU56">
        <v>104.11</v>
      </c>
      <c r="NV56">
        <v>0.94</v>
      </c>
      <c r="NW56">
        <v>2663</v>
      </c>
      <c r="NX56">
        <v>21.3</v>
      </c>
      <c r="NY56">
        <v>21.3</v>
      </c>
      <c r="NZ56">
        <v>50</v>
      </c>
      <c r="OA56">
        <v>100</v>
      </c>
      <c r="OB56" t="s">
        <v>1360</v>
      </c>
      <c r="OC56" t="s">
        <v>1361</v>
      </c>
      <c r="OD56" t="s">
        <v>1362</v>
      </c>
      <c r="OE56">
        <v>299</v>
      </c>
      <c r="OF56" t="s">
        <v>1363</v>
      </c>
      <c r="OG56">
        <v>0.68</v>
      </c>
      <c r="OH56" t="s">
        <v>1364</v>
      </c>
      <c r="OI56">
        <v>77.790000000000006</v>
      </c>
      <c r="OJ56">
        <v>0.79</v>
      </c>
      <c r="OK56">
        <v>94.53</v>
      </c>
      <c r="OL56">
        <v>17.95</v>
      </c>
      <c r="OM56">
        <v>94.53</v>
      </c>
      <c r="ON56">
        <v>17.95</v>
      </c>
      <c r="OO56">
        <v>1</v>
      </c>
      <c r="OP56">
        <v>1.1299999999999999</v>
      </c>
      <c r="OQ56">
        <v>3.41</v>
      </c>
      <c r="OR56" t="s">
        <v>1365</v>
      </c>
      <c r="OS56">
        <v>0.97</v>
      </c>
      <c r="OT56">
        <v>110.6</v>
      </c>
      <c r="OU56">
        <v>64.52</v>
      </c>
      <c r="OV56">
        <v>110.6</v>
      </c>
      <c r="OW56">
        <v>60.53</v>
      </c>
      <c r="OX56">
        <v>97</v>
      </c>
      <c r="OY56">
        <v>36.72</v>
      </c>
      <c r="OZ56">
        <v>111.4</v>
      </c>
      <c r="PA56">
        <v>64.98</v>
      </c>
      <c r="PB56">
        <v>2.4900000000000002</v>
      </c>
      <c r="PC56">
        <v>91.63</v>
      </c>
      <c r="PD56">
        <v>30.04</v>
      </c>
      <c r="PE56">
        <v>25</v>
      </c>
      <c r="PF56">
        <v>0.18</v>
      </c>
      <c r="PG56">
        <v>26.24</v>
      </c>
      <c r="PH56">
        <v>0.23</v>
      </c>
      <c r="QS56" t="s">
        <v>1366</v>
      </c>
      <c r="QV56">
        <v>113</v>
      </c>
      <c r="QW56">
        <v>231</v>
      </c>
      <c r="QX56">
        <v>112.48</v>
      </c>
      <c r="QZ56" t="s">
        <v>1369</v>
      </c>
      <c r="RA56" t="s">
        <v>1368</v>
      </c>
      <c r="RD56">
        <v>231</v>
      </c>
      <c r="RE56">
        <v>2.0536984352773819</v>
      </c>
    </row>
    <row r="57" spans="2:474" x14ac:dyDescent="0.3">
      <c r="B57" t="b">
        <v>1</v>
      </c>
      <c r="F57" t="b">
        <v>0</v>
      </c>
      <c r="G57" t="b">
        <v>0</v>
      </c>
      <c r="H57" t="b">
        <v>0</v>
      </c>
      <c r="I57" t="b">
        <v>0</v>
      </c>
      <c r="K57" t="s">
        <v>474</v>
      </c>
      <c r="L57" t="s">
        <v>475</v>
      </c>
      <c r="O57" t="s">
        <v>476</v>
      </c>
      <c r="U57">
        <v>135592.91</v>
      </c>
      <c r="V57">
        <v>415884.41</v>
      </c>
      <c r="W57">
        <v>6.56</v>
      </c>
      <c r="X57" t="s">
        <v>480</v>
      </c>
      <c r="Y57" t="s">
        <v>550</v>
      </c>
      <c r="Z57" s="2">
        <v>45168</v>
      </c>
      <c r="AA57" t="s">
        <v>557</v>
      </c>
      <c r="AB57" t="s">
        <v>630</v>
      </c>
      <c r="AC57" t="s">
        <v>700</v>
      </c>
      <c r="AD57" t="s">
        <v>703</v>
      </c>
      <c r="AE57" t="s">
        <v>711</v>
      </c>
      <c r="AF57">
        <v>-0.34</v>
      </c>
      <c r="AH57" t="s">
        <v>718</v>
      </c>
      <c r="AI57" t="s">
        <v>768</v>
      </c>
      <c r="AJ57" t="s">
        <v>774</v>
      </c>
      <c r="AK57">
        <v>-0.84</v>
      </c>
      <c r="AL57">
        <v>-1.24</v>
      </c>
      <c r="AM57">
        <v>7.4</v>
      </c>
      <c r="AN57">
        <v>7.8</v>
      </c>
      <c r="AP57" t="s">
        <v>779</v>
      </c>
      <c r="AQ57" t="s">
        <v>788</v>
      </c>
      <c r="AR57" t="s">
        <v>844</v>
      </c>
      <c r="AS57" t="s">
        <v>700</v>
      </c>
      <c r="AT57" t="s">
        <v>993</v>
      </c>
      <c r="AU57" s="2">
        <v>45279</v>
      </c>
      <c r="AV57" t="s">
        <v>1044</v>
      </c>
      <c r="AX57">
        <v>-1.1000000000000001</v>
      </c>
      <c r="AY57">
        <v>14.6</v>
      </c>
      <c r="AZ57">
        <v>7.9</v>
      </c>
      <c r="BA57">
        <v>85.6</v>
      </c>
      <c r="QZ57" t="s">
        <v>1368</v>
      </c>
      <c r="RA57" t="s">
        <v>1368</v>
      </c>
    </row>
    <row r="58" spans="2:474" x14ac:dyDescent="0.3">
      <c r="B58" t="b">
        <v>0</v>
      </c>
      <c r="F58" t="b">
        <v>0</v>
      </c>
      <c r="G58" t="b">
        <v>0</v>
      </c>
      <c r="H58" t="b">
        <v>0</v>
      </c>
      <c r="I58" t="b">
        <v>0</v>
      </c>
      <c r="K58" t="s">
        <v>474</v>
      </c>
      <c r="L58" t="s">
        <v>475</v>
      </c>
      <c r="O58" t="s">
        <v>476</v>
      </c>
      <c r="U58">
        <v>135592.91</v>
      </c>
      <c r="V58">
        <v>415884.41</v>
      </c>
      <c r="W58">
        <v>6.56</v>
      </c>
      <c r="X58" t="s">
        <v>480</v>
      </c>
      <c r="Y58" t="s">
        <v>550</v>
      </c>
      <c r="Z58" s="2">
        <v>45168</v>
      </c>
      <c r="AA58" t="s">
        <v>557</v>
      </c>
      <c r="AB58" t="s">
        <v>630</v>
      </c>
      <c r="AC58" t="s">
        <v>700</v>
      </c>
      <c r="AD58" t="s">
        <v>703</v>
      </c>
      <c r="AE58" t="s">
        <v>711</v>
      </c>
      <c r="AF58">
        <v>-0.34</v>
      </c>
      <c r="AH58" t="s">
        <v>730</v>
      </c>
      <c r="AI58" t="s">
        <v>769</v>
      </c>
      <c r="AJ58" t="s">
        <v>775</v>
      </c>
      <c r="AK58">
        <v>-1.74</v>
      </c>
      <c r="AL58">
        <v>-2.14</v>
      </c>
      <c r="AM58">
        <v>8.3000000000000007</v>
      </c>
      <c r="AN58">
        <v>8.6999999999999993</v>
      </c>
      <c r="CD58" t="s">
        <v>1160</v>
      </c>
      <c r="CE58" t="s">
        <v>788</v>
      </c>
      <c r="CF58" t="s">
        <v>1188</v>
      </c>
      <c r="CG58" t="s">
        <v>700</v>
      </c>
      <c r="CH58" t="s">
        <v>1211</v>
      </c>
      <c r="CI58" s="2">
        <v>45212</v>
      </c>
      <c r="CJ58" t="s">
        <v>1213</v>
      </c>
      <c r="CL58">
        <v>214</v>
      </c>
      <c r="CM58">
        <v>186</v>
      </c>
      <c r="CN58">
        <v>0.01</v>
      </c>
      <c r="CO58">
        <v>73.19</v>
      </c>
      <c r="CP58">
        <v>18.3</v>
      </c>
      <c r="CQ58">
        <v>100</v>
      </c>
      <c r="CR58">
        <v>100</v>
      </c>
      <c r="CS58">
        <v>100</v>
      </c>
      <c r="CT58">
        <v>100</v>
      </c>
      <c r="CU58">
        <v>100</v>
      </c>
      <c r="CV58">
        <v>99.99</v>
      </c>
      <c r="CW58">
        <v>99.62</v>
      </c>
      <c r="CX58">
        <v>97.93</v>
      </c>
      <c r="CY58">
        <v>80.569999999999993</v>
      </c>
      <c r="CZ58">
        <v>47.15</v>
      </c>
      <c r="DA58">
        <v>34.4</v>
      </c>
      <c r="DB58">
        <v>26.8</v>
      </c>
      <c r="DC58">
        <v>14</v>
      </c>
      <c r="DD58">
        <v>12.64</v>
      </c>
      <c r="DE58">
        <v>12</v>
      </c>
      <c r="DF58">
        <v>8.5</v>
      </c>
      <c r="DG58">
        <v>245</v>
      </c>
      <c r="DH58">
        <v>229</v>
      </c>
      <c r="DI58">
        <v>214</v>
      </c>
      <c r="DJ58">
        <v>123</v>
      </c>
      <c r="DK58">
        <v>1.87</v>
      </c>
      <c r="QZ58" t="s">
        <v>1368</v>
      </c>
      <c r="RA58" t="s">
        <v>1368</v>
      </c>
    </row>
    <row r="59" spans="2:474" x14ac:dyDescent="0.3">
      <c r="B59" t="b">
        <v>1</v>
      </c>
      <c r="F59" t="b">
        <v>0</v>
      </c>
      <c r="G59" t="b">
        <v>0</v>
      </c>
      <c r="H59" t="b">
        <v>0</v>
      </c>
      <c r="I59" t="b">
        <v>0</v>
      </c>
      <c r="K59" t="s">
        <v>474</v>
      </c>
      <c r="L59" t="s">
        <v>475</v>
      </c>
      <c r="O59" t="s">
        <v>476</v>
      </c>
      <c r="U59">
        <v>135066.5</v>
      </c>
      <c r="V59">
        <v>415594.41</v>
      </c>
      <c r="W59">
        <v>6.34</v>
      </c>
      <c r="X59" t="s">
        <v>481</v>
      </c>
      <c r="Y59" t="s">
        <v>550</v>
      </c>
      <c r="Z59" s="2">
        <v>45170</v>
      </c>
      <c r="AA59" t="s">
        <v>558</v>
      </c>
      <c r="AB59" t="s">
        <v>631</v>
      </c>
      <c r="AC59" t="s">
        <v>700</v>
      </c>
      <c r="AD59" t="s">
        <v>702</v>
      </c>
      <c r="AE59" t="s">
        <v>711</v>
      </c>
      <c r="AF59">
        <v>-0.56000000000000005</v>
      </c>
      <c r="AH59" t="s">
        <v>712</v>
      </c>
      <c r="AI59" t="s">
        <v>768</v>
      </c>
      <c r="AJ59" t="s">
        <v>774</v>
      </c>
      <c r="AK59">
        <v>5.04</v>
      </c>
      <c r="AL59">
        <v>4.6399999999999997</v>
      </c>
      <c r="AM59">
        <v>1.3</v>
      </c>
      <c r="AN59">
        <v>1.7</v>
      </c>
      <c r="AP59" t="s">
        <v>780</v>
      </c>
      <c r="AQ59" t="s">
        <v>788</v>
      </c>
      <c r="AR59" t="s">
        <v>845</v>
      </c>
      <c r="AS59" t="s">
        <v>700</v>
      </c>
      <c r="AT59" t="s">
        <v>993</v>
      </c>
      <c r="AU59" s="2">
        <v>45279</v>
      </c>
      <c r="AV59" t="s">
        <v>1045</v>
      </c>
      <c r="AX59">
        <v>4.8499999999999996</v>
      </c>
      <c r="AY59">
        <v>17.3</v>
      </c>
      <c r="AZ59">
        <v>12.1</v>
      </c>
      <c r="BA59">
        <v>43.4</v>
      </c>
      <c r="QZ59" t="s">
        <v>1368</v>
      </c>
      <c r="RA59" t="s">
        <v>1368</v>
      </c>
    </row>
    <row r="60" spans="2:474" x14ac:dyDescent="0.3">
      <c r="B60" t="b">
        <v>1</v>
      </c>
      <c r="F60" t="b">
        <v>0</v>
      </c>
      <c r="G60" t="b">
        <v>0</v>
      </c>
      <c r="H60" t="b">
        <v>0</v>
      </c>
      <c r="I60" t="b">
        <v>0</v>
      </c>
      <c r="K60" t="s">
        <v>474</v>
      </c>
      <c r="L60" t="s">
        <v>475</v>
      </c>
      <c r="O60" t="s">
        <v>476</v>
      </c>
      <c r="U60">
        <v>135066.5</v>
      </c>
      <c r="V60">
        <v>415594.41</v>
      </c>
      <c r="W60">
        <v>6.34</v>
      </c>
      <c r="X60" t="s">
        <v>481</v>
      </c>
      <c r="Y60" t="s">
        <v>550</v>
      </c>
      <c r="Z60" s="2">
        <v>45170</v>
      </c>
      <c r="AA60" t="s">
        <v>558</v>
      </c>
      <c r="AB60" t="s">
        <v>631</v>
      </c>
      <c r="AC60" t="s">
        <v>700</v>
      </c>
      <c r="AD60" t="s">
        <v>702</v>
      </c>
      <c r="AE60" t="s">
        <v>711</v>
      </c>
      <c r="AF60">
        <v>-0.56000000000000005</v>
      </c>
      <c r="AH60" t="s">
        <v>713</v>
      </c>
      <c r="AI60" t="s">
        <v>768</v>
      </c>
      <c r="AJ60" t="s">
        <v>774</v>
      </c>
      <c r="AK60">
        <v>4.04</v>
      </c>
      <c r="AL60">
        <v>3.64</v>
      </c>
      <c r="AM60">
        <v>2.2999999999999998</v>
      </c>
      <c r="AN60">
        <v>2.7</v>
      </c>
      <c r="AP60" t="s">
        <v>780</v>
      </c>
      <c r="AQ60" t="s">
        <v>788</v>
      </c>
      <c r="AR60" t="s">
        <v>846</v>
      </c>
      <c r="AS60" t="s">
        <v>700</v>
      </c>
      <c r="AT60" t="s">
        <v>993</v>
      </c>
      <c r="AU60" s="2">
        <v>45279</v>
      </c>
      <c r="AV60" t="s">
        <v>1046</v>
      </c>
      <c r="AX60">
        <v>3.9</v>
      </c>
      <c r="AY60">
        <v>16.100000000000001</v>
      </c>
      <c r="AZ60">
        <v>10.4</v>
      </c>
      <c r="BA60">
        <v>55.8</v>
      </c>
      <c r="QZ60" t="s">
        <v>1368</v>
      </c>
      <c r="RA60" t="s">
        <v>1368</v>
      </c>
    </row>
    <row r="61" spans="2:474" x14ac:dyDescent="0.3">
      <c r="B61" t="b">
        <v>1</v>
      </c>
      <c r="F61" t="b">
        <v>1</v>
      </c>
      <c r="G61" t="b">
        <v>0</v>
      </c>
      <c r="H61" t="b">
        <v>0</v>
      </c>
      <c r="I61" t="b">
        <v>1</v>
      </c>
      <c r="K61" t="s">
        <v>474</v>
      </c>
      <c r="L61" t="s">
        <v>475</v>
      </c>
      <c r="O61" t="s">
        <v>476</v>
      </c>
      <c r="U61">
        <v>135066.5</v>
      </c>
      <c r="V61">
        <v>415594.41</v>
      </c>
      <c r="W61">
        <v>6.34</v>
      </c>
      <c r="X61" t="s">
        <v>481</v>
      </c>
      <c r="Y61" t="s">
        <v>550</v>
      </c>
      <c r="Z61" s="2">
        <v>45170</v>
      </c>
      <c r="AA61" t="s">
        <v>558</v>
      </c>
      <c r="AB61" t="s">
        <v>631</v>
      </c>
      <c r="AC61" t="s">
        <v>700</v>
      </c>
      <c r="AD61" t="s">
        <v>702</v>
      </c>
      <c r="AE61" t="s">
        <v>711</v>
      </c>
      <c r="AF61">
        <v>-0.56000000000000005</v>
      </c>
      <c r="AH61" t="s">
        <v>714</v>
      </c>
      <c r="AI61" t="s">
        <v>768</v>
      </c>
      <c r="AJ61" t="s">
        <v>774</v>
      </c>
      <c r="AK61">
        <v>3.04</v>
      </c>
      <c r="AL61">
        <v>2.64</v>
      </c>
      <c r="AM61">
        <v>3.3</v>
      </c>
      <c r="AN61">
        <v>3.7</v>
      </c>
      <c r="AP61" t="s">
        <v>780</v>
      </c>
      <c r="AQ61" t="s">
        <v>788</v>
      </c>
      <c r="AR61" t="s">
        <v>847</v>
      </c>
      <c r="AS61" t="s">
        <v>700</v>
      </c>
      <c r="AT61" t="s">
        <v>993</v>
      </c>
      <c r="AU61" s="2">
        <v>45279</v>
      </c>
      <c r="AV61" t="s">
        <v>1047</v>
      </c>
      <c r="AX61">
        <v>2.77</v>
      </c>
      <c r="AY61">
        <v>16.7</v>
      </c>
      <c r="AZ61">
        <v>10.8</v>
      </c>
      <c r="BA61">
        <v>54.1</v>
      </c>
      <c r="DZ61" t="s">
        <v>1227</v>
      </c>
      <c r="EA61" t="s">
        <v>1242</v>
      </c>
      <c r="EB61" t="s">
        <v>1257</v>
      </c>
      <c r="EC61" t="s">
        <v>1266</v>
      </c>
      <c r="ED61" t="s">
        <v>1267</v>
      </c>
      <c r="EE61" s="2">
        <v>45197</v>
      </c>
      <c r="EF61" t="s">
        <v>1268</v>
      </c>
      <c r="EG61" t="s">
        <v>1272</v>
      </c>
      <c r="EH61">
        <v>2.84</v>
      </c>
      <c r="EI61">
        <v>54.3</v>
      </c>
      <c r="EJ61">
        <v>17.059999999999999</v>
      </c>
      <c r="EK61">
        <v>12.24</v>
      </c>
      <c r="EL61">
        <v>39.4</v>
      </c>
      <c r="EM61">
        <v>34.659999999999997</v>
      </c>
      <c r="EN61">
        <v>91.88</v>
      </c>
      <c r="EO61">
        <v>21.7</v>
      </c>
      <c r="EP61">
        <v>19.8</v>
      </c>
      <c r="EQ61">
        <v>63.49</v>
      </c>
      <c r="ER61">
        <v>18.95</v>
      </c>
      <c r="ES61">
        <v>18.87</v>
      </c>
      <c r="ET61">
        <v>15.44</v>
      </c>
      <c r="EU61">
        <v>0.5</v>
      </c>
      <c r="EV61">
        <v>-0.2</v>
      </c>
      <c r="EW61">
        <v>16</v>
      </c>
      <c r="EX61">
        <v>303.60000000000002</v>
      </c>
      <c r="EY61">
        <v>253.6</v>
      </c>
      <c r="EZ61">
        <v>192.3</v>
      </c>
      <c r="FA61">
        <v>111.5</v>
      </c>
      <c r="FB61">
        <v>811.8</v>
      </c>
      <c r="FC61">
        <v>9.83</v>
      </c>
      <c r="FD61">
        <v>121.5</v>
      </c>
      <c r="FE61">
        <v>3.13</v>
      </c>
      <c r="FF61">
        <v>337</v>
      </c>
      <c r="FG61">
        <v>6.1000000000000004E-3</v>
      </c>
      <c r="FH61">
        <v>8.8099999999999998E-2</v>
      </c>
      <c r="FI61">
        <v>3.5999999999999999E-3</v>
      </c>
      <c r="NG61" t="s">
        <v>1300</v>
      </c>
      <c r="NH61" t="s">
        <v>1321</v>
      </c>
      <c r="NI61" t="s">
        <v>1342</v>
      </c>
      <c r="NJ61" t="s">
        <v>1266</v>
      </c>
      <c r="NK61" t="s">
        <v>1356</v>
      </c>
      <c r="NL61" s="2">
        <v>45205</v>
      </c>
      <c r="NM61" t="s">
        <v>1268</v>
      </c>
      <c r="NN61" t="s">
        <v>1272</v>
      </c>
      <c r="NO61">
        <v>2.77</v>
      </c>
      <c r="NP61">
        <v>54.3</v>
      </c>
      <c r="NQ61">
        <v>16.68</v>
      </c>
      <c r="NR61">
        <v>10.83</v>
      </c>
      <c r="NS61">
        <v>50.95</v>
      </c>
      <c r="NT61">
        <v>54.06</v>
      </c>
      <c r="NU61">
        <v>102.82</v>
      </c>
      <c r="NV61">
        <v>1.38</v>
      </c>
      <c r="NW61">
        <v>2631</v>
      </c>
      <c r="NX61">
        <v>21.3</v>
      </c>
      <c r="NY61">
        <v>21.3</v>
      </c>
      <c r="NZ61">
        <v>50</v>
      </c>
      <c r="OA61">
        <v>100</v>
      </c>
      <c r="OB61" t="s">
        <v>1360</v>
      </c>
      <c r="OC61" t="s">
        <v>1361</v>
      </c>
      <c r="OD61" t="s">
        <v>1362</v>
      </c>
      <c r="OE61">
        <v>299</v>
      </c>
      <c r="OF61" t="s">
        <v>1363</v>
      </c>
      <c r="OG61">
        <v>0.73</v>
      </c>
      <c r="OH61" t="s">
        <v>1364</v>
      </c>
      <c r="OI61">
        <v>39.72</v>
      </c>
      <c r="OJ61">
        <v>0.72</v>
      </c>
      <c r="OK61">
        <v>45.87</v>
      </c>
      <c r="OL61">
        <v>7.4</v>
      </c>
      <c r="OM61">
        <v>45.87</v>
      </c>
      <c r="ON61">
        <v>7.4</v>
      </c>
      <c r="OO61">
        <v>1</v>
      </c>
      <c r="OP61">
        <v>1.18</v>
      </c>
      <c r="OQ61">
        <v>3.97</v>
      </c>
      <c r="OR61" t="s">
        <v>1365</v>
      </c>
      <c r="OS61">
        <v>1.03</v>
      </c>
      <c r="OT61">
        <v>50.83</v>
      </c>
      <c r="OU61">
        <v>27.76</v>
      </c>
      <c r="OV61">
        <v>49.15</v>
      </c>
      <c r="OW61">
        <v>23.99</v>
      </c>
      <c r="OX61">
        <v>47.5</v>
      </c>
      <c r="OY61">
        <v>20.93</v>
      </c>
      <c r="OZ61">
        <v>50.78</v>
      </c>
      <c r="PA61">
        <v>27.81</v>
      </c>
      <c r="PB61">
        <v>1.9</v>
      </c>
      <c r="PC61">
        <v>45.31</v>
      </c>
      <c r="PD61">
        <v>18.64</v>
      </c>
      <c r="PE61">
        <v>25</v>
      </c>
      <c r="PF61">
        <v>9.92</v>
      </c>
      <c r="PG61">
        <v>0.21</v>
      </c>
      <c r="PH61">
        <v>0.28000000000000003</v>
      </c>
      <c r="QS61" t="s">
        <v>1366</v>
      </c>
      <c r="QV61">
        <v>54.3</v>
      </c>
      <c r="QW61">
        <v>121.5</v>
      </c>
      <c r="QX61">
        <v>53.27</v>
      </c>
      <c r="QZ61" t="s">
        <v>1369</v>
      </c>
      <c r="RA61" t="s">
        <v>1368</v>
      </c>
      <c r="RD61">
        <v>121.5</v>
      </c>
      <c r="RE61">
        <v>2.2808334897691012</v>
      </c>
    </row>
    <row r="62" spans="2:474" x14ac:dyDescent="0.3">
      <c r="B62" t="b">
        <v>1</v>
      </c>
      <c r="F62" t="b">
        <v>0</v>
      </c>
      <c r="G62" t="b">
        <v>0</v>
      </c>
      <c r="H62" t="b">
        <v>0</v>
      </c>
      <c r="I62" t="b">
        <v>0</v>
      </c>
      <c r="K62" t="s">
        <v>474</v>
      </c>
      <c r="L62" t="s">
        <v>475</v>
      </c>
      <c r="O62" t="s">
        <v>476</v>
      </c>
      <c r="U62">
        <v>135066.5</v>
      </c>
      <c r="V62">
        <v>415594.41</v>
      </c>
      <c r="W62">
        <v>6.34</v>
      </c>
      <c r="X62" t="s">
        <v>481</v>
      </c>
      <c r="Y62" t="s">
        <v>550</v>
      </c>
      <c r="Z62" s="2">
        <v>45170</v>
      </c>
      <c r="AA62" t="s">
        <v>558</v>
      </c>
      <c r="AB62" t="s">
        <v>631</v>
      </c>
      <c r="AC62" t="s">
        <v>700</v>
      </c>
      <c r="AD62" t="s">
        <v>702</v>
      </c>
      <c r="AE62" t="s">
        <v>711</v>
      </c>
      <c r="AF62">
        <v>-0.56000000000000005</v>
      </c>
      <c r="AH62" t="s">
        <v>725</v>
      </c>
      <c r="AI62" t="s">
        <v>768</v>
      </c>
      <c r="AJ62" t="s">
        <v>774</v>
      </c>
      <c r="AK62">
        <v>2.04</v>
      </c>
      <c r="AL62">
        <v>1.64</v>
      </c>
      <c r="AM62">
        <v>4.3</v>
      </c>
      <c r="AN62">
        <v>4.7</v>
      </c>
      <c r="AP62" t="s">
        <v>780</v>
      </c>
      <c r="AQ62" t="s">
        <v>788</v>
      </c>
      <c r="AR62" t="s">
        <v>848</v>
      </c>
      <c r="AS62" t="s">
        <v>700</v>
      </c>
      <c r="AT62" t="s">
        <v>993</v>
      </c>
      <c r="AU62" s="2">
        <v>45279</v>
      </c>
      <c r="AV62" t="s">
        <v>1048</v>
      </c>
      <c r="AX62">
        <v>1.81</v>
      </c>
      <c r="AY62">
        <v>16.3</v>
      </c>
      <c r="AZ62">
        <v>10.7</v>
      </c>
      <c r="BA62">
        <v>52.4</v>
      </c>
      <c r="QZ62" t="s">
        <v>1368</v>
      </c>
      <c r="RA62" t="s">
        <v>1368</v>
      </c>
    </row>
    <row r="63" spans="2:474" x14ac:dyDescent="0.3">
      <c r="B63" t="b">
        <v>1</v>
      </c>
      <c r="F63" t="b">
        <v>0</v>
      </c>
      <c r="G63" t="b">
        <v>0</v>
      </c>
      <c r="H63" t="b">
        <v>0</v>
      </c>
      <c r="I63" t="b">
        <v>0</v>
      </c>
      <c r="K63" t="s">
        <v>474</v>
      </c>
      <c r="L63" t="s">
        <v>475</v>
      </c>
      <c r="O63" t="s">
        <v>476</v>
      </c>
      <c r="U63">
        <v>135066.5</v>
      </c>
      <c r="V63">
        <v>415594.41</v>
      </c>
      <c r="W63">
        <v>6.34</v>
      </c>
      <c r="X63" t="s">
        <v>481</v>
      </c>
      <c r="Y63" t="s">
        <v>550</v>
      </c>
      <c r="Z63" s="2">
        <v>45170</v>
      </c>
      <c r="AA63" t="s">
        <v>558</v>
      </c>
      <c r="AB63" t="s">
        <v>631</v>
      </c>
      <c r="AC63" t="s">
        <v>700</v>
      </c>
      <c r="AD63" t="s">
        <v>702</v>
      </c>
      <c r="AE63" t="s">
        <v>711</v>
      </c>
      <c r="AF63">
        <v>-0.56000000000000005</v>
      </c>
      <c r="AH63" t="s">
        <v>726</v>
      </c>
      <c r="AI63" t="s">
        <v>768</v>
      </c>
      <c r="AJ63" t="s">
        <v>774</v>
      </c>
      <c r="AK63">
        <v>1.04</v>
      </c>
      <c r="AL63">
        <v>0.64</v>
      </c>
      <c r="AM63">
        <v>5.3</v>
      </c>
      <c r="AN63">
        <v>5.7</v>
      </c>
      <c r="AP63" t="s">
        <v>780</v>
      </c>
      <c r="AQ63" t="s">
        <v>788</v>
      </c>
      <c r="AR63" t="s">
        <v>849</v>
      </c>
      <c r="AS63" t="s">
        <v>700</v>
      </c>
      <c r="AT63" t="s">
        <v>993</v>
      </c>
      <c r="AU63" s="2">
        <v>45279</v>
      </c>
      <c r="AV63" t="s">
        <v>1049</v>
      </c>
      <c r="AX63">
        <v>0.91</v>
      </c>
      <c r="AY63">
        <v>14.7</v>
      </c>
      <c r="AZ63">
        <v>8.3000000000000007</v>
      </c>
      <c r="BA63">
        <v>77.7</v>
      </c>
      <c r="QZ63" t="s">
        <v>1368</v>
      </c>
      <c r="RA63" t="s">
        <v>1368</v>
      </c>
    </row>
    <row r="64" spans="2:474" x14ac:dyDescent="0.3">
      <c r="B64" t="b">
        <v>1</v>
      </c>
      <c r="F64" t="b">
        <v>0</v>
      </c>
      <c r="G64" t="b">
        <v>0</v>
      </c>
      <c r="H64" t="b">
        <v>0</v>
      </c>
      <c r="I64" t="b">
        <v>0</v>
      </c>
      <c r="K64" t="s">
        <v>474</v>
      </c>
      <c r="L64" t="s">
        <v>475</v>
      </c>
      <c r="O64" t="s">
        <v>476</v>
      </c>
      <c r="U64">
        <v>135066.5</v>
      </c>
      <c r="V64">
        <v>415594.41</v>
      </c>
      <c r="W64">
        <v>6.34</v>
      </c>
      <c r="X64" t="s">
        <v>481</v>
      </c>
      <c r="Y64" t="s">
        <v>550</v>
      </c>
      <c r="Z64" s="2">
        <v>45170</v>
      </c>
      <c r="AA64" t="s">
        <v>558</v>
      </c>
      <c r="AB64" t="s">
        <v>631</v>
      </c>
      <c r="AC64" t="s">
        <v>700</v>
      </c>
      <c r="AD64" t="s">
        <v>702</v>
      </c>
      <c r="AE64" t="s">
        <v>711</v>
      </c>
      <c r="AF64">
        <v>-0.56000000000000005</v>
      </c>
      <c r="AH64" t="s">
        <v>727</v>
      </c>
      <c r="AI64" t="s">
        <v>768</v>
      </c>
      <c r="AJ64" t="s">
        <v>774</v>
      </c>
      <c r="AK64">
        <v>0.54</v>
      </c>
      <c r="AL64">
        <v>0.14000000000000001</v>
      </c>
      <c r="AM64">
        <v>5.8</v>
      </c>
      <c r="AN64">
        <v>6.2</v>
      </c>
      <c r="AP64" t="s">
        <v>780</v>
      </c>
      <c r="AQ64" t="s">
        <v>788</v>
      </c>
      <c r="AR64" t="s">
        <v>850</v>
      </c>
      <c r="AS64" t="s">
        <v>700</v>
      </c>
      <c r="AT64" t="s">
        <v>993</v>
      </c>
      <c r="AU64" s="2">
        <v>45279</v>
      </c>
      <c r="AV64" t="s">
        <v>1050</v>
      </c>
      <c r="AX64">
        <v>0.28999999999999998</v>
      </c>
      <c r="AY64">
        <v>16</v>
      </c>
      <c r="AZ64">
        <v>10.1</v>
      </c>
      <c r="BA64">
        <v>58.2</v>
      </c>
      <c r="QZ64" t="s">
        <v>1368</v>
      </c>
      <c r="RA64" t="s">
        <v>1368</v>
      </c>
    </row>
    <row r="65" spans="2:474" x14ac:dyDescent="0.3">
      <c r="B65" t="b">
        <v>1</v>
      </c>
      <c r="F65" t="b">
        <v>0</v>
      </c>
      <c r="G65" t="b">
        <v>0</v>
      </c>
      <c r="H65" t="b">
        <v>0</v>
      </c>
      <c r="I65" t="b">
        <v>0</v>
      </c>
      <c r="K65" t="s">
        <v>474</v>
      </c>
      <c r="L65" t="s">
        <v>475</v>
      </c>
      <c r="O65" t="s">
        <v>476</v>
      </c>
      <c r="U65">
        <v>135066.5</v>
      </c>
      <c r="V65">
        <v>415594.41</v>
      </c>
      <c r="W65">
        <v>6.34</v>
      </c>
      <c r="X65" t="s">
        <v>481</v>
      </c>
      <c r="Y65" t="s">
        <v>550</v>
      </c>
      <c r="Z65" s="2">
        <v>45170</v>
      </c>
      <c r="AA65" t="s">
        <v>558</v>
      </c>
      <c r="AB65" t="s">
        <v>631</v>
      </c>
      <c r="AC65" t="s">
        <v>700</v>
      </c>
      <c r="AD65" t="s">
        <v>702</v>
      </c>
      <c r="AE65" t="s">
        <v>711</v>
      </c>
      <c r="AF65">
        <v>-0.56000000000000005</v>
      </c>
      <c r="AH65" t="s">
        <v>717</v>
      </c>
      <c r="AI65" t="s">
        <v>768</v>
      </c>
      <c r="AJ65" t="s">
        <v>774</v>
      </c>
      <c r="AK65">
        <v>0.04</v>
      </c>
      <c r="AL65">
        <v>-0.36</v>
      </c>
      <c r="AM65">
        <v>6.3</v>
      </c>
      <c r="AN65">
        <v>6.7</v>
      </c>
      <c r="AP65" t="s">
        <v>780</v>
      </c>
      <c r="AQ65" t="s">
        <v>788</v>
      </c>
      <c r="AR65" t="s">
        <v>851</v>
      </c>
      <c r="AS65" t="s">
        <v>700</v>
      </c>
      <c r="AT65" t="s">
        <v>993</v>
      </c>
      <c r="AU65" s="2">
        <v>45279</v>
      </c>
      <c r="AV65" t="s">
        <v>1051</v>
      </c>
      <c r="AX65">
        <v>-7.0000000000000007E-2</v>
      </c>
      <c r="AY65">
        <v>17.2</v>
      </c>
      <c r="AZ65">
        <v>11.9</v>
      </c>
      <c r="BA65">
        <v>44.1</v>
      </c>
      <c r="QZ65" t="s">
        <v>1368</v>
      </c>
      <c r="RA65" t="s">
        <v>1368</v>
      </c>
    </row>
    <row r="66" spans="2:474" x14ac:dyDescent="0.3">
      <c r="B66" t="b">
        <v>1</v>
      </c>
      <c r="F66" t="b">
        <v>0</v>
      </c>
      <c r="G66" t="b">
        <v>0</v>
      </c>
      <c r="H66" t="b">
        <v>0</v>
      </c>
      <c r="I66" t="b">
        <v>0</v>
      </c>
      <c r="K66" t="s">
        <v>474</v>
      </c>
      <c r="L66" t="s">
        <v>475</v>
      </c>
      <c r="O66" t="s">
        <v>476</v>
      </c>
      <c r="U66">
        <v>135066.5</v>
      </c>
      <c r="V66">
        <v>415594.41</v>
      </c>
      <c r="W66">
        <v>6.34</v>
      </c>
      <c r="X66" t="s">
        <v>481</v>
      </c>
      <c r="Y66" t="s">
        <v>550</v>
      </c>
      <c r="Z66" s="2">
        <v>45170</v>
      </c>
      <c r="AA66" t="s">
        <v>558</v>
      </c>
      <c r="AB66" t="s">
        <v>631</v>
      </c>
      <c r="AC66" t="s">
        <v>700</v>
      </c>
      <c r="AD66" t="s">
        <v>702</v>
      </c>
      <c r="AE66" t="s">
        <v>711</v>
      </c>
      <c r="AF66">
        <v>-0.56000000000000005</v>
      </c>
      <c r="AH66" t="s">
        <v>718</v>
      </c>
      <c r="AI66" t="s">
        <v>768</v>
      </c>
      <c r="AJ66" t="s">
        <v>774</v>
      </c>
      <c r="AK66">
        <v>-0.46</v>
      </c>
      <c r="AL66">
        <v>-0.86</v>
      </c>
      <c r="AM66">
        <v>6.8</v>
      </c>
      <c r="AN66">
        <v>7.2</v>
      </c>
      <c r="AP66" t="s">
        <v>780</v>
      </c>
      <c r="AQ66" t="s">
        <v>788</v>
      </c>
      <c r="AR66" t="s">
        <v>852</v>
      </c>
      <c r="AS66" t="s">
        <v>700</v>
      </c>
      <c r="AT66" t="s">
        <v>993</v>
      </c>
      <c r="AU66" s="2">
        <v>45279</v>
      </c>
      <c r="AV66" t="s">
        <v>1052</v>
      </c>
      <c r="AX66">
        <v>-0.54</v>
      </c>
      <c r="AY66">
        <v>18.3</v>
      </c>
      <c r="AZ66">
        <v>13.6</v>
      </c>
      <c r="BA66">
        <v>34.799999999999997</v>
      </c>
      <c r="QZ66" t="s">
        <v>1368</v>
      </c>
      <c r="RA66" t="s">
        <v>1368</v>
      </c>
    </row>
    <row r="67" spans="2:474" x14ac:dyDescent="0.3">
      <c r="B67" t="b">
        <v>1</v>
      </c>
      <c r="F67" t="b">
        <v>1</v>
      </c>
      <c r="G67" t="b">
        <v>0</v>
      </c>
      <c r="H67" t="b">
        <v>0</v>
      </c>
      <c r="I67" t="b">
        <v>1</v>
      </c>
      <c r="K67" t="s">
        <v>474</v>
      </c>
      <c r="L67" t="s">
        <v>475</v>
      </c>
      <c r="O67" t="s">
        <v>476</v>
      </c>
      <c r="U67">
        <v>135066.5</v>
      </c>
      <c r="V67">
        <v>415594.41</v>
      </c>
      <c r="W67">
        <v>6.34</v>
      </c>
      <c r="X67" t="s">
        <v>481</v>
      </c>
      <c r="Y67" t="s">
        <v>550</v>
      </c>
      <c r="Z67" s="2">
        <v>45170</v>
      </c>
      <c r="AA67" t="s">
        <v>558</v>
      </c>
      <c r="AB67" t="s">
        <v>631</v>
      </c>
      <c r="AC67" t="s">
        <v>700</v>
      </c>
      <c r="AD67" t="s">
        <v>702</v>
      </c>
      <c r="AE67" t="s">
        <v>711</v>
      </c>
      <c r="AF67">
        <v>-0.56000000000000005</v>
      </c>
      <c r="AH67" t="s">
        <v>730</v>
      </c>
      <c r="AI67" t="s">
        <v>768</v>
      </c>
      <c r="AJ67" t="s">
        <v>774</v>
      </c>
      <c r="AK67">
        <v>-0.96</v>
      </c>
      <c r="AL67">
        <v>-1.36</v>
      </c>
      <c r="AM67">
        <v>7.3</v>
      </c>
      <c r="AN67">
        <v>7.7</v>
      </c>
      <c r="AP67" t="s">
        <v>780</v>
      </c>
      <c r="AQ67" t="s">
        <v>788</v>
      </c>
      <c r="AR67" t="s">
        <v>853</v>
      </c>
      <c r="AS67" t="s">
        <v>700</v>
      </c>
      <c r="AT67" t="s">
        <v>993</v>
      </c>
      <c r="AU67" s="2">
        <v>45279</v>
      </c>
      <c r="AV67" t="s">
        <v>1053</v>
      </c>
      <c r="AX67">
        <v>-1.1100000000000001</v>
      </c>
      <c r="AY67">
        <v>15.6</v>
      </c>
      <c r="AZ67">
        <v>9.1999999999999993</v>
      </c>
      <c r="BA67">
        <v>70</v>
      </c>
      <c r="DZ67" t="s">
        <v>1228</v>
      </c>
      <c r="EA67" t="s">
        <v>1243</v>
      </c>
      <c r="EB67" t="s">
        <v>1258</v>
      </c>
      <c r="EC67" t="s">
        <v>1266</v>
      </c>
      <c r="ED67" t="s">
        <v>1267</v>
      </c>
      <c r="EE67" s="2">
        <v>45197</v>
      </c>
      <c r="EF67" t="s">
        <v>1268</v>
      </c>
      <c r="EH67">
        <v>-1.01</v>
      </c>
      <c r="EI67">
        <v>109.9</v>
      </c>
      <c r="EJ67">
        <v>14.99</v>
      </c>
      <c r="EK67">
        <v>8.9</v>
      </c>
      <c r="EL67">
        <v>68.56</v>
      </c>
      <c r="EM67">
        <v>52.45</v>
      </c>
      <c r="EN67">
        <v>96.28</v>
      </c>
      <c r="EO67">
        <v>21.7</v>
      </c>
      <c r="EP67">
        <v>19.8</v>
      </c>
      <c r="EQ67">
        <v>50.03</v>
      </c>
      <c r="ER67">
        <v>18.89</v>
      </c>
      <c r="ES67">
        <v>18.87</v>
      </c>
      <c r="ET67">
        <v>13.75</v>
      </c>
      <c r="EU67">
        <v>0.5</v>
      </c>
      <c r="EV67">
        <v>-0.2</v>
      </c>
      <c r="EW67">
        <v>16</v>
      </c>
      <c r="EX67">
        <v>628.29999999999995</v>
      </c>
      <c r="EY67">
        <v>519.70000000000005</v>
      </c>
      <c r="EZ67">
        <v>400.3</v>
      </c>
      <c r="FA67">
        <v>240.8</v>
      </c>
      <c r="FB67">
        <v>1061</v>
      </c>
      <c r="FC67">
        <v>8.35</v>
      </c>
      <c r="FD67">
        <v>196.9</v>
      </c>
      <c r="FE67">
        <v>6.51</v>
      </c>
      <c r="FF67">
        <v>644</v>
      </c>
      <c r="FG67">
        <v>1.15E-2</v>
      </c>
      <c r="FH67">
        <v>0.15</v>
      </c>
      <c r="FI67">
        <v>6.7000000000000002E-3</v>
      </c>
      <c r="NG67" t="s">
        <v>1301</v>
      </c>
      <c r="NH67" t="s">
        <v>1322</v>
      </c>
      <c r="NI67" t="s">
        <v>1343</v>
      </c>
      <c r="NJ67" t="s">
        <v>1266</v>
      </c>
      <c r="NK67" t="s">
        <v>1356</v>
      </c>
      <c r="NL67" s="2">
        <v>45205</v>
      </c>
      <c r="NM67" t="s">
        <v>1268</v>
      </c>
      <c r="NO67">
        <v>-1.1100000000000001</v>
      </c>
      <c r="NP67">
        <v>109.9</v>
      </c>
      <c r="NQ67">
        <v>15.64</v>
      </c>
      <c r="NR67">
        <v>9.1999999999999993</v>
      </c>
      <c r="NS67">
        <v>65.75</v>
      </c>
      <c r="NT67">
        <v>69.989999999999995</v>
      </c>
      <c r="NU67">
        <v>104.76</v>
      </c>
      <c r="NV67">
        <v>1.68</v>
      </c>
      <c r="NW67">
        <v>2511</v>
      </c>
      <c r="NX67">
        <v>21.3</v>
      </c>
      <c r="NY67">
        <v>21.3</v>
      </c>
      <c r="NZ67">
        <v>50</v>
      </c>
      <c r="OA67">
        <v>100</v>
      </c>
      <c r="OB67" t="s">
        <v>1360</v>
      </c>
      <c r="OC67" t="s">
        <v>1361</v>
      </c>
      <c r="OD67" t="s">
        <v>1362</v>
      </c>
      <c r="OE67">
        <v>299</v>
      </c>
      <c r="OF67" t="s">
        <v>1363</v>
      </c>
      <c r="OG67">
        <v>0.65</v>
      </c>
      <c r="OH67" t="s">
        <v>1364</v>
      </c>
      <c r="OI67">
        <v>70.75</v>
      </c>
      <c r="OJ67">
        <v>0.75</v>
      </c>
      <c r="OK67">
        <v>87.99</v>
      </c>
      <c r="OL67">
        <v>19.21</v>
      </c>
      <c r="OM67">
        <v>87.99</v>
      </c>
      <c r="ON67">
        <v>19.21</v>
      </c>
      <c r="OO67">
        <v>1</v>
      </c>
      <c r="OP67">
        <v>4.6100000000000003</v>
      </c>
      <c r="OQ67">
        <v>10.07</v>
      </c>
      <c r="OR67" t="s">
        <v>1365</v>
      </c>
      <c r="OS67">
        <v>0.69</v>
      </c>
      <c r="OT67">
        <v>80.989999999999995</v>
      </c>
      <c r="OU67">
        <v>38.21</v>
      </c>
      <c r="OV67">
        <v>79.89</v>
      </c>
      <c r="OW67">
        <v>45.5</v>
      </c>
      <c r="OX67">
        <v>79.349999999999994</v>
      </c>
      <c r="OY67">
        <v>44.17</v>
      </c>
      <c r="OZ67">
        <v>83.13</v>
      </c>
      <c r="PA67">
        <v>50.15</v>
      </c>
      <c r="PB67">
        <v>10.51</v>
      </c>
      <c r="PC67">
        <v>68.540000000000006</v>
      </c>
      <c r="PD67">
        <v>32.06</v>
      </c>
      <c r="PE67">
        <v>25</v>
      </c>
      <c r="PF67">
        <v>2.72</v>
      </c>
      <c r="PG67">
        <v>1.1399999999999999</v>
      </c>
      <c r="PH67">
        <v>0.36</v>
      </c>
      <c r="QS67" t="s">
        <v>1366</v>
      </c>
      <c r="QV67">
        <v>109.9</v>
      </c>
      <c r="QW67">
        <v>196.9</v>
      </c>
      <c r="QX67">
        <v>107.2</v>
      </c>
      <c r="QZ67" t="s">
        <v>1369</v>
      </c>
      <c r="RA67" t="s">
        <v>1368</v>
      </c>
      <c r="RD67">
        <v>196.9</v>
      </c>
      <c r="RE67">
        <v>1.836753731343284</v>
      </c>
    </row>
    <row r="68" spans="2:474" x14ac:dyDescent="0.3">
      <c r="B68" t="b">
        <v>1</v>
      </c>
      <c r="F68" t="b">
        <v>0</v>
      </c>
      <c r="G68" t="b">
        <v>0</v>
      </c>
      <c r="H68" t="b">
        <v>0</v>
      </c>
      <c r="I68" t="b">
        <v>0</v>
      </c>
      <c r="K68" t="s">
        <v>474</v>
      </c>
      <c r="L68" t="s">
        <v>475</v>
      </c>
      <c r="O68" t="s">
        <v>476</v>
      </c>
      <c r="U68">
        <v>135066.5</v>
      </c>
      <c r="V68">
        <v>415594.41</v>
      </c>
      <c r="W68">
        <v>6.34</v>
      </c>
      <c r="X68" t="s">
        <v>481</v>
      </c>
      <c r="Y68" t="s">
        <v>550</v>
      </c>
      <c r="Z68" s="2">
        <v>45170</v>
      </c>
      <c r="AA68" t="s">
        <v>558</v>
      </c>
      <c r="AB68" t="s">
        <v>631</v>
      </c>
      <c r="AC68" t="s">
        <v>700</v>
      </c>
      <c r="AD68" t="s">
        <v>702</v>
      </c>
      <c r="AE68" t="s">
        <v>711</v>
      </c>
      <c r="AF68">
        <v>-0.56000000000000005</v>
      </c>
      <c r="AH68" t="s">
        <v>740</v>
      </c>
      <c r="AI68" t="s">
        <v>768</v>
      </c>
      <c r="AJ68" t="s">
        <v>774</v>
      </c>
      <c r="AK68">
        <v>-1.46</v>
      </c>
      <c r="AL68">
        <v>-1.61</v>
      </c>
      <c r="AM68">
        <v>7.8</v>
      </c>
      <c r="AN68">
        <v>7.95</v>
      </c>
      <c r="AP68" t="s">
        <v>780</v>
      </c>
      <c r="AQ68" t="s">
        <v>788</v>
      </c>
      <c r="AR68" t="s">
        <v>854</v>
      </c>
      <c r="AS68" t="s">
        <v>700</v>
      </c>
      <c r="AT68" t="s">
        <v>993</v>
      </c>
      <c r="AU68" s="2">
        <v>45279</v>
      </c>
      <c r="AV68" t="s">
        <v>1054</v>
      </c>
      <c r="AX68">
        <v>-1.51</v>
      </c>
      <c r="AY68">
        <v>18.7</v>
      </c>
      <c r="AZ68">
        <v>15</v>
      </c>
      <c r="BA68">
        <v>25</v>
      </c>
      <c r="QZ68" t="s">
        <v>1368</v>
      </c>
      <c r="RA68" t="s">
        <v>1368</v>
      </c>
    </row>
    <row r="69" spans="2:474" x14ac:dyDescent="0.3">
      <c r="B69" t="b">
        <v>0</v>
      </c>
      <c r="F69" t="b">
        <v>0</v>
      </c>
      <c r="G69" t="b">
        <v>0</v>
      </c>
      <c r="H69" t="b">
        <v>0</v>
      </c>
      <c r="I69" t="b">
        <v>0</v>
      </c>
      <c r="K69" t="s">
        <v>474</v>
      </c>
      <c r="L69" t="s">
        <v>475</v>
      </c>
      <c r="O69" t="s">
        <v>476</v>
      </c>
      <c r="U69">
        <v>135066.5</v>
      </c>
      <c r="V69">
        <v>415594.41</v>
      </c>
      <c r="W69">
        <v>6.34</v>
      </c>
      <c r="X69" t="s">
        <v>481</v>
      </c>
      <c r="Y69" t="s">
        <v>550</v>
      </c>
      <c r="Z69" s="2">
        <v>45170</v>
      </c>
      <c r="AA69" t="s">
        <v>558</v>
      </c>
      <c r="AB69" t="s">
        <v>631</v>
      </c>
      <c r="AC69" t="s">
        <v>700</v>
      </c>
      <c r="AD69" t="s">
        <v>702</v>
      </c>
      <c r="AE69" t="s">
        <v>711</v>
      </c>
      <c r="AF69">
        <v>-0.56000000000000005</v>
      </c>
      <c r="AH69" t="s">
        <v>741</v>
      </c>
      <c r="AI69" t="s">
        <v>768</v>
      </c>
      <c r="AJ69" t="s">
        <v>774</v>
      </c>
      <c r="AK69">
        <v>-1.61</v>
      </c>
      <c r="AL69">
        <v>-1.86</v>
      </c>
      <c r="AM69">
        <v>7.95</v>
      </c>
      <c r="AN69">
        <v>8.1999999999999993</v>
      </c>
      <c r="CD69" t="s">
        <v>1161</v>
      </c>
      <c r="CE69" t="s">
        <v>1187</v>
      </c>
      <c r="CF69" t="s">
        <v>1189</v>
      </c>
      <c r="CG69" t="s">
        <v>700</v>
      </c>
      <c r="CH69" t="s">
        <v>1211</v>
      </c>
      <c r="CI69" s="2">
        <v>45212</v>
      </c>
      <c r="CJ69" t="s">
        <v>1213</v>
      </c>
      <c r="CL69">
        <v>232</v>
      </c>
      <c r="CM69">
        <v>213</v>
      </c>
      <c r="CN69">
        <v>0.01</v>
      </c>
      <c r="CO69">
        <v>87.24</v>
      </c>
      <c r="CP69">
        <v>10.76</v>
      </c>
      <c r="CQ69">
        <v>100</v>
      </c>
      <c r="CR69">
        <v>100</v>
      </c>
      <c r="CS69">
        <v>100</v>
      </c>
      <c r="CT69">
        <v>100</v>
      </c>
      <c r="CU69">
        <v>100</v>
      </c>
      <c r="CV69">
        <v>99.99</v>
      </c>
      <c r="CW69">
        <v>99.39</v>
      </c>
      <c r="CX69">
        <v>95.32</v>
      </c>
      <c r="CY69">
        <v>62.45</v>
      </c>
      <c r="CZ69">
        <v>38.94</v>
      </c>
      <c r="DA69">
        <v>20.74</v>
      </c>
      <c r="DB69">
        <v>12.76</v>
      </c>
      <c r="DC69">
        <v>3.6</v>
      </c>
      <c r="DD69">
        <v>2.99</v>
      </c>
      <c r="DE69">
        <v>2.7</v>
      </c>
      <c r="DF69">
        <v>2</v>
      </c>
      <c r="DG69">
        <v>296</v>
      </c>
      <c r="DH69">
        <v>261</v>
      </c>
      <c r="DI69">
        <v>232</v>
      </c>
      <c r="DJ69">
        <v>127</v>
      </c>
      <c r="DK69">
        <v>2.0499999999999998</v>
      </c>
      <c r="QZ69" t="s">
        <v>1368</v>
      </c>
      <c r="RA69" t="s">
        <v>1368</v>
      </c>
    </row>
    <row r="70" spans="2:474" x14ac:dyDescent="0.3">
      <c r="B70" t="b">
        <v>1</v>
      </c>
      <c r="F70" t="b">
        <v>0</v>
      </c>
      <c r="G70" t="b">
        <v>0</v>
      </c>
      <c r="H70" t="b">
        <v>0</v>
      </c>
      <c r="I70" t="b">
        <v>0</v>
      </c>
      <c r="K70" t="s">
        <v>474</v>
      </c>
      <c r="L70" t="s">
        <v>475</v>
      </c>
      <c r="O70" t="s">
        <v>476</v>
      </c>
      <c r="U70">
        <v>134732.76999999999</v>
      </c>
      <c r="V70">
        <v>415382.57</v>
      </c>
      <c r="W70">
        <v>6.02</v>
      </c>
      <c r="X70" t="s">
        <v>482</v>
      </c>
      <c r="Y70" t="s">
        <v>550</v>
      </c>
      <c r="Z70" s="2">
        <v>45174</v>
      </c>
      <c r="AA70" t="s">
        <v>559</v>
      </c>
      <c r="AB70" t="s">
        <v>632</v>
      </c>
      <c r="AC70" t="s">
        <v>700</v>
      </c>
      <c r="AD70" t="s">
        <v>704</v>
      </c>
      <c r="AE70" t="s">
        <v>711</v>
      </c>
      <c r="AF70">
        <v>-0.28000000000000003</v>
      </c>
      <c r="AH70" t="s">
        <v>712</v>
      </c>
      <c r="AI70" t="s">
        <v>768</v>
      </c>
      <c r="AJ70" t="s">
        <v>774</v>
      </c>
      <c r="AK70">
        <v>5.0199999999999996</v>
      </c>
      <c r="AL70">
        <v>4.79</v>
      </c>
      <c r="AM70">
        <v>1</v>
      </c>
      <c r="AN70">
        <v>1.23</v>
      </c>
      <c r="AO70">
        <v>11.8</v>
      </c>
      <c r="AP70" t="s">
        <v>781</v>
      </c>
      <c r="AQ70" t="s">
        <v>788</v>
      </c>
      <c r="AR70" t="s">
        <v>855</v>
      </c>
      <c r="AS70" t="s">
        <v>700</v>
      </c>
      <c r="AT70" t="s">
        <v>993</v>
      </c>
      <c r="AU70" s="2">
        <v>45279</v>
      </c>
      <c r="AV70" t="s">
        <v>1055</v>
      </c>
      <c r="AX70">
        <v>4.8899999999999997</v>
      </c>
      <c r="AY70">
        <v>16.7</v>
      </c>
      <c r="AZ70">
        <v>11.7</v>
      </c>
      <c r="BA70">
        <v>43.2</v>
      </c>
      <c r="QZ70" t="s">
        <v>1368</v>
      </c>
      <c r="RA70" t="s">
        <v>1368</v>
      </c>
    </row>
    <row r="71" spans="2:474" x14ac:dyDescent="0.3">
      <c r="B71" t="b">
        <v>1</v>
      </c>
      <c r="F71" t="b">
        <v>0</v>
      </c>
      <c r="G71" t="b">
        <v>0</v>
      </c>
      <c r="H71" t="b">
        <v>1</v>
      </c>
      <c r="I71" t="b">
        <v>0</v>
      </c>
      <c r="K71" t="s">
        <v>474</v>
      </c>
      <c r="L71" t="s">
        <v>475</v>
      </c>
      <c r="O71" t="s">
        <v>476</v>
      </c>
      <c r="U71">
        <v>134732.76999999999</v>
      </c>
      <c r="V71">
        <v>415382.57</v>
      </c>
      <c r="W71">
        <v>6.02</v>
      </c>
      <c r="X71" t="s">
        <v>482</v>
      </c>
      <c r="Y71" t="s">
        <v>550</v>
      </c>
      <c r="Z71" s="2">
        <v>45174</v>
      </c>
      <c r="AA71" t="s">
        <v>559</v>
      </c>
      <c r="AB71" t="s">
        <v>632</v>
      </c>
      <c r="AC71" t="s">
        <v>700</v>
      </c>
      <c r="AD71" t="s">
        <v>704</v>
      </c>
      <c r="AE71" t="s">
        <v>711</v>
      </c>
      <c r="AF71">
        <v>-0.28000000000000003</v>
      </c>
      <c r="AH71" t="s">
        <v>721</v>
      </c>
      <c r="AI71" t="s">
        <v>768</v>
      </c>
      <c r="AJ71" t="s">
        <v>774</v>
      </c>
      <c r="AK71">
        <v>4.0199999999999996</v>
      </c>
      <c r="AL71">
        <v>3.87</v>
      </c>
      <c r="AM71">
        <v>2</v>
      </c>
      <c r="AN71">
        <v>2.15</v>
      </c>
      <c r="AO71">
        <v>15.2</v>
      </c>
      <c r="AP71" t="s">
        <v>781</v>
      </c>
      <c r="AQ71" t="s">
        <v>788</v>
      </c>
      <c r="AR71" t="s">
        <v>856</v>
      </c>
      <c r="AS71" t="s">
        <v>700</v>
      </c>
      <c r="AT71" t="s">
        <v>993</v>
      </c>
      <c r="AU71" s="2">
        <v>45279</v>
      </c>
      <c r="AV71" t="s">
        <v>1056</v>
      </c>
      <c r="AX71">
        <v>3.92</v>
      </c>
      <c r="AY71">
        <v>17.899999999999999</v>
      </c>
      <c r="AZ71">
        <v>12.9</v>
      </c>
      <c r="BA71">
        <v>38.200000000000003</v>
      </c>
      <c r="LF71" t="s">
        <v>1277</v>
      </c>
      <c r="LG71" t="s">
        <v>1284</v>
      </c>
      <c r="LH71" t="s">
        <v>856</v>
      </c>
      <c r="LI71" t="s">
        <v>1288</v>
      </c>
      <c r="LJ71" t="s">
        <v>1289</v>
      </c>
      <c r="LK71" s="2">
        <v>45211</v>
      </c>
      <c r="LL71" t="s">
        <v>1269</v>
      </c>
      <c r="LM71" t="s">
        <v>1271</v>
      </c>
      <c r="LN71">
        <v>3.77</v>
      </c>
      <c r="LO71">
        <v>39.9</v>
      </c>
      <c r="LP71">
        <v>11.78</v>
      </c>
      <c r="LQ71">
        <v>6.14</v>
      </c>
      <c r="LR71">
        <v>91.97</v>
      </c>
      <c r="LS71">
        <v>169.9</v>
      </c>
      <c r="LT71">
        <v>0.80710000000000004</v>
      </c>
      <c r="LU71">
        <v>2.484</v>
      </c>
      <c r="LV71">
        <v>2.1339999999999999</v>
      </c>
      <c r="LW71">
        <v>2179.6999999999998</v>
      </c>
      <c r="LX71">
        <v>21.7</v>
      </c>
      <c r="LY71">
        <v>19.8</v>
      </c>
      <c r="LZ71">
        <v>65.319999999999993</v>
      </c>
      <c r="MA71">
        <v>27.93</v>
      </c>
      <c r="MB71">
        <v>25.13</v>
      </c>
      <c r="MC71" t="s">
        <v>1291</v>
      </c>
      <c r="MD71" t="s">
        <v>1292</v>
      </c>
      <c r="ME71">
        <v>39.9</v>
      </c>
      <c r="MF71">
        <v>39.9</v>
      </c>
      <c r="MG71">
        <v>1</v>
      </c>
      <c r="MH71">
        <v>10.029999999999999</v>
      </c>
      <c r="MI71">
        <v>1</v>
      </c>
      <c r="MJ71">
        <v>22.3</v>
      </c>
      <c r="MK71">
        <v>4.5190000000000001</v>
      </c>
      <c r="ML71">
        <v>1.1359999999999999</v>
      </c>
      <c r="MM71">
        <v>37.24</v>
      </c>
      <c r="MN71">
        <v>12.87</v>
      </c>
      <c r="MO71">
        <v>33.96</v>
      </c>
      <c r="MP71">
        <v>17.77</v>
      </c>
      <c r="MQ71">
        <v>28.44</v>
      </c>
      <c r="MR71">
        <v>19.04</v>
      </c>
      <c r="MS71">
        <v>26.29</v>
      </c>
      <c r="MT71">
        <v>19.23</v>
      </c>
      <c r="MU71">
        <v>26.98</v>
      </c>
      <c r="MV71">
        <v>20.67</v>
      </c>
      <c r="MW71">
        <v>27.72</v>
      </c>
      <c r="MX71">
        <v>22.32</v>
      </c>
      <c r="MY71">
        <v>24.23</v>
      </c>
      <c r="MZ71">
        <v>29.72</v>
      </c>
      <c r="NA71">
        <v>20.93</v>
      </c>
      <c r="NB71">
        <v>41.41</v>
      </c>
      <c r="NF71">
        <v>698</v>
      </c>
      <c r="QS71" t="s">
        <v>1367</v>
      </c>
      <c r="QV71">
        <v>39.9</v>
      </c>
      <c r="QY71">
        <v>39.9</v>
      </c>
      <c r="QZ71" t="s">
        <v>1368</v>
      </c>
      <c r="RA71" t="s">
        <v>1369</v>
      </c>
      <c r="RD71">
        <v>39.9</v>
      </c>
      <c r="RF71">
        <v>1</v>
      </c>
    </row>
    <row r="72" spans="2:474" x14ac:dyDescent="0.3">
      <c r="B72" t="b">
        <v>1</v>
      </c>
      <c r="F72" t="b">
        <v>0</v>
      </c>
      <c r="G72" t="b">
        <v>0</v>
      </c>
      <c r="H72" t="b">
        <v>0</v>
      </c>
      <c r="I72" t="b">
        <v>0</v>
      </c>
      <c r="K72" t="s">
        <v>474</v>
      </c>
      <c r="L72" t="s">
        <v>475</v>
      </c>
      <c r="O72" t="s">
        <v>476</v>
      </c>
      <c r="U72">
        <v>134732.76999999999</v>
      </c>
      <c r="V72">
        <v>415382.57</v>
      </c>
      <c r="W72">
        <v>6.02</v>
      </c>
      <c r="X72" t="s">
        <v>482</v>
      </c>
      <c r="Y72" t="s">
        <v>550</v>
      </c>
      <c r="Z72" s="2">
        <v>45174</v>
      </c>
      <c r="AA72" t="s">
        <v>559</v>
      </c>
      <c r="AB72" t="s">
        <v>632</v>
      </c>
      <c r="AC72" t="s">
        <v>700</v>
      </c>
      <c r="AD72" t="s">
        <v>704</v>
      </c>
      <c r="AE72" t="s">
        <v>711</v>
      </c>
      <c r="AF72">
        <v>-0.28000000000000003</v>
      </c>
      <c r="AH72" t="s">
        <v>722</v>
      </c>
      <c r="AI72" t="s">
        <v>768</v>
      </c>
      <c r="AJ72" t="s">
        <v>774</v>
      </c>
      <c r="AK72">
        <v>3.87</v>
      </c>
      <c r="AL72">
        <v>3.62</v>
      </c>
      <c r="AM72">
        <v>2.15</v>
      </c>
      <c r="AN72">
        <v>2.4</v>
      </c>
      <c r="AP72" t="s">
        <v>781</v>
      </c>
      <c r="AQ72" t="s">
        <v>788</v>
      </c>
      <c r="AR72" t="s">
        <v>857</v>
      </c>
      <c r="AS72" t="s">
        <v>700</v>
      </c>
      <c r="AT72" t="s">
        <v>993</v>
      </c>
      <c r="AU72" s="2">
        <v>45279</v>
      </c>
      <c r="AV72" t="s">
        <v>1057</v>
      </c>
      <c r="AX72">
        <v>3.77</v>
      </c>
      <c r="AY72">
        <v>11.8</v>
      </c>
      <c r="AZ72">
        <v>6.1</v>
      </c>
      <c r="BA72">
        <v>92</v>
      </c>
      <c r="QZ72" t="s">
        <v>1368</v>
      </c>
      <c r="RA72" t="s">
        <v>1368</v>
      </c>
    </row>
    <row r="73" spans="2:474" x14ac:dyDescent="0.3">
      <c r="B73" t="b">
        <v>1</v>
      </c>
      <c r="F73" t="b">
        <v>0</v>
      </c>
      <c r="G73" t="b">
        <v>0</v>
      </c>
      <c r="H73" t="b">
        <v>1</v>
      </c>
      <c r="I73" t="b">
        <v>0</v>
      </c>
      <c r="K73" t="s">
        <v>474</v>
      </c>
      <c r="L73" t="s">
        <v>475</v>
      </c>
      <c r="O73" t="s">
        <v>476</v>
      </c>
      <c r="U73">
        <v>134732.76999999999</v>
      </c>
      <c r="V73">
        <v>415382.57</v>
      </c>
      <c r="W73">
        <v>6.02</v>
      </c>
      <c r="X73" t="s">
        <v>482</v>
      </c>
      <c r="Y73" t="s">
        <v>550</v>
      </c>
      <c r="Z73" s="2">
        <v>45174</v>
      </c>
      <c r="AA73" t="s">
        <v>559</v>
      </c>
      <c r="AB73" t="s">
        <v>632</v>
      </c>
      <c r="AC73" t="s">
        <v>700</v>
      </c>
      <c r="AD73" t="s">
        <v>704</v>
      </c>
      <c r="AE73" t="s">
        <v>711</v>
      </c>
      <c r="AF73">
        <v>-0.28000000000000003</v>
      </c>
      <c r="AH73" t="s">
        <v>723</v>
      </c>
      <c r="AI73" t="s">
        <v>768</v>
      </c>
      <c r="AJ73" t="s">
        <v>774</v>
      </c>
      <c r="AK73">
        <v>3.02</v>
      </c>
      <c r="AL73">
        <v>2.87</v>
      </c>
      <c r="AM73">
        <v>3</v>
      </c>
      <c r="AN73">
        <v>3.15</v>
      </c>
      <c r="AO73">
        <v>15.4</v>
      </c>
      <c r="AP73" t="s">
        <v>781</v>
      </c>
      <c r="AQ73" t="s">
        <v>788</v>
      </c>
      <c r="AR73" t="s">
        <v>858</v>
      </c>
      <c r="AS73" t="s">
        <v>700</v>
      </c>
      <c r="AT73" t="s">
        <v>993</v>
      </c>
      <c r="AU73" s="2">
        <v>45279</v>
      </c>
      <c r="AV73" t="s">
        <v>1058</v>
      </c>
      <c r="AX73">
        <v>2.94</v>
      </c>
      <c r="AY73">
        <v>14.4</v>
      </c>
      <c r="AZ73">
        <v>8.3000000000000007</v>
      </c>
      <c r="BA73">
        <v>73.5</v>
      </c>
      <c r="LF73" t="s">
        <v>1278</v>
      </c>
      <c r="LG73" t="s">
        <v>1285</v>
      </c>
      <c r="LH73" t="s">
        <v>858</v>
      </c>
      <c r="LI73" t="s">
        <v>1288</v>
      </c>
      <c r="LJ73" t="s">
        <v>1289</v>
      </c>
      <c r="LK73" s="2">
        <v>45209</v>
      </c>
      <c r="LL73" t="s">
        <v>1268</v>
      </c>
      <c r="LM73" t="s">
        <v>1270</v>
      </c>
      <c r="LN73">
        <v>2.94</v>
      </c>
      <c r="LO73">
        <v>56.8</v>
      </c>
      <c r="LP73">
        <v>14.36</v>
      </c>
      <c r="LQ73">
        <v>8.2799999999999994</v>
      </c>
      <c r="LR73">
        <v>73.53</v>
      </c>
      <c r="LS73">
        <v>50.57</v>
      </c>
      <c r="LT73">
        <v>0.95940000000000003</v>
      </c>
      <c r="LU73">
        <v>1.829</v>
      </c>
      <c r="LV73">
        <v>1.5680000000000001</v>
      </c>
      <c r="LW73">
        <v>2386.1999999999998</v>
      </c>
      <c r="LX73">
        <v>21.7</v>
      </c>
      <c r="LY73">
        <v>19.8</v>
      </c>
      <c r="LZ73">
        <v>65.319999999999993</v>
      </c>
      <c r="MA73">
        <v>27.93</v>
      </c>
      <c r="MB73">
        <v>25.36</v>
      </c>
      <c r="MC73" t="s">
        <v>1291</v>
      </c>
      <c r="MD73" t="s">
        <v>1292</v>
      </c>
      <c r="ME73">
        <v>56.82</v>
      </c>
      <c r="MF73">
        <v>56.79</v>
      </c>
      <c r="MG73">
        <v>1.0009999999999999</v>
      </c>
      <c r="MH73">
        <v>9.2119999999999997</v>
      </c>
      <c r="MI73">
        <v>1</v>
      </c>
      <c r="MJ73">
        <v>27.95</v>
      </c>
      <c r="MK73">
        <v>4.6289999999999996</v>
      </c>
      <c r="ML73">
        <v>1.1739999999999999</v>
      </c>
      <c r="MM73">
        <v>48.04</v>
      </c>
      <c r="MN73">
        <v>14.88</v>
      </c>
      <c r="MO73">
        <v>43.48</v>
      </c>
      <c r="MP73">
        <v>20.23</v>
      </c>
      <c r="MQ73">
        <v>40.82</v>
      </c>
      <c r="MR73">
        <v>23.59</v>
      </c>
      <c r="MS73">
        <v>37.659999999999997</v>
      </c>
      <c r="MT73">
        <v>23.91</v>
      </c>
      <c r="MU73">
        <v>35.96</v>
      </c>
      <c r="MV73">
        <v>25.19</v>
      </c>
      <c r="MW73">
        <v>35.9</v>
      </c>
      <c r="MX73">
        <v>25.72</v>
      </c>
      <c r="MY73">
        <v>20.52</v>
      </c>
      <c r="MZ73">
        <v>35.9</v>
      </c>
      <c r="NA73">
        <v>22.75</v>
      </c>
      <c r="NB73">
        <v>41.79</v>
      </c>
      <c r="QS73" t="s">
        <v>1367</v>
      </c>
      <c r="QV73">
        <v>56.8</v>
      </c>
      <c r="QY73">
        <v>56.82</v>
      </c>
      <c r="QZ73" t="s">
        <v>1368</v>
      </c>
      <c r="RA73" t="s">
        <v>1369</v>
      </c>
      <c r="RD73">
        <v>56.82</v>
      </c>
      <c r="RF73">
        <v>1.0009999999999999</v>
      </c>
    </row>
    <row r="74" spans="2:474" x14ac:dyDescent="0.3">
      <c r="B74" t="b">
        <v>1</v>
      </c>
      <c r="F74" t="b">
        <v>0</v>
      </c>
      <c r="G74" t="b">
        <v>0</v>
      </c>
      <c r="H74" t="b">
        <v>0</v>
      </c>
      <c r="I74" t="b">
        <v>0</v>
      </c>
      <c r="K74" t="s">
        <v>474</v>
      </c>
      <c r="L74" t="s">
        <v>475</v>
      </c>
      <c r="O74" t="s">
        <v>476</v>
      </c>
      <c r="U74">
        <v>134732.76999999999</v>
      </c>
      <c r="V74">
        <v>415382.57</v>
      </c>
      <c r="W74">
        <v>6.02</v>
      </c>
      <c r="X74" t="s">
        <v>482</v>
      </c>
      <c r="Y74" t="s">
        <v>550</v>
      </c>
      <c r="Z74" s="2">
        <v>45174</v>
      </c>
      <c r="AA74" t="s">
        <v>559</v>
      </c>
      <c r="AB74" t="s">
        <v>632</v>
      </c>
      <c r="AC74" t="s">
        <v>700</v>
      </c>
      <c r="AD74" t="s">
        <v>704</v>
      </c>
      <c r="AE74" t="s">
        <v>711</v>
      </c>
      <c r="AF74">
        <v>-0.28000000000000003</v>
      </c>
      <c r="AH74" t="s">
        <v>724</v>
      </c>
      <c r="AI74" t="s">
        <v>768</v>
      </c>
      <c r="AJ74" t="s">
        <v>774</v>
      </c>
      <c r="AK74">
        <v>2.87</v>
      </c>
      <c r="AL74">
        <v>2.62</v>
      </c>
      <c r="AM74">
        <v>3.15</v>
      </c>
      <c r="AN74">
        <v>3.4</v>
      </c>
      <c r="AP74" t="s">
        <v>781</v>
      </c>
      <c r="AQ74" t="s">
        <v>788</v>
      </c>
      <c r="AR74" t="s">
        <v>859</v>
      </c>
      <c r="AS74" t="s">
        <v>700</v>
      </c>
      <c r="AT74" t="s">
        <v>993</v>
      </c>
      <c r="AU74" s="2">
        <v>45279</v>
      </c>
      <c r="AV74" t="s">
        <v>1059</v>
      </c>
      <c r="AX74">
        <v>2.7</v>
      </c>
      <c r="AY74">
        <v>16.399999999999999</v>
      </c>
      <c r="AZ74">
        <v>10.8</v>
      </c>
      <c r="BA74">
        <v>51.9</v>
      </c>
      <c r="QZ74" t="s">
        <v>1368</v>
      </c>
      <c r="RA74" t="s">
        <v>1368</v>
      </c>
    </row>
    <row r="75" spans="2:474" x14ac:dyDescent="0.3">
      <c r="B75" t="b">
        <v>1</v>
      </c>
      <c r="F75" t="b">
        <v>0</v>
      </c>
      <c r="G75" t="b">
        <v>0</v>
      </c>
      <c r="H75" t="b">
        <v>0</v>
      </c>
      <c r="I75" t="b">
        <v>0</v>
      </c>
      <c r="K75" t="s">
        <v>474</v>
      </c>
      <c r="L75" t="s">
        <v>475</v>
      </c>
      <c r="O75" t="s">
        <v>476</v>
      </c>
      <c r="U75">
        <v>134732.76999999999</v>
      </c>
      <c r="V75">
        <v>415382.57</v>
      </c>
      <c r="W75">
        <v>6.02</v>
      </c>
      <c r="X75" t="s">
        <v>482</v>
      </c>
      <c r="Y75" t="s">
        <v>550</v>
      </c>
      <c r="Z75" s="2">
        <v>45174</v>
      </c>
      <c r="AA75" t="s">
        <v>559</v>
      </c>
      <c r="AB75" t="s">
        <v>632</v>
      </c>
      <c r="AC75" t="s">
        <v>700</v>
      </c>
      <c r="AD75" t="s">
        <v>704</v>
      </c>
      <c r="AE75" t="s">
        <v>711</v>
      </c>
      <c r="AF75">
        <v>-0.28000000000000003</v>
      </c>
      <c r="AH75" t="s">
        <v>725</v>
      </c>
      <c r="AI75" t="s">
        <v>768</v>
      </c>
      <c r="AJ75" t="s">
        <v>774</v>
      </c>
      <c r="AK75">
        <v>2.02</v>
      </c>
      <c r="AL75">
        <v>1.68</v>
      </c>
      <c r="AM75">
        <v>4</v>
      </c>
      <c r="AN75">
        <v>4.34</v>
      </c>
      <c r="AO75">
        <v>12.4</v>
      </c>
      <c r="AP75" t="s">
        <v>781</v>
      </c>
      <c r="AQ75" t="s">
        <v>788</v>
      </c>
      <c r="AR75" t="s">
        <v>860</v>
      </c>
      <c r="AS75" t="s">
        <v>700</v>
      </c>
      <c r="AT75" t="s">
        <v>993</v>
      </c>
      <c r="AU75" s="2">
        <v>45279</v>
      </c>
      <c r="AV75" t="s">
        <v>1060</v>
      </c>
      <c r="AX75">
        <v>1.78</v>
      </c>
      <c r="AY75">
        <v>16.600000000000001</v>
      </c>
      <c r="AZ75">
        <v>10.8</v>
      </c>
      <c r="BA75">
        <v>53.4</v>
      </c>
      <c r="QZ75" t="s">
        <v>1368</v>
      </c>
      <c r="RA75" t="s">
        <v>1368</v>
      </c>
    </row>
    <row r="76" spans="2:474" x14ac:dyDescent="0.3">
      <c r="B76" t="b">
        <v>1</v>
      </c>
      <c r="F76" t="b">
        <v>0</v>
      </c>
      <c r="G76" t="b">
        <v>0</v>
      </c>
      <c r="H76" t="b">
        <v>0</v>
      </c>
      <c r="I76" t="b">
        <v>0</v>
      </c>
      <c r="K76" t="s">
        <v>474</v>
      </c>
      <c r="L76" t="s">
        <v>475</v>
      </c>
      <c r="O76" t="s">
        <v>476</v>
      </c>
      <c r="U76">
        <v>134732.76999999999</v>
      </c>
      <c r="V76">
        <v>415382.57</v>
      </c>
      <c r="W76">
        <v>6.02</v>
      </c>
      <c r="X76" t="s">
        <v>482</v>
      </c>
      <c r="Y76" t="s">
        <v>550</v>
      </c>
      <c r="Z76" s="2">
        <v>45174</v>
      </c>
      <c r="AA76" t="s">
        <v>559</v>
      </c>
      <c r="AB76" t="s">
        <v>632</v>
      </c>
      <c r="AC76" t="s">
        <v>700</v>
      </c>
      <c r="AD76" t="s">
        <v>704</v>
      </c>
      <c r="AE76" t="s">
        <v>711</v>
      </c>
      <c r="AF76">
        <v>-0.28000000000000003</v>
      </c>
      <c r="AH76" t="s">
        <v>746</v>
      </c>
      <c r="AI76" t="s">
        <v>768</v>
      </c>
      <c r="AJ76" t="s">
        <v>774</v>
      </c>
      <c r="AK76">
        <v>1.42</v>
      </c>
      <c r="AL76">
        <v>1.17</v>
      </c>
      <c r="AM76">
        <v>4.5999999999999996</v>
      </c>
      <c r="AN76">
        <v>4.8499999999999996</v>
      </c>
      <c r="AO76">
        <v>14.8</v>
      </c>
      <c r="AP76" t="s">
        <v>781</v>
      </c>
      <c r="AQ76" t="s">
        <v>788</v>
      </c>
      <c r="AR76" t="s">
        <v>861</v>
      </c>
      <c r="AS76" t="s">
        <v>700</v>
      </c>
      <c r="AT76" t="s">
        <v>993</v>
      </c>
      <c r="AU76" s="2">
        <v>45279</v>
      </c>
      <c r="AV76" t="s">
        <v>1061</v>
      </c>
      <c r="AX76">
        <v>1.32</v>
      </c>
      <c r="AY76">
        <v>18.100000000000001</v>
      </c>
      <c r="AZ76">
        <v>13.2</v>
      </c>
      <c r="BA76">
        <v>36.4</v>
      </c>
      <c r="QZ76" t="s">
        <v>1368</v>
      </c>
      <c r="RA76" t="s">
        <v>1368</v>
      </c>
    </row>
    <row r="77" spans="2:474" x14ac:dyDescent="0.3">
      <c r="B77" t="b">
        <v>1</v>
      </c>
      <c r="F77" t="b">
        <v>0</v>
      </c>
      <c r="G77" t="b">
        <v>0</v>
      </c>
      <c r="H77" t="b">
        <v>1</v>
      </c>
      <c r="I77" t="b">
        <v>0</v>
      </c>
      <c r="K77" t="s">
        <v>474</v>
      </c>
      <c r="L77" t="s">
        <v>475</v>
      </c>
      <c r="O77" t="s">
        <v>476</v>
      </c>
      <c r="U77">
        <v>134732.76999999999</v>
      </c>
      <c r="V77">
        <v>415382.57</v>
      </c>
      <c r="W77">
        <v>6.02</v>
      </c>
      <c r="X77" t="s">
        <v>482</v>
      </c>
      <c r="Y77" t="s">
        <v>550</v>
      </c>
      <c r="Z77" s="2">
        <v>45174</v>
      </c>
      <c r="AA77" t="s">
        <v>559</v>
      </c>
      <c r="AB77" t="s">
        <v>632</v>
      </c>
      <c r="AC77" t="s">
        <v>700</v>
      </c>
      <c r="AD77" t="s">
        <v>704</v>
      </c>
      <c r="AE77" t="s">
        <v>711</v>
      </c>
      <c r="AF77">
        <v>-0.28000000000000003</v>
      </c>
      <c r="AH77" t="s">
        <v>747</v>
      </c>
      <c r="AI77" t="s">
        <v>768</v>
      </c>
      <c r="AJ77" t="s">
        <v>774</v>
      </c>
      <c r="AK77">
        <v>1.17</v>
      </c>
      <c r="AL77">
        <v>1.06</v>
      </c>
      <c r="AM77">
        <v>4.8499999999999996</v>
      </c>
      <c r="AN77">
        <v>4.96</v>
      </c>
      <c r="AP77" t="s">
        <v>781</v>
      </c>
      <c r="AQ77" t="s">
        <v>788</v>
      </c>
      <c r="AR77" t="s">
        <v>862</v>
      </c>
      <c r="AS77" t="s">
        <v>700</v>
      </c>
      <c r="AT77" t="s">
        <v>993</v>
      </c>
      <c r="AU77" s="2">
        <v>45279</v>
      </c>
      <c r="AV77" t="s">
        <v>1062</v>
      </c>
      <c r="AX77">
        <v>1.17</v>
      </c>
      <c r="AY77">
        <v>14.3</v>
      </c>
      <c r="AZ77">
        <v>7.2</v>
      </c>
      <c r="BA77">
        <v>98.8</v>
      </c>
      <c r="LF77" t="s">
        <v>1279</v>
      </c>
      <c r="LG77" t="s">
        <v>1286</v>
      </c>
      <c r="LH77" t="s">
        <v>862</v>
      </c>
      <c r="LI77" t="s">
        <v>1288</v>
      </c>
      <c r="LJ77" t="s">
        <v>1289</v>
      </c>
      <c r="LK77" s="2">
        <v>45209</v>
      </c>
      <c r="LL77" t="s">
        <v>1268</v>
      </c>
      <c r="LM77" t="s">
        <v>1290</v>
      </c>
      <c r="LN77">
        <v>1.17</v>
      </c>
      <c r="LO77">
        <v>83.3</v>
      </c>
      <c r="LP77">
        <v>14.31</v>
      </c>
      <c r="LQ77">
        <v>7.2</v>
      </c>
      <c r="LR77">
        <v>98.8</v>
      </c>
      <c r="LS77">
        <v>79.2</v>
      </c>
      <c r="LT77">
        <v>1.036</v>
      </c>
      <c r="LU77">
        <v>2.335</v>
      </c>
      <c r="LV77">
        <v>1.887</v>
      </c>
      <c r="LW77">
        <v>2447.5</v>
      </c>
      <c r="LX77">
        <v>21.7</v>
      </c>
      <c r="LY77">
        <v>19.8</v>
      </c>
      <c r="LZ77">
        <v>65.319999999999993</v>
      </c>
      <c r="MA77">
        <v>27.93</v>
      </c>
      <c r="MB77">
        <v>24.18</v>
      </c>
      <c r="MC77" t="s">
        <v>1291</v>
      </c>
      <c r="MD77" t="s">
        <v>1292</v>
      </c>
      <c r="ME77">
        <v>83.32</v>
      </c>
      <c r="MF77">
        <v>83.29</v>
      </c>
      <c r="MG77">
        <v>1</v>
      </c>
      <c r="MH77">
        <v>13.44</v>
      </c>
      <c r="MI77">
        <v>1</v>
      </c>
      <c r="MJ77">
        <v>27.66</v>
      </c>
      <c r="MK77">
        <v>4.7290000000000001</v>
      </c>
      <c r="ML77">
        <v>1.143</v>
      </c>
      <c r="MM77">
        <v>74.63</v>
      </c>
      <c r="MN77">
        <v>20.6</v>
      </c>
      <c r="MO77">
        <v>63.89</v>
      </c>
      <c r="MP77">
        <v>26.04</v>
      </c>
      <c r="MQ77">
        <v>56.22</v>
      </c>
      <c r="MR77">
        <v>29.96</v>
      </c>
      <c r="MS77">
        <v>50.46</v>
      </c>
      <c r="MT77">
        <v>30.63</v>
      </c>
      <c r="MU77">
        <v>47</v>
      </c>
      <c r="MV77">
        <v>30.97</v>
      </c>
      <c r="MW77">
        <v>47.48</v>
      </c>
      <c r="MX77">
        <v>31.55</v>
      </c>
      <c r="MY77">
        <v>19.760000000000002</v>
      </c>
      <c r="MZ77">
        <v>44.85</v>
      </c>
      <c r="NA77">
        <v>28.07</v>
      </c>
      <c r="NB77">
        <v>47.3</v>
      </c>
      <c r="NF77">
        <v>1196</v>
      </c>
      <c r="QS77" t="s">
        <v>1367</v>
      </c>
      <c r="QV77">
        <v>83.3</v>
      </c>
      <c r="QY77">
        <v>83.32</v>
      </c>
      <c r="QZ77" t="s">
        <v>1368</v>
      </c>
      <c r="RA77" t="s">
        <v>1369</v>
      </c>
      <c r="RD77">
        <v>83.32</v>
      </c>
      <c r="RF77">
        <v>1.000360187297394</v>
      </c>
    </row>
    <row r="78" spans="2:474" x14ac:dyDescent="0.3">
      <c r="B78" t="b">
        <v>1</v>
      </c>
      <c r="F78" t="b">
        <v>0</v>
      </c>
      <c r="G78" t="b">
        <v>0</v>
      </c>
      <c r="H78" t="b">
        <v>0</v>
      </c>
      <c r="I78" t="b">
        <v>0</v>
      </c>
      <c r="K78" t="s">
        <v>474</v>
      </c>
      <c r="L78" t="s">
        <v>475</v>
      </c>
      <c r="O78" t="s">
        <v>476</v>
      </c>
      <c r="U78">
        <v>134732.76999999999</v>
      </c>
      <c r="V78">
        <v>415382.57</v>
      </c>
      <c r="W78">
        <v>6.02</v>
      </c>
      <c r="X78" t="s">
        <v>482</v>
      </c>
      <c r="Y78" t="s">
        <v>550</v>
      </c>
      <c r="Z78" s="2">
        <v>45174</v>
      </c>
      <c r="AA78" t="s">
        <v>559</v>
      </c>
      <c r="AB78" t="s">
        <v>632</v>
      </c>
      <c r="AC78" t="s">
        <v>700</v>
      </c>
      <c r="AD78" t="s">
        <v>704</v>
      </c>
      <c r="AE78" t="s">
        <v>711</v>
      </c>
      <c r="AF78">
        <v>-0.28000000000000003</v>
      </c>
      <c r="AH78" t="s">
        <v>727</v>
      </c>
      <c r="AI78" t="s">
        <v>768</v>
      </c>
      <c r="AJ78" t="s">
        <v>774</v>
      </c>
      <c r="AK78">
        <v>1.02</v>
      </c>
      <c r="AL78">
        <v>0.68</v>
      </c>
      <c r="AM78">
        <v>5</v>
      </c>
      <c r="AN78">
        <v>5.34</v>
      </c>
      <c r="AO78">
        <v>15.3</v>
      </c>
      <c r="AP78" t="s">
        <v>781</v>
      </c>
      <c r="AQ78" t="s">
        <v>788</v>
      </c>
      <c r="AR78" t="s">
        <v>863</v>
      </c>
      <c r="AS78" t="s">
        <v>700</v>
      </c>
      <c r="AT78" t="s">
        <v>993</v>
      </c>
      <c r="AU78" s="2">
        <v>45279</v>
      </c>
      <c r="AV78" t="s">
        <v>1060</v>
      </c>
      <c r="AX78">
        <v>0.78</v>
      </c>
      <c r="AY78">
        <v>18.8</v>
      </c>
      <c r="AZ78">
        <v>14.5</v>
      </c>
      <c r="BA78">
        <v>29.8</v>
      </c>
      <c r="QZ78" t="s">
        <v>1368</v>
      </c>
      <c r="RA78" t="s">
        <v>1368</v>
      </c>
    </row>
    <row r="79" spans="2:474" x14ac:dyDescent="0.3">
      <c r="B79" t="b">
        <v>1</v>
      </c>
      <c r="F79" t="b">
        <v>1</v>
      </c>
      <c r="G79" t="b">
        <v>0</v>
      </c>
      <c r="H79" t="b">
        <v>0</v>
      </c>
      <c r="I79" t="b">
        <v>1</v>
      </c>
      <c r="K79" t="s">
        <v>474</v>
      </c>
      <c r="L79" t="s">
        <v>475</v>
      </c>
      <c r="O79" t="s">
        <v>476</v>
      </c>
      <c r="U79">
        <v>134732.76999999999</v>
      </c>
      <c r="V79">
        <v>415382.57</v>
      </c>
      <c r="W79">
        <v>6.02</v>
      </c>
      <c r="X79" t="s">
        <v>482</v>
      </c>
      <c r="Y79" t="s">
        <v>550</v>
      </c>
      <c r="Z79" s="2">
        <v>45174</v>
      </c>
      <c r="AA79" t="s">
        <v>559</v>
      </c>
      <c r="AB79" t="s">
        <v>632</v>
      </c>
      <c r="AC79" t="s">
        <v>700</v>
      </c>
      <c r="AD79" t="s">
        <v>704</v>
      </c>
      <c r="AE79" t="s">
        <v>711</v>
      </c>
      <c r="AF79">
        <v>-0.28000000000000003</v>
      </c>
      <c r="AH79" t="s">
        <v>717</v>
      </c>
      <c r="AI79" t="s">
        <v>768</v>
      </c>
      <c r="AJ79" t="s">
        <v>774</v>
      </c>
      <c r="AK79">
        <v>0.52</v>
      </c>
      <c r="AL79">
        <v>0.19</v>
      </c>
      <c r="AM79">
        <v>5.5</v>
      </c>
      <c r="AN79">
        <v>5.83</v>
      </c>
      <c r="AO79">
        <v>15.5</v>
      </c>
      <c r="AP79" t="s">
        <v>781</v>
      </c>
      <c r="AQ79" t="s">
        <v>788</v>
      </c>
      <c r="AR79" t="s">
        <v>864</v>
      </c>
      <c r="AS79" t="s">
        <v>700</v>
      </c>
      <c r="AT79" t="s">
        <v>993</v>
      </c>
      <c r="AU79" s="2">
        <v>45279</v>
      </c>
      <c r="AV79" t="s">
        <v>1063</v>
      </c>
      <c r="AX79">
        <v>0.42</v>
      </c>
      <c r="AY79">
        <v>19.399999999999999</v>
      </c>
      <c r="AZ79">
        <v>15.3</v>
      </c>
      <c r="BA79">
        <v>26.3</v>
      </c>
      <c r="DZ79" t="s">
        <v>1229</v>
      </c>
      <c r="EA79" t="s">
        <v>1244</v>
      </c>
      <c r="EB79" t="s">
        <v>1259</v>
      </c>
      <c r="EC79" t="s">
        <v>1266</v>
      </c>
      <c r="ED79" t="s">
        <v>1267</v>
      </c>
      <c r="EE79" s="2">
        <v>45210</v>
      </c>
      <c r="EF79" t="s">
        <v>1268</v>
      </c>
      <c r="EH79">
        <v>0.28999999999999998</v>
      </c>
      <c r="EI79">
        <v>99.2</v>
      </c>
      <c r="EJ79">
        <v>19.41</v>
      </c>
      <c r="EK79">
        <v>15.19</v>
      </c>
      <c r="EL79">
        <v>27.84</v>
      </c>
      <c r="EM79">
        <v>19.86</v>
      </c>
      <c r="EN79">
        <v>101.6</v>
      </c>
      <c r="EO79">
        <v>21.7</v>
      </c>
      <c r="EP79">
        <v>19.8</v>
      </c>
      <c r="EQ79">
        <v>65.44</v>
      </c>
      <c r="ER79">
        <v>18.8</v>
      </c>
      <c r="ES79">
        <v>18.739999999999998</v>
      </c>
      <c r="ET79">
        <v>16.25</v>
      </c>
      <c r="EU79">
        <v>0.5</v>
      </c>
      <c r="EV79">
        <v>-0.2</v>
      </c>
      <c r="EW79">
        <v>16</v>
      </c>
      <c r="EX79">
        <v>582.6</v>
      </c>
      <c r="EY79">
        <v>486.5</v>
      </c>
      <c r="EZ79">
        <v>357.8</v>
      </c>
      <c r="FA79">
        <v>196.9</v>
      </c>
      <c r="FB79">
        <v>989</v>
      </c>
      <c r="FC79">
        <v>2.0299999999999998</v>
      </c>
      <c r="FD79">
        <v>161.9</v>
      </c>
      <c r="FE79">
        <v>3.8</v>
      </c>
      <c r="FF79">
        <v>670</v>
      </c>
      <c r="FG79">
        <v>4.2199999999999998E-3</v>
      </c>
      <c r="FH79">
        <v>0.06</v>
      </c>
      <c r="FI79">
        <v>2.14E-3</v>
      </c>
      <c r="NG79" t="s">
        <v>1302</v>
      </c>
      <c r="NH79" t="s">
        <v>1323</v>
      </c>
      <c r="NI79" t="s">
        <v>1344</v>
      </c>
      <c r="NJ79" t="s">
        <v>1266</v>
      </c>
      <c r="NK79" t="s">
        <v>1356</v>
      </c>
      <c r="NL79" s="2">
        <v>45217</v>
      </c>
      <c r="NM79" t="s">
        <v>1268</v>
      </c>
      <c r="NO79">
        <v>0.42</v>
      </c>
      <c r="NP79">
        <v>99.2</v>
      </c>
      <c r="NQ79">
        <v>19.350000000000001</v>
      </c>
      <c r="NR79">
        <v>15.33</v>
      </c>
      <c r="NS79">
        <v>28.24</v>
      </c>
      <c r="NT79">
        <v>26.28</v>
      </c>
      <c r="NU79">
        <v>100.72</v>
      </c>
      <c r="NV79">
        <v>0.69</v>
      </c>
      <c r="NW79">
        <v>2636</v>
      </c>
      <c r="NX79">
        <v>21.3</v>
      </c>
      <c r="NY79">
        <v>21.3</v>
      </c>
      <c r="NZ79">
        <v>50</v>
      </c>
      <c r="OA79">
        <v>100</v>
      </c>
      <c r="OB79" t="s">
        <v>1360</v>
      </c>
      <c r="OC79" t="s">
        <v>1361</v>
      </c>
      <c r="OD79" t="s">
        <v>1362</v>
      </c>
      <c r="OE79">
        <v>300</v>
      </c>
      <c r="OF79" t="s">
        <v>1363</v>
      </c>
      <c r="OG79">
        <v>0.61</v>
      </c>
      <c r="OH79" t="s">
        <v>1364</v>
      </c>
      <c r="OI79">
        <v>59.66</v>
      </c>
      <c r="OJ79">
        <v>0.76</v>
      </c>
      <c r="OK79">
        <v>78.03</v>
      </c>
      <c r="OL79">
        <v>19.47</v>
      </c>
      <c r="OM79">
        <v>78.03</v>
      </c>
      <c r="ON79">
        <v>19.47</v>
      </c>
      <c r="OO79">
        <v>1</v>
      </c>
      <c r="OP79">
        <v>1.2</v>
      </c>
      <c r="OQ79">
        <v>3.82</v>
      </c>
      <c r="OR79" t="s">
        <v>1365</v>
      </c>
      <c r="OS79">
        <v>0.97</v>
      </c>
      <c r="OT79">
        <v>82.52</v>
      </c>
      <c r="OU79">
        <v>47.36</v>
      </c>
      <c r="OV79">
        <v>87.87</v>
      </c>
      <c r="OW79">
        <v>51.91</v>
      </c>
      <c r="OX79">
        <v>94.8</v>
      </c>
      <c r="OY79">
        <v>53.44</v>
      </c>
      <c r="OZ79">
        <v>94.54</v>
      </c>
      <c r="PA79">
        <v>53.58</v>
      </c>
      <c r="PB79">
        <v>14.21</v>
      </c>
      <c r="PC79">
        <v>93.78</v>
      </c>
      <c r="PD79">
        <v>50.02</v>
      </c>
      <c r="PE79">
        <v>25</v>
      </c>
      <c r="PF79">
        <v>12.03</v>
      </c>
      <c r="PG79">
        <v>0.28000000000000003</v>
      </c>
      <c r="PH79">
        <v>0.17</v>
      </c>
      <c r="QS79" t="s">
        <v>1366</v>
      </c>
      <c r="QV79">
        <v>99.2</v>
      </c>
      <c r="QW79">
        <v>161.9</v>
      </c>
      <c r="QX79">
        <v>97.5</v>
      </c>
      <c r="QZ79" t="s">
        <v>1369</v>
      </c>
      <c r="RA79" t="s">
        <v>1368</v>
      </c>
      <c r="RD79">
        <v>161.9</v>
      </c>
      <c r="RE79">
        <v>1.660512820512821</v>
      </c>
    </row>
    <row r="80" spans="2:474" x14ac:dyDescent="0.3">
      <c r="B80" t="b">
        <v>1</v>
      </c>
      <c r="F80" t="b">
        <v>0</v>
      </c>
      <c r="G80" t="b">
        <v>0</v>
      </c>
      <c r="H80" t="b">
        <v>0</v>
      </c>
      <c r="I80" t="b">
        <v>0</v>
      </c>
      <c r="K80" t="s">
        <v>474</v>
      </c>
      <c r="L80" t="s">
        <v>475</v>
      </c>
      <c r="O80" t="s">
        <v>476</v>
      </c>
      <c r="U80">
        <v>134732.76999999999</v>
      </c>
      <c r="V80">
        <v>415382.57</v>
      </c>
      <c r="W80">
        <v>6.02</v>
      </c>
      <c r="X80" t="s">
        <v>482</v>
      </c>
      <c r="Y80" t="s">
        <v>550</v>
      </c>
      <c r="Z80" s="2">
        <v>45174</v>
      </c>
      <c r="AA80" t="s">
        <v>559</v>
      </c>
      <c r="AB80" t="s">
        <v>632</v>
      </c>
      <c r="AC80" t="s">
        <v>700</v>
      </c>
      <c r="AD80" t="s">
        <v>704</v>
      </c>
      <c r="AE80" t="s">
        <v>711</v>
      </c>
      <c r="AF80">
        <v>-0.28000000000000003</v>
      </c>
      <c r="AH80" t="s">
        <v>718</v>
      </c>
      <c r="AI80" t="s">
        <v>768</v>
      </c>
      <c r="AJ80" t="s">
        <v>774</v>
      </c>
      <c r="AK80">
        <v>0.02</v>
      </c>
      <c r="AL80">
        <v>-0.23</v>
      </c>
      <c r="AM80">
        <v>6</v>
      </c>
      <c r="AN80">
        <v>6.25</v>
      </c>
      <c r="AO80">
        <v>12.8</v>
      </c>
      <c r="AP80" t="s">
        <v>781</v>
      </c>
      <c r="AQ80" t="s">
        <v>788</v>
      </c>
      <c r="AR80" t="s">
        <v>865</v>
      </c>
      <c r="AS80" t="s">
        <v>700</v>
      </c>
      <c r="AT80" t="s">
        <v>993</v>
      </c>
      <c r="AU80" s="2">
        <v>45279</v>
      </c>
      <c r="AV80" t="s">
        <v>1064</v>
      </c>
      <c r="AX80">
        <v>-0.18</v>
      </c>
      <c r="AY80">
        <v>19.2</v>
      </c>
      <c r="AZ80">
        <v>15.3</v>
      </c>
      <c r="BA80">
        <v>25.4</v>
      </c>
      <c r="QZ80" t="s">
        <v>1368</v>
      </c>
      <c r="RA80" t="s">
        <v>1368</v>
      </c>
    </row>
    <row r="81" spans="2:474" x14ac:dyDescent="0.3">
      <c r="B81" t="b">
        <v>1</v>
      </c>
      <c r="F81" t="b">
        <v>0</v>
      </c>
      <c r="G81" t="b">
        <v>0</v>
      </c>
      <c r="H81" t="b">
        <v>0</v>
      </c>
      <c r="I81" t="b">
        <v>0</v>
      </c>
      <c r="K81" t="s">
        <v>474</v>
      </c>
      <c r="L81" t="s">
        <v>475</v>
      </c>
      <c r="O81" t="s">
        <v>476</v>
      </c>
      <c r="U81">
        <v>134732.76999999999</v>
      </c>
      <c r="V81">
        <v>415382.57</v>
      </c>
      <c r="W81">
        <v>6.02</v>
      </c>
      <c r="X81" t="s">
        <v>482</v>
      </c>
      <c r="Y81" t="s">
        <v>550</v>
      </c>
      <c r="Z81" s="2">
        <v>45174</v>
      </c>
      <c r="AA81" t="s">
        <v>559</v>
      </c>
      <c r="AB81" t="s">
        <v>632</v>
      </c>
      <c r="AC81" t="s">
        <v>700</v>
      </c>
      <c r="AD81" t="s">
        <v>704</v>
      </c>
      <c r="AE81" t="s">
        <v>711</v>
      </c>
      <c r="AF81">
        <v>-0.28000000000000003</v>
      </c>
      <c r="AH81" t="s">
        <v>730</v>
      </c>
      <c r="AI81" t="s">
        <v>768</v>
      </c>
      <c r="AJ81" t="s">
        <v>774</v>
      </c>
      <c r="AK81">
        <v>-0.48</v>
      </c>
      <c r="AL81">
        <v>-0.84</v>
      </c>
      <c r="AM81">
        <v>6.5</v>
      </c>
      <c r="AN81">
        <v>6.86</v>
      </c>
      <c r="AO81">
        <v>14.5</v>
      </c>
      <c r="AP81" t="s">
        <v>781</v>
      </c>
      <c r="AQ81" t="s">
        <v>788</v>
      </c>
      <c r="AR81" t="s">
        <v>866</v>
      </c>
      <c r="AS81" t="s">
        <v>700</v>
      </c>
      <c r="AT81" t="s">
        <v>993</v>
      </c>
      <c r="AU81" s="2">
        <v>45279</v>
      </c>
      <c r="AV81" t="s">
        <v>1065</v>
      </c>
      <c r="AX81">
        <v>-0.74</v>
      </c>
      <c r="AY81">
        <v>15.3</v>
      </c>
      <c r="AZ81">
        <v>9</v>
      </c>
      <c r="BA81">
        <v>69.099999999999994</v>
      </c>
      <c r="QZ81" t="s">
        <v>1368</v>
      </c>
      <c r="RA81" t="s">
        <v>1368</v>
      </c>
    </row>
    <row r="82" spans="2:474" x14ac:dyDescent="0.3">
      <c r="B82" t="b">
        <v>1</v>
      </c>
      <c r="F82" t="b">
        <v>0</v>
      </c>
      <c r="G82" t="b">
        <v>0</v>
      </c>
      <c r="H82" t="b">
        <v>0</v>
      </c>
      <c r="I82" t="b">
        <v>0</v>
      </c>
      <c r="K82" t="s">
        <v>474</v>
      </c>
      <c r="L82" t="s">
        <v>475</v>
      </c>
      <c r="O82" t="s">
        <v>476</v>
      </c>
      <c r="U82">
        <v>134732.76999999999</v>
      </c>
      <c r="V82">
        <v>415382.57</v>
      </c>
      <c r="W82">
        <v>6.02</v>
      </c>
      <c r="X82" t="s">
        <v>482</v>
      </c>
      <c r="Y82" t="s">
        <v>550</v>
      </c>
      <c r="Z82" s="2">
        <v>45174</v>
      </c>
      <c r="AA82" t="s">
        <v>559</v>
      </c>
      <c r="AB82" t="s">
        <v>632</v>
      </c>
      <c r="AC82" t="s">
        <v>700</v>
      </c>
      <c r="AD82" t="s">
        <v>704</v>
      </c>
      <c r="AE82" t="s">
        <v>711</v>
      </c>
      <c r="AF82">
        <v>-0.28000000000000003</v>
      </c>
      <c r="AH82" t="s">
        <v>731</v>
      </c>
      <c r="AI82" t="s">
        <v>768</v>
      </c>
      <c r="AJ82" t="s">
        <v>774</v>
      </c>
      <c r="AK82">
        <v>-0.98</v>
      </c>
      <c r="AL82">
        <v>-1.3</v>
      </c>
      <c r="AM82">
        <v>7</v>
      </c>
      <c r="AN82">
        <v>7.32</v>
      </c>
      <c r="AO82">
        <v>13.7</v>
      </c>
      <c r="AP82" t="s">
        <v>781</v>
      </c>
      <c r="AQ82" t="s">
        <v>788</v>
      </c>
      <c r="AR82" t="s">
        <v>867</v>
      </c>
      <c r="AS82" t="s">
        <v>700</v>
      </c>
      <c r="AT82" t="s">
        <v>993</v>
      </c>
      <c r="AU82" s="2">
        <v>45279</v>
      </c>
      <c r="AV82" t="s">
        <v>1066</v>
      </c>
      <c r="AX82">
        <v>-1.2</v>
      </c>
      <c r="AY82">
        <v>17</v>
      </c>
      <c r="AZ82">
        <v>11.6</v>
      </c>
      <c r="BA82">
        <v>46</v>
      </c>
      <c r="QZ82" t="s">
        <v>1368</v>
      </c>
      <c r="RA82" t="s">
        <v>1368</v>
      </c>
    </row>
    <row r="83" spans="2:474" x14ac:dyDescent="0.3">
      <c r="B83" t="b">
        <v>1</v>
      </c>
      <c r="F83" t="b">
        <v>0</v>
      </c>
      <c r="G83" t="b">
        <v>0</v>
      </c>
      <c r="H83" t="b">
        <v>0</v>
      </c>
      <c r="I83" t="b">
        <v>0</v>
      </c>
      <c r="K83" t="s">
        <v>474</v>
      </c>
      <c r="L83" t="s">
        <v>475</v>
      </c>
      <c r="O83" t="s">
        <v>476</v>
      </c>
      <c r="U83">
        <v>134732.76999999999</v>
      </c>
      <c r="V83">
        <v>415382.57</v>
      </c>
      <c r="W83">
        <v>6.02</v>
      </c>
      <c r="X83" t="s">
        <v>482</v>
      </c>
      <c r="Y83" t="s">
        <v>550</v>
      </c>
      <c r="Z83" s="2">
        <v>45174</v>
      </c>
      <c r="AA83" t="s">
        <v>559</v>
      </c>
      <c r="AB83" t="s">
        <v>632</v>
      </c>
      <c r="AC83" t="s">
        <v>700</v>
      </c>
      <c r="AD83" t="s">
        <v>704</v>
      </c>
      <c r="AE83" t="s">
        <v>711</v>
      </c>
      <c r="AF83">
        <v>-0.28000000000000003</v>
      </c>
      <c r="AH83" t="s">
        <v>732</v>
      </c>
      <c r="AI83" t="s">
        <v>768</v>
      </c>
      <c r="AJ83" t="s">
        <v>774</v>
      </c>
      <c r="AK83">
        <v>-1.48</v>
      </c>
      <c r="AL83">
        <v>-1.81</v>
      </c>
      <c r="AM83">
        <v>7.5</v>
      </c>
      <c r="AN83">
        <v>7.83</v>
      </c>
      <c r="AO83">
        <v>15.4</v>
      </c>
      <c r="AP83" t="s">
        <v>781</v>
      </c>
      <c r="AQ83" t="s">
        <v>788</v>
      </c>
      <c r="AR83" t="s">
        <v>868</v>
      </c>
      <c r="AS83" t="s">
        <v>700</v>
      </c>
      <c r="AT83" t="s">
        <v>993</v>
      </c>
      <c r="AU83" s="2">
        <v>45279</v>
      </c>
      <c r="AV83" t="s">
        <v>1067</v>
      </c>
      <c r="AX83">
        <v>-1.71</v>
      </c>
      <c r="AY83">
        <v>17.2</v>
      </c>
      <c r="AZ83">
        <v>11.7</v>
      </c>
      <c r="BA83">
        <v>46.4</v>
      </c>
      <c r="QZ83" t="s">
        <v>1368</v>
      </c>
      <c r="RA83" t="s">
        <v>1368</v>
      </c>
    </row>
    <row r="84" spans="2:474" x14ac:dyDescent="0.3">
      <c r="B84" t="b">
        <v>1</v>
      </c>
      <c r="F84" t="b">
        <v>0</v>
      </c>
      <c r="G84" t="b">
        <v>0</v>
      </c>
      <c r="H84" t="b">
        <v>0</v>
      </c>
      <c r="I84" t="b">
        <v>0</v>
      </c>
      <c r="K84" t="s">
        <v>474</v>
      </c>
      <c r="L84" t="s">
        <v>475</v>
      </c>
      <c r="O84" t="s">
        <v>476</v>
      </c>
      <c r="U84">
        <v>134348.04</v>
      </c>
      <c r="V84">
        <v>415077.43</v>
      </c>
      <c r="W84">
        <v>2.2200000000000002</v>
      </c>
      <c r="X84" t="s">
        <v>483</v>
      </c>
      <c r="Y84" t="s">
        <v>551</v>
      </c>
      <c r="Z84" s="2">
        <v>45174</v>
      </c>
      <c r="AA84" t="s">
        <v>560</v>
      </c>
      <c r="AB84" t="s">
        <v>633</v>
      </c>
      <c r="AC84" t="s">
        <v>700</v>
      </c>
      <c r="AD84" t="s">
        <v>704</v>
      </c>
      <c r="AE84" t="s">
        <v>711</v>
      </c>
      <c r="AF84">
        <v>0.22</v>
      </c>
      <c r="AH84" t="s">
        <v>712</v>
      </c>
      <c r="AI84" t="s">
        <v>768</v>
      </c>
      <c r="AJ84" t="s">
        <v>774</v>
      </c>
      <c r="AK84">
        <v>2.2200000000000002</v>
      </c>
      <c r="AL84">
        <v>1.82</v>
      </c>
      <c r="AM84">
        <v>0</v>
      </c>
      <c r="AN84">
        <v>0.4</v>
      </c>
      <c r="AP84" t="s">
        <v>782</v>
      </c>
      <c r="AQ84" t="s">
        <v>788</v>
      </c>
      <c r="AR84" t="s">
        <v>869</v>
      </c>
      <c r="AS84" t="s">
        <v>700</v>
      </c>
      <c r="AT84" t="s">
        <v>993</v>
      </c>
      <c r="AU84" s="2">
        <v>45279</v>
      </c>
      <c r="AV84" t="s">
        <v>1068</v>
      </c>
      <c r="AX84">
        <v>1.89</v>
      </c>
      <c r="AY84">
        <v>18.899999999999999</v>
      </c>
      <c r="AZ84">
        <v>15.5</v>
      </c>
      <c r="BA84">
        <v>22.3</v>
      </c>
      <c r="QZ84" t="s">
        <v>1368</v>
      </c>
      <c r="RA84" t="s">
        <v>1368</v>
      </c>
    </row>
    <row r="85" spans="2:474" x14ac:dyDescent="0.3">
      <c r="B85" t="b">
        <v>1</v>
      </c>
      <c r="F85" t="b">
        <v>0</v>
      </c>
      <c r="G85" t="b">
        <v>0</v>
      </c>
      <c r="H85" t="b">
        <v>0</v>
      </c>
      <c r="I85" t="b">
        <v>0</v>
      </c>
      <c r="K85" t="s">
        <v>474</v>
      </c>
      <c r="L85" t="s">
        <v>475</v>
      </c>
      <c r="O85" t="s">
        <v>476</v>
      </c>
      <c r="U85">
        <v>134348.04</v>
      </c>
      <c r="V85">
        <v>415077.43</v>
      </c>
      <c r="W85">
        <v>2.2200000000000002</v>
      </c>
      <c r="X85" t="s">
        <v>483</v>
      </c>
      <c r="Y85" t="s">
        <v>551</v>
      </c>
      <c r="Z85" s="2">
        <v>45174</v>
      </c>
      <c r="AA85" t="s">
        <v>560</v>
      </c>
      <c r="AB85" t="s">
        <v>633</v>
      </c>
      <c r="AC85" t="s">
        <v>700</v>
      </c>
      <c r="AD85" t="s">
        <v>704</v>
      </c>
      <c r="AE85" t="s">
        <v>711</v>
      </c>
      <c r="AF85">
        <v>0.22</v>
      </c>
      <c r="AH85" t="s">
        <v>713</v>
      </c>
      <c r="AI85" t="s">
        <v>768</v>
      </c>
      <c r="AJ85" t="s">
        <v>774</v>
      </c>
      <c r="AK85">
        <v>1.72</v>
      </c>
      <c r="AL85">
        <v>1.54</v>
      </c>
      <c r="AM85">
        <v>0.5</v>
      </c>
      <c r="AN85">
        <v>0.68</v>
      </c>
      <c r="AO85">
        <v>9.8000000000000007</v>
      </c>
      <c r="AP85" t="s">
        <v>782</v>
      </c>
      <c r="AQ85" t="s">
        <v>788</v>
      </c>
      <c r="AR85" t="s">
        <v>870</v>
      </c>
      <c r="AS85" t="s">
        <v>700</v>
      </c>
      <c r="AT85" t="s">
        <v>993</v>
      </c>
      <c r="AU85" s="2">
        <v>45279</v>
      </c>
      <c r="AV85" t="s">
        <v>1069</v>
      </c>
      <c r="AX85">
        <v>1.65</v>
      </c>
      <c r="AY85">
        <v>18.600000000000001</v>
      </c>
      <c r="AZ85">
        <v>14.8</v>
      </c>
      <c r="BA85">
        <v>25.8</v>
      </c>
      <c r="QZ85" t="s">
        <v>1368</v>
      </c>
      <c r="RA85" t="s">
        <v>1368</v>
      </c>
    </row>
    <row r="86" spans="2:474" x14ac:dyDescent="0.3">
      <c r="B86" t="b">
        <v>1</v>
      </c>
      <c r="F86" t="b">
        <v>0</v>
      </c>
      <c r="G86" t="b">
        <v>0</v>
      </c>
      <c r="H86" t="b">
        <v>0</v>
      </c>
      <c r="I86" t="b">
        <v>0</v>
      </c>
      <c r="K86" t="s">
        <v>474</v>
      </c>
      <c r="L86" t="s">
        <v>475</v>
      </c>
      <c r="O86" t="s">
        <v>476</v>
      </c>
      <c r="U86">
        <v>134348.04</v>
      </c>
      <c r="V86">
        <v>415077.43</v>
      </c>
      <c r="W86">
        <v>2.2200000000000002</v>
      </c>
      <c r="X86" t="s">
        <v>483</v>
      </c>
      <c r="Y86" t="s">
        <v>551</v>
      </c>
      <c r="Z86" s="2">
        <v>45174</v>
      </c>
      <c r="AA86" t="s">
        <v>560</v>
      </c>
      <c r="AB86" t="s">
        <v>633</v>
      </c>
      <c r="AC86" t="s">
        <v>700</v>
      </c>
      <c r="AD86" t="s">
        <v>704</v>
      </c>
      <c r="AE86" t="s">
        <v>711</v>
      </c>
      <c r="AF86">
        <v>0.22</v>
      </c>
      <c r="AH86" t="s">
        <v>714</v>
      </c>
      <c r="AI86" t="s">
        <v>768</v>
      </c>
      <c r="AJ86" t="s">
        <v>774</v>
      </c>
      <c r="AK86">
        <v>1.22</v>
      </c>
      <c r="AL86">
        <v>1.04</v>
      </c>
      <c r="AM86">
        <v>1</v>
      </c>
      <c r="AN86">
        <v>1.18</v>
      </c>
      <c r="AO86">
        <v>9</v>
      </c>
      <c r="AP86" t="s">
        <v>782</v>
      </c>
      <c r="AQ86" t="s">
        <v>788</v>
      </c>
      <c r="AR86" t="s">
        <v>871</v>
      </c>
      <c r="AS86" t="s">
        <v>700</v>
      </c>
      <c r="AT86" t="s">
        <v>993</v>
      </c>
      <c r="AU86" s="2">
        <v>45279</v>
      </c>
      <c r="AV86" t="s">
        <v>1066</v>
      </c>
      <c r="AX86">
        <v>1.1100000000000001</v>
      </c>
      <c r="AY86">
        <v>18.2</v>
      </c>
      <c r="AZ86">
        <v>13</v>
      </c>
      <c r="BA86">
        <v>39.200000000000003</v>
      </c>
      <c r="QZ86" t="s">
        <v>1368</v>
      </c>
      <c r="RA86" t="s">
        <v>1368</v>
      </c>
    </row>
    <row r="87" spans="2:474" x14ac:dyDescent="0.3">
      <c r="B87" t="b">
        <v>1</v>
      </c>
      <c r="F87" t="b">
        <v>1</v>
      </c>
      <c r="G87" t="b">
        <v>0</v>
      </c>
      <c r="H87" t="b">
        <v>0</v>
      </c>
      <c r="I87" t="b">
        <v>1</v>
      </c>
      <c r="K87" t="s">
        <v>474</v>
      </c>
      <c r="L87" t="s">
        <v>475</v>
      </c>
      <c r="O87" t="s">
        <v>476</v>
      </c>
      <c r="U87">
        <v>134348.04</v>
      </c>
      <c r="V87">
        <v>415077.43</v>
      </c>
      <c r="W87">
        <v>2.2200000000000002</v>
      </c>
      <c r="X87" t="s">
        <v>483</v>
      </c>
      <c r="Y87" t="s">
        <v>551</v>
      </c>
      <c r="Z87" s="2">
        <v>45174</v>
      </c>
      <c r="AA87" t="s">
        <v>560</v>
      </c>
      <c r="AB87" t="s">
        <v>633</v>
      </c>
      <c r="AC87" t="s">
        <v>700</v>
      </c>
      <c r="AD87" t="s">
        <v>704</v>
      </c>
      <c r="AE87" t="s">
        <v>711</v>
      </c>
      <c r="AF87">
        <v>0.22</v>
      </c>
      <c r="AH87" t="s">
        <v>725</v>
      </c>
      <c r="AI87" t="s">
        <v>768</v>
      </c>
      <c r="AJ87" t="s">
        <v>774</v>
      </c>
      <c r="AK87">
        <v>0.72</v>
      </c>
      <c r="AL87">
        <v>0.32</v>
      </c>
      <c r="AM87">
        <v>1.5</v>
      </c>
      <c r="AN87">
        <v>1.9</v>
      </c>
      <c r="AO87">
        <v>18.399999999999999</v>
      </c>
      <c r="AP87" t="s">
        <v>782</v>
      </c>
      <c r="AQ87" t="s">
        <v>788</v>
      </c>
      <c r="AR87" t="s">
        <v>872</v>
      </c>
      <c r="AS87" t="s">
        <v>700</v>
      </c>
      <c r="AT87" t="s">
        <v>993</v>
      </c>
      <c r="AU87" s="2">
        <v>45279</v>
      </c>
      <c r="AV87" t="s">
        <v>1066</v>
      </c>
      <c r="AX87">
        <v>0.51</v>
      </c>
      <c r="AY87">
        <v>19.899999999999999</v>
      </c>
      <c r="AZ87">
        <v>15.8</v>
      </c>
      <c r="BA87">
        <v>25.8</v>
      </c>
      <c r="DZ87" t="s">
        <v>1230</v>
      </c>
      <c r="EA87" t="s">
        <v>1245</v>
      </c>
      <c r="EB87" t="s">
        <v>1260</v>
      </c>
      <c r="EC87" t="s">
        <v>1266</v>
      </c>
      <c r="ED87" t="s">
        <v>1267</v>
      </c>
      <c r="EE87" s="2">
        <v>45201</v>
      </c>
      <c r="EF87" t="s">
        <v>1268</v>
      </c>
      <c r="EH87">
        <v>0.62</v>
      </c>
      <c r="EI87">
        <v>31.9</v>
      </c>
      <c r="EJ87">
        <v>18.21</v>
      </c>
      <c r="EK87">
        <v>14.04</v>
      </c>
      <c r="EL87">
        <v>29.64</v>
      </c>
      <c r="EM87">
        <v>24.17</v>
      </c>
      <c r="EN87">
        <v>91.19</v>
      </c>
      <c r="EO87">
        <v>21.7</v>
      </c>
      <c r="EP87">
        <v>19.8</v>
      </c>
      <c r="EQ87">
        <v>65.349999999999994</v>
      </c>
      <c r="ER87">
        <v>19</v>
      </c>
      <c r="ES87">
        <v>18.920000000000002</v>
      </c>
      <c r="ET87">
        <v>16.350000000000001</v>
      </c>
      <c r="EU87">
        <v>0.5</v>
      </c>
      <c r="EV87">
        <v>-0.2</v>
      </c>
      <c r="EW87">
        <v>16</v>
      </c>
      <c r="EX87">
        <v>184.8</v>
      </c>
      <c r="EY87">
        <v>146.6</v>
      </c>
      <c r="EZ87">
        <v>113</v>
      </c>
      <c r="FA87">
        <v>62.21</v>
      </c>
      <c r="FB87">
        <v>506.6</v>
      </c>
      <c r="FC87">
        <v>4.42</v>
      </c>
      <c r="FD87">
        <v>66.739999999999995</v>
      </c>
      <c r="FE87">
        <v>3.28</v>
      </c>
      <c r="FF87">
        <v>217.1</v>
      </c>
      <c r="FG87">
        <v>5.0000000000000001E-4</v>
      </c>
      <c r="FH87">
        <v>5.5899999999999998E-2</v>
      </c>
      <c r="FI87">
        <v>2.7000000000000001E-3</v>
      </c>
      <c r="NG87" t="s">
        <v>1303</v>
      </c>
      <c r="NH87" t="s">
        <v>1324</v>
      </c>
      <c r="NI87" t="s">
        <v>1345</v>
      </c>
      <c r="NJ87" t="s">
        <v>1266</v>
      </c>
      <c r="NK87" t="s">
        <v>1356</v>
      </c>
      <c r="NL87" s="2">
        <v>45212</v>
      </c>
      <c r="NM87" t="s">
        <v>1268</v>
      </c>
      <c r="NO87">
        <v>0.51</v>
      </c>
      <c r="NP87">
        <v>31.9</v>
      </c>
      <c r="NQ87">
        <v>19.899999999999999</v>
      </c>
      <c r="NR87">
        <v>15.83</v>
      </c>
      <c r="NS87">
        <v>24.87</v>
      </c>
      <c r="NT87">
        <v>25.75</v>
      </c>
      <c r="NU87">
        <v>107.67</v>
      </c>
      <c r="NV87">
        <v>0.63</v>
      </c>
      <c r="NW87">
        <v>2626</v>
      </c>
      <c r="NX87">
        <v>21.3</v>
      </c>
      <c r="NY87">
        <v>21.3</v>
      </c>
      <c r="NZ87">
        <v>50</v>
      </c>
      <c r="OA87">
        <v>100</v>
      </c>
      <c r="OB87" t="s">
        <v>1360</v>
      </c>
      <c r="OC87" t="s">
        <v>1361</v>
      </c>
      <c r="OD87" t="s">
        <v>1362</v>
      </c>
      <c r="OE87">
        <v>299</v>
      </c>
      <c r="OF87" t="s">
        <v>1363</v>
      </c>
      <c r="OG87">
        <v>0.71</v>
      </c>
      <c r="OH87" t="s">
        <v>1364</v>
      </c>
      <c r="OI87">
        <v>22.8</v>
      </c>
      <c r="OJ87">
        <v>0.8</v>
      </c>
      <c r="OK87">
        <v>26.32</v>
      </c>
      <c r="OL87">
        <v>4.72</v>
      </c>
      <c r="OM87">
        <v>26.32</v>
      </c>
      <c r="ON87">
        <v>4.72</v>
      </c>
      <c r="OO87">
        <v>1</v>
      </c>
      <c r="OP87">
        <v>0.66</v>
      </c>
      <c r="OQ87">
        <v>2.89</v>
      </c>
      <c r="OR87" t="s">
        <v>1365</v>
      </c>
      <c r="OS87">
        <v>0.97</v>
      </c>
      <c r="OT87">
        <v>32</v>
      </c>
      <c r="OU87">
        <v>21.6</v>
      </c>
      <c r="OV87">
        <v>41.72</v>
      </c>
      <c r="OW87">
        <v>28.52</v>
      </c>
      <c r="OX87">
        <v>58.99</v>
      </c>
      <c r="OY87">
        <v>36.29</v>
      </c>
      <c r="OZ87">
        <v>62.23</v>
      </c>
      <c r="PA87">
        <v>37.130000000000003</v>
      </c>
      <c r="PB87">
        <v>21.34</v>
      </c>
      <c r="PC87">
        <v>63.28</v>
      </c>
      <c r="PD87">
        <v>36.880000000000003</v>
      </c>
      <c r="PE87">
        <v>25</v>
      </c>
      <c r="PF87">
        <v>1.83</v>
      </c>
      <c r="PG87">
        <v>1.77</v>
      </c>
      <c r="PH87">
        <v>-0.05</v>
      </c>
      <c r="QS87" t="s">
        <v>1366</v>
      </c>
      <c r="QV87">
        <v>31.9</v>
      </c>
      <c r="QW87">
        <v>66.739999999999995</v>
      </c>
      <c r="QX87">
        <v>31.04</v>
      </c>
      <c r="QZ87" t="s">
        <v>1369</v>
      </c>
      <c r="RA87" t="s">
        <v>1368</v>
      </c>
      <c r="RD87">
        <v>66.739999999999995</v>
      </c>
      <c r="RE87">
        <v>2.1501288659793811</v>
      </c>
    </row>
    <row r="88" spans="2:474" x14ac:dyDescent="0.3">
      <c r="B88" t="b">
        <v>1</v>
      </c>
      <c r="F88" t="b">
        <v>0</v>
      </c>
      <c r="G88" t="b">
        <v>0</v>
      </c>
      <c r="H88" t="b">
        <v>0</v>
      </c>
      <c r="I88" t="b">
        <v>1</v>
      </c>
      <c r="K88" t="s">
        <v>474</v>
      </c>
      <c r="L88" t="s">
        <v>475</v>
      </c>
      <c r="O88" t="s">
        <v>476</v>
      </c>
      <c r="U88">
        <v>134348.04</v>
      </c>
      <c r="V88">
        <v>415077.43</v>
      </c>
      <c r="W88">
        <v>2.2200000000000002</v>
      </c>
      <c r="X88" t="s">
        <v>483</v>
      </c>
      <c r="Y88" t="s">
        <v>551</v>
      </c>
      <c r="Z88" s="2">
        <v>45174</v>
      </c>
      <c r="AA88" t="s">
        <v>560</v>
      </c>
      <c r="AB88" t="s">
        <v>633</v>
      </c>
      <c r="AC88" t="s">
        <v>700</v>
      </c>
      <c r="AD88" t="s">
        <v>704</v>
      </c>
      <c r="AE88" t="s">
        <v>711</v>
      </c>
      <c r="AF88">
        <v>0.22</v>
      </c>
      <c r="AH88" t="s">
        <v>726</v>
      </c>
      <c r="AI88" t="s">
        <v>768</v>
      </c>
      <c r="AJ88" t="s">
        <v>774</v>
      </c>
      <c r="AK88">
        <v>0.22</v>
      </c>
      <c r="AL88">
        <v>7.0000000000000007E-2</v>
      </c>
      <c r="AM88">
        <v>2</v>
      </c>
      <c r="AN88">
        <v>2.15</v>
      </c>
      <c r="AO88">
        <v>6.5</v>
      </c>
      <c r="AP88" t="s">
        <v>782</v>
      </c>
      <c r="AQ88" t="s">
        <v>788</v>
      </c>
      <c r="AR88" t="s">
        <v>873</v>
      </c>
      <c r="AS88" t="s">
        <v>700</v>
      </c>
      <c r="AT88" t="s">
        <v>993</v>
      </c>
      <c r="AU88" s="2">
        <v>45279</v>
      </c>
      <c r="AV88" t="s">
        <v>1070</v>
      </c>
      <c r="AX88">
        <v>-0.04</v>
      </c>
      <c r="AY88">
        <v>17.7</v>
      </c>
      <c r="AZ88">
        <v>12.5</v>
      </c>
      <c r="BA88">
        <v>42.3</v>
      </c>
      <c r="NG88" t="s">
        <v>1304</v>
      </c>
      <c r="NH88" t="s">
        <v>1325</v>
      </c>
      <c r="NI88" t="s">
        <v>1346</v>
      </c>
      <c r="NJ88" t="s">
        <v>1266</v>
      </c>
      <c r="NK88" t="s">
        <v>1356</v>
      </c>
      <c r="NL88" s="2">
        <v>45198</v>
      </c>
      <c r="NM88" t="s">
        <v>1268</v>
      </c>
      <c r="NO88">
        <v>-0.04</v>
      </c>
      <c r="NP88">
        <v>39</v>
      </c>
      <c r="NQ88">
        <v>17.73</v>
      </c>
      <c r="NR88">
        <v>12.46</v>
      </c>
      <c r="NS88">
        <v>36.229999999999997</v>
      </c>
      <c r="NT88">
        <v>42.25</v>
      </c>
      <c r="NU88">
        <v>103.98</v>
      </c>
      <c r="NV88">
        <v>1.07</v>
      </c>
      <c r="NW88">
        <v>2625</v>
      </c>
      <c r="NX88">
        <v>21.3</v>
      </c>
      <c r="NY88">
        <v>21.3</v>
      </c>
      <c r="NZ88">
        <v>50</v>
      </c>
      <c r="OA88">
        <v>100</v>
      </c>
      <c r="OB88" t="s">
        <v>1360</v>
      </c>
      <c r="OC88" t="s">
        <v>1361</v>
      </c>
      <c r="OD88" t="s">
        <v>1362</v>
      </c>
      <c r="OE88">
        <v>299</v>
      </c>
      <c r="OF88" t="s">
        <v>1363</v>
      </c>
      <c r="OG88">
        <v>0.93</v>
      </c>
      <c r="OH88" t="s">
        <v>1364</v>
      </c>
      <c r="OI88">
        <v>35.76</v>
      </c>
      <c r="OJ88">
        <v>0.76</v>
      </c>
      <c r="OK88">
        <v>35.83</v>
      </c>
      <c r="OL88">
        <v>1.75</v>
      </c>
      <c r="OM88">
        <v>35.83</v>
      </c>
      <c r="ON88">
        <v>1.75</v>
      </c>
      <c r="OO88">
        <v>1</v>
      </c>
      <c r="OP88">
        <v>1.23</v>
      </c>
      <c r="OQ88">
        <v>6.8</v>
      </c>
      <c r="OR88" t="s">
        <v>1365</v>
      </c>
      <c r="OS88">
        <v>0.97</v>
      </c>
      <c r="OT88">
        <v>37.770000000000003</v>
      </c>
      <c r="OU88">
        <v>21.59</v>
      </c>
      <c r="OV88">
        <v>40.090000000000003</v>
      </c>
      <c r="OW88">
        <v>23.71</v>
      </c>
      <c r="OX88">
        <v>43.78</v>
      </c>
      <c r="OY88">
        <v>23.9</v>
      </c>
      <c r="OZ88">
        <v>43.25</v>
      </c>
      <c r="PA88">
        <v>24.27</v>
      </c>
      <c r="PB88">
        <v>11.89</v>
      </c>
      <c r="PC88">
        <v>44.06</v>
      </c>
      <c r="PD88">
        <v>22.28</v>
      </c>
      <c r="PE88">
        <v>25</v>
      </c>
      <c r="PF88">
        <v>10.58</v>
      </c>
      <c r="PG88">
        <v>0.21</v>
      </c>
      <c r="PH88">
        <v>0.31</v>
      </c>
      <c r="QS88" t="s">
        <v>1366</v>
      </c>
      <c r="QV88">
        <v>39</v>
      </c>
      <c r="QX88">
        <v>37.58</v>
      </c>
      <c r="QZ88" t="s">
        <v>1369</v>
      </c>
      <c r="RA88" t="s">
        <v>1368</v>
      </c>
      <c r="RD88">
        <v>37.58</v>
      </c>
      <c r="RE88">
        <v>1</v>
      </c>
    </row>
    <row r="89" spans="2:474" x14ac:dyDescent="0.3">
      <c r="B89" t="b">
        <v>1</v>
      </c>
      <c r="F89" t="b">
        <v>0</v>
      </c>
      <c r="G89" t="b">
        <v>0</v>
      </c>
      <c r="H89" t="b">
        <v>0</v>
      </c>
      <c r="I89" t="b">
        <v>1</v>
      </c>
      <c r="K89" t="s">
        <v>474</v>
      </c>
      <c r="L89" t="s">
        <v>475</v>
      </c>
      <c r="O89" t="s">
        <v>476</v>
      </c>
      <c r="U89">
        <v>134348.04</v>
      </c>
      <c r="V89">
        <v>415077.43</v>
      </c>
      <c r="W89">
        <v>2.2200000000000002</v>
      </c>
      <c r="X89" t="s">
        <v>483</v>
      </c>
      <c r="Y89" t="s">
        <v>551</v>
      </c>
      <c r="Z89" s="2">
        <v>45174</v>
      </c>
      <c r="AA89" t="s">
        <v>560</v>
      </c>
      <c r="AB89" t="s">
        <v>633</v>
      </c>
      <c r="AC89" t="s">
        <v>700</v>
      </c>
      <c r="AD89" t="s">
        <v>704</v>
      </c>
      <c r="AE89" t="s">
        <v>711</v>
      </c>
      <c r="AF89">
        <v>0.22</v>
      </c>
      <c r="AH89" t="s">
        <v>748</v>
      </c>
      <c r="AI89" t="s">
        <v>768</v>
      </c>
      <c r="AJ89" t="s">
        <v>774</v>
      </c>
      <c r="AK89">
        <v>-0.28000000000000003</v>
      </c>
      <c r="AL89">
        <v>-0.53</v>
      </c>
      <c r="AM89">
        <v>2.5</v>
      </c>
      <c r="AN89">
        <v>2.75</v>
      </c>
      <c r="AO89">
        <v>12.8</v>
      </c>
      <c r="AP89" t="s">
        <v>782</v>
      </c>
      <c r="AQ89" t="s">
        <v>788</v>
      </c>
      <c r="AR89" t="s">
        <v>874</v>
      </c>
      <c r="AS89" t="s">
        <v>700</v>
      </c>
      <c r="AT89" t="s">
        <v>993</v>
      </c>
      <c r="AU89" s="2">
        <v>45279</v>
      </c>
      <c r="AV89" t="s">
        <v>1070</v>
      </c>
      <c r="AX89">
        <v>-0.43</v>
      </c>
      <c r="AY89">
        <v>14.4</v>
      </c>
      <c r="AZ89">
        <v>7.6</v>
      </c>
      <c r="BA89">
        <v>90</v>
      </c>
      <c r="NG89" t="s">
        <v>1305</v>
      </c>
      <c r="NH89" t="s">
        <v>1326</v>
      </c>
      <c r="NI89" t="s">
        <v>1347</v>
      </c>
      <c r="NJ89" t="s">
        <v>1266</v>
      </c>
      <c r="NK89" t="s">
        <v>1356</v>
      </c>
      <c r="NL89" s="2">
        <v>45212</v>
      </c>
      <c r="NM89" t="s">
        <v>1268</v>
      </c>
      <c r="NN89" t="s">
        <v>1359</v>
      </c>
      <c r="NO89">
        <v>-0.43</v>
      </c>
      <c r="NP89">
        <v>43</v>
      </c>
      <c r="NQ89">
        <v>14.38</v>
      </c>
      <c r="NR89">
        <v>7.56</v>
      </c>
      <c r="NS89">
        <v>85.25</v>
      </c>
      <c r="NT89">
        <v>90.04</v>
      </c>
      <c r="NU89">
        <v>120.68</v>
      </c>
      <c r="NV89">
        <v>1.35</v>
      </c>
      <c r="NW89">
        <v>1815</v>
      </c>
      <c r="NX89">
        <v>21.3</v>
      </c>
      <c r="NY89">
        <v>21.3</v>
      </c>
      <c r="NZ89">
        <v>50</v>
      </c>
      <c r="OA89">
        <v>100</v>
      </c>
      <c r="OB89" t="s">
        <v>1360</v>
      </c>
      <c r="OC89" t="s">
        <v>1361</v>
      </c>
      <c r="OD89" t="s">
        <v>1362</v>
      </c>
      <c r="OE89">
        <v>299</v>
      </c>
      <c r="OF89" t="s">
        <v>1363</v>
      </c>
      <c r="OG89">
        <v>0.94</v>
      </c>
      <c r="OH89" t="s">
        <v>1364</v>
      </c>
      <c r="OI89">
        <v>39.700000000000003</v>
      </c>
      <c r="OJ89">
        <v>0.7</v>
      </c>
      <c r="OK89">
        <v>39.909999999999997</v>
      </c>
      <c r="OL89">
        <v>1.53</v>
      </c>
      <c r="OM89">
        <v>39.909999999999997</v>
      </c>
      <c r="ON89">
        <v>1.53</v>
      </c>
      <c r="OO89">
        <v>1</v>
      </c>
      <c r="OP89">
        <v>1.81</v>
      </c>
      <c r="OQ89">
        <v>4.59</v>
      </c>
      <c r="OR89" t="s">
        <v>1365</v>
      </c>
      <c r="OS89">
        <v>0.46</v>
      </c>
      <c r="OT89">
        <v>37.18</v>
      </c>
      <c r="OU89">
        <v>24.41</v>
      </c>
      <c r="OV89">
        <v>40.42</v>
      </c>
      <c r="OW89">
        <v>33.44</v>
      </c>
      <c r="OX89">
        <v>37.78</v>
      </c>
      <c r="OY89">
        <v>28.4</v>
      </c>
      <c r="OZ89">
        <v>41.13</v>
      </c>
      <c r="PA89">
        <v>34.26</v>
      </c>
      <c r="PB89">
        <v>6.62</v>
      </c>
      <c r="PC89">
        <v>31.73</v>
      </c>
      <c r="PD89">
        <v>22.05</v>
      </c>
      <c r="PE89">
        <v>25</v>
      </c>
      <c r="PF89">
        <v>3.28</v>
      </c>
      <c r="PG89">
        <v>1</v>
      </c>
      <c r="PH89">
        <v>0.46</v>
      </c>
      <c r="QS89" t="s">
        <v>1366</v>
      </c>
      <c r="QV89">
        <v>43</v>
      </c>
      <c r="QX89">
        <v>41.44</v>
      </c>
      <c r="QZ89" t="s">
        <v>1369</v>
      </c>
      <c r="RA89" t="s">
        <v>1368</v>
      </c>
      <c r="RD89">
        <v>41.44</v>
      </c>
      <c r="RE89">
        <v>1</v>
      </c>
    </row>
    <row r="90" spans="2:474" x14ac:dyDescent="0.3">
      <c r="B90" t="b">
        <v>1</v>
      </c>
      <c r="F90" t="b">
        <v>0</v>
      </c>
      <c r="G90" t="b">
        <v>0</v>
      </c>
      <c r="H90" t="b">
        <v>1</v>
      </c>
      <c r="I90" t="b">
        <v>0</v>
      </c>
      <c r="K90" t="s">
        <v>474</v>
      </c>
      <c r="L90" t="s">
        <v>475</v>
      </c>
      <c r="O90" t="s">
        <v>476</v>
      </c>
      <c r="U90">
        <v>134348.04</v>
      </c>
      <c r="V90">
        <v>415077.43</v>
      </c>
      <c r="W90">
        <v>2.2200000000000002</v>
      </c>
      <c r="X90" t="s">
        <v>483</v>
      </c>
      <c r="Y90" t="s">
        <v>551</v>
      </c>
      <c r="Z90" s="2">
        <v>45174</v>
      </c>
      <c r="AA90" t="s">
        <v>560</v>
      </c>
      <c r="AB90" t="s">
        <v>633</v>
      </c>
      <c r="AC90" t="s">
        <v>700</v>
      </c>
      <c r="AD90" t="s">
        <v>704</v>
      </c>
      <c r="AE90" t="s">
        <v>711</v>
      </c>
      <c r="AF90">
        <v>0.22</v>
      </c>
      <c r="AH90" t="s">
        <v>749</v>
      </c>
      <c r="AI90" t="s">
        <v>768</v>
      </c>
      <c r="AJ90" t="s">
        <v>774</v>
      </c>
      <c r="AK90">
        <v>-0.53</v>
      </c>
      <c r="AL90">
        <v>-0.68</v>
      </c>
      <c r="AM90">
        <v>2.75</v>
      </c>
      <c r="AN90">
        <v>2.9</v>
      </c>
      <c r="AP90" t="s">
        <v>782</v>
      </c>
      <c r="AQ90" t="s">
        <v>788</v>
      </c>
      <c r="AR90" t="s">
        <v>875</v>
      </c>
      <c r="AS90" t="s">
        <v>700</v>
      </c>
      <c r="AT90" t="s">
        <v>993</v>
      </c>
      <c r="AU90" s="2">
        <v>45279</v>
      </c>
      <c r="AV90" t="s">
        <v>1071</v>
      </c>
      <c r="AX90">
        <v>-0.61</v>
      </c>
      <c r="LF90" t="s">
        <v>1280</v>
      </c>
      <c r="LG90" t="s">
        <v>1287</v>
      </c>
      <c r="LH90" t="s">
        <v>875</v>
      </c>
      <c r="LI90" t="s">
        <v>1288</v>
      </c>
      <c r="LJ90" t="s">
        <v>1289</v>
      </c>
      <c r="LK90" s="2">
        <v>45201</v>
      </c>
      <c r="LL90" t="s">
        <v>1269</v>
      </c>
      <c r="LM90" t="s">
        <v>1271</v>
      </c>
      <c r="LN90">
        <v>-0.57999999999999996</v>
      </c>
      <c r="LO90">
        <v>43</v>
      </c>
      <c r="LP90">
        <v>10.45</v>
      </c>
      <c r="LQ90">
        <v>2.91</v>
      </c>
      <c r="LR90">
        <v>259.5</v>
      </c>
      <c r="LS90">
        <v>269.39999999999998</v>
      </c>
      <c r="LT90">
        <v>0.91890000000000005</v>
      </c>
      <c r="LU90">
        <v>5.1280000000000001</v>
      </c>
      <c r="LV90">
        <v>4.13</v>
      </c>
      <c r="LW90">
        <v>1815.8</v>
      </c>
      <c r="LX90">
        <v>21.7</v>
      </c>
      <c r="LY90">
        <v>19.8</v>
      </c>
      <c r="LZ90">
        <v>65.319999999999993</v>
      </c>
      <c r="MA90">
        <v>27.93</v>
      </c>
      <c r="MB90">
        <v>23.38</v>
      </c>
      <c r="MC90" t="s">
        <v>1291</v>
      </c>
      <c r="MD90" t="s">
        <v>1292</v>
      </c>
      <c r="ME90">
        <v>43.09</v>
      </c>
      <c r="MF90">
        <v>43</v>
      </c>
      <c r="MG90">
        <v>1.002</v>
      </c>
      <c r="MH90">
        <v>16.29</v>
      </c>
      <c r="MI90">
        <v>1</v>
      </c>
      <c r="MJ90">
        <v>24.64</v>
      </c>
      <c r="MK90">
        <v>4.4000000000000004</v>
      </c>
      <c r="ML90">
        <v>1.0289999999999999</v>
      </c>
      <c r="MM90">
        <v>40.76</v>
      </c>
      <c r="MN90">
        <v>11.59</v>
      </c>
      <c r="MO90">
        <v>39.21</v>
      </c>
      <c r="MP90">
        <v>15.56</v>
      </c>
      <c r="MQ90">
        <v>38.380000000000003</v>
      </c>
      <c r="MR90">
        <v>20.02</v>
      </c>
      <c r="MS90">
        <v>37.03</v>
      </c>
      <c r="MT90">
        <v>21.2</v>
      </c>
      <c r="MU90">
        <v>37.03</v>
      </c>
      <c r="MV90">
        <v>22.4</v>
      </c>
      <c r="MW90">
        <v>37.42</v>
      </c>
      <c r="MX90">
        <v>23.13</v>
      </c>
      <c r="MY90">
        <v>23.29</v>
      </c>
      <c r="MZ90">
        <v>35.479999999999997</v>
      </c>
      <c r="NA90">
        <v>22.27</v>
      </c>
      <c r="NB90">
        <v>44</v>
      </c>
      <c r="NF90">
        <v>587.9</v>
      </c>
      <c r="QS90" t="s">
        <v>1367</v>
      </c>
      <c r="QV90">
        <v>43</v>
      </c>
      <c r="QY90">
        <v>43.09</v>
      </c>
      <c r="QZ90" t="s">
        <v>1368</v>
      </c>
      <c r="RA90" t="s">
        <v>1369</v>
      </c>
      <c r="RD90">
        <v>43.09</v>
      </c>
      <c r="RF90">
        <v>1.0020930232558141</v>
      </c>
    </row>
    <row r="91" spans="2:474" x14ac:dyDescent="0.3">
      <c r="B91" t="b">
        <v>1</v>
      </c>
      <c r="F91" t="b">
        <v>0</v>
      </c>
      <c r="G91" t="b">
        <v>0</v>
      </c>
      <c r="H91" t="b">
        <v>0</v>
      </c>
      <c r="I91" t="b">
        <v>0</v>
      </c>
      <c r="K91" t="s">
        <v>474</v>
      </c>
      <c r="L91" t="s">
        <v>475</v>
      </c>
      <c r="O91" t="s">
        <v>476</v>
      </c>
      <c r="U91">
        <v>134348.04</v>
      </c>
      <c r="V91">
        <v>415077.43</v>
      </c>
      <c r="W91">
        <v>2.2200000000000002</v>
      </c>
      <c r="X91" t="s">
        <v>483</v>
      </c>
      <c r="Y91" t="s">
        <v>551</v>
      </c>
      <c r="Z91" s="2">
        <v>45174</v>
      </c>
      <c r="AA91" t="s">
        <v>560</v>
      </c>
      <c r="AB91" t="s">
        <v>633</v>
      </c>
      <c r="AC91" t="s">
        <v>700</v>
      </c>
      <c r="AD91" t="s">
        <v>704</v>
      </c>
      <c r="AE91" t="s">
        <v>711</v>
      </c>
      <c r="AF91">
        <v>0.22</v>
      </c>
      <c r="AH91" t="s">
        <v>728</v>
      </c>
      <c r="AI91" t="s">
        <v>768</v>
      </c>
      <c r="AJ91" t="s">
        <v>774</v>
      </c>
      <c r="AK91">
        <v>-0.78</v>
      </c>
      <c r="AL91">
        <v>-1.03</v>
      </c>
      <c r="AM91">
        <v>3</v>
      </c>
      <c r="AN91">
        <v>3.25</v>
      </c>
      <c r="AO91">
        <v>12</v>
      </c>
      <c r="AP91" t="s">
        <v>782</v>
      </c>
      <c r="AQ91" t="s">
        <v>788</v>
      </c>
      <c r="AR91" t="s">
        <v>876</v>
      </c>
      <c r="AS91" t="s">
        <v>700</v>
      </c>
      <c r="AT91" t="s">
        <v>993</v>
      </c>
      <c r="AU91" s="2">
        <v>45279</v>
      </c>
      <c r="AV91" t="s">
        <v>1072</v>
      </c>
      <c r="AX91">
        <v>-0.78</v>
      </c>
      <c r="AY91">
        <v>13.2</v>
      </c>
      <c r="AZ91">
        <v>5.9</v>
      </c>
      <c r="BA91">
        <v>123.7</v>
      </c>
      <c r="QZ91" t="s">
        <v>1368</v>
      </c>
      <c r="RA91" t="s">
        <v>1368</v>
      </c>
    </row>
    <row r="92" spans="2:474" x14ac:dyDescent="0.3">
      <c r="B92" t="b">
        <v>1</v>
      </c>
      <c r="F92" t="b">
        <v>0</v>
      </c>
      <c r="G92" t="b">
        <v>0</v>
      </c>
      <c r="H92" t="b">
        <v>0</v>
      </c>
      <c r="I92" t="b">
        <v>0</v>
      </c>
      <c r="K92" t="s">
        <v>474</v>
      </c>
      <c r="L92" t="s">
        <v>475</v>
      </c>
      <c r="O92" t="s">
        <v>476</v>
      </c>
      <c r="U92">
        <v>134348.04</v>
      </c>
      <c r="V92">
        <v>415077.43</v>
      </c>
      <c r="W92">
        <v>2.2200000000000002</v>
      </c>
      <c r="X92" t="s">
        <v>483</v>
      </c>
      <c r="Y92" t="s">
        <v>551</v>
      </c>
      <c r="Z92" s="2">
        <v>45174</v>
      </c>
      <c r="AA92" t="s">
        <v>560</v>
      </c>
      <c r="AB92" t="s">
        <v>633</v>
      </c>
      <c r="AC92" t="s">
        <v>700</v>
      </c>
      <c r="AD92" t="s">
        <v>704</v>
      </c>
      <c r="AE92" t="s">
        <v>711</v>
      </c>
      <c r="AF92">
        <v>0.22</v>
      </c>
      <c r="AH92" t="s">
        <v>729</v>
      </c>
      <c r="AI92" t="s">
        <v>768</v>
      </c>
      <c r="AJ92" t="s">
        <v>774</v>
      </c>
      <c r="AK92">
        <v>-1.03</v>
      </c>
      <c r="AL92">
        <v>-1.18</v>
      </c>
      <c r="AM92">
        <v>3.25</v>
      </c>
      <c r="AN92">
        <v>3.4</v>
      </c>
      <c r="AP92" t="s">
        <v>782</v>
      </c>
      <c r="AQ92" t="s">
        <v>788</v>
      </c>
      <c r="AR92" t="s">
        <v>877</v>
      </c>
      <c r="AS92" t="s">
        <v>700</v>
      </c>
      <c r="AT92" t="s">
        <v>993</v>
      </c>
      <c r="AU92" s="2">
        <v>45279</v>
      </c>
      <c r="AV92" t="s">
        <v>1073</v>
      </c>
      <c r="AX92">
        <v>-1.08</v>
      </c>
      <c r="AY92">
        <v>10</v>
      </c>
      <c r="AZ92">
        <v>2.1</v>
      </c>
      <c r="BA92">
        <v>383.3</v>
      </c>
      <c r="QZ92" t="s">
        <v>1368</v>
      </c>
      <c r="RA92" t="s">
        <v>1368</v>
      </c>
    </row>
    <row r="93" spans="2:474" x14ac:dyDescent="0.3">
      <c r="B93" t="b">
        <v>1</v>
      </c>
      <c r="F93" t="b">
        <v>0</v>
      </c>
      <c r="G93" t="b">
        <v>0</v>
      </c>
      <c r="H93" t="b">
        <v>0</v>
      </c>
      <c r="I93" t="b">
        <v>0</v>
      </c>
      <c r="K93" t="s">
        <v>474</v>
      </c>
      <c r="L93" t="s">
        <v>475</v>
      </c>
      <c r="O93" t="s">
        <v>476</v>
      </c>
      <c r="U93">
        <v>134348.04</v>
      </c>
      <c r="V93">
        <v>415077.43</v>
      </c>
      <c r="W93">
        <v>2.2200000000000002</v>
      </c>
      <c r="X93" t="s">
        <v>483</v>
      </c>
      <c r="Y93" t="s">
        <v>551</v>
      </c>
      <c r="Z93" s="2">
        <v>45174</v>
      </c>
      <c r="AA93" t="s">
        <v>560</v>
      </c>
      <c r="AB93" t="s">
        <v>633</v>
      </c>
      <c r="AC93" t="s">
        <v>700</v>
      </c>
      <c r="AD93" t="s">
        <v>704</v>
      </c>
      <c r="AE93" t="s">
        <v>711</v>
      </c>
      <c r="AF93">
        <v>0.22</v>
      </c>
      <c r="AH93" t="s">
        <v>718</v>
      </c>
      <c r="AI93" t="s">
        <v>768</v>
      </c>
      <c r="AJ93" t="s">
        <v>774</v>
      </c>
      <c r="AK93">
        <v>-1.28</v>
      </c>
      <c r="AL93">
        <v>-1.655</v>
      </c>
      <c r="AM93">
        <v>3.5</v>
      </c>
      <c r="AN93">
        <v>3.875</v>
      </c>
      <c r="AO93">
        <v>18.899999999999999</v>
      </c>
      <c r="AP93" t="s">
        <v>782</v>
      </c>
      <c r="AQ93" t="s">
        <v>788</v>
      </c>
      <c r="AR93" t="s">
        <v>878</v>
      </c>
      <c r="AS93" t="s">
        <v>700</v>
      </c>
      <c r="AT93" t="s">
        <v>993</v>
      </c>
      <c r="AU93" s="2">
        <v>45279</v>
      </c>
      <c r="AV93" t="s">
        <v>1074</v>
      </c>
      <c r="AX93">
        <v>-1.47</v>
      </c>
      <c r="QZ93" t="s">
        <v>1368</v>
      </c>
      <c r="RA93" t="s">
        <v>1368</v>
      </c>
    </row>
    <row r="94" spans="2:474" x14ac:dyDescent="0.3">
      <c r="B94" t="b">
        <v>1</v>
      </c>
      <c r="F94" t="b">
        <v>0</v>
      </c>
      <c r="G94" t="b">
        <v>0</v>
      </c>
      <c r="H94" t="b">
        <v>0</v>
      </c>
      <c r="I94" t="b">
        <v>0</v>
      </c>
      <c r="K94" t="s">
        <v>474</v>
      </c>
      <c r="L94" t="s">
        <v>475</v>
      </c>
      <c r="O94" t="s">
        <v>476</v>
      </c>
      <c r="U94">
        <v>134119.18</v>
      </c>
      <c r="V94">
        <v>414879.05</v>
      </c>
      <c r="W94">
        <v>2.48</v>
      </c>
      <c r="X94" t="s">
        <v>484</v>
      </c>
      <c r="Y94" t="s">
        <v>551</v>
      </c>
      <c r="Z94" s="2">
        <v>45177</v>
      </c>
      <c r="AA94" t="s">
        <v>561</v>
      </c>
      <c r="AB94" t="s">
        <v>634</v>
      </c>
      <c r="AC94" t="s">
        <v>700</v>
      </c>
      <c r="AD94" t="s">
        <v>704</v>
      </c>
      <c r="AE94" t="s">
        <v>711</v>
      </c>
      <c r="AF94">
        <v>-0.22</v>
      </c>
      <c r="AH94" t="s">
        <v>712</v>
      </c>
      <c r="AI94" t="s">
        <v>768</v>
      </c>
      <c r="AJ94" t="s">
        <v>774</v>
      </c>
      <c r="AK94">
        <v>1.78</v>
      </c>
      <c r="AL94">
        <v>1.38</v>
      </c>
      <c r="AM94">
        <v>0.7</v>
      </c>
      <c r="AN94">
        <v>1.1000000000000001</v>
      </c>
      <c r="AO94">
        <v>12.7</v>
      </c>
      <c r="AP94" t="s">
        <v>783</v>
      </c>
      <c r="AQ94" t="s">
        <v>788</v>
      </c>
      <c r="AR94" t="s">
        <v>879</v>
      </c>
      <c r="AS94" t="s">
        <v>700</v>
      </c>
      <c r="AT94" t="s">
        <v>993</v>
      </c>
      <c r="AU94" s="2">
        <v>45279</v>
      </c>
      <c r="AV94" t="s">
        <v>1075</v>
      </c>
      <c r="AX94">
        <v>1.58</v>
      </c>
      <c r="QZ94" t="s">
        <v>1368</v>
      </c>
      <c r="RA94" t="s">
        <v>1368</v>
      </c>
    </row>
    <row r="95" spans="2:474" x14ac:dyDescent="0.3">
      <c r="B95" t="b">
        <v>1</v>
      </c>
      <c r="F95" t="b">
        <v>0</v>
      </c>
      <c r="G95" t="b">
        <v>0</v>
      </c>
      <c r="H95" t="b">
        <v>0</v>
      </c>
      <c r="I95" t="b">
        <v>0</v>
      </c>
      <c r="K95" t="s">
        <v>474</v>
      </c>
      <c r="L95" t="s">
        <v>475</v>
      </c>
      <c r="O95" t="s">
        <v>476</v>
      </c>
      <c r="U95">
        <v>134119.18</v>
      </c>
      <c r="V95">
        <v>414879.05</v>
      </c>
      <c r="W95">
        <v>2.48</v>
      </c>
      <c r="X95" t="s">
        <v>484</v>
      </c>
      <c r="Y95" t="s">
        <v>551</v>
      </c>
      <c r="Z95" s="2">
        <v>45177</v>
      </c>
      <c r="AA95" t="s">
        <v>561</v>
      </c>
      <c r="AB95" t="s">
        <v>634</v>
      </c>
      <c r="AC95" t="s">
        <v>700</v>
      </c>
      <c r="AD95" t="s">
        <v>704</v>
      </c>
      <c r="AE95" t="s">
        <v>711</v>
      </c>
      <c r="AF95">
        <v>-0.22</v>
      </c>
      <c r="AH95" t="s">
        <v>721</v>
      </c>
      <c r="AI95" t="s">
        <v>768</v>
      </c>
      <c r="AJ95" t="s">
        <v>774</v>
      </c>
      <c r="AK95">
        <v>0.78</v>
      </c>
      <c r="AL95">
        <v>0.56999999999999995</v>
      </c>
      <c r="AM95">
        <v>1.7</v>
      </c>
      <c r="AN95">
        <v>1.91</v>
      </c>
      <c r="AO95">
        <v>15.5</v>
      </c>
      <c r="AP95" t="s">
        <v>783</v>
      </c>
      <c r="AQ95" t="s">
        <v>788</v>
      </c>
      <c r="AR95" t="s">
        <v>880</v>
      </c>
      <c r="AS95" t="s">
        <v>700</v>
      </c>
      <c r="AT95" t="s">
        <v>993</v>
      </c>
      <c r="AU95" s="2">
        <v>45279</v>
      </c>
      <c r="AV95" t="s">
        <v>1076</v>
      </c>
      <c r="AX95">
        <v>0.68</v>
      </c>
      <c r="QZ95" t="s">
        <v>1368</v>
      </c>
      <c r="RA95" t="s">
        <v>1368</v>
      </c>
    </row>
    <row r="96" spans="2:474" x14ac:dyDescent="0.3">
      <c r="B96" t="b">
        <v>1</v>
      </c>
      <c r="F96" t="b">
        <v>0</v>
      </c>
      <c r="G96" t="b">
        <v>0</v>
      </c>
      <c r="H96" t="b">
        <v>0</v>
      </c>
      <c r="I96" t="b">
        <v>0</v>
      </c>
      <c r="K96" t="s">
        <v>474</v>
      </c>
      <c r="L96" t="s">
        <v>475</v>
      </c>
      <c r="O96" t="s">
        <v>476</v>
      </c>
      <c r="U96">
        <v>134119.18</v>
      </c>
      <c r="V96">
        <v>414879.05</v>
      </c>
      <c r="W96">
        <v>2.48</v>
      </c>
      <c r="X96" t="s">
        <v>484</v>
      </c>
      <c r="Y96" t="s">
        <v>551</v>
      </c>
      <c r="Z96" s="2">
        <v>45177</v>
      </c>
      <c r="AA96" t="s">
        <v>561</v>
      </c>
      <c r="AB96" t="s">
        <v>634</v>
      </c>
      <c r="AC96" t="s">
        <v>700</v>
      </c>
      <c r="AD96" t="s">
        <v>704</v>
      </c>
      <c r="AE96" t="s">
        <v>711</v>
      </c>
      <c r="AF96">
        <v>-0.22</v>
      </c>
      <c r="AH96" t="s">
        <v>722</v>
      </c>
      <c r="AI96" t="s">
        <v>768</v>
      </c>
      <c r="AJ96" t="s">
        <v>774</v>
      </c>
      <c r="AK96">
        <v>0.56999999999999995</v>
      </c>
      <c r="AL96">
        <v>0.45</v>
      </c>
      <c r="AM96">
        <v>1.91</v>
      </c>
      <c r="AN96">
        <v>2.0299999999999998</v>
      </c>
      <c r="AP96" t="s">
        <v>783</v>
      </c>
      <c r="AQ96" t="s">
        <v>788</v>
      </c>
      <c r="AR96" t="s">
        <v>881</v>
      </c>
      <c r="AS96" t="s">
        <v>700</v>
      </c>
      <c r="AT96" t="s">
        <v>993</v>
      </c>
      <c r="AU96" s="2">
        <v>45279</v>
      </c>
      <c r="AV96" t="s">
        <v>1077</v>
      </c>
      <c r="AX96">
        <v>0.51</v>
      </c>
      <c r="QZ96" t="s">
        <v>1368</v>
      </c>
      <c r="RA96" t="s">
        <v>1368</v>
      </c>
    </row>
    <row r="97" spans="2:473" x14ac:dyDescent="0.3">
      <c r="B97" t="b">
        <v>1</v>
      </c>
      <c r="F97" t="b">
        <v>0</v>
      </c>
      <c r="G97" t="b">
        <v>0</v>
      </c>
      <c r="H97" t="b">
        <v>0</v>
      </c>
      <c r="I97" t="b">
        <v>1</v>
      </c>
      <c r="K97" t="s">
        <v>474</v>
      </c>
      <c r="L97" t="s">
        <v>475</v>
      </c>
      <c r="O97" t="s">
        <v>476</v>
      </c>
      <c r="U97">
        <v>134119.18</v>
      </c>
      <c r="V97">
        <v>414879.05</v>
      </c>
      <c r="W97">
        <v>2.48</v>
      </c>
      <c r="X97" t="s">
        <v>484</v>
      </c>
      <c r="Y97" t="s">
        <v>551</v>
      </c>
      <c r="Z97" s="2">
        <v>45177</v>
      </c>
      <c r="AA97" t="s">
        <v>561</v>
      </c>
      <c r="AB97" t="s">
        <v>634</v>
      </c>
      <c r="AC97" t="s">
        <v>700</v>
      </c>
      <c r="AD97" t="s">
        <v>704</v>
      </c>
      <c r="AE97" t="s">
        <v>711</v>
      </c>
      <c r="AF97">
        <v>-0.22</v>
      </c>
      <c r="AH97" t="s">
        <v>714</v>
      </c>
      <c r="AI97" t="s">
        <v>768</v>
      </c>
      <c r="AJ97" t="s">
        <v>774</v>
      </c>
      <c r="AK97">
        <v>-0.12</v>
      </c>
      <c r="AL97">
        <v>-0.42</v>
      </c>
      <c r="AM97">
        <v>2.6</v>
      </c>
      <c r="AN97">
        <v>2.9</v>
      </c>
      <c r="AO97">
        <v>13.8</v>
      </c>
      <c r="AP97" t="s">
        <v>783</v>
      </c>
      <c r="AQ97" t="s">
        <v>788</v>
      </c>
      <c r="AR97" t="s">
        <v>882</v>
      </c>
      <c r="AS97" t="s">
        <v>700</v>
      </c>
      <c r="AT97" t="s">
        <v>993</v>
      </c>
      <c r="AU97" s="2">
        <v>45279</v>
      </c>
      <c r="AV97" t="s">
        <v>1078</v>
      </c>
      <c r="AX97">
        <v>-0.24</v>
      </c>
      <c r="AY97">
        <v>17.600000000000001</v>
      </c>
      <c r="AZ97">
        <v>12.4</v>
      </c>
      <c r="BA97">
        <v>42</v>
      </c>
      <c r="NG97" t="s">
        <v>1306</v>
      </c>
      <c r="NH97" t="s">
        <v>1327</v>
      </c>
      <c r="NI97" t="s">
        <v>1348</v>
      </c>
      <c r="NJ97" t="s">
        <v>1266</v>
      </c>
      <c r="NK97" t="s">
        <v>1356</v>
      </c>
      <c r="NL97" s="2">
        <v>45208</v>
      </c>
      <c r="NM97" t="s">
        <v>1268</v>
      </c>
      <c r="NO97">
        <v>-0.24</v>
      </c>
      <c r="NP97">
        <v>47.6</v>
      </c>
      <c r="NQ97">
        <v>17.57</v>
      </c>
      <c r="NR97">
        <v>12.37</v>
      </c>
      <c r="NS97">
        <v>39.08</v>
      </c>
      <c r="NT97">
        <v>42.03</v>
      </c>
      <c r="NU97">
        <v>102.31</v>
      </c>
      <c r="NV97">
        <v>1.08</v>
      </c>
      <c r="NW97">
        <v>2617</v>
      </c>
      <c r="NX97">
        <v>21.3</v>
      </c>
      <c r="NY97">
        <v>21.3</v>
      </c>
      <c r="NZ97">
        <v>50</v>
      </c>
      <c r="OA97">
        <v>100</v>
      </c>
      <c r="OB97" t="s">
        <v>1360</v>
      </c>
      <c r="OC97" t="s">
        <v>1361</v>
      </c>
      <c r="OD97" t="s">
        <v>1362</v>
      </c>
      <c r="OE97">
        <v>299</v>
      </c>
      <c r="OF97" t="s">
        <v>1363</v>
      </c>
      <c r="OG97">
        <v>0.93</v>
      </c>
      <c r="OH97" t="s">
        <v>1364</v>
      </c>
      <c r="OI97">
        <v>43.76</v>
      </c>
      <c r="OJ97">
        <v>0.76</v>
      </c>
      <c r="OK97">
        <v>44.41</v>
      </c>
      <c r="OL97">
        <v>2</v>
      </c>
      <c r="OM97">
        <v>44.41</v>
      </c>
      <c r="ON97">
        <v>2</v>
      </c>
      <c r="OO97">
        <v>1</v>
      </c>
      <c r="OP97">
        <v>1.56</v>
      </c>
      <c r="OQ97">
        <v>4.9000000000000004</v>
      </c>
      <c r="OR97" t="s">
        <v>1365</v>
      </c>
      <c r="OS97">
        <v>0.97</v>
      </c>
      <c r="OT97">
        <v>42.69</v>
      </c>
      <c r="OU97">
        <v>23.48</v>
      </c>
      <c r="OV97">
        <v>46.13</v>
      </c>
      <c r="OW97">
        <v>28.82</v>
      </c>
      <c r="OX97">
        <v>50.23</v>
      </c>
      <c r="OY97">
        <v>30.63</v>
      </c>
      <c r="OZ97">
        <v>49.96</v>
      </c>
      <c r="PA97">
        <v>30.95</v>
      </c>
      <c r="PB97">
        <v>11.12</v>
      </c>
      <c r="PC97">
        <v>48.09</v>
      </c>
      <c r="PD97">
        <v>28.19</v>
      </c>
      <c r="PE97">
        <v>25</v>
      </c>
      <c r="PF97">
        <v>5.21</v>
      </c>
      <c r="PG97">
        <v>0.56000000000000005</v>
      </c>
      <c r="PH97">
        <v>0.38</v>
      </c>
      <c r="QS97" t="s">
        <v>1366</v>
      </c>
      <c r="QV97">
        <v>47.6</v>
      </c>
      <c r="QX97">
        <v>46.41</v>
      </c>
      <c r="QZ97" t="s">
        <v>1369</v>
      </c>
      <c r="RA97" t="s">
        <v>1368</v>
      </c>
      <c r="RD97">
        <v>46.41</v>
      </c>
      <c r="RE97">
        <v>1</v>
      </c>
    </row>
    <row r="98" spans="2:473" x14ac:dyDescent="0.3">
      <c r="B98" t="b">
        <v>1</v>
      </c>
      <c r="F98" t="b">
        <v>1</v>
      </c>
      <c r="G98" t="b">
        <v>0</v>
      </c>
      <c r="H98" t="b">
        <v>0</v>
      </c>
      <c r="I98" t="b">
        <v>1</v>
      </c>
      <c r="K98" t="s">
        <v>474</v>
      </c>
      <c r="L98" t="s">
        <v>475</v>
      </c>
      <c r="O98" t="s">
        <v>476</v>
      </c>
      <c r="U98">
        <v>134119.18</v>
      </c>
      <c r="V98">
        <v>414879.05</v>
      </c>
      <c r="W98">
        <v>2.48</v>
      </c>
      <c r="X98" t="s">
        <v>484</v>
      </c>
      <c r="Y98" t="s">
        <v>551</v>
      </c>
      <c r="Z98" s="2">
        <v>45177</v>
      </c>
      <c r="AA98" t="s">
        <v>561</v>
      </c>
      <c r="AB98" t="s">
        <v>634</v>
      </c>
      <c r="AC98" t="s">
        <v>700</v>
      </c>
      <c r="AD98" t="s">
        <v>704</v>
      </c>
      <c r="AE98" t="s">
        <v>711</v>
      </c>
      <c r="AF98">
        <v>-0.22</v>
      </c>
      <c r="AH98" t="s">
        <v>725</v>
      </c>
      <c r="AI98" t="s">
        <v>768</v>
      </c>
      <c r="AJ98" t="s">
        <v>774</v>
      </c>
      <c r="AK98">
        <v>-0.62</v>
      </c>
      <c r="AL98">
        <v>-1.02</v>
      </c>
      <c r="AM98">
        <v>3.1</v>
      </c>
      <c r="AN98">
        <v>3.5</v>
      </c>
      <c r="AO98">
        <v>15.1</v>
      </c>
      <c r="AP98" t="s">
        <v>783</v>
      </c>
      <c r="AQ98" t="s">
        <v>788</v>
      </c>
      <c r="AR98" t="s">
        <v>883</v>
      </c>
      <c r="AS98" t="s">
        <v>700</v>
      </c>
      <c r="AT98" t="s">
        <v>993</v>
      </c>
      <c r="AU98" s="2">
        <v>45279</v>
      </c>
      <c r="AV98" t="s">
        <v>1079</v>
      </c>
      <c r="AX98">
        <v>-0.68</v>
      </c>
      <c r="AY98">
        <v>16.100000000000001</v>
      </c>
      <c r="AZ98">
        <v>10.199999999999999</v>
      </c>
      <c r="BA98">
        <v>58.2</v>
      </c>
      <c r="DZ98" t="s">
        <v>1231</v>
      </c>
      <c r="EA98" t="s">
        <v>1246</v>
      </c>
      <c r="EB98" t="s">
        <v>1261</v>
      </c>
      <c r="EC98" t="s">
        <v>1266</v>
      </c>
      <c r="ED98" t="s">
        <v>1267</v>
      </c>
      <c r="EE98" s="2">
        <v>45203</v>
      </c>
      <c r="EF98" t="s">
        <v>1268</v>
      </c>
      <c r="EG98" t="s">
        <v>1273</v>
      </c>
      <c r="EH98">
        <v>-0.82</v>
      </c>
      <c r="EI98">
        <v>51.5</v>
      </c>
      <c r="EJ98">
        <v>16.61</v>
      </c>
      <c r="EK98">
        <v>12.31</v>
      </c>
      <c r="EL98">
        <v>34.97</v>
      </c>
      <c r="EM98">
        <v>35.06</v>
      </c>
      <c r="EN98">
        <v>83.13</v>
      </c>
      <c r="EO98">
        <v>21.7</v>
      </c>
      <c r="EP98">
        <v>19.8</v>
      </c>
      <c r="EQ98">
        <v>63.49</v>
      </c>
      <c r="ER98">
        <v>18.95</v>
      </c>
      <c r="ES98">
        <v>18.25</v>
      </c>
      <c r="ET98">
        <v>14.51</v>
      </c>
      <c r="EU98">
        <v>0.5</v>
      </c>
      <c r="EV98">
        <v>-0.2</v>
      </c>
      <c r="EW98">
        <v>16</v>
      </c>
      <c r="EX98">
        <v>303.7</v>
      </c>
      <c r="EY98">
        <v>238.3</v>
      </c>
      <c r="EZ98">
        <v>178.9</v>
      </c>
      <c r="FA98">
        <v>102.3</v>
      </c>
      <c r="FB98">
        <v>822.2</v>
      </c>
      <c r="FC98">
        <v>2.63</v>
      </c>
      <c r="FD98">
        <v>81.52</v>
      </c>
      <c r="FE98">
        <v>9.84</v>
      </c>
      <c r="FF98">
        <v>386.3</v>
      </c>
      <c r="FG98">
        <v>3.7000000000000002E-3</v>
      </c>
      <c r="FH98">
        <v>7.8E-2</v>
      </c>
      <c r="FI98">
        <v>4.3E-3</v>
      </c>
      <c r="NG98" t="s">
        <v>1307</v>
      </c>
      <c r="NH98" t="s">
        <v>1328</v>
      </c>
      <c r="NI98" t="s">
        <v>1349</v>
      </c>
      <c r="NJ98" t="s">
        <v>1266</v>
      </c>
      <c r="NK98" t="s">
        <v>1356</v>
      </c>
      <c r="NL98" s="2">
        <v>45215</v>
      </c>
      <c r="NM98" t="s">
        <v>1268</v>
      </c>
      <c r="NN98" t="s">
        <v>1272</v>
      </c>
      <c r="NO98">
        <v>-0.68</v>
      </c>
      <c r="NP98">
        <v>51.5</v>
      </c>
      <c r="NQ98">
        <v>16.11</v>
      </c>
      <c r="NR98">
        <v>10.19</v>
      </c>
      <c r="NS98">
        <v>51.72</v>
      </c>
      <c r="NT98">
        <v>58.17</v>
      </c>
      <c r="NU98">
        <v>100.35</v>
      </c>
      <c r="NV98">
        <v>1.51</v>
      </c>
      <c r="NW98">
        <v>2607</v>
      </c>
      <c r="NX98">
        <v>21.3</v>
      </c>
      <c r="NY98">
        <v>21.3</v>
      </c>
      <c r="NZ98">
        <v>50</v>
      </c>
      <c r="OA98">
        <v>100</v>
      </c>
      <c r="OB98" t="s">
        <v>1360</v>
      </c>
      <c r="OC98" t="s">
        <v>1361</v>
      </c>
      <c r="OD98" t="s">
        <v>1362</v>
      </c>
      <c r="OE98">
        <v>299</v>
      </c>
      <c r="OF98" t="s">
        <v>1363</v>
      </c>
      <c r="OG98">
        <v>0.62</v>
      </c>
      <c r="OH98" t="s">
        <v>1364</v>
      </c>
      <c r="OI98">
        <v>31.75</v>
      </c>
      <c r="OJ98">
        <v>0.75</v>
      </c>
      <c r="OK98">
        <v>40.08</v>
      </c>
      <c r="OL98">
        <v>9.8800000000000008</v>
      </c>
      <c r="OM98">
        <v>40.08</v>
      </c>
      <c r="ON98">
        <v>9.8800000000000008</v>
      </c>
      <c r="OO98">
        <v>1</v>
      </c>
      <c r="OP98">
        <v>3.47</v>
      </c>
      <c r="OQ98">
        <v>7.54</v>
      </c>
      <c r="OR98" t="s">
        <v>1365</v>
      </c>
      <c r="OS98">
        <v>0.94</v>
      </c>
      <c r="OT98">
        <v>36.869999999999997</v>
      </c>
      <c r="OU98">
        <v>20.77</v>
      </c>
      <c r="OV98">
        <v>37.979999999999997</v>
      </c>
      <c r="OW98">
        <v>25.78</v>
      </c>
      <c r="OX98">
        <v>40.130000000000003</v>
      </c>
      <c r="OY98">
        <v>28.33</v>
      </c>
      <c r="OZ98">
        <v>40.82</v>
      </c>
      <c r="PA98">
        <v>29.92</v>
      </c>
      <c r="PB98">
        <v>10.55</v>
      </c>
      <c r="PC98">
        <v>36.56</v>
      </c>
      <c r="PD98">
        <v>24.26</v>
      </c>
      <c r="PE98">
        <v>25</v>
      </c>
      <c r="PF98">
        <v>1.25</v>
      </c>
      <c r="PG98">
        <v>1.6</v>
      </c>
      <c r="PH98">
        <v>0.32</v>
      </c>
      <c r="QS98" t="s">
        <v>1366</v>
      </c>
      <c r="QV98">
        <v>51.5</v>
      </c>
      <c r="QW98">
        <v>81.52</v>
      </c>
      <c r="QX98">
        <v>49.96</v>
      </c>
      <c r="QZ98" t="s">
        <v>1369</v>
      </c>
      <c r="RA98" t="s">
        <v>1368</v>
      </c>
      <c r="RD98">
        <v>81.52</v>
      </c>
      <c r="RE98">
        <v>1.631705364291433</v>
      </c>
    </row>
    <row r="99" spans="2:473" x14ac:dyDescent="0.3">
      <c r="B99" t="b">
        <v>1</v>
      </c>
      <c r="F99" t="b">
        <v>0</v>
      </c>
      <c r="G99" t="b">
        <v>0</v>
      </c>
      <c r="H99" t="b">
        <v>0</v>
      </c>
      <c r="I99" t="b">
        <v>0</v>
      </c>
      <c r="K99" t="s">
        <v>474</v>
      </c>
      <c r="L99" t="s">
        <v>475</v>
      </c>
      <c r="O99" t="s">
        <v>476</v>
      </c>
      <c r="U99">
        <v>134119.18</v>
      </c>
      <c r="V99">
        <v>414879.05</v>
      </c>
      <c r="W99">
        <v>2.48</v>
      </c>
      <c r="X99" t="s">
        <v>484</v>
      </c>
      <c r="Y99" t="s">
        <v>551</v>
      </c>
      <c r="Z99" s="2">
        <v>45177</v>
      </c>
      <c r="AA99" t="s">
        <v>561</v>
      </c>
      <c r="AB99" t="s">
        <v>634</v>
      </c>
      <c r="AC99" t="s">
        <v>700</v>
      </c>
      <c r="AD99" t="s">
        <v>704</v>
      </c>
      <c r="AE99" t="s">
        <v>711</v>
      </c>
      <c r="AF99">
        <v>-0.22</v>
      </c>
      <c r="AH99" t="s">
        <v>746</v>
      </c>
      <c r="AI99" t="s">
        <v>768</v>
      </c>
      <c r="AJ99" t="s">
        <v>774</v>
      </c>
      <c r="AK99">
        <v>-1.1200000000000001</v>
      </c>
      <c r="AL99">
        <v>-1.27</v>
      </c>
      <c r="AM99">
        <v>3.6</v>
      </c>
      <c r="AN99">
        <v>3.75</v>
      </c>
      <c r="AO99">
        <v>16.899999999999999</v>
      </c>
      <c r="AP99" t="s">
        <v>783</v>
      </c>
      <c r="AQ99" t="s">
        <v>788</v>
      </c>
      <c r="AR99" t="s">
        <v>884</v>
      </c>
      <c r="AS99" t="s">
        <v>700</v>
      </c>
      <c r="AT99" t="s">
        <v>993</v>
      </c>
      <c r="AU99" s="2">
        <v>45279</v>
      </c>
      <c r="AV99" t="s">
        <v>1080</v>
      </c>
      <c r="AX99">
        <v>-1.1499999999999999</v>
      </c>
      <c r="AY99">
        <v>17.8</v>
      </c>
      <c r="AZ99">
        <v>12.8</v>
      </c>
      <c r="BA99">
        <v>39.299999999999997</v>
      </c>
      <c r="QZ99" t="s">
        <v>1368</v>
      </c>
      <c r="RA99" t="s">
        <v>1368</v>
      </c>
    </row>
    <row r="100" spans="2:473" x14ac:dyDescent="0.3">
      <c r="B100" t="b">
        <v>1</v>
      </c>
      <c r="F100" t="b">
        <v>0</v>
      </c>
      <c r="G100" t="b">
        <v>0</v>
      </c>
      <c r="H100" t="b">
        <v>0</v>
      </c>
      <c r="I100" t="b">
        <v>0</v>
      </c>
      <c r="K100" t="s">
        <v>474</v>
      </c>
      <c r="L100" t="s">
        <v>475</v>
      </c>
      <c r="O100" t="s">
        <v>476</v>
      </c>
      <c r="U100">
        <v>134119.18</v>
      </c>
      <c r="V100">
        <v>414879.05</v>
      </c>
      <c r="W100">
        <v>2.48</v>
      </c>
      <c r="X100" t="s">
        <v>484</v>
      </c>
      <c r="Y100" t="s">
        <v>551</v>
      </c>
      <c r="Z100" s="2">
        <v>45177</v>
      </c>
      <c r="AA100" t="s">
        <v>561</v>
      </c>
      <c r="AB100" t="s">
        <v>634</v>
      </c>
      <c r="AC100" t="s">
        <v>700</v>
      </c>
      <c r="AD100" t="s">
        <v>704</v>
      </c>
      <c r="AE100" t="s">
        <v>711</v>
      </c>
      <c r="AF100">
        <v>-0.22</v>
      </c>
      <c r="AH100" t="s">
        <v>747</v>
      </c>
      <c r="AI100" t="s">
        <v>768</v>
      </c>
      <c r="AJ100" t="s">
        <v>774</v>
      </c>
      <c r="AK100">
        <v>-1.27</v>
      </c>
      <c r="AL100">
        <v>-1.52</v>
      </c>
      <c r="AM100">
        <v>3.75</v>
      </c>
      <c r="AN100">
        <v>4</v>
      </c>
      <c r="AP100" t="s">
        <v>783</v>
      </c>
      <c r="AQ100" t="s">
        <v>788</v>
      </c>
      <c r="AR100" t="s">
        <v>885</v>
      </c>
      <c r="AS100" t="s">
        <v>700</v>
      </c>
      <c r="AT100" t="s">
        <v>993</v>
      </c>
      <c r="AU100" s="2">
        <v>45279</v>
      </c>
      <c r="AV100" t="s">
        <v>1081</v>
      </c>
      <c r="AX100">
        <v>-1.4</v>
      </c>
      <c r="QZ100" t="s">
        <v>1368</v>
      </c>
      <c r="RA100" t="s">
        <v>1368</v>
      </c>
    </row>
    <row r="101" spans="2:473" x14ac:dyDescent="0.3">
      <c r="B101" t="b">
        <v>1</v>
      </c>
      <c r="F101" t="b">
        <v>0</v>
      </c>
      <c r="G101" t="b">
        <v>0</v>
      </c>
      <c r="H101" t="b">
        <v>0</v>
      </c>
      <c r="I101" t="b">
        <v>0</v>
      </c>
      <c r="K101" t="s">
        <v>474</v>
      </c>
      <c r="L101" t="s">
        <v>475</v>
      </c>
      <c r="O101" t="s">
        <v>476</v>
      </c>
      <c r="U101">
        <v>134119.18</v>
      </c>
      <c r="V101">
        <v>414879.05</v>
      </c>
      <c r="W101">
        <v>2.48</v>
      </c>
      <c r="X101" t="s">
        <v>484</v>
      </c>
      <c r="Y101" t="s">
        <v>551</v>
      </c>
      <c r="Z101" s="2">
        <v>45177</v>
      </c>
      <c r="AA101" t="s">
        <v>561</v>
      </c>
      <c r="AB101" t="s">
        <v>634</v>
      </c>
      <c r="AC101" t="s">
        <v>700</v>
      </c>
      <c r="AD101" t="s">
        <v>704</v>
      </c>
      <c r="AE101" t="s">
        <v>711</v>
      </c>
      <c r="AF101">
        <v>-0.22</v>
      </c>
      <c r="AH101" t="s">
        <v>748</v>
      </c>
      <c r="AI101" t="s">
        <v>768</v>
      </c>
      <c r="AJ101" t="s">
        <v>774</v>
      </c>
      <c r="AK101">
        <v>-1.62</v>
      </c>
      <c r="AL101">
        <v>-1.68</v>
      </c>
      <c r="AM101">
        <v>4.0999999999999996</v>
      </c>
      <c r="AN101">
        <v>4.16</v>
      </c>
      <c r="AP101" t="s">
        <v>783</v>
      </c>
      <c r="AQ101" t="s">
        <v>788</v>
      </c>
      <c r="AR101" t="s">
        <v>886</v>
      </c>
      <c r="AS101" t="s">
        <v>700</v>
      </c>
      <c r="AT101" t="s">
        <v>993</v>
      </c>
      <c r="AU101" s="2">
        <v>45279</v>
      </c>
      <c r="AV101" t="s">
        <v>1082</v>
      </c>
      <c r="AX101">
        <v>-1.65</v>
      </c>
      <c r="QZ101" t="s">
        <v>1368</v>
      </c>
      <c r="RA101" t="s">
        <v>1368</v>
      </c>
    </row>
    <row r="102" spans="2:473" x14ac:dyDescent="0.3">
      <c r="B102" t="b">
        <v>1</v>
      </c>
      <c r="F102" t="b">
        <v>0</v>
      </c>
      <c r="G102" t="b">
        <v>0</v>
      </c>
      <c r="H102" t="b">
        <v>0</v>
      </c>
      <c r="I102" t="b">
        <v>0</v>
      </c>
      <c r="K102" t="s">
        <v>474</v>
      </c>
      <c r="L102" t="s">
        <v>475</v>
      </c>
      <c r="O102" t="s">
        <v>476</v>
      </c>
      <c r="U102">
        <v>134119.18</v>
      </c>
      <c r="V102">
        <v>414879.05</v>
      </c>
      <c r="W102">
        <v>2.48</v>
      </c>
      <c r="X102" t="s">
        <v>484</v>
      </c>
      <c r="Y102" t="s">
        <v>551</v>
      </c>
      <c r="Z102" s="2">
        <v>45177</v>
      </c>
      <c r="AA102" t="s">
        <v>561</v>
      </c>
      <c r="AB102" t="s">
        <v>634</v>
      </c>
      <c r="AC102" t="s">
        <v>700</v>
      </c>
      <c r="AD102" t="s">
        <v>704</v>
      </c>
      <c r="AE102" t="s">
        <v>711</v>
      </c>
      <c r="AF102">
        <v>-0.22</v>
      </c>
      <c r="AH102" t="s">
        <v>749</v>
      </c>
      <c r="AI102" t="s">
        <v>768</v>
      </c>
      <c r="AJ102" t="s">
        <v>774</v>
      </c>
      <c r="AK102">
        <v>-1.68</v>
      </c>
      <c r="AL102">
        <v>-2.02</v>
      </c>
      <c r="AM102">
        <v>4.16</v>
      </c>
      <c r="AN102">
        <v>4.5</v>
      </c>
      <c r="AO102">
        <v>19.7</v>
      </c>
      <c r="AP102" t="s">
        <v>783</v>
      </c>
      <c r="AQ102" t="s">
        <v>788</v>
      </c>
      <c r="AR102" t="s">
        <v>887</v>
      </c>
      <c r="AS102" t="s">
        <v>700</v>
      </c>
      <c r="AT102" t="s">
        <v>993</v>
      </c>
      <c r="AU102" s="2">
        <v>45279</v>
      </c>
      <c r="AV102" t="s">
        <v>1083</v>
      </c>
      <c r="AX102">
        <v>-1.85</v>
      </c>
      <c r="CD102" t="s">
        <v>1162</v>
      </c>
      <c r="CE102" t="s">
        <v>1187</v>
      </c>
      <c r="CF102" t="s">
        <v>887</v>
      </c>
      <c r="CG102" t="s">
        <v>700</v>
      </c>
      <c r="CH102" t="s">
        <v>1211</v>
      </c>
      <c r="CI102" s="2">
        <v>45212</v>
      </c>
      <c r="CJ102" t="s">
        <v>1215</v>
      </c>
      <c r="CL102">
        <v>175</v>
      </c>
      <c r="CM102">
        <v>169</v>
      </c>
      <c r="CN102">
        <v>0</v>
      </c>
      <c r="CO102">
        <v>91.35</v>
      </c>
      <c r="CP102">
        <v>6.15</v>
      </c>
      <c r="CQ102">
        <v>100</v>
      </c>
      <c r="CR102">
        <v>100</v>
      </c>
      <c r="CS102">
        <v>100</v>
      </c>
      <c r="CT102">
        <v>100</v>
      </c>
      <c r="CU102">
        <v>100</v>
      </c>
      <c r="CV102">
        <v>100</v>
      </c>
      <c r="CW102">
        <v>99.85</v>
      </c>
      <c r="CX102">
        <v>99.08</v>
      </c>
      <c r="CY102">
        <v>90.41</v>
      </c>
      <c r="CZ102">
        <v>57.28</v>
      </c>
      <c r="DA102">
        <v>22.38</v>
      </c>
      <c r="DB102">
        <v>8.65</v>
      </c>
      <c r="DC102">
        <v>3.2</v>
      </c>
      <c r="DD102">
        <v>2.92</v>
      </c>
      <c r="DE102">
        <v>2.88</v>
      </c>
      <c r="DF102">
        <v>2.5</v>
      </c>
      <c r="DG102">
        <v>212</v>
      </c>
      <c r="DH102">
        <v>193</v>
      </c>
      <c r="DI102">
        <v>175</v>
      </c>
      <c r="DJ102">
        <v>108</v>
      </c>
      <c r="DK102">
        <v>1.8</v>
      </c>
      <c r="QZ102" t="s">
        <v>1368</v>
      </c>
      <c r="RA102" t="s">
        <v>1368</v>
      </c>
    </row>
    <row r="103" spans="2:473" x14ac:dyDescent="0.3">
      <c r="B103" t="b">
        <v>1</v>
      </c>
      <c r="F103" t="b">
        <v>0</v>
      </c>
      <c r="G103" t="b">
        <v>0</v>
      </c>
      <c r="H103" t="b">
        <v>0</v>
      </c>
      <c r="I103" t="b">
        <v>0</v>
      </c>
      <c r="K103" t="s">
        <v>474</v>
      </c>
      <c r="L103" t="s">
        <v>475</v>
      </c>
      <c r="O103" t="s">
        <v>476</v>
      </c>
      <c r="U103">
        <v>134119.18</v>
      </c>
      <c r="V103">
        <v>414879.05</v>
      </c>
      <c r="W103">
        <v>2.48</v>
      </c>
      <c r="X103" t="s">
        <v>484</v>
      </c>
      <c r="Y103" t="s">
        <v>551</v>
      </c>
      <c r="Z103" s="2">
        <v>45177</v>
      </c>
      <c r="AA103" t="s">
        <v>561</v>
      </c>
      <c r="AB103" t="s">
        <v>634</v>
      </c>
      <c r="AC103" t="s">
        <v>700</v>
      </c>
      <c r="AD103" t="s">
        <v>704</v>
      </c>
      <c r="AE103" t="s">
        <v>711</v>
      </c>
      <c r="AF103">
        <v>-0.22</v>
      </c>
      <c r="AH103" t="s">
        <v>717</v>
      </c>
      <c r="AI103" t="s">
        <v>768</v>
      </c>
      <c r="AJ103" t="s">
        <v>774</v>
      </c>
      <c r="AK103">
        <v>-2.12</v>
      </c>
      <c r="AL103">
        <v>-2.52</v>
      </c>
      <c r="AM103">
        <v>4.5999999999999996</v>
      </c>
      <c r="AN103">
        <v>5</v>
      </c>
      <c r="AO103">
        <v>19.600000000000001</v>
      </c>
      <c r="AP103" t="s">
        <v>783</v>
      </c>
      <c r="AQ103" t="s">
        <v>788</v>
      </c>
      <c r="AR103" t="s">
        <v>888</v>
      </c>
      <c r="AS103" t="s">
        <v>700</v>
      </c>
      <c r="AT103" t="s">
        <v>993</v>
      </c>
      <c r="AU103" s="2">
        <v>45279</v>
      </c>
      <c r="AV103" t="s">
        <v>1084</v>
      </c>
      <c r="AX103">
        <v>-2.3199999999999998</v>
      </c>
      <c r="QZ103" t="s">
        <v>1368</v>
      </c>
      <c r="RA103" t="s">
        <v>1368</v>
      </c>
    </row>
    <row r="104" spans="2:473" x14ac:dyDescent="0.3">
      <c r="B104" t="b">
        <v>1</v>
      </c>
      <c r="F104" t="b">
        <v>0</v>
      </c>
      <c r="G104" t="b">
        <v>0</v>
      </c>
      <c r="H104" t="b">
        <v>0</v>
      </c>
      <c r="I104" t="b">
        <v>0</v>
      </c>
      <c r="K104" t="s">
        <v>474</v>
      </c>
      <c r="L104" t="s">
        <v>475</v>
      </c>
      <c r="O104" t="s">
        <v>476</v>
      </c>
      <c r="U104">
        <v>134119.18</v>
      </c>
      <c r="V104">
        <v>414879.05</v>
      </c>
      <c r="W104">
        <v>2.48</v>
      </c>
      <c r="X104" t="s">
        <v>484</v>
      </c>
      <c r="Y104" t="s">
        <v>551</v>
      </c>
      <c r="Z104" s="2">
        <v>45177</v>
      </c>
      <c r="AA104" t="s">
        <v>561</v>
      </c>
      <c r="AB104" t="s">
        <v>634</v>
      </c>
      <c r="AC104" t="s">
        <v>700</v>
      </c>
      <c r="AD104" t="s">
        <v>704</v>
      </c>
      <c r="AE104" t="s">
        <v>711</v>
      </c>
      <c r="AF104">
        <v>-0.22</v>
      </c>
      <c r="AH104" t="s">
        <v>718</v>
      </c>
      <c r="AI104" t="s">
        <v>768</v>
      </c>
      <c r="AJ104" t="s">
        <v>774</v>
      </c>
      <c r="AK104">
        <v>-2.62</v>
      </c>
      <c r="AL104">
        <v>-3.02</v>
      </c>
      <c r="AM104">
        <v>5.0999999999999996</v>
      </c>
      <c r="AN104">
        <v>5.5</v>
      </c>
      <c r="AO104">
        <v>15.2</v>
      </c>
      <c r="AP104" t="s">
        <v>783</v>
      </c>
      <c r="AQ104" t="s">
        <v>788</v>
      </c>
      <c r="AR104" t="s">
        <v>889</v>
      </c>
      <c r="AS104" t="s">
        <v>700</v>
      </c>
      <c r="AT104" t="s">
        <v>993</v>
      </c>
      <c r="AU104" s="2">
        <v>45279</v>
      </c>
      <c r="AV104" t="s">
        <v>1084</v>
      </c>
      <c r="AX104">
        <v>-2.82</v>
      </c>
      <c r="QZ104" t="s">
        <v>1368</v>
      </c>
      <c r="RA104" t="s">
        <v>1368</v>
      </c>
    </row>
    <row r="105" spans="2:473" x14ac:dyDescent="0.3">
      <c r="B105" t="b">
        <v>1</v>
      </c>
      <c r="F105" t="b">
        <v>0</v>
      </c>
      <c r="G105" t="b">
        <v>0</v>
      </c>
      <c r="H105" t="b">
        <v>0</v>
      </c>
      <c r="I105" t="b">
        <v>0</v>
      </c>
      <c r="K105" t="s">
        <v>474</v>
      </c>
      <c r="L105" t="s">
        <v>475</v>
      </c>
      <c r="O105" t="s">
        <v>476</v>
      </c>
      <c r="U105">
        <v>134119.18</v>
      </c>
      <c r="V105">
        <v>414879.05</v>
      </c>
      <c r="W105">
        <v>2.48</v>
      </c>
      <c r="X105" t="s">
        <v>484</v>
      </c>
      <c r="Y105" t="s">
        <v>551</v>
      </c>
      <c r="Z105" s="2">
        <v>45177</v>
      </c>
      <c r="AA105" t="s">
        <v>561</v>
      </c>
      <c r="AB105" t="s">
        <v>634</v>
      </c>
      <c r="AC105" t="s">
        <v>700</v>
      </c>
      <c r="AD105" t="s">
        <v>704</v>
      </c>
      <c r="AE105" t="s">
        <v>711</v>
      </c>
      <c r="AF105">
        <v>-0.22</v>
      </c>
      <c r="AH105" t="s">
        <v>730</v>
      </c>
      <c r="AI105" t="s">
        <v>768</v>
      </c>
      <c r="AJ105" t="s">
        <v>774</v>
      </c>
      <c r="AK105">
        <v>-3.12</v>
      </c>
      <c r="AL105">
        <v>-3.47</v>
      </c>
      <c r="AM105">
        <v>5.6</v>
      </c>
      <c r="AN105">
        <v>5.95</v>
      </c>
      <c r="AO105">
        <v>18.899999999999999</v>
      </c>
      <c r="AP105" t="s">
        <v>783</v>
      </c>
      <c r="AQ105" t="s">
        <v>788</v>
      </c>
      <c r="AR105" t="s">
        <v>890</v>
      </c>
      <c r="AS105" t="s">
        <v>700</v>
      </c>
      <c r="AT105" t="s">
        <v>993</v>
      </c>
      <c r="AU105" s="2">
        <v>45279</v>
      </c>
      <c r="AV105" t="s">
        <v>1084</v>
      </c>
      <c r="AX105">
        <v>-3.3</v>
      </c>
      <c r="QZ105" t="s">
        <v>1368</v>
      </c>
      <c r="RA105" t="s">
        <v>1368</v>
      </c>
    </row>
    <row r="106" spans="2:473" x14ac:dyDescent="0.3">
      <c r="B106" t="b">
        <v>1</v>
      </c>
      <c r="F106" t="b">
        <v>0</v>
      </c>
      <c r="G106" t="b">
        <v>0</v>
      </c>
      <c r="H106" t="b">
        <v>0</v>
      </c>
      <c r="I106" t="b">
        <v>0</v>
      </c>
      <c r="K106" t="s">
        <v>474</v>
      </c>
      <c r="L106" t="s">
        <v>475</v>
      </c>
      <c r="O106" t="s">
        <v>476</v>
      </c>
      <c r="U106">
        <v>134119.18</v>
      </c>
      <c r="V106">
        <v>414879.05</v>
      </c>
      <c r="W106">
        <v>2.48</v>
      </c>
      <c r="X106" t="s">
        <v>484</v>
      </c>
      <c r="Y106" t="s">
        <v>551</v>
      </c>
      <c r="Z106" s="2">
        <v>45177</v>
      </c>
      <c r="AA106" t="s">
        <v>561</v>
      </c>
      <c r="AB106" t="s">
        <v>634</v>
      </c>
      <c r="AC106" t="s">
        <v>700</v>
      </c>
      <c r="AD106" t="s">
        <v>704</v>
      </c>
      <c r="AE106" t="s">
        <v>711</v>
      </c>
      <c r="AF106">
        <v>-0.22</v>
      </c>
      <c r="AH106" t="s">
        <v>740</v>
      </c>
      <c r="AI106" t="s">
        <v>768</v>
      </c>
      <c r="AJ106" t="s">
        <v>774</v>
      </c>
      <c r="AK106">
        <v>-12.22</v>
      </c>
      <c r="AL106">
        <v>-12.55</v>
      </c>
      <c r="AM106">
        <v>14.7</v>
      </c>
      <c r="AN106">
        <v>15.03</v>
      </c>
      <c r="AO106">
        <v>24</v>
      </c>
      <c r="AP106" t="s">
        <v>783</v>
      </c>
      <c r="AQ106" t="s">
        <v>788</v>
      </c>
      <c r="AR106" t="s">
        <v>891</v>
      </c>
      <c r="AS106" t="s">
        <v>700</v>
      </c>
      <c r="AT106" t="s">
        <v>993</v>
      </c>
      <c r="AU106" s="2">
        <v>45279</v>
      </c>
      <c r="AV106" t="s">
        <v>1085</v>
      </c>
      <c r="AX106">
        <v>-12.35</v>
      </c>
      <c r="QZ106" t="s">
        <v>1368</v>
      </c>
      <c r="RA106" t="s">
        <v>1368</v>
      </c>
    </row>
    <row r="107" spans="2:473" x14ac:dyDescent="0.3">
      <c r="B107" t="b">
        <v>1</v>
      </c>
      <c r="F107" t="b">
        <v>0</v>
      </c>
      <c r="G107" t="b">
        <v>0</v>
      </c>
      <c r="H107" t="b">
        <v>0</v>
      </c>
      <c r="I107" t="b">
        <v>0</v>
      </c>
      <c r="K107" t="s">
        <v>474</v>
      </c>
      <c r="L107" t="s">
        <v>475</v>
      </c>
      <c r="O107" t="s">
        <v>476</v>
      </c>
      <c r="U107">
        <v>134119.18</v>
      </c>
      <c r="V107">
        <v>414879.05</v>
      </c>
      <c r="W107">
        <v>2.48</v>
      </c>
      <c r="X107" t="s">
        <v>484</v>
      </c>
      <c r="Y107" t="s">
        <v>551</v>
      </c>
      <c r="Z107" s="2">
        <v>45177</v>
      </c>
      <c r="AA107" t="s">
        <v>561</v>
      </c>
      <c r="AB107" t="s">
        <v>634</v>
      </c>
      <c r="AC107" t="s">
        <v>700</v>
      </c>
      <c r="AD107" t="s">
        <v>704</v>
      </c>
      <c r="AE107" t="s">
        <v>711</v>
      </c>
      <c r="AF107">
        <v>-0.22</v>
      </c>
      <c r="AH107" t="s">
        <v>741</v>
      </c>
      <c r="AI107" t="s">
        <v>768</v>
      </c>
      <c r="AJ107" t="s">
        <v>774</v>
      </c>
      <c r="AK107">
        <v>-12.55</v>
      </c>
      <c r="AL107">
        <v>-12.62</v>
      </c>
      <c r="AM107">
        <v>15.03</v>
      </c>
      <c r="AN107">
        <v>15.1</v>
      </c>
      <c r="AP107" t="s">
        <v>783</v>
      </c>
      <c r="AQ107" t="s">
        <v>788</v>
      </c>
      <c r="AR107" t="s">
        <v>892</v>
      </c>
      <c r="AS107" t="s">
        <v>700</v>
      </c>
      <c r="AT107" t="s">
        <v>993</v>
      </c>
      <c r="AU107" s="2">
        <v>45279</v>
      </c>
      <c r="AV107" t="s">
        <v>1086</v>
      </c>
      <c r="AX107">
        <v>-12.52</v>
      </c>
      <c r="QZ107" t="s">
        <v>1368</v>
      </c>
      <c r="RA107" t="s">
        <v>1368</v>
      </c>
    </row>
    <row r="108" spans="2:473" x14ac:dyDescent="0.3">
      <c r="B108" t="b">
        <v>1</v>
      </c>
      <c r="F108" t="b">
        <v>0</v>
      </c>
      <c r="G108" t="b">
        <v>0</v>
      </c>
      <c r="H108" t="b">
        <v>0</v>
      </c>
      <c r="I108" t="b">
        <v>0</v>
      </c>
      <c r="K108" t="s">
        <v>474</v>
      </c>
      <c r="L108" t="s">
        <v>475</v>
      </c>
      <c r="O108" t="s">
        <v>476</v>
      </c>
      <c r="U108">
        <v>134119.18</v>
      </c>
      <c r="V108">
        <v>414879.05</v>
      </c>
      <c r="W108">
        <v>2.48</v>
      </c>
      <c r="X108" t="s">
        <v>484</v>
      </c>
      <c r="Y108" t="s">
        <v>551</v>
      </c>
      <c r="Z108" s="2">
        <v>45177</v>
      </c>
      <c r="AA108" t="s">
        <v>561</v>
      </c>
      <c r="AB108" t="s">
        <v>634</v>
      </c>
      <c r="AC108" t="s">
        <v>700</v>
      </c>
      <c r="AD108" t="s">
        <v>704</v>
      </c>
      <c r="AE108" t="s">
        <v>711</v>
      </c>
      <c r="AF108">
        <v>-0.22</v>
      </c>
      <c r="AH108" t="s">
        <v>732</v>
      </c>
      <c r="AI108" t="s">
        <v>768</v>
      </c>
      <c r="AJ108" t="s">
        <v>774</v>
      </c>
      <c r="AK108">
        <v>-12.72</v>
      </c>
      <c r="AL108">
        <v>-13.12</v>
      </c>
      <c r="AM108">
        <v>15.2</v>
      </c>
      <c r="AN108">
        <v>15.6</v>
      </c>
      <c r="AO108">
        <v>25.4</v>
      </c>
      <c r="AP108" t="s">
        <v>783</v>
      </c>
      <c r="AQ108" t="s">
        <v>788</v>
      </c>
      <c r="AR108" t="s">
        <v>893</v>
      </c>
      <c r="AS108" t="s">
        <v>700</v>
      </c>
      <c r="AT108" t="s">
        <v>993</v>
      </c>
      <c r="AU108" s="2">
        <v>45279</v>
      </c>
      <c r="AV108" t="s">
        <v>1087</v>
      </c>
      <c r="AX108">
        <v>-12.92</v>
      </c>
      <c r="QZ108" t="s">
        <v>1368</v>
      </c>
      <c r="RA108" t="s">
        <v>1368</v>
      </c>
    </row>
    <row r="109" spans="2:473" x14ac:dyDescent="0.3">
      <c r="B109" t="b">
        <v>1</v>
      </c>
      <c r="F109" t="b">
        <v>0</v>
      </c>
      <c r="G109" t="b">
        <v>0</v>
      </c>
      <c r="H109" t="b">
        <v>0</v>
      </c>
      <c r="I109" t="b">
        <v>0</v>
      </c>
      <c r="K109" t="s">
        <v>474</v>
      </c>
      <c r="L109" t="s">
        <v>475</v>
      </c>
      <c r="O109" t="s">
        <v>476</v>
      </c>
      <c r="U109">
        <v>134119.18</v>
      </c>
      <c r="V109">
        <v>414879.05</v>
      </c>
      <c r="W109">
        <v>2.48</v>
      </c>
      <c r="X109" t="s">
        <v>484</v>
      </c>
      <c r="Y109" t="s">
        <v>551</v>
      </c>
      <c r="Z109" s="2">
        <v>45177</v>
      </c>
      <c r="AA109" t="s">
        <v>561</v>
      </c>
      <c r="AB109" t="s">
        <v>634</v>
      </c>
      <c r="AC109" t="s">
        <v>700</v>
      </c>
      <c r="AD109" t="s">
        <v>704</v>
      </c>
      <c r="AE109" t="s">
        <v>711</v>
      </c>
      <c r="AF109">
        <v>-0.22</v>
      </c>
      <c r="AH109" t="s">
        <v>744</v>
      </c>
      <c r="AI109" t="s">
        <v>768</v>
      </c>
      <c r="AJ109" t="s">
        <v>774</v>
      </c>
      <c r="AK109">
        <v>-13.22</v>
      </c>
      <c r="AL109">
        <v>-13.42</v>
      </c>
      <c r="AM109">
        <v>15.7</v>
      </c>
      <c r="AN109">
        <v>15.9</v>
      </c>
      <c r="AO109">
        <v>19.2</v>
      </c>
      <c r="AP109" t="s">
        <v>783</v>
      </c>
      <c r="AQ109" t="s">
        <v>788</v>
      </c>
      <c r="AR109" t="s">
        <v>894</v>
      </c>
      <c r="AS109" t="s">
        <v>700</v>
      </c>
      <c r="AT109" t="s">
        <v>993</v>
      </c>
      <c r="AU109" s="2">
        <v>45279</v>
      </c>
      <c r="AV109" t="s">
        <v>1088</v>
      </c>
      <c r="AX109">
        <v>-13.32</v>
      </c>
      <c r="QZ109" t="s">
        <v>1368</v>
      </c>
      <c r="RA109" t="s">
        <v>1368</v>
      </c>
    </row>
    <row r="110" spans="2:473" x14ac:dyDescent="0.3">
      <c r="B110" t="b">
        <v>1</v>
      </c>
      <c r="F110" t="b">
        <v>0</v>
      </c>
      <c r="G110" t="b">
        <v>0</v>
      </c>
      <c r="H110" t="b">
        <v>0</v>
      </c>
      <c r="I110" t="b">
        <v>0</v>
      </c>
      <c r="K110" t="s">
        <v>474</v>
      </c>
      <c r="L110" t="s">
        <v>475</v>
      </c>
      <c r="O110" t="s">
        <v>476</v>
      </c>
      <c r="U110">
        <v>134119.18</v>
      </c>
      <c r="V110">
        <v>414879.05</v>
      </c>
      <c r="W110">
        <v>2.48</v>
      </c>
      <c r="X110" t="s">
        <v>484</v>
      </c>
      <c r="Y110" t="s">
        <v>551</v>
      </c>
      <c r="Z110" s="2">
        <v>45177</v>
      </c>
      <c r="AA110" t="s">
        <v>561</v>
      </c>
      <c r="AB110" t="s">
        <v>634</v>
      </c>
      <c r="AC110" t="s">
        <v>700</v>
      </c>
      <c r="AD110" t="s">
        <v>704</v>
      </c>
      <c r="AE110" t="s">
        <v>711</v>
      </c>
      <c r="AF110">
        <v>-0.22</v>
      </c>
      <c r="AH110" t="s">
        <v>745</v>
      </c>
      <c r="AI110" t="s">
        <v>768</v>
      </c>
      <c r="AJ110" t="s">
        <v>774</v>
      </c>
      <c r="AK110">
        <v>-13.42</v>
      </c>
      <c r="AL110">
        <v>-13.62</v>
      </c>
      <c r="AM110">
        <v>15.9</v>
      </c>
      <c r="AN110">
        <v>16.100000000000001</v>
      </c>
      <c r="AP110" t="s">
        <v>783</v>
      </c>
      <c r="AQ110" t="s">
        <v>788</v>
      </c>
      <c r="AR110" t="s">
        <v>895</v>
      </c>
      <c r="AS110" t="s">
        <v>700</v>
      </c>
      <c r="AT110" t="s">
        <v>993</v>
      </c>
      <c r="AU110" s="2">
        <v>45279</v>
      </c>
      <c r="AV110" t="s">
        <v>1089</v>
      </c>
      <c r="AX110">
        <v>-13.52</v>
      </c>
      <c r="QZ110" t="s">
        <v>1368</v>
      </c>
      <c r="RA110" t="s">
        <v>1368</v>
      </c>
    </row>
    <row r="111" spans="2:473" x14ac:dyDescent="0.3">
      <c r="B111" t="b">
        <v>1</v>
      </c>
      <c r="F111" t="b">
        <v>0</v>
      </c>
      <c r="G111" t="b">
        <v>0</v>
      </c>
      <c r="H111" t="b">
        <v>0</v>
      </c>
      <c r="I111" t="b">
        <v>0</v>
      </c>
      <c r="K111" t="s">
        <v>474</v>
      </c>
      <c r="L111" t="s">
        <v>475</v>
      </c>
      <c r="O111" t="s">
        <v>476</v>
      </c>
      <c r="U111">
        <v>134079.72</v>
      </c>
      <c r="V111">
        <v>414857.17</v>
      </c>
      <c r="W111">
        <v>6.15</v>
      </c>
      <c r="X111" t="s">
        <v>485</v>
      </c>
      <c r="Y111" t="s">
        <v>550</v>
      </c>
      <c r="Z111" s="2">
        <v>45181</v>
      </c>
      <c r="AA111" t="s">
        <v>562</v>
      </c>
      <c r="AB111" t="s">
        <v>635</v>
      </c>
      <c r="AC111" t="s">
        <v>700</v>
      </c>
      <c r="AD111" t="s">
        <v>702</v>
      </c>
      <c r="AE111" t="s">
        <v>711</v>
      </c>
      <c r="AF111">
        <v>0.35</v>
      </c>
      <c r="AH111" t="s">
        <v>712</v>
      </c>
      <c r="AI111" t="s">
        <v>768</v>
      </c>
      <c r="AJ111" t="s">
        <v>774</v>
      </c>
      <c r="AK111">
        <v>5.45</v>
      </c>
      <c r="AL111">
        <v>5.3</v>
      </c>
      <c r="AM111">
        <v>0.7</v>
      </c>
      <c r="AN111">
        <v>0.85</v>
      </c>
      <c r="AO111">
        <v>13</v>
      </c>
      <c r="AP111" t="s">
        <v>784</v>
      </c>
      <c r="AQ111" t="s">
        <v>788</v>
      </c>
      <c r="AR111" t="s">
        <v>896</v>
      </c>
      <c r="AS111" t="s">
        <v>700</v>
      </c>
      <c r="AT111" t="s">
        <v>993</v>
      </c>
      <c r="AU111" s="2">
        <v>45279</v>
      </c>
      <c r="AV111" t="s">
        <v>1090</v>
      </c>
      <c r="AX111">
        <v>5.38</v>
      </c>
      <c r="QZ111" t="s">
        <v>1368</v>
      </c>
      <c r="RA111" t="s">
        <v>1368</v>
      </c>
    </row>
    <row r="112" spans="2:473" x14ac:dyDescent="0.3">
      <c r="B112" t="b">
        <v>1</v>
      </c>
      <c r="F112" t="b">
        <v>0</v>
      </c>
      <c r="G112" t="b">
        <v>0</v>
      </c>
      <c r="H112" t="b">
        <v>0</v>
      </c>
      <c r="I112" t="b">
        <v>0</v>
      </c>
      <c r="K112" t="s">
        <v>474</v>
      </c>
      <c r="L112" t="s">
        <v>475</v>
      </c>
      <c r="O112" t="s">
        <v>476</v>
      </c>
      <c r="U112">
        <v>134079.72</v>
      </c>
      <c r="V112">
        <v>414857.17</v>
      </c>
      <c r="W112">
        <v>6.15</v>
      </c>
      <c r="X112" t="s">
        <v>485</v>
      </c>
      <c r="Y112" t="s">
        <v>550</v>
      </c>
      <c r="Z112" s="2">
        <v>45181</v>
      </c>
      <c r="AA112" t="s">
        <v>562</v>
      </c>
      <c r="AB112" t="s">
        <v>635</v>
      </c>
      <c r="AC112" t="s">
        <v>700</v>
      </c>
      <c r="AD112" t="s">
        <v>702</v>
      </c>
      <c r="AE112" t="s">
        <v>711</v>
      </c>
      <c r="AF112">
        <v>0.35</v>
      </c>
      <c r="AH112" t="s">
        <v>713</v>
      </c>
      <c r="AI112" t="s">
        <v>768</v>
      </c>
      <c r="AJ112" t="s">
        <v>774</v>
      </c>
      <c r="AK112">
        <v>4.45</v>
      </c>
      <c r="AL112">
        <v>4.05</v>
      </c>
      <c r="AM112">
        <v>1.7</v>
      </c>
      <c r="AN112">
        <v>2.1</v>
      </c>
      <c r="AO112">
        <v>25.2</v>
      </c>
      <c r="AP112" t="s">
        <v>784</v>
      </c>
      <c r="AQ112" t="s">
        <v>788</v>
      </c>
      <c r="AR112" t="s">
        <v>897</v>
      </c>
      <c r="AS112" t="s">
        <v>700</v>
      </c>
      <c r="AT112" t="s">
        <v>993</v>
      </c>
      <c r="AU112" s="2">
        <v>45279</v>
      </c>
      <c r="AV112" t="s">
        <v>1090</v>
      </c>
      <c r="AX112">
        <v>4.4000000000000004</v>
      </c>
      <c r="AY112">
        <v>19.3</v>
      </c>
      <c r="AZ112">
        <v>15.8</v>
      </c>
      <c r="BA112">
        <v>22</v>
      </c>
      <c r="QZ112" t="s">
        <v>1368</v>
      </c>
      <c r="RA112" t="s">
        <v>1368</v>
      </c>
    </row>
    <row r="113" spans="2:473" x14ac:dyDescent="0.3">
      <c r="B113" t="b">
        <v>1</v>
      </c>
      <c r="F113" t="b">
        <v>0</v>
      </c>
      <c r="G113" t="b">
        <v>0</v>
      </c>
      <c r="H113" t="b">
        <v>0</v>
      </c>
      <c r="I113" t="b">
        <v>0</v>
      </c>
      <c r="K113" t="s">
        <v>474</v>
      </c>
      <c r="L113" t="s">
        <v>475</v>
      </c>
      <c r="O113" t="s">
        <v>476</v>
      </c>
      <c r="U113">
        <v>134079.72</v>
      </c>
      <c r="V113">
        <v>414857.17</v>
      </c>
      <c r="W113">
        <v>6.15</v>
      </c>
      <c r="X113" t="s">
        <v>485</v>
      </c>
      <c r="Y113" t="s">
        <v>550</v>
      </c>
      <c r="Z113" s="2">
        <v>45181</v>
      </c>
      <c r="AA113" t="s">
        <v>562</v>
      </c>
      <c r="AB113" t="s">
        <v>635</v>
      </c>
      <c r="AC113" t="s">
        <v>700</v>
      </c>
      <c r="AD113" t="s">
        <v>702</v>
      </c>
      <c r="AE113" t="s">
        <v>711</v>
      </c>
      <c r="AF113">
        <v>0.35</v>
      </c>
      <c r="AH113" t="s">
        <v>714</v>
      </c>
      <c r="AI113" t="s">
        <v>768</v>
      </c>
      <c r="AJ113" t="s">
        <v>774</v>
      </c>
      <c r="AK113">
        <v>3.45</v>
      </c>
      <c r="AL113">
        <v>3.19</v>
      </c>
      <c r="AM113">
        <v>2.7</v>
      </c>
      <c r="AN113">
        <v>2.96</v>
      </c>
      <c r="AO113">
        <v>16.899999999999999</v>
      </c>
      <c r="AP113" t="s">
        <v>784</v>
      </c>
      <c r="AQ113" t="s">
        <v>788</v>
      </c>
      <c r="AR113" t="s">
        <v>898</v>
      </c>
      <c r="AS113" t="s">
        <v>700</v>
      </c>
      <c r="AT113" t="s">
        <v>993</v>
      </c>
      <c r="AU113" s="2">
        <v>45279</v>
      </c>
      <c r="AV113" t="s">
        <v>1091</v>
      </c>
      <c r="AX113">
        <v>3.32</v>
      </c>
      <c r="QZ113" t="s">
        <v>1368</v>
      </c>
      <c r="RA113" t="s">
        <v>1368</v>
      </c>
    </row>
    <row r="114" spans="2:473" x14ac:dyDescent="0.3">
      <c r="B114" t="b">
        <v>1</v>
      </c>
      <c r="F114" t="b">
        <v>0</v>
      </c>
      <c r="G114" t="b">
        <v>0</v>
      </c>
      <c r="H114" t="b">
        <v>0</v>
      </c>
      <c r="I114" t="b">
        <v>0</v>
      </c>
      <c r="K114" t="s">
        <v>474</v>
      </c>
      <c r="L114" t="s">
        <v>475</v>
      </c>
      <c r="O114" t="s">
        <v>476</v>
      </c>
      <c r="U114">
        <v>134079.72</v>
      </c>
      <c r="V114">
        <v>414857.17</v>
      </c>
      <c r="W114">
        <v>6.15</v>
      </c>
      <c r="X114" t="s">
        <v>485</v>
      </c>
      <c r="Y114" t="s">
        <v>550</v>
      </c>
      <c r="Z114" s="2">
        <v>45181</v>
      </c>
      <c r="AA114" t="s">
        <v>562</v>
      </c>
      <c r="AB114" t="s">
        <v>635</v>
      </c>
      <c r="AC114" t="s">
        <v>700</v>
      </c>
      <c r="AD114" t="s">
        <v>702</v>
      </c>
      <c r="AE114" t="s">
        <v>711</v>
      </c>
      <c r="AF114">
        <v>0.35</v>
      </c>
      <c r="AH114" t="s">
        <v>715</v>
      </c>
      <c r="AI114" t="s">
        <v>768</v>
      </c>
      <c r="AJ114" t="s">
        <v>774</v>
      </c>
      <c r="AK114">
        <v>2.4500000000000002</v>
      </c>
      <c r="AL114">
        <v>2.3199999999999998</v>
      </c>
      <c r="AM114">
        <v>3.7</v>
      </c>
      <c r="AN114">
        <v>3.83</v>
      </c>
      <c r="AO114">
        <v>12.2</v>
      </c>
      <c r="AP114" t="s">
        <v>784</v>
      </c>
      <c r="AQ114" t="s">
        <v>788</v>
      </c>
      <c r="AR114" t="s">
        <v>899</v>
      </c>
      <c r="AS114" t="s">
        <v>700</v>
      </c>
      <c r="AT114" t="s">
        <v>993</v>
      </c>
      <c r="AU114" s="2">
        <v>45279</v>
      </c>
      <c r="AV114" t="s">
        <v>1092</v>
      </c>
      <c r="AX114">
        <v>2.39</v>
      </c>
      <c r="QZ114" t="s">
        <v>1368</v>
      </c>
      <c r="RA114" t="s">
        <v>1368</v>
      </c>
    </row>
    <row r="115" spans="2:473" x14ac:dyDescent="0.3">
      <c r="B115" t="b">
        <v>1</v>
      </c>
      <c r="F115" t="b">
        <v>0</v>
      </c>
      <c r="G115" t="b">
        <v>0</v>
      </c>
      <c r="H115" t="b">
        <v>0</v>
      </c>
      <c r="I115" t="b">
        <v>0</v>
      </c>
      <c r="K115" t="s">
        <v>474</v>
      </c>
      <c r="L115" t="s">
        <v>475</v>
      </c>
      <c r="O115" t="s">
        <v>476</v>
      </c>
      <c r="U115">
        <v>134079.72</v>
      </c>
      <c r="V115">
        <v>414857.17</v>
      </c>
      <c r="W115">
        <v>6.15</v>
      </c>
      <c r="X115" t="s">
        <v>485</v>
      </c>
      <c r="Y115" t="s">
        <v>550</v>
      </c>
      <c r="Z115" s="2">
        <v>45181</v>
      </c>
      <c r="AA115" t="s">
        <v>562</v>
      </c>
      <c r="AB115" t="s">
        <v>635</v>
      </c>
      <c r="AC115" t="s">
        <v>700</v>
      </c>
      <c r="AD115" t="s">
        <v>702</v>
      </c>
      <c r="AE115" t="s">
        <v>711</v>
      </c>
      <c r="AF115">
        <v>0.35</v>
      </c>
      <c r="AH115" t="s">
        <v>716</v>
      </c>
      <c r="AI115" t="s">
        <v>768</v>
      </c>
      <c r="AJ115" t="s">
        <v>774</v>
      </c>
      <c r="AK115">
        <v>2.3199999999999998</v>
      </c>
      <c r="AL115">
        <v>2.15</v>
      </c>
      <c r="AM115">
        <v>3.83</v>
      </c>
      <c r="AN115">
        <v>4</v>
      </c>
      <c r="AP115" t="s">
        <v>784</v>
      </c>
      <c r="AQ115" t="s">
        <v>788</v>
      </c>
      <c r="AR115" t="s">
        <v>900</v>
      </c>
      <c r="AS115" t="s">
        <v>700</v>
      </c>
      <c r="AT115" t="s">
        <v>993</v>
      </c>
      <c r="AU115" s="2">
        <v>45279</v>
      </c>
      <c r="AV115" t="s">
        <v>1093</v>
      </c>
      <c r="AX115">
        <v>2.2400000000000002</v>
      </c>
      <c r="QZ115" t="s">
        <v>1368</v>
      </c>
      <c r="RA115" t="s">
        <v>1368</v>
      </c>
    </row>
    <row r="116" spans="2:473" x14ac:dyDescent="0.3">
      <c r="B116" t="b">
        <v>1</v>
      </c>
      <c r="F116" t="b">
        <v>0</v>
      </c>
      <c r="G116" t="b">
        <v>0</v>
      </c>
      <c r="H116" t="b">
        <v>0</v>
      </c>
      <c r="I116" t="b">
        <v>0</v>
      </c>
      <c r="K116" t="s">
        <v>474</v>
      </c>
      <c r="L116" t="s">
        <v>475</v>
      </c>
      <c r="O116" t="s">
        <v>476</v>
      </c>
      <c r="U116">
        <v>134079.72</v>
      </c>
      <c r="V116">
        <v>414857.17</v>
      </c>
      <c r="W116">
        <v>6.15</v>
      </c>
      <c r="X116" t="s">
        <v>485</v>
      </c>
      <c r="Y116" t="s">
        <v>550</v>
      </c>
      <c r="Z116" s="2">
        <v>45181</v>
      </c>
      <c r="AA116" t="s">
        <v>562</v>
      </c>
      <c r="AB116" t="s">
        <v>635</v>
      </c>
      <c r="AC116" t="s">
        <v>700</v>
      </c>
      <c r="AD116" t="s">
        <v>702</v>
      </c>
      <c r="AE116" t="s">
        <v>711</v>
      </c>
      <c r="AF116">
        <v>0.35</v>
      </c>
      <c r="AH116" t="s">
        <v>726</v>
      </c>
      <c r="AI116" t="s">
        <v>768</v>
      </c>
      <c r="AJ116" t="s">
        <v>774</v>
      </c>
      <c r="AK116">
        <v>1.45</v>
      </c>
      <c r="AL116">
        <v>1.43</v>
      </c>
      <c r="AM116">
        <v>4.7</v>
      </c>
      <c r="AN116">
        <v>4.72</v>
      </c>
      <c r="AO116">
        <v>2.8</v>
      </c>
      <c r="AP116" t="s">
        <v>784</v>
      </c>
      <c r="AQ116" t="s">
        <v>788</v>
      </c>
      <c r="AR116" t="s">
        <v>901</v>
      </c>
      <c r="AS116" t="s">
        <v>700</v>
      </c>
      <c r="AT116" t="s">
        <v>993</v>
      </c>
      <c r="AU116" s="2">
        <v>45279</v>
      </c>
      <c r="AV116" t="s">
        <v>1094</v>
      </c>
      <c r="AX116">
        <v>1.44</v>
      </c>
      <c r="QZ116" t="s">
        <v>1368</v>
      </c>
      <c r="RA116" t="s">
        <v>1368</v>
      </c>
    </row>
    <row r="117" spans="2:473" x14ac:dyDescent="0.3">
      <c r="B117" t="b">
        <v>1</v>
      </c>
      <c r="F117" t="b">
        <v>0</v>
      </c>
      <c r="G117" t="b">
        <v>0</v>
      </c>
      <c r="H117" t="b">
        <v>0</v>
      </c>
      <c r="I117" t="b">
        <v>1</v>
      </c>
      <c r="K117" t="s">
        <v>474</v>
      </c>
      <c r="L117" t="s">
        <v>475</v>
      </c>
      <c r="O117" t="s">
        <v>476</v>
      </c>
      <c r="U117">
        <v>134079.72</v>
      </c>
      <c r="V117">
        <v>414857.17</v>
      </c>
      <c r="W117">
        <v>6.15</v>
      </c>
      <c r="X117" t="s">
        <v>485</v>
      </c>
      <c r="Y117" t="s">
        <v>550</v>
      </c>
      <c r="Z117" s="2">
        <v>45181</v>
      </c>
      <c r="AA117" t="s">
        <v>562</v>
      </c>
      <c r="AB117" t="s">
        <v>635</v>
      </c>
      <c r="AC117" t="s">
        <v>700</v>
      </c>
      <c r="AD117" t="s">
        <v>702</v>
      </c>
      <c r="AE117" t="s">
        <v>711</v>
      </c>
      <c r="AF117">
        <v>0.35</v>
      </c>
      <c r="AH117" t="s">
        <v>727</v>
      </c>
      <c r="AI117" t="s">
        <v>768</v>
      </c>
      <c r="AJ117" t="s">
        <v>774</v>
      </c>
      <c r="AK117">
        <v>0.45</v>
      </c>
      <c r="AL117">
        <v>0.16</v>
      </c>
      <c r="AM117">
        <v>5.7</v>
      </c>
      <c r="AN117">
        <v>5.99</v>
      </c>
      <c r="AO117">
        <v>2.8</v>
      </c>
      <c r="AP117" t="s">
        <v>784</v>
      </c>
      <c r="AQ117" t="s">
        <v>788</v>
      </c>
      <c r="AR117" t="s">
        <v>902</v>
      </c>
      <c r="AS117" t="s">
        <v>700</v>
      </c>
      <c r="AT117" t="s">
        <v>993</v>
      </c>
      <c r="AU117" s="2">
        <v>45279</v>
      </c>
      <c r="AV117" t="s">
        <v>1066</v>
      </c>
      <c r="AX117">
        <v>0.28000000000000003</v>
      </c>
      <c r="AY117">
        <v>18.8</v>
      </c>
      <c r="AZ117">
        <v>14.3</v>
      </c>
      <c r="BA117">
        <v>31.7</v>
      </c>
      <c r="NG117" t="s">
        <v>1308</v>
      </c>
      <c r="NH117" t="s">
        <v>1329</v>
      </c>
      <c r="NI117" t="s">
        <v>1350</v>
      </c>
      <c r="NJ117" t="s">
        <v>1266</v>
      </c>
      <c r="NK117" t="s">
        <v>1356</v>
      </c>
      <c r="NL117" s="2">
        <v>45198</v>
      </c>
      <c r="NM117" t="s">
        <v>1268</v>
      </c>
      <c r="NO117">
        <v>0.28000000000000003</v>
      </c>
      <c r="NP117">
        <v>105.2</v>
      </c>
      <c r="NQ117">
        <v>18.78</v>
      </c>
      <c r="NR117">
        <v>14.26</v>
      </c>
      <c r="NS117">
        <v>31.48</v>
      </c>
      <c r="NT117">
        <v>31.73</v>
      </c>
      <c r="NU117">
        <v>101.91</v>
      </c>
      <c r="NV117">
        <v>0.83</v>
      </c>
      <c r="NW117">
        <v>2655</v>
      </c>
      <c r="NX117">
        <v>21.3</v>
      </c>
      <c r="NY117">
        <v>21.3</v>
      </c>
      <c r="NZ117">
        <v>50</v>
      </c>
      <c r="OA117">
        <v>100</v>
      </c>
      <c r="OB117" t="s">
        <v>1360</v>
      </c>
      <c r="OC117" t="s">
        <v>1361</v>
      </c>
      <c r="OD117" t="s">
        <v>1362</v>
      </c>
      <c r="OE117">
        <v>299</v>
      </c>
      <c r="OF117" t="s">
        <v>1363</v>
      </c>
      <c r="OG117">
        <v>0.91</v>
      </c>
      <c r="OH117" t="s">
        <v>1364</v>
      </c>
      <c r="OI117">
        <v>96.05</v>
      </c>
      <c r="OJ117">
        <v>1.05</v>
      </c>
      <c r="OK117">
        <v>99.29</v>
      </c>
      <c r="OL117">
        <v>5.0599999999999996</v>
      </c>
      <c r="OM117">
        <v>99.29</v>
      </c>
      <c r="ON117">
        <v>5.0599999999999996</v>
      </c>
      <c r="OO117">
        <v>1</v>
      </c>
      <c r="OP117">
        <v>2.12</v>
      </c>
      <c r="OQ117">
        <v>7.05</v>
      </c>
      <c r="OR117" t="s">
        <v>1365</v>
      </c>
      <c r="OS117">
        <v>0.97</v>
      </c>
      <c r="OT117">
        <v>90.16</v>
      </c>
      <c r="OU117">
        <v>45.34</v>
      </c>
      <c r="OV117">
        <v>96.76</v>
      </c>
      <c r="OW117">
        <v>57.03</v>
      </c>
      <c r="OX117">
        <v>117</v>
      </c>
      <c r="OY117">
        <v>65.849999999999994</v>
      </c>
      <c r="OZ117">
        <v>116.8</v>
      </c>
      <c r="PA117">
        <v>65.92</v>
      </c>
      <c r="PB117">
        <v>14.93</v>
      </c>
      <c r="PC117">
        <v>121.7</v>
      </c>
      <c r="PD117">
        <v>64.87</v>
      </c>
      <c r="PE117">
        <v>25</v>
      </c>
      <c r="PF117">
        <v>7.71</v>
      </c>
      <c r="PG117">
        <v>0.79</v>
      </c>
      <c r="PH117">
        <v>0.33</v>
      </c>
      <c r="QS117" t="s">
        <v>1366</v>
      </c>
      <c r="QV117">
        <v>105.2</v>
      </c>
      <c r="QX117">
        <v>104.35</v>
      </c>
      <c r="QZ117" t="s">
        <v>1369</v>
      </c>
      <c r="RA117" t="s">
        <v>1368</v>
      </c>
      <c r="RD117">
        <v>104.35</v>
      </c>
      <c r="RE117">
        <v>1</v>
      </c>
    </row>
    <row r="118" spans="2:473" x14ac:dyDescent="0.3">
      <c r="B118" t="b">
        <v>1</v>
      </c>
      <c r="F118" t="b">
        <v>1</v>
      </c>
      <c r="G118" t="b">
        <v>0</v>
      </c>
      <c r="H118" t="b">
        <v>0</v>
      </c>
      <c r="I118" t="b">
        <v>1</v>
      </c>
      <c r="K118" t="s">
        <v>474</v>
      </c>
      <c r="L118" t="s">
        <v>475</v>
      </c>
      <c r="O118" t="s">
        <v>476</v>
      </c>
      <c r="U118">
        <v>134079.72</v>
      </c>
      <c r="V118">
        <v>414857.17</v>
      </c>
      <c r="W118">
        <v>6.15</v>
      </c>
      <c r="X118" t="s">
        <v>485</v>
      </c>
      <c r="Y118" t="s">
        <v>550</v>
      </c>
      <c r="Z118" s="2">
        <v>45181</v>
      </c>
      <c r="AA118" t="s">
        <v>562</v>
      </c>
      <c r="AB118" t="s">
        <v>635</v>
      </c>
      <c r="AC118" t="s">
        <v>700</v>
      </c>
      <c r="AD118" t="s">
        <v>702</v>
      </c>
      <c r="AE118" t="s">
        <v>711</v>
      </c>
      <c r="AF118">
        <v>0.35</v>
      </c>
      <c r="AH118" t="s">
        <v>717</v>
      </c>
      <c r="AI118" t="s">
        <v>768</v>
      </c>
      <c r="AJ118" t="s">
        <v>774</v>
      </c>
      <c r="AK118">
        <v>-0.05</v>
      </c>
      <c r="AL118">
        <v>-0.4</v>
      </c>
      <c r="AM118">
        <v>6.2</v>
      </c>
      <c r="AN118">
        <v>6.55</v>
      </c>
      <c r="AO118">
        <v>14.2</v>
      </c>
      <c r="AP118" t="s">
        <v>784</v>
      </c>
      <c r="AQ118" t="s">
        <v>788</v>
      </c>
      <c r="AR118" t="s">
        <v>903</v>
      </c>
      <c r="AS118" t="s">
        <v>700</v>
      </c>
      <c r="AT118" t="s">
        <v>993</v>
      </c>
      <c r="AU118" s="2">
        <v>45279</v>
      </c>
      <c r="AV118" t="s">
        <v>1066</v>
      </c>
      <c r="AX118">
        <v>-0.23</v>
      </c>
      <c r="AY118">
        <v>17.5</v>
      </c>
      <c r="AZ118">
        <v>12.4</v>
      </c>
      <c r="BA118">
        <v>41.1</v>
      </c>
      <c r="DZ118" t="s">
        <v>1232</v>
      </c>
      <c r="EA118" t="s">
        <v>1247</v>
      </c>
      <c r="EB118" t="s">
        <v>1262</v>
      </c>
      <c r="EC118" t="s">
        <v>1266</v>
      </c>
      <c r="ED118" t="s">
        <v>1267</v>
      </c>
      <c r="EE118" s="2">
        <v>45197</v>
      </c>
      <c r="EF118" t="s">
        <v>1268</v>
      </c>
      <c r="EG118" t="s">
        <v>1272</v>
      </c>
      <c r="EH118">
        <v>-0.38</v>
      </c>
      <c r="EI118">
        <v>109.4</v>
      </c>
      <c r="EJ118">
        <v>17.670000000000002</v>
      </c>
      <c r="EK118">
        <v>12.67</v>
      </c>
      <c r="EL118">
        <v>39.51</v>
      </c>
      <c r="EM118">
        <v>33.369999999999997</v>
      </c>
      <c r="EN118">
        <v>98.01</v>
      </c>
      <c r="EO118">
        <v>21.7</v>
      </c>
      <c r="EP118">
        <v>19.8</v>
      </c>
      <c r="EQ118">
        <v>65.349999999999994</v>
      </c>
      <c r="ER118">
        <v>19</v>
      </c>
      <c r="ES118">
        <v>18.989999999999998</v>
      </c>
      <c r="ET118">
        <v>15.63</v>
      </c>
      <c r="EU118">
        <v>0.5</v>
      </c>
      <c r="EV118">
        <v>-0.1</v>
      </c>
      <c r="EW118">
        <v>16</v>
      </c>
      <c r="EX118">
        <v>642.70000000000005</v>
      </c>
      <c r="EY118">
        <v>538.5</v>
      </c>
      <c r="EZ118">
        <v>383.8</v>
      </c>
      <c r="FA118">
        <v>218.4</v>
      </c>
      <c r="FB118">
        <v>1090</v>
      </c>
      <c r="FC118">
        <v>0.85</v>
      </c>
      <c r="FD118">
        <v>207.5</v>
      </c>
      <c r="FE118">
        <v>2.94</v>
      </c>
      <c r="FF118">
        <v>700.3</v>
      </c>
      <c r="FG118">
        <v>3.0999999999999999E-3</v>
      </c>
      <c r="FH118">
        <v>9.9599999999999994E-2</v>
      </c>
      <c r="FI118">
        <v>4.0000000000000001E-3</v>
      </c>
      <c r="NG118" t="s">
        <v>1309</v>
      </c>
      <c r="NH118" t="s">
        <v>1330</v>
      </c>
      <c r="NI118" t="s">
        <v>1351</v>
      </c>
      <c r="NJ118" t="s">
        <v>1266</v>
      </c>
      <c r="NK118" t="s">
        <v>1356</v>
      </c>
      <c r="NL118" s="2">
        <v>45205</v>
      </c>
      <c r="NM118" t="s">
        <v>1268</v>
      </c>
      <c r="NO118">
        <v>-0.23</v>
      </c>
      <c r="NP118">
        <v>109.4</v>
      </c>
      <c r="NQ118">
        <v>17.510000000000002</v>
      </c>
      <c r="NR118">
        <v>12.41</v>
      </c>
      <c r="NS118">
        <v>39.5</v>
      </c>
      <c r="NT118">
        <v>41.07</v>
      </c>
      <c r="NU118">
        <v>99.73</v>
      </c>
      <c r="NV118">
        <v>1.0900000000000001</v>
      </c>
      <c r="NW118">
        <v>2641</v>
      </c>
      <c r="NX118">
        <v>21.3</v>
      </c>
      <c r="NY118">
        <v>21.3</v>
      </c>
      <c r="NZ118">
        <v>50</v>
      </c>
      <c r="OA118">
        <v>100</v>
      </c>
      <c r="OB118" t="s">
        <v>1360</v>
      </c>
      <c r="OC118" t="s">
        <v>1361</v>
      </c>
      <c r="OD118" t="s">
        <v>1362</v>
      </c>
      <c r="OE118">
        <v>299</v>
      </c>
      <c r="OF118" t="s">
        <v>1363</v>
      </c>
      <c r="OG118">
        <v>0.66</v>
      </c>
      <c r="OH118" t="s">
        <v>1364</v>
      </c>
      <c r="OI118">
        <v>72.77</v>
      </c>
      <c r="OJ118">
        <v>0.77</v>
      </c>
      <c r="OK118">
        <v>89.88</v>
      </c>
      <c r="OL118">
        <v>18.48</v>
      </c>
      <c r="OM118">
        <v>89.88</v>
      </c>
      <c r="ON118">
        <v>18.48</v>
      </c>
      <c r="OO118">
        <v>1</v>
      </c>
      <c r="OP118">
        <v>2.0499999999999998</v>
      </c>
      <c r="OQ118">
        <v>5.63</v>
      </c>
      <c r="OR118" t="s">
        <v>1365</v>
      </c>
      <c r="OS118">
        <v>0.98</v>
      </c>
      <c r="OT118">
        <v>82.75</v>
      </c>
      <c r="OU118">
        <v>40.56</v>
      </c>
      <c r="OV118">
        <v>85.94</v>
      </c>
      <c r="OW118">
        <v>46.15</v>
      </c>
      <c r="OX118">
        <v>89.07</v>
      </c>
      <c r="OY118">
        <v>43.47</v>
      </c>
      <c r="OZ118">
        <v>88.26</v>
      </c>
      <c r="PA118">
        <v>46.47</v>
      </c>
      <c r="PB118">
        <v>7.42</v>
      </c>
      <c r="PC118">
        <v>86.5</v>
      </c>
      <c r="PD118">
        <v>38</v>
      </c>
      <c r="PE118">
        <v>25</v>
      </c>
      <c r="PF118">
        <v>3.92</v>
      </c>
      <c r="PG118">
        <v>0.71</v>
      </c>
      <c r="PH118">
        <v>0.32</v>
      </c>
      <c r="QS118" t="s">
        <v>1366</v>
      </c>
      <c r="QV118">
        <v>109.4</v>
      </c>
      <c r="QW118">
        <v>207.5</v>
      </c>
      <c r="QX118">
        <v>108.36</v>
      </c>
      <c r="QZ118" t="s">
        <v>1369</v>
      </c>
      <c r="RA118" t="s">
        <v>1368</v>
      </c>
      <c r="RD118">
        <v>207.5</v>
      </c>
      <c r="RE118">
        <v>1.914913252122554</v>
      </c>
    </row>
    <row r="119" spans="2:473" x14ac:dyDescent="0.3">
      <c r="B119" t="b">
        <v>1</v>
      </c>
      <c r="F119" t="b">
        <v>0</v>
      </c>
      <c r="G119" t="b">
        <v>0</v>
      </c>
      <c r="H119" t="b">
        <v>0</v>
      </c>
      <c r="I119" t="b">
        <v>0</v>
      </c>
      <c r="K119" t="s">
        <v>474</v>
      </c>
      <c r="L119" t="s">
        <v>475</v>
      </c>
      <c r="O119" t="s">
        <v>476</v>
      </c>
      <c r="U119">
        <v>134079.72</v>
      </c>
      <c r="V119">
        <v>414857.17</v>
      </c>
      <c r="W119">
        <v>6.15</v>
      </c>
      <c r="X119" t="s">
        <v>485</v>
      </c>
      <c r="Y119" t="s">
        <v>550</v>
      </c>
      <c r="Z119" s="2">
        <v>45181</v>
      </c>
      <c r="AA119" t="s">
        <v>562</v>
      </c>
      <c r="AB119" t="s">
        <v>635</v>
      </c>
      <c r="AC119" t="s">
        <v>700</v>
      </c>
      <c r="AD119" t="s">
        <v>702</v>
      </c>
      <c r="AE119" t="s">
        <v>711</v>
      </c>
      <c r="AF119">
        <v>0.35</v>
      </c>
      <c r="AH119" t="s">
        <v>718</v>
      </c>
      <c r="AI119" t="s">
        <v>768</v>
      </c>
      <c r="AJ119" t="s">
        <v>774</v>
      </c>
      <c r="AK119">
        <v>-0.55000000000000004</v>
      </c>
      <c r="AL119">
        <v>-0.95</v>
      </c>
      <c r="AM119">
        <v>6.7</v>
      </c>
      <c r="AN119">
        <v>7.1</v>
      </c>
      <c r="AO119">
        <v>17.899999999999999</v>
      </c>
      <c r="AP119" t="s">
        <v>784</v>
      </c>
      <c r="AQ119" t="s">
        <v>788</v>
      </c>
      <c r="AR119" t="s">
        <v>904</v>
      </c>
      <c r="AS119" t="s">
        <v>700</v>
      </c>
      <c r="AT119" t="s">
        <v>993</v>
      </c>
      <c r="AU119" s="2">
        <v>45279</v>
      </c>
      <c r="AV119" t="s">
        <v>1095</v>
      </c>
      <c r="AX119">
        <v>-0.8</v>
      </c>
      <c r="AY119">
        <v>18.7</v>
      </c>
      <c r="AZ119">
        <v>14.2</v>
      </c>
      <c r="BA119">
        <v>31.7</v>
      </c>
      <c r="QZ119" t="s">
        <v>1368</v>
      </c>
      <c r="RA119" t="s">
        <v>1368</v>
      </c>
    </row>
    <row r="120" spans="2:473" x14ac:dyDescent="0.3">
      <c r="B120" t="b">
        <v>1</v>
      </c>
      <c r="F120" t="b">
        <v>1</v>
      </c>
      <c r="G120" t="b">
        <v>0</v>
      </c>
      <c r="H120" t="b">
        <v>0</v>
      </c>
      <c r="I120" t="b">
        <v>1</v>
      </c>
      <c r="K120" t="s">
        <v>474</v>
      </c>
      <c r="L120" t="s">
        <v>475</v>
      </c>
      <c r="O120" t="s">
        <v>476</v>
      </c>
      <c r="U120">
        <v>134079.72</v>
      </c>
      <c r="V120">
        <v>414857.17</v>
      </c>
      <c r="W120">
        <v>6.15</v>
      </c>
      <c r="X120" t="s">
        <v>485</v>
      </c>
      <c r="Y120" t="s">
        <v>550</v>
      </c>
      <c r="Z120" s="2">
        <v>45181</v>
      </c>
      <c r="AA120" t="s">
        <v>562</v>
      </c>
      <c r="AB120" t="s">
        <v>635</v>
      </c>
      <c r="AC120" t="s">
        <v>700</v>
      </c>
      <c r="AD120" t="s">
        <v>702</v>
      </c>
      <c r="AE120" t="s">
        <v>711</v>
      </c>
      <c r="AF120">
        <v>0.35</v>
      </c>
      <c r="AH120" t="s">
        <v>730</v>
      </c>
      <c r="AI120" t="s">
        <v>768</v>
      </c>
      <c r="AJ120" t="s">
        <v>774</v>
      </c>
      <c r="AK120">
        <v>-1.05</v>
      </c>
      <c r="AL120">
        <v>-1.4</v>
      </c>
      <c r="AM120">
        <v>7.2</v>
      </c>
      <c r="AN120">
        <v>7.55</v>
      </c>
      <c r="AO120">
        <v>11.9</v>
      </c>
      <c r="AP120" t="s">
        <v>784</v>
      </c>
      <c r="AQ120" t="s">
        <v>788</v>
      </c>
      <c r="AR120" t="s">
        <v>905</v>
      </c>
      <c r="AS120" t="s">
        <v>700</v>
      </c>
      <c r="AT120" t="s">
        <v>993</v>
      </c>
      <c r="AU120" s="2">
        <v>45279</v>
      </c>
      <c r="AV120" t="s">
        <v>1096</v>
      </c>
      <c r="AX120">
        <v>-1.1499999999999999</v>
      </c>
      <c r="AY120">
        <v>15.5</v>
      </c>
      <c r="AZ120">
        <v>8.6999999999999993</v>
      </c>
      <c r="BA120">
        <v>78.2</v>
      </c>
      <c r="DZ120" t="s">
        <v>1233</v>
      </c>
      <c r="EA120" t="s">
        <v>1248</v>
      </c>
      <c r="EB120" t="s">
        <v>1263</v>
      </c>
      <c r="EC120" t="s">
        <v>1266</v>
      </c>
      <c r="ED120" t="s">
        <v>1267</v>
      </c>
      <c r="EE120" s="2">
        <v>45197</v>
      </c>
      <c r="EF120" t="s">
        <v>1268</v>
      </c>
      <c r="EH120">
        <v>-1.39</v>
      </c>
      <c r="EI120">
        <v>117.1</v>
      </c>
      <c r="EJ120">
        <v>19.04</v>
      </c>
      <c r="EK120">
        <v>15.12</v>
      </c>
      <c r="EL120">
        <v>25.9</v>
      </c>
      <c r="EM120">
        <v>20.78</v>
      </c>
      <c r="EN120">
        <v>94.77</v>
      </c>
      <c r="EO120">
        <v>21.7</v>
      </c>
      <c r="EP120">
        <v>19.8</v>
      </c>
      <c r="EQ120">
        <v>65.44</v>
      </c>
      <c r="ER120">
        <v>18.8</v>
      </c>
      <c r="ES120">
        <v>18.739999999999998</v>
      </c>
      <c r="ET120">
        <v>15.63</v>
      </c>
      <c r="EU120">
        <v>0.5</v>
      </c>
      <c r="EV120">
        <v>-0.2</v>
      </c>
      <c r="EW120">
        <v>16</v>
      </c>
      <c r="EX120">
        <v>685.4</v>
      </c>
      <c r="EY120">
        <v>570.4</v>
      </c>
      <c r="EZ120">
        <v>413.6</v>
      </c>
      <c r="FA120">
        <v>236</v>
      </c>
      <c r="FB120">
        <v>1166</v>
      </c>
      <c r="FC120">
        <v>3.63</v>
      </c>
      <c r="FD120">
        <v>200.2</v>
      </c>
      <c r="FE120">
        <v>4.8899999999999997</v>
      </c>
      <c r="FF120">
        <v>795.9</v>
      </c>
      <c r="FG120">
        <v>4.7000000000000002E-3</v>
      </c>
      <c r="FH120">
        <v>7.7299999999999994E-2</v>
      </c>
      <c r="FI120">
        <v>2.8999999999999998E-3</v>
      </c>
      <c r="NG120" t="s">
        <v>1310</v>
      </c>
      <c r="NH120" t="s">
        <v>1331</v>
      </c>
      <c r="NI120" t="s">
        <v>1352</v>
      </c>
      <c r="NJ120" t="s">
        <v>1266</v>
      </c>
      <c r="NK120" t="s">
        <v>1356</v>
      </c>
      <c r="NL120" s="2">
        <v>45205</v>
      </c>
      <c r="NM120" t="s">
        <v>1268</v>
      </c>
      <c r="NO120">
        <v>-1.1499999999999999</v>
      </c>
      <c r="NP120">
        <v>117.1</v>
      </c>
      <c r="NQ120">
        <v>15.46</v>
      </c>
      <c r="NR120">
        <v>8.67</v>
      </c>
      <c r="NS120">
        <v>71.14</v>
      </c>
      <c r="NT120">
        <v>78.19</v>
      </c>
      <c r="NU120">
        <v>104.49</v>
      </c>
      <c r="NV120">
        <v>1.96</v>
      </c>
      <c r="NW120">
        <v>2613</v>
      </c>
      <c r="NX120">
        <v>21.3</v>
      </c>
      <c r="NY120">
        <v>21.3</v>
      </c>
      <c r="NZ120">
        <v>50</v>
      </c>
      <c r="OA120">
        <v>100</v>
      </c>
      <c r="OB120" t="s">
        <v>1360</v>
      </c>
      <c r="OC120" t="s">
        <v>1361</v>
      </c>
      <c r="OD120" t="s">
        <v>1362</v>
      </c>
      <c r="OE120">
        <v>300</v>
      </c>
      <c r="OF120" t="s">
        <v>1363</v>
      </c>
      <c r="OG120">
        <v>0.62</v>
      </c>
      <c r="OH120" t="s">
        <v>1364</v>
      </c>
      <c r="OI120">
        <v>72.819999999999993</v>
      </c>
      <c r="OJ120">
        <v>0.82</v>
      </c>
      <c r="OK120">
        <v>93.31</v>
      </c>
      <c r="OL120">
        <v>21.94</v>
      </c>
      <c r="OM120">
        <v>93.31</v>
      </c>
      <c r="ON120">
        <v>21.94</v>
      </c>
      <c r="OO120">
        <v>1</v>
      </c>
      <c r="OP120">
        <v>2.5099999999999998</v>
      </c>
      <c r="OQ120">
        <v>5.2</v>
      </c>
      <c r="OR120" t="s">
        <v>1365</v>
      </c>
      <c r="OS120">
        <v>0.97</v>
      </c>
      <c r="OT120">
        <v>84.64</v>
      </c>
      <c r="OU120">
        <v>48.77</v>
      </c>
      <c r="OV120">
        <v>76.84</v>
      </c>
      <c r="OW120">
        <v>48.67</v>
      </c>
      <c r="OX120">
        <v>66.709999999999994</v>
      </c>
      <c r="OY120">
        <v>40.14</v>
      </c>
      <c r="OZ120">
        <v>82.54</v>
      </c>
      <c r="PA120">
        <v>49.97</v>
      </c>
      <c r="PB120">
        <v>2.84</v>
      </c>
      <c r="PC120">
        <v>61.36</v>
      </c>
      <c r="PD120">
        <v>33.29</v>
      </c>
      <c r="PE120">
        <v>25</v>
      </c>
      <c r="PF120">
        <v>9.24</v>
      </c>
      <c r="PG120">
        <v>0.31</v>
      </c>
      <c r="PH120">
        <v>0.39</v>
      </c>
      <c r="QS120" t="s">
        <v>1366</v>
      </c>
      <c r="QV120">
        <v>117.1</v>
      </c>
      <c r="QW120">
        <v>200.2</v>
      </c>
      <c r="QX120">
        <v>115.25</v>
      </c>
      <c r="QZ120" t="s">
        <v>1369</v>
      </c>
      <c r="RA120" t="s">
        <v>1368</v>
      </c>
      <c r="RD120">
        <v>200.2</v>
      </c>
      <c r="RE120">
        <v>1.737093275488069</v>
      </c>
    </row>
    <row r="121" spans="2:473" x14ac:dyDescent="0.3">
      <c r="B121" t="b">
        <v>1</v>
      </c>
      <c r="F121" t="b">
        <v>0</v>
      </c>
      <c r="G121" t="b">
        <v>0</v>
      </c>
      <c r="H121" t="b">
        <v>0</v>
      </c>
      <c r="I121" t="b">
        <v>0</v>
      </c>
      <c r="K121" t="s">
        <v>474</v>
      </c>
      <c r="L121" t="s">
        <v>475</v>
      </c>
      <c r="O121" t="s">
        <v>476</v>
      </c>
      <c r="U121">
        <v>134079.72</v>
      </c>
      <c r="V121">
        <v>414857.17</v>
      </c>
      <c r="W121">
        <v>6.15</v>
      </c>
      <c r="X121" t="s">
        <v>485</v>
      </c>
      <c r="Y121" t="s">
        <v>550</v>
      </c>
      <c r="Z121" s="2">
        <v>45181</v>
      </c>
      <c r="AA121" t="s">
        <v>562</v>
      </c>
      <c r="AB121" t="s">
        <v>635</v>
      </c>
      <c r="AC121" t="s">
        <v>700</v>
      </c>
      <c r="AD121" t="s">
        <v>702</v>
      </c>
      <c r="AE121" t="s">
        <v>711</v>
      </c>
      <c r="AF121">
        <v>0.35</v>
      </c>
      <c r="AH121" t="s">
        <v>740</v>
      </c>
      <c r="AI121" t="s">
        <v>768</v>
      </c>
      <c r="AJ121" t="s">
        <v>774</v>
      </c>
      <c r="AK121">
        <v>-1.55</v>
      </c>
      <c r="AL121">
        <v>-1.73</v>
      </c>
      <c r="AM121">
        <v>7.7</v>
      </c>
      <c r="AN121">
        <v>7.88</v>
      </c>
      <c r="AO121">
        <v>15.1</v>
      </c>
      <c r="AP121" t="s">
        <v>784</v>
      </c>
      <c r="AQ121" t="s">
        <v>788</v>
      </c>
      <c r="AR121" t="s">
        <v>906</v>
      </c>
      <c r="AS121" t="s">
        <v>700</v>
      </c>
      <c r="AT121" t="s">
        <v>993</v>
      </c>
      <c r="AU121" s="2">
        <v>45279</v>
      </c>
      <c r="AV121" t="s">
        <v>1096</v>
      </c>
      <c r="AX121">
        <v>-1.6</v>
      </c>
      <c r="AY121">
        <v>17.2</v>
      </c>
      <c r="AZ121">
        <v>12.4</v>
      </c>
      <c r="BA121">
        <v>39.200000000000003</v>
      </c>
      <c r="QZ121" t="s">
        <v>1368</v>
      </c>
      <c r="RA121" t="s">
        <v>1368</v>
      </c>
    </row>
    <row r="122" spans="2:473" x14ac:dyDescent="0.3">
      <c r="B122" t="b">
        <v>1</v>
      </c>
      <c r="F122" t="b">
        <v>0</v>
      </c>
      <c r="G122" t="b">
        <v>0</v>
      </c>
      <c r="H122" t="b">
        <v>0</v>
      </c>
      <c r="I122" t="b">
        <v>0</v>
      </c>
      <c r="K122" t="s">
        <v>474</v>
      </c>
      <c r="L122" t="s">
        <v>475</v>
      </c>
      <c r="O122" t="s">
        <v>476</v>
      </c>
      <c r="U122">
        <v>134079.72</v>
      </c>
      <c r="V122">
        <v>414857.17</v>
      </c>
      <c r="W122">
        <v>6.15</v>
      </c>
      <c r="X122" t="s">
        <v>485</v>
      </c>
      <c r="Y122" t="s">
        <v>550</v>
      </c>
      <c r="Z122" s="2">
        <v>45181</v>
      </c>
      <c r="AA122" t="s">
        <v>562</v>
      </c>
      <c r="AB122" t="s">
        <v>635</v>
      </c>
      <c r="AC122" t="s">
        <v>700</v>
      </c>
      <c r="AD122" t="s">
        <v>702</v>
      </c>
      <c r="AE122" t="s">
        <v>711</v>
      </c>
      <c r="AF122">
        <v>0.35</v>
      </c>
      <c r="AH122" t="s">
        <v>741</v>
      </c>
      <c r="AI122" t="s">
        <v>768</v>
      </c>
      <c r="AJ122" t="s">
        <v>774</v>
      </c>
      <c r="AK122">
        <v>-1.73</v>
      </c>
      <c r="AL122">
        <v>-1.88</v>
      </c>
      <c r="AM122">
        <v>7.88</v>
      </c>
      <c r="AN122">
        <v>8.0299999999999994</v>
      </c>
      <c r="AP122" t="s">
        <v>784</v>
      </c>
      <c r="AQ122" t="s">
        <v>788</v>
      </c>
      <c r="AR122" t="s">
        <v>907</v>
      </c>
      <c r="AS122" t="s">
        <v>700</v>
      </c>
      <c r="AT122" t="s">
        <v>993</v>
      </c>
      <c r="AU122" s="2">
        <v>45279</v>
      </c>
      <c r="AV122" t="s">
        <v>1097</v>
      </c>
      <c r="AX122">
        <v>-1.81</v>
      </c>
      <c r="QZ122" t="s">
        <v>1368</v>
      </c>
      <c r="RA122" t="s">
        <v>1368</v>
      </c>
    </row>
    <row r="123" spans="2:473" x14ac:dyDescent="0.3">
      <c r="B123" t="b">
        <v>1</v>
      </c>
      <c r="F123" t="b">
        <v>0</v>
      </c>
      <c r="G123" t="b">
        <v>0</v>
      </c>
      <c r="H123" t="b">
        <v>0</v>
      </c>
      <c r="I123" t="b">
        <v>0</v>
      </c>
      <c r="K123" t="s">
        <v>474</v>
      </c>
      <c r="L123" t="s">
        <v>475</v>
      </c>
      <c r="O123" t="s">
        <v>476</v>
      </c>
      <c r="U123">
        <v>134079.72</v>
      </c>
      <c r="V123">
        <v>414857.17</v>
      </c>
      <c r="W123">
        <v>6.15</v>
      </c>
      <c r="X123" t="s">
        <v>485</v>
      </c>
      <c r="Y123" t="s">
        <v>550</v>
      </c>
      <c r="Z123" s="2">
        <v>45181</v>
      </c>
      <c r="AA123" t="s">
        <v>562</v>
      </c>
      <c r="AB123" t="s">
        <v>635</v>
      </c>
      <c r="AC123" t="s">
        <v>700</v>
      </c>
      <c r="AD123" t="s">
        <v>702</v>
      </c>
      <c r="AE123" t="s">
        <v>711</v>
      </c>
      <c r="AF123">
        <v>0.35</v>
      </c>
      <c r="AH123" t="s">
        <v>732</v>
      </c>
      <c r="AI123" t="s">
        <v>768</v>
      </c>
      <c r="AJ123" t="s">
        <v>774</v>
      </c>
      <c r="AK123">
        <v>-2.0499999999999998</v>
      </c>
      <c r="AL123">
        <v>-2.35</v>
      </c>
      <c r="AM123">
        <v>8.1999999999999993</v>
      </c>
      <c r="AN123">
        <v>8.5</v>
      </c>
      <c r="AO123">
        <v>6.6</v>
      </c>
      <c r="AP123" t="s">
        <v>784</v>
      </c>
      <c r="AQ123" t="s">
        <v>788</v>
      </c>
      <c r="AR123" t="s">
        <v>908</v>
      </c>
      <c r="AS123" t="s">
        <v>700</v>
      </c>
      <c r="AT123" t="s">
        <v>993</v>
      </c>
      <c r="AU123" s="2">
        <v>45279</v>
      </c>
      <c r="AV123" t="s">
        <v>1098</v>
      </c>
      <c r="AX123">
        <v>-2.2000000000000002</v>
      </c>
      <c r="QZ123" t="s">
        <v>1368</v>
      </c>
      <c r="RA123" t="s">
        <v>1368</v>
      </c>
    </row>
    <row r="124" spans="2:473" x14ac:dyDescent="0.3">
      <c r="B124" t="b">
        <v>1</v>
      </c>
      <c r="F124" t="b">
        <v>0</v>
      </c>
      <c r="G124" t="b">
        <v>0</v>
      </c>
      <c r="H124" t="b">
        <v>0</v>
      </c>
      <c r="I124" t="b">
        <v>0</v>
      </c>
      <c r="K124" t="s">
        <v>474</v>
      </c>
      <c r="L124" t="s">
        <v>475</v>
      </c>
      <c r="O124" t="s">
        <v>476</v>
      </c>
      <c r="U124">
        <v>134079.72</v>
      </c>
      <c r="V124">
        <v>414857.17</v>
      </c>
      <c r="W124">
        <v>6.15</v>
      </c>
      <c r="X124" t="s">
        <v>485</v>
      </c>
      <c r="Y124" t="s">
        <v>550</v>
      </c>
      <c r="Z124" s="2">
        <v>45181</v>
      </c>
      <c r="AA124" t="s">
        <v>562</v>
      </c>
      <c r="AB124" t="s">
        <v>635</v>
      </c>
      <c r="AC124" t="s">
        <v>700</v>
      </c>
      <c r="AD124" t="s">
        <v>702</v>
      </c>
      <c r="AE124" t="s">
        <v>711</v>
      </c>
      <c r="AF124">
        <v>0.35</v>
      </c>
      <c r="AH124" t="s">
        <v>750</v>
      </c>
      <c r="AI124" t="s">
        <v>768</v>
      </c>
      <c r="AJ124" t="s">
        <v>774</v>
      </c>
      <c r="AK124">
        <v>-7.55</v>
      </c>
      <c r="AL124">
        <v>-7.95</v>
      </c>
      <c r="AM124">
        <v>13.7</v>
      </c>
      <c r="AN124">
        <v>14.1</v>
      </c>
      <c r="AO124">
        <v>19.600000000000001</v>
      </c>
      <c r="AP124" t="s">
        <v>784</v>
      </c>
      <c r="AQ124" t="s">
        <v>788</v>
      </c>
      <c r="AR124" t="s">
        <v>909</v>
      </c>
      <c r="AS124" t="s">
        <v>700</v>
      </c>
      <c r="AT124" t="s">
        <v>993</v>
      </c>
      <c r="AU124" s="2">
        <v>45279</v>
      </c>
      <c r="AV124" t="s">
        <v>1099</v>
      </c>
      <c r="AX124">
        <v>-7.75</v>
      </c>
      <c r="CD124" t="s">
        <v>1163</v>
      </c>
      <c r="CE124" t="s">
        <v>788</v>
      </c>
      <c r="CF124" t="s">
        <v>909</v>
      </c>
      <c r="CG124" t="s">
        <v>700</v>
      </c>
      <c r="CH124" t="s">
        <v>1211</v>
      </c>
      <c r="CI124" s="2">
        <v>45212</v>
      </c>
      <c r="CJ124" t="s">
        <v>1213</v>
      </c>
      <c r="CK124" t="s">
        <v>1220</v>
      </c>
      <c r="CL124">
        <v>249</v>
      </c>
      <c r="CM124">
        <v>235</v>
      </c>
      <c r="CN124">
        <v>0.15</v>
      </c>
      <c r="CO124">
        <v>88.43</v>
      </c>
      <c r="CP124">
        <v>8.51</v>
      </c>
      <c r="CQ124">
        <v>100</v>
      </c>
      <c r="CR124">
        <v>100</v>
      </c>
      <c r="CS124">
        <v>100</v>
      </c>
      <c r="CT124">
        <v>99.99</v>
      </c>
      <c r="CU124">
        <v>99.92</v>
      </c>
      <c r="CV124">
        <v>99.85</v>
      </c>
      <c r="CW124">
        <v>99.69</v>
      </c>
      <c r="CX124">
        <v>97.77</v>
      </c>
      <c r="CY124">
        <v>55.94</v>
      </c>
      <c r="CZ124">
        <v>27.46</v>
      </c>
      <c r="DA124">
        <v>15.33</v>
      </c>
      <c r="DB124">
        <v>11.41</v>
      </c>
      <c r="DC124">
        <v>5.7</v>
      </c>
      <c r="DD124">
        <v>4.68</v>
      </c>
      <c r="DE124">
        <v>4.2</v>
      </c>
      <c r="DF124">
        <v>2.9</v>
      </c>
      <c r="DG124">
        <v>304</v>
      </c>
      <c r="DH124">
        <v>276</v>
      </c>
      <c r="DI124">
        <v>249</v>
      </c>
      <c r="DJ124">
        <v>147</v>
      </c>
      <c r="DK124">
        <v>1.88</v>
      </c>
      <c r="QZ124" t="s">
        <v>1368</v>
      </c>
      <c r="RA124" t="s">
        <v>1368</v>
      </c>
    </row>
    <row r="125" spans="2:473" x14ac:dyDescent="0.3">
      <c r="B125" t="b">
        <v>1</v>
      </c>
      <c r="F125" t="b">
        <v>0</v>
      </c>
      <c r="G125" t="b">
        <v>0</v>
      </c>
      <c r="H125" t="b">
        <v>0</v>
      </c>
      <c r="I125" t="b">
        <v>0</v>
      </c>
      <c r="K125" t="s">
        <v>474</v>
      </c>
      <c r="L125" t="s">
        <v>475</v>
      </c>
      <c r="O125" t="s">
        <v>476</v>
      </c>
      <c r="U125">
        <v>134079.72</v>
      </c>
      <c r="V125">
        <v>414857.17</v>
      </c>
      <c r="W125">
        <v>6.15</v>
      </c>
      <c r="X125" t="s">
        <v>485</v>
      </c>
      <c r="Y125" t="s">
        <v>550</v>
      </c>
      <c r="Z125" s="2">
        <v>45181</v>
      </c>
      <c r="AA125" t="s">
        <v>562</v>
      </c>
      <c r="AB125" t="s">
        <v>635</v>
      </c>
      <c r="AC125" t="s">
        <v>700</v>
      </c>
      <c r="AD125" t="s">
        <v>702</v>
      </c>
      <c r="AE125" t="s">
        <v>711</v>
      </c>
      <c r="AF125">
        <v>0.35</v>
      </c>
      <c r="AH125" t="s">
        <v>751</v>
      </c>
      <c r="AI125" t="s">
        <v>768</v>
      </c>
      <c r="AJ125" t="s">
        <v>774</v>
      </c>
      <c r="AK125">
        <v>-7.66</v>
      </c>
      <c r="AL125">
        <v>-7.7</v>
      </c>
      <c r="AM125">
        <v>13.81</v>
      </c>
      <c r="AN125">
        <v>13.85</v>
      </c>
      <c r="BH125">
        <v>2.2999999999999998</v>
      </c>
      <c r="BL125">
        <v>1.475342733569413E-6</v>
      </c>
      <c r="QZ125" t="s">
        <v>1368</v>
      </c>
      <c r="RA125" t="s">
        <v>1368</v>
      </c>
    </row>
    <row r="126" spans="2:473" x14ac:dyDescent="0.3">
      <c r="B126" t="b">
        <v>1</v>
      </c>
      <c r="F126" t="b">
        <v>0</v>
      </c>
      <c r="G126" t="b">
        <v>0</v>
      </c>
      <c r="H126" t="b">
        <v>0</v>
      </c>
      <c r="I126" t="b">
        <v>0</v>
      </c>
      <c r="K126" t="s">
        <v>474</v>
      </c>
      <c r="L126" t="s">
        <v>475</v>
      </c>
      <c r="O126" t="s">
        <v>476</v>
      </c>
      <c r="U126">
        <v>134079.72</v>
      </c>
      <c r="V126">
        <v>414857.17</v>
      </c>
      <c r="W126">
        <v>6.15</v>
      </c>
      <c r="X126" t="s">
        <v>485</v>
      </c>
      <c r="Y126" t="s">
        <v>550</v>
      </c>
      <c r="Z126" s="2">
        <v>45181</v>
      </c>
      <c r="AA126" t="s">
        <v>562</v>
      </c>
      <c r="AB126" t="s">
        <v>635</v>
      </c>
      <c r="AC126" t="s">
        <v>700</v>
      </c>
      <c r="AD126" t="s">
        <v>702</v>
      </c>
      <c r="AE126" t="s">
        <v>711</v>
      </c>
      <c r="AF126">
        <v>0.35</v>
      </c>
      <c r="AH126" t="s">
        <v>752</v>
      </c>
      <c r="AI126" t="s">
        <v>768</v>
      </c>
      <c r="AJ126" t="s">
        <v>774</v>
      </c>
      <c r="AK126">
        <v>-7.7</v>
      </c>
      <c r="AL126">
        <v>-7.75</v>
      </c>
      <c r="AM126">
        <v>13.85</v>
      </c>
      <c r="AN126">
        <v>13.9</v>
      </c>
      <c r="BH126">
        <v>2.6</v>
      </c>
      <c r="BL126">
        <v>7.5028333016860983E-6</v>
      </c>
      <c r="QZ126" t="s">
        <v>1368</v>
      </c>
      <c r="RA126" t="s">
        <v>1368</v>
      </c>
    </row>
    <row r="127" spans="2:473" x14ac:dyDescent="0.3">
      <c r="B127" t="b">
        <v>1</v>
      </c>
      <c r="F127" t="b">
        <v>0</v>
      </c>
      <c r="G127" t="b">
        <v>0</v>
      </c>
      <c r="H127" t="b">
        <v>0</v>
      </c>
      <c r="I127" t="b">
        <v>0</v>
      </c>
      <c r="K127" t="s">
        <v>474</v>
      </c>
      <c r="L127" t="s">
        <v>475</v>
      </c>
      <c r="O127" t="s">
        <v>476</v>
      </c>
      <c r="U127">
        <v>134079.72</v>
      </c>
      <c r="V127">
        <v>414857.17</v>
      </c>
      <c r="W127">
        <v>6.15</v>
      </c>
      <c r="X127" t="s">
        <v>485</v>
      </c>
      <c r="Y127" t="s">
        <v>550</v>
      </c>
      <c r="Z127" s="2">
        <v>45181</v>
      </c>
      <c r="AA127" t="s">
        <v>562</v>
      </c>
      <c r="AB127" t="s">
        <v>635</v>
      </c>
      <c r="AC127" t="s">
        <v>700</v>
      </c>
      <c r="AD127" t="s">
        <v>702</v>
      </c>
      <c r="AE127" t="s">
        <v>711</v>
      </c>
      <c r="AF127">
        <v>0.35</v>
      </c>
      <c r="AH127" t="s">
        <v>753</v>
      </c>
      <c r="AI127" t="s">
        <v>768</v>
      </c>
      <c r="AJ127" t="s">
        <v>774</v>
      </c>
      <c r="AK127">
        <v>-8.0500000000000007</v>
      </c>
      <c r="AL127">
        <v>-8.25</v>
      </c>
      <c r="AM127">
        <v>14.2</v>
      </c>
      <c r="AN127">
        <v>14.4</v>
      </c>
      <c r="AO127">
        <v>12.5</v>
      </c>
      <c r="AP127" t="s">
        <v>784</v>
      </c>
      <c r="AQ127" t="s">
        <v>788</v>
      </c>
      <c r="AR127" t="s">
        <v>910</v>
      </c>
      <c r="AS127" t="s">
        <v>700</v>
      </c>
      <c r="AT127" t="s">
        <v>993</v>
      </c>
      <c r="AU127" s="2">
        <v>45279</v>
      </c>
      <c r="AV127" t="s">
        <v>1100</v>
      </c>
      <c r="AX127">
        <v>-8.15</v>
      </c>
      <c r="AY127">
        <v>18.2</v>
      </c>
      <c r="AZ127">
        <v>13.8</v>
      </c>
      <c r="BA127">
        <v>32.1</v>
      </c>
      <c r="QZ127" t="s">
        <v>1368</v>
      </c>
      <c r="RA127" t="s">
        <v>1368</v>
      </c>
    </row>
    <row r="128" spans="2:473" x14ac:dyDescent="0.3">
      <c r="B128" t="b">
        <v>1</v>
      </c>
      <c r="F128" t="b">
        <v>0</v>
      </c>
      <c r="G128" t="b">
        <v>0</v>
      </c>
      <c r="H128" t="b">
        <v>0</v>
      </c>
      <c r="I128" t="b">
        <v>0</v>
      </c>
      <c r="K128" t="s">
        <v>474</v>
      </c>
      <c r="L128" t="s">
        <v>475</v>
      </c>
      <c r="O128" t="s">
        <v>476</v>
      </c>
      <c r="U128">
        <v>134079.72</v>
      </c>
      <c r="V128">
        <v>414857.17</v>
      </c>
      <c r="W128">
        <v>6.15</v>
      </c>
      <c r="X128" t="s">
        <v>485</v>
      </c>
      <c r="Y128" t="s">
        <v>550</v>
      </c>
      <c r="Z128" s="2">
        <v>45181</v>
      </c>
      <c r="AA128" t="s">
        <v>562</v>
      </c>
      <c r="AB128" t="s">
        <v>635</v>
      </c>
      <c r="AC128" t="s">
        <v>700</v>
      </c>
      <c r="AD128" t="s">
        <v>702</v>
      </c>
      <c r="AE128" t="s">
        <v>711</v>
      </c>
      <c r="AF128">
        <v>0.35</v>
      </c>
      <c r="AH128" t="s">
        <v>754</v>
      </c>
      <c r="AI128" t="s">
        <v>768</v>
      </c>
      <c r="AJ128" t="s">
        <v>774</v>
      </c>
      <c r="AK128">
        <v>-8.25</v>
      </c>
      <c r="AL128">
        <v>-8.4499999999999993</v>
      </c>
      <c r="AM128">
        <v>14.4</v>
      </c>
      <c r="AN128">
        <v>14.6</v>
      </c>
      <c r="AP128" t="s">
        <v>784</v>
      </c>
      <c r="AQ128" t="s">
        <v>788</v>
      </c>
      <c r="AR128" t="s">
        <v>911</v>
      </c>
      <c r="AS128" t="s">
        <v>700</v>
      </c>
      <c r="AT128" t="s">
        <v>993</v>
      </c>
      <c r="AU128" s="2">
        <v>45279</v>
      </c>
      <c r="AV128" t="s">
        <v>1101</v>
      </c>
      <c r="AX128">
        <v>-8.35</v>
      </c>
      <c r="QZ128" t="s">
        <v>1368</v>
      </c>
      <c r="RA128" t="s">
        <v>1368</v>
      </c>
    </row>
    <row r="129" spans="2:473" x14ac:dyDescent="0.3">
      <c r="B129" t="b">
        <v>1</v>
      </c>
      <c r="F129" t="b">
        <v>0</v>
      </c>
      <c r="G129" t="b">
        <v>0</v>
      </c>
      <c r="H129" t="b">
        <v>0</v>
      </c>
      <c r="I129" t="b">
        <v>0</v>
      </c>
      <c r="K129" t="s">
        <v>474</v>
      </c>
      <c r="L129" t="s">
        <v>475</v>
      </c>
      <c r="O129" t="s">
        <v>476</v>
      </c>
      <c r="U129">
        <v>134079.72</v>
      </c>
      <c r="V129">
        <v>414857.17</v>
      </c>
      <c r="W129">
        <v>6.15</v>
      </c>
      <c r="X129" t="s">
        <v>485</v>
      </c>
      <c r="Y129" t="s">
        <v>550</v>
      </c>
      <c r="Z129" s="2">
        <v>45181</v>
      </c>
      <c r="AA129" t="s">
        <v>562</v>
      </c>
      <c r="AB129" t="s">
        <v>635</v>
      </c>
      <c r="AC129" t="s">
        <v>700</v>
      </c>
      <c r="AD129" t="s">
        <v>702</v>
      </c>
      <c r="AE129" t="s">
        <v>711</v>
      </c>
      <c r="AF129">
        <v>0.35</v>
      </c>
      <c r="AH129" t="s">
        <v>755</v>
      </c>
      <c r="AI129" t="s">
        <v>768</v>
      </c>
      <c r="AJ129" t="s">
        <v>774</v>
      </c>
      <c r="AK129">
        <v>-8.5500000000000007</v>
      </c>
      <c r="AL129">
        <v>-8.8000000000000007</v>
      </c>
      <c r="AM129">
        <v>14.7</v>
      </c>
      <c r="AN129">
        <v>14.95</v>
      </c>
      <c r="AO129">
        <v>13.5</v>
      </c>
      <c r="AP129" t="s">
        <v>784</v>
      </c>
      <c r="AQ129" t="s">
        <v>788</v>
      </c>
      <c r="AR129" t="s">
        <v>912</v>
      </c>
      <c r="AS129" t="s">
        <v>700</v>
      </c>
      <c r="AT129" t="s">
        <v>993</v>
      </c>
      <c r="AU129" s="2">
        <v>45279</v>
      </c>
      <c r="AV129" t="s">
        <v>1102</v>
      </c>
      <c r="AX129">
        <v>-8.68</v>
      </c>
      <c r="QZ129" t="s">
        <v>1368</v>
      </c>
      <c r="RA129" t="s">
        <v>1368</v>
      </c>
    </row>
    <row r="130" spans="2:473" x14ac:dyDescent="0.3">
      <c r="B130" t="b">
        <v>1</v>
      </c>
      <c r="F130" t="b">
        <v>0</v>
      </c>
      <c r="G130" t="b">
        <v>0</v>
      </c>
      <c r="H130" t="b">
        <v>0</v>
      </c>
      <c r="I130" t="b">
        <v>0</v>
      </c>
      <c r="K130" t="s">
        <v>474</v>
      </c>
      <c r="L130" t="s">
        <v>475</v>
      </c>
      <c r="O130" t="s">
        <v>476</v>
      </c>
      <c r="U130">
        <v>134079.72</v>
      </c>
      <c r="V130">
        <v>414857.17</v>
      </c>
      <c r="W130">
        <v>6.15</v>
      </c>
      <c r="X130" t="s">
        <v>485</v>
      </c>
      <c r="Y130" t="s">
        <v>550</v>
      </c>
      <c r="Z130" s="2">
        <v>45181</v>
      </c>
      <c r="AA130" t="s">
        <v>562</v>
      </c>
      <c r="AB130" t="s">
        <v>635</v>
      </c>
      <c r="AC130" t="s">
        <v>700</v>
      </c>
      <c r="AD130" t="s">
        <v>702</v>
      </c>
      <c r="AE130" t="s">
        <v>711</v>
      </c>
      <c r="AF130">
        <v>0.35</v>
      </c>
      <c r="AH130" t="s">
        <v>756</v>
      </c>
      <c r="AI130" t="s">
        <v>768</v>
      </c>
      <c r="AJ130" t="s">
        <v>774</v>
      </c>
      <c r="AK130">
        <v>-9.0500000000000007</v>
      </c>
      <c r="AL130">
        <v>-9.36</v>
      </c>
      <c r="AM130">
        <v>15.2</v>
      </c>
      <c r="AN130">
        <v>15.51</v>
      </c>
      <c r="AO130">
        <v>16.899999999999999</v>
      </c>
      <c r="AP130" t="s">
        <v>784</v>
      </c>
      <c r="AQ130" t="s">
        <v>788</v>
      </c>
      <c r="AR130" t="s">
        <v>913</v>
      </c>
      <c r="AS130" t="s">
        <v>700</v>
      </c>
      <c r="AT130" t="s">
        <v>993</v>
      </c>
      <c r="AU130" s="2">
        <v>45279</v>
      </c>
      <c r="AV130" t="s">
        <v>1103</v>
      </c>
      <c r="AX130">
        <v>-9.2100000000000009</v>
      </c>
      <c r="QZ130" t="s">
        <v>1368</v>
      </c>
      <c r="RA130" t="s">
        <v>1368</v>
      </c>
    </row>
    <row r="131" spans="2:473" x14ac:dyDescent="0.3">
      <c r="B131" t="b">
        <v>1</v>
      </c>
      <c r="F131" t="b">
        <v>0</v>
      </c>
      <c r="G131" t="b">
        <v>0</v>
      </c>
      <c r="H131" t="b">
        <v>0</v>
      </c>
      <c r="I131" t="b">
        <v>1</v>
      </c>
      <c r="K131" t="s">
        <v>474</v>
      </c>
      <c r="L131" t="s">
        <v>475</v>
      </c>
      <c r="O131" t="s">
        <v>476</v>
      </c>
      <c r="U131">
        <v>133861.85999999999</v>
      </c>
      <c r="V131">
        <v>414580.28</v>
      </c>
      <c r="W131">
        <v>6.31</v>
      </c>
      <c r="X131" t="s">
        <v>486</v>
      </c>
      <c r="Y131" t="s">
        <v>550</v>
      </c>
      <c r="Z131" s="2">
        <v>45169</v>
      </c>
      <c r="AA131" t="s">
        <v>563</v>
      </c>
      <c r="AB131" t="s">
        <v>636</v>
      </c>
      <c r="AC131" t="s">
        <v>700</v>
      </c>
      <c r="AD131" t="s">
        <v>701</v>
      </c>
      <c r="AE131" t="s">
        <v>711</v>
      </c>
      <c r="AF131">
        <v>0.51</v>
      </c>
      <c r="AH131" t="s">
        <v>712</v>
      </c>
      <c r="AI131" t="s">
        <v>768</v>
      </c>
      <c r="AJ131" t="s">
        <v>774</v>
      </c>
      <c r="AK131">
        <v>5.71</v>
      </c>
      <c r="AL131">
        <v>5.31</v>
      </c>
      <c r="AM131">
        <v>0.6</v>
      </c>
      <c r="AN131">
        <v>1</v>
      </c>
      <c r="AP131" t="s">
        <v>785</v>
      </c>
      <c r="AQ131" t="s">
        <v>788</v>
      </c>
      <c r="AR131" t="s">
        <v>914</v>
      </c>
      <c r="AS131" t="s">
        <v>700</v>
      </c>
      <c r="AT131" t="s">
        <v>993</v>
      </c>
      <c r="AU131" s="2">
        <v>45279</v>
      </c>
      <c r="AV131" t="s">
        <v>1104</v>
      </c>
      <c r="AX131">
        <v>5.61</v>
      </c>
      <c r="AY131">
        <v>14.2</v>
      </c>
      <c r="AZ131">
        <v>7.1</v>
      </c>
      <c r="BA131">
        <v>100</v>
      </c>
      <c r="NG131" t="s">
        <v>1311</v>
      </c>
      <c r="NH131" t="s">
        <v>1332</v>
      </c>
      <c r="NI131" t="s">
        <v>1353</v>
      </c>
      <c r="NJ131" t="s">
        <v>1266</v>
      </c>
      <c r="NK131" t="s">
        <v>1356</v>
      </c>
      <c r="NL131" s="2">
        <v>45189</v>
      </c>
      <c r="NM131" t="s">
        <v>1268</v>
      </c>
      <c r="NO131">
        <v>5.61</v>
      </c>
      <c r="NP131">
        <v>69.7</v>
      </c>
      <c r="NQ131">
        <v>14.16</v>
      </c>
      <c r="NR131">
        <v>7.08</v>
      </c>
      <c r="NS131">
        <v>96.13</v>
      </c>
      <c r="NT131">
        <v>100</v>
      </c>
      <c r="NU131">
        <v>104.37</v>
      </c>
      <c r="NV131">
        <v>2.2400000000000002</v>
      </c>
      <c r="NW131">
        <v>2339</v>
      </c>
      <c r="NX131">
        <v>21.3</v>
      </c>
      <c r="NY131">
        <v>21.3</v>
      </c>
      <c r="NZ131">
        <v>50</v>
      </c>
      <c r="OA131">
        <v>100</v>
      </c>
      <c r="OB131" t="s">
        <v>1360</v>
      </c>
      <c r="OC131" t="s">
        <v>1361</v>
      </c>
      <c r="OD131" t="s">
        <v>1362</v>
      </c>
      <c r="OE131">
        <v>300</v>
      </c>
      <c r="OF131" t="s">
        <v>1363</v>
      </c>
      <c r="OG131">
        <v>0.93</v>
      </c>
      <c r="OH131" t="s">
        <v>1364</v>
      </c>
      <c r="OI131">
        <v>63.82</v>
      </c>
      <c r="OJ131">
        <v>0.82</v>
      </c>
      <c r="OK131">
        <v>64.739999999999995</v>
      </c>
      <c r="OL131">
        <v>2.97</v>
      </c>
      <c r="OM131">
        <v>64.739999999999995</v>
      </c>
      <c r="ON131">
        <v>2.97</v>
      </c>
      <c r="OO131">
        <v>1</v>
      </c>
      <c r="OP131">
        <v>4.04</v>
      </c>
      <c r="OQ131">
        <v>11.78</v>
      </c>
      <c r="OR131" t="s">
        <v>1365</v>
      </c>
      <c r="OS131">
        <v>0.94</v>
      </c>
      <c r="OT131">
        <v>60.03</v>
      </c>
      <c r="OU131">
        <v>25.86</v>
      </c>
      <c r="OV131">
        <v>57.66</v>
      </c>
      <c r="OW131">
        <v>32.89</v>
      </c>
      <c r="OX131">
        <v>65.02</v>
      </c>
      <c r="OY131">
        <v>48.95</v>
      </c>
      <c r="OZ131">
        <v>66.489999999999995</v>
      </c>
      <c r="PA131">
        <v>51.82</v>
      </c>
      <c r="PB131">
        <v>19.2</v>
      </c>
      <c r="PC131">
        <v>63.92</v>
      </c>
      <c r="PD131">
        <v>47.25</v>
      </c>
      <c r="PE131">
        <v>25</v>
      </c>
      <c r="PF131">
        <v>1.93</v>
      </c>
      <c r="PG131">
        <v>2.52</v>
      </c>
      <c r="PH131">
        <v>0.45</v>
      </c>
      <c r="QS131" t="s">
        <v>1366</v>
      </c>
      <c r="QV131">
        <v>69.7</v>
      </c>
      <c r="QX131">
        <v>67.709999999999994</v>
      </c>
      <c r="QZ131" t="s">
        <v>1369</v>
      </c>
      <c r="RA131" t="s">
        <v>1368</v>
      </c>
      <c r="RD131">
        <v>67.709999999999994</v>
      </c>
      <c r="RE131">
        <v>1</v>
      </c>
    </row>
    <row r="132" spans="2:473" x14ac:dyDescent="0.3">
      <c r="B132" t="b">
        <v>1</v>
      </c>
      <c r="F132" t="b">
        <v>0</v>
      </c>
      <c r="G132" t="b">
        <v>0</v>
      </c>
      <c r="H132" t="b">
        <v>0</v>
      </c>
      <c r="I132" t="b">
        <v>0</v>
      </c>
      <c r="K132" t="s">
        <v>474</v>
      </c>
      <c r="L132" t="s">
        <v>475</v>
      </c>
      <c r="O132" t="s">
        <v>476</v>
      </c>
      <c r="U132">
        <v>133861.85999999999</v>
      </c>
      <c r="V132">
        <v>414580.28</v>
      </c>
      <c r="W132">
        <v>6.31</v>
      </c>
      <c r="X132" t="s">
        <v>486</v>
      </c>
      <c r="Y132" t="s">
        <v>550</v>
      </c>
      <c r="Z132" s="2">
        <v>45169</v>
      </c>
      <c r="AA132" t="s">
        <v>563</v>
      </c>
      <c r="AB132" t="s">
        <v>636</v>
      </c>
      <c r="AC132" t="s">
        <v>700</v>
      </c>
      <c r="AD132" t="s">
        <v>701</v>
      </c>
      <c r="AE132" t="s">
        <v>711</v>
      </c>
      <c r="AF132">
        <v>0.51</v>
      </c>
      <c r="AH132" t="s">
        <v>713</v>
      </c>
      <c r="AI132" t="s">
        <v>768</v>
      </c>
      <c r="AJ132" t="s">
        <v>774</v>
      </c>
      <c r="AK132">
        <v>4.71</v>
      </c>
      <c r="AL132">
        <v>4.3099999999999996</v>
      </c>
      <c r="AM132">
        <v>1.6</v>
      </c>
      <c r="AN132">
        <v>2</v>
      </c>
      <c r="AP132" t="s">
        <v>785</v>
      </c>
      <c r="AQ132" t="s">
        <v>788</v>
      </c>
      <c r="AR132" t="s">
        <v>915</v>
      </c>
      <c r="AS132" t="s">
        <v>700</v>
      </c>
      <c r="AT132" t="s">
        <v>993</v>
      </c>
      <c r="AU132" s="2">
        <v>45279</v>
      </c>
      <c r="AV132" t="s">
        <v>1105</v>
      </c>
      <c r="AX132">
        <v>4.51</v>
      </c>
      <c r="QZ132" t="s">
        <v>1368</v>
      </c>
      <c r="RA132" t="s">
        <v>1368</v>
      </c>
    </row>
    <row r="133" spans="2:473" x14ac:dyDescent="0.3">
      <c r="B133" t="b">
        <v>1</v>
      </c>
      <c r="F133" t="b">
        <v>0</v>
      </c>
      <c r="G133" t="b">
        <v>0</v>
      </c>
      <c r="H133" t="b">
        <v>0</v>
      </c>
      <c r="I133" t="b">
        <v>0</v>
      </c>
      <c r="K133" t="s">
        <v>474</v>
      </c>
      <c r="L133" t="s">
        <v>475</v>
      </c>
      <c r="O133" t="s">
        <v>476</v>
      </c>
      <c r="U133">
        <v>133861.85999999999</v>
      </c>
      <c r="V133">
        <v>414580.28</v>
      </c>
      <c r="W133">
        <v>6.31</v>
      </c>
      <c r="X133" t="s">
        <v>486</v>
      </c>
      <c r="Y133" t="s">
        <v>550</v>
      </c>
      <c r="Z133" s="2">
        <v>45169</v>
      </c>
      <c r="AA133" t="s">
        <v>563</v>
      </c>
      <c r="AB133" t="s">
        <v>636</v>
      </c>
      <c r="AC133" t="s">
        <v>700</v>
      </c>
      <c r="AD133" t="s">
        <v>701</v>
      </c>
      <c r="AE133" t="s">
        <v>711</v>
      </c>
      <c r="AF133">
        <v>0.51</v>
      </c>
      <c r="AH133" t="s">
        <v>714</v>
      </c>
      <c r="AI133" t="s">
        <v>768</v>
      </c>
      <c r="AJ133" t="s">
        <v>774</v>
      </c>
      <c r="AK133">
        <v>3.71</v>
      </c>
      <c r="AL133">
        <v>3.31</v>
      </c>
      <c r="AM133">
        <v>2.6</v>
      </c>
      <c r="AN133">
        <v>3</v>
      </c>
      <c r="AP133" t="s">
        <v>785</v>
      </c>
      <c r="AQ133" t="s">
        <v>788</v>
      </c>
      <c r="AR133" t="s">
        <v>916</v>
      </c>
      <c r="AS133" t="s">
        <v>700</v>
      </c>
      <c r="AT133" t="s">
        <v>993</v>
      </c>
      <c r="AU133" s="2">
        <v>45279</v>
      </c>
      <c r="AV133" t="s">
        <v>1106</v>
      </c>
      <c r="AX133">
        <v>3.51</v>
      </c>
      <c r="QZ133" t="s">
        <v>1368</v>
      </c>
      <c r="RA133" t="s">
        <v>1368</v>
      </c>
    </row>
    <row r="134" spans="2:473" x14ac:dyDescent="0.3">
      <c r="B134" t="b">
        <v>1</v>
      </c>
      <c r="F134" t="b">
        <v>0</v>
      </c>
      <c r="G134" t="b">
        <v>0</v>
      </c>
      <c r="H134" t="b">
        <v>0</v>
      </c>
      <c r="I134" t="b">
        <v>0</v>
      </c>
      <c r="K134" t="s">
        <v>474</v>
      </c>
      <c r="L134" t="s">
        <v>475</v>
      </c>
      <c r="O134" t="s">
        <v>476</v>
      </c>
      <c r="U134">
        <v>133861.85999999999</v>
      </c>
      <c r="V134">
        <v>414580.28</v>
      </c>
      <c r="W134">
        <v>6.31</v>
      </c>
      <c r="X134" t="s">
        <v>486</v>
      </c>
      <c r="Y134" t="s">
        <v>550</v>
      </c>
      <c r="Z134" s="2">
        <v>45169</v>
      </c>
      <c r="AA134" t="s">
        <v>563</v>
      </c>
      <c r="AB134" t="s">
        <v>636</v>
      </c>
      <c r="AC134" t="s">
        <v>700</v>
      </c>
      <c r="AD134" t="s">
        <v>701</v>
      </c>
      <c r="AE134" t="s">
        <v>711</v>
      </c>
      <c r="AF134">
        <v>0.51</v>
      </c>
      <c r="AH134" t="s">
        <v>725</v>
      </c>
      <c r="AI134" t="s">
        <v>768</v>
      </c>
      <c r="AJ134" t="s">
        <v>774</v>
      </c>
      <c r="AK134">
        <v>2.71</v>
      </c>
      <c r="AL134">
        <v>2.31</v>
      </c>
      <c r="AM134">
        <v>3.6</v>
      </c>
      <c r="AN134">
        <v>4</v>
      </c>
      <c r="AP134" t="s">
        <v>785</v>
      </c>
      <c r="AQ134" t="s">
        <v>788</v>
      </c>
      <c r="AR134" t="s">
        <v>917</v>
      </c>
      <c r="AS134" t="s">
        <v>700</v>
      </c>
      <c r="AT134" t="s">
        <v>993</v>
      </c>
      <c r="AU134" s="2">
        <v>45279</v>
      </c>
      <c r="AV134" t="s">
        <v>1093</v>
      </c>
      <c r="QZ134" t="s">
        <v>1368</v>
      </c>
      <c r="RA134" t="s">
        <v>1368</v>
      </c>
    </row>
    <row r="135" spans="2:473" x14ac:dyDescent="0.3">
      <c r="B135" t="b">
        <v>1</v>
      </c>
      <c r="F135" t="b">
        <v>0</v>
      </c>
      <c r="G135" t="b">
        <v>0</v>
      </c>
      <c r="H135" t="b">
        <v>0</v>
      </c>
      <c r="I135" t="b">
        <v>0</v>
      </c>
      <c r="K135" t="s">
        <v>474</v>
      </c>
      <c r="L135" t="s">
        <v>475</v>
      </c>
      <c r="O135" t="s">
        <v>476</v>
      </c>
      <c r="U135">
        <v>133861.85999999999</v>
      </c>
      <c r="V135">
        <v>414580.28</v>
      </c>
      <c r="W135">
        <v>6.31</v>
      </c>
      <c r="X135" t="s">
        <v>486</v>
      </c>
      <c r="Y135" t="s">
        <v>550</v>
      </c>
      <c r="Z135" s="2">
        <v>45169</v>
      </c>
      <c r="AA135" t="s">
        <v>563</v>
      </c>
      <c r="AB135" t="s">
        <v>636</v>
      </c>
      <c r="AC135" t="s">
        <v>700</v>
      </c>
      <c r="AD135" t="s">
        <v>701</v>
      </c>
      <c r="AE135" t="s">
        <v>711</v>
      </c>
      <c r="AF135">
        <v>0.51</v>
      </c>
      <c r="AH135" t="s">
        <v>726</v>
      </c>
      <c r="AI135" t="s">
        <v>768</v>
      </c>
      <c r="AJ135" t="s">
        <v>774</v>
      </c>
      <c r="AK135">
        <v>1.71</v>
      </c>
      <c r="AL135">
        <v>1.31</v>
      </c>
      <c r="AM135">
        <v>4.5999999999999996</v>
      </c>
      <c r="AN135">
        <v>5</v>
      </c>
      <c r="AP135" t="s">
        <v>785</v>
      </c>
      <c r="AQ135" t="s">
        <v>788</v>
      </c>
      <c r="AR135" t="s">
        <v>918</v>
      </c>
      <c r="AS135" t="s">
        <v>700</v>
      </c>
      <c r="AT135" t="s">
        <v>993</v>
      </c>
      <c r="AU135" s="2">
        <v>45279</v>
      </c>
      <c r="AV135" t="s">
        <v>1107</v>
      </c>
      <c r="AX135">
        <v>1.51</v>
      </c>
      <c r="QZ135" t="s">
        <v>1368</v>
      </c>
      <c r="RA135" t="s">
        <v>1368</v>
      </c>
    </row>
    <row r="136" spans="2:473" x14ac:dyDescent="0.3">
      <c r="B136" t="b">
        <v>1</v>
      </c>
      <c r="F136" t="b">
        <v>0</v>
      </c>
      <c r="G136" t="b">
        <v>0</v>
      </c>
      <c r="H136" t="b">
        <v>0</v>
      </c>
      <c r="I136" t="b">
        <v>0</v>
      </c>
      <c r="K136" t="s">
        <v>474</v>
      </c>
      <c r="L136" t="s">
        <v>475</v>
      </c>
      <c r="O136" t="s">
        <v>476</v>
      </c>
      <c r="U136">
        <v>133861.85999999999</v>
      </c>
      <c r="V136">
        <v>414580.28</v>
      </c>
      <c r="W136">
        <v>6.31</v>
      </c>
      <c r="X136" t="s">
        <v>486</v>
      </c>
      <c r="Y136" t="s">
        <v>550</v>
      </c>
      <c r="Z136" s="2">
        <v>45169</v>
      </c>
      <c r="AA136" t="s">
        <v>563</v>
      </c>
      <c r="AB136" t="s">
        <v>636</v>
      </c>
      <c r="AC136" t="s">
        <v>700</v>
      </c>
      <c r="AD136" t="s">
        <v>701</v>
      </c>
      <c r="AE136" t="s">
        <v>711</v>
      </c>
      <c r="AF136">
        <v>0.51</v>
      </c>
      <c r="AH136" t="s">
        <v>727</v>
      </c>
      <c r="AI136" t="s">
        <v>768</v>
      </c>
      <c r="AJ136" t="s">
        <v>774</v>
      </c>
      <c r="AK136">
        <v>1.21</v>
      </c>
      <c r="AL136">
        <v>0.81</v>
      </c>
      <c r="AM136">
        <v>5.0999999999999996</v>
      </c>
      <c r="AN136">
        <v>5.5</v>
      </c>
      <c r="AP136" t="s">
        <v>785</v>
      </c>
      <c r="AQ136" t="s">
        <v>788</v>
      </c>
      <c r="AR136" t="s">
        <v>919</v>
      </c>
      <c r="AS136" t="s">
        <v>700</v>
      </c>
      <c r="AT136" t="s">
        <v>993</v>
      </c>
      <c r="AU136" s="2">
        <v>45279</v>
      </c>
      <c r="AV136" t="s">
        <v>1107</v>
      </c>
      <c r="AX136">
        <v>1.01</v>
      </c>
      <c r="QZ136" t="s">
        <v>1368</v>
      </c>
      <c r="RA136" t="s">
        <v>1368</v>
      </c>
    </row>
    <row r="137" spans="2:473" x14ac:dyDescent="0.3">
      <c r="B137" t="b">
        <v>1</v>
      </c>
      <c r="F137" t="b">
        <v>0</v>
      </c>
      <c r="G137" t="b">
        <v>0</v>
      </c>
      <c r="H137" t="b">
        <v>0</v>
      </c>
      <c r="I137" t="b">
        <v>0</v>
      </c>
      <c r="K137" t="s">
        <v>474</v>
      </c>
      <c r="L137" t="s">
        <v>475</v>
      </c>
      <c r="O137" t="s">
        <v>476</v>
      </c>
      <c r="U137">
        <v>133861.85999999999</v>
      </c>
      <c r="V137">
        <v>414580.28</v>
      </c>
      <c r="W137">
        <v>6.31</v>
      </c>
      <c r="X137" t="s">
        <v>486</v>
      </c>
      <c r="Y137" t="s">
        <v>550</v>
      </c>
      <c r="Z137" s="2">
        <v>45169</v>
      </c>
      <c r="AA137" t="s">
        <v>563</v>
      </c>
      <c r="AB137" t="s">
        <v>636</v>
      </c>
      <c r="AC137" t="s">
        <v>700</v>
      </c>
      <c r="AD137" t="s">
        <v>701</v>
      </c>
      <c r="AE137" t="s">
        <v>711</v>
      </c>
      <c r="AF137">
        <v>0.51</v>
      </c>
      <c r="AH137" t="s">
        <v>728</v>
      </c>
      <c r="AI137" t="s">
        <v>768</v>
      </c>
      <c r="AJ137" t="s">
        <v>774</v>
      </c>
      <c r="AK137">
        <v>0.71</v>
      </c>
      <c r="AL137">
        <v>0.55000000000000004</v>
      </c>
      <c r="AM137">
        <v>5.6</v>
      </c>
      <c r="AN137">
        <v>5.76</v>
      </c>
      <c r="AP137" t="s">
        <v>785</v>
      </c>
      <c r="AQ137" t="s">
        <v>788</v>
      </c>
      <c r="AR137" t="s">
        <v>920</v>
      </c>
      <c r="AS137" t="s">
        <v>700</v>
      </c>
      <c r="AT137" t="s">
        <v>993</v>
      </c>
      <c r="AU137" s="2">
        <v>45279</v>
      </c>
      <c r="AV137" t="s">
        <v>1108</v>
      </c>
      <c r="AX137">
        <v>0.63</v>
      </c>
      <c r="QZ137" t="s">
        <v>1368</v>
      </c>
      <c r="RA137" t="s">
        <v>1368</v>
      </c>
    </row>
    <row r="138" spans="2:473" x14ac:dyDescent="0.3">
      <c r="B138" t="b">
        <v>1</v>
      </c>
      <c r="F138" t="b">
        <v>0</v>
      </c>
      <c r="G138" t="b">
        <v>0</v>
      </c>
      <c r="H138" t="b">
        <v>0</v>
      </c>
      <c r="I138" t="b">
        <v>0</v>
      </c>
      <c r="K138" t="s">
        <v>474</v>
      </c>
      <c r="L138" t="s">
        <v>475</v>
      </c>
      <c r="O138" t="s">
        <v>476</v>
      </c>
      <c r="U138">
        <v>133861.85999999999</v>
      </c>
      <c r="V138">
        <v>414580.28</v>
      </c>
      <c r="W138">
        <v>6.31</v>
      </c>
      <c r="X138" t="s">
        <v>486</v>
      </c>
      <c r="Y138" t="s">
        <v>550</v>
      </c>
      <c r="Z138" s="2">
        <v>45169</v>
      </c>
      <c r="AA138" t="s">
        <v>563</v>
      </c>
      <c r="AB138" t="s">
        <v>636</v>
      </c>
      <c r="AC138" t="s">
        <v>700</v>
      </c>
      <c r="AD138" t="s">
        <v>701</v>
      </c>
      <c r="AE138" t="s">
        <v>711</v>
      </c>
      <c r="AF138">
        <v>0.51</v>
      </c>
      <c r="AH138" t="s">
        <v>729</v>
      </c>
      <c r="AI138" t="s">
        <v>768</v>
      </c>
      <c r="AJ138" t="s">
        <v>774</v>
      </c>
      <c r="AK138">
        <v>0.55000000000000004</v>
      </c>
      <c r="AL138">
        <v>0.31</v>
      </c>
      <c r="AM138">
        <v>5.76</v>
      </c>
      <c r="AN138">
        <v>6</v>
      </c>
      <c r="AP138" t="s">
        <v>785</v>
      </c>
      <c r="AQ138" t="s">
        <v>788</v>
      </c>
      <c r="AR138" t="s">
        <v>921</v>
      </c>
      <c r="AS138" t="s">
        <v>700</v>
      </c>
      <c r="AT138" t="s">
        <v>993</v>
      </c>
      <c r="AU138" s="2">
        <v>45279</v>
      </c>
      <c r="AV138" t="s">
        <v>1109</v>
      </c>
      <c r="AX138">
        <v>0.41</v>
      </c>
      <c r="AY138">
        <v>17.2</v>
      </c>
      <c r="AZ138">
        <v>12.8</v>
      </c>
      <c r="BA138">
        <v>35.200000000000003</v>
      </c>
      <c r="QZ138" t="s">
        <v>1368</v>
      </c>
      <c r="RA138" t="s">
        <v>1368</v>
      </c>
    </row>
    <row r="139" spans="2:473" x14ac:dyDescent="0.3">
      <c r="B139" t="b">
        <v>1</v>
      </c>
      <c r="F139" t="b">
        <v>1</v>
      </c>
      <c r="G139" t="b">
        <v>0</v>
      </c>
      <c r="H139" t="b">
        <v>0</v>
      </c>
      <c r="I139" t="b">
        <v>1</v>
      </c>
      <c r="K139" t="s">
        <v>474</v>
      </c>
      <c r="L139" t="s">
        <v>475</v>
      </c>
      <c r="O139" t="s">
        <v>476</v>
      </c>
      <c r="U139">
        <v>133861.85999999999</v>
      </c>
      <c r="V139">
        <v>414580.28</v>
      </c>
      <c r="W139">
        <v>6.31</v>
      </c>
      <c r="X139" t="s">
        <v>486</v>
      </c>
      <c r="Y139" t="s">
        <v>550</v>
      </c>
      <c r="Z139" s="2">
        <v>45169</v>
      </c>
      <c r="AA139" t="s">
        <v>563</v>
      </c>
      <c r="AB139" t="s">
        <v>636</v>
      </c>
      <c r="AC139" t="s">
        <v>700</v>
      </c>
      <c r="AD139" t="s">
        <v>701</v>
      </c>
      <c r="AE139" t="s">
        <v>711</v>
      </c>
      <c r="AF139">
        <v>0.51</v>
      </c>
      <c r="AH139" t="s">
        <v>718</v>
      </c>
      <c r="AI139" t="s">
        <v>768</v>
      </c>
      <c r="AJ139" t="s">
        <v>774</v>
      </c>
      <c r="AK139">
        <v>0.21</v>
      </c>
      <c r="AL139">
        <v>-0.19</v>
      </c>
      <c r="AM139">
        <v>6.1</v>
      </c>
      <c r="AN139">
        <v>6.5</v>
      </c>
      <c r="AP139" t="s">
        <v>785</v>
      </c>
      <c r="AQ139" t="s">
        <v>788</v>
      </c>
      <c r="AR139" t="s">
        <v>922</v>
      </c>
      <c r="AS139" t="s">
        <v>700</v>
      </c>
      <c r="AT139" t="s">
        <v>993</v>
      </c>
      <c r="AU139" s="2">
        <v>45279</v>
      </c>
      <c r="AV139" t="s">
        <v>1077</v>
      </c>
      <c r="AX139">
        <v>-0.05</v>
      </c>
      <c r="AY139">
        <v>19.399999999999999</v>
      </c>
      <c r="AZ139">
        <v>15.1</v>
      </c>
      <c r="BA139">
        <v>28.5</v>
      </c>
      <c r="DZ139" t="s">
        <v>1234</v>
      </c>
      <c r="EA139" t="s">
        <v>1249</v>
      </c>
      <c r="EB139" t="s">
        <v>1264</v>
      </c>
      <c r="EC139" t="s">
        <v>1266</v>
      </c>
      <c r="ED139" t="s">
        <v>1267</v>
      </c>
      <c r="EE139" s="2">
        <v>45182</v>
      </c>
      <c r="EF139" t="s">
        <v>1268</v>
      </c>
      <c r="EG139" t="s">
        <v>1273</v>
      </c>
      <c r="EH139">
        <v>0.1</v>
      </c>
      <c r="EI139">
        <v>108.1</v>
      </c>
      <c r="EJ139">
        <v>21.68</v>
      </c>
      <c r="EK139">
        <v>17.27</v>
      </c>
      <c r="EL139">
        <v>25.52</v>
      </c>
      <c r="EM139">
        <v>20.079999999999998</v>
      </c>
      <c r="EN139">
        <v>126.1</v>
      </c>
      <c r="EO139">
        <v>21.7</v>
      </c>
      <c r="EP139">
        <v>19.8</v>
      </c>
      <c r="EQ139">
        <v>50.03</v>
      </c>
      <c r="ER139">
        <v>18.89</v>
      </c>
      <c r="ES139">
        <v>18.829999999999998</v>
      </c>
      <c r="ET139">
        <v>16.34</v>
      </c>
      <c r="EU139">
        <v>0.5</v>
      </c>
      <c r="EV139">
        <v>-0.1</v>
      </c>
      <c r="EW139">
        <v>16</v>
      </c>
      <c r="EX139">
        <v>650.6</v>
      </c>
      <c r="EY139">
        <v>551</v>
      </c>
      <c r="EZ139">
        <v>400.8</v>
      </c>
      <c r="FA139">
        <v>225.4</v>
      </c>
      <c r="FB139">
        <v>1096</v>
      </c>
      <c r="FC139">
        <v>9.2200000000000006</v>
      </c>
      <c r="FD139">
        <v>187.7</v>
      </c>
      <c r="FE139">
        <v>4.03</v>
      </c>
      <c r="FF139">
        <v>728</v>
      </c>
      <c r="FG139">
        <v>2.8E-3</v>
      </c>
      <c r="FH139">
        <v>5.96E-2</v>
      </c>
      <c r="FI139">
        <v>2.5000000000000001E-3</v>
      </c>
      <c r="NG139" t="s">
        <v>1312</v>
      </c>
      <c r="NH139" t="s">
        <v>1333</v>
      </c>
      <c r="NI139" t="s">
        <v>1354</v>
      </c>
      <c r="NJ139" t="s">
        <v>1266</v>
      </c>
      <c r="NK139" t="s">
        <v>1356</v>
      </c>
      <c r="NL139" s="2">
        <v>45194</v>
      </c>
      <c r="NM139" t="s">
        <v>1268</v>
      </c>
      <c r="NO139">
        <v>-0.05</v>
      </c>
      <c r="NP139">
        <v>108.1</v>
      </c>
      <c r="NQ139">
        <v>19.38</v>
      </c>
      <c r="NR139">
        <v>15.09</v>
      </c>
      <c r="NS139">
        <v>28.59</v>
      </c>
      <c r="NT139">
        <v>28.45</v>
      </c>
      <c r="NU139">
        <v>102.51</v>
      </c>
      <c r="NV139">
        <v>0.74</v>
      </c>
      <c r="NW139">
        <v>2683</v>
      </c>
      <c r="NX139">
        <v>21.3</v>
      </c>
      <c r="NY139">
        <v>21.3</v>
      </c>
      <c r="NZ139">
        <v>50</v>
      </c>
      <c r="OA139">
        <v>100</v>
      </c>
      <c r="OB139" t="s">
        <v>1360</v>
      </c>
      <c r="OC139" t="s">
        <v>1361</v>
      </c>
      <c r="OD139" t="s">
        <v>1362</v>
      </c>
      <c r="OE139">
        <v>299</v>
      </c>
      <c r="OF139" t="s">
        <v>1363</v>
      </c>
      <c r="OG139">
        <v>0.62</v>
      </c>
      <c r="OH139" t="s">
        <v>1364</v>
      </c>
      <c r="OI139">
        <v>67.75</v>
      </c>
      <c r="OJ139">
        <v>0.75</v>
      </c>
      <c r="OK139">
        <v>87.13</v>
      </c>
      <c r="OL139">
        <v>20.56</v>
      </c>
      <c r="OM139">
        <v>87.13</v>
      </c>
      <c r="ON139">
        <v>20.56</v>
      </c>
      <c r="OO139">
        <v>1</v>
      </c>
      <c r="OP139">
        <v>1.43</v>
      </c>
      <c r="OQ139">
        <v>4.3600000000000003</v>
      </c>
      <c r="OR139" t="s">
        <v>1365</v>
      </c>
      <c r="OS139">
        <v>0.97</v>
      </c>
      <c r="OT139">
        <v>100.1</v>
      </c>
      <c r="OU139">
        <v>59.39</v>
      </c>
      <c r="OV139">
        <v>109.4</v>
      </c>
      <c r="OW139">
        <v>67.84</v>
      </c>
      <c r="OX139">
        <v>119.6</v>
      </c>
      <c r="OY139">
        <v>71.48</v>
      </c>
      <c r="OZ139">
        <v>119.6</v>
      </c>
      <c r="PA139">
        <v>71.75</v>
      </c>
      <c r="PB139">
        <v>14.39</v>
      </c>
      <c r="PC139">
        <v>119.4</v>
      </c>
      <c r="PD139">
        <v>68.75</v>
      </c>
      <c r="PE139">
        <v>25</v>
      </c>
      <c r="PF139">
        <v>9.2100000000000009</v>
      </c>
      <c r="PG139">
        <v>0.56000000000000005</v>
      </c>
      <c r="PH139">
        <v>0.13</v>
      </c>
      <c r="QS139" t="s">
        <v>1366</v>
      </c>
      <c r="QV139">
        <v>108.1</v>
      </c>
      <c r="QW139">
        <v>187.7</v>
      </c>
      <c r="QX139">
        <v>107.69</v>
      </c>
      <c r="QZ139" t="s">
        <v>1369</v>
      </c>
      <c r="RA139" t="s">
        <v>1368</v>
      </c>
      <c r="RD139">
        <v>187.7</v>
      </c>
      <c r="RE139">
        <v>1.742965920698301</v>
      </c>
    </row>
    <row r="140" spans="2:473" x14ac:dyDescent="0.3">
      <c r="B140" t="b">
        <v>1</v>
      </c>
      <c r="F140" t="b">
        <v>0</v>
      </c>
      <c r="G140" t="b">
        <v>0</v>
      </c>
      <c r="H140" t="b">
        <v>0</v>
      </c>
      <c r="I140" t="b">
        <v>0</v>
      </c>
      <c r="K140" t="s">
        <v>474</v>
      </c>
      <c r="L140" t="s">
        <v>475</v>
      </c>
      <c r="O140" t="s">
        <v>476</v>
      </c>
      <c r="U140">
        <v>133861.85999999999</v>
      </c>
      <c r="V140">
        <v>414580.28</v>
      </c>
      <c r="W140">
        <v>6.31</v>
      </c>
      <c r="X140" t="s">
        <v>486</v>
      </c>
      <c r="Y140" t="s">
        <v>550</v>
      </c>
      <c r="Z140" s="2">
        <v>45169</v>
      </c>
      <c r="AA140" t="s">
        <v>563</v>
      </c>
      <c r="AB140" t="s">
        <v>636</v>
      </c>
      <c r="AC140" t="s">
        <v>700</v>
      </c>
      <c r="AD140" t="s">
        <v>701</v>
      </c>
      <c r="AE140" t="s">
        <v>711</v>
      </c>
      <c r="AF140">
        <v>0.51</v>
      </c>
      <c r="AH140" t="s">
        <v>730</v>
      </c>
      <c r="AI140" t="s">
        <v>768</v>
      </c>
      <c r="AJ140" t="s">
        <v>774</v>
      </c>
      <c r="AK140">
        <v>-0.28999999999999998</v>
      </c>
      <c r="AL140">
        <v>-0.69</v>
      </c>
      <c r="AM140">
        <v>6.6</v>
      </c>
      <c r="AN140">
        <v>7</v>
      </c>
      <c r="AP140" t="s">
        <v>785</v>
      </c>
      <c r="AQ140" t="s">
        <v>788</v>
      </c>
      <c r="AR140" t="s">
        <v>923</v>
      </c>
      <c r="AS140" t="s">
        <v>700</v>
      </c>
      <c r="AT140" t="s">
        <v>993</v>
      </c>
      <c r="AU140" s="2">
        <v>45279</v>
      </c>
      <c r="AV140" t="s">
        <v>1078</v>
      </c>
      <c r="AX140">
        <v>-0.36</v>
      </c>
      <c r="AY140">
        <v>18.3</v>
      </c>
      <c r="AZ140">
        <v>13.8</v>
      </c>
      <c r="BA140">
        <v>32.4</v>
      </c>
      <c r="QZ140" t="s">
        <v>1368</v>
      </c>
      <c r="RA140" t="s">
        <v>1368</v>
      </c>
    </row>
    <row r="141" spans="2:473" x14ac:dyDescent="0.3">
      <c r="B141" t="b">
        <v>1</v>
      </c>
      <c r="F141" t="b">
        <v>0</v>
      </c>
      <c r="G141" t="b">
        <v>0</v>
      </c>
      <c r="H141" t="b">
        <v>0</v>
      </c>
      <c r="I141" t="b">
        <v>0</v>
      </c>
      <c r="K141" t="s">
        <v>474</v>
      </c>
      <c r="L141" t="s">
        <v>475</v>
      </c>
      <c r="O141" t="s">
        <v>476</v>
      </c>
      <c r="U141">
        <v>133861.85999999999</v>
      </c>
      <c r="V141">
        <v>414580.28</v>
      </c>
      <c r="W141">
        <v>6.31</v>
      </c>
      <c r="X141" t="s">
        <v>486</v>
      </c>
      <c r="Y141" t="s">
        <v>550</v>
      </c>
      <c r="Z141" s="2">
        <v>45169</v>
      </c>
      <c r="AA141" t="s">
        <v>563</v>
      </c>
      <c r="AB141" t="s">
        <v>636</v>
      </c>
      <c r="AC141" t="s">
        <v>700</v>
      </c>
      <c r="AD141" t="s">
        <v>701</v>
      </c>
      <c r="AE141" t="s">
        <v>711</v>
      </c>
      <c r="AF141">
        <v>0.51</v>
      </c>
      <c r="AH141" t="s">
        <v>731</v>
      </c>
      <c r="AI141" t="s">
        <v>768</v>
      </c>
      <c r="AJ141" t="s">
        <v>774</v>
      </c>
      <c r="AK141">
        <v>-0.79</v>
      </c>
      <c r="AL141">
        <v>-1.19</v>
      </c>
      <c r="AM141">
        <v>7.1</v>
      </c>
      <c r="AN141">
        <v>7.5</v>
      </c>
      <c r="AP141" t="s">
        <v>785</v>
      </c>
      <c r="AQ141" t="s">
        <v>788</v>
      </c>
      <c r="AR141" t="s">
        <v>924</v>
      </c>
      <c r="AS141" t="s">
        <v>700</v>
      </c>
      <c r="AT141" t="s">
        <v>993</v>
      </c>
      <c r="AU141" s="2">
        <v>45279</v>
      </c>
      <c r="AV141" t="s">
        <v>1110</v>
      </c>
      <c r="AX141">
        <v>-0.99</v>
      </c>
      <c r="QZ141" t="s">
        <v>1368</v>
      </c>
      <c r="RA141" t="s">
        <v>1368</v>
      </c>
    </row>
    <row r="142" spans="2:473" x14ac:dyDescent="0.3">
      <c r="B142" t="b">
        <v>1</v>
      </c>
      <c r="F142" t="b">
        <v>0</v>
      </c>
      <c r="G142" t="b">
        <v>0</v>
      </c>
      <c r="H142" t="b">
        <v>0</v>
      </c>
      <c r="I142" t="b">
        <v>0</v>
      </c>
      <c r="K142" t="s">
        <v>474</v>
      </c>
      <c r="L142" t="s">
        <v>475</v>
      </c>
      <c r="O142" t="s">
        <v>476</v>
      </c>
      <c r="U142">
        <v>133861.85999999999</v>
      </c>
      <c r="V142">
        <v>414580.28</v>
      </c>
      <c r="W142">
        <v>6.31</v>
      </c>
      <c r="X142" t="s">
        <v>486</v>
      </c>
      <c r="Y142" t="s">
        <v>550</v>
      </c>
      <c r="Z142" s="2">
        <v>45169</v>
      </c>
      <c r="AA142" t="s">
        <v>563</v>
      </c>
      <c r="AB142" t="s">
        <v>636</v>
      </c>
      <c r="AC142" t="s">
        <v>700</v>
      </c>
      <c r="AD142" t="s">
        <v>701</v>
      </c>
      <c r="AE142" t="s">
        <v>711</v>
      </c>
      <c r="AF142">
        <v>0.51</v>
      </c>
      <c r="AH142" t="s">
        <v>742</v>
      </c>
      <c r="AI142" t="s">
        <v>768</v>
      </c>
      <c r="AJ142" t="s">
        <v>774</v>
      </c>
      <c r="AK142">
        <v>-7.19</v>
      </c>
      <c r="AL142">
        <v>-7.5</v>
      </c>
      <c r="AM142">
        <v>13.5</v>
      </c>
      <c r="AN142">
        <v>13.81</v>
      </c>
      <c r="AP142" t="s">
        <v>785</v>
      </c>
      <c r="AQ142" t="s">
        <v>788</v>
      </c>
      <c r="AR142" t="s">
        <v>925</v>
      </c>
      <c r="AS142" t="s">
        <v>700</v>
      </c>
      <c r="AT142" t="s">
        <v>993</v>
      </c>
      <c r="AU142" s="2">
        <v>45279</v>
      </c>
      <c r="AV142" t="s">
        <v>1111</v>
      </c>
      <c r="AX142">
        <v>-7.25</v>
      </c>
      <c r="AY142">
        <v>19.600000000000001</v>
      </c>
      <c r="AZ142">
        <v>15.3</v>
      </c>
      <c r="BA142">
        <v>28.1</v>
      </c>
      <c r="CD142" t="s">
        <v>1164</v>
      </c>
      <c r="CE142" t="s">
        <v>788</v>
      </c>
      <c r="CF142" t="s">
        <v>925</v>
      </c>
      <c r="CG142" t="s">
        <v>700</v>
      </c>
      <c r="CH142" t="s">
        <v>1211</v>
      </c>
      <c r="CI142" s="2">
        <v>45212</v>
      </c>
      <c r="CJ142" t="s">
        <v>1212</v>
      </c>
      <c r="CL142">
        <v>415</v>
      </c>
      <c r="CM142">
        <v>404</v>
      </c>
      <c r="CN142">
        <v>0.08</v>
      </c>
      <c r="CO142">
        <v>95.29</v>
      </c>
      <c r="CP142">
        <v>2.63</v>
      </c>
      <c r="CQ142">
        <v>100</v>
      </c>
      <c r="CR142">
        <v>100</v>
      </c>
      <c r="CS142">
        <v>100</v>
      </c>
      <c r="CT142">
        <v>100</v>
      </c>
      <c r="CU142">
        <v>99.99</v>
      </c>
      <c r="CV142">
        <v>99.92</v>
      </c>
      <c r="CW142">
        <v>98.77</v>
      </c>
      <c r="CX142">
        <v>69.819999999999993</v>
      </c>
      <c r="CY142">
        <v>15.2</v>
      </c>
      <c r="CZ142">
        <v>9.15</v>
      </c>
      <c r="DA142">
        <v>5.78</v>
      </c>
      <c r="DB142">
        <v>4.63</v>
      </c>
      <c r="DC142">
        <v>3.1</v>
      </c>
      <c r="DD142">
        <v>2.63</v>
      </c>
      <c r="DE142">
        <v>2.4</v>
      </c>
      <c r="DF142">
        <v>2</v>
      </c>
      <c r="DG142">
        <v>513</v>
      </c>
      <c r="DH142">
        <v>461</v>
      </c>
      <c r="DI142">
        <v>415</v>
      </c>
      <c r="DJ142">
        <v>238</v>
      </c>
      <c r="DK142">
        <v>1.94</v>
      </c>
      <c r="QZ142" t="s">
        <v>1368</v>
      </c>
      <c r="RA142" t="s">
        <v>1368</v>
      </c>
    </row>
    <row r="143" spans="2:473" x14ac:dyDescent="0.3">
      <c r="B143" t="b">
        <v>1</v>
      </c>
      <c r="F143" t="b">
        <v>0</v>
      </c>
      <c r="G143" t="b">
        <v>0</v>
      </c>
      <c r="H143" t="b">
        <v>0</v>
      </c>
      <c r="I143" t="b">
        <v>0</v>
      </c>
      <c r="K143" t="s">
        <v>474</v>
      </c>
      <c r="L143" t="s">
        <v>475</v>
      </c>
      <c r="O143" t="s">
        <v>476</v>
      </c>
      <c r="U143">
        <v>133861.85999999999</v>
      </c>
      <c r="V143">
        <v>414580.28</v>
      </c>
      <c r="W143">
        <v>6.31</v>
      </c>
      <c r="X143" t="s">
        <v>486</v>
      </c>
      <c r="Y143" t="s">
        <v>550</v>
      </c>
      <c r="Z143" s="2">
        <v>45169</v>
      </c>
      <c r="AA143" t="s">
        <v>563</v>
      </c>
      <c r="AB143" t="s">
        <v>636</v>
      </c>
      <c r="AC143" t="s">
        <v>700</v>
      </c>
      <c r="AD143" t="s">
        <v>701</v>
      </c>
      <c r="AE143" t="s">
        <v>711</v>
      </c>
      <c r="AF143">
        <v>0.51</v>
      </c>
      <c r="AH143" t="s">
        <v>743</v>
      </c>
      <c r="AI143" t="s">
        <v>768</v>
      </c>
      <c r="AJ143" t="s">
        <v>774</v>
      </c>
      <c r="AK143">
        <v>-7.5</v>
      </c>
      <c r="AL143">
        <v>-7.59</v>
      </c>
      <c r="AM143">
        <v>13.81</v>
      </c>
      <c r="AN143">
        <v>13.9</v>
      </c>
      <c r="AP143" t="s">
        <v>785</v>
      </c>
      <c r="AQ143" t="s">
        <v>788</v>
      </c>
      <c r="AR143" t="s">
        <v>926</v>
      </c>
      <c r="AS143" t="s">
        <v>700</v>
      </c>
      <c r="AT143" t="s">
        <v>993</v>
      </c>
      <c r="AU143" s="2">
        <v>45279</v>
      </c>
      <c r="AV143" t="s">
        <v>1112</v>
      </c>
      <c r="AX143">
        <v>-7.55</v>
      </c>
      <c r="QZ143" t="s">
        <v>1368</v>
      </c>
      <c r="RA143" t="s">
        <v>1368</v>
      </c>
    </row>
    <row r="144" spans="2:473" x14ac:dyDescent="0.3">
      <c r="B144" t="b">
        <v>1</v>
      </c>
      <c r="F144" t="b">
        <v>0</v>
      </c>
      <c r="G144" t="b">
        <v>0</v>
      </c>
      <c r="H144" t="b">
        <v>0</v>
      </c>
      <c r="I144" t="b">
        <v>0</v>
      </c>
      <c r="K144" t="s">
        <v>474</v>
      </c>
      <c r="L144" t="s">
        <v>475</v>
      </c>
      <c r="O144" t="s">
        <v>476</v>
      </c>
      <c r="U144">
        <v>133861.85999999999</v>
      </c>
      <c r="V144">
        <v>414580.28</v>
      </c>
      <c r="W144">
        <v>6.31</v>
      </c>
      <c r="X144" t="s">
        <v>486</v>
      </c>
      <c r="Y144" t="s">
        <v>550</v>
      </c>
      <c r="Z144" s="2">
        <v>45169</v>
      </c>
      <c r="AA144" t="s">
        <v>563</v>
      </c>
      <c r="AB144" t="s">
        <v>636</v>
      </c>
      <c r="AC144" t="s">
        <v>700</v>
      </c>
      <c r="AD144" t="s">
        <v>701</v>
      </c>
      <c r="AE144" t="s">
        <v>711</v>
      </c>
      <c r="AF144">
        <v>0.51</v>
      </c>
      <c r="AH144" t="s">
        <v>733</v>
      </c>
      <c r="AI144" t="s">
        <v>768</v>
      </c>
      <c r="AJ144" t="s">
        <v>774</v>
      </c>
      <c r="AK144">
        <v>-7.59</v>
      </c>
      <c r="AL144">
        <v>-7.99</v>
      </c>
      <c r="AM144">
        <v>13.9</v>
      </c>
      <c r="AN144">
        <v>14.3</v>
      </c>
      <c r="AP144" t="s">
        <v>785</v>
      </c>
      <c r="AQ144" t="s">
        <v>788</v>
      </c>
      <c r="AR144" t="s">
        <v>927</v>
      </c>
      <c r="AS144" t="s">
        <v>700</v>
      </c>
      <c r="AT144" t="s">
        <v>993</v>
      </c>
      <c r="AU144" s="2">
        <v>45279</v>
      </c>
      <c r="AV144" t="s">
        <v>1113</v>
      </c>
      <c r="AX144">
        <v>-7.79</v>
      </c>
      <c r="QZ144" t="s">
        <v>1368</v>
      </c>
      <c r="RA144" t="s">
        <v>1368</v>
      </c>
    </row>
    <row r="145" spans="2:473" x14ac:dyDescent="0.3">
      <c r="B145" t="b">
        <v>1</v>
      </c>
      <c r="F145" t="b">
        <v>0</v>
      </c>
      <c r="G145" t="b">
        <v>0</v>
      </c>
      <c r="H145" t="b">
        <v>0</v>
      </c>
      <c r="I145" t="b">
        <v>0</v>
      </c>
      <c r="K145" t="s">
        <v>474</v>
      </c>
      <c r="L145" t="s">
        <v>475</v>
      </c>
      <c r="O145" t="s">
        <v>476</v>
      </c>
      <c r="U145">
        <v>133608.85</v>
      </c>
      <c r="V145">
        <v>414267.28</v>
      </c>
      <c r="W145">
        <v>6.36</v>
      </c>
      <c r="X145" t="s">
        <v>487</v>
      </c>
      <c r="Y145" t="s">
        <v>550</v>
      </c>
      <c r="Z145" s="2">
        <v>45182</v>
      </c>
      <c r="AA145" t="s">
        <v>564</v>
      </c>
      <c r="AB145" t="s">
        <v>637</v>
      </c>
      <c r="AC145" t="s">
        <v>700</v>
      </c>
      <c r="AD145" t="s">
        <v>702</v>
      </c>
      <c r="AE145" t="s">
        <v>711</v>
      </c>
      <c r="AF145">
        <v>0.46</v>
      </c>
      <c r="AH145" t="s">
        <v>713</v>
      </c>
      <c r="AI145" t="s">
        <v>768</v>
      </c>
      <c r="AJ145" t="s">
        <v>774</v>
      </c>
      <c r="AK145">
        <v>5.0599999999999996</v>
      </c>
      <c r="AL145">
        <v>4.8849999999999998</v>
      </c>
      <c r="AM145">
        <v>1.3</v>
      </c>
      <c r="AN145">
        <v>1.4750000000000001</v>
      </c>
      <c r="AO145">
        <v>10.6</v>
      </c>
      <c r="AP145" t="s">
        <v>786</v>
      </c>
      <c r="AQ145" t="s">
        <v>788</v>
      </c>
      <c r="AR145" t="s">
        <v>928</v>
      </c>
      <c r="AS145" t="s">
        <v>700</v>
      </c>
      <c r="AT145" t="s">
        <v>993</v>
      </c>
      <c r="AU145" s="2">
        <v>45279</v>
      </c>
      <c r="AV145" t="s">
        <v>1114</v>
      </c>
      <c r="AX145">
        <v>5.01</v>
      </c>
      <c r="AY145">
        <v>18</v>
      </c>
      <c r="AZ145">
        <v>15.7</v>
      </c>
      <c r="BA145">
        <v>14.6</v>
      </c>
      <c r="QZ145" t="s">
        <v>1368</v>
      </c>
      <c r="RA145" t="s">
        <v>1368</v>
      </c>
    </row>
    <row r="146" spans="2:473" x14ac:dyDescent="0.3">
      <c r="B146" t="b">
        <v>1</v>
      </c>
      <c r="F146" t="b">
        <v>0</v>
      </c>
      <c r="G146" t="b">
        <v>0</v>
      </c>
      <c r="H146" t="b">
        <v>0</v>
      </c>
      <c r="I146" t="b">
        <v>0</v>
      </c>
      <c r="K146" t="s">
        <v>474</v>
      </c>
      <c r="L146" t="s">
        <v>475</v>
      </c>
      <c r="O146" t="s">
        <v>476</v>
      </c>
      <c r="U146">
        <v>133608.85</v>
      </c>
      <c r="V146">
        <v>414267.28</v>
      </c>
      <c r="W146">
        <v>6.36</v>
      </c>
      <c r="X146" t="s">
        <v>487</v>
      </c>
      <c r="Y146" t="s">
        <v>550</v>
      </c>
      <c r="Z146" s="2">
        <v>45182</v>
      </c>
      <c r="AA146" t="s">
        <v>564</v>
      </c>
      <c r="AB146" t="s">
        <v>637</v>
      </c>
      <c r="AC146" t="s">
        <v>700</v>
      </c>
      <c r="AD146" t="s">
        <v>702</v>
      </c>
      <c r="AE146" t="s">
        <v>711</v>
      </c>
      <c r="AF146">
        <v>0.46</v>
      </c>
      <c r="AH146" t="s">
        <v>714</v>
      </c>
      <c r="AI146" t="s">
        <v>768</v>
      </c>
      <c r="AJ146" t="s">
        <v>774</v>
      </c>
      <c r="AK146">
        <v>4.0599999999999996</v>
      </c>
      <c r="AL146">
        <v>3.7949999999999999</v>
      </c>
      <c r="AM146">
        <v>2.2999999999999998</v>
      </c>
      <c r="AN146">
        <v>2.5649999999999999</v>
      </c>
      <c r="AO146">
        <v>12.7</v>
      </c>
      <c r="AP146" t="s">
        <v>786</v>
      </c>
      <c r="AQ146" t="s">
        <v>788</v>
      </c>
      <c r="AR146" t="s">
        <v>929</v>
      </c>
      <c r="AS146" t="s">
        <v>700</v>
      </c>
      <c r="AT146" t="s">
        <v>993</v>
      </c>
      <c r="AU146" s="2">
        <v>45279</v>
      </c>
      <c r="AV146" t="s">
        <v>1115</v>
      </c>
      <c r="AX146">
        <v>3.93</v>
      </c>
      <c r="QZ146" t="s">
        <v>1368</v>
      </c>
      <c r="RA146" t="s">
        <v>1368</v>
      </c>
    </row>
    <row r="147" spans="2:473" x14ac:dyDescent="0.3">
      <c r="B147" t="b">
        <v>1</v>
      </c>
      <c r="F147" t="b">
        <v>0</v>
      </c>
      <c r="G147" t="b">
        <v>0</v>
      </c>
      <c r="H147" t="b">
        <v>0</v>
      </c>
      <c r="I147" t="b">
        <v>0</v>
      </c>
      <c r="K147" t="s">
        <v>474</v>
      </c>
      <c r="L147" t="s">
        <v>475</v>
      </c>
      <c r="O147" t="s">
        <v>476</v>
      </c>
      <c r="U147">
        <v>133608.85</v>
      </c>
      <c r="V147">
        <v>414267.28</v>
      </c>
      <c r="W147">
        <v>6.36</v>
      </c>
      <c r="X147" t="s">
        <v>487</v>
      </c>
      <c r="Y147" t="s">
        <v>550</v>
      </c>
      <c r="Z147" s="2">
        <v>45182</v>
      </c>
      <c r="AA147" t="s">
        <v>564</v>
      </c>
      <c r="AB147" t="s">
        <v>637</v>
      </c>
      <c r="AC147" t="s">
        <v>700</v>
      </c>
      <c r="AD147" t="s">
        <v>702</v>
      </c>
      <c r="AE147" t="s">
        <v>711</v>
      </c>
      <c r="AF147">
        <v>0.46</v>
      </c>
      <c r="AH147" t="s">
        <v>725</v>
      </c>
      <c r="AI147" t="s">
        <v>768</v>
      </c>
      <c r="AJ147" t="s">
        <v>774</v>
      </c>
      <c r="AK147">
        <v>3.06</v>
      </c>
      <c r="AL147">
        <v>2.66</v>
      </c>
      <c r="AM147">
        <v>3.3</v>
      </c>
      <c r="AN147">
        <v>3.7</v>
      </c>
      <c r="AO147">
        <v>16.2</v>
      </c>
      <c r="AP147" t="s">
        <v>786</v>
      </c>
      <c r="AQ147" t="s">
        <v>788</v>
      </c>
      <c r="AR147" t="s">
        <v>930</v>
      </c>
      <c r="AS147" t="s">
        <v>700</v>
      </c>
      <c r="AT147" t="s">
        <v>993</v>
      </c>
      <c r="AU147" s="2">
        <v>45279</v>
      </c>
      <c r="AV147" t="s">
        <v>1116</v>
      </c>
      <c r="AX147">
        <v>2.86</v>
      </c>
      <c r="QZ147" t="s">
        <v>1368</v>
      </c>
      <c r="RA147" t="s">
        <v>1368</v>
      </c>
    </row>
    <row r="148" spans="2:473" x14ac:dyDescent="0.3">
      <c r="B148" t="b">
        <v>1</v>
      </c>
      <c r="F148" t="b">
        <v>0</v>
      </c>
      <c r="G148" t="b">
        <v>0</v>
      </c>
      <c r="H148" t="b">
        <v>0</v>
      </c>
      <c r="I148" t="b">
        <v>0</v>
      </c>
      <c r="K148" t="s">
        <v>474</v>
      </c>
      <c r="L148" t="s">
        <v>475</v>
      </c>
      <c r="O148" t="s">
        <v>476</v>
      </c>
      <c r="U148">
        <v>133608.85</v>
      </c>
      <c r="V148">
        <v>414267.28</v>
      </c>
      <c r="W148">
        <v>6.36</v>
      </c>
      <c r="X148" t="s">
        <v>487</v>
      </c>
      <c r="Y148" t="s">
        <v>550</v>
      </c>
      <c r="Z148" s="2">
        <v>45182</v>
      </c>
      <c r="AA148" t="s">
        <v>564</v>
      </c>
      <c r="AB148" t="s">
        <v>637</v>
      </c>
      <c r="AC148" t="s">
        <v>700</v>
      </c>
      <c r="AD148" t="s">
        <v>702</v>
      </c>
      <c r="AE148" t="s">
        <v>711</v>
      </c>
      <c r="AF148">
        <v>0.46</v>
      </c>
      <c r="AH148" t="s">
        <v>726</v>
      </c>
      <c r="AI148" t="s">
        <v>768</v>
      </c>
      <c r="AJ148" t="s">
        <v>774</v>
      </c>
      <c r="AK148">
        <v>2.06</v>
      </c>
      <c r="AL148">
        <v>1.82</v>
      </c>
      <c r="AM148">
        <v>4.3</v>
      </c>
      <c r="AN148">
        <v>4.54</v>
      </c>
      <c r="AO148">
        <v>15.9</v>
      </c>
      <c r="AP148" t="s">
        <v>786</v>
      </c>
      <c r="AQ148" t="s">
        <v>788</v>
      </c>
      <c r="AR148" t="s">
        <v>931</v>
      </c>
      <c r="AS148" t="s">
        <v>700</v>
      </c>
      <c r="AT148" t="s">
        <v>993</v>
      </c>
      <c r="AU148" s="2">
        <v>45279</v>
      </c>
      <c r="AV148" t="s">
        <v>1117</v>
      </c>
      <c r="AX148">
        <v>1.94</v>
      </c>
      <c r="QZ148" t="s">
        <v>1368</v>
      </c>
      <c r="RA148" t="s">
        <v>1368</v>
      </c>
    </row>
    <row r="149" spans="2:473" x14ac:dyDescent="0.3">
      <c r="B149" t="b">
        <v>1</v>
      </c>
      <c r="F149" t="b">
        <v>0</v>
      </c>
      <c r="G149" t="b">
        <v>0</v>
      </c>
      <c r="H149" t="b">
        <v>0</v>
      </c>
      <c r="I149" t="b">
        <v>0</v>
      </c>
      <c r="K149" t="s">
        <v>474</v>
      </c>
      <c r="L149" t="s">
        <v>475</v>
      </c>
      <c r="O149" t="s">
        <v>476</v>
      </c>
      <c r="U149">
        <v>133608.85</v>
      </c>
      <c r="V149">
        <v>414267.28</v>
      </c>
      <c r="W149">
        <v>6.36</v>
      </c>
      <c r="X149" t="s">
        <v>487</v>
      </c>
      <c r="Y149" t="s">
        <v>550</v>
      </c>
      <c r="Z149" s="2">
        <v>45182</v>
      </c>
      <c r="AA149" t="s">
        <v>564</v>
      </c>
      <c r="AB149" t="s">
        <v>637</v>
      </c>
      <c r="AC149" t="s">
        <v>700</v>
      </c>
      <c r="AD149" t="s">
        <v>702</v>
      </c>
      <c r="AE149" t="s">
        <v>711</v>
      </c>
      <c r="AF149">
        <v>0.46</v>
      </c>
      <c r="AH149" t="s">
        <v>727</v>
      </c>
      <c r="AI149" t="s">
        <v>768</v>
      </c>
      <c r="AJ149" t="s">
        <v>774</v>
      </c>
      <c r="AK149">
        <v>1.06</v>
      </c>
      <c r="AL149">
        <v>0.81</v>
      </c>
      <c r="AM149">
        <v>5.3</v>
      </c>
      <c r="AN149">
        <v>5.55</v>
      </c>
      <c r="AO149">
        <v>9.1</v>
      </c>
      <c r="AP149" t="s">
        <v>786</v>
      </c>
      <c r="AQ149" t="s">
        <v>788</v>
      </c>
      <c r="AR149" t="s">
        <v>932</v>
      </c>
      <c r="AS149" t="s">
        <v>700</v>
      </c>
      <c r="AT149" t="s">
        <v>993</v>
      </c>
      <c r="AU149" s="2">
        <v>45279</v>
      </c>
      <c r="AV149" t="s">
        <v>1118</v>
      </c>
      <c r="AX149">
        <v>0.94</v>
      </c>
      <c r="QZ149" t="s">
        <v>1368</v>
      </c>
      <c r="RA149" t="s">
        <v>1368</v>
      </c>
    </row>
    <row r="150" spans="2:473" x14ac:dyDescent="0.3">
      <c r="B150" t="b">
        <v>1</v>
      </c>
      <c r="F150" t="b">
        <v>0</v>
      </c>
      <c r="G150" t="b">
        <v>0</v>
      </c>
      <c r="H150" t="b">
        <v>0</v>
      </c>
      <c r="I150" t="b">
        <v>0</v>
      </c>
      <c r="K150" t="s">
        <v>474</v>
      </c>
      <c r="L150" t="s">
        <v>475</v>
      </c>
      <c r="O150" t="s">
        <v>476</v>
      </c>
      <c r="U150">
        <v>133608.85</v>
      </c>
      <c r="V150">
        <v>414267.28</v>
      </c>
      <c r="W150">
        <v>6.36</v>
      </c>
      <c r="X150" t="s">
        <v>487</v>
      </c>
      <c r="Y150" t="s">
        <v>550</v>
      </c>
      <c r="Z150" s="2">
        <v>45182</v>
      </c>
      <c r="AA150" t="s">
        <v>564</v>
      </c>
      <c r="AB150" t="s">
        <v>637</v>
      </c>
      <c r="AC150" t="s">
        <v>700</v>
      </c>
      <c r="AD150" t="s">
        <v>702</v>
      </c>
      <c r="AE150" t="s">
        <v>711</v>
      </c>
      <c r="AF150">
        <v>0.46</v>
      </c>
      <c r="AH150" t="s">
        <v>717</v>
      </c>
      <c r="AI150" t="s">
        <v>768</v>
      </c>
      <c r="AJ150" t="s">
        <v>774</v>
      </c>
      <c r="AK150">
        <v>0.56000000000000005</v>
      </c>
      <c r="AL150">
        <v>0.39</v>
      </c>
      <c r="AM150">
        <v>5.8</v>
      </c>
      <c r="AN150">
        <v>5.97</v>
      </c>
      <c r="AO150">
        <v>10.1</v>
      </c>
      <c r="AP150" t="s">
        <v>786</v>
      </c>
      <c r="AQ150" t="s">
        <v>788</v>
      </c>
      <c r="AR150" t="s">
        <v>933</v>
      </c>
      <c r="AS150" t="s">
        <v>700</v>
      </c>
      <c r="AT150" t="s">
        <v>993</v>
      </c>
      <c r="AU150" s="2">
        <v>45279</v>
      </c>
      <c r="AV150" t="s">
        <v>1067</v>
      </c>
      <c r="AX150">
        <v>0.51</v>
      </c>
      <c r="AY150">
        <v>16.7</v>
      </c>
      <c r="AZ150">
        <v>12.1</v>
      </c>
      <c r="BA150">
        <v>37.799999999999997</v>
      </c>
      <c r="QZ150" t="s">
        <v>1368</v>
      </c>
      <c r="RA150" t="s">
        <v>1368</v>
      </c>
    </row>
    <row r="151" spans="2:473" x14ac:dyDescent="0.3">
      <c r="B151" t="b">
        <v>1</v>
      </c>
      <c r="F151" t="b">
        <v>0</v>
      </c>
      <c r="G151" t="b">
        <v>0</v>
      </c>
      <c r="H151" t="b">
        <v>0</v>
      </c>
      <c r="I151" t="b">
        <v>0</v>
      </c>
      <c r="K151" t="s">
        <v>474</v>
      </c>
      <c r="L151" t="s">
        <v>475</v>
      </c>
      <c r="O151" t="s">
        <v>476</v>
      </c>
      <c r="U151">
        <v>133608.85</v>
      </c>
      <c r="V151">
        <v>414267.28</v>
      </c>
      <c r="W151">
        <v>6.36</v>
      </c>
      <c r="X151" t="s">
        <v>487</v>
      </c>
      <c r="Y151" t="s">
        <v>550</v>
      </c>
      <c r="Z151" s="2">
        <v>45182</v>
      </c>
      <c r="AA151" t="s">
        <v>564</v>
      </c>
      <c r="AB151" t="s">
        <v>637</v>
      </c>
      <c r="AC151" t="s">
        <v>700</v>
      </c>
      <c r="AD151" t="s">
        <v>702</v>
      </c>
      <c r="AE151" t="s">
        <v>711</v>
      </c>
      <c r="AF151">
        <v>0.46</v>
      </c>
      <c r="AH151" t="s">
        <v>718</v>
      </c>
      <c r="AI151" t="s">
        <v>768</v>
      </c>
      <c r="AJ151" t="s">
        <v>774</v>
      </c>
      <c r="AK151">
        <v>0.06</v>
      </c>
      <c r="AL151">
        <v>-0.34</v>
      </c>
      <c r="AM151">
        <v>6.3</v>
      </c>
      <c r="AN151">
        <v>6.7</v>
      </c>
      <c r="AO151">
        <v>12.8</v>
      </c>
      <c r="AP151" t="s">
        <v>786</v>
      </c>
      <c r="AQ151" t="s">
        <v>788</v>
      </c>
      <c r="AR151" t="s">
        <v>934</v>
      </c>
      <c r="AS151" t="s">
        <v>700</v>
      </c>
      <c r="AT151" t="s">
        <v>993</v>
      </c>
      <c r="AU151" s="2">
        <v>45279</v>
      </c>
      <c r="AV151" t="s">
        <v>1066</v>
      </c>
      <c r="AX151">
        <v>0.01</v>
      </c>
      <c r="AY151">
        <v>18.8</v>
      </c>
      <c r="AZ151">
        <v>14.7</v>
      </c>
      <c r="BA151">
        <v>27.9</v>
      </c>
      <c r="QZ151" t="s">
        <v>1368</v>
      </c>
      <c r="RA151" t="s">
        <v>1368</v>
      </c>
    </row>
    <row r="152" spans="2:473" x14ac:dyDescent="0.3">
      <c r="B152" t="b">
        <v>1</v>
      </c>
      <c r="F152" t="b">
        <v>1</v>
      </c>
      <c r="G152" t="b">
        <v>0</v>
      </c>
      <c r="H152" t="b">
        <v>0</v>
      </c>
      <c r="I152" t="b">
        <v>1</v>
      </c>
      <c r="K152" t="s">
        <v>474</v>
      </c>
      <c r="L152" t="s">
        <v>475</v>
      </c>
      <c r="O152" t="s">
        <v>476</v>
      </c>
      <c r="U152">
        <v>133608.85</v>
      </c>
      <c r="V152">
        <v>414267.28</v>
      </c>
      <c r="W152">
        <v>6.36</v>
      </c>
      <c r="X152" t="s">
        <v>487</v>
      </c>
      <c r="Y152" t="s">
        <v>550</v>
      </c>
      <c r="Z152" s="2">
        <v>45182</v>
      </c>
      <c r="AA152" t="s">
        <v>564</v>
      </c>
      <c r="AB152" t="s">
        <v>637</v>
      </c>
      <c r="AC152" t="s">
        <v>700</v>
      </c>
      <c r="AD152" t="s">
        <v>702</v>
      </c>
      <c r="AE152" t="s">
        <v>711</v>
      </c>
      <c r="AF152">
        <v>0.46</v>
      </c>
      <c r="AH152" t="s">
        <v>731</v>
      </c>
      <c r="AI152" t="s">
        <v>768</v>
      </c>
      <c r="AJ152" t="s">
        <v>774</v>
      </c>
      <c r="AK152">
        <v>-0.94</v>
      </c>
      <c r="AL152">
        <v>-1.276</v>
      </c>
      <c r="AM152">
        <v>7.3</v>
      </c>
      <c r="AN152">
        <v>7.6360000000000001</v>
      </c>
      <c r="AP152" t="s">
        <v>786</v>
      </c>
      <c r="AQ152" t="s">
        <v>788</v>
      </c>
      <c r="AR152" t="s">
        <v>935</v>
      </c>
      <c r="AS152" t="s">
        <v>700</v>
      </c>
      <c r="AT152" t="s">
        <v>993</v>
      </c>
      <c r="AU152" s="2">
        <v>45279</v>
      </c>
      <c r="AV152" t="s">
        <v>1095</v>
      </c>
      <c r="AX152">
        <v>-1.0900000000000001</v>
      </c>
      <c r="AY152">
        <v>18.899999999999999</v>
      </c>
      <c r="AZ152">
        <v>14.1</v>
      </c>
      <c r="BA152">
        <v>33.799999999999997</v>
      </c>
      <c r="DZ152" t="s">
        <v>1235</v>
      </c>
      <c r="EA152" t="s">
        <v>1250</v>
      </c>
      <c r="EB152" t="s">
        <v>1265</v>
      </c>
      <c r="EC152" t="s">
        <v>1266</v>
      </c>
      <c r="ED152" t="s">
        <v>1267</v>
      </c>
      <c r="EE152" s="2">
        <v>45201</v>
      </c>
      <c r="EF152" t="s">
        <v>1268</v>
      </c>
      <c r="EH152">
        <v>-1.01</v>
      </c>
      <c r="EI152">
        <v>110.3</v>
      </c>
      <c r="EJ152">
        <v>18.68</v>
      </c>
      <c r="EK152">
        <v>14.33</v>
      </c>
      <c r="EL152">
        <v>30.34</v>
      </c>
      <c r="EM152">
        <v>24.84</v>
      </c>
      <c r="EN152">
        <v>96.06</v>
      </c>
      <c r="EO152">
        <v>21.7</v>
      </c>
      <c r="EP152">
        <v>19.8</v>
      </c>
      <c r="EQ152">
        <v>65.44</v>
      </c>
      <c r="ER152">
        <v>18.8</v>
      </c>
      <c r="ES152">
        <v>18.53</v>
      </c>
      <c r="ET152">
        <v>15.26</v>
      </c>
      <c r="EU152">
        <v>0.5</v>
      </c>
      <c r="EV152">
        <v>-0.1</v>
      </c>
      <c r="EW152">
        <v>16</v>
      </c>
      <c r="EX152">
        <v>650.20000000000005</v>
      </c>
      <c r="EY152">
        <v>547.79999999999995</v>
      </c>
      <c r="EZ152">
        <v>403.6</v>
      </c>
      <c r="FA152">
        <v>223.8</v>
      </c>
      <c r="FB152">
        <v>1096</v>
      </c>
      <c r="FC152">
        <v>5.26</v>
      </c>
      <c r="FD152">
        <v>178.7</v>
      </c>
      <c r="FE152">
        <v>6.25</v>
      </c>
      <c r="FF152">
        <v>635.9</v>
      </c>
      <c r="FG152">
        <v>4.4000000000000003E-3</v>
      </c>
      <c r="FH152">
        <v>8.2299999999999998E-2</v>
      </c>
      <c r="FI152">
        <v>2.8999999999999998E-3</v>
      </c>
      <c r="NG152" t="s">
        <v>1313</v>
      </c>
      <c r="NH152" t="s">
        <v>1334</v>
      </c>
      <c r="NI152" t="s">
        <v>1355</v>
      </c>
      <c r="NJ152" t="s">
        <v>1266</v>
      </c>
      <c r="NK152" t="s">
        <v>1356</v>
      </c>
      <c r="NL152" s="2">
        <v>45215</v>
      </c>
      <c r="NM152" t="s">
        <v>1268</v>
      </c>
      <c r="NO152">
        <v>-1.0900000000000001</v>
      </c>
      <c r="NP152">
        <v>110.3</v>
      </c>
      <c r="NQ152">
        <v>18.920000000000002</v>
      </c>
      <c r="NR152">
        <v>14.14</v>
      </c>
      <c r="NS152">
        <v>30.84</v>
      </c>
      <c r="NT152">
        <v>33.76</v>
      </c>
      <c r="NU152">
        <v>106.26</v>
      </c>
      <c r="NV152">
        <v>0.85</v>
      </c>
      <c r="NW152">
        <v>2660</v>
      </c>
      <c r="NX152">
        <v>21.3</v>
      </c>
      <c r="NY152">
        <v>21.3</v>
      </c>
      <c r="NZ152">
        <v>50</v>
      </c>
      <c r="OA152">
        <v>100</v>
      </c>
      <c r="OB152" t="s">
        <v>1360</v>
      </c>
      <c r="OC152" t="s">
        <v>1361</v>
      </c>
      <c r="OD152" t="s">
        <v>1362</v>
      </c>
      <c r="OE152">
        <v>299</v>
      </c>
      <c r="OF152" t="s">
        <v>1363</v>
      </c>
      <c r="OG152">
        <v>0.61</v>
      </c>
      <c r="OH152" t="s">
        <v>1364</v>
      </c>
      <c r="OI152">
        <v>66.78</v>
      </c>
      <c r="OJ152">
        <v>0.78</v>
      </c>
      <c r="OK152">
        <v>86.98</v>
      </c>
      <c r="OL152">
        <v>21.81</v>
      </c>
      <c r="OM152">
        <v>86.98</v>
      </c>
      <c r="ON152">
        <v>21.81</v>
      </c>
      <c r="OO152">
        <v>1</v>
      </c>
      <c r="OP152">
        <v>2.42</v>
      </c>
      <c r="OQ152">
        <v>6.02</v>
      </c>
      <c r="OR152" t="s">
        <v>1365</v>
      </c>
      <c r="OS152">
        <v>0.98</v>
      </c>
      <c r="OT152">
        <v>86.55</v>
      </c>
      <c r="OU152">
        <v>49.18</v>
      </c>
      <c r="OV152">
        <v>94.09</v>
      </c>
      <c r="OW152">
        <v>59.42</v>
      </c>
      <c r="OX152">
        <v>113.1</v>
      </c>
      <c r="OY152">
        <v>68.72</v>
      </c>
      <c r="OZ152">
        <v>113.6</v>
      </c>
      <c r="PA152">
        <v>68.959999999999994</v>
      </c>
      <c r="PB152">
        <v>15.46</v>
      </c>
      <c r="PC152">
        <v>116.7</v>
      </c>
      <c r="PD152">
        <v>67.099999999999994</v>
      </c>
      <c r="PE152">
        <v>25</v>
      </c>
      <c r="PF152">
        <v>3.58</v>
      </c>
      <c r="PG152">
        <v>1.32</v>
      </c>
      <c r="PH152">
        <v>0.15</v>
      </c>
      <c r="QS152" t="s">
        <v>1366</v>
      </c>
      <c r="QV152">
        <v>110.3</v>
      </c>
      <c r="QW152">
        <v>178.7</v>
      </c>
      <c r="QX152">
        <v>108.79</v>
      </c>
      <c r="QZ152" t="s">
        <v>1369</v>
      </c>
      <c r="RA152" t="s">
        <v>1368</v>
      </c>
      <c r="RD152">
        <v>178.7</v>
      </c>
      <c r="RE152">
        <v>1.6426142108649691</v>
      </c>
    </row>
    <row r="153" spans="2:473" x14ac:dyDescent="0.3">
      <c r="B153" t="b">
        <v>1</v>
      </c>
      <c r="F153" t="b">
        <v>0</v>
      </c>
      <c r="G153" t="b">
        <v>0</v>
      </c>
      <c r="H153" t="b">
        <v>0</v>
      </c>
      <c r="I153" t="b">
        <v>0</v>
      </c>
      <c r="K153" t="s">
        <v>474</v>
      </c>
      <c r="L153" t="s">
        <v>475</v>
      </c>
      <c r="O153" t="s">
        <v>476</v>
      </c>
      <c r="U153">
        <v>133608.85</v>
      </c>
      <c r="V153">
        <v>414267.28</v>
      </c>
      <c r="W153">
        <v>6.36</v>
      </c>
      <c r="X153" t="s">
        <v>487</v>
      </c>
      <c r="Y153" t="s">
        <v>550</v>
      </c>
      <c r="Z153" s="2">
        <v>45182</v>
      </c>
      <c r="AA153" t="s">
        <v>564</v>
      </c>
      <c r="AB153" t="s">
        <v>637</v>
      </c>
      <c r="AC153" t="s">
        <v>700</v>
      </c>
      <c r="AD153" t="s">
        <v>702</v>
      </c>
      <c r="AE153" t="s">
        <v>711</v>
      </c>
      <c r="AF153">
        <v>0.46</v>
      </c>
      <c r="AH153" t="s">
        <v>742</v>
      </c>
      <c r="AI153" t="s">
        <v>768</v>
      </c>
      <c r="AJ153" t="s">
        <v>774</v>
      </c>
      <c r="AK153">
        <v>-1.44</v>
      </c>
      <c r="AL153">
        <v>-1.51</v>
      </c>
      <c r="AM153">
        <v>7.8</v>
      </c>
      <c r="AN153">
        <v>7.87</v>
      </c>
      <c r="AP153" t="s">
        <v>786</v>
      </c>
      <c r="AQ153" t="s">
        <v>788</v>
      </c>
      <c r="AR153" t="s">
        <v>936</v>
      </c>
      <c r="AS153" t="s">
        <v>700</v>
      </c>
      <c r="AT153" t="s">
        <v>993</v>
      </c>
      <c r="AU153" s="2">
        <v>45279</v>
      </c>
      <c r="AV153" t="s">
        <v>1095</v>
      </c>
      <c r="AX153">
        <v>-1.48</v>
      </c>
      <c r="QZ153" t="s">
        <v>1368</v>
      </c>
      <c r="RA153" t="s">
        <v>1368</v>
      </c>
    </row>
    <row r="154" spans="2:473" x14ac:dyDescent="0.3">
      <c r="B154" t="b">
        <v>1</v>
      </c>
      <c r="F154" t="b">
        <v>0</v>
      </c>
      <c r="G154" t="b">
        <v>0</v>
      </c>
      <c r="H154" t="b">
        <v>0</v>
      </c>
      <c r="I154" t="b">
        <v>0</v>
      </c>
      <c r="K154" t="s">
        <v>474</v>
      </c>
      <c r="L154" t="s">
        <v>475</v>
      </c>
      <c r="O154" t="s">
        <v>476</v>
      </c>
      <c r="U154">
        <v>133608.85</v>
      </c>
      <c r="V154">
        <v>414267.28</v>
      </c>
      <c r="W154">
        <v>6.36</v>
      </c>
      <c r="X154" t="s">
        <v>487</v>
      </c>
      <c r="Y154" t="s">
        <v>550</v>
      </c>
      <c r="Z154" s="2">
        <v>45182</v>
      </c>
      <c r="AA154" t="s">
        <v>564</v>
      </c>
      <c r="AB154" t="s">
        <v>637</v>
      </c>
      <c r="AC154" t="s">
        <v>700</v>
      </c>
      <c r="AD154" t="s">
        <v>702</v>
      </c>
      <c r="AE154" t="s">
        <v>711</v>
      </c>
      <c r="AF154">
        <v>0.46</v>
      </c>
      <c r="AH154" t="s">
        <v>743</v>
      </c>
      <c r="AI154" t="s">
        <v>768</v>
      </c>
      <c r="AJ154" t="s">
        <v>774</v>
      </c>
      <c r="AK154">
        <v>-1.51</v>
      </c>
      <c r="AL154">
        <v>-1.63</v>
      </c>
      <c r="AM154">
        <v>7.87</v>
      </c>
      <c r="AN154">
        <v>7.99</v>
      </c>
      <c r="AO154">
        <v>10.8</v>
      </c>
      <c r="AP154" t="s">
        <v>786</v>
      </c>
      <c r="AQ154" t="s">
        <v>788</v>
      </c>
      <c r="AR154" t="s">
        <v>937</v>
      </c>
      <c r="AS154" t="s">
        <v>700</v>
      </c>
      <c r="AT154" t="s">
        <v>993</v>
      </c>
      <c r="AU154" s="2">
        <v>45279</v>
      </c>
      <c r="AV154" t="s">
        <v>1102</v>
      </c>
      <c r="AX154">
        <v>-1.57</v>
      </c>
      <c r="CD154" t="s">
        <v>1165</v>
      </c>
      <c r="CE154" t="s">
        <v>1187</v>
      </c>
      <c r="CF154" t="s">
        <v>937</v>
      </c>
      <c r="CG154" t="s">
        <v>700</v>
      </c>
      <c r="CH154" t="s">
        <v>1211</v>
      </c>
      <c r="CI154" s="2">
        <v>45212</v>
      </c>
      <c r="CJ154" t="s">
        <v>1216</v>
      </c>
      <c r="CL154">
        <v>422</v>
      </c>
      <c r="CM154">
        <v>405</v>
      </c>
      <c r="CN154">
        <v>0.01</v>
      </c>
      <c r="CO154">
        <v>95.9</v>
      </c>
      <c r="CP154">
        <v>2.39</v>
      </c>
      <c r="CQ154">
        <v>100</v>
      </c>
      <c r="CR154">
        <v>100</v>
      </c>
      <c r="CS154">
        <v>100</v>
      </c>
      <c r="CT154">
        <v>100</v>
      </c>
      <c r="CU154">
        <v>100</v>
      </c>
      <c r="CV154">
        <v>99.99</v>
      </c>
      <c r="CW154">
        <v>97.77</v>
      </c>
      <c r="CX154">
        <v>61.47</v>
      </c>
      <c r="CY154">
        <v>36.01</v>
      </c>
      <c r="CZ154">
        <v>17.399999999999999</v>
      </c>
      <c r="DA154">
        <v>6.63</v>
      </c>
      <c r="DB154">
        <v>4.09</v>
      </c>
      <c r="DC154">
        <v>2.1</v>
      </c>
      <c r="DD154">
        <v>2.0299999999999998</v>
      </c>
      <c r="DE154">
        <v>2</v>
      </c>
      <c r="DF154">
        <v>1.7</v>
      </c>
      <c r="DG154">
        <v>576</v>
      </c>
      <c r="DH154">
        <v>501</v>
      </c>
      <c r="DI154">
        <v>422</v>
      </c>
      <c r="DJ154">
        <v>161</v>
      </c>
      <c r="DK154">
        <v>3.11</v>
      </c>
      <c r="QZ154" t="s">
        <v>1368</v>
      </c>
      <c r="RA154" t="s">
        <v>1368</v>
      </c>
    </row>
    <row r="155" spans="2:473" x14ac:dyDescent="0.3">
      <c r="B155" t="b">
        <v>1</v>
      </c>
      <c r="F155" t="b">
        <v>0</v>
      </c>
      <c r="G155" t="b">
        <v>0</v>
      </c>
      <c r="H155" t="b">
        <v>0</v>
      </c>
      <c r="I155" t="b">
        <v>0</v>
      </c>
      <c r="K155" t="s">
        <v>474</v>
      </c>
      <c r="L155" t="s">
        <v>475</v>
      </c>
      <c r="O155" t="s">
        <v>476</v>
      </c>
      <c r="U155">
        <v>133608.85</v>
      </c>
      <c r="V155">
        <v>414267.28</v>
      </c>
      <c r="W155">
        <v>6.36</v>
      </c>
      <c r="X155" t="s">
        <v>487</v>
      </c>
      <c r="Y155" t="s">
        <v>550</v>
      </c>
      <c r="Z155" s="2">
        <v>45182</v>
      </c>
      <c r="AA155" t="s">
        <v>564</v>
      </c>
      <c r="AB155" t="s">
        <v>637</v>
      </c>
      <c r="AC155" t="s">
        <v>700</v>
      </c>
      <c r="AD155" t="s">
        <v>702</v>
      </c>
      <c r="AE155" t="s">
        <v>711</v>
      </c>
      <c r="AF155">
        <v>0.46</v>
      </c>
      <c r="AH155" t="s">
        <v>733</v>
      </c>
      <c r="AI155" t="s">
        <v>768</v>
      </c>
      <c r="AJ155" t="s">
        <v>774</v>
      </c>
      <c r="AK155">
        <v>-4.9400000000000004</v>
      </c>
      <c r="AL155">
        <v>-5.28</v>
      </c>
      <c r="AM155">
        <v>11.3</v>
      </c>
      <c r="AN155">
        <v>11.64</v>
      </c>
      <c r="AO155">
        <v>17.899999999999999</v>
      </c>
      <c r="AP155" t="s">
        <v>786</v>
      </c>
      <c r="AQ155" t="s">
        <v>788</v>
      </c>
      <c r="AR155" t="s">
        <v>938</v>
      </c>
      <c r="AS155" t="s">
        <v>700</v>
      </c>
      <c r="AT155" t="s">
        <v>993</v>
      </c>
      <c r="AU155" s="2">
        <v>45279</v>
      </c>
      <c r="AV155" t="s">
        <v>1084</v>
      </c>
      <c r="AX155">
        <v>-5.1100000000000003</v>
      </c>
      <c r="QZ155" t="s">
        <v>1368</v>
      </c>
      <c r="RA155" t="s">
        <v>1368</v>
      </c>
    </row>
    <row r="156" spans="2:473" x14ac:dyDescent="0.3">
      <c r="B156" t="b">
        <v>1</v>
      </c>
      <c r="F156" t="b">
        <v>0</v>
      </c>
      <c r="G156" t="b">
        <v>0</v>
      </c>
      <c r="H156" t="b">
        <v>0</v>
      </c>
      <c r="I156" t="b">
        <v>0</v>
      </c>
      <c r="K156" t="s">
        <v>474</v>
      </c>
      <c r="L156" t="s">
        <v>475</v>
      </c>
      <c r="O156" t="s">
        <v>476</v>
      </c>
      <c r="U156">
        <v>133608.85</v>
      </c>
      <c r="V156">
        <v>414267.28</v>
      </c>
      <c r="W156">
        <v>6.36</v>
      </c>
      <c r="X156" t="s">
        <v>487</v>
      </c>
      <c r="Y156" t="s">
        <v>550</v>
      </c>
      <c r="Z156" s="2">
        <v>45182</v>
      </c>
      <c r="AA156" t="s">
        <v>564</v>
      </c>
      <c r="AB156" t="s">
        <v>637</v>
      </c>
      <c r="AC156" t="s">
        <v>700</v>
      </c>
      <c r="AD156" t="s">
        <v>702</v>
      </c>
      <c r="AE156" t="s">
        <v>711</v>
      </c>
      <c r="AF156">
        <v>0.46</v>
      </c>
      <c r="AH156" t="s">
        <v>734</v>
      </c>
      <c r="AI156" t="s">
        <v>768</v>
      </c>
      <c r="AJ156" t="s">
        <v>774</v>
      </c>
      <c r="AK156">
        <v>-5.44</v>
      </c>
      <c r="AL156">
        <v>-5.77</v>
      </c>
      <c r="AM156">
        <v>11.8</v>
      </c>
      <c r="AN156">
        <v>12.13</v>
      </c>
      <c r="AO156">
        <v>16.899999999999999</v>
      </c>
      <c r="AP156" t="s">
        <v>786</v>
      </c>
      <c r="AQ156" t="s">
        <v>788</v>
      </c>
      <c r="AR156" t="s">
        <v>939</v>
      </c>
      <c r="AS156" t="s">
        <v>700</v>
      </c>
      <c r="AT156" t="s">
        <v>993</v>
      </c>
      <c r="AU156" s="2">
        <v>45279</v>
      </c>
      <c r="AV156" t="s">
        <v>1084</v>
      </c>
      <c r="AX156">
        <v>-5.61</v>
      </c>
      <c r="QZ156" t="s">
        <v>1368</v>
      </c>
      <c r="RA156" t="s">
        <v>1368</v>
      </c>
    </row>
    <row r="157" spans="2:473" x14ac:dyDescent="0.3">
      <c r="B157" t="b">
        <v>1</v>
      </c>
      <c r="F157" t="b">
        <v>0</v>
      </c>
      <c r="G157" t="b">
        <v>0</v>
      </c>
      <c r="H157" t="b">
        <v>0</v>
      </c>
      <c r="I157" t="b">
        <v>0</v>
      </c>
      <c r="K157" t="s">
        <v>474</v>
      </c>
      <c r="L157" t="s">
        <v>475</v>
      </c>
      <c r="O157" t="s">
        <v>476</v>
      </c>
      <c r="U157">
        <v>133608.85</v>
      </c>
      <c r="V157">
        <v>414267.28</v>
      </c>
      <c r="W157">
        <v>6.36</v>
      </c>
      <c r="X157" t="s">
        <v>487</v>
      </c>
      <c r="Y157" t="s">
        <v>550</v>
      </c>
      <c r="Z157" s="2">
        <v>45182</v>
      </c>
      <c r="AA157" t="s">
        <v>564</v>
      </c>
      <c r="AB157" t="s">
        <v>637</v>
      </c>
      <c r="AC157" t="s">
        <v>700</v>
      </c>
      <c r="AD157" t="s">
        <v>702</v>
      </c>
      <c r="AE157" t="s">
        <v>711</v>
      </c>
      <c r="AF157">
        <v>0.46</v>
      </c>
      <c r="AH157" t="s">
        <v>757</v>
      </c>
      <c r="AI157" t="s">
        <v>768</v>
      </c>
      <c r="AJ157" t="s">
        <v>774</v>
      </c>
      <c r="AK157">
        <v>-9.94</v>
      </c>
      <c r="AL157">
        <v>-10.07</v>
      </c>
      <c r="AM157">
        <v>16.3</v>
      </c>
      <c r="AN157">
        <v>16.43</v>
      </c>
      <c r="AO157">
        <v>19.2</v>
      </c>
      <c r="AP157" t="s">
        <v>786</v>
      </c>
      <c r="AQ157" t="s">
        <v>788</v>
      </c>
      <c r="AR157" t="s">
        <v>940</v>
      </c>
      <c r="AS157" t="s">
        <v>700</v>
      </c>
      <c r="AT157" t="s">
        <v>993</v>
      </c>
      <c r="AU157" s="2">
        <v>45279</v>
      </c>
      <c r="AV157" t="s">
        <v>1084</v>
      </c>
      <c r="AX157">
        <v>-10.01</v>
      </c>
      <c r="QZ157" t="s">
        <v>1368</v>
      </c>
      <c r="RA157" t="s">
        <v>1368</v>
      </c>
    </row>
    <row r="158" spans="2:473" x14ac:dyDescent="0.3">
      <c r="B158" t="b">
        <v>1</v>
      </c>
      <c r="F158" t="b">
        <v>0</v>
      </c>
      <c r="G158" t="b">
        <v>0</v>
      </c>
      <c r="H158" t="b">
        <v>0</v>
      </c>
      <c r="I158" t="b">
        <v>0</v>
      </c>
      <c r="K158" t="s">
        <v>474</v>
      </c>
      <c r="L158" t="s">
        <v>475</v>
      </c>
      <c r="O158" t="s">
        <v>476</v>
      </c>
      <c r="U158">
        <v>133608.85</v>
      </c>
      <c r="V158">
        <v>414267.28</v>
      </c>
      <c r="W158">
        <v>6.36</v>
      </c>
      <c r="X158" t="s">
        <v>487</v>
      </c>
      <c r="Y158" t="s">
        <v>550</v>
      </c>
      <c r="Z158" s="2">
        <v>45182</v>
      </c>
      <c r="AA158" t="s">
        <v>564</v>
      </c>
      <c r="AB158" t="s">
        <v>637</v>
      </c>
      <c r="AC158" t="s">
        <v>700</v>
      </c>
      <c r="AD158" t="s">
        <v>702</v>
      </c>
      <c r="AE158" t="s">
        <v>711</v>
      </c>
      <c r="AF158">
        <v>0.46</v>
      </c>
      <c r="AH158" t="s">
        <v>758</v>
      </c>
      <c r="AI158" t="s">
        <v>768</v>
      </c>
      <c r="AJ158" t="s">
        <v>774</v>
      </c>
      <c r="AK158">
        <v>-10.07</v>
      </c>
      <c r="AL158">
        <v>-10.34</v>
      </c>
      <c r="AM158">
        <v>16.43</v>
      </c>
      <c r="AN158">
        <v>16.7</v>
      </c>
      <c r="AP158" t="s">
        <v>786</v>
      </c>
      <c r="AQ158" t="s">
        <v>788</v>
      </c>
      <c r="AR158" t="s">
        <v>941</v>
      </c>
      <c r="AS158" t="s">
        <v>700</v>
      </c>
      <c r="AT158" t="s">
        <v>993</v>
      </c>
      <c r="AU158" s="2">
        <v>45279</v>
      </c>
      <c r="AV158" t="s">
        <v>1119</v>
      </c>
      <c r="AX158">
        <v>-10.210000000000001</v>
      </c>
      <c r="QZ158" t="s">
        <v>1368</v>
      </c>
      <c r="RA158" t="s">
        <v>1368</v>
      </c>
    </row>
    <row r="159" spans="2:473" x14ac:dyDescent="0.3">
      <c r="B159" t="b">
        <v>1</v>
      </c>
      <c r="F159" t="b">
        <v>0</v>
      </c>
      <c r="G159" t="b">
        <v>0</v>
      </c>
      <c r="H159" t="b">
        <v>0</v>
      </c>
      <c r="I159" t="b">
        <v>0</v>
      </c>
      <c r="K159" t="s">
        <v>474</v>
      </c>
      <c r="L159" t="s">
        <v>475</v>
      </c>
      <c r="O159" t="s">
        <v>476</v>
      </c>
      <c r="U159">
        <v>133608.85</v>
      </c>
      <c r="V159">
        <v>414267.28</v>
      </c>
      <c r="W159">
        <v>6.36</v>
      </c>
      <c r="X159" t="s">
        <v>487</v>
      </c>
      <c r="Y159" t="s">
        <v>550</v>
      </c>
      <c r="Z159" s="2">
        <v>45182</v>
      </c>
      <c r="AA159" t="s">
        <v>564</v>
      </c>
      <c r="AB159" t="s">
        <v>637</v>
      </c>
      <c r="AC159" t="s">
        <v>700</v>
      </c>
      <c r="AD159" t="s">
        <v>702</v>
      </c>
      <c r="AE159" t="s">
        <v>711</v>
      </c>
      <c r="AF159">
        <v>0.46</v>
      </c>
      <c r="AH159" t="s">
        <v>759</v>
      </c>
      <c r="AI159" t="s">
        <v>768</v>
      </c>
      <c r="AJ159" t="s">
        <v>774</v>
      </c>
      <c r="AK159">
        <v>-10.44</v>
      </c>
      <c r="AL159">
        <v>-10.61</v>
      </c>
      <c r="AM159">
        <v>16.8</v>
      </c>
      <c r="AN159">
        <v>16.97</v>
      </c>
      <c r="AO159">
        <v>16.100000000000001</v>
      </c>
      <c r="AP159" t="s">
        <v>786</v>
      </c>
      <c r="AQ159" t="s">
        <v>788</v>
      </c>
      <c r="AR159" t="s">
        <v>942</v>
      </c>
      <c r="AS159" t="s">
        <v>700</v>
      </c>
      <c r="AT159" t="s">
        <v>993</v>
      </c>
      <c r="AU159" s="2">
        <v>45279</v>
      </c>
      <c r="AV159" t="s">
        <v>1119</v>
      </c>
      <c r="AX159">
        <v>-10.53</v>
      </c>
      <c r="QZ159" t="s">
        <v>1368</v>
      </c>
      <c r="RA159" t="s">
        <v>1368</v>
      </c>
    </row>
    <row r="160" spans="2:473" x14ac:dyDescent="0.3">
      <c r="B160" t="b">
        <v>1</v>
      </c>
      <c r="F160" t="b">
        <v>0</v>
      </c>
      <c r="G160" t="b">
        <v>0</v>
      </c>
      <c r="H160" t="b">
        <v>0</v>
      </c>
      <c r="I160" t="b">
        <v>0</v>
      </c>
      <c r="K160" t="s">
        <v>474</v>
      </c>
      <c r="L160" t="s">
        <v>475</v>
      </c>
      <c r="O160" t="s">
        <v>476</v>
      </c>
      <c r="U160">
        <v>133608.85</v>
      </c>
      <c r="V160">
        <v>414267.28</v>
      </c>
      <c r="W160">
        <v>6.36</v>
      </c>
      <c r="X160" t="s">
        <v>487</v>
      </c>
      <c r="Y160" t="s">
        <v>550</v>
      </c>
      <c r="Z160" s="2">
        <v>45182</v>
      </c>
      <c r="AA160" t="s">
        <v>564</v>
      </c>
      <c r="AB160" t="s">
        <v>637</v>
      </c>
      <c r="AC160" t="s">
        <v>700</v>
      </c>
      <c r="AD160" t="s">
        <v>702</v>
      </c>
      <c r="AE160" t="s">
        <v>711</v>
      </c>
      <c r="AF160">
        <v>0.46</v>
      </c>
      <c r="AH160" t="s">
        <v>760</v>
      </c>
      <c r="AI160" t="s">
        <v>768</v>
      </c>
      <c r="AJ160" t="s">
        <v>774</v>
      </c>
      <c r="AK160">
        <v>-10.61</v>
      </c>
      <c r="AL160">
        <v>-10.78</v>
      </c>
      <c r="AM160">
        <v>16.97</v>
      </c>
      <c r="AN160">
        <v>17.14</v>
      </c>
      <c r="AP160" t="s">
        <v>786</v>
      </c>
      <c r="AQ160" t="s">
        <v>788</v>
      </c>
      <c r="AR160" t="s">
        <v>943</v>
      </c>
      <c r="AS160" t="s">
        <v>700</v>
      </c>
      <c r="AT160" t="s">
        <v>993</v>
      </c>
      <c r="AU160" s="2">
        <v>45279</v>
      </c>
      <c r="AV160" t="s">
        <v>1120</v>
      </c>
      <c r="AX160">
        <v>-10.7</v>
      </c>
      <c r="QZ160" t="s">
        <v>1368</v>
      </c>
      <c r="RA160" t="s">
        <v>1368</v>
      </c>
    </row>
    <row r="161" spans="2:469" x14ac:dyDescent="0.3">
      <c r="B161" t="b">
        <v>1</v>
      </c>
      <c r="F161" t="b">
        <v>0</v>
      </c>
      <c r="G161" t="b">
        <v>0</v>
      </c>
      <c r="H161" t="b">
        <v>0</v>
      </c>
      <c r="I161" t="b">
        <v>0</v>
      </c>
      <c r="K161" t="s">
        <v>474</v>
      </c>
      <c r="L161" t="s">
        <v>475</v>
      </c>
      <c r="O161" t="s">
        <v>476</v>
      </c>
      <c r="U161">
        <v>133561.10999999999</v>
      </c>
      <c r="V161">
        <v>414172.8</v>
      </c>
      <c r="W161">
        <v>1.39</v>
      </c>
      <c r="X161" t="s">
        <v>488</v>
      </c>
      <c r="Y161" t="s">
        <v>551</v>
      </c>
      <c r="Z161" s="2">
        <v>45155</v>
      </c>
      <c r="AA161" t="s">
        <v>565</v>
      </c>
      <c r="AB161" t="s">
        <v>638</v>
      </c>
      <c r="AC161" t="s">
        <v>700</v>
      </c>
      <c r="AD161" t="s">
        <v>705</v>
      </c>
      <c r="AE161" t="s">
        <v>711</v>
      </c>
      <c r="AF161">
        <v>-0.41</v>
      </c>
      <c r="AH161" t="s">
        <v>712</v>
      </c>
      <c r="AI161" t="s">
        <v>770</v>
      </c>
      <c r="AJ161" t="s">
        <v>774</v>
      </c>
      <c r="AK161">
        <v>0.89</v>
      </c>
      <c r="AL161">
        <v>0.69</v>
      </c>
      <c r="AM161">
        <v>0.5</v>
      </c>
      <c r="AN161">
        <v>0.7</v>
      </c>
      <c r="AP161" t="s">
        <v>787</v>
      </c>
      <c r="AQ161" t="s">
        <v>788</v>
      </c>
      <c r="AR161" t="s">
        <v>944</v>
      </c>
      <c r="AS161" t="s">
        <v>700</v>
      </c>
      <c r="AT161" t="s">
        <v>993</v>
      </c>
      <c r="AU161" s="2">
        <v>45279</v>
      </c>
      <c r="AV161" t="s">
        <v>1121</v>
      </c>
      <c r="AX161">
        <v>0.82</v>
      </c>
      <c r="AY161">
        <v>18.7</v>
      </c>
      <c r="AZ161">
        <v>15.9</v>
      </c>
      <c r="BA161">
        <v>17.7</v>
      </c>
      <c r="QZ161" t="s">
        <v>1368</v>
      </c>
      <c r="RA161" t="s">
        <v>1368</v>
      </c>
    </row>
    <row r="162" spans="2:469" x14ac:dyDescent="0.3">
      <c r="B162" t="b">
        <v>0</v>
      </c>
      <c r="F162" t="b">
        <v>0</v>
      </c>
      <c r="G162" t="b">
        <v>0</v>
      </c>
      <c r="H162" t="b">
        <v>0</v>
      </c>
      <c r="I162" t="b">
        <v>0</v>
      </c>
      <c r="K162" t="s">
        <v>474</v>
      </c>
      <c r="L162" t="s">
        <v>475</v>
      </c>
      <c r="O162" t="s">
        <v>476</v>
      </c>
      <c r="U162">
        <v>133561.10999999999</v>
      </c>
      <c r="V162">
        <v>414172.8</v>
      </c>
      <c r="W162">
        <v>1.39</v>
      </c>
      <c r="X162" t="s">
        <v>488</v>
      </c>
      <c r="Y162" t="s">
        <v>551</v>
      </c>
      <c r="Z162" s="2">
        <v>45155</v>
      </c>
      <c r="AA162" t="s">
        <v>565</v>
      </c>
      <c r="AB162" t="s">
        <v>638</v>
      </c>
      <c r="AC162" t="s">
        <v>700</v>
      </c>
      <c r="AD162" t="s">
        <v>705</v>
      </c>
      <c r="AE162" t="s">
        <v>711</v>
      </c>
      <c r="AF162">
        <v>-0.41</v>
      </c>
      <c r="AH162" t="s">
        <v>761</v>
      </c>
      <c r="AI162" t="s">
        <v>769</v>
      </c>
      <c r="AJ162" t="s">
        <v>775</v>
      </c>
      <c r="AK162">
        <v>-1.1100000000000001</v>
      </c>
      <c r="AL162">
        <v>-1.81</v>
      </c>
      <c r="AM162">
        <v>2.5</v>
      </c>
      <c r="AN162">
        <v>3.2</v>
      </c>
      <c r="CD162" t="s">
        <v>1166</v>
      </c>
      <c r="CE162" t="s">
        <v>788</v>
      </c>
      <c r="CF162" t="s">
        <v>1190</v>
      </c>
      <c r="CG162" t="s">
        <v>700</v>
      </c>
      <c r="CH162" t="s">
        <v>1211</v>
      </c>
      <c r="CI162" s="2">
        <v>45212</v>
      </c>
      <c r="CJ162" t="s">
        <v>1212</v>
      </c>
      <c r="CL162">
        <v>400</v>
      </c>
      <c r="CM162">
        <v>376</v>
      </c>
      <c r="CN162">
        <v>0.01</v>
      </c>
      <c r="CO162">
        <v>92.52</v>
      </c>
      <c r="CP162">
        <v>4.7699999999999996</v>
      </c>
      <c r="CQ162">
        <v>100</v>
      </c>
      <c r="CR162">
        <v>100</v>
      </c>
      <c r="CS162">
        <v>100</v>
      </c>
      <c r="CT162">
        <v>100</v>
      </c>
      <c r="CU162">
        <v>100</v>
      </c>
      <c r="CV162">
        <v>99.99</v>
      </c>
      <c r="CW162">
        <v>98.28</v>
      </c>
      <c r="CX162">
        <v>69.88</v>
      </c>
      <c r="CY162">
        <v>32.71</v>
      </c>
      <c r="CZ162">
        <v>22.76</v>
      </c>
      <c r="DA162">
        <v>12.54</v>
      </c>
      <c r="DB162">
        <v>7.47</v>
      </c>
      <c r="DC162">
        <v>4.4000000000000004</v>
      </c>
      <c r="DD162">
        <v>3.59</v>
      </c>
      <c r="DE162">
        <v>3.2</v>
      </c>
      <c r="DF162">
        <v>2.7</v>
      </c>
      <c r="DG162">
        <v>523</v>
      </c>
      <c r="DH162">
        <v>457</v>
      </c>
      <c r="DI162">
        <v>400</v>
      </c>
      <c r="DJ162">
        <v>148</v>
      </c>
      <c r="DK162">
        <v>3.1</v>
      </c>
      <c r="QZ162" t="s">
        <v>1368</v>
      </c>
      <c r="RA162" t="s">
        <v>1368</v>
      </c>
    </row>
    <row r="163" spans="2:469" x14ac:dyDescent="0.3">
      <c r="B163" t="b">
        <v>1</v>
      </c>
      <c r="F163" t="b">
        <v>0</v>
      </c>
      <c r="G163" t="b">
        <v>0</v>
      </c>
      <c r="H163" t="b">
        <v>0</v>
      </c>
      <c r="I163" t="b">
        <v>0</v>
      </c>
      <c r="K163" t="s">
        <v>474</v>
      </c>
      <c r="L163" t="s">
        <v>475</v>
      </c>
      <c r="O163" t="s">
        <v>476</v>
      </c>
      <c r="U163">
        <v>133533.85999999999</v>
      </c>
      <c r="V163">
        <v>414199.08</v>
      </c>
      <c r="W163">
        <v>4.1399999999999997</v>
      </c>
      <c r="X163" t="s">
        <v>489</v>
      </c>
      <c r="Y163" t="s">
        <v>552</v>
      </c>
      <c r="Z163" s="2">
        <v>45152</v>
      </c>
      <c r="AA163" t="s">
        <v>566</v>
      </c>
      <c r="AB163" t="s">
        <v>639</v>
      </c>
      <c r="AC163" t="s">
        <v>700</v>
      </c>
      <c r="AD163" t="s">
        <v>706</v>
      </c>
      <c r="AE163" t="s">
        <v>711</v>
      </c>
      <c r="AH163" t="s">
        <v>762</v>
      </c>
      <c r="AI163" t="s">
        <v>770</v>
      </c>
      <c r="AJ163" t="s">
        <v>774</v>
      </c>
      <c r="AK163">
        <v>3.64</v>
      </c>
      <c r="AL163">
        <v>3.44</v>
      </c>
      <c r="AM163">
        <v>0.5</v>
      </c>
      <c r="AN163">
        <v>0.7</v>
      </c>
      <c r="AP163" t="s">
        <v>787</v>
      </c>
      <c r="AQ163" t="s">
        <v>788</v>
      </c>
      <c r="AR163" t="s">
        <v>945</v>
      </c>
      <c r="AS163" t="s">
        <v>700</v>
      </c>
      <c r="AT163" t="s">
        <v>993</v>
      </c>
      <c r="AU163" s="2">
        <v>45279</v>
      </c>
      <c r="AV163" t="s">
        <v>1121</v>
      </c>
      <c r="AX163">
        <v>3.54</v>
      </c>
      <c r="QZ163" t="s">
        <v>1368</v>
      </c>
      <c r="RA163" t="s">
        <v>1368</v>
      </c>
    </row>
    <row r="164" spans="2:469" x14ac:dyDescent="0.3">
      <c r="B164" t="b">
        <v>1</v>
      </c>
      <c r="F164" t="b">
        <v>0</v>
      </c>
      <c r="G164" t="b">
        <v>0</v>
      </c>
      <c r="H164" t="b">
        <v>0</v>
      </c>
      <c r="I164" t="b">
        <v>0</v>
      </c>
      <c r="K164" t="s">
        <v>474</v>
      </c>
      <c r="L164" t="s">
        <v>475</v>
      </c>
      <c r="O164" t="s">
        <v>476</v>
      </c>
      <c r="U164">
        <v>133467.66</v>
      </c>
      <c r="V164">
        <v>414131.55</v>
      </c>
      <c r="W164">
        <v>4.22</v>
      </c>
      <c r="X164" t="s">
        <v>490</v>
      </c>
      <c r="Y164" t="s">
        <v>552</v>
      </c>
      <c r="Z164" s="2">
        <v>45152</v>
      </c>
      <c r="AA164" t="s">
        <v>567</v>
      </c>
      <c r="AB164" t="s">
        <v>640</v>
      </c>
      <c r="AC164" t="s">
        <v>700</v>
      </c>
      <c r="AD164" t="s">
        <v>706</v>
      </c>
      <c r="AE164" t="s">
        <v>711</v>
      </c>
      <c r="AF164">
        <v>1.62</v>
      </c>
      <c r="AG164">
        <v>1.62</v>
      </c>
      <c r="AH164" t="s">
        <v>763</v>
      </c>
      <c r="AI164" t="s">
        <v>770</v>
      </c>
      <c r="AJ164" t="s">
        <v>774</v>
      </c>
      <c r="AK164">
        <v>3.72</v>
      </c>
      <c r="AL164">
        <v>3.52</v>
      </c>
      <c r="AM164">
        <v>0.5</v>
      </c>
      <c r="AN164">
        <v>0.7</v>
      </c>
      <c r="AP164" t="s">
        <v>787</v>
      </c>
      <c r="AQ164" t="s">
        <v>788</v>
      </c>
      <c r="AR164" t="s">
        <v>946</v>
      </c>
      <c r="AS164" t="s">
        <v>700</v>
      </c>
      <c r="AT164" t="s">
        <v>993</v>
      </c>
      <c r="AU164" s="2">
        <v>45279</v>
      </c>
      <c r="AV164" t="s">
        <v>1122</v>
      </c>
      <c r="AX164">
        <v>3.64</v>
      </c>
      <c r="AY164">
        <v>16.7</v>
      </c>
      <c r="AZ164">
        <v>13.6</v>
      </c>
      <c r="BA164">
        <v>22.6</v>
      </c>
      <c r="QZ164" t="s">
        <v>1368</v>
      </c>
      <c r="RA164" t="s">
        <v>1368</v>
      </c>
    </row>
    <row r="165" spans="2:469" x14ac:dyDescent="0.3">
      <c r="B165" t="b">
        <v>1</v>
      </c>
      <c r="F165" t="b">
        <v>0</v>
      </c>
      <c r="G165" t="b">
        <v>0</v>
      </c>
      <c r="H165" t="b">
        <v>0</v>
      </c>
      <c r="I165" t="b">
        <v>0</v>
      </c>
      <c r="K165" t="s">
        <v>474</v>
      </c>
      <c r="L165" t="s">
        <v>475</v>
      </c>
      <c r="O165" t="s">
        <v>476</v>
      </c>
      <c r="U165">
        <v>133489.32</v>
      </c>
      <c r="V165">
        <v>414105.31</v>
      </c>
      <c r="W165">
        <v>1.51</v>
      </c>
      <c r="X165" t="s">
        <v>491</v>
      </c>
      <c r="Y165" t="s">
        <v>551</v>
      </c>
      <c r="Z165" s="2">
        <v>45153</v>
      </c>
      <c r="AA165" t="s">
        <v>568</v>
      </c>
      <c r="AB165" t="s">
        <v>641</v>
      </c>
      <c r="AC165" t="s">
        <v>700</v>
      </c>
      <c r="AD165" t="s">
        <v>705</v>
      </c>
      <c r="AE165" t="s">
        <v>711</v>
      </c>
      <c r="AF165">
        <v>0.31</v>
      </c>
      <c r="AG165">
        <v>-1.49</v>
      </c>
      <c r="AH165" t="s">
        <v>712</v>
      </c>
      <c r="AI165" t="s">
        <v>770</v>
      </c>
      <c r="AJ165" t="s">
        <v>774</v>
      </c>
      <c r="AK165">
        <v>1.01</v>
      </c>
      <c r="AL165">
        <v>0.81</v>
      </c>
      <c r="AM165">
        <v>0.5</v>
      </c>
      <c r="AN165">
        <v>0.7</v>
      </c>
      <c r="AP165" t="s">
        <v>787</v>
      </c>
      <c r="AQ165" t="s">
        <v>788</v>
      </c>
      <c r="AR165" t="s">
        <v>947</v>
      </c>
      <c r="AS165" t="s">
        <v>700</v>
      </c>
      <c r="AT165" t="s">
        <v>993</v>
      </c>
      <c r="AU165" s="2">
        <v>45279</v>
      </c>
      <c r="AV165" t="s">
        <v>1123</v>
      </c>
      <c r="AX165">
        <v>1</v>
      </c>
      <c r="AY165">
        <v>19.100000000000001</v>
      </c>
      <c r="AZ165">
        <v>16.5</v>
      </c>
      <c r="BA165">
        <v>15.8</v>
      </c>
      <c r="QZ165" t="s">
        <v>1368</v>
      </c>
      <c r="RA165" t="s">
        <v>1368</v>
      </c>
    </row>
    <row r="166" spans="2:469" x14ac:dyDescent="0.3">
      <c r="B166" t="b">
        <v>0</v>
      </c>
      <c r="F166" t="b">
        <v>0</v>
      </c>
      <c r="G166" t="b">
        <v>0</v>
      </c>
      <c r="H166" t="b">
        <v>0</v>
      </c>
      <c r="I166" t="b">
        <v>0</v>
      </c>
      <c r="K166" t="s">
        <v>474</v>
      </c>
      <c r="L166" t="s">
        <v>475</v>
      </c>
      <c r="O166" t="s">
        <v>476</v>
      </c>
      <c r="U166">
        <v>133489.32</v>
      </c>
      <c r="V166">
        <v>414105.31</v>
      </c>
      <c r="W166">
        <v>1.51</v>
      </c>
      <c r="X166" t="s">
        <v>491</v>
      </c>
      <c r="Y166" t="s">
        <v>551</v>
      </c>
      <c r="Z166" s="2">
        <v>45153</v>
      </c>
      <c r="AA166" t="s">
        <v>568</v>
      </c>
      <c r="AB166" t="s">
        <v>641</v>
      </c>
      <c r="AC166" t="s">
        <v>700</v>
      </c>
      <c r="AD166" t="s">
        <v>705</v>
      </c>
      <c r="AE166" t="s">
        <v>711</v>
      </c>
      <c r="AF166">
        <v>0.31</v>
      </c>
      <c r="AG166">
        <v>-1.49</v>
      </c>
      <c r="AH166" t="s">
        <v>764</v>
      </c>
      <c r="AI166" t="s">
        <v>769</v>
      </c>
      <c r="AJ166" t="s">
        <v>775</v>
      </c>
      <c r="AK166">
        <v>0.41</v>
      </c>
      <c r="AL166">
        <v>-0.49</v>
      </c>
      <c r="AM166">
        <v>1.1000000000000001</v>
      </c>
      <c r="AN166">
        <v>2</v>
      </c>
      <c r="CD166" t="s">
        <v>1167</v>
      </c>
      <c r="CE166" t="s">
        <v>788</v>
      </c>
      <c r="CF166" t="s">
        <v>1191</v>
      </c>
      <c r="CG166" t="s">
        <v>700</v>
      </c>
      <c r="CH166" t="s">
        <v>1211</v>
      </c>
      <c r="CI166" s="2">
        <v>45212</v>
      </c>
      <c r="CJ166" t="s">
        <v>1217</v>
      </c>
      <c r="CL166">
        <v>172</v>
      </c>
      <c r="CM166">
        <v>170</v>
      </c>
      <c r="CN166">
        <v>0</v>
      </c>
      <c r="CO166">
        <v>95.84</v>
      </c>
      <c r="CP166">
        <v>2.66</v>
      </c>
      <c r="CQ166">
        <v>100</v>
      </c>
      <c r="CR166">
        <v>100</v>
      </c>
      <c r="CS166">
        <v>100</v>
      </c>
      <c r="CT166">
        <v>100</v>
      </c>
      <c r="CU166">
        <v>100</v>
      </c>
      <c r="CV166">
        <v>100</v>
      </c>
      <c r="CW166">
        <v>99.71</v>
      </c>
      <c r="CX166">
        <v>99.04</v>
      </c>
      <c r="CY166">
        <v>94.44</v>
      </c>
      <c r="CZ166">
        <v>58.65</v>
      </c>
      <c r="DA166">
        <v>12.8</v>
      </c>
      <c r="DB166">
        <v>4.16</v>
      </c>
      <c r="DC166">
        <v>2.1</v>
      </c>
      <c r="DD166">
        <v>1.9</v>
      </c>
      <c r="DE166">
        <v>1.8</v>
      </c>
      <c r="DF166">
        <v>1.5</v>
      </c>
      <c r="DG166">
        <v>205</v>
      </c>
      <c r="DH166">
        <v>186</v>
      </c>
      <c r="DI166">
        <v>172</v>
      </c>
      <c r="DJ166">
        <v>126</v>
      </c>
      <c r="DK166">
        <v>1.47</v>
      </c>
      <c r="QZ166" t="s">
        <v>1368</v>
      </c>
      <c r="RA166" t="s">
        <v>1368</v>
      </c>
    </row>
    <row r="167" spans="2:469" x14ac:dyDescent="0.3">
      <c r="B167" t="b">
        <v>1</v>
      </c>
      <c r="F167" t="b">
        <v>0</v>
      </c>
      <c r="G167" t="b">
        <v>0</v>
      </c>
      <c r="H167" t="b">
        <v>0</v>
      </c>
      <c r="I167" t="b">
        <v>0</v>
      </c>
      <c r="K167" t="s">
        <v>474</v>
      </c>
      <c r="L167" t="s">
        <v>475</v>
      </c>
      <c r="O167" t="s">
        <v>476</v>
      </c>
      <c r="U167">
        <v>133417.21</v>
      </c>
      <c r="V167">
        <v>414039.18</v>
      </c>
      <c r="W167">
        <v>1</v>
      </c>
      <c r="X167" t="s">
        <v>492</v>
      </c>
      <c r="Y167" t="s">
        <v>551</v>
      </c>
      <c r="Z167" s="2">
        <v>45152</v>
      </c>
      <c r="AA167" t="s">
        <v>569</v>
      </c>
      <c r="AB167" t="s">
        <v>642</v>
      </c>
      <c r="AC167" t="s">
        <v>700</v>
      </c>
      <c r="AD167" t="s">
        <v>706</v>
      </c>
      <c r="AE167" t="s">
        <v>711</v>
      </c>
      <c r="AF167">
        <v>-0.3</v>
      </c>
      <c r="AG167">
        <v>-0.4</v>
      </c>
      <c r="AH167" t="s">
        <v>765</v>
      </c>
      <c r="AI167" t="s">
        <v>770</v>
      </c>
      <c r="AJ167" t="s">
        <v>774</v>
      </c>
      <c r="AK167">
        <v>0.5</v>
      </c>
      <c r="AL167">
        <v>0.3</v>
      </c>
      <c r="AM167">
        <v>0.5</v>
      </c>
      <c r="AN167">
        <v>0.7</v>
      </c>
      <c r="AP167" t="s">
        <v>787</v>
      </c>
      <c r="AQ167" t="s">
        <v>788</v>
      </c>
      <c r="AR167" t="s">
        <v>948</v>
      </c>
      <c r="AS167" t="s">
        <v>700</v>
      </c>
      <c r="AT167" t="s">
        <v>993</v>
      </c>
      <c r="AU167" s="2">
        <v>45279</v>
      </c>
      <c r="AV167" t="s">
        <v>1124</v>
      </c>
      <c r="AX167">
        <v>0.41</v>
      </c>
      <c r="AY167">
        <v>18.8</v>
      </c>
      <c r="AZ167">
        <v>15.9</v>
      </c>
      <c r="BA167">
        <v>18.100000000000001</v>
      </c>
      <c r="QZ167" t="s">
        <v>1368</v>
      </c>
      <c r="RA167" t="s">
        <v>1368</v>
      </c>
    </row>
    <row r="168" spans="2:469" x14ac:dyDescent="0.3">
      <c r="B168" t="b">
        <v>0</v>
      </c>
      <c r="F168" t="b">
        <v>0</v>
      </c>
      <c r="G168" t="b">
        <v>0</v>
      </c>
      <c r="H168" t="b">
        <v>0</v>
      </c>
      <c r="I168" t="b">
        <v>0</v>
      </c>
      <c r="K168" t="s">
        <v>474</v>
      </c>
      <c r="L168" t="s">
        <v>475</v>
      </c>
      <c r="O168" t="s">
        <v>476</v>
      </c>
      <c r="U168">
        <v>133417.21</v>
      </c>
      <c r="V168">
        <v>414039.18</v>
      </c>
      <c r="W168">
        <v>1</v>
      </c>
      <c r="X168" t="s">
        <v>492</v>
      </c>
      <c r="Y168" t="s">
        <v>551</v>
      </c>
      <c r="Z168" s="2">
        <v>45152</v>
      </c>
      <c r="AA168" t="s">
        <v>569</v>
      </c>
      <c r="AB168" t="s">
        <v>642</v>
      </c>
      <c r="AC168" t="s">
        <v>700</v>
      </c>
      <c r="AD168" t="s">
        <v>706</v>
      </c>
      <c r="AE168" t="s">
        <v>711</v>
      </c>
      <c r="AF168">
        <v>-0.3</v>
      </c>
      <c r="AG168">
        <v>-0.4</v>
      </c>
      <c r="AH168" t="s">
        <v>761</v>
      </c>
      <c r="AI168" t="s">
        <v>769</v>
      </c>
      <c r="AJ168" t="s">
        <v>775</v>
      </c>
      <c r="AK168">
        <v>-0.2</v>
      </c>
      <c r="AL168">
        <v>-1</v>
      </c>
      <c r="AM168">
        <v>1.2</v>
      </c>
      <c r="AN168">
        <v>2</v>
      </c>
      <c r="CD168" t="s">
        <v>1168</v>
      </c>
      <c r="CE168" t="s">
        <v>788</v>
      </c>
      <c r="CF168" t="s">
        <v>1192</v>
      </c>
      <c r="CG168" t="s">
        <v>700</v>
      </c>
      <c r="CH168" t="s">
        <v>1211</v>
      </c>
      <c r="CI168" s="2">
        <v>45212</v>
      </c>
      <c r="CJ168" t="s">
        <v>1218</v>
      </c>
      <c r="CL168">
        <v>203</v>
      </c>
      <c r="CM168">
        <v>194</v>
      </c>
      <c r="CN168">
        <v>0.08</v>
      </c>
      <c r="CO168">
        <v>88.05</v>
      </c>
      <c r="CP168">
        <v>4.0599999999999996</v>
      </c>
      <c r="CQ168">
        <v>100</v>
      </c>
      <c r="CR168">
        <v>100</v>
      </c>
      <c r="CS168">
        <v>100</v>
      </c>
      <c r="CT168">
        <v>100</v>
      </c>
      <c r="CU168">
        <v>99.99</v>
      </c>
      <c r="CV168">
        <v>99.92</v>
      </c>
      <c r="CW168">
        <v>99.32</v>
      </c>
      <c r="CX168">
        <v>98.22</v>
      </c>
      <c r="CY168">
        <v>86.19</v>
      </c>
      <c r="CZ168">
        <v>40.93</v>
      </c>
      <c r="DA168">
        <v>16.27</v>
      </c>
      <c r="DB168">
        <v>11.86</v>
      </c>
      <c r="DC168">
        <v>11.2</v>
      </c>
      <c r="DD168">
        <v>11.06</v>
      </c>
      <c r="DE168">
        <v>11</v>
      </c>
      <c r="DF168">
        <v>7.8</v>
      </c>
      <c r="DG168">
        <v>230</v>
      </c>
      <c r="DH168">
        <v>217</v>
      </c>
      <c r="DI168">
        <v>203</v>
      </c>
      <c r="DJ168">
        <v>135</v>
      </c>
      <c r="DK168">
        <v>1.61</v>
      </c>
      <c r="QZ168" t="s">
        <v>1368</v>
      </c>
      <c r="RA168" t="s">
        <v>1368</v>
      </c>
    </row>
    <row r="169" spans="2:469" x14ac:dyDescent="0.3">
      <c r="B169" t="b">
        <v>1</v>
      </c>
      <c r="F169" t="b">
        <v>0</v>
      </c>
      <c r="G169" t="b">
        <v>0</v>
      </c>
      <c r="H169" t="b">
        <v>0</v>
      </c>
      <c r="I169" t="b">
        <v>0</v>
      </c>
      <c r="K169" t="s">
        <v>474</v>
      </c>
      <c r="L169" t="s">
        <v>475</v>
      </c>
      <c r="O169" t="s">
        <v>476</v>
      </c>
      <c r="U169">
        <v>133323.01999999999</v>
      </c>
      <c r="V169">
        <v>413997.1</v>
      </c>
      <c r="W169">
        <v>3.51</v>
      </c>
      <c r="X169" t="s">
        <v>493</v>
      </c>
      <c r="Y169" t="s">
        <v>552</v>
      </c>
      <c r="Z169" s="2">
        <v>45152</v>
      </c>
      <c r="AA169" t="s">
        <v>570</v>
      </c>
      <c r="AB169" t="s">
        <v>643</v>
      </c>
      <c r="AC169" t="s">
        <v>700</v>
      </c>
      <c r="AD169" t="s">
        <v>706</v>
      </c>
      <c r="AE169" t="s">
        <v>711</v>
      </c>
      <c r="AF169">
        <v>0.91</v>
      </c>
      <c r="AG169">
        <v>0.91</v>
      </c>
      <c r="AH169" t="s">
        <v>712</v>
      </c>
      <c r="AI169" t="s">
        <v>770</v>
      </c>
      <c r="AJ169" t="s">
        <v>774</v>
      </c>
      <c r="AK169">
        <v>3.01</v>
      </c>
      <c r="AL169">
        <v>2.81</v>
      </c>
      <c r="AM169">
        <v>0.5</v>
      </c>
      <c r="AN169">
        <v>0.7</v>
      </c>
      <c r="AP169" t="s">
        <v>787</v>
      </c>
      <c r="AQ169" t="s">
        <v>788</v>
      </c>
      <c r="AR169" t="s">
        <v>949</v>
      </c>
      <c r="AS169" t="s">
        <v>700</v>
      </c>
      <c r="AT169" t="s">
        <v>993</v>
      </c>
      <c r="AU169" s="2">
        <v>45279</v>
      </c>
      <c r="AV169" t="s">
        <v>1125</v>
      </c>
      <c r="AX169">
        <v>2.87</v>
      </c>
      <c r="AY169">
        <v>18.600000000000001</v>
      </c>
      <c r="AZ169">
        <v>15.2</v>
      </c>
      <c r="BA169">
        <v>22.3</v>
      </c>
      <c r="QZ169" t="s">
        <v>1368</v>
      </c>
      <c r="RA169" t="s">
        <v>1368</v>
      </c>
    </row>
    <row r="170" spans="2:469" x14ac:dyDescent="0.3">
      <c r="B170" t="b">
        <v>1</v>
      </c>
      <c r="F170" t="b">
        <v>0</v>
      </c>
      <c r="G170" t="b">
        <v>0</v>
      </c>
      <c r="H170" t="b">
        <v>0</v>
      </c>
      <c r="I170" t="b">
        <v>0</v>
      </c>
      <c r="K170" t="s">
        <v>474</v>
      </c>
      <c r="L170" t="s">
        <v>475</v>
      </c>
      <c r="O170" t="s">
        <v>476</v>
      </c>
      <c r="U170">
        <v>133333.98000000001</v>
      </c>
      <c r="V170">
        <v>413931.87</v>
      </c>
      <c r="W170">
        <v>3.79</v>
      </c>
      <c r="X170" t="s">
        <v>494</v>
      </c>
      <c r="Y170" t="s">
        <v>552</v>
      </c>
      <c r="Z170" s="2">
        <v>45166</v>
      </c>
      <c r="AA170" t="s">
        <v>571</v>
      </c>
      <c r="AB170" t="s">
        <v>644</v>
      </c>
      <c r="AC170" t="s">
        <v>700</v>
      </c>
      <c r="AD170" t="s">
        <v>705</v>
      </c>
      <c r="AE170" t="s">
        <v>711</v>
      </c>
      <c r="AH170" t="s">
        <v>714</v>
      </c>
      <c r="AI170" t="s">
        <v>770</v>
      </c>
      <c r="AJ170" t="s">
        <v>774</v>
      </c>
      <c r="AK170">
        <v>3.29</v>
      </c>
      <c r="AL170">
        <v>3.09</v>
      </c>
      <c r="AM170">
        <v>0.5</v>
      </c>
      <c r="AN170">
        <v>0.7</v>
      </c>
      <c r="AP170" t="s">
        <v>787</v>
      </c>
      <c r="AQ170" t="s">
        <v>788</v>
      </c>
      <c r="AR170" t="s">
        <v>950</v>
      </c>
      <c r="AS170" t="s">
        <v>700</v>
      </c>
      <c r="AT170" t="s">
        <v>993</v>
      </c>
      <c r="AU170" s="2">
        <v>45279</v>
      </c>
      <c r="AV170" t="s">
        <v>1126</v>
      </c>
      <c r="AX170">
        <v>3.19</v>
      </c>
      <c r="QZ170" t="s">
        <v>1368</v>
      </c>
      <c r="RA170" t="s">
        <v>1368</v>
      </c>
    </row>
    <row r="171" spans="2:469" x14ac:dyDescent="0.3">
      <c r="B171" t="b">
        <v>0</v>
      </c>
      <c r="F171" t="b">
        <v>0</v>
      </c>
      <c r="G171" t="b">
        <v>0</v>
      </c>
      <c r="H171" t="b">
        <v>0</v>
      </c>
      <c r="I171" t="b">
        <v>0</v>
      </c>
      <c r="K171" t="s">
        <v>474</v>
      </c>
      <c r="L171" t="s">
        <v>475</v>
      </c>
      <c r="O171" t="s">
        <v>476</v>
      </c>
      <c r="U171">
        <v>136431.24</v>
      </c>
      <c r="V171">
        <v>416196.65</v>
      </c>
      <c r="W171">
        <v>2.46</v>
      </c>
      <c r="X171" t="s">
        <v>495</v>
      </c>
      <c r="Y171" t="s">
        <v>551</v>
      </c>
      <c r="Z171" s="2">
        <v>45169</v>
      </c>
      <c r="AA171" t="s">
        <v>572</v>
      </c>
      <c r="AB171" t="s">
        <v>645</v>
      </c>
      <c r="AC171" t="s">
        <v>700</v>
      </c>
      <c r="AD171" t="s">
        <v>705</v>
      </c>
      <c r="AE171" t="s">
        <v>711</v>
      </c>
      <c r="AF171">
        <v>0.66</v>
      </c>
      <c r="AH171" t="s">
        <v>726</v>
      </c>
      <c r="AI171" t="s">
        <v>771</v>
      </c>
      <c r="AJ171" t="s">
        <v>775</v>
      </c>
      <c r="AK171">
        <v>0.46</v>
      </c>
      <c r="AL171">
        <v>-0.54</v>
      </c>
      <c r="AM171">
        <v>2</v>
      </c>
      <c r="AN171">
        <v>3</v>
      </c>
      <c r="CD171" t="s">
        <v>1169</v>
      </c>
      <c r="CE171" t="s">
        <v>788</v>
      </c>
      <c r="CF171" t="s">
        <v>1193</v>
      </c>
      <c r="CG171" t="s">
        <v>700</v>
      </c>
      <c r="CH171" t="s">
        <v>1211</v>
      </c>
      <c r="CI171" s="2">
        <v>45212</v>
      </c>
      <c r="CJ171" t="s">
        <v>1217</v>
      </c>
      <c r="CL171">
        <v>191</v>
      </c>
      <c r="CM171">
        <v>183</v>
      </c>
      <c r="CN171">
        <v>0</v>
      </c>
      <c r="CO171">
        <v>93.41</v>
      </c>
      <c r="CP171">
        <v>4.59</v>
      </c>
      <c r="CQ171">
        <v>100</v>
      </c>
      <c r="CR171">
        <v>100</v>
      </c>
      <c r="CS171">
        <v>100</v>
      </c>
      <c r="CT171">
        <v>100</v>
      </c>
      <c r="CU171">
        <v>100</v>
      </c>
      <c r="CV171">
        <v>100</v>
      </c>
      <c r="CW171">
        <v>99.9</v>
      </c>
      <c r="CX171">
        <v>98.27</v>
      </c>
      <c r="CY171">
        <v>76.31</v>
      </c>
      <c r="CZ171">
        <v>48.86</v>
      </c>
      <c r="DA171">
        <v>15.74</v>
      </c>
      <c r="DB171">
        <v>6.59</v>
      </c>
      <c r="DC171">
        <v>2.6</v>
      </c>
      <c r="DD171">
        <v>2.4</v>
      </c>
      <c r="DE171">
        <v>2.2999999999999998</v>
      </c>
      <c r="DF171">
        <v>2</v>
      </c>
      <c r="DG171">
        <v>239</v>
      </c>
      <c r="DH171">
        <v>215</v>
      </c>
      <c r="DI171">
        <v>191</v>
      </c>
      <c r="DJ171">
        <v>125</v>
      </c>
      <c r="DK171">
        <v>1.72</v>
      </c>
      <c r="QZ171" t="s">
        <v>1368</v>
      </c>
      <c r="RA171" t="s">
        <v>1368</v>
      </c>
    </row>
    <row r="172" spans="2:469" x14ac:dyDescent="0.3">
      <c r="B172" t="b">
        <v>1</v>
      </c>
      <c r="F172" t="b">
        <v>0</v>
      </c>
      <c r="G172" t="b">
        <v>0</v>
      </c>
      <c r="H172" t="b">
        <v>0</v>
      </c>
      <c r="I172" t="b">
        <v>0</v>
      </c>
      <c r="K172" t="s">
        <v>474</v>
      </c>
      <c r="L172" t="s">
        <v>475</v>
      </c>
      <c r="O172" t="s">
        <v>476</v>
      </c>
      <c r="U172">
        <v>136408.07</v>
      </c>
      <c r="V172">
        <v>416245.71</v>
      </c>
      <c r="W172">
        <v>6.02</v>
      </c>
      <c r="X172" t="s">
        <v>496</v>
      </c>
      <c r="Y172" t="s">
        <v>552</v>
      </c>
      <c r="Z172" s="2">
        <v>45155</v>
      </c>
      <c r="AA172" t="s">
        <v>573</v>
      </c>
      <c r="AB172" t="s">
        <v>646</v>
      </c>
      <c r="AC172" t="s">
        <v>700</v>
      </c>
      <c r="AD172" t="s">
        <v>706</v>
      </c>
      <c r="AE172" t="s">
        <v>711</v>
      </c>
      <c r="AH172" t="s">
        <v>766</v>
      </c>
      <c r="AI172" t="s">
        <v>770</v>
      </c>
      <c r="AJ172" t="s">
        <v>774</v>
      </c>
      <c r="AK172">
        <v>5.52</v>
      </c>
      <c r="AL172">
        <v>5.32</v>
      </c>
      <c r="AM172">
        <v>0.5</v>
      </c>
      <c r="AN172">
        <v>0.7</v>
      </c>
      <c r="AP172" t="s">
        <v>787</v>
      </c>
      <c r="AQ172" t="s">
        <v>788</v>
      </c>
      <c r="AR172" t="s">
        <v>951</v>
      </c>
      <c r="AS172" t="s">
        <v>700</v>
      </c>
      <c r="AT172" t="s">
        <v>993</v>
      </c>
      <c r="AU172" s="2">
        <v>45279</v>
      </c>
      <c r="AV172" t="s">
        <v>1127</v>
      </c>
      <c r="AX172">
        <v>5.42</v>
      </c>
      <c r="QZ172" t="s">
        <v>1368</v>
      </c>
      <c r="RA172" t="s">
        <v>1368</v>
      </c>
    </row>
    <row r="173" spans="2:469" x14ac:dyDescent="0.3">
      <c r="B173" t="b">
        <v>1</v>
      </c>
      <c r="F173" t="b">
        <v>0</v>
      </c>
      <c r="G173" t="b">
        <v>0</v>
      </c>
      <c r="H173" t="b">
        <v>0</v>
      </c>
      <c r="I173" t="b">
        <v>0</v>
      </c>
      <c r="K173" t="s">
        <v>474</v>
      </c>
      <c r="L173" t="s">
        <v>475</v>
      </c>
      <c r="O173" t="s">
        <v>476</v>
      </c>
      <c r="U173">
        <v>136310.99</v>
      </c>
      <c r="V173">
        <v>416214.5</v>
      </c>
      <c r="W173">
        <v>4.2</v>
      </c>
      <c r="X173" t="s">
        <v>497</v>
      </c>
      <c r="Y173" t="s">
        <v>552</v>
      </c>
      <c r="Z173" s="2">
        <v>45154</v>
      </c>
      <c r="AA173" t="s">
        <v>574</v>
      </c>
      <c r="AB173" t="s">
        <v>647</v>
      </c>
      <c r="AC173" t="s">
        <v>700</v>
      </c>
      <c r="AD173" t="s">
        <v>706</v>
      </c>
      <c r="AE173" t="s">
        <v>711</v>
      </c>
      <c r="AH173" t="s">
        <v>712</v>
      </c>
      <c r="AI173" t="s">
        <v>769</v>
      </c>
      <c r="AJ173" t="s">
        <v>775</v>
      </c>
      <c r="AK173">
        <v>4.2</v>
      </c>
      <c r="AL173">
        <v>3.7</v>
      </c>
      <c r="AM173">
        <v>0</v>
      </c>
      <c r="AN173">
        <v>0.5</v>
      </c>
      <c r="AP173" t="s">
        <v>787</v>
      </c>
      <c r="AQ173" t="s">
        <v>788</v>
      </c>
      <c r="AR173" t="s">
        <v>952</v>
      </c>
      <c r="AS173" t="s">
        <v>700</v>
      </c>
      <c r="AT173" t="s">
        <v>993</v>
      </c>
      <c r="AU173" s="2">
        <v>45279</v>
      </c>
      <c r="AV173" t="s">
        <v>1066</v>
      </c>
      <c r="AX173">
        <v>3.59</v>
      </c>
      <c r="AY173">
        <v>18.399999999999999</v>
      </c>
      <c r="AZ173">
        <v>14</v>
      </c>
      <c r="BA173">
        <v>31.2</v>
      </c>
      <c r="QZ173" t="s">
        <v>1368</v>
      </c>
      <c r="RA173" t="s">
        <v>1368</v>
      </c>
    </row>
    <row r="174" spans="2:469" x14ac:dyDescent="0.3">
      <c r="B174" t="b">
        <v>0</v>
      </c>
      <c r="F174" t="b">
        <v>0</v>
      </c>
      <c r="G174" t="b">
        <v>0</v>
      </c>
      <c r="H174" t="b">
        <v>0</v>
      </c>
      <c r="I174" t="b">
        <v>0</v>
      </c>
      <c r="K174" t="s">
        <v>474</v>
      </c>
      <c r="L174" t="s">
        <v>475</v>
      </c>
      <c r="O174" t="s">
        <v>476</v>
      </c>
      <c r="U174">
        <v>136236.79</v>
      </c>
      <c r="V174">
        <v>416129.03</v>
      </c>
      <c r="W174">
        <v>1.77</v>
      </c>
      <c r="X174" t="s">
        <v>498</v>
      </c>
      <c r="Y174" t="s">
        <v>551</v>
      </c>
      <c r="Z174" s="2">
        <v>45160</v>
      </c>
      <c r="AA174" t="s">
        <v>575</v>
      </c>
      <c r="AB174" t="s">
        <v>648</v>
      </c>
      <c r="AC174" t="s">
        <v>700</v>
      </c>
      <c r="AD174" t="s">
        <v>705</v>
      </c>
      <c r="AE174" t="s">
        <v>711</v>
      </c>
      <c r="AF174">
        <v>0.47</v>
      </c>
      <c r="AH174" t="s">
        <v>766</v>
      </c>
      <c r="AI174" t="s">
        <v>769</v>
      </c>
      <c r="AJ174" t="s">
        <v>775</v>
      </c>
      <c r="AK174">
        <v>0.56999999999999995</v>
      </c>
      <c r="AL174">
        <v>0.37</v>
      </c>
      <c r="AM174">
        <v>1.2</v>
      </c>
      <c r="AN174">
        <v>1.4</v>
      </c>
      <c r="CD174" t="s">
        <v>1170</v>
      </c>
      <c r="CE174" t="s">
        <v>788</v>
      </c>
      <c r="CF174" t="s">
        <v>1194</v>
      </c>
      <c r="CG174" t="s">
        <v>700</v>
      </c>
      <c r="CH174" t="s">
        <v>1211</v>
      </c>
      <c r="CI174" s="2">
        <v>45212</v>
      </c>
      <c r="CJ174" t="s">
        <v>1219</v>
      </c>
      <c r="CL174">
        <v>147</v>
      </c>
      <c r="CM174">
        <v>136</v>
      </c>
      <c r="CN174">
        <v>0.01</v>
      </c>
      <c r="CO174">
        <v>82.07</v>
      </c>
      <c r="CP174">
        <v>14.02</v>
      </c>
      <c r="CQ174">
        <v>100</v>
      </c>
      <c r="CR174">
        <v>100</v>
      </c>
      <c r="CS174">
        <v>100</v>
      </c>
      <c r="CT174">
        <v>100</v>
      </c>
      <c r="CU174">
        <v>100</v>
      </c>
      <c r="CV174">
        <v>99.99</v>
      </c>
      <c r="CW174">
        <v>99.16</v>
      </c>
      <c r="CX174">
        <v>98.44</v>
      </c>
      <c r="CY174">
        <v>97</v>
      </c>
      <c r="CZ174">
        <v>86.32</v>
      </c>
      <c r="DA174">
        <v>40.479999999999997</v>
      </c>
      <c r="DB174">
        <v>17.920000000000002</v>
      </c>
      <c r="DC174">
        <v>7.1</v>
      </c>
      <c r="DD174">
        <v>6.35</v>
      </c>
      <c r="DE174">
        <v>6</v>
      </c>
      <c r="DF174">
        <v>3.9</v>
      </c>
      <c r="DG174">
        <v>167</v>
      </c>
      <c r="DH174">
        <v>157</v>
      </c>
      <c r="DI174">
        <v>147</v>
      </c>
      <c r="DJ174">
        <v>95</v>
      </c>
      <c r="DK174">
        <v>1.65</v>
      </c>
      <c r="QZ174" t="s">
        <v>1368</v>
      </c>
      <c r="RA174" t="s">
        <v>1368</v>
      </c>
    </row>
    <row r="175" spans="2:469" x14ac:dyDescent="0.3">
      <c r="B175" t="b">
        <v>1</v>
      </c>
      <c r="F175" t="b">
        <v>0</v>
      </c>
      <c r="G175" t="b">
        <v>0</v>
      </c>
      <c r="H175" t="b">
        <v>0</v>
      </c>
      <c r="I175" t="b">
        <v>0</v>
      </c>
      <c r="K175" t="s">
        <v>474</v>
      </c>
      <c r="L175" t="s">
        <v>475</v>
      </c>
      <c r="O175" t="s">
        <v>476</v>
      </c>
      <c r="U175">
        <v>136122.31</v>
      </c>
      <c r="V175">
        <v>416145.4</v>
      </c>
      <c r="W175">
        <v>4.29</v>
      </c>
      <c r="X175" t="s">
        <v>499</v>
      </c>
      <c r="Y175" t="s">
        <v>552</v>
      </c>
      <c r="Z175" s="2">
        <v>45154</v>
      </c>
      <c r="AA175" t="s">
        <v>576</v>
      </c>
      <c r="AB175" t="s">
        <v>649</v>
      </c>
      <c r="AC175" t="s">
        <v>700</v>
      </c>
      <c r="AD175" t="s">
        <v>706</v>
      </c>
      <c r="AE175" t="s">
        <v>711</v>
      </c>
      <c r="AH175" t="s">
        <v>712</v>
      </c>
      <c r="AI175" t="s">
        <v>769</v>
      </c>
      <c r="AJ175" t="s">
        <v>775</v>
      </c>
      <c r="AK175">
        <v>4.29</v>
      </c>
      <c r="AL175">
        <v>3.89</v>
      </c>
      <c r="AM175">
        <v>0</v>
      </c>
      <c r="AN175">
        <v>0.4</v>
      </c>
      <c r="AP175" t="s">
        <v>787</v>
      </c>
      <c r="AQ175" t="s">
        <v>788</v>
      </c>
      <c r="AR175" t="s">
        <v>953</v>
      </c>
      <c r="AS175" t="s">
        <v>700</v>
      </c>
      <c r="AT175" t="s">
        <v>993</v>
      </c>
      <c r="AU175" s="2">
        <v>45279</v>
      </c>
      <c r="AV175" t="s">
        <v>1128</v>
      </c>
      <c r="AX175">
        <v>3.67</v>
      </c>
      <c r="AY175">
        <v>18.2</v>
      </c>
      <c r="AZ175">
        <v>14</v>
      </c>
      <c r="BA175">
        <v>30.1</v>
      </c>
      <c r="QZ175" t="s">
        <v>1368</v>
      </c>
      <c r="RA175" t="s">
        <v>1368</v>
      </c>
    </row>
    <row r="176" spans="2:469" x14ac:dyDescent="0.3">
      <c r="B176" t="b">
        <v>0</v>
      </c>
      <c r="F176" t="b">
        <v>0</v>
      </c>
      <c r="G176" t="b">
        <v>0</v>
      </c>
      <c r="H176" t="b">
        <v>0</v>
      </c>
      <c r="I176" t="b">
        <v>0</v>
      </c>
      <c r="K176" t="s">
        <v>474</v>
      </c>
      <c r="L176" t="s">
        <v>475</v>
      </c>
      <c r="O176" t="s">
        <v>476</v>
      </c>
      <c r="U176">
        <v>136142.6</v>
      </c>
      <c r="V176">
        <v>416094.43</v>
      </c>
      <c r="W176">
        <v>1.51</v>
      </c>
      <c r="X176" t="s">
        <v>500</v>
      </c>
      <c r="Y176" t="s">
        <v>551</v>
      </c>
      <c r="Z176" s="2">
        <v>45160</v>
      </c>
      <c r="AA176" t="s">
        <v>577</v>
      </c>
      <c r="AB176" t="s">
        <v>650</v>
      </c>
      <c r="AC176" t="s">
        <v>700</v>
      </c>
      <c r="AD176" t="s">
        <v>705</v>
      </c>
      <c r="AE176" t="s">
        <v>711</v>
      </c>
      <c r="AF176">
        <v>0.21</v>
      </c>
      <c r="AH176" t="s">
        <v>714</v>
      </c>
      <c r="AI176" t="s">
        <v>769</v>
      </c>
      <c r="AJ176" t="s">
        <v>775</v>
      </c>
      <c r="AK176">
        <v>0.71</v>
      </c>
      <c r="AL176">
        <v>0.21</v>
      </c>
      <c r="AM176">
        <v>0.8</v>
      </c>
      <c r="AN176">
        <v>1.3</v>
      </c>
      <c r="CD176" t="s">
        <v>1171</v>
      </c>
      <c r="CE176" t="s">
        <v>788</v>
      </c>
      <c r="CF176" t="s">
        <v>1195</v>
      </c>
      <c r="CG176" t="s">
        <v>700</v>
      </c>
      <c r="CH176" t="s">
        <v>1211</v>
      </c>
      <c r="CI176" s="2">
        <v>45212</v>
      </c>
      <c r="CJ176" t="s">
        <v>1215</v>
      </c>
      <c r="CL176">
        <v>156</v>
      </c>
      <c r="CM176">
        <v>150</v>
      </c>
      <c r="CN176">
        <v>0</v>
      </c>
      <c r="CO176">
        <v>88.98</v>
      </c>
      <c r="CP176">
        <v>5.62</v>
      </c>
      <c r="CQ176">
        <v>100</v>
      </c>
      <c r="CR176">
        <v>100</v>
      </c>
      <c r="CS176">
        <v>100</v>
      </c>
      <c r="CT176">
        <v>100</v>
      </c>
      <c r="CU176">
        <v>100</v>
      </c>
      <c r="CV176">
        <v>100</v>
      </c>
      <c r="CW176">
        <v>99.88</v>
      </c>
      <c r="CX176">
        <v>99.28</v>
      </c>
      <c r="CY176">
        <v>96.78</v>
      </c>
      <c r="CZ176">
        <v>75.400000000000006</v>
      </c>
      <c r="DA176">
        <v>28.94</v>
      </c>
      <c r="DB176">
        <v>11.02</v>
      </c>
      <c r="DC176">
        <v>10</v>
      </c>
      <c r="DD176">
        <v>8.58</v>
      </c>
      <c r="DE176">
        <v>7.9</v>
      </c>
      <c r="DF176">
        <v>5.4</v>
      </c>
      <c r="DG176">
        <v>178</v>
      </c>
      <c r="DH176">
        <v>167</v>
      </c>
      <c r="DI176">
        <v>156</v>
      </c>
      <c r="DJ176">
        <v>102</v>
      </c>
      <c r="DK176">
        <v>1.63</v>
      </c>
      <c r="QZ176" t="s">
        <v>1368</v>
      </c>
      <c r="RA176" t="s">
        <v>1368</v>
      </c>
    </row>
    <row r="177" spans="2:469" x14ac:dyDescent="0.3">
      <c r="B177" t="b">
        <v>1</v>
      </c>
      <c r="F177" t="b">
        <v>0</v>
      </c>
      <c r="G177" t="b">
        <v>0</v>
      </c>
      <c r="H177" t="b">
        <v>0</v>
      </c>
      <c r="I177" t="b">
        <v>0</v>
      </c>
      <c r="K177" t="s">
        <v>474</v>
      </c>
      <c r="L177" t="s">
        <v>475</v>
      </c>
      <c r="O177" t="s">
        <v>476</v>
      </c>
      <c r="U177">
        <v>135940.03</v>
      </c>
      <c r="V177">
        <v>416063.51</v>
      </c>
      <c r="W177">
        <v>4.32</v>
      </c>
      <c r="X177" t="s">
        <v>501</v>
      </c>
      <c r="Y177" t="s">
        <v>552</v>
      </c>
      <c r="Z177" s="2">
        <v>45155</v>
      </c>
      <c r="AA177" t="s">
        <v>578</v>
      </c>
      <c r="AB177" t="s">
        <v>651</v>
      </c>
      <c r="AC177" t="s">
        <v>700</v>
      </c>
      <c r="AD177" t="s">
        <v>706</v>
      </c>
      <c r="AE177" t="s">
        <v>711</v>
      </c>
      <c r="AF177">
        <v>2.12</v>
      </c>
      <c r="AH177" t="s">
        <v>766</v>
      </c>
      <c r="AI177" t="s">
        <v>770</v>
      </c>
      <c r="AJ177" t="s">
        <v>774</v>
      </c>
      <c r="AK177">
        <v>3.82</v>
      </c>
      <c r="AL177">
        <v>3.62</v>
      </c>
      <c r="AM177">
        <v>0.5</v>
      </c>
      <c r="AN177">
        <v>0.7</v>
      </c>
      <c r="AP177" t="s">
        <v>787</v>
      </c>
      <c r="AQ177" t="s">
        <v>788</v>
      </c>
      <c r="AR177" t="s">
        <v>954</v>
      </c>
      <c r="AS177" t="s">
        <v>700</v>
      </c>
      <c r="AT177" t="s">
        <v>993</v>
      </c>
      <c r="AU177" s="2">
        <v>45279</v>
      </c>
      <c r="AV177" t="s">
        <v>1129</v>
      </c>
      <c r="AX177">
        <v>3.69</v>
      </c>
      <c r="AY177">
        <v>18.5</v>
      </c>
      <c r="AZ177">
        <v>13.6</v>
      </c>
      <c r="BA177">
        <v>35.799999999999997</v>
      </c>
      <c r="QZ177" t="s">
        <v>1368</v>
      </c>
      <c r="RA177" t="s">
        <v>1368</v>
      </c>
    </row>
    <row r="178" spans="2:469" x14ac:dyDescent="0.3">
      <c r="B178" t="b">
        <v>1</v>
      </c>
      <c r="F178" t="b">
        <v>0</v>
      </c>
      <c r="G178" t="b">
        <v>0</v>
      </c>
      <c r="H178" t="b">
        <v>0</v>
      </c>
      <c r="I178" t="b">
        <v>0</v>
      </c>
      <c r="K178" t="s">
        <v>474</v>
      </c>
      <c r="L178" t="s">
        <v>475</v>
      </c>
      <c r="O178" t="s">
        <v>476</v>
      </c>
      <c r="U178">
        <v>135853.13</v>
      </c>
      <c r="V178">
        <v>416026.95</v>
      </c>
      <c r="W178">
        <v>4.68</v>
      </c>
      <c r="X178" t="s">
        <v>502</v>
      </c>
      <c r="Y178" t="s">
        <v>552</v>
      </c>
      <c r="Z178" s="2">
        <v>45154</v>
      </c>
      <c r="AA178" t="s">
        <v>579</v>
      </c>
      <c r="AB178" t="s">
        <v>652</v>
      </c>
      <c r="AC178" t="s">
        <v>700</v>
      </c>
      <c r="AD178" t="s">
        <v>706</v>
      </c>
      <c r="AE178" t="s">
        <v>711</v>
      </c>
      <c r="AF178">
        <v>1.78</v>
      </c>
      <c r="AH178" t="s">
        <v>712</v>
      </c>
      <c r="AI178" t="s">
        <v>769</v>
      </c>
      <c r="AJ178" t="s">
        <v>775</v>
      </c>
      <c r="AK178">
        <v>4.68</v>
      </c>
      <c r="AL178">
        <v>4.18</v>
      </c>
      <c r="AM178">
        <v>0</v>
      </c>
      <c r="AN178">
        <v>0.5</v>
      </c>
      <c r="AP178" t="s">
        <v>787</v>
      </c>
      <c r="AQ178" t="s">
        <v>788</v>
      </c>
      <c r="AR178" t="s">
        <v>955</v>
      </c>
      <c r="AS178" t="s">
        <v>700</v>
      </c>
      <c r="AT178" t="s">
        <v>993</v>
      </c>
      <c r="AU178" s="2">
        <v>45279</v>
      </c>
      <c r="AV178" t="s">
        <v>1130</v>
      </c>
      <c r="AX178">
        <v>4.0599999999999996</v>
      </c>
      <c r="AY178">
        <v>19.2</v>
      </c>
      <c r="AZ178">
        <v>15.1</v>
      </c>
      <c r="BA178">
        <v>27.2</v>
      </c>
      <c r="QZ178" t="s">
        <v>1368</v>
      </c>
      <c r="RA178" t="s">
        <v>1368</v>
      </c>
    </row>
    <row r="179" spans="2:469" x14ac:dyDescent="0.3">
      <c r="B179" t="b">
        <v>1</v>
      </c>
      <c r="F179" t="b">
        <v>0</v>
      </c>
      <c r="G179" t="b">
        <v>0</v>
      </c>
      <c r="H179" t="b">
        <v>0</v>
      </c>
      <c r="I179" t="b">
        <v>0</v>
      </c>
      <c r="K179" t="s">
        <v>474</v>
      </c>
      <c r="L179" t="s">
        <v>475</v>
      </c>
      <c r="O179" t="s">
        <v>476</v>
      </c>
      <c r="U179">
        <v>135764.26</v>
      </c>
      <c r="V179">
        <v>415985.58</v>
      </c>
      <c r="W179">
        <v>4.4000000000000004</v>
      </c>
      <c r="X179" t="s">
        <v>503</v>
      </c>
      <c r="Y179" t="s">
        <v>552</v>
      </c>
      <c r="Z179" s="2">
        <v>45155</v>
      </c>
      <c r="AA179" t="s">
        <v>580</v>
      </c>
      <c r="AB179" t="s">
        <v>653</v>
      </c>
      <c r="AC179" t="s">
        <v>700</v>
      </c>
      <c r="AD179" t="s">
        <v>706</v>
      </c>
      <c r="AE179" t="s">
        <v>711</v>
      </c>
      <c r="AH179" t="s">
        <v>766</v>
      </c>
      <c r="AI179" t="s">
        <v>770</v>
      </c>
      <c r="AJ179" t="s">
        <v>774</v>
      </c>
      <c r="AK179">
        <v>3.9</v>
      </c>
      <c r="AL179">
        <v>3.7</v>
      </c>
      <c r="AM179">
        <v>0.5</v>
      </c>
      <c r="AN179">
        <v>0.7</v>
      </c>
      <c r="AP179" t="s">
        <v>787</v>
      </c>
      <c r="AQ179" t="s">
        <v>788</v>
      </c>
      <c r="AR179" t="s">
        <v>956</v>
      </c>
      <c r="AS179" t="s">
        <v>700</v>
      </c>
      <c r="AT179" t="s">
        <v>993</v>
      </c>
      <c r="AU179" s="2">
        <v>45279</v>
      </c>
      <c r="AV179" t="s">
        <v>1129</v>
      </c>
      <c r="AX179">
        <v>3.78</v>
      </c>
      <c r="AY179">
        <v>17.399999999999999</v>
      </c>
      <c r="AZ179">
        <v>12.5</v>
      </c>
      <c r="BA179">
        <v>38.799999999999997</v>
      </c>
      <c r="QZ179" t="s">
        <v>1368</v>
      </c>
      <c r="RA179" t="s">
        <v>1368</v>
      </c>
    </row>
    <row r="180" spans="2:469" x14ac:dyDescent="0.3">
      <c r="B180" t="b">
        <v>1</v>
      </c>
      <c r="F180" t="b">
        <v>0</v>
      </c>
      <c r="G180" t="b">
        <v>0</v>
      </c>
      <c r="H180" t="b">
        <v>0</v>
      </c>
      <c r="I180" t="b">
        <v>0</v>
      </c>
      <c r="K180" t="s">
        <v>474</v>
      </c>
      <c r="L180" t="s">
        <v>475</v>
      </c>
      <c r="O180" t="s">
        <v>476</v>
      </c>
      <c r="U180">
        <v>135679.99</v>
      </c>
      <c r="V180">
        <v>415943.69</v>
      </c>
      <c r="W180">
        <v>4.7300000000000004</v>
      </c>
      <c r="X180" t="s">
        <v>504</v>
      </c>
      <c r="Y180" t="s">
        <v>552</v>
      </c>
      <c r="Z180" s="2">
        <v>45155</v>
      </c>
      <c r="AA180" t="s">
        <v>581</v>
      </c>
      <c r="AB180" t="s">
        <v>654</v>
      </c>
      <c r="AC180" t="s">
        <v>700</v>
      </c>
      <c r="AD180" t="s">
        <v>706</v>
      </c>
      <c r="AE180" t="s">
        <v>711</v>
      </c>
      <c r="AH180" t="s">
        <v>766</v>
      </c>
      <c r="AI180" t="s">
        <v>770</v>
      </c>
      <c r="AJ180" t="s">
        <v>774</v>
      </c>
      <c r="AK180">
        <v>4.2300000000000004</v>
      </c>
      <c r="AL180">
        <v>4.03</v>
      </c>
      <c r="AM180">
        <v>0.5</v>
      </c>
      <c r="AN180">
        <v>0.7</v>
      </c>
      <c r="AP180" t="s">
        <v>787</v>
      </c>
      <c r="AQ180" t="s">
        <v>788</v>
      </c>
      <c r="AR180" t="s">
        <v>957</v>
      </c>
      <c r="AS180" t="s">
        <v>700</v>
      </c>
      <c r="AT180" t="s">
        <v>993</v>
      </c>
      <c r="AU180" s="2">
        <v>45279</v>
      </c>
      <c r="AV180" t="s">
        <v>1131</v>
      </c>
      <c r="AX180">
        <v>4.1100000000000003</v>
      </c>
      <c r="AY180">
        <v>16.899999999999999</v>
      </c>
      <c r="AZ180">
        <v>11.7</v>
      </c>
      <c r="BA180">
        <v>44.9</v>
      </c>
      <c r="QZ180" t="s">
        <v>1368</v>
      </c>
      <c r="RA180" t="s">
        <v>1368</v>
      </c>
    </row>
    <row r="181" spans="2:469" x14ac:dyDescent="0.3">
      <c r="B181" t="b">
        <v>1</v>
      </c>
      <c r="F181" t="b">
        <v>0</v>
      </c>
      <c r="G181" t="b">
        <v>0</v>
      </c>
      <c r="H181" t="b">
        <v>0</v>
      </c>
      <c r="I181" t="b">
        <v>0</v>
      </c>
      <c r="K181" t="s">
        <v>474</v>
      </c>
      <c r="L181" t="s">
        <v>475</v>
      </c>
      <c r="O181" t="s">
        <v>476</v>
      </c>
      <c r="U181">
        <v>135685.35999999999</v>
      </c>
      <c r="V181">
        <v>415923.18</v>
      </c>
      <c r="W181">
        <v>5.36</v>
      </c>
      <c r="X181" t="s">
        <v>505</v>
      </c>
      <c r="Y181" t="s">
        <v>553</v>
      </c>
      <c r="Z181" s="2">
        <v>45159</v>
      </c>
      <c r="AA181" t="s">
        <v>582</v>
      </c>
      <c r="AB181" t="s">
        <v>655</v>
      </c>
      <c r="AC181" t="s">
        <v>700</v>
      </c>
      <c r="AD181" t="s">
        <v>705</v>
      </c>
      <c r="AE181" t="s">
        <v>711</v>
      </c>
      <c r="AH181" t="s">
        <v>766</v>
      </c>
      <c r="AI181" t="s">
        <v>770</v>
      </c>
      <c r="AJ181" t="s">
        <v>774</v>
      </c>
      <c r="AK181">
        <v>4.8600000000000003</v>
      </c>
      <c r="AL181">
        <v>4.66</v>
      </c>
      <c r="AM181">
        <v>0.5</v>
      </c>
      <c r="AN181">
        <v>0.7</v>
      </c>
      <c r="AP181" t="s">
        <v>787</v>
      </c>
      <c r="AQ181" t="s">
        <v>788</v>
      </c>
      <c r="AR181" t="s">
        <v>958</v>
      </c>
      <c r="AS181" t="s">
        <v>700</v>
      </c>
      <c r="AT181" t="s">
        <v>993</v>
      </c>
      <c r="AU181" s="2">
        <v>45279</v>
      </c>
      <c r="AV181" t="s">
        <v>1132</v>
      </c>
      <c r="AX181">
        <v>4.76</v>
      </c>
      <c r="QZ181" t="s">
        <v>1368</v>
      </c>
      <c r="RA181" t="s">
        <v>1368</v>
      </c>
    </row>
    <row r="182" spans="2:469" x14ac:dyDescent="0.3">
      <c r="B182" t="b">
        <v>1</v>
      </c>
      <c r="F182" t="b">
        <v>0</v>
      </c>
      <c r="G182" t="b">
        <v>0</v>
      </c>
      <c r="H182" t="b">
        <v>0</v>
      </c>
      <c r="I182" t="b">
        <v>0</v>
      </c>
      <c r="K182" t="s">
        <v>474</v>
      </c>
      <c r="L182" t="s">
        <v>475</v>
      </c>
      <c r="O182" t="s">
        <v>476</v>
      </c>
      <c r="U182">
        <v>135691.91</v>
      </c>
      <c r="V182">
        <v>415908.35</v>
      </c>
      <c r="W182">
        <v>1.3</v>
      </c>
      <c r="X182" t="s">
        <v>506</v>
      </c>
      <c r="Y182" t="s">
        <v>551</v>
      </c>
      <c r="Z182" s="2">
        <v>45161</v>
      </c>
      <c r="AA182" t="s">
        <v>583</v>
      </c>
      <c r="AB182" t="s">
        <v>656</v>
      </c>
      <c r="AC182" t="s">
        <v>700</v>
      </c>
      <c r="AD182" t="s">
        <v>705</v>
      </c>
      <c r="AE182" t="s">
        <v>711</v>
      </c>
      <c r="AF182">
        <v>-0.3</v>
      </c>
      <c r="AH182" t="s">
        <v>766</v>
      </c>
      <c r="AI182" t="s">
        <v>770</v>
      </c>
      <c r="AJ182" t="s">
        <v>774</v>
      </c>
      <c r="AK182">
        <v>0.6</v>
      </c>
      <c r="AL182">
        <v>0.4</v>
      </c>
      <c r="AM182">
        <v>0.7</v>
      </c>
      <c r="AN182">
        <v>0.9</v>
      </c>
      <c r="AP182" t="s">
        <v>787</v>
      </c>
      <c r="AQ182" t="s">
        <v>788</v>
      </c>
      <c r="AR182" t="s">
        <v>959</v>
      </c>
      <c r="AS182" t="s">
        <v>700</v>
      </c>
      <c r="AT182" t="s">
        <v>993</v>
      </c>
      <c r="AU182" s="2">
        <v>45279</v>
      </c>
      <c r="AV182" t="s">
        <v>1133</v>
      </c>
      <c r="AX182">
        <v>0.45</v>
      </c>
      <c r="AY182">
        <v>18.899999999999999</v>
      </c>
      <c r="AZ182">
        <v>15</v>
      </c>
      <c r="BA182">
        <v>26.3</v>
      </c>
      <c r="QZ182" t="s">
        <v>1368</v>
      </c>
      <c r="RA182" t="s">
        <v>1368</v>
      </c>
    </row>
    <row r="183" spans="2:469" x14ac:dyDescent="0.3">
      <c r="B183" t="b">
        <v>1</v>
      </c>
      <c r="F183" t="b">
        <v>0</v>
      </c>
      <c r="G183" t="b">
        <v>0</v>
      </c>
      <c r="H183" t="b">
        <v>0</v>
      </c>
      <c r="I183" t="b">
        <v>0</v>
      </c>
      <c r="K183" t="s">
        <v>474</v>
      </c>
      <c r="L183" t="s">
        <v>475</v>
      </c>
      <c r="O183" t="s">
        <v>476</v>
      </c>
      <c r="U183">
        <v>135584.26</v>
      </c>
      <c r="V183">
        <v>415896.74</v>
      </c>
      <c r="W183">
        <v>4.4800000000000004</v>
      </c>
      <c r="X183" t="s">
        <v>507</v>
      </c>
      <c r="Y183" t="s">
        <v>552</v>
      </c>
      <c r="Z183" s="2">
        <v>45153</v>
      </c>
      <c r="AA183" t="s">
        <v>584</v>
      </c>
      <c r="AB183" t="s">
        <v>657</v>
      </c>
      <c r="AC183" t="s">
        <v>700</v>
      </c>
      <c r="AD183" t="s">
        <v>706</v>
      </c>
      <c r="AE183" t="s">
        <v>711</v>
      </c>
      <c r="AH183" t="s">
        <v>712</v>
      </c>
      <c r="AI183" t="s">
        <v>769</v>
      </c>
      <c r="AJ183" t="s">
        <v>775</v>
      </c>
      <c r="AK183">
        <v>4.4800000000000004</v>
      </c>
      <c r="AL183">
        <v>3.48</v>
      </c>
      <c r="AM183">
        <v>0</v>
      </c>
      <c r="AN183">
        <v>1</v>
      </c>
      <c r="AP183" t="s">
        <v>787</v>
      </c>
      <c r="AQ183" t="s">
        <v>788</v>
      </c>
      <c r="AR183" t="s">
        <v>960</v>
      </c>
      <c r="AS183" t="s">
        <v>700</v>
      </c>
      <c r="AT183" t="s">
        <v>993</v>
      </c>
      <c r="AU183" s="2">
        <v>45279</v>
      </c>
      <c r="AV183" t="s">
        <v>1134</v>
      </c>
      <c r="AX183">
        <v>3.9</v>
      </c>
      <c r="AY183">
        <v>17.2</v>
      </c>
      <c r="AZ183">
        <v>12.1</v>
      </c>
      <c r="BA183">
        <v>41.9</v>
      </c>
      <c r="QZ183" t="s">
        <v>1368</v>
      </c>
      <c r="RA183" t="s">
        <v>1368</v>
      </c>
    </row>
    <row r="184" spans="2:469" x14ac:dyDescent="0.3">
      <c r="B184" t="b">
        <v>1</v>
      </c>
      <c r="F184" t="b">
        <v>0</v>
      </c>
      <c r="G184" t="b">
        <v>0</v>
      </c>
      <c r="H184" t="b">
        <v>0</v>
      </c>
      <c r="I184" t="b">
        <v>0</v>
      </c>
      <c r="K184" t="s">
        <v>474</v>
      </c>
      <c r="L184" t="s">
        <v>475</v>
      </c>
      <c r="O184" t="s">
        <v>476</v>
      </c>
      <c r="U184">
        <v>135507.04999999999</v>
      </c>
      <c r="V184">
        <v>415831.8</v>
      </c>
      <c r="W184">
        <v>4.47</v>
      </c>
      <c r="X184" t="s">
        <v>508</v>
      </c>
      <c r="Y184" t="s">
        <v>553</v>
      </c>
      <c r="Z184" s="2">
        <v>45166</v>
      </c>
      <c r="AA184" t="s">
        <v>585</v>
      </c>
      <c r="AB184" t="s">
        <v>658</v>
      </c>
      <c r="AC184" t="s">
        <v>700</v>
      </c>
      <c r="AD184" t="s">
        <v>705</v>
      </c>
      <c r="AE184" t="s">
        <v>711</v>
      </c>
      <c r="AH184" t="s">
        <v>726</v>
      </c>
      <c r="AI184" t="s">
        <v>770</v>
      </c>
      <c r="AJ184" t="s">
        <v>774</v>
      </c>
      <c r="AK184">
        <v>3.97</v>
      </c>
      <c r="AL184">
        <v>3.77</v>
      </c>
      <c r="AM184">
        <v>0.5</v>
      </c>
      <c r="AN184">
        <v>0.7</v>
      </c>
      <c r="AP184" t="s">
        <v>787</v>
      </c>
      <c r="AQ184" t="s">
        <v>788</v>
      </c>
      <c r="AR184" t="s">
        <v>961</v>
      </c>
      <c r="AS184" t="s">
        <v>700</v>
      </c>
      <c r="AT184" t="s">
        <v>993</v>
      </c>
      <c r="AU184" s="2">
        <v>45279</v>
      </c>
      <c r="AV184" t="s">
        <v>1135</v>
      </c>
      <c r="AX184">
        <v>3.87</v>
      </c>
      <c r="AY184">
        <v>17.100000000000001</v>
      </c>
      <c r="AZ184">
        <v>13.9</v>
      </c>
      <c r="BA184">
        <v>23.4</v>
      </c>
      <c r="QZ184" t="s">
        <v>1368</v>
      </c>
      <c r="RA184" t="s">
        <v>1368</v>
      </c>
    </row>
    <row r="185" spans="2:469" x14ac:dyDescent="0.3">
      <c r="B185" t="b">
        <v>1</v>
      </c>
      <c r="F185" t="b">
        <v>0</v>
      </c>
      <c r="G185" t="b">
        <v>0</v>
      </c>
      <c r="H185" t="b">
        <v>0</v>
      </c>
      <c r="I185" t="b">
        <v>0</v>
      </c>
      <c r="K185" t="s">
        <v>474</v>
      </c>
      <c r="L185" t="s">
        <v>475</v>
      </c>
      <c r="O185" t="s">
        <v>476</v>
      </c>
      <c r="U185">
        <v>135494.92000000001</v>
      </c>
      <c r="V185">
        <v>415850.53</v>
      </c>
      <c r="W185">
        <v>4.6500000000000004</v>
      </c>
      <c r="X185" t="s">
        <v>509</v>
      </c>
      <c r="Y185" t="s">
        <v>552</v>
      </c>
      <c r="Z185" s="2">
        <v>45153</v>
      </c>
      <c r="AA185" t="s">
        <v>586</v>
      </c>
      <c r="AB185" t="s">
        <v>659</v>
      </c>
      <c r="AC185" t="s">
        <v>700</v>
      </c>
      <c r="AD185" t="s">
        <v>706</v>
      </c>
      <c r="AE185" t="s">
        <v>711</v>
      </c>
      <c r="AF185">
        <v>1.75</v>
      </c>
      <c r="AG185">
        <v>1.75</v>
      </c>
      <c r="AH185" t="s">
        <v>712</v>
      </c>
      <c r="AI185" t="s">
        <v>769</v>
      </c>
      <c r="AJ185" t="s">
        <v>775</v>
      </c>
      <c r="AK185">
        <v>4.6500000000000004</v>
      </c>
      <c r="AL185">
        <v>3.65</v>
      </c>
      <c r="AM185">
        <v>0</v>
      </c>
      <c r="AN185">
        <v>1</v>
      </c>
      <c r="AP185" t="s">
        <v>787</v>
      </c>
      <c r="AQ185" t="s">
        <v>788</v>
      </c>
      <c r="AR185" t="s">
        <v>962</v>
      </c>
      <c r="AS185" t="s">
        <v>700</v>
      </c>
      <c r="AT185" t="s">
        <v>993</v>
      </c>
      <c r="AU185" s="2">
        <v>45279</v>
      </c>
      <c r="AV185" t="s">
        <v>1136</v>
      </c>
      <c r="AX185">
        <v>4.05</v>
      </c>
      <c r="AY185">
        <v>18.8</v>
      </c>
      <c r="AZ185">
        <v>14.1</v>
      </c>
      <c r="BA185">
        <v>32.799999999999997</v>
      </c>
      <c r="QZ185" t="s">
        <v>1368</v>
      </c>
      <c r="RA185" t="s">
        <v>1368</v>
      </c>
    </row>
    <row r="186" spans="2:469" x14ac:dyDescent="0.3">
      <c r="B186" t="b">
        <v>1</v>
      </c>
      <c r="F186" t="b">
        <v>0</v>
      </c>
      <c r="G186" t="b">
        <v>0</v>
      </c>
      <c r="H186" t="b">
        <v>0</v>
      </c>
      <c r="I186" t="b">
        <v>0</v>
      </c>
      <c r="K186" t="s">
        <v>474</v>
      </c>
      <c r="L186" t="s">
        <v>475</v>
      </c>
      <c r="O186" t="s">
        <v>476</v>
      </c>
      <c r="U186">
        <v>135404.35999999999</v>
      </c>
      <c r="V186">
        <v>415803.78</v>
      </c>
      <c r="W186">
        <v>4.29</v>
      </c>
      <c r="X186" t="s">
        <v>510</v>
      </c>
      <c r="Y186" t="s">
        <v>552</v>
      </c>
      <c r="Z186" s="2">
        <v>45155</v>
      </c>
      <c r="AA186" t="s">
        <v>587</v>
      </c>
      <c r="AB186" t="s">
        <v>660</v>
      </c>
      <c r="AC186" t="s">
        <v>700</v>
      </c>
      <c r="AD186" t="s">
        <v>706</v>
      </c>
      <c r="AE186" t="s">
        <v>711</v>
      </c>
      <c r="AF186">
        <v>2.29</v>
      </c>
      <c r="AH186" t="s">
        <v>766</v>
      </c>
      <c r="AI186" t="s">
        <v>770</v>
      </c>
      <c r="AJ186" t="s">
        <v>774</v>
      </c>
      <c r="AK186">
        <v>3.79</v>
      </c>
      <c r="AL186">
        <v>3.59</v>
      </c>
      <c r="AM186">
        <v>0.5</v>
      </c>
      <c r="AN186">
        <v>0.7</v>
      </c>
      <c r="AP186" t="s">
        <v>787</v>
      </c>
      <c r="AQ186" t="s">
        <v>788</v>
      </c>
      <c r="AR186" t="s">
        <v>963</v>
      </c>
      <c r="AS186" t="s">
        <v>700</v>
      </c>
      <c r="AT186" t="s">
        <v>993</v>
      </c>
      <c r="AU186" s="2">
        <v>45279</v>
      </c>
      <c r="AV186" t="s">
        <v>1065</v>
      </c>
      <c r="AX186">
        <v>3.66</v>
      </c>
      <c r="AY186">
        <v>18.600000000000001</v>
      </c>
      <c r="AZ186">
        <v>14.2</v>
      </c>
      <c r="BA186">
        <v>30.5</v>
      </c>
      <c r="QZ186" t="s">
        <v>1368</v>
      </c>
      <c r="RA186" t="s">
        <v>1368</v>
      </c>
    </row>
    <row r="187" spans="2:469" x14ac:dyDescent="0.3">
      <c r="B187" t="b">
        <v>0</v>
      </c>
      <c r="F187" t="b">
        <v>0</v>
      </c>
      <c r="G187" t="b">
        <v>0</v>
      </c>
      <c r="H187" t="b">
        <v>0</v>
      </c>
      <c r="I187" t="b">
        <v>0</v>
      </c>
      <c r="K187" t="s">
        <v>474</v>
      </c>
      <c r="L187" t="s">
        <v>475</v>
      </c>
      <c r="O187" t="s">
        <v>476</v>
      </c>
      <c r="U187">
        <v>135338.22</v>
      </c>
      <c r="V187">
        <v>415724.68</v>
      </c>
      <c r="W187">
        <v>1.66</v>
      </c>
      <c r="X187" t="s">
        <v>511</v>
      </c>
      <c r="Y187" t="s">
        <v>551</v>
      </c>
      <c r="Z187" s="2">
        <v>45162</v>
      </c>
      <c r="AA187" t="s">
        <v>588</v>
      </c>
      <c r="AB187" t="s">
        <v>661</v>
      </c>
      <c r="AC187" t="s">
        <v>700</v>
      </c>
      <c r="AD187" t="s">
        <v>705</v>
      </c>
      <c r="AE187" t="s">
        <v>711</v>
      </c>
      <c r="AF187">
        <v>-0.94</v>
      </c>
      <c r="AH187" t="s">
        <v>766</v>
      </c>
      <c r="AI187" t="s">
        <v>769</v>
      </c>
      <c r="AJ187" t="s">
        <v>775</v>
      </c>
      <c r="AK187">
        <v>-1.84</v>
      </c>
      <c r="AL187">
        <v>-2.04</v>
      </c>
      <c r="AM187">
        <v>3.5</v>
      </c>
      <c r="AN187">
        <v>3.7</v>
      </c>
      <c r="CD187" t="s">
        <v>1172</v>
      </c>
      <c r="CE187" t="s">
        <v>788</v>
      </c>
      <c r="CF187" t="s">
        <v>1196</v>
      </c>
      <c r="CG187" t="s">
        <v>700</v>
      </c>
      <c r="CH187" t="s">
        <v>1211</v>
      </c>
      <c r="CI187" s="2">
        <v>45212</v>
      </c>
      <c r="CJ187" t="s">
        <v>1215</v>
      </c>
      <c r="CL187">
        <v>151</v>
      </c>
      <c r="CM187">
        <v>140</v>
      </c>
      <c r="CN187">
        <v>0.6</v>
      </c>
      <c r="CO187">
        <v>86.06</v>
      </c>
      <c r="CP187">
        <v>11.34</v>
      </c>
      <c r="CQ187">
        <v>100</v>
      </c>
      <c r="CR187">
        <v>100</v>
      </c>
      <c r="CS187">
        <v>100</v>
      </c>
      <c r="CT187">
        <v>99.99</v>
      </c>
      <c r="CU187">
        <v>99.7</v>
      </c>
      <c r="CV187">
        <v>99.4</v>
      </c>
      <c r="CW187">
        <v>98.2</v>
      </c>
      <c r="CX187">
        <v>96.09</v>
      </c>
      <c r="CY187">
        <v>88.98</v>
      </c>
      <c r="CZ187">
        <v>73.75</v>
      </c>
      <c r="DA187">
        <v>41.19</v>
      </c>
      <c r="DB187">
        <v>13.34</v>
      </c>
      <c r="DC187">
        <v>5</v>
      </c>
      <c r="DD187">
        <v>3.64</v>
      </c>
      <c r="DE187">
        <v>3</v>
      </c>
      <c r="DF187">
        <v>2</v>
      </c>
      <c r="DG187">
        <v>180</v>
      </c>
      <c r="DH187">
        <v>165</v>
      </c>
      <c r="DI187">
        <v>151</v>
      </c>
      <c r="DJ187">
        <v>85</v>
      </c>
      <c r="DK187">
        <v>1.94</v>
      </c>
      <c r="QZ187" t="s">
        <v>1368</v>
      </c>
      <c r="RA187" t="s">
        <v>1368</v>
      </c>
    </row>
    <row r="188" spans="2:469" x14ac:dyDescent="0.3">
      <c r="B188" t="b">
        <v>1</v>
      </c>
      <c r="F188" t="b">
        <v>0</v>
      </c>
      <c r="G188" t="b">
        <v>0</v>
      </c>
      <c r="H188" t="b">
        <v>0</v>
      </c>
      <c r="I188" t="b">
        <v>0</v>
      </c>
      <c r="K188" t="s">
        <v>474</v>
      </c>
      <c r="L188" t="s">
        <v>475</v>
      </c>
      <c r="O188" t="s">
        <v>476</v>
      </c>
      <c r="U188">
        <v>135230.41</v>
      </c>
      <c r="V188">
        <v>415710.05</v>
      </c>
      <c r="W188">
        <v>3.71</v>
      </c>
      <c r="X188" t="s">
        <v>512</v>
      </c>
      <c r="Y188" t="s">
        <v>552</v>
      </c>
      <c r="Z188" s="2">
        <v>45155</v>
      </c>
      <c r="AA188" t="s">
        <v>589</v>
      </c>
      <c r="AB188" t="s">
        <v>662</v>
      </c>
      <c r="AC188" t="s">
        <v>700</v>
      </c>
      <c r="AD188" t="s">
        <v>706</v>
      </c>
      <c r="AE188" t="s">
        <v>711</v>
      </c>
      <c r="AF188">
        <v>2.11</v>
      </c>
      <c r="AG188">
        <v>2.0099999999999998</v>
      </c>
      <c r="AH188" t="s">
        <v>766</v>
      </c>
      <c r="AI188" t="s">
        <v>770</v>
      </c>
      <c r="AJ188" t="s">
        <v>774</v>
      </c>
      <c r="AK188">
        <v>3.21</v>
      </c>
      <c r="AL188">
        <v>3.01</v>
      </c>
      <c r="AM188">
        <v>0.5</v>
      </c>
      <c r="AN188">
        <v>0.7</v>
      </c>
      <c r="AP188" t="s">
        <v>787</v>
      </c>
      <c r="AQ188" t="s">
        <v>788</v>
      </c>
      <c r="AR188" t="s">
        <v>964</v>
      </c>
      <c r="AS188" t="s">
        <v>700</v>
      </c>
      <c r="AT188" t="s">
        <v>993</v>
      </c>
      <c r="AU188" s="2">
        <v>45279</v>
      </c>
      <c r="AV188" t="s">
        <v>1136</v>
      </c>
      <c r="AX188">
        <v>3.1</v>
      </c>
      <c r="AY188">
        <v>17.7</v>
      </c>
      <c r="AZ188">
        <v>12.8</v>
      </c>
      <c r="BA188">
        <v>37.9</v>
      </c>
      <c r="QZ188" t="s">
        <v>1368</v>
      </c>
      <c r="RA188" t="s">
        <v>1368</v>
      </c>
    </row>
    <row r="189" spans="2:469" x14ac:dyDescent="0.3">
      <c r="B189" t="b">
        <v>1</v>
      </c>
      <c r="F189" t="b">
        <v>0</v>
      </c>
      <c r="G189" t="b">
        <v>0</v>
      </c>
      <c r="H189" t="b">
        <v>0</v>
      </c>
      <c r="I189" t="b">
        <v>0</v>
      </c>
      <c r="K189" t="s">
        <v>474</v>
      </c>
      <c r="L189" t="s">
        <v>475</v>
      </c>
      <c r="O189" t="s">
        <v>476</v>
      </c>
      <c r="U189">
        <v>135144.04</v>
      </c>
      <c r="V189">
        <v>415659.98</v>
      </c>
      <c r="W189">
        <v>3.83</v>
      </c>
      <c r="X189" t="s">
        <v>513</v>
      </c>
      <c r="Y189" t="s">
        <v>552</v>
      </c>
      <c r="Z189" s="2">
        <v>45155</v>
      </c>
      <c r="AA189" t="s">
        <v>590</v>
      </c>
      <c r="AB189" t="s">
        <v>663</v>
      </c>
      <c r="AC189" t="s">
        <v>700</v>
      </c>
      <c r="AD189" t="s">
        <v>706</v>
      </c>
      <c r="AE189" t="s">
        <v>711</v>
      </c>
      <c r="AF189">
        <v>2.13</v>
      </c>
      <c r="AG189">
        <v>2.0299999999999998</v>
      </c>
      <c r="AH189" t="s">
        <v>766</v>
      </c>
      <c r="AI189" t="s">
        <v>770</v>
      </c>
      <c r="AJ189" t="s">
        <v>774</v>
      </c>
      <c r="AK189">
        <v>3.33</v>
      </c>
      <c r="AL189">
        <v>3.13</v>
      </c>
      <c r="AM189">
        <v>0.5</v>
      </c>
      <c r="AN189">
        <v>0.7</v>
      </c>
      <c r="AP189" t="s">
        <v>787</v>
      </c>
      <c r="AQ189" t="s">
        <v>788</v>
      </c>
      <c r="AR189" t="s">
        <v>965</v>
      </c>
      <c r="AS189" t="s">
        <v>700</v>
      </c>
      <c r="AT189" t="s">
        <v>993</v>
      </c>
      <c r="AU189" s="2">
        <v>45279</v>
      </c>
      <c r="AV189" t="s">
        <v>1137</v>
      </c>
      <c r="AX189">
        <v>3.24</v>
      </c>
      <c r="AY189">
        <v>18.3</v>
      </c>
      <c r="AZ189">
        <v>13.6</v>
      </c>
      <c r="BA189">
        <v>35.1</v>
      </c>
      <c r="QZ189" t="s">
        <v>1368</v>
      </c>
      <c r="RA189" t="s">
        <v>1368</v>
      </c>
    </row>
    <row r="190" spans="2:469" x14ac:dyDescent="0.3">
      <c r="B190" t="b">
        <v>1</v>
      </c>
      <c r="F190" t="b">
        <v>0</v>
      </c>
      <c r="G190" t="b">
        <v>0</v>
      </c>
      <c r="H190" t="b">
        <v>0</v>
      </c>
      <c r="I190" t="b">
        <v>0</v>
      </c>
      <c r="K190" t="s">
        <v>474</v>
      </c>
      <c r="L190" t="s">
        <v>475</v>
      </c>
      <c r="O190" t="s">
        <v>476</v>
      </c>
      <c r="U190">
        <v>135051.95000000001</v>
      </c>
      <c r="V190">
        <v>415601.02</v>
      </c>
      <c r="W190">
        <v>3.76</v>
      </c>
      <c r="X190" t="s">
        <v>514</v>
      </c>
      <c r="Y190" t="s">
        <v>552</v>
      </c>
      <c r="Z190" s="2">
        <v>45153</v>
      </c>
      <c r="AA190" t="s">
        <v>591</v>
      </c>
      <c r="AB190" t="s">
        <v>664</v>
      </c>
      <c r="AC190" t="s">
        <v>700</v>
      </c>
      <c r="AD190" t="s">
        <v>706</v>
      </c>
      <c r="AE190" t="s">
        <v>711</v>
      </c>
      <c r="AF190">
        <v>2.56</v>
      </c>
      <c r="AG190">
        <v>2.56</v>
      </c>
      <c r="AH190" t="s">
        <v>712</v>
      </c>
      <c r="AI190" t="s">
        <v>769</v>
      </c>
      <c r="AJ190" t="s">
        <v>775</v>
      </c>
      <c r="AK190">
        <v>3.76</v>
      </c>
      <c r="AL190">
        <v>2.96</v>
      </c>
      <c r="AM190">
        <v>0</v>
      </c>
      <c r="AN190">
        <v>0.8</v>
      </c>
      <c r="AP190" t="s">
        <v>787</v>
      </c>
      <c r="AQ190" t="s">
        <v>788</v>
      </c>
      <c r="AR190" t="s">
        <v>966</v>
      </c>
      <c r="AS190" t="s">
        <v>700</v>
      </c>
      <c r="AT190" t="s">
        <v>993</v>
      </c>
      <c r="AU190" s="2">
        <v>45279</v>
      </c>
      <c r="AV190" t="s">
        <v>1138</v>
      </c>
      <c r="AX190">
        <v>3.16</v>
      </c>
      <c r="AY190">
        <v>18.8</v>
      </c>
      <c r="AZ190">
        <v>14.8</v>
      </c>
      <c r="BA190">
        <v>27.4</v>
      </c>
      <c r="QZ190" t="s">
        <v>1368</v>
      </c>
      <c r="RA190" t="s">
        <v>1368</v>
      </c>
    </row>
    <row r="191" spans="2:469" x14ac:dyDescent="0.3">
      <c r="B191" t="b">
        <v>0</v>
      </c>
      <c r="F191" t="b">
        <v>0</v>
      </c>
      <c r="G191" t="b">
        <v>0</v>
      </c>
      <c r="H191" t="b">
        <v>0</v>
      </c>
      <c r="I191" t="b">
        <v>0</v>
      </c>
      <c r="K191" t="s">
        <v>474</v>
      </c>
      <c r="L191" t="s">
        <v>475</v>
      </c>
      <c r="O191" t="s">
        <v>476</v>
      </c>
      <c r="U191">
        <v>135003.63</v>
      </c>
      <c r="V191">
        <v>415511.23</v>
      </c>
      <c r="W191">
        <v>1.02</v>
      </c>
      <c r="X191" t="s">
        <v>515</v>
      </c>
      <c r="Y191" t="s">
        <v>551</v>
      </c>
      <c r="Z191" s="2">
        <v>45169</v>
      </c>
      <c r="AA191" t="s">
        <v>592</v>
      </c>
      <c r="AB191" t="s">
        <v>665</v>
      </c>
      <c r="AC191" t="s">
        <v>700</v>
      </c>
      <c r="AD191" t="s">
        <v>706</v>
      </c>
      <c r="AE191" t="s">
        <v>711</v>
      </c>
      <c r="AF191">
        <v>-0.08</v>
      </c>
      <c r="AH191" t="s">
        <v>717</v>
      </c>
      <c r="AI191" t="s">
        <v>769</v>
      </c>
      <c r="AJ191" t="s">
        <v>775</v>
      </c>
      <c r="AK191">
        <v>-1.98</v>
      </c>
      <c r="AL191">
        <v>-2.98</v>
      </c>
      <c r="AM191">
        <v>3</v>
      </c>
      <c r="AN191">
        <v>4</v>
      </c>
      <c r="CD191" t="s">
        <v>1173</v>
      </c>
      <c r="CE191" t="s">
        <v>788</v>
      </c>
      <c r="CF191" t="s">
        <v>1197</v>
      </c>
      <c r="CG191" t="s">
        <v>700</v>
      </c>
      <c r="CH191" t="s">
        <v>1211</v>
      </c>
      <c r="CI191" s="2">
        <v>45212</v>
      </c>
      <c r="CJ191" t="s">
        <v>1215</v>
      </c>
      <c r="CL191">
        <v>166</v>
      </c>
      <c r="CM191">
        <v>159</v>
      </c>
      <c r="CN191">
        <v>0.01</v>
      </c>
      <c r="CO191">
        <v>91.52</v>
      </c>
      <c r="CP191">
        <v>6.47</v>
      </c>
      <c r="CQ191">
        <v>100</v>
      </c>
      <c r="CR191">
        <v>100</v>
      </c>
      <c r="CS191">
        <v>100</v>
      </c>
      <c r="CT191">
        <v>100</v>
      </c>
      <c r="CU191">
        <v>100</v>
      </c>
      <c r="CV191">
        <v>99.99</v>
      </c>
      <c r="CW191">
        <v>99.31</v>
      </c>
      <c r="CX191">
        <v>97.45</v>
      </c>
      <c r="CY191">
        <v>85.38</v>
      </c>
      <c r="CZ191">
        <v>63.11</v>
      </c>
      <c r="DA191">
        <v>28.58</v>
      </c>
      <c r="DB191">
        <v>8.4700000000000006</v>
      </c>
      <c r="DC191">
        <v>5</v>
      </c>
      <c r="DD191">
        <v>3.64</v>
      </c>
      <c r="DE191">
        <v>3</v>
      </c>
      <c r="DF191">
        <v>2</v>
      </c>
      <c r="DG191">
        <v>210</v>
      </c>
      <c r="DH191">
        <v>181</v>
      </c>
      <c r="DI191">
        <v>166</v>
      </c>
      <c r="DJ191">
        <v>97</v>
      </c>
      <c r="DK191">
        <v>1.86</v>
      </c>
      <c r="QZ191" t="s">
        <v>1368</v>
      </c>
      <c r="RA191" t="s">
        <v>1368</v>
      </c>
    </row>
    <row r="192" spans="2:469" x14ac:dyDescent="0.3">
      <c r="B192" t="b">
        <v>1</v>
      </c>
      <c r="F192" t="b">
        <v>0</v>
      </c>
      <c r="G192" t="b">
        <v>0</v>
      </c>
      <c r="H192" t="b">
        <v>0</v>
      </c>
      <c r="I192" t="b">
        <v>0</v>
      </c>
      <c r="K192" t="s">
        <v>474</v>
      </c>
      <c r="L192" t="s">
        <v>475</v>
      </c>
      <c r="O192" t="s">
        <v>476</v>
      </c>
      <c r="U192">
        <v>134973.99</v>
      </c>
      <c r="V192">
        <v>415559.81</v>
      </c>
      <c r="W192">
        <v>3.53</v>
      </c>
      <c r="X192" t="s">
        <v>516</v>
      </c>
      <c r="Y192" t="s">
        <v>552</v>
      </c>
      <c r="Z192" s="2">
        <v>45156</v>
      </c>
      <c r="AA192" t="s">
        <v>593</v>
      </c>
      <c r="AB192" t="s">
        <v>666</v>
      </c>
      <c r="AC192" t="s">
        <v>700</v>
      </c>
      <c r="AD192" t="s">
        <v>706</v>
      </c>
      <c r="AE192" t="s">
        <v>711</v>
      </c>
      <c r="AH192" t="s">
        <v>766</v>
      </c>
      <c r="AI192" t="s">
        <v>770</v>
      </c>
      <c r="AJ192" t="s">
        <v>774</v>
      </c>
      <c r="AK192">
        <v>3.03</v>
      </c>
      <c r="AL192">
        <v>2.83</v>
      </c>
      <c r="AM192">
        <v>0.5</v>
      </c>
      <c r="AN192">
        <v>0.7</v>
      </c>
      <c r="AP192" t="s">
        <v>787</v>
      </c>
      <c r="AQ192" t="s">
        <v>788</v>
      </c>
      <c r="AR192" t="s">
        <v>967</v>
      </c>
      <c r="AS192" t="s">
        <v>700</v>
      </c>
      <c r="AT192" t="s">
        <v>993</v>
      </c>
      <c r="AU192" s="2">
        <v>45279</v>
      </c>
      <c r="AV192" t="s">
        <v>1139</v>
      </c>
      <c r="AX192">
        <v>2.96</v>
      </c>
      <c r="AY192">
        <v>18</v>
      </c>
      <c r="AZ192">
        <v>13</v>
      </c>
      <c r="BA192">
        <v>38</v>
      </c>
      <c r="QZ192" t="s">
        <v>1368</v>
      </c>
      <c r="RA192" t="s">
        <v>1368</v>
      </c>
    </row>
    <row r="193" spans="2:469" x14ac:dyDescent="0.3">
      <c r="B193" t="b">
        <v>0</v>
      </c>
      <c r="F193" t="b">
        <v>0</v>
      </c>
      <c r="G193" t="b">
        <v>0</v>
      </c>
      <c r="H193" t="b">
        <v>0</v>
      </c>
      <c r="I193" t="b">
        <v>0</v>
      </c>
      <c r="K193" t="s">
        <v>474</v>
      </c>
      <c r="L193" t="s">
        <v>475</v>
      </c>
      <c r="O193" t="s">
        <v>476</v>
      </c>
      <c r="U193">
        <v>134923.41</v>
      </c>
      <c r="V193">
        <v>415459.62</v>
      </c>
      <c r="W193">
        <v>0.95</v>
      </c>
      <c r="X193" t="s">
        <v>517</v>
      </c>
      <c r="Y193" t="s">
        <v>551</v>
      </c>
      <c r="Z193" s="2">
        <v>45166</v>
      </c>
      <c r="AA193" t="s">
        <v>594</v>
      </c>
      <c r="AB193" t="s">
        <v>667</v>
      </c>
      <c r="AC193" t="s">
        <v>700</v>
      </c>
      <c r="AD193" t="s">
        <v>706</v>
      </c>
      <c r="AE193" t="s">
        <v>711</v>
      </c>
      <c r="AF193">
        <v>-1.6</v>
      </c>
      <c r="AH193" t="s">
        <v>727</v>
      </c>
      <c r="AI193" t="s">
        <v>770</v>
      </c>
      <c r="AJ193" t="s">
        <v>775</v>
      </c>
      <c r="AK193">
        <v>-2.75</v>
      </c>
      <c r="AL193">
        <v>-3.55</v>
      </c>
      <c r="AM193">
        <v>3.7</v>
      </c>
      <c r="AN193">
        <v>4.5</v>
      </c>
      <c r="CD193" t="s">
        <v>1174</v>
      </c>
      <c r="CE193" t="s">
        <v>788</v>
      </c>
      <c r="CF193" t="s">
        <v>1198</v>
      </c>
      <c r="CG193" t="s">
        <v>700</v>
      </c>
      <c r="CH193" t="s">
        <v>1211</v>
      </c>
      <c r="CI193" s="2">
        <v>45212</v>
      </c>
      <c r="CJ193" t="s">
        <v>1215</v>
      </c>
      <c r="CL193">
        <v>165</v>
      </c>
      <c r="CM193">
        <v>159</v>
      </c>
      <c r="CN193">
        <v>0.01</v>
      </c>
      <c r="CO193">
        <v>92.86</v>
      </c>
      <c r="CP193">
        <v>5.13</v>
      </c>
      <c r="CQ193">
        <v>100</v>
      </c>
      <c r="CR193">
        <v>100</v>
      </c>
      <c r="CS193">
        <v>100</v>
      </c>
      <c r="CT193">
        <v>100</v>
      </c>
      <c r="CU193">
        <v>100</v>
      </c>
      <c r="CV193">
        <v>99.99</v>
      </c>
      <c r="CW193">
        <v>99.21</v>
      </c>
      <c r="CX193">
        <v>97.93</v>
      </c>
      <c r="CY193">
        <v>54.75</v>
      </c>
      <c r="CZ193">
        <v>63.15</v>
      </c>
      <c r="DA193">
        <v>28.67</v>
      </c>
      <c r="DB193">
        <v>7.13</v>
      </c>
      <c r="DC193">
        <v>2.2999999999999998</v>
      </c>
      <c r="DD193">
        <v>2.16</v>
      </c>
      <c r="DE193">
        <v>2.1</v>
      </c>
      <c r="DF193">
        <v>2</v>
      </c>
      <c r="DG193">
        <v>295</v>
      </c>
      <c r="DH193">
        <v>180</v>
      </c>
      <c r="DI193">
        <v>165</v>
      </c>
      <c r="DJ193">
        <v>95</v>
      </c>
      <c r="DK193">
        <v>1.89</v>
      </c>
      <c r="QZ193" t="s">
        <v>1368</v>
      </c>
      <c r="RA193" t="s">
        <v>1368</v>
      </c>
    </row>
    <row r="194" spans="2:469" x14ac:dyDescent="0.3">
      <c r="B194" t="b">
        <v>1</v>
      </c>
      <c r="F194" t="b">
        <v>0</v>
      </c>
      <c r="G194" t="b">
        <v>0</v>
      </c>
      <c r="H194" t="b">
        <v>0</v>
      </c>
      <c r="I194" t="b">
        <v>0</v>
      </c>
      <c r="K194" t="s">
        <v>474</v>
      </c>
      <c r="L194" t="s">
        <v>475</v>
      </c>
      <c r="O194" t="s">
        <v>476</v>
      </c>
      <c r="U194">
        <v>134889.98000000001</v>
      </c>
      <c r="V194">
        <v>415505.71</v>
      </c>
      <c r="W194">
        <v>3.82</v>
      </c>
      <c r="X194" t="s">
        <v>518</v>
      </c>
      <c r="Y194" t="s">
        <v>552</v>
      </c>
      <c r="Z194" s="2">
        <v>45156</v>
      </c>
      <c r="AA194" t="s">
        <v>595</v>
      </c>
      <c r="AB194" t="s">
        <v>668</v>
      </c>
      <c r="AC194" t="s">
        <v>700</v>
      </c>
      <c r="AD194" t="s">
        <v>706</v>
      </c>
      <c r="AE194" t="s">
        <v>711</v>
      </c>
      <c r="AF194">
        <v>1.47</v>
      </c>
      <c r="AG194">
        <v>1.1200000000000001</v>
      </c>
      <c r="AH194" t="s">
        <v>766</v>
      </c>
      <c r="AI194" t="s">
        <v>770</v>
      </c>
      <c r="AJ194" t="s">
        <v>774</v>
      </c>
      <c r="AK194">
        <v>3.32</v>
      </c>
      <c r="AL194">
        <v>3.12</v>
      </c>
      <c r="AM194">
        <v>0.5</v>
      </c>
      <c r="AN194">
        <v>0.7</v>
      </c>
      <c r="AP194" t="s">
        <v>787</v>
      </c>
      <c r="AQ194" t="s">
        <v>788</v>
      </c>
      <c r="AR194" t="s">
        <v>968</v>
      </c>
      <c r="AS194" t="s">
        <v>700</v>
      </c>
      <c r="AT194" t="s">
        <v>993</v>
      </c>
      <c r="AU194" s="2">
        <v>45279</v>
      </c>
      <c r="AV194" t="s">
        <v>1065</v>
      </c>
      <c r="AX194">
        <v>3.24</v>
      </c>
      <c r="AY194">
        <v>18.399999999999999</v>
      </c>
      <c r="AZ194">
        <v>13.8</v>
      </c>
      <c r="BA194">
        <v>33.6</v>
      </c>
      <c r="QZ194" t="s">
        <v>1368</v>
      </c>
      <c r="RA194" t="s">
        <v>1368</v>
      </c>
    </row>
    <row r="195" spans="2:469" x14ac:dyDescent="0.3">
      <c r="B195" t="b">
        <v>1</v>
      </c>
      <c r="F195" t="b">
        <v>0</v>
      </c>
      <c r="G195" t="b">
        <v>0</v>
      </c>
      <c r="H195" t="b">
        <v>0</v>
      </c>
      <c r="I195" t="b">
        <v>0</v>
      </c>
      <c r="K195" t="s">
        <v>474</v>
      </c>
      <c r="L195" t="s">
        <v>475</v>
      </c>
      <c r="O195" t="s">
        <v>476</v>
      </c>
      <c r="U195">
        <v>134802.25</v>
      </c>
      <c r="V195">
        <v>415447.84</v>
      </c>
      <c r="W195">
        <v>3.87</v>
      </c>
      <c r="X195" t="s">
        <v>519</v>
      </c>
      <c r="Y195" t="s">
        <v>552</v>
      </c>
      <c r="Z195" s="2">
        <v>45156</v>
      </c>
      <c r="AA195" t="s">
        <v>596</v>
      </c>
      <c r="AB195" t="s">
        <v>669</v>
      </c>
      <c r="AC195" t="s">
        <v>700</v>
      </c>
      <c r="AD195" t="s">
        <v>706</v>
      </c>
      <c r="AE195" t="s">
        <v>711</v>
      </c>
      <c r="AF195">
        <v>1.57</v>
      </c>
      <c r="AG195">
        <v>0.87</v>
      </c>
      <c r="AH195" t="s">
        <v>766</v>
      </c>
      <c r="AI195" t="s">
        <v>770</v>
      </c>
      <c r="AJ195" t="s">
        <v>774</v>
      </c>
      <c r="AK195">
        <v>3.37</v>
      </c>
      <c r="AL195">
        <v>3.17</v>
      </c>
      <c r="AM195">
        <v>0.5</v>
      </c>
      <c r="AN195">
        <v>0.7</v>
      </c>
      <c r="AP195" t="s">
        <v>787</v>
      </c>
      <c r="AQ195" t="s">
        <v>788</v>
      </c>
      <c r="AR195" t="s">
        <v>969</v>
      </c>
      <c r="AS195" t="s">
        <v>700</v>
      </c>
      <c r="AT195" t="s">
        <v>993</v>
      </c>
      <c r="AU195" s="2">
        <v>45279</v>
      </c>
      <c r="AV195" t="s">
        <v>1139</v>
      </c>
      <c r="AX195">
        <v>3.29</v>
      </c>
      <c r="AY195">
        <v>18.600000000000001</v>
      </c>
      <c r="AZ195">
        <v>13.7</v>
      </c>
      <c r="BA195">
        <v>35.9</v>
      </c>
      <c r="QZ195" t="s">
        <v>1368</v>
      </c>
      <c r="RA195" t="s">
        <v>1368</v>
      </c>
    </row>
    <row r="196" spans="2:469" x14ac:dyDescent="0.3">
      <c r="B196" t="b">
        <v>1</v>
      </c>
      <c r="F196" t="b">
        <v>0</v>
      </c>
      <c r="G196" t="b">
        <v>0</v>
      </c>
      <c r="H196" t="b">
        <v>0</v>
      </c>
      <c r="I196" t="b">
        <v>0</v>
      </c>
      <c r="K196" t="s">
        <v>474</v>
      </c>
      <c r="L196" t="s">
        <v>475</v>
      </c>
      <c r="O196" t="s">
        <v>476</v>
      </c>
      <c r="U196">
        <v>134750.39000000001</v>
      </c>
      <c r="V196">
        <v>415360.7</v>
      </c>
      <c r="W196">
        <v>1.07</v>
      </c>
      <c r="X196" t="s">
        <v>520</v>
      </c>
      <c r="Y196" t="s">
        <v>551</v>
      </c>
      <c r="Z196" s="2">
        <v>45133</v>
      </c>
      <c r="AA196" t="s">
        <v>597</v>
      </c>
      <c r="AB196" t="s">
        <v>670</v>
      </c>
      <c r="AC196" t="s">
        <v>700</v>
      </c>
      <c r="AD196" t="s">
        <v>707</v>
      </c>
      <c r="AE196" t="s">
        <v>711</v>
      </c>
      <c r="AF196">
        <v>-0.53</v>
      </c>
      <c r="AH196" t="s">
        <v>712</v>
      </c>
      <c r="AI196" t="s">
        <v>772</v>
      </c>
      <c r="AJ196" t="s">
        <v>774</v>
      </c>
      <c r="AK196">
        <v>0.67</v>
      </c>
      <c r="AL196">
        <v>0.52</v>
      </c>
      <c r="AM196">
        <v>0.4</v>
      </c>
      <c r="AN196">
        <v>0.55000000000000004</v>
      </c>
      <c r="AP196" t="s">
        <v>787</v>
      </c>
      <c r="AQ196" t="s">
        <v>788</v>
      </c>
      <c r="AR196" t="s">
        <v>970</v>
      </c>
      <c r="AS196" t="s">
        <v>700</v>
      </c>
      <c r="AT196" t="s">
        <v>993</v>
      </c>
      <c r="AU196" s="2">
        <v>45279</v>
      </c>
      <c r="AV196" t="s">
        <v>1140</v>
      </c>
      <c r="AX196">
        <v>0.6</v>
      </c>
      <c r="AY196">
        <v>16</v>
      </c>
      <c r="AZ196">
        <v>12.4</v>
      </c>
      <c r="BA196">
        <v>29.4</v>
      </c>
      <c r="QZ196" t="s">
        <v>1368</v>
      </c>
      <c r="RA196" t="s">
        <v>1368</v>
      </c>
    </row>
    <row r="197" spans="2:469" x14ac:dyDescent="0.3">
      <c r="B197" t="b">
        <v>1</v>
      </c>
      <c r="F197" t="b">
        <v>0</v>
      </c>
      <c r="G197" t="b">
        <v>0</v>
      </c>
      <c r="H197" t="b">
        <v>0</v>
      </c>
      <c r="I197" t="b">
        <v>0</v>
      </c>
      <c r="K197" t="s">
        <v>474</v>
      </c>
      <c r="L197" t="s">
        <v>475</v>
      </c>
      <c r="O197" t="s">
        <v>476</v>
      </c>
      <c r="U197">
        <v>134750.39000000001</v>
      </c>
      <c r="V197">
        <v>415360.7</v>
      </c>
      <c r="W197">
        <v>1.07</v>
      </c>
      <c r="X197" t="s">
        <v>520</v>
      </c>
      <c r="Y197" t="s">
        <v>551</v>
      </c>
      <c r="Z197" s="2">
        <v>45133</v>
      </c>
      <c r="AA197" t="s">
        <v>597</v>
      </c>
      <c r="AB197" t="s">
        <v>670</v>
      </c>
      <c r="AC197" t="s">
        <v>700</v>
      </c>
      <c r="AD197" t="s">
        <v>707</v>
      </c>
      <c r="AE197" t="s">
        <v>711</v>
      </c>
      <c r="AF197">
        <v>-0.53</v>
      </c>
      <c r="AH197" t="s">
        <v>713</v>
      </c>
      <c r="AI197" t="s">
        <v>772</v>
      </c>
      <c r="AJ197" t="s">
        <v>774</v>
      </c>
      <c r="AK197">
        <v>0.27</v>
      </c>
      <c r="AL197">
        <v>0.09</v>
      </c>
      <c r="AM197">
        <v>0.8</v>
      </c>
      <c r="AN197">
        <v>0.98</v>
      </c>
      <c r="AP197" t="s">
        <v>787</v>
      </c>
      <c r="AQ197" t="s">
        <v>788</v>
      </c>
      <c r="AR197" t="s">
        <v>971</v>
      </c>
      <c r="AS197" t="s">
        <v>700</v>
      </c>
      <c r="AT197" t="s">
        <v>993</v>
      </c>
      <c r="AU197" s="2">
        <v>45279</v>
      </c>
      <c r="AV197" t="s">
        <v>1066</v>
      </c>
      <c r="AX197">
        <v>0.15</v>
      </c>
      <c r="AY197">
        <v>17.8</v>
      </c>
      <c r="AZ197">
        <v>13</v>
      </c>
      <c r="BA197">
        <v>37.1</v>
      </c>
      <c r="QZ197" t="s">
        <v>1368</v>
      </c>
      <c r="RA197" t="s">
        <v>1368</v>
      </c>
    </row>
    <row r="198" spans="2:469" x14ac:dyDescent="0.3">
      <c r="B198" t="b">
        <v>1</v>
      </c>
      <c r="F198" t="b">
        <v>0</v>
      </c>
      <c r="G198" t="b">
        <v>0</v>
      </c>
      <c r="H198" t="b">
        <v>0</v>
      </c>
      <c r="I198" t="b">
        <v>0</v>
      </c>
      <c r="K198" t="s">
        <v>474</v>
      </c>
      <c r="L198" t="s">
        <v>475</v>
      </c>
      <c r="O198" t="s">
        <v>476</v>
      </c>
      <c r="U198">
        <v>134750.39000000001</v>
      </c>
      <c r="V198">
        <v>415360.7</v>
      </c>
      <c r="W198">
        <v>1.07</v>
      </c>
      <c r="X198" t="s">
        <v>520</v>
      </c>
      <c r="Y198" t="s">
        <v>551</v>
      </c>
      <c r="Z198" s="2">
        <v>45133</v>
      </c>
      <c r="AA198" t="s">
        <v>597</v>
      </c>
      <c r="AB198" t="s">
        <v>670</v>
      </c>
      <c r="AC198" t="s">
        <v>700</v>
      </c>
      <c r="AD198" t="s">
        <v>707</v>
      </c>
      <c r="AE198" t="s">
        <v>711</v>
      </c>
      <c r="AF198">
        <v>-0.53</v>
      </c>
      <c r="AH198" t="s">
        <v>714</v>
      </c>
      <c r="AI198" t="s">
        <v>772</v>
      </c>
      <c r="AJ198" t="s">
        <v>774</v>
      </c>
      <c r="AK198">
        <v>-0.23</v>
      </c>
      <c r="AL198">
        <v>-0.4</v>
      </c>
      <c r="AM198">
        <v>1.3</v>
      </c>
      <c r="AN198">
        <v>1.47</v>
      </c>
      <c r="AP198" t="s">
        <v>787</v>
      </c>
      <c r="AQ198" t="s">
        <v>788</v>
      </c>
      <c r="AR198" t="s">
        <v>972</v>
      </c>
      <c r="AS198" t="s">
        <v>700</v>
      </c>
      <c r="AT198" t="s">
        <v>993</v>
      </c>
      <c r="AU198" s="2">
        <v>45279</v>
      </c>
      <c r="AV198" t="s">
        <v>1066</v>
      </c>
      <c r="AX198">
        <v>-0.32</v>
      </c>
      <c r="AY198">
        <v>17.100000000000001</v>
      </c>
      <c r="AZ198">
        <v>12</v>
      </c>
      <c r="BA198">
        <v>42.5</v>
      </c>
      <c r="QZ198" t="s">
        <v>1368</v>
      </c>
      <c r="RA198" t="s">
        <v>1368</v>
      </c>
    </row>
    <row r="199" spans="2:469" x14ac:dyDescent="0.3">
      <c r="B199" t="b">
        <v>1</v>
      </c>
      <c r="F199" t="b">
        <v>0</v>
      </c>
      <c r="G199" t="b">
        <v>0</v>
      </c>
      <c r="H199" t="b">
        <v>0</v>
      </c>
      <c r="I199" t="b">
        <v>0</v>
      </c>
      <c r="K199" t="s">
        <v>474</v>
      </c>
      <c r="L199" t="s">
        <v>475</v>
      </c>
      <c r="O199" t="s">
        <v>476</v>
      </c>
      <c r="U199">
        <v>134750.39000000001</v>
      </c>
      <c r="V199">
        <v>415360.7</v>
      </c>
      <c r="W199">
        <v>1.07</v>
      </c>
      <c r="X199" t="s">
        <v>520</v>
      </c>
      <c r="Y199" t="s">
        <v>551</v>
      </c>
      <c r="Z199" s="2">
        <v>45133</v>
      </c>
      <c r="AA199" t="s">
        <v>597</v>
      </c>
      <c r="AB199" t="s">
        <v>670</v>
      </c>
      <c r="AC199" t="s">
        <v>700</v>
      </c>
      <c r="AD199" t="s">
        <v>707</v>
      </c>
      <c r="AE199" t="s">
        <v>711</v>
      </c>
      <c r="AF199">
        <v>-0.53</v>
      </c>
      <c r="AH199" t="s">
        <v>725</v>
      </c>
      <c r="AI199" t="s">
        <v>772</v>
      </c>
      <c r="AJ199" t="s">
        <v>774</v>
      </c>
      <c r="AK199">
        <v>-0.73</v>
      </c>
      <c r="AL199">
        <v>-0.87</v>
      </c>
      <c r="AM199">
        <v>1.8</v>
      </c>
      <c r="AN199">
        <v>1.94</v>
      </c>
      <c r="AP199" t="s">
        <v>787</v>
      </c>
      <c r="AQ199" t="s">
        <v>788</v>
      </c>
      <c r="AR199" t="s">
        <v>973</v>
      </c>
      <c r="AS199" t="s">
        <v>700</v>
      </c>
      <c r="AT199" t="s">
        <v>993</v>
      </c>
      <c r="AU199" s="2">
        <v>45279</v>
      </c>
      <c r="AV199" t="s">
        <v>1141</v>
      </c>
      <c r="AX199">
        <v>-0.81</v>
      </c>
      <c r="AY199">
        <v>11.1</v>
      </c>
      <c r="AZ199">
        <v>3.1</v>
      </c>
      <c r="BA199">
        <v>256.8</v>
      </c>
      <c r="QZ199" t="s">
        <v>1368</v>
      </c>
      <c r="RA199" t="s">
        <v>1368</v>
      </c>
    </row>
    <row r="200" spans="2:469" x14ac:dyDescent="0.3">
      <c r="B200" t="b">
        <v>1</v>
      </c>
      <c r="F200" t="b">
        <v>0</v>
      </c>
      <c r="G200" t="b">
        <v>0</v>
      </c>
      <c r="H200" t="b">
        <v>0</v>
      </c>
      <c r="I200" t="b">
        <v>0</v>
      </c>
      <c r="K200" t="s">
        <v>474</v>
      </c>
      <c r="L200" t="s">
        <v>475</v>
      </c>
      <c r="O200" t="s">
        <v>476</v>
      </c>
      <c r="U200">
        <v>134750.39000000001</v>
      </c>
      <c r="V200">
        <v>415360.7</v>
      </c>
      <c r="W200">
        <v>1.07</v>
      </c>
      <c r="X200" t="s">
        <v>520</v>
      </c>
      <c r="Y200" t="s">
        <v>551</v>
      </c>
      <c r="Z200" s="2">
        <v>45133</v>
      </c>
      <c r="AA200" t="s">
        <v>597</v>
      </c>
      <c r="AB200" t="s">
        <v>670</v>
      </c>
      <c r="AC200" t="s">
        <v>700</v>
      </c>
      <c r="AD200" t="s">
        <v>707</v>
      </c>
      <c r="AE200" t="s">
        <v>711</v>
      </c>
      <c r="AF200">
        <v>-0.53</v>
      </c>
      <c r="AH200" t="s">
        <v>726</v>
      </c>
      <c r="AI200" t="s">
        <v>772</v>
      </c>
      <c r="AJ200" t="s">
        <v>774</v>
      </c>
      <c r="AK200">
        <v>-1.43</v>
      </c>
      <c r="AL200">
        <v>-1.58</v>
      </c>
      <c r="AM200">
        <v>2.5</v>
      </c>
      <c r="AN200">
        <v>2.65</v>
      </c>
      <c r="AP200" t="s">
        <v>787</v>
      </c>
      <c r="AQ200" t="s">
        <v>788</v>
      </c>
      <c r="AR200" t="s">
        <v>974</v>
      </c>
      <c r="AS200" t="s">
        <v>700</v>
      </c>
      <c r="AT200" t="s">
        <v>993</v>
      </c>
      <c r="AU200" s="2">
        <v>45279</v>
      </c>
      <c r="AV200" t="s">
        <v>1142</v>
      </c>
      <c r="AX200">
        <v>-1.21</v>
      </c>
      <c r="AY200">
        <v>11</v>
      </c>
      <c r="AZ200">
        <v>3</v>
      </c>
      <c r="BA200">
        <v>270.3</v>
      </c>
      <c r="QZ200" t="s">
        <v>1368</v>
      </c>
      <c r="RA200" t="s">
        <v>1368</v>
      </c>
    </row>
    <row r="201" spans="2:469" x14ac:dyDescent="0.3">
      <c r="B201" t="b">
        <v>1</v>
      </c>
      <c r="F201" t="b">
        <v>0</v>
      </c>
      <c r="G201" t="b">
        <v>0</v>
      </c>
      <c r="H201" t="b">
        <v>0</v>
      </c>
      <c r="I201" t="b">
        <v>0</v>
      </c>
      <c r="K201" t="s">
        <v>474</v>
      </c>
      <c r="L201" t="s">
        <v>475</v>
      </c>
      <c r="O201" t="s">
        <v>476</v>
      </c>
      <c r="U201">
        <v>134724.84</v>
      </c>
      <c r="V201">
        <v>415390.67</v>
      </c>
      <c r="W201">
        <v>4.7</v>
      </c>
      <c r="X201" t="s">
        <v>521</v>
      </c>
      <c r="Y201" t="s">
        <v>552</v>
      </c>
      <c r="Z201" s="2">
        <v>45156</v>
      </c>
      <c r="AA201" t="s">
        <v>598</v>
      </c>
      <c r="AB201" t="s">
        <v>671</v>
      </c>
      <c r="AC201" t="s">
        <v>700</v>
      </c>
      <c r="AD201" t="s">
        <v>706</v>
      </c>
      <c r="AE201" t="s">
        <v>711</v>
      </c>
      <c r="AH201" t="s">
        <v>766</v>
      </c>
      <c r="AI201" t="s">
        <v>770</v>
      </c>
      <c r="AJ201" t="s">
        <v>774</v>
      </c>
      <c r="AK201">
        <v>4.2</v>
      </c>
      <c r="AL201">
        <v>4</v>
      </c>
      <c r="AM201">
        <v>0.5</v>
      </c>
      <c r="AN201">
        <v>0.7</v>
      </c>
      <c r="AP201" t="s">
        <v>787</v>
      </c>
      <c r="AQ201" t="s">
        <v>788</v>
      </c>
      <c r="AR201" t="s">
        <v>975</v>
      </c>
      <c r="AS201" t="s">
        <v>700</v>
      </c>
      <c r="AT201" t="s">
        <v>993</v>
      </c>
      <c r="AU201" s="2">
        <v>45279</v>
      </c>
      <c r="AV201" t="s">
        <v>1139</v>
      </c>
      <c r="AX201">
        <v>4.08</v>
      </c>
      <c r="AY201">
        <v>17.7</v>
      </c>
      <c r="AZ201">
        <v>12.5</v>
      </c>
      <c r="BA201">
        <v>41.1</v>
      </c>
      <c r="QZ201" t="s">
        <v>1368</v>
      </c>
      <c r="RA201" t="s">
        <v>1368</v>
      </c>
    </row>
    <row r="202" spans="2:469" x14ac:dyDescent="0.3">
      <c r="B202" t="b">
        <v>1</v>
      </c>
      <c r="F202" t="b">
        <v>0</v>
      </c>
      <c r="G202" t="b">
        <v>0</v>
      </c>
      <c r="H202" t="b">
        <v>0</v>
      </c>
      <c r="I202" t="b">
        <v>0</v>
      </c>
      <c r="K202" t="s">
        <v>474</v>
      </c>
      <c r="L202" t="s">
        <v>475</v>
      </c>
      <c r="O202" t="s">
        <v>476</v>
      </c>
      <c r="U202">
        <v>134641.85</v>
      </c>
      <c r="V202">
        <v>415336.92</v>
      </c>
      <c r="W202">
        <v>3.94</v>
      </c>
      <c r="X202" t="s">
        <v>522</v>
      </c>
      <c r="Y202" t="s">
        <v>552</v>
      </c>
      <c r="Z202" s="2">
        <v>45156</v>
      </c>
      <c r="AA202" t="s">
        <v>599</v>
      </c>
      <c r="AB202" t="s">
        <v>672</v>
      </c>
      <c r="AC202" t="s">
        <v>700</v>
      </c>
      <c r="AD202" t="s">
        <v>706</v>
      </c>
      <c r="AE202" t="s">
        <v>711</v>
      </c>
      <c r="AF202">
        <v>1.69</v>
      </c>
      <c r="AG202">
        <v>0.94</v>
      </c>
      <c r="AH202" t="s">
        <v>766</v>
      </c>
      <c r="AI202" t="s">
        <v>770</v>
      </c>
      <c r="AJ202" t="s">
        <v>774</v>
      </c>
      <c r="AK202">
        <v>3.44</v>
      </c>
      <c r="AL202">
        <v>3.24</v>
      </c>
      <c r="AM202">
        <v>0.5</v>
      </c>
      <c r="AN202">
        <v>0.7</v>
      </c>
      <c r="AP202" t="s">
        <v>787</v>
      </c>
      <c r="AQ202" t="s">
        <v>788</v>
      </c>
      <c r="AR202" t="s">
        <v>976</v>
      </c>
      <c r="AS202" t="s">
        <v>700</v>
      </c>
      <c r="AT202" t="s">
        <v>993</v>
      </c>
      <c r="AU202" s="2">
        <v>45279</v>
      </c>
      <c r="AV202" t="s">
        <v>1139</v>
      </c>
      <c r="AX202">
        <v>3.33</v>
      </c>
      <c r="AY202">
        <v>18.899999999999999</v>
      </c>
      <c r="AZ202">
        <v>14.3</v>
      </c>
      <c r="BA202">
        <v>32.200000000000003</v>
      </c>
      <c r="QZ202" t="s">
        <v>1368</v>
      </c>
      <c r="RA202" t="s">
        <v>1368</v>
      </c>
    </row>
    <row r="203" spans="2:469" x14ac:dyDescent="0.3">
      <c r="B203" t="b">
        <v>0</v>
      </c>
      <c r="F203" t="b">
        <v>0</v>
      </c>
      <c r="G203" t="b">
        <v>0</v>
      </c>
      <c r="H203" t="b">
        <v>0</v>
      </c>
      <c r="I203" t="b">
        <v>0</v>
      </c>
      <c r="K203" t="s">
        <v>474</v>
      </c>
      <c r="L203" t="s">
        <v>475</v>
      </c>
      <c r="O203" t="s">
        <v>476</v>
      </c>
      <c r="U203">
        <v>134596.14000000001</v>
      </c>
      <c r="V203">
        <v>415232.6</v>
      </c>
      <c r="W203">
        <v>1.1200000000000001</v>
      </c>
      <c r="X203" t="s">
        <v>523</v>
      </c>
      <c r="Y203" t="s">
        <v>551</v>
      </c>
      <c r="Z203" s="2">
        <v>45160</v>
      </c>
      <c r="AA203" t="s">
        <v>600</v>
      </c>
      <c r="AB203" t="s">
        <v>673</v>
      </c>
      <c r="AC203" t="s">
        <v>700</v>
      </c>
      <c r="AD203" t="s">
        <v>708</v>
      </c>
      <c r="AE203" t="s">
        <v>711</v>
      </c>
      <c r="AF203">
        <v>-1.38</v>
      </c>
      <c r="AH203" t="s">
        <v>727</v>
      </c>
      <c r="AI203" t="s">
        <v>770</v>
      </c>
      <c r="AJ203" t="s">
        <v>775</v>
      </c>
      <c r="AK203">
        <v>-2.08</v>
      </c>
      <c r="AL203">
        <v>-2.2799999999999998</v>
      </c>
      <c r="AM203">
        <v>3.2</v>
      </c>
      <c r="AN203">
        <v>3.4</v>
      </c>
      <c r="CD203" t="s">
        <v>1175</v>
      </c>
      <c r="CE203" t="s">
        <v>788</v>
      </c>
      <c r="CF203" t="s">
        <v>1199</v>
      </c>
      <c r="CG203" t="s">
        <v>700</v>
      </c>
      <c r="CH203" t="s">
        <v>1211</v>
      </c>
      <c r="CI203" s="2">
        <v>45212</v>
      </c>
      <c r="CJ203" t="s">
        <v>1217</v>
      </c>
      <c r="CL203">
        <v>183</v>
      </c>
      <c r="CM203">
        <v>179</v>
      </c>
      <c r="CN203">
        <v>0.28999999999999998</v>
      </c>
      <c r="CO203">
        <v>95.89</v>
      </c>
      <c r="CP203">
        <v>1.82</v>
      </c>
      <c r="CQ203">
        <v>100</v>
      </c>
      <c r="CR203">
        <v>100</v>
      </c>
      <c r="CS203">
        <v>100</v>
      </c>
      <c r="CT203">
        <v>99.99</v>
      </c>
      <c r="CU203">
        <v>99.8</v>
      </c>
      <c r="CV203">
        <v>99.71</v>
      </c>
      <c r="CW203">
        <v>99.51</v>
      </c>
      <c r="CX203">
        <v>98.34</v>
      </c>
      <c r="CY203">
        <v>78.569999999999993</v>
      </c>
      <c r="CZ203">
        <v>50.59</v>
      </c>
      <c r="DA203">
        <v>13.99</v>
      </c>
      <c r="DB203">
        <v>3.82</v>
      </c>
      <c r="DC203">
        <v>3</v>
      </c>
      <c r="DD203">
        <v>2.59</v>
      </c>
      <c r="DE203">
        <v>2.4</v>
      </c>
      <c r="DF203">
        <v>2</v>
      </c>
      <c r="DG203">
        <v>231</v>
      </c>
      <c r="DH203">
        <v>207</v>
      </c>
      <c r="DI203">
        <v>183</v>
      </c>
      <c r="DJ203">
        <v>122</v>
      </c>
      <c r="DK203">
        <v>1.69</v>
      </c>
      <c r="QZ203" t="s">
        <v>1368</v>
      </c>
      <c r="RA203" t="s">
        <v>1368</v>
      </c>
    </row>
    <row r="204" spans="2:469" x14ac:dyDescent="0.3">
      <c r="B204" t="b">
        <v>1</v>
      </c>
      <c r="F204" t="b">
        <v>0</v>
      </c>
      <c r="G204" t="b">
        <v>0</v>
      </c>
      <c r="H204" t="b">
        <v>0</v>
      </c>
      <c r="I204" t="b">
        <v>0</v>
      </c>
      <c r="K204" t="s">
        <v>474</v>
      </c>
      <c r="L204" t="s">
        <v>475</v>
      </c>
      <c r="O204" t="s">
        <v>476</v>
      </c>
      <c r="U204">
        <v>134587.51999999999</v>
      </c>
      <c r="V204">
        <v>415242.67</v>
      </c>
      <c r="W204">
        <v>0.84</v>
      </c>
      <c r="X204" t="s">
        <v>524</v>
      </c>
      <c r="Y204" t="s">
        <v>551</v>
      </c>
      <c r="Z204" s="2">
        <v>45168</v>
      </c>
      <c r="AA204" t="s">
        <v>601</v>
      </c>
      <c r="AB204" t="s">
        <v>674</v>
      </c>
      <c r="AC204" t="s">
        <v>700</v>
      </c>
      <c r="AD204" t="s">
        <v>709</v>
      </c>
      <c r="AE204" t="s">
        <v>711</v>
      </c>
      <c r="AF204">
        <v>0.14000000000000001</v>
      </c>
      <c r="AH204" t="s">
        <v>712</v>
      </c>
      <c r="AI204" t="s">
        <v>770</v>
      </c>
      <c r="AJ204" t="s">
        <v>774</v>
      </c>
      <c r="AK204">
        <v>-1.66</v>
      </c>
      <c r="AL204">
        <v>-1.86</v>
      </c>
      <c r="AM204">
        <v>2.5</v>
      </c>
      <c r="AN204">
        <v>2.7</v>
      </c>
      <c r="AP204" t="s">
        <v>787</v>
      </c>
      <c r="AQ204" t="s">
        <v>788</v>
      </c>
      <c r="AR204" t="s">
        <v>977</v>
      </c>
      <c r="AS204" t="s">
        <v>700</v>
      </c>
      <c r="AT204" t="s">
        <v>993</v>
      </c>
      <c r="AU204" s="2">
        <v>45279</v>
      </c>
      <c r="AV204" t="s">
        <v>1143</v>
      </c>
      <c r="AX204">
        <v>-1.76</v>
      </c>
      <c r="QZ204" t="s">
        <v>1368</v>
      </c>
      <c r="RA204" t="s">
        <v>1368</v>
      </c>
    </row>
    <row r="205" spans="2:469" x14ac:dyDescent="0.3">
      <c r="B205" t="b">
        <v>1</v>
      </c>
      <c r="F205" t="b">
        <v>0</v>
      </c>
      <c r="G205" t="b">
        <v>0</v>
      </c>
      <c r="H205" t="b">
        <v>0</v>
      </c>
      <c r="I205" t="b">
        <v>0</v>
      </c>
      <c r="K205" t="s">
        <v>474</v>
      </c>
      <c r="L205" t="s">
        <v>475</v>
      </c>
      <c r="O205" t="s">
        <v>476</v>
      </c>
      <c r="U205">
        <v>134554.21</v>
      </c>
      <c r="V205">
        <v>415273.98</v>
      </c>
      <c r="W205">
        <v>4.03</v>
      </c>
      <c r="X205" t="s">
        <v>525</v>
      </c>
      <c r="Y205" t="s">
        <v>552</v>
      </c>
      <c r="Z205" s="2">
        <v>45156</v>
      </c>
      <c r="AA205" t="s">
        <v>602</v>
      </c>
      <c r="AB205" t="s">
        <v>675</v>
      </c>
      <c r="AC205" t="s">
        <v>700</v>
      </c>
      <c r="AD205" t="s">
        <v>706</v>
      </c>
      <c r="AE205" t="s">
        <v>711</v>
      </c>
      <c r="AH205" t="s">
        <v>766</v>
      </c>
      <c r="AI205" t="s">
        <v>770</v>
      </c>
      <c r="AJ205" t="s">
        <v>774</v>
      </c>
      <c r="AK205">
        <v>3.53</v>
      </c>
      <c r="AL205">
        <v>3.33</v>
      </c>
      <c r="AM205">
        <v>0.5</v>
      </c>
      <c r="AN205">
        <v>0.7</v>
      </c>
      <c r="AP205" t="s">
        <v>787</v>
      </c>
      <c r="AQ205" t="s">
        <v>788</v>
      </c>
      <c r="AR205" t="s">
        <v>978</v>
      </c>
      <c r="AS205" t="s">
        <v>700</v>
      </c>
      <c r="AT205" t="s">
        <v>993</v>
      </c>
      <c r="AU205" s="2">
        <v>45279</v>
      </c>
      <c r="AV205" t="s">
        <v>1129</v>
      </c>
      <c r="AX205">
        <v>3.41</v>
      </c>
      <c r="AY205">
        <v>18</v>
      </c>
      <c r="AZ205">
        <v>12.7</v>
      </c>
      <c r="BA205">
        <v>41.2</v>
      </c>
      <c r="QZ205" t="s">
        <v>1368</v>
      </c>
      <c r="RA205" t="s">
        <v>1368</v>
      </c>
    </row>
    <row r="206" spans="2:469" x14ac:dyDescent="0.3">
      <c r="B206" t="b">
        <v>0</v>
      </c>
      <c r="F206" t="b">
        <v>0</v>
      </c>
      <c r="G206" t="b">
        <v>0</v>
      </c>
      <c r="H206" t="b">
        <v>0</v>
      </c>
      <c r="I206" t="b">
        <v>0</v>
      </c>
      <c r="K206" t="s">
        <v>474</v>
      </c>
      <c r="L206" t="s">
        <v>475</v>
      </c>
      <c r="O206" t="s">
        <v>476</v>
      </c>
      <c r="U206">
        <v>134517.20000000001</v>
      </c>
      <c r="V206">
        <v>415173.08</v>
      </c>
      <c r="W206">
        <v>1.0900000000000001</v>
      </c>
      <c r="X206" t="s">
        <v>526</v>
      </c>
      <c r="Y206" t="s">
        <v>551</v>
      </c>
      <c r="Z206" s="2">
        <v>45160</v>
      </c>
      <c r="AA206" t="s">
        <v>603</v>
      </c>
      <c r="AB206" t="s">
        <v>676</v>
      </c>
      <c r="AC206" t="s">
        <v>700</v>
      </c>
      <c r="AD206" t="s">
        <v>708</v>
      </c>
      <c r="AE206" t="s">
        <v>711</v>
      </c>
      <c r="AF206">
        <v>-1.41</v>
      </c>
      <c r="AH206" t="s">
        <v>727</v>
      </c>
      <c r="AI206" t="s">
        <v>770</v>
      </c>
      <c r="AJ206" t="s">
        <v>775</v>
      </c>
      <c r="AK206">
        <v>-1.91</v>
      </c>
      <c r="AL206">
        <v>-2.11</v>
      </c>
      <c r="AM206">
        <v>3</v>
      </c>
      <c r="AN206">
        <v>3.2</v>
      </c>
      <c r="CD206" t="s">
        <v>1176</v>
      </c>
      <c r="CE206" t="s">
        <v>788</v>
      </c>
      <c r="CF206" t="s">
        <v>1200</v>
      </c>
      <c r="CG206" t="s">
        <v>700</v>
      </c>
      <c r="CH206" t="s">
        <v>1211</v>
      </c>
      <c r="CI206" s="2">
        <v>45212</v>
      </c>
      <c r="CJ206" t="s">
        <v>1215</v>
      </c>
      <c r="CL206">
        <v>157</v>
      </c>
      <c r="CM206">
        <v>152</v>
      </c>
      <c r="CN206">
        <v>1.1499999999999999</v>
      </c>
      <c r="CO206">
        <v>91.57</v>
      </c>
      <c r="CP206">
        <v>5.68</v>
      </c>
      <c r="CQ206">
        <v>100</v>
      </c>
      <c r="CR206">
        <v>100</v>
      </c>
      <c r="CS206">
        <v>100</v>
      </c>
      <c r="CT206">
        <v>100</v>
      </c>
      <c r="CU206">
        <v>100</v>
      </c>
      <c r="CV206">
        <v>98.85</v>
      </c>
      <c r="CW206">
        <v>99.31</v>
      </c>
      <c r="CX206">
        <v>97.81</v>
      </c>
      <c r="CY206">
        <v>87.79</v>
      </c>
      <c r="CZ206">
        <v>68.44</v>
      </c>
      <c r="DA206">
        <v>32.270000000000003</v>
      </c>
      <c r="DB206">
        <v>7.28</v>
      </c>
      <c r="DC206">
        <v>2.1</v>
      </c>
      <c r="DD206">
        <v>2.0299999999999998</v>
      </c>
      <c r="DE206">
        <v>2</v>
      </c>
      <c r="DF206">
        <v>1.6</v>
      </c>
      <c r="DG206">
        <v>191</v>
      </c>
      <c r="DH206">
        <v>171</v>
      </c>
      <c r="DI206">
        <v>157</v>
      </c>
      <c r="DJ206">
        <v>92</v>
      </c>
      <c r="DK206">
        <v>1.85</v>
      </c>
      <c r="QZ206" t="s">
        <v>1368</v>
      </c>
      <c r="RA206" t="s">
        <v>1368</v>
      </c>
    </row>
    <row r="207" spans="2:469" x14ac:dyDescent="0.3">
      <c r="B207" t="b">
        <v>0</v>
      </c>
      <c r="F207" t="b">
        <v>0</v>
      </c>
      <c r="G207" t="b">
        <v>0</v>
      </c>
      <c r="H207" t="b">
        <v>0</v>
      </c>
      <c r="I207" t="b">
        <v>0</v>
      </c>
      <c r="K207" t="s">
        <v>474</v>
      </c>
      <c r="L207" t="s">
        <v>475</v>
      </c>
      <c r="O207" t="s">
        <v>476</v>
      </c>
      <c r="U207">
        <v>134500.10999999999</v>
      </c>
      <c r="V207">
        <v>415191.66</v>
      </c>
      <c r="W207">
        <v>2.0299999999999998</v>
      </c>
      <c r="X207" t="s">
        <v>527</v>
      </c>
      <c r="Y207" t="s">
        <v>551</v>
      </c>
      <c r="Z207" s="2">
        <v>45167</v>
      </c>
      <c r="AA207" t="s">
        <v>604</v>
      </c>
      <c r="AB207" t="s">
        <v>677</v>
      </c>
      <c r="AC207" t="s">
        <v>700</v>
      </c>
      <c r="AD207" t="s">
        <v>710</v>
      </c>
      <c r="AE207" t="s">
        <v>711</v>
      </c>
      <c r="AF207">
        <v>-0.27</v>
      </c>
      <c r="AH207" t="s">
        <v>730</v>
      </c>
      <c r="AI207" t="s">
        <v>769</v>
      </c>
      <c r="AJ207" t="s">
        <v>775</v>
      </c>
      <c r="AK207">
        <v>-1.97</v>
      </c>
      <c r="AL207">
        <v>-2.97</v>
      </c>
      <c r="AM207">
        <v>4</v>
      </c>
      <c r="AN207">
        <v>5</v>
      </c>
      <c r="CD207" t="s">
        <v>1177</v>
      </c>
      <c r="CE207" t="s">
        <v>788</v>
      </c>
      <c r="CF207" t="s">
        <v>1201</v>
      </c>
      <c r="CG207" t="s">
        <v>700</v>
      </c>
      <c r="CH207" t="s">
        <v>1211</v>
      </c>
      <c r="CI207" s="2">
        <v>45212</v>
      </c>
      <c r="CJ207" t="s">
        <v>1215</v>
      </c>
      <c r="CL207">
        <v>166</v>
      </c>
      <c r="CM207">
        <v>159</v>
      </c>
      <c r="CN207">
        <v>0.09</v>
      </c>
      <c r="CO207">
        <v>91.13</v>
      </c>
      <c r="CP207">
        <v>7.28</v>
      </c>
      <c r="CQ207">
        <v>100</v>
      </c>
      <c r="CR207">
        <v>100</v>
      </c>
      <c r="CS207">
        <v>100</v>
      </c>
      <c r="CT207">
        <v>100</v>
      </c>
      <c r="CU207">
        <v>99.99</v>
      </c>
      <c r="CV207">
        <v>99.91</v>
      </c>
      <c r="CW207">
        <v>99.82</v>
      </c>
      <c r="CX207">
        <v>98.76</v>
      </c>
      <c r="CY207">
        <v>86.34</v>
      </c>
      <c r="CZ207">
        <v>62.91</v>
      </c>
      <c r="DA207">
        <v>29.28</v>
      </c>
      <c r="DB207">
        <v>8.7799999999999994</v>
      </c>
      <c r="DC207">
        <v>2.1</v>
      </c>
      <c r="DD207">
        <v>1.9</v>
      </c>
      <c r="DE207">
        <v>1.8</v>
      </c>
      <c r="DF207">
        <v>1.5</v>
      </c>
      <c r="DG207">
        <v>209</v>
      </c>
      <c r="DH207">
        <v>182</v>
      </c>
      <c r="DI207">
        <v>166</v>
      </c>
      <c r="DJ207">
        <v>96</v>
      </c>
      <c r="DK207">
        <v>1.88</v>
      </c>
      <c r="QZ207" t="s">
        <v>1368</v>
      </c>
      <c r="RA207" t="s">
        <v>1368</v>
      </c>
    </row>
    <row r="208" spans="2:469" x14ac:dyDescent="0.3">
      <c r="B208" t="b">
        <v>1</v>
      </c>
      <c r="F208" t="b">
        <v>0</v>
      </c>
      <c r="G208" t="b">
        <v>0</v>
      </c>
      <c r="H208" t="b">
        <v>0</v>
      </c>
      <c r="I208" t="b">
        <v>0</v>
      </c>
      <c r="K208" t="s">
        <v>474</v>
      </c>
      <c r="L208" t="s">
        <v>475</v>
      </c>
      <c r="O208" t="s">
        <v>476</v>
      </c>
      <c r="U208">
        <v>134402.68</v>
      </c>
      <c r="V208">
        <v>415156.79</v>
      </c>
      <c r="W208">
        <v>4.1900000000000004</v>
      </c>
      <c r="X208" t="s">
        <v>528</v>
      </c>
      <c r="Y208" t="s">
        <v>552</v>
      </c>
      <c r="Z208" s="2">
        <v>45155</v>
      </c>
      <c r="AA208" t="s">
        <v>605</v>
      </c>
      <c r="AB208" t="s">
        <v>678</v>
      </c>
      <c r="AC208" t="s">
        <v>700</v>
      </c>
      <c r="AD208" t="s">
        <v>705</v>
      </c>
      <c r="AE208" t="s">
        <v>711</v>
      </c>
      <c r="AH208" t="s">
        <v>712</v>
      </c>
      <c r="AI208" t="s">
        <v>773</v>
      </c>
      <c r="AJ208" t="s">
        <v>774</v>
      </c>
      <c r="AK208">
        <v>3.69</v>
      </c>
      <c r="AL208">
        <v>3.49</v>
      </c>
      <c r="AM208">
        <v>0.5</v>
      </c>
      <c r="AN208">
        <v>0.7</v>
      </c>
      <c r="AP208" t="s">
        <v>787</v>
      </c>
      <c r="AQ208" t="s">
        <v>788</v>
      </c>
      <c r="AR208" t="s">
        <v>979</v>
      </c>
      <c r="AS208" t="s">
        <v>700</v>
      </c>
      <c r="AT208" t="s">
        <v>993</v>
      </c>
      <c r="AU208" s="2">
        <v>45279</v>
      </c>
      <c r="AV208" t="s">
        <v>1144</v>
      </c>
      <c r="AX208">
        <v>3.56</v>
      </c>
      <c r="AY208">
        <v>19.3</v>
      </c>
      <c r="AZ208">
        <v>15.3</v>
      </c>
      <c r="BA208">
        <v>26.2</v>
      </c>
      <c r="QZ208" t="s">
        <v>1368</v>
      </c>
      <c r="RA208" t="s">
        <v>1368</v>
      </c>
    </row>
    <row r="209" spans="2:469" x14ac:dyDescent="0.3">
      <c r="B209" t="b">
        <v>0</v>
      </c>
      <c r="F209" t="b">
        <v>0</v>
      </c>
      <c r="G209" t="b">
        <v>0</v>
      </c>
      <c r="H209" t="b">
        <v>0</v>
      </c>
      <c r="I209" t="b">
        <v>0</v>
      </c>
      <c r="K209" t="s">
        <v>474</v>
      </c>
      <c r="L209" t="s">
        <v>475</v>
      </c>
      <c r="O209" t="s">
        <v>476</v>
      </c>
      <c r="U209">
        <v>134360.89000000001</v>
      </c>
      <c r="V209">
        <v>415054.14</v>
      </c>
      <c r="W209">
        <v>1.06</v>
      </c>
      <c r="X209" t="s">
        <v>529</v>
      </c>
      <c r="Y209" t="s">
        <v>551</v>
      </c>
      <c r="Z209" s="2">
        <v>45160</v>
      </c>
      <c r="AA209" t="s">
        <v>606</v>
      </c>
      <c r="AB209" t="s">
        <v>679</v>
      </c>
      <c r="AC209" t="s">
        <v>700</v>
      </c>
      <c r="AD209" t="s">
        <v>708</v>
      </c>
      <c r="AE209" t="s">
        <v>711</v>
      </c>
      <c r="AF209">
        <v>-0.74</v>
      </c>
      <c r="AH209" t="s">
        <v>727</v>
      </c>
      <c r="AI209" t="s">
        <v>769</v>
      </c>
      <c r="AJ209" t="s">
        <v>775</v>
      </c>
      <c r="AK209">
        <v>-1.94</v>
      </c>
      <c r="AL209">
        <v>-2.94</v>
      </c>
      <c r="AM209">
        <v>3</v>
      </c>
      <c r="AN209">
        <v>4</v>
      </c>
      <c r="CD209" t="s">
        <v>1178</v>
      </c>
      <c r="CE209" t="s">
        <v>788</v>
      </c>
      <c r="CF209" t="s">
        <v>1202</v>
      </c>
      <c r="CG209" t="s">
        <v>700</v>
      </c>
      <c r="CH209" t="s">
        <v>1211</v>
      </c>
      <c r="CI209" s="2">
        <v>45212</v>
      </c>
      <c r="CJ209" t="s">
        <v>1217</v>
      </c>
      <c r="CL209">
        <v>176</v>
      </c>
      <c r="CM209">
        <v>170</v>
      </c>
      <c r="CN209">
        <v>0.01</v>
      </c>
      <c r="CO209">
        <v>93.45</v>
      </c>
      <c r="CP209">
        <v>4.54</v>
      </c>
      <c r="CQ209">
        <v>100</v>
      </c>
      <c r="CR209">
        <v>100</v>
      </c>
      <c r="CS209">
        <v>100</v>
      </c>
      <c r="CT209">
        <v>100</v>
      </c>
      <c r="CU209">
        <v>100</v>
      </c>
      <c r="CV209">
        <v>99.99</v>
      </c>
      <c r="CW209">
        <v>99.11</v>
      </c>
      <c r="CX209">
        <v>95.86</v>
      </c>
      <c r="CY209">
        <v>79.37</v>
      </c>
      <c r="CZ209">
        <v>55.49</v>
      </c>
      <c r="DA209">
        <v>23.91</v>
      </c>
      <c r="DB209">
        <v>6.54</v>
      </c>
      <c r="DC209">
        <v>5</v>
      </c>
      <c r="DD209">
        <v>4.32</v>
      </c>
      <c r="DE209">
        <v>4</v>
      </c>
      <c r="DF209">
        <v>2</v>
      </c>
      <c r="DG209">
        <v>228</v>
      </c>
      <c r="DH209">
        <v>201</v>
      </c>
      <c r="DI209">
        <v>176</v>
      </c>
      <c r="DJ209">
        <v>101</v>
      </c>
      <c r="DK209">
        <v>1.99</v>
      </c>
      <c r="QZ209" t="s">
        <v>1368</v>
      </c>
      <c r="RA209" t="s">
        <v>1368</v>
      </c>
    </row>
    <row r="210" spans="2:469" x14ac:dyDescent="0.3">
      <c r="B210" t="b">
        <v>1</v>
      </c>
      <c r="F210" t="b">
        <v>0</v>
      </c>
      <c r="G210" t="b">
        <v>0</v>
      </c>
      <c r="H210" t="b">
        <v>0</v>
      </c>
      <c r="I210" t="b">
        <v>0</v>
      </c>
      <c r="K210" t="s">
        <v>474</v>
      </c>
      <c r="L210" t="s">
        <v>475</v>
      </c>
      <c r="O210" t="s">
        <v>476</v>
      </c>
      <c r="U210">
        <v>134325.53</v>
      </c>
      <c r="V210">
        <v>415094.29</v>
      </c>
      <c r="W210">
        <v>4.29</v>
      </c>
      <c r="X210" t="s">
        <v>530</v>
      </c>
      <c r="Y210" t="s">
        <v>552</v>
      </c>
      <c r="Z210" s="2">
        <v>45155</v>
      </c>
      <c r="AA210" t="s">
        <v>607</v>
      </c>
      <c r="AB210" t="s">
        <v>680</v>
      </c>
      <c r="AC210" t="s">
        <v>700</v>
      </c>
      <c r="AD210" t="s">
        <v>705</v>
      </c>
      <c r="AE210" t="s">
        <v>711</v>
      </c>
      <c r="AH210" t="s">
        <v>712</v>
      </c>
      <c r="AI210" t="s">
        <v>770</v>
      </c>
      <c r="AJ210" t="s">
        <v>774</v>
      </c>
      <c r="AK210">
        <v>3.79</v>
      </c>
      <c r="AL210">
        <v>3.59</v>
      </c>
      <c r="AM210">
        <v>0.5</v>
      </c>
      <c r="AN210">
        <v>0.7</v>
      </c>
      <c r="AP210" t="s">
        <v>787</v>
      </c>
      <c r="AQ210" t="s">
        <v>788</v>
      </c>
      <c r="AR210" t="s">
        <v>980</v>
      </c>
      <c r="AS210" t="s">
        <v>700</v>
      </c>
      <c r="AT210" t="s">
        <v>993</v>
      </c>
      <c r="AU210" s="2">
        <v>45279</v>
      </c>
      <c r="AV210" t="s">
        <v>1145</v>
      </c>
      <c r="AX210">
        <v>3.68</v>
      </c>
      <c r="AY210">
        <v>18.600000000000001</v>
      </c>
      <c r="AZ210">
        <v>14.5</v>
      </c>
      <c r="BA210">
        <v>27.9</v>
      </c>
      <c r="QZ210" t="s">
        <v>1368</v>
      </c>
      <c r="RA210" t="s">
        <v>1368</v>
      </c>
    </row>
    <row r="211" spans="2:469" x14ac:dyDescent="0.3">
      <c r="B211" t="b">
        <v>0</v>
      </c>
      <c r="F211" t="b">
        <v>0</v>
      </c>
      <c r="G211" t="b">
        <v>0</v>
      </c>
      <c r="H211" t="b">
        <v>0</v>
      </c>
      <c r="I211" t="b">
        <v>0</v>
      </c>
      <c r="K211" t="s">
        <v>474</v>
      </c>
      <c r="L211" t="s">
        <v>475</v>
      </c>
      <c r="O211" t="s">
        <v>476</v>
      </c>
      <c r="U211">
        <v>134282.23000000001</v>
      </c>
      <c r="V211">
        <v>414987.61</v>
      </c>
      <c r="W211">
        <v>0.72</v>
      </c>
      <c r="X211" t="s">
        <v>531</v>
      </c>
      <c r="Y211" t="s">
        <v>551</v>
      </c>
      <c r="Z211" s="2">
        <v>45167</v>
      </c>
      <c r="AA211" t="s">
        <v>608</v>
      </c>
      <c r="AB211" t="s">
        <v>681</v>
      </c>
      <c r="AC211" t="s">
        <v>700</v>
      </c>
      <c r="AD211" t="s">
        <v>705</v>
      </c>
      <c r="AE211" t="s">
        <v>711</v>
      </c>
      <c r="AF211">
        <v>-0.38</v>
      </c>
      <c r="AH211" t="s">
        <v>727</v>
      </c>
      <c r="AI211" t="s">
        <v>769</v>
      </c>
      <c r="AJ211" t="s">
        <v>775</v>
      </c>
      <c r="AK211">
        <v>-2.78</v>
      </c>
      <c r="AL211">
        <v>-3.38</v>
      </c>
      <c r="AM211">
        <v>3.5</v>
      </c>
      <c r="AN211">
        <v>4.0999999999999996</v>
      </c>
      <c r="CD211" t="s">
        <v>1179</v>
      </c>
      <c r="CE211" t="s">
        <v>788</v>
      </c>
      <c r="CF211" t="s">
        <v>1203</v>
      </c>
      <c r="CG211" t="s">
        <v>700</v>
      </c>
      <c r="CH211" t="s">
        <v>1211</v>
      </c>
      <c r="CI211" s="2">
        <v>45212</v>
      </c>
      <c r="CJ211" t="s">
        <v>1215</v>
      </c>
      <c r="CL211">
        <v>155</v>
      </c>
      <c r="CM211">
        <v>150</v>
      </c>
      <c r="CN211">
        <v>0.01</v>
      </c>
      <c r="CO211">
        <v>92.69</v>
      </c>
      <c r="CP211">
        <v>5.3</v>
      </c>
      <c r="CQ211">
        <v>100</v>
      </c>
      <c r="CR211">
        <v>100</v>
      </c>
      <c r="CS211">
        <v>100</v>
      </c>
      <c r="CT211">
        <v>100</v>
      </c>
      <c r="CU211">
        <v>100</v>
      </c>
      <c r="CV211">
        <v>99.99</v>
      </c>
      <c r="CW211">
        <v>99.67</v>
      </c>
      <c r="CX211">
        <v>98.57</v>
      </c>
      <c r="CY211">
        <v>90.87</v>
      </c>
      <c r="CZ211">
        <v>71.849999999999994</v>
      </c>
      <c r="DA211">
        <v>31.49</v>
      </c>
      <c r="DB211">
        <v>7.3</v>
      </c>
      <c r="DC211">
        <v>5</v>
      </c>
      <c r="DD211">
        <v>3.64</v>
      </c>
      <c r="DE211">
        <v>3</v>
      </c>
      <c r="DF211">
        <v>2</v>
      </c>
      <c r="DG211">
        <v>181</v>
      </c>
      <c r="DH211">
        <v>168</v>
      </c>
      <c r="DI211">
        <v>155</v>
      </c>
      <c r="DJ211">
        <v>94</v>
      </c>
      <c r="DK211">
        <v>1.79</v>
      </c>
      <c r="QZ211" t="s">
        <v>1368</v>
      </c>
      <c r="RA211" t="s">
        <v>1368</v>
      </c>
    </row>
    <row r="212" spans="2:469" x14ac:dyDescent="0.3">
      <c r="B212" t="b">
        <v>1</v>
      </c>
      <c r="F212" t="b">
        <v>0</v>
      </c>
      <c r="G212" t="b">
        <v>0</v>
      </c>
      <c r="H212" t="b">
        <v>0</v>
      </c>
      <c r="I212" t="b">
        <v>0</v>
      </c>
      <c r="K212" t="s">
        <v>474</v>
      </c>
      <c r="L212" t="s">
        <v>475</v>
      </c>
      <c r="O212" t="s">
        <v>476</v>
      </c>
      <c r="U212">
        <v>134245.03</v>
      </c>
      <c r="V212">
        <v>415024.97</v>
      </c>
      <c r="W212">
        <v>4.51</v>
      </c>
      <c r="X212" t="s">
        <v>532</v>
      </c>
      <c r="Y212" t="s">
        <v>552</v>
      </c>
      <c r="Z212" s="2">
        <v>45154</v>
      </c>
      <c r="AA212" t="s">
        <v>609</v>
      </c>
      <c r="AB212" t="s">
        <v>682</v>
      </c>
      <c r="AC212" t="s">
        <v>700</v>
      </c>
      <c r="AD212" t="s">
        <v>705</v>
      </c>
      <c r="AE212" t="s">
        <v>711</v>
      </c>
      <c r="AH212" t="s">
        <v>712</v>
      </c>
      <c r="AI212" t="s">
        <v>770</v>
      </c>
      <c r="AJ212" t="s">
        <v>774</v>
      </c>
      <c r="AK212">
        <v>4.01</v>
      </c>
      <c r="AL212">
        <v>3.81</v>
      </c>
      <c r="AM212">
        <v>0.5</v>
      </c>
      <c r="AN212">
        <v>0.7</v>
      </c>
      <c r="AP212" t="s">
        <v>787</v>
      </c>
      <c r="AQ212" t="s">
        <v>788</v>
      </c>
      <c r="AR212" t="s">
        <v>981</v>
      </c>
      <c r="AS212" t="s">
        <v>700</v>
      </c>
      <c r="AT212" t="s">
        <v>993</v>
      </c>
      <c r="AU212" s="2">
        <v>45279</v>
      </c>
      <c r="AV212" t="s">
        <v>1145</v>
      </c>
      <c r="AX212">
        <v>3.87</v>
      </c>
      <c r="AY212">
        <v>18.3</v>
      </c>
      <c r="AZ212">
        <v>14.1</v>
      </c>
      <c r="BA212">
        <v>30</v>
      </c>
      <c r="QZ212" t="s">
        <v>1368</v>
      </c>
      <c r="RA212" t="s">
        <v>1368</v>
      </c>
    </row>
    <row r="213" spans="2:469" x14ac:dyDescent="0.3">
      <c r="B213" t="b">
        <v>0</v>
      </c>
      <c r="F213" t="b">
        <v>0</v>
      </c>
      <c r="G213" t="b">
        <v>0</v>
      </c>
      <c r="H213" t="b">
        <v>0</v>
      </c>
      <c r="I213" t="b">
        <v>0</v>
      </c>
      <c r="K213" t="s">
        <v>474</v>
      </c>
      <c r="L213" t="s">
        <v>475</v>
      </c>
      <c r="O213" t="s">
        <v>476</v>
      </c>
      <c r="U213">
        <v>134198.39999999999</v>
      </c>
      <c r="V213">
        <v>414938.33</v>
      </c>
      <c r="W213">
        <v>1.91</v>
      </c>
      <c r="X213" t="s">
        <v>533</v>
      </c>
      <c r="Y213" t="s">
        <v>551</v>
      </c>
      <c r="Z213" s="2">
        <v>45167</v>
      </c>
      <c r="AA213" t="s">
        <v>610</v>
      </c>
      <c r="AB213" t="s">
        <v>683</v>
      </c>
      <c r="AC213" t="s">
        <v>700</v>
      </c>
      <c r="AD213" t="s">
        <v>705</v>
      </c>
      <c r="AE213" t="s">
        <v>711</v>
      </c>
      <c r="AF213">
        <v>-0.39</v>
      </c>
      <c r="AH213" t="s">
        <v>730</v>
      </c>
      <c r="AI213" t="s">
        <v>769</v>
      </c>
      <c r="AJ213" t="s">
        <v>775</v>
      </c>
      <c r="AK213">
        <v>-1.49</v>
      </c>
      <c r="AL213">
        <v>-2.4900000000000002</v>
      </c>
      <c r="AM213">
        <v>3.4</v>
      </c>
      <c r="AN213">
        <v>4.4000000000000004</v>
      </c>
      <c r="CD213" t="s">
        <v>1180</v>
      </c>
      <c r="CE213" t="s">
        <v>788</v>
      </c>
      <c r="CF213" t="s">
        <v>1204</v>
      </c>
      <c r="CG213" t="s">
        <v>700</v>
      </c>
      <c r="CH213" t="s">
        <v>1211</v>
      </c>
      <c r="CI213" s="2">
        <v>45212</v>
      </c>
      <c r="CJ213" t="s">
        <v>1217</v>
      </c>
      <c r="CL213">
        <v>179</v>
      </c>
      <c r="CM213">
        <v>174</v>
      </c>
      <c r="CN213">
        <v>0.55000000000000004</v>
      </c>
      <c r="CO213">
        <v>93.98</v>
      </c>
      <c r="CP213">
        <v>3.48</v>
      </c>
      <c r="CQ213">
        <v>100</v>
      </c>
      <c r="CR213">
        <v>100</v>
      </c>
      <c r="CS213">
        <v>100</v>
      </c>
      <c r="CT213">
        <v>99.99</v>
      </c>
      <c r="CU213">
        <v>99.64</v>
      </c>
      <c r="CV213">
        <v>99.45</v>
      </c>
      <c r="CW213">
        <v>97.73</v>
      </c>
      <c r="CX213">
        <v>95.45</v>
      </c>
      <c r="CY213">
        <v>77.44</v>
      </c>
      <c r="CZ213">
        <v>53.24</v>
      </c>
      <c r="DA213">
        <v>24.67</v>
      </c>
      <c r="DB213">
        <v>5.48</v>
      </c>
      <c r="DC213">
        <v>4</v>
      </c>
      <c r="DD213">
        <v>3.32</v>
      </c>
      <c r="DE213">
        <v>3</v>
      </c>
      <c r="DF213">
        <v>2</v>
      </c>
      <c r="DG213">
        <v>232</v>
      </c>
      <c r="DH213">
        <v>205</v>
      </c>
      <c r="DI213">
        <v>179</v>
      </c>
      <c r="DJ213">
        <v>97</v>
      </c>
      <c r="DK213">
        <v>2.1</v>
      </c>
      <c r="QZ213" t="s">
        <v>1368</v>
      </c>
      <c r="RA213" t="s">
        <v>1368</v>
      </c>
    </row>
    <row r="214" spans="2:469" x14ac:dyDescent="0.3">
      <c r="B214" t="b">
        <v>1</v>
      </c>
      <c r="F214" t="b">
        <v>0</v>
      </c>
      <c r="G214" t="b">
        <v>0</v>
      </c>
      <c r="H214" t="b">
        <v>0</v>
      </c>
      <c r="I214" t="b">
        <v>0</v>
      </c>
      <c r="K214" t="s">
        <v>474</v>
      </c>
      <c r="L214" t="s">
        <v>475</v>
      </c>
      <c r="O214" t="s">
        <v>476</v>
      </c>
      <c r="U214">
        <v>134185.73000000001</v>
      </c>
      <c r="V214">
        <v>414950.84</v>
      </c>
      <c r="W214">
        <v>4.58</v>
      </c>
      <c r="X214" t="s">
        <v>534</v>
      </c>
      <c r="Y214" t="s">
        <v>553</v>
      </c>
      <c r="Z214" s="2">
        <v>45159</v>
      </c>
      <c r="AA214" t="s">
        <v>611</v>
      </c>
      <c r="AB214" t="s">
        <v>684</v>
      </c>
      <c r="AC214" t="s">
        <v>700</v>
      </c>
      <c r="AD214" t="s">
        <v>705</v>
      </c>
      <c r="AE214" t="s">
        <v>711</v>
      </c>
      <c r="AH214" t="s">
        <v>766</v>
      </c>
      <c r="AI214" t="s">
        <v>770</v>
      </c>
      <c r="AJ214" t="s">
        <v>774</v>
      </c>
      <c r="AK214">
        <v>4.08</v>
      </c>
      <c r="AL214">
        <v>3.88</v>
      </c>
      <c r="AM214">
        <v>0.5</v>
      </c>
      <c r="AN214">
        <v>0.7</v>
      </c>
      <c r="AP214" t="s">
        <v>787</v>
      </c>
      <c r="AQ214" t="s">
        <v>788</v>
      </c>
      <c r="AR214" t="s">
        <v>982</v>
      </c>
      <c r="AS214" t="s">
        <v>700</v>
      </c>
      <c r="AT214" t="s">
        <v>993</v>
      </c>
      <c r="AU214" s="2">
        <v>45279</v>
      </c>
      <c r="AV214" t="s">
        <v>1146</v>
      </c>
      <c r="AX214">
        <v>3.98</v>
      </c>
      <c r="QZ214" t="s">
        <v>1368</v>
      </c>
      <c r="RA214" t="s">
        <v>1368</v>
      </c>
    </row>
    <row r="215" spans="2:469" x14ac:dyDescent="0.3">
      <c r="B215" t="b">
        <v>1</v>
      </c>
      <c r="F215" t="b">
        <v>0</v>
      </c>
      <c r="G215" t="b">
        <v>0</v>
      </c>
      <c r="H215" t="b">
        <v>0</v>
      </c>
      <c r="I215" t="b">
        <v>0</v>
      </c>
      <c r="K215" t="s">
        <v>474</v>
      </c>
      <c r="L215" t="s">
        <v>475</v>
      </c>
      <c r="O215" t="s">
        <v>476</v>
      </c>
      <c r="U215">
        <v>134175.03</v>
      </c>
      <c r="V215">
        <v>414962.59</v>
      </c>
      <c r="W215">
        <v>4.62</v>
      </c>
      <c r="X215" t="s">
        <v>535</v>
      </c>
      <c r="Y215" t="s">
        <v>552</v>
      </c>
      <c r="Z215" s="2">
        <v>45154</v>
      </c>
      <c r="AA215" t="s">
        <v>612</v>
      </c>
      <c r="AB215" t="s">
        <v>685</v>
      </c>
      <c r="AC215" t="s">
        <v>700</v>
      </c>
      <c r="AD215" t="s">
        <v>705</v>
      </c>
      <c r="AE215" t="s">
        <v>711</v>
      </c>
      <c r="AH215" t="s">
        <v>712</v>
      </c>
      <c r="AI215" t="s">
        <v>770</v>
      </c>
      <c r="AJ215" t="s">
        <v>774</v>
      </c>
      <c r="AK215">
        <v>4.12</v>
      </c>
      <c r="AL215">
        <v>3.92</v>
      </c>
      <c r="AM215">
        <v>0.5</v>
      </c>
      <c r="AN215">
        <v>0.7</v>
      </c>
      <c r="AP215" t="s">
        <v>787</v>
      </c>
      <c r="AQ215" t="s">
        <v>788</v>
      </c>
      <c r="AR215" t="s">
        <v>983</v>
      </c>
      <c r="AS215" t="s">
        <v>700</v>
      </c>
      <c r="AT215" t="s">
        <v>993</v>
      </c>
      <c r="AU215" s="2">
        <v>45279</v>
      </c>
      <c r="AV215" t="s">
        <v>1147</v>
      </c>
      <c r="AX215">
        <v>3.98</v>
      </c>
      <c r="AY215">
        <v>17.5</v>
      </c>
      <c r="AZ215">
        <v>14.1</v>
      </c>
      <c r="BA215">
        <v>24.2</v>
      </c>
      <c r="QZ215" t="s">
        <v>1368</v>
      </c>
      <c r="RA215" t="s">
        <v>1368</v>
      </c>
    </row>
    <row r="216" spans="2:469" x14ac:dyDescent="0.3">
      <c r="B216" t="b">
        <v>0</v>
      </c>
      <c r="F216" t="b">
        <v>0</v>
      </c>
      <c r="G216" t="b">
        <v>0</v>
      </c>
      <c r="H216" t="b">
        <v>0</v>
      </c>
      <c r="I216" t="b">
        <v>0</v>
      </c>
      <c r="K216" t="s">
        <v>474</v>
      </c>
      <c r="L216" t="s">
        <v>475</v>
      </c>
      <c r="O216" t="s">
        <v>476</v>
      </c>
      <c r="U216">
        <v>134132.04</v>
      </c>
      <c r="V216">
        <v>414867.1</v>
      </c>
      <c r="W216">
        <v>1.65</v>
      </c>
      <c r="X216" t="s">
        <v>536</v>
      </c>
      <c r="Y216" t="s">
        <v>551</v>
      </c>
      <c r="Z216" s="2">
        <v>45159</v>
      </c>
      <c r="AA216" t="s">
        <v>613</v>
      </c>
      <c r="AB216" t="s">
        <v>686</v>
      </c>
      <c r="AC216" t="s">
        <v>700</v>
      </c>
      <c r="AD216" t="s">
        <v>708</v>
      </c>
      <c r="AE216" t="s">
        <v>711</v>
      </c>
      <c r="AF216">
        <v>-0.35</v>
      </c>
      <c r="AH216" t="s">
        <v>713</v>
      </c>
      <c r="AI216" t="s">
        <v>769</v>
      </c>
      <c r="AJ216" t="s">
        <v>775</v>
      </c>
      <c r="AK216">
        <v>0.65</v>
      </c>
      <c r="AL216">
        <v>0.45</v>
      </c>
      <c r="AM216">
        <v>1</v>
      </c>
      <c r="AN216">
        <v>1.2</v>
      </c>
      <c r="CD216" t="s">
        <v>1181</v>
      </c>
      <c r="CE216" t="s">
        <v>788</v>
      </c>
      <c r="CF216" t="s">
        <v>1205</v>
      </c>
      <c r="CG216" t="s">
        <v>700</v>
      </c>
      <c r="CH216" t="s">
        <v>1211</v>
      </c>
      <c r="CI216" s="2">
        <v>45212</v>
      </c>
      <c r="CJ216" t="s">
        <v>1213</v>
      </c>
      <c r="CL216">
        <v>206</v>
      </c>
      <c r="CM216">
        <v>180</v>
      </c>
      <c r="CN216">
        <v>0.12</v>
      </c>
      <c r="CO216">
        <v>83.82</v>
      </c>
      <c r="CP216">
        <v>10.46</v>
      </c>
      <c r="CQ216">
        <v>100</v>
      </c>
      <c r="CR216">
        <v>100</v>
      </c>
      <c r="CS216">
        <v>100</v>
      </c>
      <c r="CT216">
        <v>100</v>
      </c>
      <c r="CU216">
        <v>99.99</v>
      </c>
      <c r="CV216">
        <v>99.88</v>
      </c>
      <c r="CW216">
        <v>98.96</v>
      </c>
      <c r="CX216">
        <v>96.89</v>
      </c>
      <c r="CY216">
        <v>70.94</v>
      </c>
      <c r="CZ216">
        <v>50.07</v>
      </c>
      <c r="DA216">
        <v>26.78</v>
      </c>
      <c r="DB216">
        <v>16.059999999999999</v>
      </c>
      <c r="DC216">
        <v>8.3000000000000007</v>
      </c>
      <c r="DD216">
        <v>7.49</v>
      </c>
      <c r="DE216">
        <v>7.1</v>
      </c>
      <c r="DF216">
        <v>5.6</v>
      </c>
      <c r="DG216">
        <v>270</v>
      </c>
      <c r="DH216">
        <v>235</v>
      </c>
      <c r="DI216">
        <v>206</v>
      </c>
      <c r="DJ216">
        <v>114</v>
      </c>
      <c r="DK216">
        <v>2.06</v>
      </c>
      <c r="QZ216" t="s">
        <v>1368</v>
      </c>
      <c r="RA216" t="s">
        <v>1368</v>
      </c>
    </row>
    <row r="217" spans="2:469" x14ac:dyDescent="0.3">
      <c r="B217" t="b">
        <v>1</v>
      </c>
      <c r="F217" t="b">
        <v>0</v>
      </c>
      <c r="G217" t="b">
        <v>0</v>
      </c>
      <c r="H217" t="b">
        <v>0</v>
      </c>
      <c r="I217" t="b">
        <v>0</v>
      </c>
      <c r="K217" t="s">
        <v>474</v>
      </c>
      <c r="L217" t="s">
        <v>475</v>
      </c>
      <c r="O217" t="s">
        <v>476</v>
      </c>
      <c r="U217">
        <v>134101.38</v>
      </c>
      <c r="V217">
        <v>414895.53</v>
      </c>
      <c r="W217">
        <v>4.32</v>
      </c>
      <c r="X217" t="s">
        <v>537</v>
      </c>
      <c r="Y217" t="s">
        <v>552</v>
      </c>
      <c r="Z217" s="2">
        <v>45154</v>
      </c>
      <c r="AA217" t="s">
        <v>614</v>
      </c>
      <c r="AB217" t="s">
        <v>687</v>
      </c>
      <c r="AC217" t="s">
        <v>700</v>
      </c>
      <c r="AD217" t="s">
        <v>705</v>
      </c>
      <c r="AE217" t="s">
        <v>711</v>
      </c>
      <c r="AH217" t="s">
        <v>712</v>
      </c>
      <c r="AI217" t="s">
        <v>770</v>
      </c>
      <c r="AJ217" t="s">
        <v>774</v>
      </c>
      <c r="AK217">
        <v>3.82</v>
      </c>
      <c r="AL217">
        <v>3.62</v>
      </c>
      <c r="AM217">
        <v>0.5</v>
      </c>
      <c r="AN217">
        <v>0.7</v>
      </c>
      <c r="AP217" t="s">
        <v>787</v>
      </c>
      <c r="AQ217" t="s">
        <v>788</v>
      </c>
      <c r="AR217" t="s">
        <v>984</v>
      </c>
      <c r="AS217" t="s">
        <v>700</v>
      </c>
      <c r="AT217" t="s">
        <v>993</v>
      </c>
      <c r="AU217" s="2">
        <v>45279</v>
      </c>
      <c r="AV217" t="s">
        <v>1148</v>
      </c>
      <c r="AX217">
        <v>3.69</v>
      </c>
      <c r="AY217">
        <v>18.100000000000001</v>
      </c>
      <c r="AZ217">
        <v>15.9</v>
      </c>
      <c r="BA217">
        <v>14.2</v>
      </c>
      <c r="QZ217" t="s">
        <v>1368</v>
      </c>
      <c r="RA217" t="s">
        <v>1368</v>
      </c>
    </row>
    <row r="218" spans="2:469" x14ac:dyDescent="0.3">
      <c r="B218" t="b">
        <v>1</v>
      </c>
      <c r="F218" t="b">
        <v>0</v>
      </c>
      <c r="G218" t="b">
        <v>0</v>
      </c>
      <c r="H218" t="b">
        <v>0</v>
      </c>
      <c r="I218" t="b">
        <v>0</v>
      </c>
      <c r="K218" t="s">
        <v>474</v>
      </c>
      <c r="L218" t="s">
        <v>475</v>
      </c>
      <c r="O218" t="s">
        <v>476</v>
      </c>
      <c r="U218">
        <v>134035.12</v>
      </c>
      <c r="V218">
        <v>414826.15</v>
      </c>
      <c r="W218">
        <v>4.54</v>
      </c>
      <c r="X218" t="s">
        <v>538</v>
      </c>
      <c r="Y218" t="s">
        <v>552</v>
      </c>
      <c r="Z218" s="2">
        <v>45154</v>
      </c>
      <c r="AA218" t="s">
        <v>615</v>
      </c>
      <c r="AB218" t="s">
        <v>688</v>
      </c>
      <c r="AC218" t="s">
        <v>700</v>
      </c>
      <c r="AD218" t="s">
        <v>705</v>
      </c>
      <c r="AE218" t="s">
        <v>711</v>
      </c>
      <c r="AH218" t="s">
        <v>712</v>
      </c>
      <c r="AI218" t="s">
        <v>770</v>
      </c>
      <c r="AJ218" t="s">
        <v>774</v>
      </c>
      <c r="AK218">
        <v>4.04</v>
      </c>
      <c r="AL218">
        <v>3.84</v>
      </c>
      <c r="AM218">
        <v>0.5</v>
      </c>
      <c r="AN218">
        <v>0.7</v>
      </c>
      <c r="AP218" t="s">
        <v>787</v>
      </c>
      <c r="AQ218" t="s">
        <v>788</v>
      </c>
      <c r="AR218" t="s">
        <v>985</v>
      </c>
      <c r="AS218" t="s">
        <v>700</v>
      </c>
      <c r="AT218" t="s">
        <v>993</v>
      </c>
      <c r="AU218" s="2">
        <v>45279</v>
      </c>
      <c r="AV218" t="s">
        <v>1149</v>
      </c>
      <c r="AX218">
        <v>3.91</v>
      </c>
      <c r="AY218">
        <v>17.8</v>
      </c>
      <c r="AZ218">
        <v>13.8</v>
      </c>
      <c r="BA218">
        <v>28.7</v>
      </c>
      <c r="QZ218" t="s">
        <v>1368</v>
      </c>
      <c r="RA218" t="s">
        <v>1368</v>
      </c>
    </row>
    <row r="219" spans="2:469" x14ac:dyDescent="0.3">
      <c r="B219" t="b">
        <v>0</v>
      </c>
      <c r="F219" t="b">
        <v>0</v>
      </c>
      <c r="G219" t="b">
        <v>0</v>
      </c>
      <c r="H219" t="b">
        <v>0</v>
      </c>
      <c r="I219" t="b">
        <v>0</v>
      </c>
      <c r="K219" t="s">
        <v>474</v>
      </c>
      <c r="L219" t="s">
        <v>475</v>
      </c>
      <c r="O219" t="s">
        <v>476</v>
      </c>
      <c r="U219">
        <v>134061.15</v>
      </c>
      <c r="V219">
        <v>414796.67</v>
      </c>
      <c r="W219">
        <v>1.1299999999999999</v>
      </c>
      <c r="X219" t="s">
        <v>539</v>
      </c>
      <c r="Y219" t="s">
        <v>551</v>
      </c>
      <c r="Z219" s="2">
        <v>45159</v>
      </c>
      <c r="AA219" t="s">
        <v>616</v>
      </c>
      <c r="AB219" t="s">
        <v>689</v>
      </c>
      <c r="AC219" t="s">
        <v>700</v>
      </c>
      <c r="AD219" t="s">
        <v>708</v>
      </c>
      <c r="AE219" t="s">
        <v>711</v>
      </c>
      <c r="AF219">
        <v>-0.87</v>
      </c>
      <c r="AH219" t="s">
        <v>717</v>
      </c>
      <c r="AI219" t="s">
        <v>769</v>
      </c>
      <c r="AJ219" t="s">
        <v>775</v>
      </c>
      <c r="AK219">
        <v>-2.37</v>
      </c>
      <c r="AL219">
        <v>-3.37</v>
      </c>
      <c r="AM219">
        <v>3.5</v>
      </c>
      <c r="AN219">
        <v>4.5</v>
      </c>
      <c r="CD219" t="s">
        <v>1182</v>
      </c>
      <c r="CE219" t="s">
        <v>788</v>
      </c>
      <c r="CF219" t="s">
        <v>1206</v>
      </c>
      <c r="CG219" t="s">
        <v>700</v>
      </c>
      <c r="CH219" t="s">
        <v>1211</v>
      </c>
      <c r="CI219" s="2">
        <v>45212</v>
      </c>
      <c r="CJ219" t="s">
        <v>1215</v>
      </c>
      <c r="CL219">
        <v>175</v>
      </c>
      <c r="CM219">
        <v>167</v>
      </c>
      <c r="CN219">
        <v>0.09</v>
      </c>
      <c r="CO219">
        <v>89.59</v>
      </c>
      <c r="CP219">
        <v>6.72</v>
      </c>
      <c r="CQ219">
        <v>100</v>
      </c>
      <c r="CR219">
        <v>100</v>
      </c>
      <c r="CS219">
        <v>100</v>
      </c>
      <c r="CT219">
        <v>100</v>
      </c>
      <c r="CU219">
        <v>99.99</v>
      </c>
      <c r="CV219">
        <v>99.91</v>
      </c>
      <c r="CW219">
        <v>99.36</v>
      </c>
      <c r="CX219">
        <v>97.91</v>
      </c>
      <c r="CY219">
        <v>84.99</v>
      </c>
      <c r="CZ219">
        <v>57.71</v>
      </c>
      <c r="DA219">
        <v>26.24</v>
      </c>
      <c r="DB219">
        <v>10.32</v>
      </c>
      <c r="DC219">
        <v>6.2</v>
      </c>
      <c r="DD219">
        <v>5.66</v>
      </c>
      <c r="DE219">
        <v>5.4</v>
      </c>
      <c r="DF219">
        <v>3.6</v>
      </c>
      <c r="DG219">
        <v>219</v>
      </c>
      <c r="DH219">
        <v>196</v>
      </c>
      <c r="DI219">
        <v>175</v>
      </c>
      <c r="DJ219">
        <v>102</v>
      </c>
      <c r="DK219">
        <v>1.93</v>
      </c>
      <c r="QZ219" t="s">
        <v>1368</v>
      </c>
      <c r="RA219" t="s">
        <v>1368</v>
      </c>
    </row>
    <row r="220" spans="2:469" x14ac:dyDescent="0.3">
      <c r="B220" t="b">
        <v>0</v>
      </c>
      <c r="F220" t="b">
        <v>0</v>
      </c>
      <c r="G220" t="b">
        <v>0</v>
      </c>
      <c r="H220" t="b">
        <v>0</v>
      </c>
      <c r="I220" t="b">
        <v>0</v>
      </c>
      <c r="K220" t="s">
        <v>474</v>
      </c>
      <c r="L220" t="s">
        <v>475</v>
      </c>
      <c r="O220" t="s">
        <v>476</v>
      </c>
      <c r="U220">
        <v>133993.43</v>
      </c>
      <c r="V220">
        <v>414727.56</v>
      </c>
      <c r="W220">
        <v>2.02</v>
      </c>
      <c r="X220" t="s">
        <v>540</v>
      </c>
      <c r="Y220" t="s">
        <v>551</v>
      </c>
      <c r="Z220" s="2">
        <v>45156</v>
      </c>
      <c r="AA220" t="s">
        <v>617</v>
      </c>
      <c r="AB220" t="s">
        <v>690</v>
      </c>
      <c r="AC220" t="s">
        <v>700</v>
      </c>
      <c r="AD220" t="s">
        <v>705</v>
      </c>
      <c r="AE220" t="s">
        <v>711</v>
      </c>
      <c r="AF220">
        <v>-0.08</v>
      </c>
      <c r="AH220" t="s">
        <v>718</v>
      </c>
      <c r="AI220" t="s">
        <v>769</v>
      </c>
      <c r="AJ220" t="s">
        <v>775</v>
      </c>
      <c r="AK220">
        <v>-1.98</v>
      </c>
      <c r="AL220">
        <v>-2.98</v>
      </c>
      <c r="AM220">
        <v>4</v>
      </c>
      <c r="AN220">
        <v>5</v>
      </c>
      <c r="CD220" t="s">
        <v>1183</v>
      </c>
      <c r="CE220" t="s">
        <v>788</v>
      </c>
      <c r="CF220" t="s">
        <v>1207</v>
      </c>
      <c r="CG220" t="s">
        <v>700</v>
      </c>
      <c r="CH220" t="s">
        <v>1211</v>
      </c>
      <c r="CI220" s="2">
        <v>45212</v>
      </c>
      <c r="CJ220" t="s">
        <v>1214</v>
      </c>
      <c r="CL220">
        <v>239</v>
      </c>
      <c r="CM220">
        <v>238</v>
      </c>
      <c r="CN220">
        <v>0.01</v>
      </c>
      <c r="CO220">
        <v>98.82</v>
      </c>
      <c r="CP220">
        <v>0.88</v>
      </c>
      <c r="CQ220">
        <v>100</v>
      </c>
      <c r="CR220">
        <v>100</v>
      </c>
      <c r="CS220">
        <v>100</v>
      </c>
      <c r="CT220">
        <v>100</v>
      </c>
      <c r="CU220">
        <v>100</v>
      </c>
      <c r="CV220">
        <v>99.99</v>
      </c>
      <c r="CW220">
        <v>99.72</v>
      </c>
      <c r="CX220">
        <v>96.85</v>
      </c>
      <c r="CY220">
        <v>56.23</v>
      </c>
      <c r="CZ220">
        <v>18.66</v>
      </c>
      <c r="DA220">
        <v>3.49</v>
      </c>
      <c r="DB220">
        <v>1.18</v>
      </c>
      <c r="DC220">
        <v>0.9</v>
      </c>
      <c r="DD220">
        <v>0.76</v>
      </c>
      <c r="DE220">
        <v>0.7</v>
      </c>
      <c r="DF220">
        <v>0.3</v>
      </c>
      <c r="DG220">
        <v>293</v>
      </c>
      <c r="DH220">
        <v>263</v>
      </c>
      <c r="DI220">
        <v>239</v>
      </c>
      <c r="DJ220">
        <v>152</v>
      </c>
      <c r="DK220">
        <v>1.72</v>
      </c>
      <c r="QZ220" t="s">
        <v>1368</v>
      </c>
      <c r="RA220" t="s">
        <v>1368</v>
      </c>
    </row>
    <row r="221" spans="2:469" x14ac:dyDescent="0.3">
      <c r="B221" t="b">
        <v>1</v>
      </c>
      <c r="F221" t="b">
        <v>0</v>
      </c>
      <c r="G221" t="b">
        <v>0</v>
      </c>
      <c r="H221" t="b">
        <v>0</v>
      </c>
      <c r="I221" t="b">
        <v>0</v>
      </c>
      <c r="K221" t="s">
        <v>474</v>
      </c>
      <c r="L221" t="s">
        <v>475</v>
      </c>
      <c r="O221" t="s">
        <v>476</v>
      </c>
      <c r="U221">
        <v>133965.26999999999</v>
      </c>
      <c r="V221">
        <v>414747.8</v>
      </c>
      <c r="W221">
        <v>4.41</v>
      </c>
      <c r="X221" t="s">
        <v>541</v>
      </c>
      <c r="Y221" t="s">
        <v>552</v>
      </c>
      <c r="Z221" s="2">
        <v>45154</v>
      </c>
      <c r="AA221" t="s">
        <v>618</v>
      </c>
      <c r="AB221" t="s">
        <v>691</v>
      </c>
      <c r="AC221" t="s">
        <v>700</v>
      </c>
      <c r="AD221" t="s">
        <v>705</v>
      </c>
      <c r="AE221" t="s">
        <v>711</v>
      </c>
      <c r="AH221" t="s">
        <v>712</v>
      </c>
      <c r="AI221" t="s">
        <v>770</v>
      </c>
      <c r="AJ221" t="s">
        <v>774</v>
      </c>
      <c r="AK221">
        <v>3.91</v>
      </c>
      <c r="AL221">
        <v>3.71</v>
      </c>
      <c r="AM221">
        <v>0.5</v>
      </c>
      <c r="AN221">
        <v>0.7</v>
      </c>
      <c r="AP221" t="s">
        <v>787</v>
      </c>
      <c r="AQ221" t="s">
        <v>788</v>
      </c>
      <c r="AR221" t="s">
        <v>986</v>
      </c>
      <c r="AS221" t="s">
        <v>700</v>
      </c>
      <c r="AT221" t="s">
        <v>993</v>
      </c>
      <c r="AU221" s="2">
        <v>45279</v>
      </c>
      <c r="AV221" t="s">
        <v>1150</v>
      </c>
      <c r="AX221">
        <v>3.82</v>
      </c>
      <c r="AY221">
        <v>18.3</v>
      </c>
      <c r="AZ221">
        <v>15.6</v>
      </c>
      <c r="BA221">
        <v>17.7</v>
      </c>
      <c r="QZ221" t="s">
        <v>1368</v>
      </c>
      <c r="RA221" t="s">
        <v>1368</v>
      </c>
    </row>
    <row r="222" spans="2:469" x14ac:dyDescent="0.3">
      <c r="B222" t="b">
        <v>1</v>
      </c>
      <c r="F222" t="b">
        <v>0</v>
      </c>
      <c r="G222" t="b">
        <v>0</v>
      </c>
      <c r="H222" t="b">
        <v>0</v>
      </c>
      <c r="I222" t="b">
        <v>0</v>
      </c>
      <c r="K222" t="s">
        <v>474</v>
      </c>
      <c r="L222" t="s">
        <v>475</v>
      </c>
      <c r="O222" t="s">
        <v>476</v>
      </c>
      <c r="U222">
        <v>133904.35999999999</v>
      </c>
      <c r="V222">
        <v>414661.04</v>
      </c>
      <c r="W222">
        <v>5.28</v>
      </c>
      <c r="X222" t="s">
        <v>542</v>
      </c>
      <c r="Y222" t="s">
        <v>552</v>
      </c>
      <c r="Z222" s="2">
        <v>45154</v>
      </c>
      <c r="AA222" t="s">
        <v>619</v>
      </c>
      <c r="AB222" t="s">
        <v>692</v>
      </c>
      <c r="AC222" t="s">
        <v>700</v>
      </c>
      <c r="AD222" t="s">
        <v>705</v>
      </c>
      <c r="AE222" t="s">
        <v>711</v>
      </c>
      <c r="AH222" t="s">
        <v>712</v>
      </c>
      <c r="AI222" t="s">
        <v>770</v>
      </c>
      <c r="AJ222" t="s">
        <v>774</v>
      </c>
      <c r="AK222">
        <v>4.78</v>
      </c>
      <c r="AL222">
        <v>4.58</v>
      </c>
      <c r="AM222">
        <v>0.5</v>
      </c>
      <c r="AN222">
        <v>0.7</v>
      </c>
      <c r="AP222" t="s">
        <v>787</v>
      </c>
      <c r="AQ222" t="s">
        <v>788</v>
      </c>
      <c r="AR222" t="s">
        <v>987</v>
      </c>
      <c r="AS222" t="s">
        <v>700</v>
      </c>
      <c r="AT222" t="s">
        <v>993</v>
      </c>
      <c r="AU222" s="2">
        <v>45279</v>
      </c>
      <c r="AV222" t="s">
        <v>1151</v>
      </c>
      <c r="AX222">
        <v>4.6500000000000004</v>
      </c>
      <c r="AY222">
        <v>17.5</v>
      </c>
      <c r="AZ222">
        <v>13.5</v>
      </c>
      <c r="BA222">
        <v>28.9</v>
      </c>
      <c r="QZ222" t="s">
        <v>1368</v>
      </c>
      <c r="RA222" t="s">
        <v>1368</v>
      </c>
    </row>
    <row r="223" spans="2:469" x14ac:dyDescent="0.3">
      <c r="B223" t="b">
        <v>1</v>
      </c>
      <c r="F223" t="b">
        <v>0</v>
      </c>
      <c r="G223" t="b">
        <v>0</v>
      </c>
      <c r="H223" t="b">
        <v>0</v>
      </c>
      <c r="I223" t="b">
        <v>0</v>
      </c>
      <c r="K223" t="s">
        <v>474</v>
      </c>
      <c r="L223" t="s">
        <v>475</v>
      </c>
      <c r="O223" t="s">
        <v>476</v>
      </c>
      <c r="U223">
        <v>133853.68</v>
      </c>
      <c r="V223">
        <v>414586.45</v>
      </c>
      <c r="W223">
        <v>4.58</v>
      </c>
      <c r="X223" t="s">
        <v>543</v>
      </c>
      <c r="Y223" t="s">
        <v>552</v>
      </c>
      <c r="Z223" s="2">
        <v>45154</v>
      </c>
      <c r="AA223" t="s">
        <v>620</v>
      </c>
      <c r="AB223" t="s">
        <v>693</v>
      </c>
      <c r="AC223" t="s">
        <v>700</v>
      </c>
      <c r="AD223" t="s">
        <v>705</v>
      </c>
      <c r="AE223" t="s">
        <v>711</v>
      </c>
      <c r="AH223" t="s">
        <v>712</v>
      </c>
      <c r="AI223" t="s">
        <v>770</v>
      </c>
      <c r="AJ223" t="s">
        <v>774</v>
      </c>
      <c r="AK223">
        <v>4.08</v>
      </c>
      <c r="AL223">
        <v>3.88</v>
      </c>
      <c r="AM223">
        <v>0.5</v>
      </c>
      <c r="AN223">
        <v>0.7</v>
      </c>
      <c r="AP223" t="s">
        <v>787</v>
      </c>
      <c r="AQ223" t="s">
        <v>788</v>
      </c>
      <c r="AR223" t="s">
        <v>988</v>
      </c>
      <c r="AS223" t="s">
        <v>700</v>
      </c>
      <c r="AT223" t="s">
        <v>993</v>
      </c>
      <c r="AU223" s="2">
        <v>45279</v>
      </c>
      <c r="AV223" t="s">
        <v>1152</v>
      </c>
      <c r="AX223">
        <v>3.95</v>
      </c>
      <c r="AY223">
        <v>18.5</v>
      </c>
      <c r="AZ223">
        <v>14.7</v>
      </c>
      <c r="BA223">
        <v>25.9</v>
      </c>
      <c r="QZ223" t="s">
        <v>1368</v>
      </c>
      <c r="RA223" t="s">
        <v>1368</v>
      </c>
    </row>
    <row r="224" spans="2:469" x14ac:dyDescent="0.3">
      <c r="B224" t="b">
        <v>0</v>
      </c>
      <c r="F224" t="b">
        <v>0</v>
      </c>
      <c r="G224" t="b">
        <v>0</v>
      </c>
      <c r="H224" t="b">
        <v>0</v>
      </c>
      <c r="I224" t="b">
        <v>0</v>
      </c>
      <c r="K224" t="s">
        <v>474</v>
      </c>
      <c r="L224" t="s">
        <v>475</v>
      </c>
      <c r="O224" t="s">
        <v>476</v>
      </c>
      <c r="U224">
        <v>133877.48000000001</v>
      </c>
      <c r="V224">
        <v>414562.55</v>
      </c>
      <c r="W224">
        <v>1.34</v>
      </c>
      <c r="X224" t="s">
        <v>544</v>
      </c>
      <c r="Y224" t="s">
        <v>551</v>
      </c>
      <c r="Z224" s="2">
        <v>45156</v>
      </c>
      <c r="AA224" t="s">
        <v>621</v>
      </c>
      <c r="AB224" t="s">
        <v>694</v>
      </c>
      <c r="AC224" t="s">
        <v>700</v>
      </c>
      <c r="AD224" t="s">
        <v>705</v>
      </c>
      <c r="AE224" t="s">
        <v>711</v>
      </c>
      <c r="AF224">
        <v>0.14000000000000001</v>
      </c>
      <c r="AH224" t="s">
        <v>718</v>
      </c>
      <c r="AI224" t="s">
        <v>769</v>
      </c>
      <c r="AJ224" t="s">
        <v>775</v>
      </c>
      <c r="AK224">
        <v>-0.71</v>
      </c>
      <c r="AL224">
        <v>-0.96</v>
      </c>
      <c r="AM224">
        <v>2.0499999999999998</v>
      </c>
      <c r="AN224">
        <v>2.2999999999999998</v>
      </c>
      <c r="CD224" t="s">
        <v>1184</v>
      </c>
      <c r="CE224" t="s">
        <v>788</v>
      </c>
      <c r="CF224" t="s">
        <v>1208</v>
      </c>
      <c r="CG224" t="s">
        <v>700</v>
      </c>
      <c r="CH224" t="s">
        <v>1211</v>
      </c>
      <c r="CI224" s="2">
        <v>45212</v>
      </c>
      <c r="CJ224" t="s">
        <v>1213</v>
      </c>
      <c r="CL224">
        <v>229</v>
      </c>
      <c r="CM224">
        <v>224</v>
      </c>
      <c r="CN224">
        <v>0.28000000000000003</v>
      </c>
      <c r="CO224">
        <v>93.62</v>
      </c>
      <c r="CP224">
        <v>5.3</v>
      </c>
      <c r="CQ224">
        <v>100</v>
      </c>
      <c r="CR224">
        <v>100</v>
      </c>
      <c r="CS224">
        <v>100</v>
      </c>
      <c r="CT224">
        <v>99.99</v>
      </c>
      <c r="CU224">
        <v>99.81</v>
      </c>
      <c r="CV224">
        <v>99.72</v>
      </c>
      <c r="CW224">
        <v>98.52</v>
      </c>
      <c r="CX224">
        <v>90.36</v>
      </c>
      <c r="CY224">
        <v>63.85</v>
      </c>
      <c r="CZ224">
        <v>26.96</v>
      </c>
      <c r="DA224">
        <v>10.09</v>
      </c>
      <c r="DB224">
        <v>6.1</v>
      </c>
      <c r="DC224">
        <v>4</v>
      </c>
      <c r="DD224">
        <v>1.97</v>
      </c>
      <c r="DE224">
        <v>1</v>
      </c>
      <c r="DF224">
        <v>0.8</v>
      </c>
      <c r="DG224">
        <v>293</v>
      </c>
      <c r="DH224">
        <v>247</v>
      </c>
      <c r="DI224">
        <v>229</v>
      </c>
      <c r="DJ224">
        <v>143</v>
      </c>
      <c r="DK224">
        <v>1.73</v>
      </c>
      <c r="QZ224" t="s">
        <v>1368</v>
      </c>
      <c r="RA224" t="s">
        <v>1368</v>
      </c>
    </row>
    <row r="225" spans="2:469" x14ac:dyDescent="0.3">
      <c r="B225" t="b">
        <v>0</v>
      </c>
      <c r="F225" t="b">
        <v>0</v>
      </c>
      <c r="G225" t="b">
        <v>0</v>
      </c>
      <c r="H225" t="b">
        <v>0</v>
      </c>
      <c r="I225" t="b">
        <v>0</v>
      </c>
      <c r="K225" t="s">
        <v>474</v>
      </c>
      <c r="L225" t="s">
        <v>475</v>
      </c>
      <c r="O225" t="s">
        <v>476</v>
      </c>
      <c r="U225">
        <v>133833.95000000001</v>
      </c>
      <c r="V225">
        <v>414468.23</v>
      </c>
      <c r="W225">
        <v>0.59</v>
      </c>
      <c r="X225" t="s">
        <v>545</v>
      </c>
      <c r="Y225" t="s">
        <v>551</v>
      </c>
      <c r="Z225" s="2">
        <v>45156</v>
      </c>
      <c r="AA225" t="s">
        <v>622</v>
      </c>
      <c r="AB225" t="s">
        <v>695</v>
      </c>
      <c r="AC225" t="s">
        <v>700</v>
      </c>
      <c r="AD225" t="s">
        <v>705</v>
      </c>
      <c r="AE225" t="s">
        <v>711</v>
      </c>
      <c r="AF225">
        <v>-0.21</v>
      </c>
      <c r="AG225">
        <v>-0.41</v>
      </c>
      <c r="AH225" t="s">
        <v>767</v>
      </c>
      <c r="AI225" t="s">
        <v>769</v>
      </c>
      <c r="AJ225" t="s">
        <v>775</v>
      </c>
      <c r="AK225">
        <v>-2.41</v>
      </c>
      <c r="AL225">
        <v>-3.21</v>
      </c>
      <c r="AM225">
        <v>3</v>
      </c>
      <c r="AN225">
        <v>3.8</v>
      </c>
      <c r="CD225" t="s">
        <v>1185</v>
      </c>
      <c r="CE225" t="s">
        <v>788</v>
      </c>
      <c r="CF225" t="s">
        <v>1209</v>
      </c>
      <c r="CG225" t="s">
        <v>700</v>
      </c>
      <c r="CH225" t="s">
        <v>1211</v>
      </c>
      <c r="CI225" s="2">
        <v>45212</v>
      </c>
      <c r="CJ225" t="s">
        <v>1214</v>
      </c>
      <c r="CL225">
        <v>293</v>
      </c>
      <c r="CM225">
        <v>289</v>
      </c>
      <c r="CN225">
        <v>0.09</v>
      </c>
      <c r="CO225">
        <v>96.82</v>
      </c>
      <c r="CP225">
        <v>1.08</v>
      </c>
      <c r="CQ225">
        <v>100</v>
      </c>
      <c r="CR225">
        <v>100</v>
      </c>
      <c r="CS225">
        <v>100</v>
      </c>
      <c r="CT225">
        <v>100</v>
      </c>
      <c r="CU225">
        <v>99.99</v>
      </c>
      <c r="CV225">
        <v>99.91</v>
      </c>
      <c r="CW225">
        <v>98.49</v>
      </c>
      <c r="CX225">
        <v>90.67</v>
      </c>
      <c r="CY225">
        <v>34.19</v>
      </c>
      <c r="CZ225">
        <v>11.76</v>
      </c>
      <c r="DA225">
        <v>4.21</v>
      </c>
      <c r="DB225">
        <v>3.08</v>
      </c>
      <c r="DC225">
        <v>2.8</v>
      </c>
      <c r="DD225">
        <v>2.6</v>
      </c>
      <c r="DE225">
        <v>2.5</v>
      </c>
      <c r="DF225">
        <v>2</v>
      </c>
      <c r="DG225">
        <v>341</v>
      </c>
      <c r="DH225">
        <v>317</v>
      </c>
      <c r="DI225">
        <v>293</v>
      </c>
      <c r="DJ225">
        <v>183</v>
      </c>
      <c r="DK225">
        <v>1.73</v>
      </c>
      <c r="QZ225" t="s">
        <v>1368</v>
      </c>
      <c r="RA225" t="s">
        <v>1368</v>
      </c>
    </row>
    <row r="226" spans="2:469" x14ac:dyDescent="0.3">
      <c r="B226" t="b">
        <v>1</v>
      </c>
      <c r="F226" t="b">
        <v>0</v>
      </c>
      <c r="G226" t="b">
        <v>0</v>
      </c>
      <c r="H226" t="b">
        <v>0</v>
      </c>
      <c r="I226" t="b">
        <v>0</v>
      </c>
      <c r="K226" t="s">
        <v>474</v>
      </c>
      <c r="L226" t="s">
        <v>475</v>
      </c>
      <c r="O226" t="s">
        <v>476</v>
      </c>
      <c r="U226">
        <v>133729.31</v>
      </c>
      <c r="V226">
        <v>414426</v>
      </c>
      <c r="W226">
        <v>4.28</v>
      </c>
      <c r="X226" t="s">
        <v>546</v>
      </c>
      <c r="Y226" t="s">
        <v>552</v>
      </c>
      <c r="Z226" s="2">
        <v>45153</v>
      </c>
      <c r="AA226" t="s">
        <v>623</v>
      </c>
      <c r="AB226" t="s">
        <v>696</v>
      </c>
      <c r="AC226" t="s">
        <v>700</v>
      </c>
      <c r="AD226" t="s">
        <v>705</v>
      </c>
      <c r="AE226" t="s">
        <v>711</v>
      </c>
      <c r="AH226" t="s">
        <v>712</v>
      </c>
      <c r="AI226" t="s">
        <v>770</v>
      </c>
      <c r="AJ226" t="s">
        <v>774</v>
      </c>
      <c r="AK226">
        <v>3.78</v>
      </c>
      <c r="AL226">
        <v>3.58</v>
      </c>
      <c r="AM226">
        <v>0.5</v>
      </c>
      <c r="AN226">
        <v>0.7</v>
      </c>
      <c r="AP226" t="s">
        <v>787</v>
      </c>
      <c r="AQ226" t="s">
        <v>788</v>
      </c>
      <c r="AR226" t="s">
        <v>989</v>
      </c>
      <c r="AS226" t="s">
        <v>700</v>
      </c>
      <c r="AT226" t="s">
        <v>993</v>
      </c>
      <c r="AU226" s="2">
        <v>45279</v>
      </c>
      <c r="AV226" t="s">
        <v>1153</v>
      </c>
      <c r="AX226">
        <v>3.75</v>
      </c>
      <c r="AY226">
        <v>16.5</v>
      </c>
      <c r="AZ226">
        <v>13.6</v>
      </c>
      <c r="BA226">
        <v>21.2</v>
      </c>
      <c r="QZ226" t="s">
        <v>1368</v>
      </c>
      <c r="RA226" t="s">
        <v>1368</v>
      </c>
    </row>
    <row r="227" spans="2:469" x14ac:dyDescent="0.3">
      <c r="B227" t="b">
        <v>1</v>
      </c>
      <c r="F227" t="b">
        <v>0</v>
      </c>
      <c r="G227" t="b">
        <v>0</v>
      </c>
      <c r="H227" t="b">
        <v>0</v>
      </c>
      <c r="I227" t="b">
        <v>0</v>
      </c>
      <c r="K227" t="s">
        <v>474</v>
      </c>
      <c r="L227" t="s">
        <v>475</v>
      </c>
      <c r="O227" t="s">
        <v>476</v>
      </c>
      <c r="U227">
        <v>133666.85</v>
      </c>
      <c r="V227">
        <v>414349.27</v>
      </c>
      <c r="W227">
        <v>4.84</v>
      </c>
      <c r="X227" t="s">
        <v>547</v>
      </c>
      <c r="Y227" t="s">
        <v>552</v>
      </c>
      <c r="Z227" s="2">
        <v>45153</v>
      </c>
      <c r="AA227" t="s">
        <v>624</v>
      </c>
      <c r="AB227" t="s">
        <v>697</v>
      </c>
      <c r="AC227" t="s">
        <v>700</v>
      </c>
      <c r="AD227" t="s">
        <v>705</v>
      </c>
      <c r="AE227" t="s">
        <v>711</v>
      </c>
      <c r="AH227" t="s">
        <v>712</v>
      </c>
      <c r="AI227" t="s">
        <v>770</v>
      </c>
      <c r="AJ227" t="s">
        <v>774</v>
      </c>
      <c r="AK227">
        <v>4.34</v>
      </c>
      <c r="AL227">
        <v>4.1399999999999997</v>
      </c>
      <c r="AM227">
        <v>0.5</v>
      </c>
      <c r="AN227">
        <v>0.7</v>
      </c>
      <c r="AP227" t="s">
        <v>787</v>
      </c>
      <c r="AQ227" t="s">
        <v>788</v>
      </c>
      <c r="AR227" t="s">
        <v>990</v>
      </c>
      <c r="AS227" t="s">
        <v>700</v>
      </c>
      <c r="AT227" t="s">
        <v>993</v>
      </c>
      <c r="AU227" s="2">
        <v>45279</v>
      </c>
      <c r="AV227" t="s">
        <v>1154</v>
      </c>
      <c r="AX227">
        <v>4.26</v>
      </c>
      <c r="AY227">
        <v>16.399999999999999</v>
      </c>
      <c r="AZ227">
        <v>13.5</v>
      </c>
      <c r="BA227">
        <v>21.5</v>
      </c>
      <c r="QZ227" t="s">
        <v>1368</v>
      </c>
      <c r="RA227" t="s">
        <v>1368</v>
      </c>
    </row>
    <row r="228" spans="2:469" x14ac:dyDescent="0.3">
      <c r="B228" t="b">
        <v>1</v>
      </c>
      <c r="F228" t="b">
        <v>0</v>
      </c>
      <c r="G228" t="b">
        <v>0</v>
      </c>
      <c r="H228" t="b">
        <v>0</v>
      </c>
      <c r="I228" t="b">
        <v>0</v>
      </c>
      <c r="K228" t="s">
        <v>474</v>
      </c>
      <c r="L228" t="s">
        <v>475</v>
      </c>
      <c r="O228" t="s">
        <v>476</v>
      </c>
      <c r="U228">
        <v>133604.13</v>
      </c>
      <c r="V228">
        <v>414272.86</v>
      </c>
      <c r="W228">
        <v>4.4400000000000004</v>
      </c>
      <c r="X228" t="s">
        <v>548</v>
      </c>
      <c r="Y228" t="s">
        <v>552</v>
      </c>
      <c r="Z228" s="2">
        <v>45153</v>
      </c>
      <c r="AA228" t="s">
        <v>625</v>
      </c>
      <c r="AB228" t="s">
        <v>698</v>
      </c>
      <c r="AC228" t="s">
        <v>700</v>
      </c>
      <c r="AD228" t="s">
        <v>705</v>
      </c>
      <c r="AE228" t="s">
        <v>711</v>
      </c>
      <c r="AH228" t="s">
        <v>714</v>
      </c>
      <c r="AI228" t="s">
        <v>770</v>
      </c>
      <c r="AJ228" t="s">
        <v>774</v>
      </c>
      <c r="AK228">
        <v>3.94</v>
      </c>
      <c r="AL228">
        <v>3.74</v>
      </c>
      <c r="AM228">
        <v>0.5</v>
      </c>
      <c r="AN228">
        <v>0.7</v>
      </c>
      <c r="AP228" t="s">
        <v>787</v>
      </c>
      <c r="AQ228" t="s">
        <v>788</v>
      </c>
      <c r="AR228" t="s">
        <v>991</v>
      </c>
      <c r="AS228" t="s">
        <v>700</v>
      </c>
      <c r="AT228" t="s">
        <v>993</v>
      </c>
      <c r="AU228" s="2">
        <v>45279</v>
      </c>
      <c r="AV228" t="s">
        <v>1155</v>
      </c>
      <c r="AX228">
        <v>3.85</v>
      </c>
      <c r="AY228">
        <v>19.100000000000001</v>
      </c>
      <c r="AZ228">
        <v>15.4</v>
      </c>
      <c r="BA228">
        <v>23.8</v>
      </c>
      <c r="QZ228" t="s">
        <v>1368</v>
      </c>
      <c r="RA228" t="s">
        <v>1368</v>
      </c>
    </row>
    <row r="229" spans="2:469" x14ac:dyDescent="0.3">
      <c r="B229" t="b">
        <v>1</v>
      </c>
      <c r="F229" t="b">
        <v>0</v>
      </c>
      <c r="G229" t="b">
        <v>0</v>
      </c>
      <c r="H229" t="b">
        <v>0</v>
      </c>
      <c r="I229" t="b">
        <v>0</v>
      </c>
      <c r="K229" t="s">
        <v>474</v>
      </c>
      <c r="L229" t="s">
        <v>475</v>
      </c>
      <c r="O229" t="s">
        <v>476</v>
      </c>
      <c r="U229">
        <v>133626.48000000001</v>
      </c>
      <c r="V229">
        <v>414248.5</v>
      </c>
      <c r="W229">
        <v>1.33</v>
      </c>
      <c r="X229" t="s">
        <v>549</v>
      </c>
      <c r="Y229" t="s">
        <v>551</v>
      </c>
      <c r="Z229" s="2">
        <v>45155</v>
      </c>
      <c r="AA229" t="s">
        <v>626</v>
      </c>
      <c r="AB229" t="s">
        <v>699</v>
      </c>
      <c r="AC229" t="s">
        <v>700</v>
      </c>
      <c r="AD229" t="s">
        <v>705</v>
      </c>
      <c r="AE229" t="s">
        <v>711</v>
      </c>
      <c r="AF229">
        <v>0.23</v>
      </c>
      <c r="AG229">
        <v>-1.97</v>
      </c>
      <c r="AH229" t="s">
        <v>712</v>
      </c>
      <c r="AI229" t="s">
        <v>770</v>
      </c>
      <c r="AJ229" t="s">
        <v>774</v>
      </c>
      <c r="AK229">
        <v>0.83</v>
      </c>
      <c r="AL229">
        <v>0.63</v>
      </c>
      <c r="AM229">
        <v>0.5</v>
      </c>
      <c r="AN229">
        <v>0.7</v>
      </c>
      <c r="AP229" t="s">
        <v>787</v>
      </c>
      <c r="AQ229" t="s">
        <v>788</v>
      </c>
      <c r="AR229" t="s">
        <v>992</v>
      </c>
      <c r="AS229" t="s">
        <v>700</v>
      </c>
      <c r="AT229" t="s">
        <v>993</v>
      </c>
      <c r="AU229" s="2">
        <v>45279</v>
      </c>
      <c r="AV229" t="s">
        <v>1156</v>
      </c>
      <c r="AX229">
        <v>0.78</v>
      </c>
      <c r="AY229">
        <v>16.899999999999999</v>
      </c>
      <c r="AZ229">
        <v>13.6</v>
      </c>
      <c r="BA229">
        <v>24.4</v>
      </c>
      <c r="QZ229" t="s">
        <v>1368</v>
      </c>
      <c r="RA229" t="s">
        <v>1368</v>
      </c>
    </row>
    <row r="230" spans="2:469" x14ac:dyDescent="0.3">
      <c r="B230" t="b">
        <v>0</v>
      </c>
      <c r="F230" t="b">
        <v>0</v>
      </c>
      <c r="G230" t="b">
        <v>0</v>
      </c>
      <c r="H230" t="b">
        <v>0</v>
      </c>
      <c r="I230" t="b">
        <v>0</v>
      </c>
      <c r="K230" t="s">
        <v>474</v>
      </c>
      <c r="L230" t="s">
        <v>475</v>
      </c>
      <c r="O230" t="s">
        <v>476</v>
      </c>
      <c r="U230">
        <v>133626.48000000001</v>
      </c>
      <c r="V230">
        <v>414248.5</v>
      </c>
      <c r="W230">
        <v>1.33</v>
      </c>
      <c r="X230" t="s">
        <v>549</v>
      </c>
      <c r="Y230" t="s">
        <v>551</v>
      </c>
      <c r="Z230" s="2">
        <v>45155</v>
      </c>
      <c r="AA230" t="s">
        <v>626</v>
      </c>
      <c r="AB230" t="s">
        <v>699</v>
      </c>
      <c r="AC230" t="s">
        <v>700</v>
      </c>
      <c r="AD230" t="s">
        <v>705</v>
      </c>
      <c r="AE230" t="s">
        <v>711</v>
      </c>
      <c r="AF230">
        <v>0.23</v>
      </c>
      <c r="AG230">
        <v>-1.97</v>
      </c>
      <c r="AH230" t="s">
        <v>764</v>
      </c>
      <c r="AI230" t="s">
        <v>769</v>
      </c>
      <c r="AJ230" t="s">
        <v>775</v>
      </c>
      <c r="AK230">
        <v>-0.67</v>
      </c>
      <c r="AL230">
        <v>-1.67</v>
      </c>
      <c r="AM230">
        <v>2</v>
      </c>
      <c r="AN230">
        <v>3</v>
      </c>
      <c r="CD230" t="s">
        <v>1186</v>
      </c>
      <c r="CE230" t="s">
        <v>788</v>
      </c>
      <c r="CF230" t="s">
        <v>1210</v>
      </c>
      <c r="CG230" t="s">
        <v>700</v>
      </c>
      <c r="CH230" t="s">
        <v>1211</v>
      </c>
      <c r="CI230" s="2">
        <v>45212</v>
      </c>
      <c r="CJ230" t="s">
        <v>1216</v>
      </c>
      <c r="CL230">
        <v>432</v>
      </c>
      <c r="CM230">
        <v>429</v>
      </c>
      <c r="CN230">
        <v>0.28000000000000003</v>
      </c>
      <c r="CO230">
        <v>97.77</v>
      </c>
      <c r="CP230">
        <v>0.86</v>
      </c>
      <c r="CQ230">
        <v>100</v>
      </c>
      <c r="CR230">
        <v>100</v>
      </c>
      <c r="CS230">
        <v>100</v>
      </c>
      <c r="CT230">
        <v>100</v>
      </c>
      <c r="CU230">
        <v>99.99</v>
      </c>
      <c r="CV230">
        <v>99.72</v>
      </c>
      <c r="CW230">
        <v>96.13</v>
      </c>
      <c r="CX230">
        <v>69.290000000000006</v>
      </c>
      <c r="CY230">
        <v>7.3</v>
      </c>
      <c r="CZ230">
        <v>3.89</v>
      </c>
      <c r="DA230">
        <v>2.42</v>
      </c>
      <c r="DB230">
        <v>1.96</v>
      </c>
      <c r="DC230">
        <v>1.7</v>
      </c>
      <c r="DD230">
        <v>1.56</v>
      </c>
      <c r="DE230">
        <v>1.5</v>
      </c>
      <c r="DF230">
        <v>1.1000000000000001</v>
      </c>
      <c r="DG230">
        <v>511</v>
      </c>
      <c r="DH230">
        <v>468</v>
      </c>
      <c r="DI230">
        <v>432</v>
      </c>
      <c r="DJ230">
        <v>270</v>
      </c>
      <c r="DK230">
        <v>1.73</v>
      </c>
      <c r="QZ230" t="s">
        <v>1368</v>
      </c>
      <c r="RA230" t="s">
        <v>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1CE91-D1F7-4702-A7FA-A3F1C3B3A005}">
  <dimension ref="A1:Q2"/>
  <sheetViews>
    <sheetView tabSelected="1" workbookViewId="0">
      <selection activeCell="C11" sqref="C11"/>
    </sheetView>
  </sheetViews>
  <sheetFormatPr defaultRowHeight="14.4" x14ac:dyDescent="0.3"/>
  <cols>
    <col min="1" max="1" width="28.33203125" bestFit="1" customWidth="1"/>
    <col min="2" max="2" width="13.44140625" customWidth="1"/>
    <col min="3" max="3" width="18.6640625" customWidth="1"/>
    <col min="4" max="4" width="9.21875" customWidth="1"/>
    <col min="5" max="5" width="14.44140625" customWidth="1"/>
    <col min="6" max="6" width="21.33203125" bestFit="1" customWidth="1"/>
    <col min="7" max="7" width="38.21875" bestFit="1" customWidth="1"/>
    <col min="8" max="8" width="22.77734375" bestFit="1" customWidth="1"/>
    <col min="9" max="9" width="39.5546875" bestFit="1" customWidth="1"/>
    <col min="10" max="10" width="31" bestFit="1" customWidth="1"/>
    <col min="11" max="11" width="31.6640625" bestFit="1" customWidth="1"/>
    <col min="12" max="12" width="41.6640625" bestFit="1" customWidth="1"/>
    <col min="13" max="13" width="19.44140625" customWidth="1"/>
    <col min="14" max="14" width="17.109375" customWidth="1"/>
    <col min="15" max="15" width="14" customWidth="1"/>
    <col min="16" max="16" width="11.21875" customWidth="1"/>
    <col min="17" max="17" width="15.44140625" customWidth="1"/>
    <col min="18" max="18" width="15.6640625" customWidth="1"/>
    <col min="19" max="20" width="16" customWidth="1"/>
    <col min="21" max="21" width="31.6640625" bestFit="1" customWidth="1"/>
  </cols>
  <sheetData>
    <row r="1" spans="1:17" x14ac:dyDescent="0.3">
      <c r="A1" t="s">
        <v>1374</v>
      </c>
      <c r="B1" t="s">
        <v>1370</v>
      </c>
      <c r="C1" t="s">
        <v>1372</v>
      </c>
      <c r="D1" t="s">
        <v>1387</v>
      </c>
      <c r="E1" t="s">
        <v>1390</v>
      </c>
      <c r="F1" t="s">
        <v>1375</v>
      </c>
      <c r="G1" t="s">
        <v>1376</v>
      </c>
      <c r="H1" t="s">
        <v>1377</v>
      </c>
      <c r="I1" t="s">
        <v>1378</v>
      </c>
      <c r="J1" t="s">
        <v>1379</v>
      </c>
      <c r="K1" t="s">
        <v>1380</v>
      </c>
      <c r="L1" t="s">
        <v>1381</v>
      </c>
      <c r="M1" t="s">
        <v>1382</v>
      </c>
      <c r="N1" t="s">
        <v>1383</v>
      </c>
      <c r="O1" t="s">
        <v>1384</v>
      </c>
      <c r="P1" t="s">
        <v>1385</v>
      </c>
      <c r="Q1" t="s">
        <v>1386</v>
      </c>
    </row>
    <row r="2" spans="1:17" x14ac:dyDescent="0.3">
      <c r="A2" t="str">
        <f>B2&amp;"_"&amp;C2&amp;"_"&amp;D2&amp;"_"&amp;E2</f>
        <v>Klei_zwaar_Eindrek_C_PHI_TXT</v>
      </c>
      <c r="B2" t="s">
        <v>1371</v>
      </c>
      <c r="C2" s="3" t="s">
        <v>1373</v>
      </c>
      <c r="D2" s="3" t="s">
        <v>1388</v>
      </c>
      <c r="E2" s="3" t="s">
        <v>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Dbase5_0</vt:lpstr>
      <vt:lpstr>Resultaten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Kwakman, Leo</dc:creator>
  <cp:lastModifiedBy>Kwakman, Leo</cp:lastModifiedBy>
  <dcterms:created xsi:type="dcterms:W3CDTF">2025-07-31T13:23:58Z</dcterms:created>
  <dcterms:modified xsi:type="dcterms:W3CDTF">2025-07-31T13:35:48Z</dcterms:modified>
</cp:coreProperties>
</file>