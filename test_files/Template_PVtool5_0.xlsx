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enekat7271\Documents\GitHub\PV-tool\pv_tool_logic\templates\"/>
    </mc:Choice>
  </mc:AlternateContent>
  <xr:revisionPtr revIDLastSave="0" documentId="13_ncr:1_{995C7382-2919-4AB9-8C7B-0F6D488F37C3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Dbase5_0" sheetId="1" r:id="rId1"/>
    <sheet name="Beoordeling" sheetId="5" r:id="rId2"/>
    <sheet name="Hulp" sheetId="7" r:id="rId3"/>
    <sheet name="Resultaten c-phi" sheetId="2" r:id="rId4"/>
    <sheet name="Resultaten SHANSEP" sheetId="3" r:id="rId5"/>
    <sheet name="Resultaten SU-tabel-m" sheetId="4" r:id="rId6"/>
  </sheets>
  <definedNames>
    <definedName name="_xlnm._FilterDatabase" localSheetId="1" hidden="1">Beoordeling!$A$12:$BP$62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C29" i="5" s="1"/>
  <c r="A24" i="1"/>
  <c r="A25" i="1"/>
  <c r="A26" i="1"/>
  <c r="E27" i="5" s="1"/>
  <c r="A27" i="1"/>
  <c r="A28" i="1"/>
  <c r="A29" i="1"/>
  <c r="A30" i="1"/>
  <c r="A31" i="1"/>
  <c r="P17" i="5" s="1"/>
  <c r="A32" i="1"/>
  <c r="AC21" i="5" s="1"/>
  <c r="A33" i="1"/>
  <c r="A34" i="1"/>
  <c r="A35" i="1"/>
  <c r="A36" i="1"/>
  <c r="A37" i="1"/>
  <c r="A38" i="1"/>
  <c r="A39" i="1"/>
  <c r="A40" i="1"/>
  <c r="A8" i="1"/>
  <c r="C1" i="7" a="1"/>
  <c r="C1" i="7" s="1"/>
  <c r="BT43" i="5"/>
  <c r="BT42" i="5"/>
  <c r="BT41" i="5"/>
  <c r="BT40" i="5"/>
  <c r="BT39" i="5"/>
  <c r="BT38" i="5"/>
  <c r="BT37" i="5"/>
  <c r="BT36" i="5"/>
  <c r="BT35" i="5"/>
  <c r="BT34" i="5"/>
  <c r="BT33" i="5"/>
  <c r="BT32" i="5"/>
  <c r="AP42" i="5"/>
  <c r="AP41" i="5"/>
  <c r="AP40" i="5"/>
  <c r="AP39" i="5"/>
  <c r="AP38" i="5"/>
  <c r="AP37" i="5"/>
  <c r="AP36" i="5"/>
  <c r="AP35" i="5"/>
  <c r="AP34" i="5"/>
  <c r="AP33" i="5"/>
  <c r="AP32" i="5"/>
  <c r="AN46" i="5"/>
  <c r="AN45" i="5"/>
  <c r="AN38" i="5"/>
  <c r="AN37" i="5"/>
  <c r="AN36" i="5"/>
  <c r="AN35" i="5"/>
  <c r="AN34" i="5"/>
  <c r="AN33" i="5"/>
  <c r="AN32" i="5"/>
  <c r="AL42" i="5"/>
  <c r="AL41" i="5"/>
  <c r="AL40" i="5"/>
  <c r="AL39" i="5"/>
  <c r="AL35" i="5"/>
  <c r="AL34" i="5"/>
  <c r="AL33" i="5"/>
  <c r="AL32" i="5"/>
  <c r="AJ44" i="5"/>
  <c r="AJ43" i="5"/>
  <c r="AJ42" i="5"/>
  <c r="AJ41" i="5"/>
  <c r="AJ40" i="5"/>
  <c r="AJ39" i="5"/>
  <c r="AJ38" i="5"/>
  <c r="AJ37" i="5"/>
  <c r="AJ36" i="5"/>
  <c r="AJ35" i="5"/>
  <c r="AJ34" i="5"/>
  <c r="AJ33" i="5"/>
  <c r="AJ32" i="5"/>
  <c r="AH42" i="5"/>
  <c r="AH41" i="5"/>
  <c r="AH40" i="5"/>
  <c r="AH39" i="5"/>
  <c r="AH38" i="5"/>
  <c r="AH37" i="5"/>
  <c r="AH36" i="5"/>
  <c r="AH35" i="5"/>
  <c r="AH34" i="5"/>
  <c r="AH33" i="5"/>
  <c r="AH32" i="5"/>
  <c r="AG46" i="5"/>
  <c r="AG38" i="5"/>
  <c r="AG37" i="5"/>
  <c r="AG36" i="5"/>
  <c r="AG35" i="5"/>
  <c r="AG34" i="5"/>
  <c r="AG33" i="5"/>
  <c r="AG32" i="5"/>
  <c r="AF42" i="5"/>
  <c r="AF41" i="5"/>
  <c r="AF40" i="5"/>
  <c r="AF39" i="5"/>
  <c r="AF35" i="5"/>
  <c r="AF34" i="5"/>
  <c r="AF33" i="5"/>
  <c r="AF32" i="5"/>
  <c r="AE43" i="5"/>
  <c r="AE42" i="5"/>
  <c r="AE41" i="5"/>
  <c r="AE40" i="5"/>
  <c r="AE39" i="5"/>
  <c r="AE38" i="5"/>
  <c r="AE37" i="5"/>
  <c r="AE36" i="5"/>
  <c r="AE35" i="5"/>
  <c r="AE34" i="5"/>
  <c r="AE33" i="5"/>
  <c r="AE32" i="5"/>
  <c r="AC42" i="5"/>
  <c r="AC41" i="5"/>
  <c r="AC40" i="5"/>
  <c r="AC39" i="5"/>
  <c r="AC38" i="5"/>
  <c r="AC37" i="5"/>
  <c r="AC36" i="5"/>
  <c r="AC35" i="5"/>
  <c r="AC34" i="5"/>
  <c r="AC33" i="5"/>
  <c r="AC32" i="5"/>
  <c r="AB38" i="5"/>
  <c r="AB37" i="5"/>
  <c r="AB36" i="5"/>
  <c r="AB35" i="5"/>
  <c r="AB34" i="5"/>
  <c r="AB33" i="5"/>
  <c r="AB32" i="5"/>
  <c r="AA43" i="5"/>
  <c r="AA42" i="5"/>
  <c r="AA41" i="5"/>
  <c r="AA40" i="5"/>
  <c r="AA39" i="5"/>
  <c r="AA38" i="5"/>
  <c r="AA35" i="5"/>
  <c r="AA34" i="5"/>
  <c r="AA33" i="5"/>
  <c r="AA32" i="5"/>
  <c r="Z44" i="5"/>
  <c r="Z42" i="5"/>
  <c r="Z41" i="5"/>
  <c r="Z40" i="5"/>
  <c r="Z39" i="5"/>
  <c r="Z38" i="5"/>
  <c r="Z37" i="5"/>
  <c r="Z36" i="5"/>
  <c r="Z35" i="5"/>
  <c r="Z34" i="5"/>
  <c r="Z33" i="5"/>
  <c r="Z32" i="5"/>
  <c r="Y43" i="5"/>
  <c r="Y42" i="5"/>
  <c r="Y41" i="5"/>
  <c r="Y40" i="5"/>
  <c r="Y39" i="5"/>
  <c r="Y38" i="5"/>
  <c r="Y37" i="5"/>
  <c r="Y36" i="5"/>
  <c r="Y35" i="5"/>
  <c r="Y34" i="5"/>
  <c r="Y33" i="5"/>
  <c r="Y32" i="5"/>
  <c r="X38" i="5"/>
  <c r="X37" i="5"/>
  <c r="X36" i="5"/>
  <c r="X35" i="5"/>
  <c r="X34" i="5"/>
  <c r="X33" i="5"/>
  <c r="X32" i="5"/>
  <c r="W45" i="5"/>
  <c r="W44" i="5"/>
  <c r="W43" i="5"/>
  <c r="W42" i="5"/>
  <c r="W41" i="5"/>
  <c r="W40" i="5"/>
  <c r="W39" i="5"/>
  <c r="W38" i="5"/>
  <c r="W37" i="5"/>
  <c r="W35" i="5"/>
  <c r="W34" i="5"/>
  <c r="W33" i="5"/>
  <c r="W32" i="5"/>
  <c r="U43" i="5"/>
  <c r="U42" i="5"/>
  <c r="U41" i="5"/>
  <c r="U40" i="5"/>
  <c r="U39" i="5"/>
  <c r="U38" i="5"/>
  <c r="U37" i="5"/>
  <c r="U36" i="5"/>
  <c r="U35" i="5"/>
  <c r="U34" i="5"/>
  <c r="U33" i="5"/>
  <c r="U32" i="5"/>
  <c r="T43" i="5"/>
  <c r="T42" i="5"/>
  <c r="T41" i="5"/>
  <c r="T40" i="5"/>
  <c r="T39" i="5"/>
  <c r="T38" i="5"/>
  <c r="T37" i="5"/>
  <c r="T36" i="5"/>
  <c r="T35" i="5"/>
  <c r="T34" i="5"/>
  <c r="T33" i="5"/>
  <c r="T32" i="5"/>
  <c r="S38" i="5"/>
  <c r="S37" i="5"/>
  <c r="S36" i="5"/>
  <c r="S35" i="5"/>
  <c r="S34" i="5"/>
  <c r="S33" i="5"/>
  <c r="S32" i="5"/>
  <c r="R43" i="5"/>
  <c r="R42" i="5"/>
  <c r="R41" i="5"/>
  <c r="R40" i="5"/>
  <c r="R39" i="5"/>
  <c r="R38" i="5"/>
  <c r="R37" i="5"/>
  <c r="R35" i="5"/>
  <c r="R34" i="5"/>
  <c r="R33" i="5"/>
  <c r="R32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P43" i="5"/>
  <c r="P42" i="5"/>
  <c r="P41" i="5"/>
  <c r="P40" i="5"/>
  <c r="P39" i="5"/>
  <c r="P38" i="5"/>
  <c r="P37" i="5"/>
  <c r="P36" i="5"/>
  <c r="P35" i="5"/>
  <c r="P34" i="5"/>
  <c r="P33" i="5"/>
  <c r="P32" i="5"/>
  <c r="O38" i="5"/>
  <c r="O37" i="5"/>
  <c r="O36" i="5"/>
  <c r="O35" i="5"/>
  <c r="O34" i="5"/>
  <c r="O33" i="5"/>
  <c r="O32" i="5"/>
  <c r="N46" i="5"/>
  <c r="N45" i="5"/>
  <c r="N43" i="5"/>
  <c r="N42" i="5"/>
  <c r="N41" i="5"/>
  <c r="N40" i="5"/>
  <c r="N39" i="5"/>
  <c r="N38" i="5"/>
  <c r="N37" i="5"/>
  <c r="N35" i="5"/>
  <c r="N34" i="5"/>
  <c r="N33" i="5"/>
  <c r="N32" i="5"/>
  <c r="M43" i="5"/>
  <c r="M42" i="5"/>
  <c r="M41" i="5"/>
  <c r="M40" i="5"/>
  <c r="M39" i="5"/>
  <c r="M38" i="5"/>
  <c r="M37" i="5"/>
  <c r="M36" i="5"/>
  <c r="M35" i="5"/>
  <c r="M34" i="5"/>
  <c r="M33" i="5"/>
  <c r="M32" i="5"/>
  <c r="L43" i="5"/>
  <c r="L42" i="5"/>
  <c r="L41" i="5"/>
  <c r="L40" i="5"/>
  <c r="L39" i="5"/>
  <c r="L38" i="5"/>
  <c r="L37" i="5"/>
  <c r="L36" i="5"/>
  <c r="L35" i="5"/>
  <c r="L34" i="5"/>
  <c r="L33" i="5"/>
  <c r="L32" i="5"/>
  <c r="J38" i="5"/>
  <c r="J37" i="5"/>
  <c r="J36" i="5"/>
  <c r="J35" i="5"/>
  <c r="J34" i="5"/>
  <c r="J33" i="5"/>
  <c r="J32" i="5"/>
  <c r="I43" i="5"/>
  <c r="I42" i="5"/>
  <c r="I41" i="5"/>
  <c r="I40" i="5"/>
  <c r="I39" i="5"/>
  <c r="I38" i="5"/>
  <c r="I37" i="5"/>
  <c r="I35" i="5"/>
  <c r="I34" i="5"/>
  <c r="I33" i="5"/>
  <c r="I32" i="5"/>
  <c r="H43" i="5"/>
  <c r="H42" i="5"/>
  <c r="H41" i="5"/>
  <c r="H40" i="5"/>
  <c r="H39" i="5"/>
  <c r="H38" i="5"/>
  <c r="H37" i="5"/>
  <c r="H36" i="5"/>
  <c r="H35" i="5"/>
  <c r="H34" i="5"/>
  <c r="H33" i="5"/>
  <c r="H32" i="5"/>
  <c r="G43" i="5"/>
  <c r="G42" i="5"/>
  <c r="G41" i="5"/>
  <c r="G40" i="5"/>
  <c r="G39" i="5"/>
  <c r="G38" i="5"/>
  <c r="G37" i="5"/>
  <c r="G36" i="5"/>
  <c r="G35" i="5"/>
  <c r="G34" i="5"/>
  <c r="G33" i="5"/>
  <c r="G32" i="5"/>
  <c r="F38" i="5"/>
  <c r="F37" i="5"/>
  <c r="F36" i="5"/>
  <c r="F35" i="5"/>
  <c r="F34" i="5"/>
  <c r="F33" i="5"/>
  <c r="F32" i="5"/>
  <c r="E45" i="5"/>
  <c r="E44" i="5"/>
  <c r="E43" i="5"/>
  <c r="E42" i="5"/>
  <c r="E41" i="5"/>
  <c r="E40" i="5"/>
  <c r="E39" i="5"/>
  <c r="E38" i="5"/>
  <c r="E37" i="5"/>
  <c r="E35" i="5"/>
  <c r="E34" i="5"/>
  <c r="E33" i="5"/>
  <c r="E32" i="5"/>
  <c r="C42" i="5"/>
  <c r="C41" i="5"/>
  <c r="C40" i="5"/>
  <c r="C39" i="5"/>
  <c r="C38" i="5"/>
  <c r="C37" i="5"/>
  <c r="C36" i="5"/>
  <c r="C35" i="5"/>
  <c r="C34" i="5"/>
  <c r="C33" i="5"/>
  <c r="C32" i="5"/>
  <c r="B43" i="5"/>
  <c r="B42" i="5"/>
  <c r="B41" i="5"/>
  <c r="B40" i="5"/>
  <c r="B39" i="5"/>
  <c r="B38" i="5"/>
  <c r="B37" i="5"/>
  <c r="B36" i="5"/>
  <c r="B35" i="5"/>
  <c r="B34" i="5"/>
  <c r="B33" i="5"/>
  <c r="B32" i="5"/>
  <c r="BD21" i="5"/>
  <c r="BG20" i="5"/>
  <c r="AP29" i="5"/>
  <c r="J28" i="5"/>
  <c r="N26" i="5"/>
  <c r="M26" i="5"/>
  <c r="X24" i="5"/>
  <c r="AH22" i="5"/>
  <c r="AG22" i="5"/>
  <c r="AF22" i="5"/>
  <c r="AA21" i="5"/>
  <c r="J21" i="5"/>
  <c r="F20" i="5"/>
  <c r="AA18" i="5"/>
  <c r="Z18" i="5"/>
  <c r="I17" i="5"/>
  <c r="AE15" i="5"/>
  <c r="AC15" i="5"/>
  <c r="BG21" i="5" l="1"/>
  <c r="BD23" i="5"/>
  <c r="AE21" i="5"/>
  <c r="O28" i="5"/>
  <c r="BG23" i="5"/>
  <c r="AC18" i="5"/>
  <c r="AX18" i="5" s="1"/>
  <c r="P23" i="5"/>
  <c r="M20" i="5"/>
  <c r="N47" i="5"/>
  <c r="W47" i="5"/>
  <c r="Z14" i="5"/>
  <c r="AF18" i="5"/>
  <c r="Q28" i="5"/>
  <c r="M25" i="5"/>
  <c r="AN21" i="5"/>
  <c r="G27" i="5"/>
  <c r="C14" i="5"/>
  <c r="J47" i="5"/>
  <c r="BT28" i="5"/>
  <c r="E46" i="5"/>
  <c r="BE25" i="5"/>
  <c r="AN47" i="5"/>
  <c r="AL15" i="5"/>
  <c r="R17" i="5"/>
  <c r="N48" i="5"/>
  <c r="BE20" i="5"/>
  <c r="AJ45" i="5"/>
  <c r="X27" i="5"/>
  <c r="BT18" i="5"/>
  <c r="BD24" i="5"/>
  <c r="BT15" i="5"/>
  <c r="BG22" i="5"/>
  <c r="BD22" i="5"/>
  <c r="M28" i="5"/>
  <c r="AF21" i="5"/>
  <c r="AG18" i="5"/>
  <c r="L25" i="5"/>
  <c r="N20" i="5"/>
  <c r="W48" i="5"/>
  <c r="Q20" i="5"/>
  <c r="R20" i="5"/>
  <c r="N23" i="5"/>
  <c r="AG21" i="5"/>
  <c r="B27" i="5"/>
  <c r="X14" i="5"/>
  <c r="F27" i="5"/>
  <c r="AB21" i="5"/>
  <c r="AG15" i="5"/>
  <c r="P26" i="5"/>
  <c r="O23" i="5"/>
  <c r="P28" i="5"/>
  <c r="J17" i="5"/>
  <c r="G20" i="5"/>
  <c r="AF15" i="5"/>
  <c r="O26" i="5"/>
  <c r="M17" i="5"/>
  <c r="N28" i="5"/>
  <c r="AB24" i="5"/>
  <c r="R26" i="5"/>
  <c r="L16" i="5"/>
  <c r="Q23" i="5"/>
  <c r="R23" i="5"/>
  <c r="O20" i="5"/>
  <c r="Y14" i="5"/>
  <c r="O25" i="5"/>
  <c r="B29" i="5"/>
  <c r="AH17" i="5"/>
  <c r="U23" i="5"/>
  <c r="AG48" i="5"/>
  <c r="AJ17" i="5"/>
  <c r="AH20" i="5"/>
  <c r="BE23" i="5"/>
  <c r="AJ20" i="5"/>
  <c r="AE45" i="5"/>
  <c r="AL20" i="5"/>
  <c r="T25" i="5"/>
  <c r="BT19" i="5"/>
  <c r="W16" i="5"/>
  <c r="AN20" i="5"/>
  <c r="U22" i="5"/>
  <c r="I29" i="5"/>
  <c r="O48" i="5"/>
  <c r="C18" i="5"/>
  <c r="T19" i="5"/>
  <c r="I24" i="5"/>
  <c r="BT21" i="5"/>
  <c r="H46" i="5"/>
  <c r="J45" i="5"/>
  <c r="S47" i="5"/>
  <c r="T15" i="5"/>
  <c r="Y16" i="5"/>
  <c r="E18" i="5"/>
  <c r="U19" i="5"/>
  <c r="B21" i="5"/>
  <c r="X22" i="5"/>
  <c r="J24" i="5"/>
  <c r="X25" i="5"/>
  <c r="T27" i="5"/>
  <c r="L29" i="5"/>
  <c r="AU22" i="5"/>
  <c r="H47" i="5"/>
  <c r="J46" i="5"/>
  <c r="S48" i="5"/>
  <c r="Z45" i="5"/>
  <c r="Z24" i="5"/>
  <c r="AE18" i="5"/>
  <c r="Q17" i="5"/>
  <c r="N16" i="5"/>
  <c r="S23" i="5"/>
  <c r="AF17" i="5"/>
  <c r="N19" i="5"/>
  <c r="W23" i="5"/>
  <c r="AL17" i="5"/>
  <c r="AB46" i="5"/>
  <c r="T16" i="5"/>
  <c r="S25" i="5"/>
  <c r="U16" i="5"/>
  <c r="BE21" i="5"/>
  <c r="F15" i="5"/>
  <c r="U25" i="5"/>
  <c r="X16" i="5"/>
  <c r="S27" i="5"/>
  <c r="C21" i="5"/>
  <c r="Y22" i="5"/>
  <c r="L24" i="5"/>
  <c r="F26" i="5"/>
  <c r="U27" i="5"/>
  <c r="M29" i="5"/>
  <c r="AU23" i="5"/>
  <c r="Q48" i="5"/>
  <c r="Z46" i="5"/>
  <c r="L17" i="5"/>
  <c r="H20" i="5"/>
  <c r="AH15" i="5"/>
  <c r="BE24" i="5"/>
  <c r="Z26" i="5"/>
  <c r="M16" i="5"/>
  <c r="AJ18" i="5"/>
  <c r="S28" i="5"/>
  <c r="O16" i="5"/>
  <c r="Q25" i="5"/>
  <c r="E29" i="5"/>
  <c r="B22" i="5"/>
  <c r="AN17" i="5"/>
  <c r="AB47" i="5"/>
  <c r="AP17" i="5"/>
  <c r="S19" i="5"/>
  <c r="G15" i="5"/>
  <c r="U15" i="5"/>
  <c r="F18" i="5"/>
  <c r="G18" i="5"/>
  <c r="W27" i="5"/>
  <c r="N29" i="5"/>
  <c r="AU24" i="5"/>
  <c r="AL47" i="5"/>
  <c r="L28" i="5"/>
  <c r="I20" i="5"/>
  <c r="O17" i="5"/>
  <c r="J25" i="5"/>
  <c r="BG24" i="5"/>
  <c r="I47" i="5"/>
  <c r="R28" i="5"/>
  <c r="N25" i="5"/>
  <c r="AL21" i="5"/>
  <c r="R25" i="5"/>
  <c r="C15" i="5"/>
  <c r="AF23" i="5"/>
  <c r="H29" i="5"/>
  <c r="F48" i="5"/>
  <c r="AU21" i="5"/>
  <c r="B17" i="5"/>
  <c r="C17" i="5"/>
  <c r="Y19" i="5"/>
  <c r="F21" i="5"/>
  <c r="AA22" i="5"/>
  <c r="S24" i="5"/>
  <c r="H26" i="5"/>
  <c r="F28" i="5"/>
  <c r="O29" i="5"/>
  <c r="AU25" i="5"/>
  <c r="AL48" i="5"/>
  <c r="AB18" i="5"/>
  <c r="AJ15" i="5"/>
  <c r="AE17" i="5"/>
  <c r="T23" i="5"/>
  <c r="AC23" i="5"/>
  <c r="AX23" i="5" s="1"/>
  <c r="H27" i="5"/>
  <c r="F29" i="5"/>
  <c r="F46" i="5"/>
  <c r="AE23" i="5"/>
  <c r="G29" i="5"/>
  <c r="F47" i="5"/>
  <c r="R19" i="5"/>
  <c r="AE46" i="5"/>
  <c r="BT20" i="5"/>
  <c r="W25" i="5"/>
  <c r="W15" i="5"/>
  <c r="X15" i="5"/>
  <c r="H18" i="5"/>
  <c r="U18" i="5"/>
  <c r="T24" i="5"/>
  <c r="G28" i="5"/>
  <c r="W29" i="5"/>
  <c r="AU26" i="5"/>
  <c r="AA24" i="5"/>
  <c r="J20" i="5"/>
  <c r="AH21" i="5"/>
  <c r="C27" i="5"/>
  <c r="AL18" i="5"/>
  <c r="AG47" i="5"/>
  <c r="P25" i="5"/>
  <c r="O19" i="5"/>
  <c r="S16" i="5"/>
  <c r="BT16" i="5"/>
  <c r="C22" i="5"/>
  <c r="Q27" i="5"/>
  <c r="AG23" i="5"/>
  <c r="S46" i="5"/>
  <c r="AP20" i="5"/>
  <c r="J29" i="5"/>
  <c r="Z16" i="5"/>
  <c r="Z22" i="5"/>
  <c r="G26" i="5"/>
  <c r="AB22" i="5"/>
  <c r="I26" i="5"/>
  <c r="G17" i="5"/>
  <c r="AC22" i="5"/>
  <c r="AX22" i="5" s="1"/>
  <c r="AL29" i="5"/>
  <c r="AU27" i="5"/>
  <c r="Y24" i="5"/>
  <c r="N17" i="5"/>
  <c r="Q26" i="5"/>
  <c r="L20" i="5"/>
  <c r="AH18" i="5"/>
  <c r="BD25" i="5"/>
  <c r="I48" i="5"/>
  <c r="AJ21" i="5"/>
  <c r="P20" i="5"/>
  <c r="Q16" i="5"/>
  <c r="G14" i="5"/>
  <c r="R16" i="5"/>
  <c r="AP21" i="5"/>
  <c r="B15" i="5"/>
  <c r="P19" i="5"/>
  <c r="AG20" i="5"/>
  <c r="Q19" i="5"/>
  <c r="P27" i="5"/>
  <c r="BT17" i="5"/>
  <c r="BE22" i="5"/>
  <c r="E15" i="5"/>
  <c r="T22" i="5"/>
  <c r="B18" i="5"/>
  <c r="R27" i="5"/>
  <c r="AE48" i="5"/>
  <c r="W22" i="5"/>
  <c r="W19" i="5"/>
  <c r="X19" i="5"/>
  <c r="E21" i="5"/>
  <c r="M24" i="5"/>
  <c r="Y15" i="5"/>
  <c r="E17" i="5"/>
  <c r="Z19" i="5"/>
  <c r="G21" i="5"/>
  <c r="AA15" i="5"/>
  <c r="X18" i="5"/>
  <c r="AA19" i="5"/>
  <c r="H21" i="5"/>
  <c r="U24" i="5"/>
  <c r="J26" i="5"/>
  <c r="H28" i="5"/>
  <c r="AB15" i="5"/>
  <c r="H17" i="5"/>
  <c r="Y18" i="5"/>
  <c r="E20" i="5"/>
  <c r="I21" i="5"/>
  <c r="AE22" i="5"/>
  <c r="W24" i="5"/>
  <c r="L26" i="5"/>
  <c r="I28" i="5"/>
  <c r="AN29" i="5"/>
  <c r="BD20" i="5"/>
  <c r="Q45" i="5"/>
  <c r="Z47" i="5"/>
  <c r="W14" i="5"/>
  <c r="H44" i="5"/>
  <c r="Q46" i="5"/>
  <c r="Z48" i="5"/>
  <c r="J14" i="5"/>
  <c r="H45" i="5"/>
  <c r="Q47" i="5"/>
  <c r="AB45" i="5"/>
  <c r="I14" i="5"/>
  <c r="H48" i="5"/>
  <c r="N44" i="5"/>
  <c r="S45" i="5"/>
  <c r="W46" i="5"/>
  <c r="AB48" i="5"/>
  <c r="AE44" i="5"/>
  <c r="AG45" i="5"/>
  <c r="B14" i="5"/>
  <c r="BT29" i="5"/>
  <c r="E47" i="5"/>
  <c r="J48" i="5"/>
  <c r="U44" i="5"/>
  <c r="AJ46" i="5"/>
  <c r="AN48" i="5"/>
  <c r="BT44" i="5"/>
  <c r="BE19" i="5"/>
  <c r="O27" i="5"/>
  <c r="Y26" i="5"/>
  <c r="AJ25" i="5"/>
  <c r="H25" i="5"/>
  <c r="R24" i="5"/>
  <c r="AB23" i="5"/>
  <c r="AH25" i="5"/>
  <c r="G25" i="5"/>
  <c r="Q24" i="5"/>
  <c r="AA23" i="5"/>
  <c r="AN22" i="5"/>
  <c r="J22" i="5"/>
  <c r="T21" i="5"/>
  <c r="AE20" i="5"/>
  <c r="AB28" i="5"/>
  <c r="AP27" i="5"/>
  <c r="L27" i="5"/>
  <c r="U26" i="5"/>
  <c r="AF25" i="5"/>
  <c r="E25" i="5"/>
  <c r="O24" i="5"/>
  <c r="AJ22" i="5"/>
  <c r="H22" i="5"/>
  <c r="R21" i="5"/>
  <c r="BD18" i="5"/>
  <c r="R29" i="5"/>
  <c r="Y23" i="5"/>
  <c r="AN27" i="5"/>
  <c r="J27" i="5"/>
  <c r="T26" i="5"/>
  <c r="AE25" i="5"/>
  <c r="C25" i="5"/>
  <c r="N24" i="5"/>
  <c r="X23" i="5"/>
  <c r="P29" i="5"/>
  <c r="Z28" i="5"/>
  <c r="AL27" i="5"/>
  <c r="I27" i="5"/>
  <c r="S26" i="5"/>
  <c r="T44" i="5"/>
  <c r="P44" i="5"/>
  <c r="L44" i="5"/>
  <c r="G44" i="5"/>
  <c r="B44" i="5"/>
  <c r="AC43" i="5"/>
  <c r="BT48" i="5"/>
  <c r="AJ48" i="5"/>
  <c r="BE17" i="5"/>
  <c r="U14" i="5"/>
  <c r="BT47" i="5"/>
  <c r="AJ47" i="5"/>
  <c r="AE47" i="5"/>
  <c r="AF44" i="5"/>
  <c r="AF43" i="5"/>
  <c r="H14" i="5"/>
  <c r="AJ14" i="5"/>
  <c r="AA16" i="5"/>
  <c r="I18" i="5"/>
  <c r="L21" i="5"/>
  <c r="AA26" i="5"/>
  <c r="T28" i="5"/>
  <c r="AB16" i="5"/>
  <c r="B23" i="5"/>
  <c r="AB26" i="5"/>
  <c r="BD26" i="5"/>
  <c r="U45" i="5"/>
  <c r="BT45" i="5"/>
  <c r="B19" i="5"/>
  <c r="AF24" i="5"/>
  <c r="Z27" i="5"/>
  <c r="BE26" i="5"/>
  <c r="M44" i="5"/>
  <c r="U46" i="5"/>
  <c r="BT46" i="5"/>
  <c r="BD29" i="5"/>
  <c r="L15" i="5"/>
  <c r="B16" i="5"/>
  <c r="AE16" i="5"/>
  <c r="U17" i="5"/>
  <c r="M18" i="5"/>
  <c r="C19" i="5"/>
  <c r="AF19" i="5"/>
  <c r="W20" i="5"/>
  <c r="O21" i="5"/>
  <c r="L22" i="5"/>
  <c r="E23" i="5"/>
  <c r="AN23" i="5"/>
  <c r="AG24" i="5"/>
  <c r="AB25" i="5"/>
  <c r="AE26" i="5"/>
  <c r="AA27" i="5"/>
  <c r="X28" i="5"/>
  <c r="AA29" i="5"/>
  <c r="BG26" i="5"/>
  <c r="C43" i="5"/>
  <c r="M45" i="5"/>
  <c r="U47" i="5"/>
  <c r="AA44" i="5"/>
  <c r="S20" i="5"/>
  <c r="E22" i="5"/>
  <c r="Z25" i="5"/>
  <c r="AE19" i="5"/>
  <c r="M15" i="5"/>
  <c r="AH24" i="5"/>
  <c r="Y28" i="5"/>
  <c r="AB29" i="5"/>
  <c r="BD27" i="5"/>
  <c r="C44" i="5"/>
  <c r="M46" i="5"/>
  <c r="U48" i="5"/>
  <c r="AA45" i="5"/>
  <c r="AN14" i="5"/>
  <c r="X44" i="5"/>
  <c r="Y29" i="5"/>
  <c r="C23" i="5"/>
  <c r="AF16" i="5"/>
  <c r="E19" i="5"/>
  <c r="N15" i="5"/>
  <c r="N22" i="5"/>
  <c r="BE29" i="5"/>
  <c r="C45" i="5"/>
  <c r="M47" i="5"/>
  <c r="AA46" i="5"/>
  <c r="AL14" i="5"/>
  <c r="AP22" i="5"/>
  <c r="AP18" i="5"/>
  <c r="AA25" i="5"/>
  <c r="X20" i="5"/>
  <c r="X17" i="5"/>
  <c r="F19" i="5"/>
  <c r="AG28" i="5"/>
  <c r="Y17" i="5"/>
  <c r="U21" i="5"/>
  <c r="AE29" i="5"/>
  <c r="BE15" i="5"/>
  <c r="BG29" i="5"/>
  <c r="C46" i="5"/>
  <c r="M48" i="5"/>
  <c r="R44" i="5"/>
  <c r="X45" i="5"/>
  <c r="AA47" i="5"/>
  <c r="AH14" i="5"/>
  <c r="BH14" i="5" s="1"/>
  <c r="X29" i="5"/>
  <c r="AE24" i="5"/>
  <c r="J15" i="5"/>
  <c r="U20" i="5"/>
  <c r="C16" i="5"/>
  <c r="AC25" i="5"/>
  <c r="AX25" i="5" s="1"/>
  <c r="E16" i="5"/>
  <c r="Q21" i="5"/>
  <c r="G23" i="5"/>
  <c r="Z20" i="5"/>
  <c r="AH28" i="5"/>
  <c r="AL19" i="5"/>
  <c r="AF27" i="5"/>
  <c r="BG15" i="5"/>
  <c r="C47" i="5"/>
  <c r="R45" i="5"/>
  <c r="X46" i="5"/>
  <c r="AA48" i="5"/>
  <c r="AF45" i="5"/>
  <c r="AE14" i="5"/>
  <c r="L14" i="5"/>
  <c r="H15" i="5"/>
  <c r="AN18" i="5"/>
  <c r="AH23" i="5"/>
  <c r="BG25" i="5"/>
  <c r="AN15" i="5"/>
  <c r="S17" i="5"/>
  <c r="J18" i="5"/>
  <c r="T20" i="5"/>
  <c r="F22" i="5"/>
  <c r="Y27" i="5"/>
  <c r="E48" i="5"/>
  <c r="BE18" i="5"/>
  <c r="AP15" i="5"/>
  <c r="N21" i="5"/>
  <c r="AC26" i="5"/>
  <c r="AX26" i="5" s="1"/>
  <c r="Z29" i="5"/>
  <c r="N18" i="5"/>
  <c r="P21" i="5"/>
  <c r="AF26" i="5"/>
  <c r="O18" i="5"/>
  <c r="Y20" i="5"/>
  <c r="AL25" i="5"/>
  <c r="AC27" i="5"/>
  <c r="AX27" i="5" s="1"/>
  <c r="AH16" i="5"/>
  <c r="AJ19" i="5"/>
  <c r="AL24" i="5"/>
  <c r="AH26" i="5"/>
  <c r="P15" i="5"/>
  <c r="G16" i="5"/>
  <c r="Z17" i="5"/>
  <c r="W21" i="5"/>
  <c r="I23" i="5"/>
  <c r="AN24" i="5"/>
  <c r="AP25" i="5"/>
  <c r="AJ28" i="5"/>
  <c r="AF29" i="5"/>
  <c r="Q15" i="5"/>
  <c r="H16" i="5"/>
  <c r="AL16" i="5"/>
  <c r="AA17" i="5"/>
  <c r="R18" i="5"/>
  <c r="I19" i="5"/>
  <c r="AN19" i="5"/>
  <c r="AB20" i="5"/>
  <c r="X21" i="5"/>
  <c r="Q22" i="5"/>
  <c r="J23" i="5"/>
  <c r="F24" i="5"/>
  <c r="AP24" i="5"/>
  <c r="B26" i="5"/>
  <c r="AL26" i="5"/>
  <c r="AG27" i="5"/>
  <c r="AL28" i="5"/>
  <c r="AG29" i="5"/>
  <c r="BD16" i="5"/>
  <c r="C48" i="5"/>
  <c r="I44" i="5"/>
  <c r="O45" i="5"/>
  <c r="R46" i="5"/>
  <c r="X47" i="5"/>
  <c r="AF46" i="5"/>
  <c r="AC14" i="5"/>
  <c r="AX14" i="5" s="1"/>
  <c r="AC24" i="5"/>
  <c r="AX24" i="5" s="1"/>
  <c r="M21" i="5"/>
  <c r="T17" i="5"/>
  <c r="G22" i="5"/>
  <c r="W17" i="5"/>
  <c r="AB27" i="5"/>
  <c r="B24" i="5"/>
  <c r="BD15" i="5"/>
  <c r="C24" i="5"/>
  <c r="AA20" i="5"/>
  <c r="R15" i="5"/>
  <c r="AN16" i="5"/>
  <c r="AP19" i="5"/>
  <c r="R22" i="5"/>
  <c r="G24" i="5"/>
  <c r="AH27" i="5"/>
  <c r="I45" i="5"/>
  <c r="O46" i="5"/>
  <c r="R47" i="5"/>
  <c r="X48" i="5"/>
  <c r="AF47" i="5"/>
  <c r="AL45" i="5"/>
  <c r="AB14" i="5"/>
  <c r="AB19" i="5"/>
  <c r="Y25" i="5"/>
  <c r="AU28" i="5"/>
  <c r="I15" i="5"/>
  <c r="AC19" i="5"/>
  <c r="AX19" i="5" s="1"/>
  <c r="AJ23" i="5"/>
  <c r="U28" i="5"/>
  <c r="AU29" i="5"/>
  <c r="AC16" i="5"/>
  <c r="AX16" i="5" s="1"/>
  <c r="L18" i="5"/>
  <c r="AL23" i="5"/>
  <c r="W28" i="5"/>
  <c r="AG19" i="5"/>
  <c r="M22" i="5"/>
  <c r="F23" i="5"/>
  <c r="AP23" i="5"/>
  <c r="AG16" i="5"/>
  <c r="AH19" i="5"/>
  <c r="AJ24" i="5"/>
  <c r="AG26" i="5"/>
  <c r="AC29" i="5"/>
  <c r="AX29" i="5" s="1"/>
  <c r="O15" i="5"/>
  <c r="F16" i="5"/>
  <c r="P18" i="5"/>
  <c r="G19" i="5"/>
  <c r="O22" i="5"/>
  <c r="H23" i="5"/>
  <c r="AN25" i="5"/>
  <c r="AE27" i="5"/>
  <c r="AJ16" i="5"/>
  <c r="Q18" i="5"/>
  <c r="H19" i="5"/>
  <c r="P22" i="5"/>
  <c r="E24" i="5"/>
  <c r="AJ26" i="5"/>
  <c r="I16" i="5"/>
  <c r="AB17" i="5"/>
  <c r="S18" i="5"/>
  <c r="J19" i="5"/>
  <c r="AF20" i="5"/>
  <c r="Y21" i="5"/>
  <c r="L23" i="5"/>
  <c r="B25" i="5"/>
  <c r="C26" i="5"/>
  <c r="AN26" i="5"/>
  <c r="AN28" i="5"/>
  <c r="AH29" i="5"/>
  <c r="BE16" i="5"/>
  <c r="S15" i="5"/>
  <c r="J16" i="5"/>
  <c r="AP16" i="5"/>
  <c r="AC17" i="5"/>
  <c r="AX17" i="5" s="1"/>
  <c r="T18" i="5"/>
  <c r="L19" i="5"/>
  <c r="C20" i="5"/>
  <c r="Z21" i="5"/>
  <c r="BB21" i="5" s="1"/>
  <c r="BF21" i="5" s="1"/>
  <c r="S22" i="5"/>
  <c r="M23" i="5"/>
  <c r="H24" i="5"/>
  <c r="I25" i="5"/>
  <c r="E26" i="5"/>
  <c r="AP26" i="5"/>
  <c r="AJ27" i="5"/>
  <c r="AP28" i="5"/>
  <c r="AJ29" i="5"/>
  <c r="BG16" i="5"/>
  <c r="F45" i="5"/>
  <c r="I46" i="5"/>
  <c r="O47" i="5"/>
  <c r="R48" i="5"/>
  <c r="Z43" i="5"/>
  <c r="AF48" i="5"/>
  <c r="AL46" i="5"/>
  <c r="AA14" i="5"/>
  <c r="AL43" i="5"/>
  <c r="AG14" i="5"/>
  <c r="F14" i="5"/>
  <c r="AL44" i="5"/>
  <c r="AF14" i="5"/>
  <c r="E14" i="5"/>
  <c r="T14" i="5"/>
  <c r="AH43" i="5"/>
  <c r="AP43" i="5"/>
  <c r="S14" i="5"/>
  <c r="Y44" i="5"/>
  <c r="AC44" i="5"/>
  <c r="AH44" i="5"/>
  <c r="AP44" i="5"/>
  <c r="R14" i="5"/>
  <c r="AU15" i="5"/>
  <c r="BD17" i="5"/>
  <c r="BE27" i="5"/>
  <c r="BT22" i="5"/>
  <c r="B45" i="5"/>
  <c r="F39" i="5"/>
  <c r="G45" i="5"/>
  <c r="J39" i="5"/>
  <c r="L45" i="5"/>
  <c r="O39" i="5"/>
  <c r="P45" i="5"/>
  <c r="S39" i="5"/>
  <c r="T45" i="5"/>
  <c r="X39" i="5"/>
  <c r="Y45" i="5"/>
  <c r="AB39" i="5"/>
  <c r="AC45" i="5"/>
  <c r="AG39" i="5"/>
  <c r="AH45" i="5"/>
  <c r="AN39" i="5"/>
  <c r="AP45" i="5"/>
  <c r="BT14" i="5"/>
  <c r="Q14" i="5"/>
  <c r="AA28" i="5"/>
  <c r="Q29" i="5"/>
  <c r="AU16" i="5"/>
  <c r="BG17" i="5"/>
  <c r="BG27" i="5"/>
  <c r="BT23" i="5"/>
  <c r="B46" i="5"/>
  <c r="F40" i="5"/>
  <c r="G46" i="5"/>
  <c r="J40" i="5"/>
  <c r="L46" i="5"/>
  <c r="O40" i="5"/>
  <c r="P46" i="5"/>
  <c r="S40" i="5"/>
  <c r="T46" i="5"/>
  <c r="X40" i="5"/>
  <c r="Y46" i="5"/>
  <c r="AB40" i="5"/>
  <c r="AC46" i="5"/>
  <c r="AG40" i="5"/>
  <c r="AH46" i="5"/>
  <c r="AN40" i="5"/>
  <c r="AP46" i="5"/>
  <c r="BG14" i="5"/>
  <c r="P14" i="5"/>
  <c r="AG41" i="5"/>
  <c r="AN41" i="5"/>
  <c r="AP47" i="5"/>
  <c r="BE14" i="5"/>
  <c r="O14" i="5"/>
  <c r="AU17" i="5"/>
  <c r="BD28" i="5"/>
  <c r="BT24" i="5"/>
  <c r="B47" i="5"/>
  <c r="F41" i="5"/>
  <c r="G47" i="5"/>
  <c r="J41" i="5"/>
  <c r="L47" i="5"/>
  <c r="O41" i="5"/>
  <c r="P47" i="5"/>
  <c r="S41" i="5"/>
  <c r="T47" i="5"/>
  <c r="X41" i="5"/>
  <c r="Y47" i="5"/>
  <c r="AB41" i="5"/>
  <c r="AC47" i="5"/>
  <c r="AH47" i="5"/>
  <c r="Z15" i="5"/>
  <c r="P16" i="5"/>
  <c r="F17" i="5"/>
  <c r="AG17" i="5"/>
  <c r="W18" i="5"/>
  <c r="M19" i="5"/>
  <c r="B20" i="5"/>
  <c r="AC20" i="5"/>
  <c r="AX20" i="5" s="1"/>
  <c r="S21" i="5"/>
  <c r="I22" i="5"/>
  <c r="AL22" i="5"/>
  <c r="Z23" i="5"/>
  <c r="P24" i="5"/>
  <c r="F25" i="5"/>
  <c r="AG25" i="5"/>
  <c r="W26" i="5"/>
  <c r="M27" i="5"/>
  <c r="B28" i="5"/>
  <c r="AC28" i="5"/>
  <c r="AX28" i="5" s="1"/>
  <c r="S29" i="5"/>
  <c r="AU18" i="5"/>
  <c r="BG18" i="5"/>
  <c r="BE28" i="5"/>
  <c r="BT25" i="5"/>
  <c r="B48" i="5"/>
  <c r="E36" i="5"/>
  <c r="F42" i="5"/>
  <c r="G48" i="5"/>
  <c r="I36" i="5"/>
  <c r="J42" i="5"/>
  <c r="L48" i="5"/>
  <c r="N36" i="5"/>
  <c r="O42" i="5"/>
  <c r="P48" i="5"/>
  <c r="R36" i="5"/>
  <c r="S42" i="5"/>
  <c r="T48" i="5"/>
  <c r="W36" i="5"/>
  <c r="X42" i="5"/>
  <c r="Y48" i="5"/>
  <c r="AA36" i="5"/>
  <c r="AB42" i="5"/>
  <c r="AC48" i="5"/>
  <c r="AF36" i="5"/>
  <c r="AG42" i="5"/>
  <c r="AH48" i="5"/>
  <c r="AL36" i="5"/>
  <c r="AN42" i="5"/>
  <c r="AP48" i="5"/>
  <c r="BD14" i="5"/>
  <c r="N14" i="5"/>
  <c r="X26" i="5"/>
  <c r="N27" i="5"/>
  <c r="C28" i="5"/>
  <c r="AE28" i="5"/>
  <c r="T29" i="5"/>
  <c r="AU19" i="5"/>
  <c r="BD19" i="5"/>
  <c r="BG28" i="5"/>
  <c r="BT26" i="5"/>
  <c r="F43" i="5"/>
  <c r="J43" i="5"/>
  <c r="O43" i="5"/>
  <c r="S43" i="5"/>
  <c r="X43" i="5"/>
  <c r="AA37" i="5"/>
  <c r="AB43" i="5"/>
  <c r="AF37" i="5"/>
  <c r="AG43" i="5"/>
  <c r="AL37" i="5"/>
  <c r="AN43" i="5"/>
  <c r="AU14" i="5"/>
  <c r="M14" i="5"/>
  <c r="E28" i="5"/>
  <c r="AF28" i="5"/>
  <c r="U29" i="5"/>
  <c r="AU20" i="5"/>
  <c r="BG19" i="5"/>
  <c r="BT27" i="5"/>
  <c r="F44" i="5"/>
  <c r="J44" i="5"/>
  <c r="O44" i="5"/>
  <c r="S44" i="5"/>
  <c r="AB44" i="5"/>
  <c r="AF38" i="5"/>
  <c r="AG44" i="5"/>
  <c r="AL38" i="5"/>
  <c r="AN44" i="5"/>
  <c r="AP14" i="5"/>
  <c r="C4" i="7"/>
  <c r="C3" i="7"/>
  <c r="C5" i="7"/>
  <c r="AX21" i="5"/>
  <c r="AK41" i="5"/>
  <c r="AX15" i="5"/>
  <c r="BC14" i="5" l="1"/>
  <c r="BK14" i="5" s="1"/>
  <c r="AK47" i="5"/>
  <c r="BC27" i="5"/>
  <c r="BK27" i="5" s="1"/>
  <c r="AK22" i="5"/>
  <c r="BB25" i="5"/>
  <c r="BF25" i="5" s="1"/>
  <c r="AK28" i="5"/>
  <c r="BH18" i="5"/>
  <c r="BB14" i="5"/>
  <c r="BF14" i="5" s="1"/>
  <c r="AK14" i="5"/>
  <c r="BH21" i="5"/>
  <c r="BH20" i="5"/>
  <c r="BC25" i="5"/>
  <c r="BK25" i="5" s="1"/>
  <c r="BH19" i="5"/>
  <c r="BU44" i="5"/>
  <c r="BU21" i="5"/>
  <c r="BU14" i="5"/>
  <c r="BU43" i="5"/>
  <c r="BU20" i="5"/>
  <c r="BU36" i="5"/>
  <c r="BU35" i="5"/>
  <c r="BU34" i="5"/>
  <c r="BU33" i="5"/>
  <c r="BU32" i="5"/>
  <c r="BU46" i="5"/>
  <c r="BU45" i="5"/>
  <c r="BU42" i="5"/>
  <c r="BU19" i="5"/>
  <c r="BU37" i="5"/>
  <c r="BU26" i="5"/>
  <c r="BU25" i="5"/>
  <c r="BU41" i="5"/>
  <c r="BU18" i="5"/>
  <c r="BU38" i="5"/>
  <c r="BU23" i="5"/>
  <c r="BU40" i="5"/>
  <c r="BU17" i="5"/>
  <c r="BU15" i="5"/>
  <c r="BU29" i="5"/>
  <c r="BU39" i="5"/>
  <c r="BU16" i="5"/>
  <c r="BU22" i="5"/>
  <c r="BU28" i="5"/>
  <c r="BU27" i="5"/>
  <c r="BU48" i="5"/>
  <c r="BU47" i="5"/>
  <c r="BU24" i="5"/>
  <c r="AO33" i="5"/>
  <c r="AO48" i="5"/>
  <c r="AO46" i="5"/>
  <c r="AO15" i="5"/>
  <c r="AO35" i="5"/>
  <c r="AO32" i="5"/>
  <c r="AO28" i="5"/>
  <c r="AO19" i="5"/>
  <c r="AO41" i="5"/>
  <c r="AO40" i="5"/>
  <c r="AO39" i="5"/>
  <c r="AO23" i="5"/>
  <c r="AO44" i="5"/>
  <c r="AO42" i="5"/>
  <c r="AO16" i="5"/>
  <c r="AO34" i="5"/>
  <c r="AO27" i="5"/>
  <c r="AO25" i="5"/>
  <c r="AO17" i="5"/>
  <c r="AO38" i="5"/>
  <c r="AO26" i="5"/>
  <c r="AO47" i="5"/>
  <c r="AO45" i="5"/>
  <c r="AO20" i="5"/>
  <c r="AO14" i="5"/>
  <c r="AO29" i="5"/>
  <c r="AO24" i="5"/>
  <c r="AO22" i="5"/>
  <c r="AO43" i="5"/>
  <c r="AO37" i="5"/>
  <c r="AO21" i="5"/>
  <c r="AO18" i="5"/>
  <c r="AO36" i="5"/>
  <c r="AV25" i="5"/>
  <c r="AV19" i="5"/>
  <c r="AV17" i="5"/>
  <c r="AV26" i="5"/>
  <c r="AV24" i="5"/>
  <c r="AV23" i="5"/>
  <c r="AV22" i="5"/>
  <c r="AV21" i="5"/>
  <c r="AV20" i="5"/>
  <c r="AV18" i="5"/>
  <c r="AV16" i="5"/>
  <c r="AV15" i="5"/>
  <c r="AV29" i="5"/>
  <c r="AV28" i="5"/>
  <c r="AV27" i="5"/>
  <c r="AV14" i="5"/>
  <c r="AK38" i="5"/>
  <c r="AK35" i="5"/>
  <c r="BC15" i="5"/>
  <c r="BK15" i="5" s="1"/>
  <c r="AK21" i="5"/>
  <c r="BC21" i="5"/>
  <c r="BK21" i="5" s="1"/>
  <c r="BH25" i="5"/>
  <c r="BH24" i="5"/>
  <c r="AK27" i="5"/>
  <c r="BB15" i="5"/>
  <c r="BF15" i="5" s="1"/>
  <c r="AK15" i="5"/>
  <c r="BH15" i="5"/>
  <c r="AK26" i="5"/>
  <c r="AK46" i="5"/>
  <c r="AK33" i="5"/>
  <c r="BH26" i="5"/>
  <c r="AK43" i="5"/>
  <c r="BC22" i="5"/>
  <c r="BK22" i="5" s="1"/>
  <c r="AK20" i="5"/>
  <c r="BB29" i="5"/>
  <c r="BF29" i="5" s="1"/>
  <c r="AK39" i="5"/>
  <c r="AK18" i="5"/>
  <c r="BB19" i="5"/>
  <c r="BF19" i="5" s="1"/>
  <c r="AK32" i="5"/>
  <c r="AK25" i="5"/>
  <c r="BC26" i="5"/>
  <c r="BK26" i="5" s="1"/>
  <c r="AK44" i="5"/>
  <c r="AK34" i="5"/>
  <c r="BB18" i="5"/>
  <c r="BF18" i="5" s="1"/>
  <c r="AK40" i="5"/>
  <c r="BC24" i="5"/>
  <c r="BK24" i="5" s="1"/>
  <c r="BB20" i="5"/>
  <c r="BF20" i="5" s="1"/>
  <c r="AK36" i="5"/>
  <c r="BB26" i="5"/>
  <c r="BF26" i="5" s="1"/>
  <c r="AK23" i="5"/>
  <c r="AK37" i="5"/>
  <c r="BC18" i="5"/>
  <c r="BK18" i="5" s="1"/>
  <c r="AK24" i="5"/>
  <c r="BB24" i="5"/>
  <c r="BF24" i="5" s="1"/>
  <c r="AK16" i="5"/>
  <c r="BB27" i="5"/>
  <c r="BF27" i="5" s="1"/>
  <c r="AK45" i="5"/>
  <c r="BC19" i="5"/>
  <c r="BK19" i="5" s="1"/>
  <c r="BC23" i="5"/>
  <c r="BK23" i="5" s="1"/>
  <c r="BH16" i="5"/>
  <c r="AK29" i="5"/>
  <c r="AK42" i="5"/>
  <c r="BB16" i="5"/>
  <c r="BF16" i="5" s="1"/>
  <c r="BC20" i="5"/>
  <c r="BK20" i="5" s="1"/>
  <c r="BC17" i="5"/>
  <c r="BK17" i="5" s="1"/>
  <c r="BC28" i="5"/>
  <c r="BK28" i="5" s="1"/>
  <c r="BH23" i="5"/>
  <c r="BC29" i="5"/>
  <c r="BK29" i="5" s="1"/>
  <c r="AK48" i="5"/>
  <c r="BH28" i="5"/>
  <c r="BH27" i="5"/>
  <c r="BC16" i="5"/>
  <c r="BK16" i="5" s="1"/>
  <c r="BB28" i="5"/>
  <c r="BF28" i="5" s="1"/>
  <c r="BH29" i="5"/>
  <c r="BH22" i="5"/>
  <c r="BB22" i="5"/>
  <c r="BF22" i="5" s="1"/>
  <c r="AK17" i="5"/>
  <c r="BB23" i="5"/>
  <c r="BF23" i="5" s="1"/>
  <c r="BH17" i="5"/>
  <c r="AK19" i="5"/>
  <c r="BB17" i="5"/>
  <c r="BF17" i="5" s="1"/>
</calcChain>
</file>

<file path=xl/sharedStrings.xml><?xml version="1.0" encoding="utf-8"?>
<sst xmlns="http://schemas.openxmlformats.org/spreadsheetml/2006/main" count="3492" uniqueCount="1402">
  <si>
    <t>Algemene kenmerken</t>
  </si>
  <si>
    <t>Kenmerken van de boring</t>
  </si>
  <si>
    <t>Monster</t>
  </si>
  <si>
    <t>Classificatie</t>
  </si>
  <si>
    <t>Atterbergsche grenzen</t>
  </si>
  <si>
    <t>Veenclassificatie</t>
  </si>
  <si>
    <t>Korrelverdeling zeefproef en fractieverdeling</t>
  </si>
  <si>
    <t>Kenmerken van de sondering</t>
  </si>
  <si>
    <t>Constant rate of strain proeven (CRS)</t>
  </si>
  <si>
    <t>Samendrukkingsproeven</t>
  </si>
  <si>
    <t>DSS-proeven</t>
  </si>
  <si>
    <t>Triaxiaalproeven single stage</t>
  </si>
  <si>
    <t>Triaxiaalproeven multistage</t>
  </si>
  <si>
    <t>Beschrijving proefresultaten</t>
  </si>
  <si>
    <t>controle berekening terreinspanning</t>
  </si>
  <si>
    <t>Analyse op data met de proevenverzameling tool</t>
  </si>
  <si>
    <t>Boring + monster nummer ID (gebruikt voor identificatie)</t>
  </si>
  <si>
    <t>Algemeen regelnummer</t>
  </si>
  <si>
    <t>Classificatie proeven uitgevoerd</t>
  </si>
  <si>
    <t>Veen classificatie uitgevoerd</t>
  </si>
  <si>
    <t>Korrel verdeling uitgevoerd</t>
  </si>
  <si>
    <t>Sondering uitgevoerd</t>
  </si>
  <si>
    <t>CRS-proef uitgevoerd</t>
  </si>
  <si>
    <t>Samendrukkings proef uitgevoerd</t>
  </si>
  <si>
    <t>DSS-proef uitgevoerd</t>
  </si>
  <si>
    <t>Triaxiaal proef uitgevoerd</t>
  </si>
  <si>
    <t>Opdrachtgever</t>
  </si>
  <si>
    <t>Projectnaam</t>
  </si>
  <si>
    <t>Projectnummer</t>
  </si>
  <si>
    <t>naam Polder Dijk</t>
  </si>
  <si>
    <t>Referentie</t>
  </si>
  <si>
    <t>Regio</t>
  </si>
  <si>
    <t>Type waterkering</t>
  </si>
  <si>
    <t>Aanlegjaar</t>
  </si>
  <si>
    <t>Bodemkaart</t>
  </si>
  <si>
    <t>Geologie</t>
  </si>
  <si>
    <t>Filenaam Geot Profiel</t>
  </si>
  <si>
    <t>Xid</t>
  </si>
  <si>
    <t>Yid</t>
  </si>
  <si>
    <t>Maaiveldniveau</t>
  </si>
  <si>
    <t>Nummer</t>
  </si>
  <si>
    <t>Positie</t>
  </si>
  <si>
    <t>Datum</t>
  </si>
  <si>
    <t>Filenaam PDF</t>
  </si>
  <si>
    <t>Filenaam GEF</t>
  </si>
  <si>
    <t>Bedrijf</t>
  </si>
  <si>
    <t>Boormeester</t>
  </si>
  <si>
    <t>Methode</t>
  </si>
  <si>
    <t>Opname GWS</t>
  </si>
  <si>
    <t>GLG</t>
  </si>
  <si>
    <t>Id</t>
  </si>
  <si>
    <t>Steekmethode</t>
  </si>
  <si>
    <t>Opslagwijze</t>
  </si>
  <si>
    <t>Niveau NAP vanaf</t>
  </si>
  <si>
    <t>Niveau NAP tot</t>
  </si>
  <si>
    <t>Niveau mv vanaf</t>
  </si>
  <si>
    <t>Niveau mv tot</t>
  </si>
  <si>
    <t>Totaal volumegewicht monsterbus</t>
  </si>
  <si>
    <t>Filenaam Digitaal</t>
  </si>
  <si>
    <t>Monsterid</t>
  </si>
  <si>
    <t>Laboratorium classificatie + veenclassificatie</t>
  </si>
  <si>
    <t>Normen</t>
  </si>
  <si>
    <t>Classificatie grond</t>
  </si>
  <si>
    <t>Beschrijving bijzondere bestanddelen of secundaire of tertiaire fracties</t>
  </si>
  <si>
    <t>Monsterniveau</t>
  </si>
  <si>
    <t>Volumegewicht nat</t>
  </si>
  <si>
    <t>Volumegewicht droog</t>
  </si>
  <si>
    <t>Watergehalte</t>
  </si>
  <si>
    <t>Porositeit</t>
  </si>
  <si>
    <t>Poriengetal</t>
  </si>
  <si>
    <t>Verzadigingsgraad</t>
  </si>
  <si>
    <t>Volumegewicht Verzadigd</t>
  </si>
  <si>
    <t>Specifieke massa Inschatting</t>
  </si>
  <si>
    <t>Specifieke massa</t>
  </si>
  <si>
    <t>Gloeiverlies</t>
  </si>
  <si>
    <t>Kalkgehalte</t>
  </si>
  <si>
    <t>Pocketpenetro</t>
  </si>
  <si>
    <t>Torvane</t>
  </si>
  <si>
    <t>Fallinghead K10</t>
  </si>
  <si>
    <t>Constanthead K10</t>
  </si>
  <si>
    <t>Opmerking</t>
  </si>
  <si>
    <t>Vloeigrens Cas</t>
  </si>
  <si>
    <t>Uitrolgrens</t>
  </si>
  <si>
    <t>Plasticiteitsindex</t>
  </si>
  <si>
    <t>Consistentieindex</t>
  </si>
  <si>
    <t>Hoofdnaam</t>
  </si>
  <si>
    <t>Botanisch</t>
  </si>
  <si>
    <t>Verweringsgraad</t>
  </si>
  <si>
    <t>Fijnevezels</t>
  </si>
  <si>
    <t>Grovevezels</t>
  </si>
  <si>
    <t>Hout</t>
  </si>
  <si>
    <t>Asgehalte</t>
  </si>
  <si>
    <t>Laboratorium</t>
  </si>
  <si>
    <t>Mediaan Zandfractie</t>
  </si>
  <si>
    <t>Mediaan Allefracties</t>
  </si>
  <si>
    <t>Grind%</t>
  </si>
  <si>
    <t>Zand%</t>
  </si>
  <si>
    <t>Silt%</t>
  </si>
  <si>
    <t>%grind&lt; 63 mm</t>
  </si>
  <si>
    <t>%grind&lt; 31,5 mm</t>
  </si>
  <si>
    <t>%grind&lt; 16 mm</t>
  </si>
  <si>
    <t>%grind&lt; 8 mm</t>
  </si>
  <si>
    <t>%grind&lt; 4 mm</t>
  </si>
  <si>
    <t>%zand&lt; 2 mm</t>
  </si>
  <si>
    <t>%zand&lt; 1 mm</t>
  </si>
  <si>
    <t>%zand&lt; 0,5 mm</t>
  </si>
  <si>
    <t>%zand&lt; 250 μm</t>
  </si>
  <si>
    <t>%zand&lt; 180 μm</t>
  </si>
  <si>
    <t>%zand&lt; 125 μm</t>
  </si>
  <si>
    <t>%silt&lt; 63 μm</t>
  </si>
  <si>
    <t>%silt&lt; 32 μm</t>
  </si>
  <si>
    <t>%silt&lt; 20 μm</t>
  </si>
  <si>
    <t>%slib&lt; 16 μm</t>
  </si>
  <si>
    <t>%lutum&lt; 2 μm</t>
  </si>
  <si>
    <t>D70</t>
  </si>
  <si>
    <t>D60</t>
  </si>
  <si>
    <t>D50</t>
  </si>
  <si>
    <t>D10</t>
  </si>
  <si>
    <t>Cu Zand</t>
  </si>
  <si>
    <t>Niveau</t>
  </si>
  <si>
    <t>Trajectlengte gemiddeld</t>
  </si>
  <si>
    <t>Gemeten gemiddelde conusweerstand  qc</t>
  </si>
  <si>
    <t>Gemeten gemiddelde wrijvingsweerstand fs</t>
  </si>
  <si>
    <t>Wrijvingsgetal gemiddeld Rf</t>
  </si>
  <si>
    <t>Waterspanning gemiddeld u2</t>
  </si>
  <si>
    <t>Netto conusweerstand = qnet = qt - σv0</t>
  </si>
  <si>
    <t>Conusweerstand correctie gem. watersp. qt</t>
  </si>
  <si>
    <t>Verticale grondspanning σv0</t>
  </si>
  <si>
    <t>Sonderingklasse 1 of 2</t>
  </si>
  <si>
    <t>netto oppervlakteverhoudingscoëfficiënt van de conus = a</t>
  </si>
  <si>
    <t>conusweerstand qc ball weerstandbolsonde</t>
  </si>
  <si>
    <t>Filenaam Spanningspad</t>
  </si>
  <si>
    <t>Norm</t>
  </si>
  <si>
    <t>Terreinspanning</t>
  </si>
  <si>
    <t>Watergehalte voor</t>
  </si>
  <si>
    <t>Watergehalte na proef</t>
  </si>
  <si>
    <t>Verzadiging</t>
  </si>
  <si>
    <t>Temperatuur proef max</t>
  </si>
  <si>
    <t>Temperatuur proef min</t>
  </si>
  <si>
    <t>Proefstukdiameter voor</t>
  </si>
  <si>
    <t>Proefstukhoogte voor</t>
  </si>
  <si>
    <t>Proefstukhoogte na verzadiging</t>
  </si>
  <si>
    <t>Proefstukhoogte na proef</t>
  </si>
  <si>
    <t>Reksnelheid belasten</t>
  </si>
  <si>
    <t>Reksnelheid ontlasten</t>
  </si>
  <si>
    <t>Relaxatieduur</t>
  </si>
  <si>
    <t>Eff spanning start relaxatie</t>
  </si>
  <si>
    <t>Eff spanning eind relaxatie</t>
  </si>
  <si>
    <t>Eff vert spanning start ontlasten</t>
  </si>
  <si>
    <t>Eff vert spanning eind Ontlasten</t>
  </si>
  <si>
    <t>Eff vert spanning eind proef</t>
  </si>
  <si>
    <t>Max rel wateroverspanning proef</t>
  </si>
  <si>
    <t>Grensspanning A</t>
  </si>
  <si>
    <t>Rek bij grensspanning A</t>
  </si>
  <si>
    <t>Bovengrens grensspanning B</t>
  </si>
  <si>
    <t>Isotache A</t>
  </si>
  <si>
    <t>Isotache B</t>
  </si>
  <si>
    <t>Isotache C</t>
  </si>
  <si>
    <t>Filenaam spanningspad</t>
  </si>
  <si>
    <t>Watergehalte initieel</t>
  </si>
  <si>
    <t>Max temperatuur proef</t>
  </si>
  <si>
    <t>Min temperatuur proef</t>
  </si>
  <si>
    <t>Belast ontlaststappen</t>
  </si>
  <si>
    <t>Typeproef</t>
  </si>
  <si>
    <t>Bjerrum grensspanning</t>
  </si>
  <si>
    <t>Bjerrum rek bij grensspanning</t>
  </si>
  <si>
    <t>Bjerrum Cc</t>
  </si>
  <si>
    <t>Bjerrum Cc Trap1 2</t>
  </si>
  <si>
    <t>Bjerrum Cc Trap2 3</t>
  </si>
  <si>
    <t>Bjerrum Cc Trap3 4</t>
  </si>
  <si>
    <t>Bjerrum Cc Trap4 5</t>
  </si>
  <si>
    <t>Bjerrum Cc Trap5 6</t>
  </si>
  <si>
    <t>Bjerrum Cc Trap6 7</t>
  </si>
  <si>
    <t>Bjerrum Cc Trap7 8</t>
  </si>
  <si>
    <t>Bjerrum Cc Trap8 9</t>
  </si>
  <si>
    <t>Bjerrum Cc Trap9 10</t>
  </si>
  <si>
    <t>Bjerrum Cr</t>
  </si>
  <si>
    <t>Bjerrum Cr Trap1 2</t>
  </si>
  <si>
    <t>Bjerrum Cr Trap2 3</t>
  </si>
  <si>
    <t>Bjerrum Cr Trap3 4</t>
  </si>
  <si>
    <t>Bjerrum Cr Trap4 5</t>
  </si>
  <si>
    <t>Bjerrum Cr Trap5 6</t>
  </si>
  <si>
    <t>Bjerrum Cr Trap6 7</t>
  </si>
  <si>
    <t>Bjerrum Cr Trap7 8</t>
  </si>
  <si>
    <t>Bjerrum Sr Trap8 9</t>
  </si>
  <si>
    <t>Bjerrum Rr Trap9 10</t>
  </si>
  <si>
    <t>Bjerrum Calpha</t>
  </si>
  <si>
    <t>Bjerrum Calpha Trap1</t>
  </si>
  <si>
    <t>Bjerrum Calpha Trap2</t>
  </si>
  <si>
    <t>Bjerrum Calpha Trap3</t>
  </si>
  <si>
    <t>Bjerrum Calpha Trap4</t>
  </si>
  <si>
    <t>Bjerrum Calpha Trap5</t>
  </si>
  <si>
    <t>Bjerrum Calpha Trap6</t>
  </si>
  <si>
    <t>Bjerrum Calpha Trap7</t>
  </si>
  <si>
    <t>Bjerrum Calpha Trap8</t>
  </si>
  <si>
    <t>Bjerrum Calpha Trap9</t>
  </si>
  <si>
    <t>Bjerrum Calpha Trap10</t>
  </si>
  <si>
    <t>Bjerrum V0</t>
  </si>
  <si>
    <t>Koppejan Grensspanning</t>
  </si>
  <si>
    <t>Koppejan Rek bij Grensspanning</t>
  </si>
  <si>
    <t>Koppejan C</t>
  </si>
  <si>
    <t>Koppejan C'</t>
  </si>
  <si>
    <t>Koppejan C Trap2 3</t>
  </si>
  <si>
    <t>Koppejan C Trap3 4</t>
  </si>
  <si>
    <t>Koppejan C Trap4 5</t>
  </si>
  <si>
    <t>Koppejan C Trap5 6</t>
  </si>
  <si>
    <t>Koppejan C Trap6 7</t>
  </si>
  <si>
    <t>Koppejan C Trap7 8</t>
  </si>
  <si>
    <t>Koppejan C Trap8 9</t>
  </si>
  <si>
    <t>Koppejan Cp</t>
  </si>
  <si>
    <t>Koppejan C'p</t>
  </si>
  <si>
    <t>Koppejan Cp Trap2 3</t>
  </si>
  <si>
    <t>Koppejan Cp Trap3 4</t>
  </si>
  <si>
    <t>Koppejan Cp Trap4 5</t>
  </si>
  <si>
    <t>Koppejan Cp Trap5 6</t>
  </si>
  <si>
    <t>Koppejan Cp Trap6 7</t>
  </si>
  <si>
    <t>Koppejan Cp Trap7 8</t>
  </si>
  <si>
    <t>Koppejan Cp Trap8 9</t>
  </si>
  <si>
    <t>Koppejan Cs</t>
  </si>
  <si>
    <t>Koppejan C's</t>
  </si>
  <si>
    <t>Koppejan Cs Trap2 3</t>
  </si>
  <si>
    <t>Koppejan Cs Trap3 4</t>
  </si>
  <si>
    <t>Koppejan Cs Trap4 5</t>
  </si>
  <si>
    <t>Koppejan Cs Trap5 6</t>
  </si>
  <si>
    <t>Koppejan Cs Trap6 7</t>
  </si>
  <si>
    <t>Koppejan Cs Trap7 8</t>
  </si>
  <si>
    <t>Koppejan Cs Trap8 9</t>
  </si>
  <si>
    <t>Isotache Grensspanning A</t>
  </si>
  <si>
    <t>Isotache Rek bij Grensspanning A</t>
  </si>
  <si>
    <t>Isotache Bovengrens Grensspanning B</t>
  </si>
  <si>
    <t>Casagrande Cv10 Trap2</t>
  </si>
  <si>
    <t>Casagrande Cv10 Trap3</t>
  </si>
  <si>
    <t>Casagrande Cv10 Trap4</t>
  </si>
  <si>
    <t>Casagrande Cv10 Trap5</t>
  </si>
  <si>
    <t>Casagrande Cv10 Trap6</t>
  </si>
  <si>
    <t>Casagrande Cv10 Trap7</t>
  </si>
  <si>
    <t>Casagrande Cv10 Trap8</t>
  </si>
  <si>
    <t>Casagrande Cv10 Trap9</t>
  </si>
  <si>
    <t>Casagrande K10 Trap2</t>
  </si>
  <si>
    <t>Casagrande K10 Trap3</t>
  </si>
  <si>
    <t>Casagrande K10 Trap4</t>
  </si>
  <si>
    <t>Casagrande K10 Trap5</t>
  </si>
  <si>
    <t>Casagrande K10 Trap6</t>
  </si>
  <si>
    <t>Casagrande K10 Trap7</t>
  </si>
  <si>
    <t>Casagrande K10 Trap8</t>
  </si>
  <si>
    <t>Casagrande K10 Trap9</t>
  </si>
  <si>
    <t>Casagrande Mv Trap2</t>
  </si>
  <si>
    <t>Casagrande Mv Trap3</t>
  </si>
  <si>
    <t>Casagrande Mv Trap4</t>
  </si>
  <si>
    <t>Casagrande Mv Trap5</t>
  </si>
  <si>
    <t>Casagrande Mv Trap6</t>
  </si>
  <si>
    <t>Casagrande Mv Trap7</t>
  </si>
  <si>
    <t>Casagrande Mv Trap8</t>
  </si>
  <si>
    <t>Casagrande Mv Trap9</t>
  </si>
  <si>
    <t>Casagrande Spanning Cv10 Trap2</t>
  </si>
  <si>
    <t>Casagrande Spanning Cv10 Trap3</t>
  </si>
  <si>
    <t>Casagrande Spanning Cv10 Trap4</t>
  </si>
  <si>
    <t>Casagrande Spanning Cv10 Trap5</t>
  </si>
  <si>
    <t>Casagrande Spanning Cv10 Trap6</t>
  </si>
  <si>
    <t>Casagrande Spanning Cv10 Trap7</t>
  </si>
  <si>
    <t>Casagrande Spanning Cv10 Trap8</t>
  </si>
  <si>
    <t>Casagrande Spanning Cv10 Trap9</t>
  </si>
  <si>
    <t>Taylor Cv10 Trap2</t>
  </si>
  <si>
    <t>Taylor Cv10 Trap3</t>
  </si>
  <si>
    <t>Taylor Cv10 Trap4</t>
  </si>
  <si>
    <t>Taylor Cv10 Trap5</t>
  </si>
  <si>
    <t>Taylor Cv10 Trap6</t>
  </si>
  <si>
    <t>Taylor Cv10 Trap7</t>
  </si>
  <si>
    <t>Taylor Cv10 Trap8</t>
  </si>
  <si>
    <t>Taylor Cv10 Trap9</t>
  </si>
  <si>
    <t>Taylor K10 Trap2</t>
  </si>
  <si>
    <t>Taylor K10 Trap3</t>
  </si>
  <si>
    <t>Taylor K10 Trap4</t>
  </si>
  <si>
    <t>Taylor K10 Trap5</t>
  </si>
  <si>
    <t>Taylor K10 Trap6</t>
  </si>
  <si>
    <t>Taylor K10 Trap7</t>
  </si>
  <si>
    <t>Taylor K10 Trap8</t>
  </si>
  <si>
    <t>Taylor K10 Trap9</t>
  </si>
  <si>
    <t>Taylor Mv Trap2</t>
  </si>
  <si>
    <t>Taylor Mv Trap3</t>
  </si>
  <si>
    <t>Taylor Mv Trap4</t>
  </si>
  <si>
    <t>Taylor Mv Trap5</t>
  </si>
  <si>
    <t>Taylor Mv Trap6</t>
  </si>
  <si>
    <t>Taylor Mv Trap7</t>
  </si>
  <si>
    <t>Taylor Mv Trap8</t>
  </si>
  <si>
    <t>Taylor Mv Trap9</t>
  </si>
  <si>
    <t>Taylor Spanning Cv10 Trap2</t>
  </si>
  <si>
    <t>Taylor Spanning Cv10 Trap3</t>
  </si>
  <si>
    <t>Taylor Spanning Cv10 Trap4</t>
  </si>
  <si>
    <t>Taylor Spanning Cv10 Trap5</t>
  </si>
  <si>
    <t>Taylor Spanning Cv10 Trap6</t>
  </si>
  <si>
    <t>Taylor Spanning Cv10 Trap7</t>
  </si>
  <si>
    <t>Taylor Spanning Cv10 Trap8</t>
  </si>
  <si>
    <t>Taylor Spanning Cv10 Trap9</t>
  </si>
  <si>
    <t>Verzadiginggraad voor</t>
  </si>
  <si>
    <t>Poriengetal voor</t>
  </si>
  <si>
    <t>Poriengetal einde consolidatie</t>
  </si>
  <si>
    <t>proefstukdiameter voor</t>
  </si>
  <si>
    <t>proefstukhoogte voor</t>
  </si>
  <si>
    <t>proefstukhoogte na consolidatie</t>
  </si>
  <si>
    <t>Uitgevoerde Correcties</t>
  </si>
  <si>
    <t>Uitvoeringswijze</t>
  </si>
  <si>
    <t>Effectieve vertikale spanning - max consolidatie</t>
  </si>
  <si>
    <t>Effectieve vertikale spanning - einde consolidatie</t>
  </si>
  <si>
    <t>Overconsolidatieratio monster</t>
  </si>
  <si>
    <t>Axiale rek einde consolidatie</t>
  </si>
  <si>
    <t>Belastingsstappen consolidatie</t>
  </si>
  <si>
    <t>Duur consolidatie</t>
  </si>
  <si>
    <t>Afschuifsnelheid %/uur</t>
  </si>
  <si>
    <t>Afschuifsnelheid mm/uur</t>
  </si>
  <si>
    <t>Normaalspanning σ'n bij 2% rek</t>
  </si>
  <si>
    <t>Schuifspanning τ bij 2% rek</t>
  </si>
  <si>
    <t>Normaalspanning σ'n bij 5% rek</t>
  </si>
  <si>
    <t>Schuifspanning τ bij 5% rek</t>
  </si>
  <si>
    <t>Normaalspanning σ'n bij 10% rek</t>
  </si>
  <si>
    <t>Schuifspanning τ bij 10% rek</t>
  </si>
  <si>
    <t>Normaalspanning σ'n bij 15% rek</t>
  </si>
  <si>
    <t>Schuifspanning τ bij 15% rek</t>
  </si>
  <si>
    <t>Normaalspanning σ'n bij 20% rek</t>
  </si>
  <si>
    <t>Schuifspanning τ bij 20% rek</t>
  </si>
  <si>
    <t>Normaalspanning σ'n bij τ piek</t>
  </si>
  <si>
    <t>Maximale schuifspanning τ piek</t>
  </si>
  <si>
    <t>Schuifrek bij max schuifspanning τ piek</t>
  </si>
  <si>
    <t>Normaalspanning σ'n bij τ eind schuifrek</t>
  </si>
  <si>
    <t>Schuifspanning τ bij eind schuifrek</t>
  </si>
  <si>
    <t>Eind schuifrek</t>
  </si>
  <si>
    <t>Databaseveld komt te vervallen</t>
  </si>
  <si>
    <t>Schuifmodulus G50</t>
  </si>
  <si>
    <t>Terreinspanning σv'</t>
  </si>
  <si>
    <t>Verzadigingsgraad voor</t>
  </si>
  <si>
    <t>Type proef</t>
  </si>
  <si>
    <t>Membraancorrectie</t>
  </si>
  <si>
    <t>Overigecorrecties</t>
  </si>
  <si>
    <t>Backpressure</t>
  </si>
  <si>
    <t>Consolidatiewijze</t>
  </si>
  <si>
    <t>Spanningsverhouding stopcr K</t>
  </si>
  <si>
    <t>Stopcriterium consolidatie</t>
  </si>
  <si>
    <t>Gem effectieve spanning σ' - isotrope consolidatie</t>
  </si>
  <si>
    <t>Schuifspanning τ - isotrope consolidatie</t>
  </si>
  <si>
    <t>Gem effectieve spanning σ' - max consolidatie</t>
  </si>
  <si>
    <t>Schuifspanning τ - max consolidatie</t>
  </si>
  <si>
    <t>Gem effectieve spanning σ' - einde consolidatie</t>
  </si>
  <si>
    <t>Schuifspanning τ - einde consolidatie</t>
  </si>
  <si>
    <t>OCR</t>
  </si>
  <si>
    <t>Axialerek consolidatie</t>
  </si>
  <si>
    <t>Volumerek consolidatie</t>
  </si>
  <si>
    <t>Stopcriterium Afschuiven</t>
  </si>
  <si>
    <t>Axialereksnelheid Afschuiven</t>
  </si>
  <si>
    <t>Gem eff spanning σ' bij 2% rek</t>
  </si>
  <si>
    <t>Gem eff spanning σ' bij 5% rek</t>
  </si>
  <si>
    <t>Gem eff spanning σ' bij 15% rek</t>
  </si>
  <si>
    <t>Gem eff spanning σ' bij τ piek</t>
  </si>
  <si>
    <t>Schuifrek bij maximale schuifspanning τ piek</t>
  </si>
  <si>
    <t>Gem eff spanning σ' bij τ eind schuifrek</t>
  </si>
  <si>
    <t>E Undr50</t>
  </si>
  <si>
    <t>Rek bij E Undr50</t>
  </si>
  <si>
    <t>Skempton A</t>
  </si>
  <si>
    <t>Ms Filenaam PDF</t>
  </si>
  <si>
    <t>Ms Filenaam Spanningspad</t>
  </si>
  <si>
    <t>Ms Monsterid</t>
  </si>
  <si>
    <t>Ms Laboratorium</t>
  </si>
  <si>
    <t>Ms consolidatiespanning</t>
  </si>
  <si>
    <t>Ms Rek bij E Undr50</t>
  </si>
  <si>
    <t>Ms E Undr50</t>
  </si>
  <si>
    <t>Ms σ1' 2%</t>
  </si>
  <si>
    <t>Ms σ2' 2%</t>
  </si>
  <si>
    <t>Ms σ3' 2%</t>
  </si>
  <si>
    <t>Ms τ1 2%</t>
  </si>
  <si>
    <t>Ms τ2 2%</t>
  </si>
  <si>
    <t>Ms τ3 2%</t>
  </si>
  <si>
    <t>Ms C 2%</t>
  </si>
  <si>
    <t>Ms Phi 2%</t>
  </si>
  <si>
    <t>Ms σ1' 5%</t>
  </si>
  <si>
    <t>Ms σ2' 5%</t>
  </si>
  <si>
    <t>Ms σ3' 5%</t>
  </si>
  <si>
    <t>Ms τ1 5%</t>
  </si>
  <si>
    <t>Ms τ2 5%</t>
  </si>
  <si>
    <t>Ms τ3 5%</t>
  </si>
  <si>
    <t>Ms C 5%</t>
  </si>
  <si>
    <t>Ms Phi 5%</t>
  </si>
  <si>
    <t>homogeen monster (ja/nee)</t>
  </si>
  <si>
    <t>Bezwijkvorm (tonrond / schuifvlak)</t>
  </si>
  <si>
    <t>kleur</t>
  </si>
  <si>
    <t>transitional soil?</t>
  </si>
  <si>
    <t>score</t>
  </si>
  <si>
    <t>opmerking</t>
  </si>
  <si>
    <t>grondsoort bepaling POP</t>
  </si>
  <si>
    <t>gemiddeld volumegewicht</t>
  </si>
  <si>
    <t>-</t>
  </si>
  <si>
    <t>De naam van de verzameling (klei licht, klei zandig, veen, etc…)</t>
  </si>
  <si>
    <t>Consolidatiespanning uit de TXT proef</t>
  </si>
  <si>
    <t>Consolidatiespanning uit de DSS proef</t>
  </si>
  <si>
    <t>Voorstel consolidatietype (TXT)</t>
  </si>
  <si>
    <t>Consolidatietype handmatig ingevoerd door gebruiker (TXT)</t>
  </si>
  <si>
    <t>Consolidatietype waar mee gerekend wordt (TXT)</t>
  </si>
  <si>
    <t>Voorstel consolidatietype (DSS)</t>
  </si>
  <si>
    <t>Consolidatietype handmatig ingevoerd door gebruiker (DSS)</t>
  </si>
  <si>
    <t>Consolidatietype waar mee gerekend wordt (DSS)</t>
  </si>
  <si>
    <t>Grensspanning die volgt uit de proef</t>
  </si>
  <si>
    <t>POP veld</t>
  </si>
  <si>
    <t>POP veld gemiddeld</t>
  </si>
  <si>
    <t>Voorstel grensspanning</t>
  </si>
  <si>
    <t>Grensspanning handmatig ingevoerd door gebruiker</t>
  </si>
  <si>
    <t>Grensspanning waarmee gerekend wordt</t>
  </si>
  <si>
    <t>OCR (TXT)</t>
  </si>
  <si>
    <t>OCR (DSS)</t>
  </si>
  <si>
    <t>[-]</t>
  </si>
  <si>
    <t>[m]</t>
  </si>
  <si>
    <t>[m NAP]</t>
  </si>
  <si>
    <t>[DD-MM-JJJJ]</t>
  </si>
  <si>
    <t>[kN/m3]</t>
  </si>
  <si>
    <t>[%]</t>
  </si>
  <si>
    <t>[kg/m3]</t>
  </si>
  <si>
    <t>[kPa]</t>
  </si>
  <si>
    <t>[m/s]</t>
  </si>
  <si>
    <t>[mu]</t>
  </si>
  <si>
    <t>[cm]</t>
  </si>
  <si>
    <t>[°C]</t>
  </si>
  <si>
    <t>[mm]</t>
  </si>
  <si>
    <t>[%/uur]</t>
  </si>
  <si>
    <t>[uur]</t>
  </si>
  <si>
    <t>[m2/s]</t>
  </si>
  <si>
    <t>[1/MPa]</t>
  </si>
  <si>
    <t>[mm/uur]</t>
  </si>
  <si>
    <t>[NVT]</t>
  </si>
  <si>
    <t>[MPa]</t>
  </si>
  <si>
    <t>[°]</t>
  </si>
  <si>
    <t>ALG__BORING_MONSTERNR_ID</t>
  </si>
  <si>
    <t>ALG__REGEL</t>
  </si>
  <si>
    <t>ALG__CLASSIFICATIE</t>
  </si>
  <si>
    <t>ALG__VEENCLASSIFICATIE</t>
  </si>
  <si>
    <t>ALG__KORRELVERDELING</t>
  </si>
  <si>
    <t>ALG__SONDEERWAARDE</t>
  </si>
  <si>
    <t>ALG__CRS</t>
  </si>
  <si>
    <t>ALG__SAMENDRUKKING</t>
  </si>
  <si>
    <t>ALG__DSS</t>
  </si>
  <si>
    <t>ALG__TRIAXIAAL</t>
  </si>
  <si>
    <t>ALG_OPDRACHTGEVER</t>
  </si>
  <si>
    <t>ALG_PROJECTNAAM</t>
  </si>
  <si>
    <t>ALG_PROJECTNUMMER</t>
  </si>
  <si>
    <t>ALG_NAAM_POLDER_DIJK</t>
  </si>
  <si>
    <t>ALG_REFERENTIE</t>
  </si>
  <si>
    <t>ALG_REGIO</t>
  </si>
  <si>
    <t>ALG_TYPE_WATERKERING</t>
  </si>
  <si>
    <t>ALG_AANLEGJAAR</t>
  </si>
  <si>
    <t>ALG_BODEMKAART</t>
  </si>
  <si>
    <t>ALG_GEOLOGIE</t>
  </si>
  <si>
    <t>ALG_FILENAAM_GEOT_PROFIEL</t>
  </si>
  <si>
    <t>BORING_XID</t>
  </si>
  <si>
    <t>BORING_YID</t>
  </si>
  <si>
    <t>BORING_MAAIVELDPEIL</t>
  </si>
  <si>
    <t>BORING_NUMMER</t>
  </si>
  <si>
    <t>BORING_POSITIE</t>
  </si>
  <si>
    <t>BORING_DATUM</t>
  </si>
  <si>
    <t>BORING_FILENAAM_PDF</t>
  </si>
  <si>
    <t>BORING_FILENAAM_GEF</t>
  </si>
  <si>
    <t>BORING_BEDRIJF</t>
  </si>
  <si>
    <t>BORING_BOORMEESTER</t>
  </si>
  <si>
    <t>BORING_METHODE</t>
  </si>
  <si>
    <t>BORING_OPNAME_GWS</t>
  </si>
  <si>
    <t>BORING_GLG</t>
  </si>
  <si>
    <t>MONSTER_ID</t>
  </si>
  <si>
    <t>MONSTER_STEEKMETHODE</t>
  </si>
  <si>
    <t>MONSTER_OPSLAGWIJZE</t>
  </si>
  <si>
    <t>MONSTER_NIVEAU_NAP_VANAF</t>
  </si>
  <si>
    <t>MONSTER_NIVEAU_NAP_TOT</t>
  </si>
  <si>
    <t>MONSTER_NIVEAU_MV_VANAF</t>
  </si>
  <si>
    <t>MONSTER_NIVEAU_MV_TOT</t>
  </si>
  <si>
    <t>MONSTER_TOTAAL_VOLUMEGEWICHT</t>
  </si>
  <si>
    <t>CLAS_FILENAAM_PDF</t>
  </si>
  <si>
    <t>CLAS_FILENAAM_DIGITAAL</t>
  </si>
  <si>
    <t>CLAS_MONSTERID</t>
  </si>
  <si>
    <t>CLAS_LABORATORIUM</t>
  </si>
  <si>
    <t>CLAS_NORMEN</t>
  </si>
  <si>
    <t>CLAS_DATUM</t>
  </si>
  <si>
    <t>CLAS_GRONDSOORT</t>
  </si>
  <si>
    <t>CLAS_OVERIGE_BESTANDDELEN</t>
  </si>
  <si>
    <t>CLAS_MONSTERNIVEAU</t>
  </si>
  <si>
    <t>CLAS_VOLUMEGEWICHT_NAT</t>
  </si>
  <si>
    <t>CLAS_VOLUMEGEWICHT_DRG</t>
  </si>
  <si>
    <t>CLAS_WATERGEHALTE</t>
  </si>
  <si>
    <t>CLAS_POROSITEIT</t>
  </si>
  <si>
    <t>CLAS_PORIENGETAL</t>
  </si>
  <si>
    <t>CLAS_VERZADIGINGSGRAAD</t>
  </si>
  <si>
    <t>CLAS_VOLUMEGEWICHT_VERZADIGD</t>
  </si>
  <si>
    <t>CLAS_SPECIFIEKE_MASSA_INSCHATTING</t>
  </si>
  <si>
    <t>CLAS_SPECIFIEKE_MASSA</t>
  </si>
  <si>
    <t>CLAS_GLOEIVERLIES</t>
  </si>
  <si>
    <t>CLAS_KALKGEHALTE</t>
  </si>
  <si>
    <t>CLAS_POCKETPENETRO</t>
  </si>
  <si>
    <t>CLAS_TORVANE</t>
  </si>
  <si>
    <t>CLAS_FALLINGHEAD_K10</t>
  </si>
  <si>
    <t>CLAS_CONSTANTHEAD_K10</t>
  </si>
  <si>
    <t>CLAS_OPMERKING</t>
  </si>
  <si>
    <t>CLAS_AT_VLOEIGRENS_CAS</t>
  </si>
  <si>
    <t>CLAS_AT_UITROLGRENS</t>
  </si>
  <si>
    <t>CLAS_AT_PI</t>
  </si>
  <si>
    <t>CLAS_AT_IC</t>
  </si>
  <si>
    <t>CLAS_VN_FILENAAM_PDF</t>
  </si>
  <si>
    <t>CLAS_VN_FILENAAM_DIGITAAL</t>
  </si>
  <si>
    <t>CLAS_VN_HOOFDNAAM</t>
  </si>
  <si>
    <t>CLAS_VN_BOTANISCH</t>
  </si>
  <si>
    <t>CLAS_VN_VERWERINGSGRAAD</t>
  </si>
  <si>
    <t>CLAS_VN_WATERGEHALTE</t>
  </si>
  <si>
    <t>CLAS_VN_FIJNEVEZELS</t>
  </si>
  <si>
    <t>CLAS_VN_GROVEVEZELS</t>
  </si>
  <si>
    <t>CLAS_VN_HOUT</t>
  </si>
  <si>
    <t>CLAS_VN_GLOEIVERLIES</t>
  </si>
  <si>
    <t>CLAS_VN_ASGEHALTE</t>
  </si>
  <si>
    <t>KV_FILENAAM_PDF</t>
  </si>
  <si>
    <t>KV_FILENAAM_GEF</t>
  </si>
  <si>
    <t>KV_MONSTERID</t>
  </si>
  <si>
    <t>KV_LABORATORIUM</t>
  </si>
  <si>
    <t>KV_NORMEN</t>
  </si>
  <si>
    <t>KV_DATUM</t>
  </si>
  <si>
    <t>KV_GRONDSOORT</t>
  </si>
  <si>
    <t>KV_OVERIGE_BESTANDDELEN</t>
  </si>
  <si>
    <t>KV_MEDIAAN_ZANDFRACTIE</t>
  </si>
  <si>
    <t>KV_MEDIAAN_ALLEFRACTIES</t>
  </si>
  <si>
    <t>KV_GRIND%</t>
  </si>
  <si>
    <t>KV_ZAND%</t>
  </si>
  <si>
    <t>KV_SILT%</t>
  </si>
  <si>
    <t>KV_DOOR_63MM</t>
  </si>
  <si>
    <t>KV_DOOR_31.5MM</t>
  </si>
  <si>
    <t>KV_DOOR_16MM</t>
  </si>
  <si>
    <t>KV_DOOR_8MM</t>
  </si>
  <si>
    <t>KV_DOOR_4MM</t>
  </si>
  <si>
    <t>KV_DOOR_2MM</t>
  </si>
  <si>
    <t>KV_DOOR_1MM</t>
  </si>
  <si>
    <t>KV_DOOR_500MU</t>
  </si>
  <si>
    <t>KV_DOOR_250MU</t>
  </si>
  <si>
    <t>KV_DOOR_180MU</t>
  </si>
  <si>
    <t>KV_DOOR_125MU</t>
  </si>
  <si>
    <t>KV_DOOR_63MU</t>
  </si>
  <si>
    <t>KV_DOOR_32MU</t>
  </si>
  <si>
    <t>KV_DOOR_20MU</t>
  </si>
  <si>
    <t>KV_DOOR_16MU</t>
  </si>
  <si>
    <t>KV_DOOR_2MU</t>
  </si>
  <si>
    <t>KV_D70</t>
  </si>
  <si>
    <t>KV_D60</t>
  </si>
  <si>
    <t>KV_D50</t>
  </si>
  <si>
    <t>KV_D10</t>
  </si>
  <si>
    <t>KV_CU_ZAND</t>
  </si>
  <si>
    <t>CPT_FILENAAM_PDF</t>
  </si>
  <si>
    <t>CPT_FILENAAM_GEF</t>
  </si>
  <si>
    <t>CPT_NIVEAU</t>
  </si>
  <si>
    <t>CPT_TRAJECTLENGTE_GEM</t>
  </si>
  <si>
    <t>CPT_CONUSWEERSTAND_GEM</t>
  </si>
  <si>
    <t>CPT_WRIJVINGSWEERSTAND_GEM</t>
  </si>
  <si>
    <t>CPT_WRIJVINGSGETAL_GEM</t>
  </si>
  <si>
    <t>CPT_WATERSPANNING_GEM</t>
  </si>
  <si>
    <t>CPT_QNET</t>
  </si>
  <si>
    <t>CPT_QT</t>
  </si>
  <si>
    <t>CPT_VO</t>
  </si>
  <si>
    <t>CPT_KLASSE</t>
  </si>
  <si>
    <t>CPT_A_FACTOR</t>
  </si>
  <si>
    <t>CPT_QBALL</t>
  </si>
  <si>
    <t>CRS_FILENAAM_PDF</t>
  </si>
  <si>
    <t>CRS_FILENAAM_SPANNINGSPAD</t>
  </si>
  <si>
    <t>CRS_MONSTERID</t>
  </si>
  <si>
    <t>CRS_LABORATORIUM</t>
  </si>
  <si>
    <t>CRS_NORM</t>
  </si>
  <si>
    <t>CRS_DATUM</t>
  </si>
  <si>
    <t>CRS_GRONDSOORT</t>
  </si>
  <si>
    <t>CRS_OVERIGE_BESTANDDELEN</t>
  </si>
  <si>
    <t>CRS_MONSTERNIVEAU</t>
  </si>
  <si>
    <t>CRS_TERREINSPANNING</t>
  </si>
  <si>
    <t>CRS_VOLUMEGEWICHT_NAT</t>
  </si>
  <si>
    <t>CRS_VOLUMEGEWICHT_DRG</t>
  </si>
  <si>
    <t>CRS_WATERGEHALTE_VOOR</t>
  </si>
  <si>
    <t>CRS_WATERGEHALTE_NA_PROEF</t>
  </si>
  <si>
    <t>CRS_VERZADIGING</t>
  </si>
  <si>
    <t>CRS_TEMPERATUUR_PROEF_MAX</t>
  </si>
  <si>
    <t>CRS_TEMPERATUUR_PROEF_MIN</t>
  </si>
  <si>
    <t>CRS_PROEFSTUKDIAMETER_VOOR</t>
  </si>
  <si>
    <t>CRS_PROEFSTUKHOOGTE_VOOR</t>
  </si>
  <si>
    <t>CRS_PROEFSTUKHOOGTE_NA_VERZADIGING</t>
  </si>
  <si>
    <t>CRS_PROEFSTUKHOOGTE_NA_PROEF</t>
  </si>
  <si>
    <t>CRS_REKSNELHEID_BELASTEN</t>
  </si>
  <si>
    <t>CRS_REKSNELHEID_ONTLASTEN</t>
  </si>
  <si>
    <t>CRS_RELAXATIEDUUR</t>
  </si>
  <si>
    <t>CRS_EFF_SPANNING_START_RELAXATIE</t>
  </si>
  <si>
    <t>CRS_EFF_SPANNING_EIND_RELAXATIE</t>
  </si>
  <si>
    <t>CRS_EFF_VERT_SPANNING_START_ONTLASTEN</t>
  </si>
  <si>
    <t>CRS_EFF_VERT_SPANNING_EIND_ONTLASTEN</t>
  </si>
  <si>
    <t>CRS_EFF_VERT_SPANNING_EIND_PROEF</t>
  </si>
  <si>
    <t>CRS_MAX_REL_WATEROVERSPANNING_PROEF</t>
  </si>
  <si>
    <t>CRS_GRENSSPANNING_A</t>
  </si>
  <si>
    <t>CRS_REK_BIJ_GRENSSPANNING_A</t>
  </si>
  <si>
    <t>CRS_BOVENGRENS_GRENSSPANNING_B</t>
  </si>
  <si>
    <t>CRS_ISOTACHE_A</t>
  </si>
  <si>
    <t>CRS_ISOTACHE_B</t>
  </si>
  <si>
    <t>CRS_ISOTACHE_C</t>
  </si>
  <si>
    <t>SD_FILENAAM_PDF</t>
  </si>
  <si>
    <t>SD_FILENAAM_SPANNINGSPAD</t>
  </si>
  <si>
    <t>SD_MONSTERID</t>
  </si>
  <si>
    <t>SD_LABORATORIUM</t>
  </si>
  <si>
    <t>SD_NORM</t>
  </si>
  <si>
    <t>SD_DATUM</t>
  </si>
  <si>
    <t>SD_GRONDSOORT</t>
  </si>
  <si>
    <t>SD_OVERIGE_BESTANDDELEN</t>
  </si>
  <si>
    <t>SD_MONSTERNIVEAU</t>
  </si>
  <si>
    <t>SD_TERREINSPANNING</t>
  </si>
  <si>
    <t>SD_VOLUMEGEWICHT_NAT</t>
  </si>
  <si>
    <t>SD_VOLUMEGEWICHT_DR</t>
  </si>
  <si>
    <t>SD_WATERGEHALTE_INI</t>
  </si>
  <si>
    <t>SD_WATERGEHALTE_NA_PROEF</t>
  </si>
  <si>
    <t>SD_PORIENGETAL</t>
  </si>
  <si>
    <t>SD_MAX_TEMPERATUUR_PROEF</t>
  </si>
  <si>
    <t>SD_MIN_TEMPERATUUR_PROEF</t>
  </si>
  <si>
    <t>SD_BELAST_ONTLASTSTAPPEN</t>
  </si>
  <si>
    <t>SD_TYPEPROEF</t>
  </si>
  <si>
    <t>SD_BJERRUM_GRENSSPANNING</t>
  </si>
  <si>
    <t>SD_BJERRUM_REK_BIJ_GRENSSPANNING</t>
  </si>
  <si>
    <t>SD_BJERRUM_CC</t>
  </si>
  <si>
    <t>SD_BJERRUM_CC_TRAP1_2</t>
  </si>
  <si>
    <t>SD_BJERRUM_CC_TRAP2_3</t>
  </si>
  <si>
    <t>SD_BJERRUM_CC_TRAP3_4</t>
  </si>
  <si>
    <t>SD_BJERRUM_CC_TRAP4_5</t>
  </si>
  <si>
    <t>SD_BJERRUM_CC_TRAP5_6</t>
  </si>
  <si>
    <t>SD_BJERRUM_CC_TRAP6_7</t>
  </si>
  <si>
    <t>SD_BJERRUM_CC_TRAP7_8</t>
  </si>
  <si>
    <t>SD_BJERRUM_CC_TRAP8_9</t>
  </si>
  <si>
    <t>SD_BJERRUM_CC_TRAP9_10</t>
  </si>
  <si>
    <t>SD_BJERRUM_CR</t>
  </si>
  <si>
    <t>SD_BJERRUM_CR_TRAP1_2</t>
  </si>
  <si>
    <t>SD_BJERRUM_CR_TRAP2_3</t>
  </si>
  <si>
    <t>SD_BJERRUM_CR_TRAP3_4</t>
  </si>
  <si>
    <t>SD_BJERRUM_CR_TRAP4_5</t>
  </si>
  <si>
    <t>SD_BJERRUM_CR_TRAP5_6</t>
  </si>
  <si>
    <t>SD_BJERRUM_CR_TRAP6_7</t>
  </si>
  <si>
    <t>SD_BJERRUM_CR_TRAP7_8</t>
  </si>
  <si>
    <t>SD_BJERRUM_SR_TRAP8_9</t>
  </si>
  <si>
    <t>SD_BJERRUM_RR_TRAP9_10</t>
  </si>
  <si>
    <t>SD_BJERRUM_CALPHA</t>
  </si>
  <si>
    <t>SD_BJERRUM_CALPHA_TRAP1</t>
  </si>
  <si>
    <t>SD_BJERRUM_CALPHA_TRAP2</t>
  </si>
  <si>
    <t>SD_BJERRUM_CALPHA_TRAP3</t>
  </si>
  <si>
    <t>SD_BJERRUM_CALPHA_TRAP4</t>
  </si>
  <si>
    <t>SD_BJERRUM_CALPHA_TRAP5</t>
  </si>
  <si>
    <t>SD_BJERRUM_CALPHA_TRAP6</t>
  </si>
  <si>
    <t>SD_BJERRUM_CALPHA_TRAP7</t>
  </si>
  <si>
    <t>SD_BJERRUM_CALPHA_TRAP8</t>
  </si>
  <si>
    <t>SD_BJERRUM_CALPHA_TRAP9</t>
  </si>
  <si>
    <t>SD_BJERRUM_CALPHA_TRAP10</t>
  </si>
  <si>
    <t>SD_BJERRUM_V0</t>
  </si>
  <si>
    <t>SD_KOPPEJAN_GRENSSPANNING</t>
  </si>
  <si>
    <t>SD_KOPPEJAN_REK_BIJ_GRENSSPANNING</t>
  </si>
  <si>
    <t>SD_KOPPEJAN_C</t>
  </si>
  <si>
    <t>SD_KOPPEJAN_C'</t>
  </si>
  <si>
    <t>SD_KOPPEJAN_C_TRAP2_3</t>
  </si>
  <si>
    <t>SD_KOPPEJAN_C_TRAP3_4</t>
  </si>
  <si>
    <t>SD_KOPPEJAN_C_TRAP4_5</t>
  </si>
  <si>
    <t>SD_KOPPEJAN_C_TRAP5_6</t>
  </si>
  <si>
    <t>SD_KOPPEJAN_C_TRAP6_7</t>
  </si>
  <si>
    <t>SD_KOPPEJAN_C_TRAP7_8</t>
  </si>
  <si>
    <t>SD_KOPPEJAN_C_TRAP8_9</t>
  </si>
  <si>
    <t>SD_KOPPEJAN_CP</t>
  </si>
  <si>
    <t>SD_KOPPEJAN_C'P</t>
  </si>
  <si>
    <t>SD_KOPPEJAN_CP_TRAP2_3</t>
  </si>
  <si>
    <t>SD_KOPPEJAN_CP_TRAP3_4</t>
  </si>
  <si>
    <t>SD_KOPPEJAN_CP_TRAP4_5</t>
  </si>
  <si>
    <t>SD_KOPPEJAN_CP_TRAP5_6</t>
  </si>
  <si>
    <t>SD_KOPPEJAN_CP_TRAP6_7</t>
  </si>
  <si>
    <t>SD_KOPPEJAN_CP_TRAP7_8</t>
  </si>
  <si>
    <t>SD_KOPPEJAN_CP_TRAP8_9</t>
  </si>
  <si>
    <t>SD_KOPPEJAN_CS</t>
  </si>
  <si>
    <t>SD_KOPPEJAN_C'S</t>
  </si>
  <si>
    <t>SD_KOPPEJAN_CS_TRAP2_3</t>
  </si>
  <si>
    <t>SD_KOPPEJAN_CS_TRAP3_4</t>
  </si>
  <si>
    <t>SD_KOPPEJAN_CS_TRAP4_5</t>
  </si>
  <si>
    <t>SD_KOPPEJAN_CS_TRAP5_6</t>
  </si>
  <si>
    <t>SD_KOPPEJAN_CS_TRAP6_7</t>
  </si>
  <si>
    <t>SD_KOPPEJAN_CS_TRAP7_8</t>
  </si>
  <si>
    <t>SD_KOPPEJAN_CS_TRAP8_9</t>
  </si>
  <si>
    <t>SD_ISOTACHE_A</t>
  </si>
  <si>
    <t>SD_ISOTACHE_B</t>
  </si>
  <si>
    <t>SD_ISOTACHE_C</t>
  </si>
  <si>
    <t>SD_ISOTACHE_GRENSSPANNING_A</t>
  </si>
  <si>
    <t>SD_ISOTACHE_REK_BIJ_GRENSSPANNING_A</t>
  </si>
  <si>
    <t>SD_ISOTACHE_BOVENGRENS_GRENSSPANNING_B</t>
  </si>
  <si>
    <t>SD_CASAGRANDE_CV10_TRAP2</t>
  </si>
  <si>
    <t>SD_CASAGRANDE_CV10_TRAP3</t>
  </si>
  <si>
    <t>SD_CASAGRANDE_CV10_TRAP4</t>
  </si>
  <si>
    <t>SD_CASAGRANDE_CV10_TRAP5</t>
  </si>
  <si>
    <t>SD_CASAGRANDE_CV10_TRAP6</t>
  </si>
  <si>
    <t>SD_CASAGRANDE_CV10_TRAP7</t>
  </si>
  <si>
    <t>SD_CASAGRANDE_CV10_TRAP8</t>
  </si>
  <si>
    <t>SD_CASAGRANDE_CV10_TRAP9</t>
  </si>
  <si>
    <t>SD_CASAGRANDE_K10_TRAP2</t>
  </si>
  <si>
    <t>SD_CASAGRANDE_K10_TRAP3</t>
  </si>
  <si>
    <t>SD_CASAGRANDE_K10_TRAP4</t>
  </si>
  <si>
    <t>SD_CASAGRANDE_K10_TRAP5</t>
  </si>
  <si>
    <t>SD_CASAGRANDE_K10_TRAP6</t>
  </si>
  <si>
    <t>SD_CASAGRANDE_K10_TRAP7</t>
  </si>
  <si>
    <t>SD_CASAGRANDE_K10_TRAP8</t>
  </si>
  <si>
    <t>SD_CASAGRANDE_K10_TRAP9</t>
  </si>
  <si>
    <t>SD_CASAGRANDE_MV_TRAP2</t>
  </si>
  <si>
    <t>SD_CASAGRANDE_MV_TRAP3</t>
  </si>
  <si>
    <t>SD_CASAGRANDE_MV_TRAP4</t>
  </si>
  <si>
    <t>SD_CASAGRANDE_MV_TRAP5</t>
  </si>
  <si>
    <t>SD_CASAGRANDE_MV_TRAP6</t>
  </si>
  <si>
    <t>SD_CASAGRANDE_MV_TRAP7</t>
  </si>
  <si>
    <t>SD_CASAGRANDE_MV_TRAP8</t>
  </si>
  <si>
    <t>SD_CASAGRANDE_MV_TRAP9</t>
  </si>
  <si>
    <t>SD_CASAGRANDE_SPANNING_CV10_TRAP2</t>
  </si>
  <si>
    <t>SD_CASAGRANDE_SPANNING_CV10_TRAP3</t>
  </si>
  <si>
    <t>SD_CASAGRANDE_SPANNING_CV10_TRAP4</t>
  </si>
  <si>
    <t>SD_CASAGRANDE_SPANNING_CV10_TRAP5</t>
  </si>
  <si>
    <t>SD_CASAGRANDE_SPANNING_CV10_TRAP6</t>
  </si>
  <si>
    <t>SD_CASAGRANDE_SPANNING_CV10_TRAP7</t>
  </si>
  <si>
    <t>SD_CASAGRANDE_SPANNING_CV10_TRAP8</t>
  </si>
  <si>
    <t>SD_CASAGRANDE_SPANNING_CV10_TRAP9</t>
  </si>
  <si>
    <t>SD_TAYLOR_CV10_TRAP2</t>
  </si>
  <si>
    <t>SD_TAYLOR_CV10_TRAP3</t>
  </si>
  <si>
    <t>SD_TAYLOR_CV10_TRAP4</t>
  </si>
  <si>
    <t>SD_TAYLOR_CV10_TRAP5</t>
  </si>
  <si>
    <t>SD_TAYLOR_CV10_TRAP6</t>
  </si>
  <si>
    <t>SD_TAYLOR_CV10_TRAP7</t>
  </si>
  <si>
    <t>SD_TAYLOR_CV10_TRAP8</t>
  </si>
  <si>
    <t>SD_TAYLOR_CV10_TRAP9</t>
  </si>
  <si>
    <t>SD_TAYLOR_K10_TRAP2</t>
  </si>
  <si>
    <t>SD_TAYLOR_K10_TRAP3</t>
  </si>
  <si>
    <t>SD_TAYLOR_K10_TRAP4</t>
  </si>
  <si>
    <t>SD_TAYLOR_K10_TRAP5</t>
  </si>
  <si>
    <t>SD_TAYLOR_K10_TRAP6</t>
  </si>
  <si>
    <t>SD_TAYLOR_K10_TRAP7</t>
  </si>
  <si>
    <t>SD_TAYLOR_K10_TRAP8</t>
  </si>
  <si>
    <t>SD_TAYLOR_K10_TRAP9</t>
  </si>
  <si>
    <t>SD_TAYLOR_MV_TRAP2</t>
  </si>
  <si>
    <t>SD_TAYLOR_MV_TRAP3</t>
  </si>
  <si>
    <t>SD_TAYLOR_MV_TRAP4</t>
  </si>
  <si>
    <t>SD_TAYLOR_MV_TRAP5</t>
  </si>
  <si>
    <t>SD_TAYLOR_MV_TRAP6</t>
  </si>
  <si>
    <t>SD_TAYLOR_MV_TRAP7</t>
  </si>
  <si>
    <t>SD_TAYLOR_MV_TRAP8</t>
  </si>
  <si>
    <t>SD_TAYLOR_MV_TRAP9</t>
  </si>
  <si>
    <t>SD_TAYLOR_SPANNING_CV10_TRAP2</t>
  </si>
  <si>
    <t>SD_TAYLOR_SPANNING_CV10_TRAP3</t>
  </si>
  <si>
    <t>SD_TAYLOR_SPANNING_CV10_TRAP4</t>
  </si>
  <si>
    <t>SD_TAYLOR_SPANNING_CV10_TRAP5</t>
  </si>
  <si>
    <t>SD_TAYLOR_SPANNING_CV10_TRAP6</t>
  </si>
  <si>
    <t>SD_TAYLOR_SPANNING_CV10_TRAP7</t>
  </si>
  <si>
    <t>SD_TAYLOR_SPANNING_CV10_TRAP8</t>
  </si>
  <si>
    <t>SD_TAYLOR_SPANNING_CV10_TRAP9</t>
  </si>
  <si>
    <t>DSS_FILENAAM_PDF</t>
  </si>
  <si>
    <t>DSS_FILENAAM_SPANNINGSPAD</t>
  </si>
  <si>
    <t>DSS_MONSTERID</t>
  </si>
  <si>
    <t>DSS_LABORATORIUM</t>
  </si>
  <si>
    <t>DSS_NORM</t>
  </si>
  <si>
    <t>DSS_DATUM</t>
  </si>
  <si>
    <t>DSS_GRONDSOORT</t>
  </si>
  <si>
    <t>DSS_OVERIGE_BESTANDDELEN</t>
  </si>
  <si>
    <t>DSS_MONSTERNIVEAU</t>
  </si>
  <si>
    <t>DSS_TERREINSPANNING</t>
  </si>
  <si>
    <t>DSS_VOLUMEGEWICHT_NAT</t>
  </si>
  <si>
    <t>DSS_VOLUMEGEWICHT_DRG</t>
  </si>
  <si>
    <t>DSS_WATERGEHALTE_VOOR</t>
  </si>
  <si>
    <t>DSS_WATERGEHALTE_NA_PROEF</t>
  </si>
  <si>
    <t>DSS_VERZADIGINGGRAAD_VOOR</t>
  </si>
  <si>
    <t>DSS_PORIENGETAL_VOOR</t>
  </si>
  <si>
    <t>DSS_PORIENGETAL_EINDE_CONSOLIDATIE</t>
  </si>
  <si>
    <t>DSS_SPECIFIEKE_MASSA</t>
  </si>
  <si>
    <t>DSS_TEMPERATUUR_PROEF_MAX</t>
  </si>
  <si>
    <t>DSS_TEMPERATUUR_PROEF_MIN</t>
  </si>
  <si>
    <t>DSS_PROEFSTUKDIAMETER_VOOR</t>
  </si>
  <si>
    <t>DSS_PROEFSTUKHOOGTE_VOOR</t>
  </si>
  <si>
    <t>DSS_PROEFSTUKHOOGTE_NA_CONSOLIDATIE</t>
  </si>
  <si>
    <t>DSS_UITGEVOERDE_CORRECTIES</t>
  </si>
  <si>
    <t>DSS_UITVOERINGSWIJZE</t>
  </si>
  <si>
    <t>DSS_MAX_EFF_VERT_SPANNING_CONSOLIDATIE</t>
  </si>
  <si>
    <t>DSS_EFF_VERT_SPANNING_EINDE_CONSOLIDATIE</t>
  </si>
  <si>
    <t>DSS_OCR</t>
  </si>
  <si>
    <t>DSS_AXIALEREK_EINDE_CONSOLIDATIE</t>
  </si>
  <si>
    <t>DSS_BELASTINGSSTAPPEN_CONSOLIDATIE</t>
  </si>
  <si>
    <t>DSS_DUUR_CONSOLIDATIE</t>
  </si>
  <si>
    <t>DSS_AFSCHUIFSNELHEID_%UUR</t>
  </si>
  <si>
    <t>DSS_AFSCHUIFSNELHEID_MMUUR</t>
  </si>
  <si>
    <t>DSS_S_2%</t>
  </si>
  <si>
    <t>DSS_T_2%</t>
  </si>
  <si>
    <t>DSS_S_5%</t>
  </si>
  <si>
    <t>DSS_T_5%</t>
  </si>
  <si>
    <t>DSS_S_10%</t>
  </si>
  <si>
    <t>DSS_T_10%</t>
  </si>
  <si>
    <t>DSS_S_15%</t>
  </si>
  <si>
    <t>DSS_T_15%</t>
  </si>
  <si>
    <t>DSS_S_20%</t>
  </si>
  <si>
    <t>DSS_T_20%</t>
  </si>
  <si>
    <t>DSS_S_BIJ_T_MAX</t>
  </si>
  <si>
    <t>DSS_T_MAX</t>
  </si>
  <si>
    <t>DSS_REK_BIJ_T_MAX</t>
  </si>
  <si>
    <t>DSS_S_BIJ_T_EIND</t>
  </si>
  <si>
    <t>DSS_T_EIND</t>
  </si>
  <si>
    <t>DSS_REK_BIJ_T_EIND</t>
  </si>
  <si>
    <t>DSS_S_BIJ_MAX_S1S3</t>
  </si>
  <si>
    <t>DSS_T_BIJ_MAX_S1S3</t>
  </si>
  <si>
    <t>DSS_REK_BIJ_MAX_S1S3</t>
  </si>
  <si>
    <t>DSS_SCHUIFMODULUS_G50</t>
  </si>
  <si>
    <t>TXT_SS_FILENAAM_PDF</t>
  </si>
  <si>
    <t>TXT_SS_FILENAAM_SPANNINGSPAD</t>
  </si>
  <si>
    <t>TXT_SS_MONSTERID</t>
  </si>
  <si>
    <t>TXT_SS_LABORATORIUM</t>
  </si>
  <si>
    <t>TXT_SS_NORM</t>
  </si>
  <si>
    <t>TXT_SS_DATUM</t>
  </si>
  <si>
    <t>TXT_SS_GRONDSOORT</t>
  </si>
  <si>
    <t>TXT_SS_OVERIGE_BESTANDDELEN</t>
  </si>
  <si>
    <t>TXT_SS_MONSTERNIVEAU</t>
  </si>
  <si>
    <t>TXT_SS_TERREINSPANNING</t>
  </si>
  <si>
    <t>TXT_SS_VOLUMEGEWICHT_NAT</t>
  </si>
  <si>
    <t>TXT_SS_VOLUMEGEWICHT_DRG</t>
  </si>
  <si>
    <t>TXT_SS_WATERGEHALTE_NA_PROEF</t>
  </si>
  <si>
    <t>TXT_SS_WATERGEHALTE_VOOR</t>
  </si>
  <si>
    <t>TXT_SS_VERZADIGINGSGRAAD_VOOR</t>
  </si>
  <si>
    <t>TXT_SS_PORIENGETAL_VOOR</t>
  </si>
  <si>
    <t>TXT_SS_SPECIFIEKE_MASSA</t>
  </si>
  <si>
    <t>TXT_SS_TEMPERATUUR_PROEF_MAX</t>
  </si>
  <si>
    <t>TXT_SS_TEMPERATUUR_PROEF_MIN</t>
  </si>
  <si>
    <t>TXT_SS_PROEFSTUKDIAMETER_VOOR</t>
  </si>
  <si>
    <t>TXT_SS_PROEFSTUKHOOGTE_VOOR</t>
  </si>
  <si>
    <t>TXT_SS_TYPE_PROEF</t>
  </si>
  <si>
    <t>TXT_SS_MEMBRAANCORRECTIE</t>
  </si>
  <si>
    <t>TXT_SS_OVERIGECORRECTIES</t>
  </si>
  <si>
    <t>TXT_SS_BACKPRESSURE</t>
  </si>
  <si>
    <t>TXT_SS_CONSOLIDATIEWIJZE</t>
  </si>
  <si>
    <t>TXT_SS_SPANNINGSVERHOUDING_STOPCR_K</t>
  </si>
  <si>
    <t>TXT_SS_STOPCRITERIUM_CONSOLIDATIE</t>
  </si>
  <si>
    <t>TXT_SS_S'_ISOTROOP_CONSOLIDATIE</t>
  </si>
  <si>
    <t>TXT_SS_T_ISOTROOP_CONSOLIDATIE</t>
  </si>
  <si>
    <t>TXT_SS_S'_MAX_CONSOLIDATIE</t>
  </si>
  <si>
    <t>TXT_SS_T_MAX_CONSOLIDATIE</t>
  </si>
  <si>
    <t>TXT_SS_S'_EIND_CONSOLIDATIE</t>
  </si>
  <si>
    <t>TXT_SS_T_EIND_CONSOLIDATIE</t>
  </si>
  <si>
    <t>TXT_SS_OCR</t>
  </si>
  <si>
    <t>TXT_SS_AXIALEREK_CONSOLIDATIE</t>
  </si>
  <si>
    <t>TXT_SS_VOLUMEREK_CONSOLIDATIE</t>
  </si>
  <si>
    <t>TXT_SS_STOPCRITERIUM_AFSCHUIVEN</t>
  </si>
  <si>
    <t>TXT_SS_AXIALEREKSNELHEID_AFSCHUIVEN</t>
  </si>
  <si>
    <t>TXT_SS_S'_2%</t>
  </si>
  <si>
    <t>TXT_SS_T_2%</t>
  </si>
  <si>
    <t>TXT_SS_S'_5%</t>
  </si>
  <si>
    <t>TXT_SS_T_5%</t>
  </si>
  <si>
    <t>TXT_SS_S'_15%</t>
  </si>
  <si>
    <t>TXT_SS_T_15%</t>
  </si>
  <si>
    <t>TXT_SS_S'_BIJ_T_PIEK</t>
  </si>
  <si>
    <t>TXT_SS_T_PIEK</t>
  </si>
  <si>
    <t>TXT_SS_REK_BIJ_T_PIEK</t>
  </si>
  <si>
    <t>TXT_SS_S'_BIJ_T_EIND</t>
  </si>
  <si>
    <t>TXT_SS_T_EIND</t>
  </si>
  <si>
    <t>TXT_SS_REK_BIJ_T_EIND</t>
  </si>
  <si>
    <t>TXT_SS_E_UNDR50</t>
  </si>
  <si>
    <t>TXT_SS_REK_BIJ_E_UNDR50</t>
  </si>
  <si>
    <t>TXT_SS_SKEMPTON_A</t>
  </si>
  <si>
    <t>TXT_MS_FILENAAM_PDF</t>
  </si>
  <si>
    <t>TXT_MS_FILENAAM_SPANNINGSPAD</t>
  </si>
  <si>
    <t>TXT_MS_MONSTERID</t>
  </si>
  <si>
    <t>TXT_MS_LABORATORIUM</t>
  </si>
  <si>
    <t>TXT_MS_CONSOLIDATIESPANNING</t>
  </si>
  <si>
    <t>TXT_MS_REK_BIJ_E_UNDR50</t>
  </si>
  <si>
    <t>TXT_MS_E_UNDR50</t>
  </si>
  <si>
    <t>TXT_MS_S1'_2%</t>
  </si>
  <si>
    <t>TXT_MS_S2'_2%</t>
  </si>
  <si>
    <t>TXT_MS_S3'_2%</t>
  </si>
  <si>
    <t>TXT_MS_T1_2%</t>
  </si>
  <si>
    <t>TXT_MS_T2_2%</t>
  </si>
  <si>
    <t>TXT_MS_T3_2%</t>
  </si>
  <si>
    <t>TXT_MS_C_2%</t>
  </si>
  <si>
    <t>TXT_MS_PHI_2%</t>
  </si>
  <si>
    <t>TXT_MS_S1'_5%</t>
  </si>
  <si>
    <t>TXT_MS_S2'_5%</t>
  </si>
  <si>
    <t>TXT_MS_S3'_5%</t>
  </si>
  <si>
    <t>TXT_MS_T1_5%</t>
  </si>
  <si>
    <t>TXT_MS_T2_5%</t>
  </si>
  <si>
    <t>TXT_MS_T3_5%</t>
  </si>
  <si>
    <t>TXT_MS_C_5%</t>
  </si>
  <si>
    <t>TXT_MS_PHI_5%</t>
  </si>
  <si>
    <t>CEL_FILENAAM_PDF</t>
  </si>
  <si>
    <t>CEL_FILENAAM_SPANNINGSPAD</t>
  </si>
  <si>
    <t>CEL_PHI1</t>
  </si>
  <si>
    <t>CEL_C1</t>
  </si>
  <si>
    <t>CEL_PHI2</t>
  </si>
  <si>
    <t>CEL_C2</t>
  </si>
  <si>
    <t>CEL_PHI3</t>
  </si>
  <si>
    <t>CEL_C3</t>
  </si>
  <si>
    <t>CEL_PHI4</t>
  </si>
  <si>
    <t>CEL_C4</t>
  </si>
  <si>
    <t>CEL_PHI5</t>
  </si>
  <si>
    <t>CEL_C5</t>
  </si>
  <si>
    <t>CEL_EINDSPANNING</t>
  </si>
  <si>
    <t>PV_NAAM</t>
  </si>
  <si>
    <t>PV_OPMERKING</t>
  </si>
  <si>
    <t>ANA_TERREINSPANNING</t>
  </si>
  <si>
    <t>ANA_TXT_MAX_VERTICALE_CONSOLIDATIE_SPANNING</t>
  </si>
  <si>
    <t>ANA_DSS_MAX_CONSOLIDATIE_SPANNING</t>
  </si>
  <si>
    <t>ANA_TXT_CONSOLIDATIE_TYPE_VOORSTEL</t>
  </si>
  <si>
    <t>ANA_TXT_CONSOLIDATIE_TYPE_HANDMATIG</t>
  </si>
  <si>
    <t>ANA_TXT_CONSOLIDATIE_TYPE_REKEN</t>
  </si>
  <si>
    <t>ANA_DSS_CONSOLIDATIE_TYPE_VOORSTEL</t>
  </si>
  <si>
    <t>ANA_DSS_CONSOLIDATIE_TYPE_HANDMATIG</t>
  </si>
  <si>
    <t>ANA_DSS_CONSOLIDATIE_TYPE_REKEN</t>
  </si>
  <si>
    <t>ANA_GRENSSPANNING_PROEF</t>
  </si>
  <si>
    <t>ANA_POP_VELD</t>
  </si>
  <si>
    <t>ANA_POP_VELD_GEMIDDELD</t>
  </si>
  <si>
    <t>ANA_GRENSSPANNING_VOORSTEL</t>
  </si>
  <si>
    <t>ANA_GRENSSPANNING_HANDMATIG</t>
  </si>
  <si>
    <t>ANA_GRENSSPANNING_REKEN</t>
  </si>
  <si>
    <t>OCR_TXT</t>
  </si>
  <si>
    <t>OCR_DSS</t>
  </si>
  <si>
    <t>Resultaten C-Phi</t>
  </si>
  <si>
    <t>Resultaat ID</t>
  </si>
  <si>
    <t>Verzameling</t>
  </si>
  <si>
    <t>Rek percentage</t>
  </si>
  <si>
    <t>Type analyse</t>
  </si>
  <si>
    <t>a1 (cohesie gemiddeld)</t>
  </si>
  <si>
    <t>a2 (tan phi gemiddeld)</t>
  </si>
  <si>
    <t>a1 (cohesie kar)</t>
  </si>
  <si>
    <t>a2 (tan phi kar)</t>
  </si>
  <si>
    <t>Partiële materiaalfactor phi</t>
  </si>
  <si>
    <t>Partiële materiaalfactor cohesie</t>
  </si>
  <si>
    <t>Type verzameling (regionaal of lokaal)</t>
  </si>
  <si>
    <t xml:space="preserve">Cohesie gemiddeld </t>
  </si>
  <si>
    <t xml:space="preserve">Phi gemiddeld </t>
  </si>
  <si>
    <t xml:space="preserve">Cohesie karakteristiek </t>
  </si>
  <si>
    <t xml:space="preserve">Phi karakteristiek </t>
  </si>
  <si>
    <t>Standaarddeviatie cohesie (voor invoer D-stability)</t>
  </si>
  <si>
    <t>Standaarddeviatie phi (voor invoer D-stability)</t>
  </si>
  <si>
    <t>Gemiddelde volumegewicht water van de verzameling</t>
  </si>
  <si>
    <t>Standaarddeviatie volumegewicht water van de verzameling</t>
  </si>
  <si>
    <t>Gemiddeld watergehalte</t>
  </si>
  <si>
    <t>Standaarddeviatie watergehalte</t>
  </si>
  <si>
    <t>Timestamp van wanneer de resultaten gegenereerd zijn</t>
  </si>
  <si>
    <t>[graden]</t>
  </si>
  <si>
    <t>PV_RESULTAAT_ID</t>
  </si>
  <si>
    <t>PV_REK</t>
  </si>
  <si>
    <t>PV_TYPE_PROEF</t>
  </si>
  <si>
    <t>PV_ANALYSE</t>
  </si>
  <si>
    <t>PV_TYPEVERZAMELING</t>
  </si>
  <si>
    <t>PV_WATERGEHALTE_GEM</t>
  </si>
  <si>
    <t>PV_WATERGEHALTE_SD</t>
  </si>
  <si>
    <t>Timestamp</t>
  </si>
  <si>
    <t>Resultaten SHANSEP</t>
  </si>
  <si>
    <t>a1 (snijpunt y-as gemiddeld)</t>
  </si>
  <si>
    <t>a2 (s gemiddeld)</t>
  </si>
  <si>
    <t>m gemiddeld</t>
  </si>
  <si>
    <t>POP gemiddeld</t>
  </si>
  <si>
    <t>a1 (snijpunt y-as) karakteristiek</t>
  </si>
  <si>
    <t>a2 (s) karakteristiek</t>
  </si>
  <si>
    <t>m karakteristiek</t>
  </si>
  <si>
    <t>POP karakteristiek</t>
  </si>
  <si>
    <t>a2 (s) standaarddeviatie voor invoer in D-stability</t>
  </si>
  <si>
    <t>m standaarddeviatie voor invoer in D-stability</t>
  </si>
  <si>
    <t>POP standaarddeviatie voor invoer in D-stability</t>
  </si>
  <si>
    <t>Resultaten SU-tabel m</t>
  </si>
  <si>
    <t>a1 gemiddeld</t>
  </si>
  <si>
    <t>a2 gemiddeld</t>
  </si>
  <si>
    <t>svgm gemiddeld</t>
  </si>
  <si>
    <t>a2 karakteristiek</t>
  </si>
  <si>
    <t>svgm karakteristiek</t>
  </si>
  <si>
    <t>vc fit karakteristiek</t>
  </si>
  <si>
    <t>vc lognormale standaarddeviatie</t>
  </si>
  <si>
    <t>STEYX</t>
  </si>
  <si>
    <t>SU-tabel eerste waarde s'v</t>
  </si>
  <si>
    <t>SU-tabel tweede waarde s'v</t>
  </si>
  <si>
    <t>SU-tabel derde waarde s'v</t>
  </si>
  <si>
    <t>SU-tabel vierde waarde s'v</t>
  </si>
  <si>
    <t>SU-tabel vijfde waarde s'v</t>
  </si>
  <si>
    <t>SU-tabel zesde waarde s'v</t>
  </si>
  <si>
    <t>SU-tabel zevende waarde s'v</t>
  </si>
  <si>
    <t>SU-tabel eerste waarde su gemiddeld</t>
  </si>
  <si>
    <t>SU-tabel tweede waarde su gemiddeld</t>
  </si>
  <si>
    <t>SU-tabel derde waarde su gemiddeld</t>
  </si>
  <si>
    <t>SU-tabel vierde waarde su gemiddeld</t>
  </si>
  <si>
    <t>SU-tabel vijfde waarde su gemiddeld</t>
  </si>
  <si>
    <t>SU-tabel zesde waarde su gemiddeld</t>
  </si>
  <si>
    <t>SU-tabel zevende waarde su gemiddeld</t>
  </si>
  <si>
    <t>SU-tabel eerste waarde su karakteristiek</t>
  </si>
  <si>
    <t>SU-tabel tweede waarde su karakteristiek</t>
  </si>
  <si>
    <t>SU-tabel derde waarde su karakteristiek</t>
  </si>
  <si>
    <t>SU-tabel vierde waarde su karakteristiek</t>
  </si>
  <si>
    <t>SU-tabel vijfde waarde su karakteristiek</t>
  </si>
  <si>
    <t>SU-tabel zesde waarde su karakteristiek</t>
  </si>
  <si>
    <t>SU-tabel zevende waarde su karakteristiek</t>
  </si>
  <si>
    <t>SU-tabel</t>
  </si>
  <si>
    <t>PV_A1_COH_GEM</t>
  </si>
  <si>
    <t>PV_e_a1_GEM</t>
  </si>
  <si>
    <t>PV_e_a2_GEM</t>
  </si>
  <si>
    <t>PV_svgm_GEM</t>
  </si>
  <si>
    <t>PV_m_GEM</t>
  </si>
  <si>
    <t>PV_a1_KAR</t>
  </si>
  <si>
    <t>PV_a2_KAR</t>
  </si>
  <si>
    <t>PV_svgm_KAR</t>
  </si>
  <si>
    <t>PV_m_KAR</t>
  </si>
  <si>
    <t>PV_vc_FIT_KAR</t>
  </si>
  <si>
    <t>PV_STDEV_LOGN_vc</t>
  </si>
  <si>
    <t>PV_STEYX</t>
  </si>
  <si>
    <t>PV_VGWNAT_GEM</t>
  </si>
  <si>
    <t>PV_VGWNAT_SD</t>
  </si>
  <si>
    <t>SU-tabel s'v 1</t>
  </si>
  <si>
    <t>SU-tabel s'v 2</t>
  </si>
  <si>
    <t>SU-tabel s'v 3</t>
  </si>
  <si>
    <t>SU-tabel s'v 4</t>
  </si>
  <si>
    <t>SU-tabel s'v 5</t>
  </si>
  <si>
    <t>SU-tabel s'v 6</t>
  </si>
  <si>
    <t>SU-tabel s'v 7</t>
  </si>
  <si>
    <t>SU-tabel su_gem 1</t>
  </si>
  <si>
    <t>SU-tabel su_gem 2</t>
  </si>
  <si>
    <t>SU-tabel su_gem 3</t>
  </si>
  <si>
    <t>SU-tabel su_gem 4</t>
  </si>
  <si>
    <t>SU-tabel su_gem 5</t>
  </si>
  <si>
    <t>SU-tabel su_gem 6</t>
  </si>
  <si>
    <t>SU-tabel su_gem 7</t>
  </si>
  <si>
    <t>SU-tabel su_kar 1</t>
  </si>
  <si>
    <t>SU-tabel su_kar 2</t>
  </si>
  <si>
    <t>SU-tabel su_kar 3</t>
  </si>
  <si>
    <t>SU-tabel su_kar 4</t>
  </si>
  <si>
    <t>SU-tabel su_kar 5</t>
  </si>
  <si>
    <t>SU-tabel su_kar 6</t>
  </si>
  <si>
    <t>SU-tabel su_kar 7</t>
  </si>
  <si>
    <t>PV_A1_SNIJPUNT_YAS_GEM</t>
  </si>
  <si>
    <t>PV_A2_S_GEM</t>
  </si>
  <si>
    <t>PV_POP_GEM</t>
  </si>
  <si>
    <t>PV_A1_SNIJPUNT_YAS_KAR</t>
  </si>
  <si>
    <t>PV_A2_S_KAR</t>
  </si>
  <si>
    <t>PV_POP_KAR</t>
  </si>
  <si>
    <t>PV_S_SD_DSTAB</t>
  </si>
  <si>
    <t>PV_m_SD_DSTAB</t>
  </si>
  <si>
    <t>PV_POP_SD_DSTAB</t>
  </si>
  <si>
    <t>PV_A2_TAN_PHI_GEM</t>
  </si>
  <si>
    <t>PV_A1_COH_KAR</t>
  </si>
  <si>
    <t>PV_A2_TAN_PHI_KAR</t>
  </si>
  <si>
    <t>PV_PARTPHI</t>
  </si>
  <si>
    <t>PV_PARTCOH</t>
  </si>
  <si>
    <t>PV_COH_GEM</t>
  </si>
  <si>
    <t>PV_PHI_GEM</t>
  </si>
  <si>
    <t>PV_COH_KAR</t>
  </si>
  <si>
    <t>PV_PHI_KAR</t>
  </si>
  <si>
    <t>PV_COH_SD_DSTAB</t>
  </si>
  <si>
    <t>PV_PHI_SD_DSTAB</t>
  </si>
  <si>
    <t>Plak in kolom A de regels met proeven die beoordeeld moeten worden</t>
  </si>
  <si>
    <t>categorieën:</t>
  </si>
  <si>
    <t>Geef het pad op met de locaties van de PDF bestanden met de proefresultaten via tabblad 'Hulp' (cel B3 t/m B5) om de hyperlinks te activeren.</t>
  </si>
  <si>
    <t>NC &lt;</t>
  </si>
  <si>
    <t>oplopend &gt;</t>
  </si>
  <si>
    <t>handmatig invullen</t>
  </si>
  <si>
    <t>laag &lt;</t>
  </si>
  <si>
    <t>licht OC</t>
  </si>
  <si>
    <t>0,80 tot 1,25</t>
  </si>
  <si>
    <t>constant</t>
  </si>
  <si>
    <t>1,10 tot 0,9</t>
  </si>
  <si>
    <t>middel</t>
  </si>
  <si>
    <t>OC &gt;</t>
  </si>
  <si>
    <t>aflopend &lt;</t>
  </si>
  <si>
    <t>ID en toegekende verzameling</t>
  </si>
  <si>
    <t>Lokatie</t>
  </si>
  <si>
    <t>Grondeigenschappen</t>
  </si>
  <si>
    <t>Triaxiaalproeven</t>
  </si>
  <si>
    <t>CRS-proeven</t>
  </si>
  <si>
    <t>Consolidatiefase triaxiaalproeven</t>
  </si>
  <si>
    <t>Gemeten eindsterkte</t>
  </si>
  <si>
    <t>Grensspanning, POP en OCR</t>
  </si>
  <si>
    <t>Beoordeling CRS proef</t>
  </si>
  <si>
    <t>Beoordeling triaxiaalproef</t>
  </si>
  <si>
    <t>hoog &gt;</t>
  </si>
  <si>
    <t>OC sterk &gt;</t>
  </si>
  <si>
    <t>sterk aflopend &lt;</t>
  </si>
  <si>
    <t>Beoordeling DSS proef</t>
  </si>
  <si>
    <t>POP reken</t>
  </si>
  <si>
    <t>PDF naam</t>
  </si>
  <si>
    <t>Hyperlink naar PDF CRS-proeven, geef in tabblad [hulp] de map op waar de pdf bestanden zijn opgeslagen</t>
  </si>
  <si>
    <t>Gevoelig voor methode afleiding grensspanning</t>
  </si>
  <si>
    <t>Score betrouwbaarheid grensspanning, onregelmatigheden</t>
  </si>
  <si>
    <t>Toelichting, bij onbetrouwbare grensspanning,  handmatig invoeren o.b.v. overige CRS proeven</t>
  </si>
  <si>
    <t>Hyperlink naar PDF triaxiaalproeven, geef in tabblad [hulp] de map op waar de pdf bestanden zijn opgeslagen</t>
  </si>
  <si>
    <t>Is consolidatie volledig?</t>
  </si>
  <si>
    <t xml:space="preserve">Afname dikte tijdens consolidatiefase. </t>
  </si>
  <si>
    <t>Score consolidatiefase</t>
  </si>
  <si>
    <t>Toelichting bij score</t>
  </si>
  <si>
    <t>Verhouding s' BIJ_T_EIND / EIND_CONSOLIDATIE</t>
  </si>
  <si>
    <t>Verhouding t TXT_SS_T_EIND / TXT_SS_T_5%</t>
  </si>
  <si>
    <t xml:space="preserve">Gedrag tijdens proef </t>
  </si>
  <si>
    <t>S-ratio eindrek</t>
  </si>
  <si>
    <t>s'- t curve, mate van NC/OC gedrag in lijn met OCR en type proef (NC/OC), beweging richting critical state line, onregelmatigheden?</t>
  </si>
  <si>
    <t>Waterspanning - schuifrek, gedrag na initiele toename (oplopend &gt;15%, constant -15%/15%, aflopend &lt;15%, sterk aflopend &lt;50%</t>
  </si>
  <si>
    <t>Deviatorspanning - 
vert schuifrek, oplopend, constant, aflopend, onregelmatigheden?</t>
  </si>
  <si>
    <t>Bezwijkvorm, tonrond, afschuiving en mate van vervorming</t>
  </si>
  <si>
    <t>Monsterbeschrijving, homogeen, heterogeen, gelaagd etc.</t>
  </si>
  <si>
    <t>Eindscore</t>
  </si>
  <si>
    <t>Opmerking bij slechte proeven</t>
  </si>
  <si>
    <t>Bespreken</t>
  </si>
  <si>
    <t>[m-mv]</t>
  </si>
  <si>
    <t>[ja/nee]</t>
  </si>
  <si>
    <t>[laag/middel/hoog]</t>
  </si>
  <si>
    <t>[goed/matig/slecht]</t>
  </si>
  <si>
    <t>Link CRS-proef uitwerking</t>
  </si>
  <si>
    <t>Link Triaxiaalproef uitwerking</t>
  </si>
  <si>
    <t>Gedrag</t>
  </si>
  <si>
    <t>NC/OC</t>
  </si>
  <si>
    <t>s'-t curve</t>
  </si>
  <si>
    <t>waterspanningverloop - rek</t>
  </si>
  <si>
    <t>sterkte - rek</t>
  </si>
  <si>
    <t>Bezwijkvorm</t>
  </si>
  <si>
    <t>Homogeniteit</t>
  </si>
  <si>
    <t>Kleur</t>
  </si>
  <si>
    <t>Goed</t>
  </si>
  <si>
    <t>oplopend</t>
  </si>
  <si>
    <t>afschuiving, beperkte vervorming</t>
  </si>
  <si>
    <t>Matig homogeen</t>
  </si>
  <si>
    <t>Grijs</t>
  </si>
  <si>
    <t>Matig</t>
  </si>
  <si>
    <t xml:space="preserve">constant </t>
  </si>
  <si>
    <t>Homogeen</t>
  </si>
  <si>
    <t>afschuiving, sterke vervorming</t>
  </si>
  <si>
    <t>Sterk gelaagd</t>
  </si>
  <si>
    <t>Grijs/bruin</t>
  </si>
  <si>
    <t>Slecht</t>
  </si>
  <si>
    <t>tonrond, sterke vervorming</t>
  </si>
  <si>
    <t>#####</t>
  </si>
  <si>
    <t>Voorbeeld beoordelingsheet laboratoriumproeven</t>
  </si>
  <si>
    <t>B01-AL</t>
  </si>
  <si>
    <t>Regionaal</t>
  </si>
  <si>
    <t>B01-AL01</t>
  </si>
  <si>
    <t>AL</t>
  </si>
  <si>
    <t>HA</t>
  </si>
  <si>
    <t>Pulsboor</t>
  </si>
  <si>
    <t>3-162</t>
  </si>
  <si>
    <t>Koelruimte 10°C en 85% luchtvochtigheid</t>
  </si>
  <si>
    <t>Klei, zandig, zwak, organisch, zwak, grijs, neutraal, Pulsinstallatie machinaal</t>
  </si>
  <si>
    <t>zwak zandig, zwak organisch</t>
  </si>
  <si>
    <t>OED_CRS19)G250495_B01-AL01_3-162.pdf</t>
  </si>
  <si>
    <t>B01-AL01_3-162</t>
  </si>
  <si>
    <t xml:space="preserve">ASTM 4168 M </t>
  </si>
  <si>
    <t>TX17)GA250495_B01-AL01-3-162_Greeuw_V01.pdf</t>
  </si>
  <si>
    <t>TX17)_GA250495_B01-AL01-3-162 GDSTAS_N2_ASCII.txt</t>
  </si>
  <si>
    <t>NEN-EN-ISO 17892-9</t>
  </si>
  <si>
    <t>CU</t>
  </si>
  <si>
    <t>Greeuw, Deltares</t>
  </si>
  <si>
    <t>eerst isotroop en vervolgens anisotroop</t>
  </si>
  <si>
    <t>obv eind consolidatie / obv maximale consolidatietijd</t>
  </si>
  <si>
    <t>OC</t>
  </si>
  <si>
    <t>9-525</t>
  </si>
  <si>
    <t>Klei, zandig, zwak, organisch, zwak, plantenresten, weinig, grijs, neutraal, Pulsinstallatie machinaal</t>
  </si>
  <si>
    <t>zwak zandig, zwak organisch, weinig plantenresten</t>
  </si>
  <si>
    <t>OED_CRS20)GA250495_B01-AL01_9-525.pdf</t>
  </si>
  <si>
    <t>B01-AL01_9-525</t>
  </si>
  <si>
    <t>TX18)GA250495_B01-AL01-9-525_Greeuw_V01.pdf</t>
  </si>
  <si>
    <t>TX18)_GA250495_B01-AL01-9-525 GDSTAS_N3_ASCII.txt</t>
  </si>
  <si>
    <t>B01-K</t>
  </si>
  <si>
    <t>B01-K01</t>
  </si>
  <si>
    <t>KR</t>
  </si>
  <si>
    <t>8-K405</t>
  </si>
  <si>
    <t>Veen, kleiïg, bruin, donker, Pulsinstallatie machinaal</t>
  </si>
  <si>
    <t>kleiïg</t>
  </si>
  <si>
    <t>OED_CRS30)GA250495_B01-K01_8-K405.pdf</t>
  </si>
  <si>
    <t>B01-K01_8-K405</t>
  </si>
  <si>
    <t>DSS7)GA250495_B01-K01_8-K405.pdf</t>
  </si>
  <si>
    <t>DSS7)GA250495_B01-K01_8-K405_ASCII.txt</t>
  </si>
  <si>
    <t>ASTM D6528</t>
  </si>
  <si>
    <t>Conform 1207808-007-GEO-0002-v3-r-Dijken op Veen II en 1230090-019-GEO-0002-v03-r-Protocol laboratoriumproeven voor grondonderzoek aan waterkeringen</t>
  </si>
  <si>
    <t>Constante hoogte</t>
  </si>
  <si>
    <t>16-4452</t>
  </si>
  <si>
    <t>OED_CRS22)GA250495_B01-K01_16-4452.pdf</t>
  </si>
  <si>
    <t>B01-K01_16-4452</t>
  </si>
  <si>
    <t>TX23)GA250495_B01-K01-16-4452_Greeuw_V01.pdf</t>
  </si>
  <si>
    <t>TX23)_GA250495_B01-K01-16-4452 GDSTAS_N1_ASCII.txt</t>
  </si>
  <si>
    <t>B01-K02</t>
  </si>
  <si>
    <t>8-505</t>
  </si>
  <si>
    <t>Veen, kleiïg, bruin, donker, Pulsinstallatie machinaal, Laag</t>
  </si>
  <si>
    <t>DSS9)GA250495_B01-K02_8-505.pdf</t>
  </si>
  <si>
    <t>DSS9)GA250495_B01-K02_8-505_ASCII.txt</t>
  </si>
  <si>
    <t>B02-AL</t>
  </si>
  <si>
    <t>B02-AL01</t>
  </si>
  <si>
    <t>11-22463</t>
  </si>
  <si>
    <t>Klei, zandig, sterk, organisch, zwak, plantenresten, weinig, grijs, donker, Pulsinstallatie machinaal</t>
  </si>
  <si>
    <t>sterk zandig, zwak organisch, weinig plantenresten</t>
  </si>
  <si>
    <t>OED_CRS6)GA250495_B02-AL01_11-22463.pdf</t>
  </si>
  <si>
    <t>B02-AL01_11-22463</t>
  </si>
  <si>
    <t>TX7)GA250495_B02-AL01-11-22463_Greeuw_V01.pdf</t>
  </si>
  <si>
    <t>TX7)_GA250495_B02-AL01-11-22463 GDSTAS_N8_ASCII.txt</t>
  </si>
  <si>
    <t>14-1088</t>
  </si>
  <si>
    <t>Veen, kleiïg, bruin, donker, Pulsinstallatie machinaal, Geen sterkte</t>
  </si>
  <si>
    <t>OED_CRS9)GA250495_B02-AL01_14-1088.pdf</t>
  </si>
  <si>
    <t>B02-AL01_14-1088</t>
  </si>
  <si>
    <t>DSS3)GA250495_B02-AL01_14-1088.pdf</t>
  </si>
  <si>
    <t>DSS3)GA250495_B02-AL01_14-1088_ASCII.txt</t>
  </si>
  <si>
    <t>15-1321</t>
  </si>
  <si>
    <t>DSS4)GA250495_B02-AL01_15-1321.pdf</t>
  </si>
  <si>
    <t>DSS4)GA250495_B02-AL01_15-1321_ASCII.txt</t>
  </si>
  <si>
    <t>19-782</t>
  </si>
  <si>
    <t>Klei, zandig, zwak, organisch, zwak, plantenresten, weinig, grijs, donker, Pulsinstallatie machinaal</t>
  </si>
  <si>
    <t>OED_CRS10)GA250495_B02-AL01_19-782.pdf</t>
  </si>
  <si>
    <t>B02-AL01_19-782</t>
  </si>
  <si>
    <t>TX11)GA250495_B02-AL01-19-782_Greeuw_V01.pdf</t>
  </si>
  <si>
    <t>TX11)_GA250495_B02-AL01-19-782 GDSTAS_N4_ASCII.txt</t>
  </si>
  <si>
    <t>B02-K</t>
  </si>
  <si>
    <t>B02-K01</t>
  </si>
  <si>
    <t>16-667</t>
  </si>
  <si>
    <t>Veen, bruin, donker, Pulsinstallatie machinaal, Laag</t>
  </si>
  <si>
    <t>OED_CRS15)GA250495_B02-K01_16-667.pdf</t>
  </si>
  <si>
    <t>B02-K01_16-667</t>
  </si>
  <si>
    <t>DSS5)GA250495_B02-K01_16-667.pdf</t>
  </si>
  <si>
    <t>DSS5)GA250495_B02-K01_16-667_ASCII.txt</t>
  </si>
  <si>
    <t>B02-K02</t>
  </si>
  <si>
    <t>4-10346</t>
  </si>
  <si>
    <t>Klei, zandig, zwak, organisch, zwak, puin, weinig, grijs, donker, Pulsinstallatie machinaal</t>
  </si>
  <si>
    <t>zwak zandig, zwak organisch, weinig puin</t>
  </si>
  <si>
    <t>OED_CRS16)GA250495_B02-K02_4-10346.pdf</t>
  </si>
  <si>
    <t>B02-K02_4-10346</t>
  </si>
  <si>
    <t>TX16)GA2520495_B02-K02-4-10346_Greeuw_V01.pdf</t>
  </si>
  <si>
    <t>TX16)_GA250495_B02-K02-4-10346 GDSTAS_N1_ASCII.txt</t>
  </si>
  <si>
    <t>17-22905</t>
  </si>
  <si>
    <t>Veen, bruin, donker, Pulsinstallatie machinaal, Matig</t>
  </si>
  <si>
    <t>OED_CRS18)GA250495_B02-K02_17-22905.pdf</t>
  </si>
  <si>
    <t>B02-K02_17-22905</t>
  </si>
  <si>
    <t>DSS8)GA250495_B02-K02_17-22905.pdf</t>
  </si>
  <si>
    <t>DSS8)GA250495_B02-K02_17-22905_ASCII.txt</t>
  </si>
  <si>
    <t>B03-AL</t>
  </si>
  <si>
    <t>B03-AL01</t>
  </si>
  <si>
    <t>NC</t>
  </si>
  <si>
    <t>10-991</t>
  </si>
  <si>
    <t>TX53)GA250495_B03-AL01-10-991_Greeuw_V01.pdf</t>
  </si>
  <si>
    <t>TX53)_GA250495_B03-AL01-10-991 GDSTAS_N4_ASCII.txt</t>
  </si>
  <si>
    <t>B03-K</t>
  </si>
  <si>
    <t>B03-K01</t>
  </si>
  <si>
    <t>2-K44</t>
  </si>
  <si>
    <t>Veen, bruin, donker, Machinale Boring, Laag</t>
  </si>
  <si>
    <t>OED_CRS50)GA250495_B03-K01_2-K 44.pdf</t>
  </si>
  <si>
    <t>B03-K01_2-K 44</t>
  </si>
  <si>
    <t>DSS15)GA250495_B03-K01_2-K44.pdf</t>
  </si>
  <si>
    <t>DSS15)GA250495_B03-K01_2-K44_ASCII.txt</t>
  </si>
  <si>
    <t>3-197</t>
  </si>
  <si>
    <t>Veen, plantenresten, weinig, bruin, donker, Pulsinstallatie machinaal, Laag</t>
  </si>
  <si>
    <t>weinig plantenresten</t>
  </si>
  <si>
    <t>DSS16)GA250495_B03-K01_3-197.pdf</t>
  </si>
  <si>
    <t>DSS16)GA250495_B03-K01_3-197_ASCII.txt</t>
  </si>
  <si>
    <t>4-954</t>
  </si>
  <si>
    <t>OED_CRS51)GA250495_B03-K01_4-954.pdf</t>
  </si>
  <si>
    <t>B03-K01_4-954</t>
  </si>
  <si>
    <t>DSS17)GA250495_B03-K01_4-954.pdf</t>
  </si>
  <si>
    <t>DSS17)GA250495_B03-K01_4-954_ASCII.txt</t>
  </si>
  <si>
    <t>5-1001</t>
  </si>
  <si>
    <t>Veen, plantenresten, weinig, bruin, donker, Pulsinstallatie machinaal, Geen sterkte</t>
  </si>
  <si>
    <t>DSS18)GA250495_B03-K01_5-1001.pdf</t>
  </si>
  <si>
    <t>DSS18)GA250495_B03-K01_5-1001_ASCII.txt</t>
  </si>
  <si>
    <t>sterk organisch, weinig plantenresten</t>
  </si>
  <si>
    <t>B03-K02</t>
  </si>
  <si>
    <t>1-E 201</t>
  </si>
  <si>
    <t>Veen, glas, weinig, bruin, donker, Pulsinstallatie machinaal, Geen sterkte</t>
  </si>
  <si>
    <t>weinig glas</t>
  </si>
  <si>
    <t>DSS20)GA250495_B03-K02_1-E 201.pdf</t>
  </si>
  <si>
    <t>DSS20)GA250495_B03-K02_1-E 201_ASCII.txt</t>
  </si>
  <si>
    <t>2-507</t>
  </si>
  <si>
    <t>DSS21)GA250495_B03-K02_2-507.pdf</t>
  </si>
  <si>
    <t>DSS21)GA250495_B03-K02_2-507_ASCII.txt</t>
  </si>
  <si>
    <t>3-581</t>
  </si>
  <si>
    <t>DSS22)GA250495_B03-K02_3-581.pdf</t>
  </si>
  <si>
    <t>DSS22)GA250495_B03-K02_3-581_ASCII.txt</t>
  </si>
  <si>
    <t>4-928</t>
  </si>
  <si>
    <t>Veen, kleiïg, plantenresten, veel, bruin, donker, Pulsinstallatie machinaal, Laag</t>
  </si>
  <si>
    <t>kleiïg, veel plantenresten</t>
  </si>
  <si>
    <t>OED_CRS54)GA250495_B03-K02_4-928.pdf</t>
  </si>
  <si>
    <t>B03-K02_4-928</t>
  </si>
  <si>
    <t>DSS23)GA250495_B03-K02_4-928.pdf</t>
  </si>
  <si>
    <t>DSS23)GA250495_B03-K02_4-928_ASCII.txt</t>
  </si>
  <si>
    <t>Klei, organisch, sterk, plantenresten, weinig, grijs, donker, Pulsinstallatie machinaal</t>
  </si>
  <si>
    <t>B03-K03</t>
  </si>
  <si>
    <t>2-032</t>
  </si>
  <si>
    <t>DSS25)GA250495_B03-K03_2-032.pdf</t>
  </si>
  <si>
    <t>DSS25)GA250495_B03-K03_2-032_ASCII.txt</t>
  </si>
  <si>
    <t>4-092</t>
  </si>
  <si>
    <t>DSS27)GA250495_B03-K03_4-092.pdf</t>
  </si>
  <si>
    <t>DSS27)GA250495_B03-K03_4-092_ASCII.txt</t>
  </si>
  <si>
    <t>zwak organisch, weinig plantenresten</t>
  </si>
  <si>
    <t>5A-G94</t>
  </si>
  <si>
    <t>Veen, plantenresten, weinig, bruin, donker, Machinale Boring, Geen sterkte</t>
  </si>
  <si>
    <t>DSS28)GA250495_B03-K03_5-G94.pdf</t>
  </si>
  <si>
    <t>DSS28)GA250495_B03-K03_5-G94_ASCII.txt</t>
  </si>
  <si>
    <t>5-G94</t>
  </si>
  <si>
    <t>DSS_voorbeeld</t>
  </si>
  <si>
    <t>TXT_voorbeeld</t>
  </si>
  <si>
    <t>Waterschap</t>
  </si>
  <si>
    <t>Voorbeeld</t>
  </si>
  <si>
    <t>Voorbeeld.pdf</t>
  </si>
  <si>
    <t>1_B01-K01_8-K405</t>
  </si>
  <si>
    <t>2_B01-K02_8-505</t>
  </si>
  <si>
    <t>3_B02-AL01_14-1088</t>
  </si>
  <si>
    <t>4_B02-AL01_15-1321</t>
  </si>
  <si>
    <t>5_B02-K01_16-667</t>
  </si>
  <si>
    <t>6_B02-K02_17-22905</t>
  </si>
  <si>
    <t>7_B03-K01_2-K44</t>
  </si>
  <si>
    <t>8_B03-K01_3-197</t>
  </si>
  <si>
    <t>9_B03-K01_4-954</t>
  </si>
  <si>
    <t>10_B03-K01_5-1001</t>
  </si>
  <si>
    <t>11_B03-K02_1-E 201</t>
  </si>
  <si>
    <t>12_B03-K02_2-507</t>
  </si>
  <si>
    <t>13_B03-K02_3-581</t>
  </si>
  <si>
    <t>14_B03-K02_4-928</t>
  </si>
  <si>
    <t>15_B03-K03_2-032</t>
  </si>
  <si>
    <t>DSS</t>
  </si>
  <si>
    <t xml:space="preserve">Eindscore </t>
  </si>
  <si>
    <t>Bruin</t>
  </si>
  <si>
    <t>tonrond, beperkte vervorming</t>
  </si>
  <si>
    <t>sterk aflopend</t>
  </si>
  <si>
    <t>aflopend</t>
  </si>
  <si>
    <t>Waterspanning - schuifrek</t>
  </si>
  <si>
    <t>Dropdowns beoordeling per veld</t>
  </si>
  <si>
    <t>Submappen</t>
  </si>
  <si>
    <t>root:</t>
  </si>
  <si>
    <t>labonderzoek\CRS\</t>
  </si>
  <si>
    <t>CRS</t>
  </si>
  <si>
    <t>Labonderzoek\TX\</t>
  </si>
  <si>
    <t>TX</t>
  </si>
  <si>
    <t>Labonderzoek\DSS\</t>
  </si>
  <si>
    <t>B05-AL</t>
  </si>
  <si>
    <t>B05-AL01</t>
  </si>
  <si>
    <t>5-B498</t>
  </si>
  <si>
    <t>OED_CRS23)GA250495_B05-AL01_5-B498.pdf</t>
  </si>
  <si>
    <t>B05-AL01_5-B498</t>
  </si>
  <si>
    <t>TX24)GA250495_B05-AL01-5-B498_Greeuw_V01.pdf</t>
  </si>
  <si>
    <t>TX24)_GA250495_B05-AL01-5-B498 GDSTAS_N6_ASCII.txt</t>
  </si>
  <si>
    <t>11-756</t>
  </si>
  <si>
    <t>Klei, zandig, sterk, organisch, zwak, plantenresten, weinig, grijs, neutraal, Pulsinstallatie machinaal</t>
  </si>
  <si>
    <t>OED_CRS24)GA250495_B05-AL01_11-756.pdf</t>
  </si>
  <si>
    <t>B05-AL01_11-756</t>
  </si>
  <si>
    <t>TX25)GA250495_B05-AL01-11-756_Greeuw_V01.pdf</t>
  </si>
  <si>
    <t>TX25)_GA250495_B05-AL01-11-756 GDSTAS_N5_ASCII.txt</t>
  </si>
  <si>
    <t>B06-AL</t>
  </si>
  <si>
    <t>B06-AL01</t>
  </si>
  <si>
    <t>28-10-2025</t>
  </si>
  <si>
    <t>3-318</t>
  </si>
  <si>
    <t>OED_CRS74)GA250495_B06-AL01_3-318.pdf</t>
  </si>
  <si>
    <t>B06-AL01_3-318</t>
  </si>
  <si>
    <t>TX103)GA250495_B06-AL01-3-318_Greeuw_V01.pdf</t>
  </si>
  <si>
    <t>TX103)_GA250495_B06-AL01-3-318 GDSTAS_N5_ASCII.txt</t>
  </si>
  <si>
    <t>B07-AL</t>
  </si>
  <si>
    <t>B07-AL01</t>
  </si>
  <si>
    <t>30-10-2025</t>
  </si>
  <si>
    <t>5-22549</t>
  </si>
  <si>
    <t>OED_CRS79)GA250495_B07-AL01_5-22549.pdf</t>
  </si>
  <si>
    <t>B07-AL01_5-22549</t>
  </si>
  <si>
    <t>TX109)GA250495_B07-AL01-5-22549_Greeuw_V01.pdf</t>
  </si>
  <si>
    <t>TX109)_GA250495_B07-AL01-5-22549 GDSTAS_N1_ASCII.txt</t>
  </si>
  <si>
    <t>B08-K</t>
  </si>
  <si>
    <t>B08-K01</t>
  </si>
  <si>
    <t>17-09-2025</t>
  </si>
  <si>
    <t>18-23040</t>
  </si>
  <si>
    <t>Silt, organisch, zwak, plantenresten, weinig, grijs, neutraal, Pulsinstallatie machinaal</t>
  </si>
  <si>
    <t>OED_CRS68)GA250495_B08-K01_18-23040.pdf</t>
  </si>
  <si>
    <t>B08-K01_18-23040</t>
  </si>
  <si>
    <t>TX85)GA250495_B08-K01-18-23040_Greeuw_V01.pdf</t>
  </si>
  <si>
    <t>TX85)_GA250495_B08-K01-18-23040 GDSTAS_N8_ASCII.txt</t>
  </si>
  <si>
    <t>B08-K02</t>
  </si>
  <si>
    <t>18-09-2025</t>
  </si>
  <si>
    <t>7-K624</t>
  </si>
  <si>
    <t>OED_CRS69)GA250495_B08-K02_7-K624.pdf</t>
  </si>
  <si>
    <t>B08-K02_7-K624</t>
  </si>
  <si>
    <t>TX90)GA250495_B08-K02-7-K624_Greeuw_V01.pdf</t>
  </si>
  <si>
    <t>TX90)_GA250495_B08-K02-7-K624 GDSTAS_N2_ASCII.txt</t>
  </si>
  <si>
    <t>B09-K</t>
  </si>
  <si>
    <t>B09-K01</t>
  </si>
  <si>
    <t>15-09-2025</t>
  </si>
  <si>
    <t>6-S 323</t>
  </si>
  <si>
    <t>Klei, organisch, sterk, plantenresten, weinig, grijs, neutraal, Pulsinstallatie machinaal</t>
  </si>
  <si>
    <t>OED_CRS67)GA250495_B09-K01_6-S 323</t>
  </si>
  <si>
    <t>B09-K01_6-S 323</t>
  </si>
  <si>
    <t>TX86)GA250495_B09-K01-6- S 323_Greeuw_V01.pdf</t>
  </si>
  <si>
    <t>TX86)_GA250495_B09-K01-6- S 323 GDSTAS_N10_ASCII.txt</t>
  </si>
  <si>
    <t>6- S 323</t>
  </si>
  <si>
    <t>BAM Infraconsult B.V.</t>
  </si>
  <si>
    <t>GEOLab Geonius Geotechniek B.V. te Houten</t>
  </si>
  <si>
    <t>GEOLab Geonius Geotechniek B.V. te Houten.</t>
  </si>
  <si>
    <t>15-22380</t>
  </si>
  <si>
    <t>Klei, organisch, zwak, plantenresten, weinig, schelpen, weinig, grijs, neutraal, Pulsinstallatie machinaal</t>
  </si>
  <si>
    <t>zwak organisch, weinig schelpen, weinig plantenresten</t>
  </si>
  <si>
    <t>TX83)GA250495_B08-K01-15-22380_Greeuw_V01.pdf</t>
  </si>
  <si>
    <t>TX83)_GA250495_B08-K01-15-22380 GDSTAS_N3_ASCII.txt</t>
  </si>
  <si>
    <t>B11-K</t>
  </si>
  <si>
    <t>B11-K01</t>
  </si>
  <si>
    <t>13-06-2025</t>
  </si>
  <si>
    <t>26-1116</t>
  </si>
  <si>
    <t>Silt, zandig, sterk, organisch, zwak, grijs, donker, Pulsinstallatie machinaal</t>
  </si>
  <si>
    <t>sterk zandig, zwak organisch</t>
  </si>
  <si>
    <t>TX2)GA250495_B11-K01-26-1116_Greeuw_V01.pdf</t>
  </si>
  <si>
    <t>TX2)_GA250495_B11-K01-26-1116 GDSTAS_N2_ASCII.txt</t>
  </si>
  <si>
    <t>25**</t>
  </si>
  <si>
    <t>Polderdijk</t>
  </si>
  <si>
    <t>18_B01-AL01_3-162</t>
  </si>
  <si>
    <t>19_B01-AL01_9-525</t>
  </si>
  <si>
    <t>20_B01-K01_16-4452</t>
  </si>
  <si>
    <t>21_B02-AL01_11-22463</t>
  </si>
  <si>
    <t>22_B02-AL01_19-782</t>
  </si>
  <si>
    <t>23_B02-K02_4-10346</t>
  </si>
  <si>
    <t>24_B05-AL01_5-B498</t>
  </si>
  <si>
    <t>25_B05-AL01_11-756</t>
  </si>
  <si>
    <t>26_B06-AL01_3-318</t>
  </si>
  <si>
    <t>27_B07-AL01_5-22549</t>
  </si>
  <si>
    <t>28_B08-K01_18-23040</t>
  </si>
  <si>
    <t>29_B08-K02_7-K624</t>
  </si>
  <si>
    <t>30_B09-K01_6-S 323</t>
  </si>
  <si>
    <t>31_B03-AL01_10-991</t>
  </si>
  <si>
    <t>32_B08-K01_15-22380</t>
  </si>
  <si>
    <t>33_B11-K01_26-1116</t>
  </si>
  <si>
    <t>16_B03-K03_4-092</t>
  </si>
  <si>
    <t>17_B03-K03_5A-G94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</si>
</sst>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\ h:mm:ss"/>
    <numFmt numFmtId="166" formatCode="0.0%"/>
  </numFmts>
  <fonts count="1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9" fillId="0" borderId="0"/>
    <xf numFmtId="0" fontId="9" fillId="0" borderId="0"/>
  </cellStyleXfs>
  <cellXfs count="123">
    <xf numFmtId="0" fontId="0" fillId="0" borderId="0" xfId="0"/>
    <xf numFmtId="0" fontId="3" fillId="0" borderId="0" xfId="1" applyFont="1" applyAlignment="1" applyProtection="1">
      <alignment horizontal="left"/>
      <protection hidden="1"/>
    </xf>
    <xf numFmtId="2" fontId="3" fillId="0" borderId="0" xfId="1" applyNumberFormat="1" applyFont="1" applyAlignment="1" applyProtection="1">
      <alignment horizontal="left"/>
      <protection hidden="1"/>
    </xf>
    <xf numFmtId="0" fontId="5" fillId="2" borderId="0" xfId="0" applyFont="1" applyFill="1" applyAlignment="1" applyProtection="1">
      <alignment horizontal="left" vertical="center"/>
      <protection hidden="1"/>
    </xf>
    <xf numFmtId="0" fontId="4" fillId="3" borderId="0" xfId="0" applyFont="1" applyFill="1" applyAlignment="1" applyProtection="1">
      <alignment horizontal="left" vertical="center"/>
      <protection hidden="1"/>
    </xf>
    <xf numFmtId="0" fontId="4" fillId="4" borderId="1" xfId="0" applyFont="1" applyFill="1" applyBorder="1" applyAlignment="1" applyProtection="1">
      <alignment horizontal="left" vertical="center"/>
      <protection hidden="1"/>
    </xf>
    <xf numFmtId="0" fontId="4" fillId="4" borderId="0" xfId="0" applyFont="1" applyFill="1" applyAlignment="1" applyProtection="1">
      <alignment horizontal="left" vertical="center"/>
      <protection hidden="1"/>
    </xf>
    <xf numFmtId="0" fontId="1" fillId="4" borderId="0" xfId="0" applyFont="1" applyFill="1" applyAlignment="1" applyProtection="1">
      <alignment horizontal="left" vertical="center"/>
      <protection hidden="1"/>
    </xf>
    <xf numFmtId="0" fontId="4" fillId="5" borderId="0" xfId="0" applyFont="1" applyFill="1" applyAlignment="1" applyProtection="1">
      <alignment horizontal="left" vertical="center"/>
      <protection hidden="1"/>
    </xf>
    <xf numFmtId="0" fontId="1" fillId="5" borderId="0" xfId="0" applyFont="1" applyFill="1" applyAlignment="1" applyProtection="1">
      <alignment horizontal="left" vertical="center"/>
      <protection hidden="1"/>
    </xf>
    <xf numFmtId="2" fontId="1" fillId="5" borderId="0" xfId="0" applyNumberFormat="1" applyFont="1" applyFill="1" applyAlignment="1" applyProtection="1">
      <alignment horizontal="left" vertical="center"/>
      <protection hidden="1"/>
    </xf>
    <xf numFmtId="0" fontId="4" fillId="6" borderId="0" xfId="0" applyFont="1" applyFill="1" applyAlignment="1" applyProtection="1">
      <alignment horizontal="left" vertical="center"/>
      <protection hidden="1"/>
    </xf>
    <xf numFmtId="0" fontId="1" fillId="6" borderId="0" xfId="0" applyFont="1" applyFill="1" applyAlignment="1" applyProtection="1">
      <alignment horizontal="left" vertical="center"/>
      <protection hidden="1"/>
    </xf>
    <xf numFmtId="0" fontId="4" fillId="7" borderId="0" xfId="0" applyFont="1" applyFill="1" applyAlignment="1" applyProtection="1">
      <alignment horizontal="left" vertical="center"/>
      <protection hidden="1"/>
    </xf>
    <xf numFmtId="0" fontId="1" fillId="7" borderId="0" xfId="0" applyFont="1" applyFill="1" applyAlignment="1" applyProtection="1">
      <alignment horizontal="left" vertical="center"/>
      <protection hidden="1"/>
    </xf>
    <xf numFmtId="164" fontId="4" fillId="7" borderId="0" xfId="0" applyNumberFormat="1" applyFont="1" applyFill="1" applyAlignment="1" applyProtection="1">
      <alignment horizontal="left" vertical="center"/>
      <protection hidden="1"/>
    </xf>
    <xf numFmtId="0" fontId="4" fillId="8" borderId="0" xfId="0" applyFont="1" applyFill="1" applyAlignment="1" applyProtection="1">
      <alignment horizontal="left" vertical="center"/>
      <protection hidden="1"/>
    </xf>
    <xf numFmtId="2" fontId="4" fillId="8" borderId="0" xfId="0" applyNumberFormat="1" applyFont="1" applyFill="1" applyAlignment="1" applyProtection="1">
      <alignment horizontal="left" vertical="center"/>
      <protection hidden="1"/>
    </xf>
    <xf numFmtId="164" fontId="4" fillId="8" borderId="0" xfId="0" applyNumberFormat="1" applyFont="1" applyFill="1" applyAlignment="1" applyProtection="1">
      <alignment horizontal="left" vertical="center"/>
      <protection hidden="1"/>
    </xf>
    <xf numFmtId="0" fontId="4" fillId="9" borderId="0" xfId="0" applyFont="1" applyFill="1" applyAlignment="1" applyProtection="1">
      <alignment horizontal="left" vertical="center"/>
      <protection hidden="1"/>
    </xf>
    <xf numFmtId="2" fontId="4" fillId="9" borderId="0" xfId="0" applyNumberFormat="1" applyFont="1" applyFill="1" applyAlignment="1" applyProtection="1">
      <alignment horizontal="left" vertical="center"/>
      <protection hidden="1"/>
    </xf>
    <xf numFmtId="0" fontId="1" fillId="9" borderId="0" xfId="0" applyFont="1" applyFill="1" applyAlignment="1" applyProtection="1">
      <alignment horizontal="left" vertical="center"/>
      <protection hidden="1"/>
    </xf>
    <xf numFmtId="0" fontId="4" fillId="10" borderId="0" xfId="0" applyFont="1" applyFill="1" applyAlignment="1" applyProtection="1">
      <alignment horizontal="left" vertical="center"/>
      <protection hidden="1"/>
    </xf>
    <xf numFmtId="164" fontId="4" fillId="10" borderId="0" xfId="0" applyNumberFormat="1" applyFont="1" applyFill="1" applyAlignment="1" applyProtection="1">
      <alignment horizontal="left" vertical="center"/>
      <protection hidden="1"/>
    </xf>
    <xf numFmtId="0" fontId="1" fillId="10" borderId="0" xfId="0" applyFont="1" applyFill="1" applyAlignment="1" applyProtection="1">
      <alignment horizontal="left" vertical="center"/>
      <protection hidden="1"/>
    </xf>
    <xf numFmtId="0" fontId="4" fillId="11" borderId="0" xfId="0" applyFont="1" applyFill="1" applyAlignment="1" applyProtection="1">
      <alignment horizontal="left" vertical="center"/>
      <protection hidden="1"/>
    </xf>
    <xf numFmtId="0" fontId="4" fillId="12" borderId="0" xfId="0" applyFont="1" applyFill="1" applyAlignment="1" applyProtection="1">
      <alignment horizontal="left" vertical="center"/>
      <protection hidden="1"/>
    </xf>
    <xf numFmtId="0" fontId="1" fillId="12" borderId="0" xfId="0" applyFont="1" applyFill="1" applyAlignment="1" applyProtection="1">
      <alignment horizontal="left" vertical="center"/>
      <protection hidden="1"/>
    </xf>
    <xf numFmtId="0" fontId="1" fillId="3" borderId="0" xfId="0" applyFont="1" applyFill="1" applyAlignment="1" applyProtection="1">
      <alignment horizontal="left" vertical="center"/>
      <protection hidden="1"/>
    </xf>
    <xf numFmtId="0" fontId="5" fillId="3" borderId="0" xfId="0" applyFont="1" applyFill="1" applyAlignment="1" applyProtection="1">
      <alignment horizontal="left" vertical="center"/>
      <protection hidden="1"/>
    </xf>
    <xf numFmtId="0" fontId="5" fillId="13" borderId="0" xfId="1" applyFont="1" applyFill="1" applyAlignment="1" applyProtection="1">
      <alignment horizontal="left" vertical="top" wrapText="1"/>
      <protection hidden="1"/>
    </xf>
    <xf numFmtId="2" fontId="5" fillId="13" borderId="0" xfId="1" applyNumberFormat="1" applyFont="1" applyFill="1" applyAlignment="1" applyProtection="1">
      <alignment horizontal="left" vertical="top" wrapText="1"/>
      <protection hidden="1"/>
    </xf>
    <xf numFmtId="0" fontId="5" fillId="13" borderId="0" xfId="1" quotePrefix="1" applyFont="1" applyFill="1" applyAlignment="1" applyProtection="1">
      <alignment horizontal="left" vertical="top" wrapText="1"/>
      <protection hidden="1"/>
    </xf>
    <xf numFmtId="0" fontId="5" fillId="13" borderId="1" xfId="1" applyFont="1" applyFill="1" applyBorder="1" applyAlignment="1" applyProtection="1">
      <alignment horizontal="left" vertical="top" wrapText="1"/>
      <protection hidden="1"/>
    </xf>
    <xf numFmtId="0" fontId="5" fillId="13" borderId="0" xfId="1" applyFont="1" applyFill="1" applyAlignment="1" applyProtection="1">
      <alignment horizontal="left"/>
      <protection hidden="1"/>
    </xf>
    <xf numFmtId="0" fontId="4" fillId="2" borderId="1" xfId="0" applyFont="1" applyFill="1" applyBorder="1" applyAlignment="1" applyProtection="1">
      <alignment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5" fillId="14" borderId="0" xfId="0" applyFont="1" applyFill="1" applyAlignment="1" applyProtection="1">
      <alignment horizontal="left" vertical="center"/>
      <protection hidden="1"/>
    </xf>
    <xf numFmtId="0" fontId="1" fillId="14" borderId="0" xfId="0" applyFont="1" applyFill="1" applyAlignment="1" applyProtection="1">
      <alignment horizontal="left" vertical="center"/>
      <protection hidden="1"/>
    </xf>
    <xf numFmtId="0" fontId="4" fillId="4" borderId="1" xfId="0" applyFont="1" applyFill="1" applyBorder="1" applyAlignment="1" applyProtection="1">
      <alignment vertical="center"/>
      <protection hidden="1"/>
    </xf>
    <xf numFmtId="0" fontId="4" fillId="4" borderId="0" xfId="0" applyFont="1" applyFill="1" applyAlignment="1" applyProtection="1">
      <alignment vertical="center"/>
      <protection hidden="1"/>
    </xf>
    <xf numFmtId="0" fontId="4" fillId="6" borderId="0" xfId="0" applyFont="1" applyFill="1" applyAlignment="1" applyProtection="1">
      <alignment vertical="center"/>
      <protection hidden="1"/>
    </xf>
    <xf numFmtId="0" fontId="7" fillId="15" borderId="0" xfId="0" applyFont="1" applyFill="1" applyAlignment="1">
      <alignment vertical="top"/>
    </xf>
    <xf numFmtId="0" fontId="1" fillId="15" borderId="0" xfId="0" applyFont="1" applyFill="1" applyAlignment="1">
      <alignment vertical="top"/>
    </xf>
    <xf numFmtId="0" fontId="1" fillId="15" borderId="0" xfId="0" applyFont="1" applyFill="1" applyAlignment="1">
      <alignment horizontal="left" vertical="top"/>
    </xf>
    <xf numFmtId="1" fontId="1" fillId="15" borderId="0" xfId="0" applyNumberFormat="1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1" fillId="15" borderId="0" xfId="0" applyFont="1" applyFill="1" applyAlignment="1">
      <alignment horizontal="right" vertical="top"/>
    </xf>
    <xf numFmtId="164" fontId="1" fillId="15" borderId="0" xfId="0" applyNumberFormat="1" applyFont="1" applyFill="1" applyAlignment="1">
      <alignment horizontal="left" vertical="top"/>
    </xf>
    <xf numFmtId="2" fontId="1" fillId="15" borderId="0" xfId="0" applyNumberFormat="1" applyFont="1" applyFill="1" applyAlignment="1">
      <alignment horizontal="left" vertical="top"/>
    </xf>
    <xf numFmtId="0" fontId="7" fillId="16" borderId="0" xfId="0" applyFont="1" applyFill="1" applyAlignment="1">
      <alignment vertical="top"/>
    </xf>
    <xf numFmtId="0" fontId="3" fillId="15" borderId="0" xfId="0" applyFont="1" applyFill="1" applyAlignment="1">
      <alignment horizontal="left" vertical="top"/>
    </xf>
    <xf numFmtId="0" fontId="8" fillId="15" borderId="0" xfId="0" applyFont="1" applyFill="1" applyAlignment="1">
      <alignment horizontal="left" vertical="top"/>
    </xf>
    <xf numFmtId="0" fontId="8" fillId="15" borderId="0" xfId="0" applyFont="1" applyFill="1" applyAlignment="1">
      <alignment vertical="top"/>
    </xf>
    <xf numFmtId="166" fontId="1" fillId="15" borderId="0" xfId="0" applyNumberFormat="1" applyFont="1" applyFill="1" applyAlignment="1">
      <alignment horizontal="left" vertical="top"/>
    </xf>
    <xf numFmtId="1" fontId="8" fillId="15" borderId="0" xfId="0" applyNumberFormat="1" applyFont="1" applyFill="1" applyAlignment="1">
      <alignment vertical="top"/>
    </xf>
    <xf numFmtId="0" fontId="5" fillId="15" borderId="0" xfId="1" applyFont="1" applyFill="1" applyAlignment="1" applyProtection="1">
      <alignment horizontal="left" vertical="top" wrapText="1"/>
      <protection hidden="1"/>
    </xf>
    <xf numFmtId="1" fontId="5" fillId="13" borderId="0" xfId="1" applyNumberFormat="1" applyFont="1" applyFill="1" applyAlignment="1" applyProtection="1">
      <alignment horizontal="left" vertical="top" wrapText="1"/>
      <protection hidden="1"/>
    </xf>
    <xf numFmtId="0" fontId="5" fillId="13" borderId="0" xfId="1" applyFont="1" applyFill="1" applyAlignment="1" applyProtection="1">
      <alignment horizontal="left" vertical="top"/>
      <protection hidden="1"/>
    </xf>
    <xf numFmtId="164" fontId="5" fillId="13" borderId="0" xfId="1" applyNumberFormat="1" applyFont="1" applyFill="1" applyAlignment="1" applyProtection="1">
      <alignment horizontal="left" vertical="top" wrapText="1"/>
      <protection hidden="1"/>
    </xf>
    <xf numFmtId="0" fontId="5" fillId="15" borderId="0" xfId="1" applyFont="1" applyFill="1" applyAlignment="1" applyProtection="1">
      <alignment horizontal="left" vertical="top"/>
      <protection hidden="1"/>
    </xf>
    <xf numFmtId="1" fontId="5" fillId="13" borderId="0" xfId="1" applyNumberFormat="1" applyFont="1" applyFill="1" applyAlignment="1" applyProtection="1">
      <alignment horizontal="left" vertical="top"/>
      <protection hidden="1"/>
    </xf>
    <xf numFmtId="164" fontId="5" fillId="13" borderId="0" xfId="1" applyNumberFormat="1" applyFont="1" applyFill="1" applyAlignment="1" applyProtection="1">
      <alignment horizontal="left" vertical="top"/>
      <protection hidden="1"/>
    </xf>
    <xf numFmtId="0" fontId="0" fillId="15" borderId="0" xfId="0" applyFill="1"/>
    <xf numFmtId="164" fontId="1" fillId="15" borderId="0" xfId="0" applyNumberFormat="1" applyFont="1" applyFill="1" applyAlignment="1">
      <alignment vertical="top"/>
    </xf>
    <xf numFmtId="0" fontId="5" fillId="13" borderId="2" xfId="0" applyFont="1" applyFill="1" applyBorder="1" applyAlignment="1">
      <alignment vertical="top" wrapText="1"/>
    </xf>
    <xf numFmtId="0" fontId="5" fillId="13" borderId="1" xfId="0" applyFont="1" applyFill="1" applyBorder="1" applyAlignment="1" applyProtection="1">
      <alignment vertical="top" wrapText="1"/>
      <protection hidden="1"/>
    </xf>
    <xf numFmtId="0" fontId="5" fillId="15" borderId="0" xfId="0" applyFont="1" applyFill="1" applyAlignment="1" applyProtection="1">
      <alignment horizontal="left" vertical="top" wrapText="1"/>
      <protection hidden="1"/>
    </xf>
    <xf numFmtId="0" fontId="5" fillId="13" borderId="0" xfId="0" applyFont="1" applyFill="1" applyAlignment="1" applyProtection="1">
      <alignment horizontal="left" vertical="top" wrapText="1"/>
      <protection hidden="1"/>
    </xf>
    <xf numFmtId="1" fontId="5" fillId="13" borderId="1" xfId="0" applyNumberFormat="1" applyFont="1" applyFill="1" applyBorder="1" applyAlignment="1" applyProtection="1">
      <alignment vertical="top" wrapText="1"/>
      <protection hidden="1"/>
    </xf>
    <xf numFmtId="0" fontId="5" fillId="13" borderId="2" xfId="0" applyFont="1" applyFill="1" applyBorder="1" applyAlignment="1">
      <alignment vertical="top"/>
    </xf>
    <xf numFmtId="164" fontId="5" fillId="13" borderId="2" xfId="0" applyNumberFormat="1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2" fontId="1" fillId="16" borderId="3" xfId="0" applyNumberFormat="1" applyFont="1" applyFill="1" applyBorder="1" applyAlignment="1">
      <alignment vertical="top"/>
    </xf>
    <xf numFmtId="2" fontId="1" fillId="0" borderId="3" xfId="0" applyNumberFormat="1" applyFont="1" applyBorder="1" applyAlignment="1">
      <alignment horizontal="left" vertical="top"/>
    </xf>
    <xf numFmtId="2" fontId="1" fillId="15" borderId="4" xfId="0" applyNumberFormat="1" applyFont="1" applyFill="1" applyBorder="1" applyAlignment="1">
      <alignment horizontal="left" vertical="top"/>
    </xf>
    <xf numFmtId="1" fontId="1" fillId="0" borderId="3" xfId="0" applyNumberFormat="1" applyFont="1" applyBorder="1" applyAlignment="1">
      <alignment horizontal="left" vertical="top"/>
    </xf>
    <xf numFmtId="0" fontId="10" fillId="0" borderId="3" xfId="2" applyFont="1" applyBorder="1" applyAlignment="1">
      <alignment vertical="top"/>
    </xf>
    <xf numFmtId="2" fontId="1" fillId="16" borderId="3" xfId="0" applyNumberFormat="1" applyFont="1" applyFill="1" applyBorder="1" applyAlignment="1">
      <alignment horizontal="left" vertical="top"/>
    </xf>
    <xf numFmtId="0" fontId="1" fillId="16" borderId="5" xfId="0" applyFont="1" applyFill="1" applyBorder="1" applyAlignment="1">
      <alignment vertical="top"/>
    </xf>
    <xf numFmtId="0" fontId="1" fillId="16" borderId="3" xfId="0" applyFont="1" applyFill="1" applyBorder="1" applyAlignment="1">
      <alignment vertical="top"/>
    </xf>
    <xf numFmtId="0" fontId="10" fillId="16" borderId="3" xfId="2" applyFont="1" applyFill="1" applyBorder="1" applyAlignment="1">
      <alignment vertical="top"/>
    </xf>
    <xf numFmtId="164" fontId="1" fillId="0" borderId="3" xfId="0" applyNumberFormat="1" applyFont="1" applyBorder="1" applyAlignment="1">
      <alignment horizontal="left" vertical="top"/>
    </xf>
    <xf numFmtId="0" fontId="1" fillId="16" borderId="3" xfId="0" applyFont="1" applyFill="1" applyBorder="1" applyAlignment="1">
      <alignment vertical="top" wrapText="1"/>
    </xf>
    <xf numFmtId="0" fontId="1" fillId="0" borderId="3" xfId="0" applyFont="1" applyBorder="1" applyAlignment="1">
      <alignment horizontal="left" vertical="top"/>
    </xf>
    <xf numFmtId="2" fontId="1" fillId="16" borderId="0" xfId="0" applyNumberFormat="1" applyFont="1" applyFill="1" applyAlignment="1">
      <alignment vertical="top"/>
    </xf>
    <xf numFmtId="0" fontId="1" fillId="16" borderId="5" xfId="0" applyFont="1" applyFill="1" applyBorder="1" applyAlignment="1">
      <alignment vertical="top" wrapText="1"/>
    </xf>
    <xf numFmtId="2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horizontal="left" vertical="top"/>
    </xf>
    <xf numFmtId="1" fontId="1" fillId="0" borderId="0" xfId="0" applyNumberFormat="1" applyFont="1" applyAlignment="1">
      <alignment vertical="top"/>
    </xf>
    <xf numFmtId="0" fontId="0" fillId="0" borderId="0" xfId="0" applyAlignment="1">
      <alignment horizontal="left"/>
    </xf>
    <xf numFmtId="14" fontId="4" fillId="3" borderId="0" xfId="0" applyNumberFormat="1" applyFont="1" applyFill="1" applyAlignment="1" applyProtection="1">
      <alignment horizontal="left" vertical="center"/>
      <protection hidden="1"/>
    </xf>
    <xf numFmtId="14" fontId="3" fillId="0" borderId="0" xfId="1" applyNumberFormat="1" applyFont="1" applyAlignment="1" applyProtection="1">
      <alignment horizontal="left"/>
      <protection hidden="1"/>
    </xf>
    <xf numFmtId="14" fontId="5" fillId="13" borderId="0" xfId="1" applyNumberFormat="1" applyFont="1" applyFill="1" applyAlignment="1" applyProtection="1">
      <alignment horizontal="left" vertical="top" wrapText="1"/>
      <protection hidden="1"/>
    </xf>
    <xf numFmtId="14" fontId="5" fillId="13" borderId="0" xfId="1" applyNumberFormat="1" applyFont="1" applyFill="1" applyAlignment="1" applyProtection="1">
      <alignment horizontal="left"/>
      <protection hidden="1"/>
    </xf>
    <xf numFmtId="14" fontId="0" fillId="0" borderId="0" xfId="0" applyNumberFormat="1" applyAlignment="1">
      <alignment horizontal="left"/>
    </xf>
    <xf numFmtId="14" fontId="4" fillId="9" borderId="0" xfId="0" applyNumberFormat="1" applyFont="1" applyFill="1" applyAlignment="1" applyProtection="1">
      <alignment horizontal="left" vertical="center"/>
      <protection hidden="1"/>
    </xf>
    <xf numFmtId="0" fontId="4" fillId="2" borderId="1" xfId="0" applyFont="1" applyFill="1" applyBorder="1" applyAlignment="1" applyProtection="1">
      <alignment horizontal="left" vertical="center"/>
      <protection hidden="1"/>
    </xf>
    <xf numFmtId="0" fontId="4" fillId="2" borderId="0" xfId="0" applyFont="1" applyFill="1" applyAlignment="1" applyProtection="1">
      <alignment horizontal="left" vertical="center"/>
      <protection hidden="1"/>
    </xf>
    <xf numFmtId="0" fontId="4" fillId="8" borderId="1" xfId="0" applyFont="1" applyFill="1" applyBorder="1" applyAlignment="1" applyProtection="1">
      <alignment horizontal="left" vertical="center"/>
      <protection hidden="1"/>
    </xf>
    <xf numFmtId="165" fontId="0" fillId="0" borderId="0" xfId="0" applyNumberFormat="1" applyAlignment="1">
      <alignment horizontal="left"/>
    </xf>
    <xf numFmtId="2" fontId="4" fillId="11" borderId="0" xfId="0" applyNumberFormat="1" applyFont="1" applyFill="1" applyAlignment="1" applyProtection="1">
      <alignment horizontal="left" vertical="center"/>
      <protection hidden="1"/>
    </xf>
    <xf numFmtId="2" fontId="5" fillId="13" borderId="0" xfId="1" applyNumberFormat="1" applyFont="1" applyFill="1" applyAlignment="1" applyProtection="1">
      <alignment horizontal="left"/>
      <protection hidden="1"/>
    </xf>
    <xf numFmtId="2" fontId="0" fillId="0" borderId="0" xfId="0" applyNumberFormat="1" applyAlignment="1">
      <alignment horizontal="left"/>
    </xf>
    <xf numFmtId="0" fontId="6" fillId="0" borderId="0" xfId="0" applyFont="1"/>
    <xf numFmtId="0" fontId="11" fillId="0" borderId="0" xfId="0" applyFont="1" applyAlignment="1">
      <alignment horizontal="left"/>
    </xf>
    <xf numFmtId="0" fontId="9" fillId="0" borderId="0" xfId="3"/>
    <xf numFmtId="0" fontId="6" fillId="0" borderId="0" xfId="0" quotePrefix="1" applyFont="1"/>
    <xf numFmtId="0" fontId="0" fillId="16" borderId="0" xfId="0" applyFill="1"/>
    <xf numFmtId="0" fontId="0" fillId="0" borderId="0" xfId="0" applyAlignment="1">
      <alignment horizontal="right"/>
    </xf>
    <xf numFmtId="2" fontId="1" fillId="15" borderId="3" xfId="0" applyNumberFormat="1" applyFont="1" applyFill="1" applyBorder="1" applyAlignment="1">
      <alignment vertical="top"/>
    </xf>
    <xf numFmtId="2" fontId="1" fillId="15" borderId="3" xfId="0" applyNumberFormat="1" applyFont="1" applyFill="1" applyBorder="1" applyAlignment="1">
      <alignment horizontal="left" vertical="top"/>
    </xf>
    <xf numFmtId="1" fontId="1" fillId="15" borderId="3" xfId="0" applyNumberFormat="1" applyFont="1" applyFill="1" applyBorder="1" applyAlignment="1">
      <alignment horizontal="left" vertical="top"/>
    </xf>
    <xf numFmtId="0" fontId="10" fillId="15" borderId="3" xfId="2" applyFont="1" applyFill="1" applyBorder="1" applyAlignment="1">
      <alignment vertical="top"/>
    </xf>
    <xf numFmtId="0" fontId="1" fillId="15" borderId="5" xfId="0" applyFont="1" applyFill="1" applyBorder="1" applyAlignment="1">
      <alignment vertical="top"/>
    </xf>
    <xf numFmtId="0" fontId="1" fillId="15" borderId="3" xfId="0" applyFont="1" applyFill="1" applyBorder="1" applyAlignment="1">
      <alignment vertical="top"/>
    </xf>
    <xf numFmtId="164" fontId="1" fillId="15" borderId="3" xfId="0" applyNumberFormat="1" applyFont="1" applyFill="1" applyBorder="1" applyAlignment="1">
      <alignment horizontal="left" vertical="top"/>
    </xf>
    <xf numFmtId="0" fontId="1" fillId="15" borderId="3" xfId="0" applyFont="1" applyFill="1" applyBorder="1" applyAlignment="1">
      <alignment vertical="top" wrapText="1"/>
    </xf>
    <xf numFmtId="0" fontId="1" fillId="15" borderId="3" xfId="0" applyFont="1" applyFill="1" applyBorder="1" applyAlignment="1">
      <alignment horizontal="left" vertical="top"/>
    </xf>
    <xf numFmtId="2" fontId="8" fillId="15" borderId="3" xfId="0" applyNumberFormat="1" applyFont="1" applyFill="1" applyBorder="1" applyAlignment="1">
      <alignment vertical="top"/>
    </xf>
  </cellXfs>
  <cellStyles count="4">
    <cellStyle name="Hyperlink" xfId="2" builtinId="8"/>
    <cellStyle name="Hyperlink 2" xfId="3" xr:uid="{44561EA2-693B-46B8-96BE-585BFC37FB29}"/>
    <cellStyle name="Standaard" xfId="0" builtinId="0"/>
    <cellStyle name="Standaard 2" xfId="1" xr:uid="{00000000-0005-0000-0000-000001000000}"/>
  </cellStyles>
  <dxfs count="483">
    <dxf>
      <border>
        <bottom style="thin">
          <color auto="1"/>
        </bottom>
        <vertical/>
        <horizontal/>
      </border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numFmt numFmtId="2" formatCode="0.00"/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numFmt numFmtId="167" formatCode="dd/mm/yyyy"/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numFmt numFmtId="167" formatCode="dd/mm/yyyy"/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font>
        <b/>
        <strike val="0"/>
        <condense val="0"/>
        <extend val="0"/>
        <outline val="0"/>
        <shadow val="0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0" tint="-0.499984740745262"/>
        </patternFill>
      </fill>
      <alignment horizontal="left" vertical="center" textRotation="0" indent="0" justifyLastLine="0" shrinkToFit="0" readingOrder="0"/>
      <protection locked="1" hidden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7:RL8597" totalsRowShown="0" headerRowDxfId="482" dataDxfId="481">
  <autoFilter ref="A7:RL8597" xr:uid="{00000000-0009-0000-0100-000001000000}"/>
  <sortState xmlns:xlrd2="http://schemas.microsoft.com/office/spreadsheetml/2017/richdata2" ref="A8:RL4184">
    <sortCondition ref="QT7:QT8597"/>
  </sortState>
  <tableColumns count="480">
    <tableColumn id="1" xr3:uid="{00000000-0010-0000-0000-000001000000}" name="ALG__BORING_MONSTERNR_ID" dataDxfId="480"/>
    <tableColumn id="2" xr3:uid="{00000000-0010-0000-0000-000002000000}" name="ALG__REGEL" dataDxfId="479"/>
    <tableColumn id="3" xr3:uid="{00000000-0010-0000-0000-000003000000}" name="ALG__CLASSIFICATIE" dataDxfId="478"/>
    <tableColumn id="4" xr3:uid="{00000000-0010-0000-0000-000004000000}" name="ALG__VEENCLASSIFICATIE" dataDxfId="477"/>
    <tableColumn id="5" xr3:uid="{00000000-0010-0000-0000-000005000000}" name="ALG__KORRELVERDELING" dataDxfId="476"/>
    <tableColumn id="6" xr3:uid="{00000000-0010-0000-0000-000006000000}" name="ALG__SONDEERWAARDE" dataDxfId="475"/>
    <tableColumn id="7" xr3:uid="{00000000-0010-0000-0000-000007000000}" name="ALG__CRS" dataDxfId="474"/>
    <tableColumn id="8" xr3:uid="{00000000-0010-0000-0000-000008000000}" name="ALG__SAMENDRUKKING" dataDxfId="473"/>
    <tableColumn id="9" xr3:uid="{00000000-0010-0000-0000-000009000000}" name="ALG__DSS" dataDxfId="472"/>
    <tableColumn id="10" xr3:uid="{00000000-0010-0000-0000-00000A000000}" name="ALG__TRIAXIAAL" dataDxfId="471"/>
    <tableColumn id="11" xr3:uid="{00000000-0010-0000-0000-00000B000000}" name="ALG_OPDRACHTGEVER" dataDxfId="470"/>
    <tableColumn id="12" xr3:uid="{00000000-0010-0000-0000-00000C000000}" name="ALG_PROJECTNAAM" dataDxfId="469"/>
    <tableColumn id="13" xr3:uid="{00000000-0010-0000-0000-00000D000000}" name="ALG_PROJECTNUMMER" dataDxfId="468"/>
    <tableColumn id="14" xr3:uid="{00000000-0010-0000-0000-00000E000000}" name="ALG_NAAM_POLDER_DIJK" dataDxfId="467"/>
    <tableColumn id="15" xr3:uid="{00000000-0010-0000-0000-00000F000000}" name="ALG_REFERENTIE" dataDxfId="466"/>
    <tableColumn id="16" xr3:uid="{00000000-0010-0000-0000-000010000000}" name="ALG_REGIO" dataDxfId="465"/>
    <tableColumn id="17" xr3:uid="{00000000-0010-0000-0000-000011000000}" name="ALG_TYPE_WATERKERING" dataDxfId="464"/>
    <tableColumn id="18" xr3:uid="{00000000-0010-0000-0000-000012000000}" name="ALG_AANLEGJAAR" dataDxfId="463"/>
    <tableColumn id="19" xr3:uid="{00000000-0010-0000-0000-000013000000}" name="ALG_BODEMKAART" dataDxfId="462"/>
    <tableColumn id="20" xr3:uid="{00000000-0010-0000-0000-000014000000}" name="ALG_GEOLOGIE" dataDxfId="461"/>
    <tableColumn id="21" xr3:uid="{00000000-0010-0000-0000-000015000000}" name="ALG_FILENAAM_GEOT_PROFIEL" dataDxfId="460"/>
    <tableColumn id="22" xr3:uid="{00000000-0010-0000-0000-000016000000}" name="BORING_XID" dataDxfId="459"/>
    <tableColumn id="23" xr3:uid="{00000000-0010-0000-0000-000017000000}" name="BORING_YID" dataDxfId="458"/>
    <tableColumn id="24" xr3:uid="{00000000-0010-0000-0000-000018000000}" name="BORING_MAAIVELDPEIL" dataDxfId="457"/>
    <tableColumn id="25" xr3:uid="{00000000-0010-0000-0000-000019000000}" name="BORING_NUMMER" dataDxfId="456"/>
    <tableColumn id="26" xr3:uid="{00000000-0010-0000-0000-00001A000000}" name="BORING_POSITIE" dataDxfId="455"/>
    <tableColumn id="27" xr3:uid="{00000000-0010-0000-0000-00001B000000}" name="BORING_DATUM" dataDxfId="454"/>
    <tableColumn id="28" xr3:uid="{00000000-0010-0000-0000-00001C000000}" name="BORING_FILENAAM_PDF" dataDxfId="453"/>
    <tableColumn id="29" xr3:uid="{00000000-0010-0000-0000-00001D000000}" name="BORING_FILENAAM_GEF" dataDxfId="452"/>
    <tableColumn id="30" xr3:uid="{00000000-0010-0000-0000-00001E000000}" name="BORING_BEDRIJF" dataDxfId="451"/>
    <tableColumn id="31" xr3:uid="{00000000-0010-0000-0000-00001F000000}" name="BORING_BOORMEESTER" dataDxfId="450"/>
    <tableColumn id="32" xr3:uid="{00000000-0010-0000-0000-000020000000}" name="BORING_METHODE" dataDxfId="449"/>
    <tableColumn id="33" xr3:uid="{00000000-0010-0000-0000-000021000000}" name="BORING_OPNAME_GWS" dataDxfId="448"/>
    <tableColumn id="34" xr3:uid="{00000000-0010-0000-0000-000022000000}" name="BORING_GLG" dataDxfId="447"/>
    <tableColumn id="35" xr3:uid="{00000000-0010-0000-0000-000023000000}" name="MONSTER_ID" dataDxfId="446"/>
    <tableColumn id="36" xr3:uid="{00000000-0010-0000-0000-000024000000}" name="MONSTER_STEEKMETHODE" dataDxfId="445"/>
    <tableColumn id="37" xr3:uid="{00000000-0010-0000-0000-000025000000}" name="MONSTER_OPSLAGWIJZE" dataDxfId="444"/>
    <tableColumn id="38" xr3:uid="{00000000-0010-0000-0000-000026000000}" name="MONSTER_NIVEAU_NAP_VANAF" dataDxfId="443"/>
    <tableColumn id="39" xr3:uid="{00000000-0010-0000-0000-000027000000}" name="MONSTER_NIVEAU_NAP_TOT" dataDxfId="442"/>
    <tableColumn id="40" xr3:uid="{00000000-0010-0000-0000-000028000000}" name="MONSTER_NIVEAU_MV_VANAF" dataDxfId="441"/>
    <tableColumn id="41" xr3:uid="{00000000-0010-0000-0000-000029000000}" name="MONSTER_NIVEAU_MV_TOT" dataDxfId="440"/>
    <tableColumn id="42" xr3:uid="{00000000-0010-0000-0000-00002A000000}" name="MONSTER_TOTAAL_VOLUMEGEWICHT" dataDxfId="439"/>
    <tableColumn id="43" xr3:uid="{00000000-0010-0000-0000-00002B000000}" name="CLAS_FILENAAM_PDF" dataDxfId="438"/>
    <tableColumn id="44" xr3:uid="{00000000-0010-0000-0000-00002C000000}" name="CLAS_FILENAAM_DIGITAAL" dataDxfId="437"/>
    <tableColumn id="45" xr3:uid="{00000000-0010-0000-0000-00002D000000}" name="CLAS_MONSTERID" dataDxfId="436"/>
    <tableColumn id="46" xr3:uid="{00000000-0010-0000-0000-00002E000000}" name="CLAS_LABORATORIUM" dataDxfId="435"/>
    <tableColumn id="47" xr3:uid="{00000000-0010-0000-0000-00002F000000}" name="CLAS_NORMEN" dataDxfId="434"/>
    <tableColumn id="48" xr3:uid="{00000000-0010-0000-0000-000030000000}" name="CLAS_DATUM" dataDxfId="433"/>
    <tableColumn id="49" xr3:uid="{00000000-0010-0000-0000-000031000000}" name="CLAS_GRONDSOORT" dataDxfId="432"/>
    <tableColumn id="50" xr3:uid="{00000000-0010-0000-0000-000032000000}" name="CLAS_OVERIGE_BESTANDDELEN" dataDxfId="431"/>
    <tableColumn id="51" xr3:uid="{00000000-0010-0000-0000-000033000000}" name="CLAS_MONSTERNIVEAU" dataDxfId="430"/>
    <tableColumn id="52" xr3:uid="{00000000-0010-0000-0000-000034000000}" name="CLAS_VOLUMEGEWICHT_NAT" dataDxfId="429"/>
    <tableColumn id="53" xr3:uid="{00000000-0010-0000-0000-000035000000}" name="CLAS_VOLUMEGEWICHT_DRG" dataDxfId="428"/>
    <tableColumn id="54" xr3:uid="{00000000-0010-0000-0000-000036000000}" name="CLAS_WATERGEHALTE" dataDxfId="427"/>
    <tableColumn id="55" xr3:uid="{00000000-0010-0000-0000-000037000000}" name="CLAS_POROSITEIT" dataDxfId="426"/>
    <tableColumn id="56" xr3:uid="{00000000-0010-0000-0000-000038000000}" name="CLAS_PORIENGETAL" dataDxfId="425"/>
    <tableColumn id="57" xr3:uid="{00000000-0010-0000-0000-000039000000}" name="CLAS_VERZADIGINGSGRAAD" dataDxfId="424"/>
    <tableColumn id="58" xr3:uid="{00000000-0010-0000-0000-00003A000000}" name="CLAS_VOLUMEGEWICHT_VERZADIGD" dataDxfId="423"/>
    <tableColumn id="59" xr3:uid="{00000000-0010-0000-0000-00003B000000}" name="CLAS_SPECIFIEKE_MASSA_INSCHATTING" dataDxfId="422"/>
    <tableColumn id="60" xr3:uid="{00000000-0010-0000-0000-00003C000000}" name="CLAS_SPECIFIEKE_MASSA" dataDxfId="421"/>
    <tableColumn id="61" xr3:uid="{00000000-0010-0000-0000-00003D000000}" name="CLAS_GLOEIVERLIES" dataDxfId="420"/>
    <tableColumn id="62" xr3:uid="{00000000-0010-0000-0000-00003E000000}" name="CLAS_KALKGEHALTE" dataDxfId="419"/>
    <tableColumn id="63" xr3:uid="{00000000-0010-0000-0000-00003F000000}" name="CLAS_POCKETPENETRO" dataDxfId="418"/>
    <tableColumn id="64" xr3:uid="{00000000-0010-0000-0000-000040000000}" name="CLAS_TORVANE" dataDxfId="417"/>
    <tableColumn id="65" xr3:uid="{00000000-0010-0000-0000-000041000000}" name="CLAS_FALLINGHEAD_K10" dataDxfId="416"/>
    <tableColumn id="66" xr3:uid="{00000000-0010-0000-0000-000042000000}" name="CLAS_CONSTANTHEAD_K10" dataDxfId="415"/>
    <tableColumn id="67" xr3:uid="{00000000-0010-0000-0000-000043000000}" name="CLAS_OPMERKING" dataDxfId="414"/>
    <tableColumn id="68" xr3:uid="{00000000-0010-0000-0000-000044000000}" name="CLAS_AT_VLOEIGRENS_CAS" dataDxfId="413"/>
    <tableColumn id="69" xr3:uid="{00000000-0010-0000-0000-000045000000}" name="CLAS_AT_UITROLGRENS" dataDxfId="412"/>
    <tableColumn id="70" xr3:uid="{00000000-0010-0000-0000-000046000000}" name="CLAS_AT_PI" dataDxfId="411"/>
    <tableColumn id="71" xr3:uid="{00000000-0010-0000-0000-000047000000}" name="CLAS_AT_IC" dataDxfId="410"/>
    <tableColumn id="72" xr3:uid="{00000000-0010-0000-0000-000048000000}" name="CLAS_VN_FILENAAM_PDF" dataDxfId="409"/>
    <tableColumn id="73" xr3:uid="{00000000-0010-0000-0000-000049000000}" name="CLAS_VN_FILENAAM_DIGITAAL" dataDxfId="408"/>
    <tableColumn id="74" xr3:uid="{00000000-0010-0000-0000-00004A000000}" name="CLAS_VN_HOOFDNAAM" dataDxfId="407"/>
    <tableColumn id="75" xr3:uid="{00000000-0010-0000-0000-00004B000000}" name="CLAS_VN_BOTANISCH" dataDxfId="406"/>
    <tableColumn id="76" xr3:uid="{00000000-0010-0000-0000-00004C000000}" name="CLAS_VN_VERWERINGSGRAAD" dataDxfId="405"/>
    <tableColumn id="77" xr3:uid="{00000000-0010-0000-0000-00004D000000}" name="CLAS_VN_WATERGEHALTE" dataDxfId="404"/>
    <tableColumn id="78" xr3:uid="{00000000-0010-0000-0000-00004E000000}" name="CLAS_VN_FIJNEVEZELS" dataDxfId="403"/>
    <tableColumn id="79" xr3:uid="{00000000-0010-0000-0000-00004F000000}" name="CLAS_VN_GROVEVEZELS" dataDxfId="402"/>
    <tableColumn id="80" xr3:uid="{00000000-0010-0000-0000-000050000000}" name="CLAS_VN_HOUT" dataDxfId="401"/>
    <tableColumn id="81" xr3:uid="{00000000-0010-0000-0000-000051000000}" name="CLAS_VN_GLOEIVERLIES" dataDxfId="400"/>
    <tableColumn id="82" xr3:uid="{00000000-0010-0000-0000-000052000000}" name="CLAS_VN_ASGEHALTE" dataDxfId="399"/>
    <tableColumn id="83" xr3:uid="{00000000-0010-0000-0000-000053000000}" name="KV_FILENAAM_PDF" dataDxfId="398"/>
    <tableColumn id="84" xr3:uid="{00000000-0010-0000-0000-000054000000}" name="KV_FILENAAM_GEF" dataDxfId="397"/>
    <tableColumn id="85" xr3:uid="{00000000-0010-0000-0000-000055000000}" name="KV_MONSTERID" dataDxfId="396"/>
    <tableColumn id="86" xr3:uid="{00000000-0010-0000-0000-000056000000}" name="KV_LABORATORIUM" dataDxfId="395"/>
    <tableColumn id="87" xr3:uid="{00000000-0010-0000-0000-000057000000}" name="KV_NORMEN" dataDxfId="394"/>
    <tableColumn id="88" xr3:uid="{00000000-0010-0000-0000-000058000000}" name="KV_DATUM" dataDxfId="393"/>
    <tableColumn id="89" xr3:uid="{00000000-0010-0000-0000-000059000000}" name="KV_GRONDSOORT" dataDxfId="392"/>
    <tableColumn id="90" xr3:uid="{00000000-0010-0000-0000-00005A000000}" name="KV_OVERIGE_BESTANDDELEN" dataDxfId="391"/>
    <tableColumn id="91" xr3:uid="{00000000-0010-0000-0000-00005B000000}" name="KV_MEDIAAN_ZANDFRACTIE" dataDxfId="390"/>
    <tableColumn id="92" xr3:uid="{00000000-0010-0000-0000-00005C000000}" name="KV_MEDIAAN_ALLEFRACTIES" dataDxfId="389"/>
    <tableColumn id="93" xr3:uid="{00000000-0010-0000-0000-00005D000000}" name="KV_GRIND%" dataDxfId="388"/>
    <tableColumn id="94" xr3:uid="{00000000-0010-0000-0000-00005E000000}" name="KV_ZAND%" dataDxfId="387"/>
    <tableColumn id="95" xr3:uid="{00000000-0010-0000-0000-00005F000000}" name="KV_SILT%" dataDxfId="386"/>
    <tableColumn id="96" xr3:uid="{00000000-0010-0000-0000-000060000000}" name="KV_DOOR_63MM" dataDxfId="385"/>
    <tableColumn id="97" xr3:uid="{00000000-0010-0000-0000-000061000000}" name="KV_DOOR_31.5MM" dataDxfId="384"/>
    <tableColumn id="98" xr3:uid="{00000000-0010-0000-0000-000062000000}" name="KV_DOOR_16MM" dataDxfId="383"/>
    <tableColumn id="99" xr3:uid="{00000000-0010-0000-0000-000063000000}" name="KV_DOOR_8MM" dataDxfId="382"/>
    <tableColumn id="100" xr3:uid="{00000000-0010-0000-0000-000064000000}" name="KV_DOOR_4MM" dataDxfId="381"/>
    <tableColumn id="101" xr3:uid="{00000000-0010-0000-0000-000065000000}" name="KV_DOOR_2MM" dataDxfId="380"/>
    <tableColumn id="102" xr3:uid="{00000000-0010-0000-0000-000066000000}" name="KV_DOOR_1MM" dataDxfId="379"/>
    <tableColumn id="103" xr3:uid="{00000000-0010-0000-0000-000067000000}" name="KV_DOOR_500MU" dataDxfId="378"/>
    <tableColumn id="104" xr3:uid="{00000000-0010-0000-0000-000068000000}" name="KV_DOOR_250MU" dataDxfId="377"/>
    <tableColumn id="105" xr3:uid="{00000000-0010-0000-0000-000069000000}" name="KV_DOOR_180MU" dataDxfId="376"/>
    <tableColumn id="106" xr3:uid="{00000000-0010-0000-0000-00006A000000}" name="KV_DOOR_125MU" dataDxfId="375"/>
    <tableColumn id="107" xr3:uid="{00000000-0010-0000-0000-00006B000000}" name="KV_DOOR_63MU" dataDxfId="374"/>
    <tableColumn id="108" xr3:uid="{00000000-0010-0000-0000-00006C000000}" name="KV_DOOR_32MU" dataDxfId="373"/>
    <tableColumn id="109" xr3:uid="{00000000-0010-0000-0000-00006D000000}" name="KV_DOOR_20MU" dataDxfId="372"/>
    <tableColumn id="110" xr3:uid="{00000000-0010-0000-0000-00006E000000}" name="KV_DOOR_16MU" dataDxfId="371"/>
    <tableColumn id="111" xr3:uid="{00000000-0010-0000-0000-00006F000000}" name="KV_DOOR_2MU" dataDxfId="370"/>
    <tableColumn id="112" xr3:uid="{00000000-0010-0000-0000-000070000000}" name="KV_D70" dataDxfId="369"/>
    <tableColumn id="113" xr3:uid="{00000000-0010-0000-0000-000071000000}" name="KV_D60" dataDxfId="368"/>
    <tableColumn id="114" xr3:uid="{00000000-0010-0000-0000-000072000000}" name="KV_D50" dataDxfId="367"/>
    <tableColumn id="115" xr3:uid="{00000000-0010-0000-0000-000073000000}" name="KV_D10" dataDxfId="366"/>
    <tableColumn id="116" xr3:uid="{00000000-0010-0000-0000-000074000000}" name="KV_CU_ZAND" dataDxfId="365"/>
    <tableColumn id="117" xr3:uid="{00000000-0010-0000-0000-000075000000}" name="CPT_FILENAAM_PDF" dataDxfId="364"/>
    <tableColumn id="118" xr3:uid="{00000000-0010-0000-0000-000076000000}" name="CPT_FILENAAM_GEF" dataDxfId="363"/>
    <tableColumn id="119" xr3:uid="{00000000-0010-0000-0000-000077000000}" name="CPT_NIVEAU" dataDxfId="362"/>
    <tableColumn id="120" xr3:uid="{00000000-0010-0000-0000-000078000000}" name="CPT_TRAJECTLENGTE_GEM" dataDxfId="361"/>
    <tableColumn id="121" xr3:uid="{00000000-0010-0000-0000-000079000000}" name="CPT_CONUSWEERSTAND_GEM" dataDxfId="360"/>
    <tableColumn id="122" xr3:uid="{00000000-0010-0000-0000-00007A000000}" name="CPT_WRIJVINGSWEERSTAND_GEM" dataDxfId="359"/>
    <tableColumn id="123" xr3:uid="{00000000-0010-0000-0000-00007B000000}" name="CPT_WRIJVINGSGETAL_GEM" dataDxfId="358"/>
    <tableColumn id="124" xr3:uid="{00000000-0010-0000-0000-00007C000000}" name="CPT_WATERSPANNING_GEM" dataDxfId="357"/>
    <tableColumn id="125" xr3:uid="{00000000-0010-0000-0000-00007D000000}" name="CPT_QNET" dataDxfId="356"/>
    <tableColumn id="126" xr3:uid="{00000000-0010-0000-0000-00007E000000}" name="CPT_QT" dataDxfId="355"/>
    <tableColumn id="127" xr3:uid="{00000000-0010-0000-0000-00007F000000}" name="CPT_VO" dataDxfId="354"/>
    <tableColumn id="128" xr3:uid="{00000000-0010-0000-0000-000080000000}" name="CPT_KLASSE" dataDxfId="353"/>
    <tableColumn id="129" xr3:uid="{00000000-0010-0000-0000-000081000000}" name="CPT_A_FACTOR" dataDxfId="352"/>
    <tableColumn id="130" xr3:uid="{00000000-0010-0000-0000-000082000000}" name="CPT_QBALL" dataDxfId="351"/>
    <tableColumn id="131" xr3:uid="{00000000-0010-0000-0000-000083000000}" name="CRS_FILENAAM_PDF" dataDxfId="350"/>
    <tableColumn id="132" xr3:uid="{00000000-0010-0000-0000-000084000000}" name="CRS_FILENAAM_SPANNINGSPAD" dataDxfId="349"/>
    <tableColumn id="133" xr3:uid="{00000000-0010-0000-0000-000085000000}" name="CRS_MONSTERID" dataDxfId="348"/>
    <tableColumn id="134" xr3:uid="{00000000-0010-0000-0000-000086000000}" name="CRS_LABORATORIUM" dataDxfId="347"/>
    <tableColumn id="135" xr3:uid="{00000000-0010-0000-0000-000087000000}" name="CRS_NORM" dataDxfId="346"/>
    <tableColumn id="136" xr3:uid="{00000000-0010-0000-0000-000088000000}" name="CRS_DATUM" dataDxfId="345"/>
    <tableColumn id="137" xr3:uid="{00000000-0010-0000-0000-000089000000}" name="CRS_GRONDSOORT" dataDxfId="344"/>
    <tableColumn id="138" xr3:uid="{00000000-0010-0000-0000-00008A000000}" name="CRS_OVERIGE_BESTANDDELEN" dataDxfId="343"/>
    <tableColumn id="139" xr3:uid="{00000000-0010-0000-0000-00008B000000}" name="CRS_MONSTERNIVEAU" dataDxfId="342"/>
    <tableColumn id="140" xr3:uid="{00000000-0010-0000-0000-00008C000000}" name="CRS_TERREINSPANNING" dataDxfId="341"/>
    <tableColumn id="141" xr3:uid="{00000000-0010-0000-0000-00008D000000}" name="CRS_VOLUMEGEWICHT_NAT" dataDxfId="340"/>
    <tableColumn id="142" xr3:uid="{00000000-0010-0000-0000-00008E000000}" name="CRS_VOLUMEGEWICHT_DRG" dataDxfId="339"/>
    <tableColumn id="143" xr3:uid="{00000000-0010-0000-0000-00008F000000}" name="CRS_WATERGEHALTE_VOOR" dataDxfId="338"/>
    <tableColumn id="144" xr3:uid="{00000000-0010-0000-0000-000090000000}" name="CRS_WATERGEHALTE_NA_PROEF" dataDxfId="337"/>
    <tableColumn id="145" xr3:uid="{00000000-0010-0000-0000-000091000000}" name="CRS_VERZADIGING" dataDxfId="336"/>
    <tableColumn id="146" xr3:uid="{00000000-0010-0000-0000-000092000000}" name="CRS_TEMPERATUUR_PROEF_MAX" dataDxfId="335"/>
    <tableColumn id="147" xr3:uid="{00000000-0010-0000-0000-000093000000}" name="CRS_TEMPERATUUR_PROEF_MIN" dataDxfId="334"/>
    <tableColumn id="148" xr3:uid="{00000000-0010-0000-0000-000094000000}" name="CRS_PROEFSTUKDIAMETER_VOOR" dataDxfId="333"/>
    <tableColumn id="149" xr3:uid="{00000000-0010-0000-0000-000095000000}" name="CRS_PROEFSTUKHOOGTE_VOOR" dataDxfId="332"/>
    <tableColumn id="150" xr3:uid="{00000000-0010-0000-0000-000096000000}" name="CRS_PROEFSTUKHOOGTE_NA_VERZADIGING" dataDxfId="331"/>
    <tableColumn id="151" xr3:uid="{00000000-0010-0000-0000-000097000000}" name="CRS_PROEFSTUKHOOGTE_NA_PROEF" dataDxfId="330"/>
    <tableColumn id="152" xr3:uid="{00000000-0010-0000-0000-000098000000}" name="CRS_REKSNELHEID_BELASTEN" dataDxfId="329"/>
    <tableColumn id="153" xr3:uid="{00000000-0010-0000-0000-000099000000}" name="CRS_REKSNELHEID_ONTLASTEN" dataDxfId="328"/>
    <tableColumn id="154" xr3:uid="{00000000-0010-0000-0000-00009A000000}" name="CRS_RELAXATIEDUUR" dataDxfId="327"/>
    <tableColumn id="155" xr3:uid="{00000000-0010-0000-0000-00009B000000}" name="CRS_EFF_SPANNING_START_RELAXATIE" dataDxfId="326"/>
    <tableColumn id="156" xr3:uid="{00000000-0010-0000-0000-00009C000000}" name="CRS_EFF_SPANNING_EIND_RELAXATIE" dataDxfId="325"/>
    <tableColumn id="157" xr3:uid="{00000000-0010-0000-0000-00009D000000}" name="CRS_EFF_VERT_SPANNING_START_ONTLASTEN" dataDxfId="324"/>
    <tableColumn id="158" xr3:uid="{00000000-0010-0000-0000-00009E000000}" name="CRS_EFF_VERT_SPANNING_EIND_ONTLASTEN" dataDxfId="323"/>
    <tableColumn id="159" xr3:uid="{00000000-0010-0000-0000-00009F000000}" name="CRS_EFF_VERT_SPANNING_EIND_PROEF" dataDxfId="322"/>
    <tableColumn id="160" xr3:uid="{00000000-0010-0000-0000-0000A0000000}" name="CRS_MAX_REL_WATEROVERSPANNING_PROEF" dataDxfId="321"/>
    <tableColumn id="161" xr3:uid="{00000000-0010-0000-0000-0000A1000000}" name="CRS_GRENSSPANNING_A" dataDxfId="320"/>
    <tableColumn id="162" xr3:uid="{00000000-0010-0000-0000-0000A2000000}" name="CRS_REK_BIJ_GRENSSPANNING_A" dataDxfId="319"/>
    <tableColumn id="163" xr3:uid="{00000000-0010-0000-0000-0000A3000000}" name="CRS_BOVENGRENS_GRENSSPANNING_B" dataDxfId="318"/>
    <tableColumn id="164" xr3:uid="{00000000-0010-0000-0000-0000A4000000}" name="CRS_ISOTACHE_A" dataDxfId="317"/>
    <tableColumn id="165" xr3:uid="{00000000-0010-0000-0000-0000A5000000}" name="CRS_ISOTACHE_B" dataDxfId="316"/>
    <tableColumn id="166" xr3:uid="{00000000-0010-0000-0000-0000A6000000}" name="CRS_ISOTACHE_C" dataDxfId="315"/>
    <tableColumn id="167" xr3:uid="{00000000-0010-0000-0000-0000A7000000}" name="SD_FILENAAM_PDF" dataDxfId="314"/>
    <tableColumn id="168" xr3:uid="{00000000-0010-0000-0000-0000A8000000}" name="SD_FILENAAM_SPANNINGSPAD" dataDxfId="313"/>
    <tableColumn id="169" xr3:uid="{00000000-0010-0000-0000-0000A9000000}" name="SD_MONSTERID" dataDxfId="312"/>
    <tableColumn id="170" xr3:uid="{00000000-0010-0000-0000-0000AA000000}" name="SD_LABORATORIUM" dataDxfId="311"/>
    <tableColumn id="171" xr3:uid="{00000000-0010-0000-0000-0000AB000000}" name="SD_NORM" dataDxfId="310"/>
    <tableColumn id="172" xr3:uid="{00000000-0010-0000-0000-0000AC000000}" name="SD_DATUM" dataDxfId="309"/>
    <tableColumn id="173" xr3:uid="{00000000-0010-0000-0000-0000AD000000}" name="SD_GRONDSOORT" dataDxfId="308"/>
    <tableColumn id="174" xr3:uid="{00000000-0010-0000-0000-0000AE000000}" name="SD_OVERIGE_BESTANDDELEN" dataDxfId="307"/>
    <tableColumn id="175" xr3:uid="{00000000-0010-0000-0000-0000AF000000}" name="SD_MONSTERNIVEAU" dataDxfId="306"/>
    <tableColumn id="176" xr3:uid="{00000000-0010-0000-0000-0000B0000000}" name="SD_TERREINSPANNING" dataDxfId="305"/>
    <tableColumn id="177" xr3:uid="{00000000-0010-0000-0000-0000B1000000}" name="SD_VOLUMEGEWICHT_NAT" dataDxfId="304"/>
    <tableColumn id="178" xr3:uid="{00000000-0010-0000-0000-0000B2000000}" name="SD_VOLUMEGEWICHT_DR" dataDxfId="303"/>
    <tableColumn id="179" xr3:uid="{00000000-0010-0000-0000-0000B3000000}" name="SD_WATERGEHALTE_INI" dataDxfId="302"/>
    <tableColumn id="180" xr3:uid="{00000000-0010-0000-0000-0000B4000000}" name="SD_WATERGEHALTE_NA_PROEF" dataDxfId="301"/>
    <tableColumn id="181" xr3:uid="{00000000-0010-0000-0000-0000B5000000}" name="SD_PORIENGETAL" dataDxfId="300"/>
    <tableColumn id="182" xr3:uid="{00000000-0010-0000-0000-0000B6000000}" name="SD_MAX_TEMPERATUUR_PROEF" dataDxfId="299"/>
    <tableColumn id="183" xr3:uid="{00000000-0010-0000-0000-0000B7000000}" name="SD_MIN_TEMPERATUUR_PROEF" dataDxfId="298"/>
    <tableColumn id="184" xr3:uid="{00000000-0010-0000-0000-0000B8000000}" name="SD_BELAST_ONTLASTSTAPPEN" dataDxfId="297"/>
    <tableColumn id="185" xr3:uid="{00000000-0010-0000-0000-0000B9000000}" name="SD_TYPEPROEF" dataDxfId="296"/>
    <tableColumn id="186" xr3:uid="{00000000-0010-0000-0000-0000BA000000}" name="SD_BJERRUM_GRENSSPANNING" dataDxfId="295"/>
    <tableColumn id="187" xr3:uid="{00000000-0010-0000-0000-0000BB000000}" name="SD_BJERRUM_REK_BIJ_GRENSSPANNING" dataDxfId="294"/>
    <tableColumn id="188" xr3:uid="{00000000-0010-0000-0000-0000BC000000}" name="SD_BJERRUM_CC" dataDxfId="293"/>
    <tableColumn id="189" xr3:uid="{00000000-0010-0000-0000-0000BD000000}" name="SD_BJERRUM_CC_TRAP1_2" dataDxfId="292"/>
    <tableColumn id="190" xr3:uid="{00000000-0010-0000-0000-0000BE000000}" name="SD_BJERRUM_CC_TRAP2_3" dataDxfId="291"/>
    <tableColumn id="191" xr3:uid="{00000000-0010-0000-0000-0000BF000000}" name="SD_BJERRUM_CC_TRAP3_4" dataDxfId="290"/>
    <tableColumn id="192" xr3:uid="{00000000-0010-0000-0000-0000C0000000}" name="SD_BJERRUM_CC_TRAP4_5" dataDxfId="289"/>
    <tableColumn id="193" xr3:uid="{00000000-0010-0000-0000-0000C1000000}" name="SD_BJERRUM_CC_TRAP5_6" dataDxfId="288"/>
    <tableColumn id="194" xr3:uid="{00000000-0010-0000-0000-0000C2000000}" name="SD_BJERRUM_CC_TRAP6_7" dataDxfId="287"/>
    <tableColumn id="195" xr3:uid="{00000000-0010-0000-0000-0000C3000000}" name="SD_BJERRUM_CC_TRAP7_8" dataDxfId="286"/>
    <tableColumn id="196" xr3:uid="{00000000-0010-0000-0000-0000C4000000}" name="SD_BJERRUM_CC_TRAP8_9" dataDxfId="285"/>
    <tableColumn id="197" xr3:uid="{00000000-0010-0000-0000-0000C5000000}" name="SD_BJERRUM_CC_TRAP9_10" dataDxfId="284"/>
    <tableColumn id="198" xr3:uid="{00000000-0010-0000-0000-0000C6000000}" name="SD_BJERRUM_CR" dataDxfId="283"/>
    <tableColumn id="199" xr3:uid="{00000000-0010-0000-0000-0000C7000000}" name="SD_BJERRUM_CR_TRAP1_2" dataDxfId="282"/>
    <tableColumn id="200" xr3:uid="{00000000-0010-0000-0000-0000C8000000}" name="SD_BJERRUM_CR_TRAP2_3" dataDxfId="281"/>
    <tableColumn id="201" xr3:uid="{00000000-0010-0000-0000-0000C9000000}" name="SD_BJERRUM_CR_TRAP3_4" dataDxfId="280"/>
    <tableColumn id="202" xr3:uid="{00000000-0010-0000-0000-0000CA000000}" name="SD_BJERRUM_CR_TRAP4_5" dataDxfId="279"/>
    <tableColumn id="203" xr3:uid="{00000000-0010-0000-0000-0000CB000000}" name="SD_BJERRUM_CR_TRAP5_6" dataDxfId="278"/>
    <tableColumn id="204" xr3:uid="{00000000-0010-0000-0000-0000CC000000}" name="SD_BJERRUM_CR_TRAP6_7" dataDxfId="277"/>
    <tableColumn id="205" xr3:uid="{00000000-0010-0000-0000-0000CD000000}" name="SD_BJERRUM_CR_TRAP7_8" dataDxfId="276"/>
    <tableColumn id="206" xr3:uid="{00000000-0010-0000-0000-0000CE000000}" name="SD_BJERRUM_SR_TRAP8_9" dataDxfId="275"/>
    <tableColumn id="207" xr3:uid="{00000000-0010-0000-0000-0000CF000000}" name="SD_BJERRUM_RR_TRAP9_10" dataDxfId="274"/>
    <tableColumn id="208" xr3:uid="{00000000-0010-0000-0000-0000D0000000}" name="SD_BJERRUM_CALPHA" dataDxfId="273"/>
    <tableColumn id="209" xr3:uid="{00000000-0010-0000-0000-0000D1000000}" name="SD_BJERRUM_CALPHA_TRAP1" dataDxfId="272"/>
    <tableColumn id="210" xr3:uid="{00000000-0010-0000-0000-0000D2000000}" name="SD_BJERRUM_CALPHA_TRAP2" dataDxfId="271"/>
    <tableColumn id="211" xr3:uid="{00000000-0010-0000-0000-0000D3000000}" name="SD_BJERRUM_CALPHA_TRAP3" dataDxfId="270"/>
    <tableColumn id="212" xr3:uid="{00000000-0010-0000-0000-0000D4000000}" name="SD_BJERRUM_CALPHA_TRAP4" dataDxfId="269"/>
    <tableColumn id="213" xr3:uid="{00000000-0010-0000-0000-0000D5000000}" name="SD_BJERRUM_CALPHA_TRAP5" dataDxfId="268"/>
    <tableColumn id="214" xr3:uid="{00000000-0010-0000-0000-0000D6000000}" name="SD_BJERRUM_CALPHA_TRAP6" dataDxfId="267"/>
    <tableColumn id="215" xr3:uid="{00000000-0010-0000-0000-0000D7000000}" name="SD_BJERRUM_CALPHA_TRAP7" dataDxfId="266"/>
    <tableColumn id="216" xr3:uid="{00000000-0010-0000-0000-0000D8000000}" name="SD_BJERRUM_CALPHA_TRAP8" dataDxfId="265"/>
    <tableColumn id="217" xr3:uid="{00000000-0010-0000-0000-0000D9000000}" name="SD_BJERRUM_CALPHA_TRAP9" dataDxfId="264"/>
    <tableColumn id="218" xr3:uid="{00000000-0010-0000-0000-0000DA000000}" name="SD_BJERRUM_CALPHA_TRAP10" dataDxfId="263"/>
    <tableColumn id="219" xr3:uid="{00000000-0010-0000-0000-0000DB000000}" name="SD_BJERRUM_V0" dataDxfId="262"/>
    <tableColumn id="220" xr3:uid="{00000000-0010-0000-0000-0000DC000000}" name="SD_KOPPEJAN_GRENSSPANNING" dataDxfId="261"/>
    <tableColumn id="221" xr3:uid="{00000000-0010-0000-0000-0000DD000000}" name="SD_KOPPEJAN_REK_BIJ_GRENSSPANNING" dataDxfId="260"/>
    <tableColumn id="222" xr3:uid="{00000000-0010-0000-0000-0000DE000000}" name="SD_KOPPEJAN_C" dataDxfId="259"/>
    <tableColumn id="223" xr3:uid="{00000000-0010-0000-0000-0000DF000000}" name="SD_KOPPEJAN_C'" dataDxfId="258"/>
    <tableColumn id="224" xr3:uid="{00000000-0010-0000-0000-0000E0000000}" name="SD_KOPPEJAN_C_TRAP2_3" dataDxfId="257"/>
    <tableColumn id="225" xr3:uid="{00000000-0010-0000-0000-0000E1000000}" name="SD_KOPPEJAN_C_TRAP3_4" dataDxfId="256"/>
    <tableColumn id="226" xr3:uid="{00000000-0010-0000-0000-0000E2000000}" name="SD_KOPPEJAN_C_TRAP4_5" dataDxfId="255"/>
    <tableColumn id="227" xr3:uid="{00000000-0010-0000-0000-0000E3000000}" name="SD_KOPPEJAN_C_TRAP5_6" dataDxfId="254"/>
    <tableColumn id="228" xr3:uid="{00000000-0010-0000-0000-0000E4000000}" name="SD_KOPPEJAN_C_TRAP6_7" dataDxfId="253"/>
    <tableColumn id="229" xr3:uid="{00000000-0010-0000-0000-0000E5000000}" name="SD_KOPPEJAN_C_TRAP7_8" dataDxfId="252"/>
    <tableColumn id="230" xr3:uid="{00000000-0010-0000-0000-0000E6000000}" name="SD_KOPPEJAN_C_TRAP8_9" dataDxfId="251"/>
    <tableColumn id="231" xr3:uid="{00000000-0010-0000-0000-0000E7000000}" name="SD_KOPPEJAN_CP" dataDxfId="250"/>
    <tableColumn id="232" xr3:uid="{00000000-0010-0000-0000-0000E8000000}" name="SD_KOPPEJAN_C'P" dataDxfId="249"/>
    <tableColumn id="233" xr3:uid="{00000000-0010-0000-0000-0000E9000000}" name="SD_KOPPEJAN_CP_TRAP2_3" dataDxfId="248"/>
    <tableColumn id="234" xr3:uid="{00000000-0010-0000-0000-0000EA000000}" name="SD_KOPPEJAN_CP_TRAP3_4" dataDxfId="247"/>
    <tableColumn id="235" xr3:uid="{00000000-0010-0000-0000-0000EB000000}" name="SD_KOPPEJAN_CP_TRAP4_5" dataDxfId="246"/>
    <tableColumn id="236" xr3:uid="{00000000-0010-0000-0000-0000EC000000}" name="SD_KOPPEJAN_CP_TRAP5_6" dataDxfId="245"/>
    <tableColumn id="237" xr3:uid="{00000000-0010-0000-0000-0000ED000000}" name="SD_KOPPEJAN_CP_TRAP6_7" dataDxfId="244"/>
    <tableColumn id="238" xr3:uid="{00000000-0010-0000-0000-0000EE000000}" name="SD_KOPPEJAN_CP_TRAP7_8" dataDxfId="243"/>
    <tableColumn id="239" xr3:uid="{00000000-0010-0000-0000-0000EF000000}" name="SD_KOPPEJAN_CP_TRAP8_9" dataDxfId="242"/>
    <tableColumn id="240" xr3:uid="{00000000-0010-0000-0000-0000F0000000}" name="SD_KOPPEJAN_CS" dataDxfId="241"/>
    <tableColumn id="241" xr3:uid="{00000000-0010-0000-0000-0000F1000000}" name="SD_KOPPEJAN_C'S" dataDxfId="240"/>
    <tableColumn id="242" xr3:uid="{00000000-0010-0000-0000-0000F2000000}" name="SD_KOPPEJAN_CS_TRAP2_3" dataDxfId="239"/>
    <tableColumn id="243" xr3:uid="{00000000-0010-0000-0000-0000F3000000}" name="SD_KOPPEJAN_CS_TRAP3_4" dataDxfId="238"/>
    <tableColumn id="244" xr3:uid="{00000000-0010-0000-0000-0000F4000000}" name="SD_KOPPEJAN_CS_TRAP4_5" dataDxfId="237"/>
    <tableColumn id="245" xr3:uid="{00000000-0010-0000-0000-0000F5000000}" name="SD_KOPPEJAN_CS_TRAP5_6" dataDxfId="236"/>
    <tableColumn id="246" xr3:uid="{00000000-0010-0000-0000-0000F6000000}" name="SD_KOPPEJAN_CS_TRAP6_7" dataDxfId="235"/>
    <tableColumn id="247" xr3:uid="{00000000-0010-0000-0000-0000F7000000}" name="SD_KOPPEJAN_CS_TRAP7_8" dataDxfId="234"/>
    <tableColumn id="248" xr3:uid="{00000000-0010-0000-0000-0000F8000000}" name="SD_KOPPEJAN_CS_TRAP8_9" dataDxfId="233"/>
    <tableColumn id="249" xr3:uid="{00000000-0010-0000-0000-0000F9000000}" name="SD_ISOTACHE_A" dataDxfId="232"/>
    <tableColumn id="250" xr3:uid="{00000000-0010-0000-0000-0000FA000000}" name="SD_ISOTACHE_B" dataDxfId="231"/>
    <tableColumn id="251" xr3:uid="{00000000-0010-0000-0000-0000FB000000}" name="SD_ISOTACHE_C" dataDxfId="230"/>
    <tableColumn id="252" xr3:uid="{00000000-0010-0000-0000-0000FC000000}" name="SD_ISOTACHE_GRENSSPANNING_A" dataDxfId="229"/>
    <tableColumn id="253" xr3:uid="{00000000-0010-0000-0000-0000FD000000}" name="SD_ISOTACHE_REK_BIJ_GRENSSPANNING_A" dataDxfId="228"/>
    <tableColumn id="254" xr3:uid="{00000000-0010-0000-0000-0000FE000000}" name="SD_ISOTACHE_BOVENGRENS_GRENSSPANNING_B" dataDxfId="227"/>
    <tableColumn id="255" xr3:uid="{00000000-0010-0000-0000-0000FF000000}" name="SD_CASAGRANDE_CV10_TRAP2" dataDxfId="226"/>
    <tableColumn id="256" xr3:uid="{00000000-0010-0000-0000-000000010000}" name="SD_CASAGRANDE_CV10_TRAP3" dataDxfId="225"/>
    <tableColumn id="257" xr3:uid="{00000000-0010-0000-0000-000001010000}" name="SD_CASAGRANDE_CV10_TRAP4" dataDxfId="224"/>
    <tableColumn id="258" xr3:uid="{00000000-0010-0000-0000-000002010000}" name="SD_CASAGRANDE_CV10_TRAP5" dataDxfId="223"/>
    <tableColumn id="259" xr3:uid="{00000000-0010-0000-0000-000003010000}" name="SD_CASAGRANDE_CV10_TRAP6" dataDxfId="222"/>
    <tableColumn id="260" xr3:uid="{00000000-0010-0000-0000-000004010000}" name="SD_CASAGRANDE_CV10_TRAP7" dataDxfId="221"/>
    <tableColumn id="261" xr3:uid="{00000000-0010-0000-0000-000005010000}" name="SD_CASAGRANDE_CV10_TRAP8" dataDxfId="220"/>
    <tableColumn id="262" xr3:uid="{00000000-0010-0000-0000-000006010000}" name="SD_CASAGRANDE_CV10_TRAP9" dataDxfId="219"/>
    <tableColumn id="263" xr3:uid="{00000000-0010-0000-0000-000007010000}" name="SD_CASAGRANDE_K10_TRAP2" dataDxfId="218"/>
    <tableColumn id="264" xr3:uid="{00000000-0010-0000-0000-000008010000}" name="SD_CASAGRANDE_K10_TRAP3" dataDxfId="217"/>
    <tableColumn id="265" xr3:uid="{00000000-0010-0000-0000-000009010000}" name="SD_CASAGRANDE_K10_TRAP4" dataDxfId="216"/>
    <tableColumn id="266" xr3:uid="{00000000-0010-0000-0000-00000A010000}" name="SD_CASAGRANDE_K10_TRAP5" dataDxfId="215"/>
    <tableColumn id="267" xr3:uid="{00000000-0010-0000-0000-00000B010000}" name="SD_CASAGRANDE_K10_TRAP6" dataDxfId="214"/>
    <tableColumn id="268" xr3:uid="{00000000-0010-0000-0000-00000C010000}" name="SD_CASAGRANDE_K10_TRAP7" dataDxfId="213"/>
    <tableColumn id="269" xr3:uid="{00000000-0010-0000-0000-00000D010000}" name="SD_CASAGRANDE_K10_TRAP8" dataDxfId="212"/>
    <tableColumn id="270" xr3:uid="{00000000-0010-0000-0000-00000E010000}" name="SD_CASAGRANDE_K10_TRAP9" dataDxfId="211"/>
    <tableColumn id="271" xr3:uid="{00000000-0010-0000-0000-00000F010000}" name="SD_CASAGRANDE_MV_TRAP2" dataDxfId="210"/>
    <tableColumn id="272" xr3:uid="{00000000-0010-0000-0000-000010010000}" name="SD_CASAGRANDE_MV_TRAP3" dataDxfId="209"/>
    <tableColumn id="273" xr3:uid="{00000000-0010-0000-0000-000011010000}" name="SD_CASAGRANDE_MV_TRAP4" dataDxfId="208"/>
    <tableColumn id="274" xr3:uid="{00000000-0010-0000-0000-000012010000}" name="SD_CASAGRANDE_MV_TRAP5" dataDxfId="207"/>
    <tableColumn id="275" xr3:uid="{00000000-0010-0000-0000-000013010000}" name="SD_CASAGRANDE_MV_TRAP6" dataDxfId="206"/>
    <tableColumn id="276" xr3:uid="{00000000-0010-0000-0000-000014010000}" name="SD_CASAGRANDE_MV_TRAP7" dataDxfId="205"/>
    <tableColumn id="277" xr3:uid="{00000000-0010-0000-0000-000015010000}" name="SD_CASAGRANDE_MV_TRAP8" dataDxfId="204"/>
    <tableColumn id="278" xr3:uid="{00000000-0010-0000-0000-000016010000}" name="SD_CASAGRANDE_MV_TRAP9" dataDxfId="203"/>
    <tableColumn id="279" xr3:uid="{00000000-0010-0000-0000-000017010000}" name="SD_CASAGRANDE_SPANNING_CV10_TRAP2" dataDxfId="202"/>
    <tableColumn id="280" xr3:uid="{00000000-0010-0000-0000-000018010000}" name="SD_CASAGRANDE_SPANNING_CV10_TRAP3" dataDxfId="201"/>
    <tableColumn id="281" xr3:uid="{00000000-0010-0000-0000-000019010000}" name="SD_CASAGRANDE_SPANNING_CV10_TRAP4" dataDxfId="200"/>
    <tableColumn id="282" xr3:uid="{00000000-0010-0000-0000-00001A010000}" name="SD_CASAGRANDE_SPANNING_CV10_TRAP5" dataDxfId="199"/>
    <tableColumn id="283" xr3:uid="{00000000-0010-0000-0000-00001B010000}" name="SD_CASAGRANDE_SPANNING_CV10_TRAP6" dataDxfId="198"/>
    <tableColumn id="284" xr3:uid="{00000000-0010-0000-0000-00001C010000}" name="SD_CASAGRANDE_SPANNING_CV10_TRAP7" dataDxfId="197"/>
    <tableColumn id="285" xr3:uid="{00000000-0010-0000-0000-00001D010000}" name="SD_CASAGRANDE_SPANNING_CV10_TRAP8" dataDxfId="196"/>
    <tableColumn id="286" xr3:uid="{00000000-0010-0000-0000-00001E010000}" name="SD_CASAGRANDE_SPANNING_CV10_TRAP9" dataDxfId="195"/>
    <tableColumn id="287" xr3:uid="{00000000-0010-0000-0000-00001F010000}" name="SD_TAYLOR_CV10_TRAP2" dataDxfId="194"/>
    <tableColumn id="288" xr3:uid="{00000000-0010-0000-0000-000020010000}" name="SD_TAYLOR_CV10_TRAP3" dataDxfId="193"/>
    <tableColumn id="289" xr3:uid="{00000000-0010-0000-0000-000021010000}" name="SD_TAYLOR_CV10_TRAP4" dataDxfId="192"/>
    <tableColumn id="290" xr3:uid="{00000000-0010-0000-0000-000022010000}" name="SD_TAYLOR_CV10_TRAP5" dataDxfId="191"/>
    <tableColumn id="291" xr3:uid="{00000000-0010-0000-0000-000023010000}" name="SD_TAYLOR_CV10_TRAP6" dataDxfId="190"/>
    <tableColumn id="292" xr3:uid="{00000000-0010-0000-0000-000024010000}" name="SD_TAYLOR_CV10_TRAP7" dataDxfId="189"/>
    <tableColumn id="293" xr3:uid="{00000000-0010-0000-0000-000025010000}" name="SD_TAYLOR_CV10_TRAP8" dataDxfId="188"/>
    <tableColumn id="294" xr3:uid="{00000000-0010-0000-0000-000026010000}" name="SD_TAYLOR_CV10_TRAP9" dataDxfId="187"/>
    <tableColumn id="295" xr3:uid="{00000000-0010-0000-0000-000027010000}" name="SD_TAYLOR_K10_TRAP2" dataDxfId="186"/>
    <tableColumn id="296" xr3:uid="{00000000-0010-0000-0000-000028010000}" name="SD_TAYLOR_K10_TRAP3" dataDxfId="185"/>
    <tableColumn id="297" xr3:uid="{00000000-0010-0000-0000-000029010000}" name="SD_TAYLOR_K10_TRAP4" dataDxfId="184"/>
    <tableColumn id="298" xr3:uid="{00000000-0010-0000-0000-00002A010000}" name="SD_TAYLOR_K10_TRAP5" dataDxfId="183"/>
    <tableColumn id="299" xr3:uid="{00000000-0010-0000-0000-00002B010000}" name="SD_TAYLOR_K10_TRAP6" dataDxfId="182"/>
    <tableColumn id="300" xr3:uid="{00000000-0010-0000-0000-00002C010000}" name="SD_TAYLOR_K10_TRAP7" dataDxfId="181"/>
    <tableColumn id="301" xr3:uid="{00000000-0010-0000-0000-00002D010000}" name="SD_TAYLOR_K10_TRAP8" dataDxfId="180"/>
    <tableColumn id="302" xr3:uid="{00000000-0010-0000-0000-00002E010000}" name="SD_TAYLOR_K10_TRAP9" dataDxfId="179"/>
    <tableColumn id="303" xr3:uid="{00000000-0010-0000-0000-00002F010000}" name="SD_TAYLOR_MV_TRAP2" dataDxfId="178"/>
    <tableColumn id="304" xr3:uid="{00000000-0010-0000-0000-000030010000}" name="SD_TAYLOR_MV_TRAP3" dataDxfId="177"/>
    <tableColumn id="305" xr3:uid="{00000000-0010-0000-0000-000031010000}" name="SD_TAYLOR_MV_TRAP4" dataDxfId="176"/>
    <tableColumn id="306" xr3:uid="{00000000-0010-0000-0000-000032010000}" name="SD_TAYLOR_MV_TRAP5" dataDxfId="175"/>
    <tableColumn id="307" xr3:uid="{00000000-0010-0000-0000-000033010000}" name="SD_TAYLOR_MV_TRAP6" dataDxfId="174"/>
    <tableColumn id="308" xr3:uid="{00000000-0010-0000-0000-000034010000}" name="SD_TAYLOR_MV_TRAP7" dataDxfId="173"/>
    <tableColumn id="309" xr3:uid="{00000000-0010-0000-0000-000035010000}" name="SD_TAYLOR_MV_TRAP8" dataDxfId="172"/>
    <tableColumn id="310" xr3:uid="{00000000-0010-0000-0000-000036010000}" name="SD_TAYLOR_MV_TRAP9" dataDxfId="171"/>
    <tableColumn id="311" xr3:uid="{00000000-0010-0000-0000-000037010000}" name="SD_TAYLOR_SPANNING_CV10_TRAP2" dataDxfId="170"/>
    <tableColumn id="312" xr3:uid="{00000000-0010-0000-0000-000038010000}" name="SD_TAYLOR_SPANNING_CV10_TRAP3" dataDxfId="169"/>
    <tableColumn id="313" xr3:uid="{00000000-0010-0000-0000-000039010000}" name="SD_TAYLOR_SPANNING_CV10_TRAP4" dataDxfId="168"/>
    <tableColumn id="314" xr3:uid="{00000000-0010-0000-0000-00003A010000}" name="SD_TAYLOR_SPANNING_CV10_TRAP5" dataDxfId="167"/>
    <tableColumn id="315" xr3:uid="{00000000-0010-0000-0000-00003B010000}" name="SD_TAYLOR_SPANNING_CV10_TRAP6" dataDxfId="166"/>
    <tableColumn id="316" xr3:uid="{00000000-0010-0000-0000-00003C010000}" name="SD_TAYLOR_SPANNING_CV10_TRAP7" dataDxfId="165"/>
    <tableColumn id="317" xr3:uid="{00000000-0010-0000-0000-00003D010000}" name="SD_TAYLOR_SPANNING_CV10_TRAP8" dataDxfId="164"/>
    <tableColumn id="318" xr3:uid="{00000000-0010-0000-0000-00003E010000}" name="SD_TAYLOR_SPANNING_CV10_TRAP9" dataDxfId="163"/>
    <tableColumn id="319" xr3:uid="{00000000-0010-0000-0000-00003F010000}" name="DSS_FILENAAM_PDF" dataDxfId="162"/>
    <tableColumn id="320" xr3:uid="{00000000-0010-0000-0000-000040010000}" name="DSS_FILENAAM_SPANNINGSPAD" dataDxfId="161"/>
    <tableColumn id="321" xr3:uid="{00000000-0010-0000-0000-000041010000}" name="DSS_MONSTERID" dataDxfId="160"/>
    <tableColumn id="322" xr3:uid="{00000000-0010-0000-0000-000042010000}" name="DSS_LABORATORIUM" dataDxfId="159"/>
    <tableColumn id="323" xr3:uid="{00000000-0010-0000-0000-000043010000}" name="DSS_NORM" dataDxfId="158"/>
    <tableColumn id="324" xr3:uid="{00000000-0010-0000-0000-000044010000}" name="DSS_DATUM" dataDxfId="157"/>
    <tableColumn id="325" xr3:uid="{00000000-0010-0000-0000-000045010000}" name="DSS_GRONDSOORT" dataDxfId="156"/>
    <tableColumn id="326" xr3:uid="{00000000-0010-0000-0000-000046010000}" name="DSS_OVERIGE_BESTANDDELEN" dataDxfId="155"/>
    <tableColumn id="327" xr3:uid="{00000000-0010-0000-0000-000047010000}" name="DSS_MONSTERNIVEAU" dataDxfId="154"/>
    <tableColumn id="328" xr3:uid="{00000000-0010-0000-0000-000048010000}" name="DSS_TERREINSPANNING" dataDxfId="153"/>
    <tableColumn id="329" xr3:uid="{00000000-0010-0000-0000-000049010000}" name="DSS_VOLUMEGEWICHT_NAT" dataDxfId="152"/>
    <tableColumn id="330" xr3:uid="{00000000-0010-0000-0000-00004A010000}" name="DSS_VOLUMEGEWICHT_DRG" dataDxfId="151"/>
    <tableColumn id="331" xr3:uid="{00000000-0010-0000-0000-00004B010000}" name="DSS_WATERGEHALTE_VOOR" dataDxfId="150"/>
    <tableColumn id="332" xr3:uid="{00000000-0010-0000-0000-00004C010000}" name="DSS_WATERGEHALTE_NA_PROEF" dataDxfId="149"/>
    <tableColumn id="333" xr3:uid="{00000000-0010-0000-0000-00004D010000}" name="DSS_VERZADIGINGGRAAD_VOOR" dataDxfId="148"/>
    <tableColumn id="334" xr3:uid="{00000000-0010-0000-0000-00004E010000}" name="DSS_PORIENGETAL_VOOR" dataDxfId="147"/>
    <tableColumn id="335" xr3:uid="{00000000-0010-0000-0000-00004F010000}" name="DSS_PORIENGETAL_EINDE_CONSOLIDATIE" dataDxfId="146"/>
    <tableColumn id="336" xr3:uid="{00000000-0010-0000-0000-000050010000}" name="DSS_SPECIFIEKE_MASSA" dataDxfId="145"/>
    <tableColumn id="337" xr3:uid="{00000000-0010-0000-0000-000051010000}" name="DSS_TEMPERATUUR_PROEF_MAX" dataDxfId="144"/>
    <tableColumn id="338" xr3:uid="{00000000-0010-0000-0000-000052010000}" name="DSS_TEMPERATUUR_PROEF_MIN" dataDxfId="143"/>
    <tableColumn id="339" xr3:uid="{00000000-0010-0000-0000-000053010000}" name="DSS_PROEFSTUKDIAMETER_VOOR" dataDxfId="142"/>
    <tableColumn id="340" xr3:uid="{00000000-0010-0000-0000-000054010000}" name="DSS_PROEFSTUKHOOGTE_VOOR" dataDxfId="141"/>
    <tableColumn id="341" xr3:uid="{00000000-0010-0000-0000-000055010000}" name="DSS_PROEFSTUKHOOGTE_NA_CONSOLIDATIE" dataDxfId="140"/>
    <tableColumn id="342" xr3:uid="{00000000-0010-0000-0000-000056010000}" name="DSS_UITGEVOERDE_CORRECTIES" dataDxfId="139"/>
    <tableColumn id="343" xr3:uid="{00000000-0010-0000-0000-000057010000}" name="DSS_UITVOERINGSWIJZE" dataDxfId="138"/>
    <tableColumn id="344" xr3:uid="{00000000-0010-0000-0000-000058010000}" name="DSS_MAX_EFF_VERT_SPANNING_CONSOLIDATIE" dataDxfId="137"/>
    <tableColumn id="345" xr3:uid="{00000000-0010-0000-0000-000059010000}" name="DSS_EFF_VERT_SPANNING_EINDE_CONSOLIDATIE" dataDxfId="136"/>
    <tableColumn id="346" xr3:uid="{00000000-0010-0000-0000-00005A010000}" name="DSS_OCR" dataDxfId="135"/>
    <tableColumn id="347" xr3:uid="{00000000-0010-0000-0000-00005B010000}" name="DSS_AXIALEREK_EINDE_CONSOLIDATIE" dataDxfId="134"/>
    <tableColumn id="348" xr3:uid="{00000000-0010-0000-0000-00005C010000}" name="DSS_BELASTINGSSTAPPEN_CONSOLIDATIE" dataDxfId="133"/>
    <tableColumn id="349" xr3:uid="{00000000-0010-0000-0000-00005D010000}" name="DSS_DUUR_CONSOLIDATIE" dataDxfId="132"/>
    <tableColumn id="350" xr3:uid="{00000000-0010-0000-0000-00005E010000}" name="DSS_AFSCHUIFSNELHEID_%UUR" dataDxfId="131"/>
    <tableColumn id="351" xr3:uid="{00000000-0010-0000-0000-00005F010000}" name="DSS_AFSCHUIFSNELHEID_MMUUR" dataDxfId="130"/>
    <tableColumn id="352" xr3:uid="{00000000-0010-0000-0000-000060010000}" name="DSS_S_2%" dataDxfId="129"/>
    <tableColumn id="353" xr3:uid="{00000000-0010-0000-0000-000061010000}" name="DSS_T_2%" dataDxfId="128"/>
    <tableColumn id="354" xr3:uid="{00000000-0010-0000-0000-000062010000}" name="DSS_S_5%" dataDxfId="127"/>
    <tableColumn id="355" xr3:uid="{00000000-0010-0000-0000-000063010000}" name="DSS_T_5%" dataDxfId="126"/>
    <tableColumn id="356" xr3:uid="{00000000-0010-0000-0000-000064010000}" name="DSS_S_10%" dataDxfId="125"/>
    <tableColumn id="357" xr3:uid="{00000000-0010-0000-0000-000065010000}" name="DSS_T_10%" dataDxfId="124"/>
    <tableColumn id="358" xr3:uid="{00000000-0010-0000-0000-000066010000}" name="DSS_S_15%" dataDxfId="123"/>
    <tableColumn id="359" xr3:uid="{00000000-0010-0000-0000-000067010000}" name="DSS_T_15%" dataDxfId="122"/>
    <tableColumn id="360" xr3:uid="{00000000-0010-0000-0000-000068010000}" name="DSS_S_20%" dataDxfId="121"/>
    <tableColumn id="361" xr3:uid="{00000000-0010-0000-0000-000069010000}" name="DSS_T_20%" dataDxfId="120"/>
    <tableColumn id="362" xr3:uid="{00000000-0010-0000-0000-00006A010000}" name="DSS_S_BIJ_T_MAX" dataDxfId="119"/>
    <tableColumn id="363" xr3:uid="{00000000-0010-0000-0000-00006B010000}" name="DSS_T_MAX" dataDxfId="118"/>
    <tableColumn id="364" xr3:uid="{00000000-0010-0000-0000-00006C010000}" name="DSS_REK_BIJ_T_MAX" dataDxfId="117"/>
    <tableColumn id="365" xr3:uid="{00000000-0010-0000-0000-00006D010000}" name="DSS_S_BIJ_T_EIND" dataDxfId="116"/>
    <tableColumn id="366" xr3:uid="{00000000-0010-0000-0000-00006E010000}" name="DSS_T_EIND" dataDxfId="115"/>
    <tableColumn id="367" xr3:uid="{00000000-0010-0000-0000-00006F010000}" name="DSS_REK_BIJ_T_EIND" dataDxfId="114"/>
    <tableColumn id="368" xr3:uid="{00000000-0010-0000-0000-000070010000}" name="DSS_S_BIJ_MAX_S1S3" dataDxfId="113"/>
    <tableColumn id="369" xr3:uid="{00000000-0010-0000-0000-000071010000}" name="DSS_T_BIJ_MAX_S1S3" dataDxfId="112"/>
    <tableColumn id="370" xr3:uid="{00000000-0010-0000-0000-000072010000}" name="DSS_REK_BIJ_MAX_S1S3" dataDxfId="111"/>
    <tableColumn id="371" xr3:uid="{00000000-0010-0000-0000-000073010000}" name="DSS_SCHUIFMODULUS_G50" dataDxfId="110"/>
    <tableColumn id="372" xr3:uid="{00000000-0010-0000-0000-000074010000}" name="TXT_SS_FILENAAM_PDF" dataDxfId="109"/>
    <tableColumn id="373" xr3:uid="{00000000-0010-0000-0000-000075010000}" name="TXT_SS_FILENAAM_SPANNINGSPAD" dataDxfId="108"/>
    <tableColumn id="374" xr3:uid="{00000000-0010-0000-0000-000076010000}" name="TXT_SS_MONSTERID" dataDxfId="107"/>
    <tableColumn id="375" xr3:uid="{00000000-0010-0000-0000-000077010000}" name="TXT_SS_LABORATORIUM" dataDxfId="106"/>
    <tableColumn id="376" xr3:uid="{00000000-0010-0000-0000-000078010000}" name="TXT_SS_NORM" dataDxfId="105"/>
    <tableColumn id="377" xr3:uid="{00000000-0010-0000-0000-000079010000}" name="TXT_SS_DATUM" dataDxfId="104"/>
    <tableColumn id="378" xr3:uid="{00000000-0010-0000-0000-00007A010000}" name="TXT_SS_GRONDSOORT" dataDxfId="103"/>
    <tableColumn id="379" xr3:uid="{00000000-0010-0000-0000-00007B010000}" name="TXT_SS_OVERIGE_BESTANDDELEN" dataDxfId="102"/>
    <tableColumn id="380" xr3:uid="{00000000-0010-0000-0000-00007C010000}" name="TXT_SS_MONSTERNIVEAU" dataDxfId="101"/>
    <tableColumn id="381" xr3:uid="{00000000-0010-0000-0000-00007D010000}" name="TXT_SS_TERREINSPANNING" dataDxfId="100"/>
    <tableColumn id="382" xr3:uid="{00000000-0010-0000-0000-00007E010000}" name="TXT_SS_VOLUMEGEWICHT_NAT" dataDxfId="99"/>
    <tableColumn id="383" xr3:uid="{00000000-0010-0000-0000-00007F010000}" name="TXT_SS_VOLUMEGEWICHT_DRG" dataDxfId="98"/>
    <tableColumn id="384" xr3:uid="{00000000-0010-0000-0000-000080010000}" name="TXT_SS_WATERGEHALTE_NA_PROEF" dataDxfId="97"/>
    <tableColumn id="385" xr3:uid="{00000000-0010-0000-0000-000081010000}" name="TXT_SS_WATERGEHALTE_VOOR" dataDxfId="96"/>
    <tableColumn id="386" xr3:uid="{00000000-0010-0000-0000-000082010000}" name="TXT_SS_VERZADIGINGSGRAAD_VOOR" dataDxfId="95"/>
    <tableColumn id="387" xr3:uid="{00000000-0010-0000-0000-000083010000}" name="TXT_SS_PORIENGETAL_VOOR" dataDxfId="94"/>
    <tableColumn id="388" xr3:uid="{00000000-0010-0000-0000-000084010000}" name="TXT_SS_SPECIFIEKE_MASSA" dataDxfId="93"/>
    <tableColumn id="389" xr3:uid="{00000000-0010-0000-0000-000085010000}" name="TXT_SS_TEMPERATUUR_PROEF_MAX" dataDxfId="92"/>
    <tableColumn id="390" xr3:uid="{00000000-0010-0000-0000-000086010000}" name="TXT_SS_TEMPERATUUR_PROEF_MIN" dataDxfId="91"/>
    <tableColumn id="391" xr3:uid="{00000000-0010-0000-0000-000087010000}" name="TXT_SS_PROEFSTUKDIAMETER_VOOR" dataDxfId="90"/>
    <tableColumn id="392" xr3:uid="{00000000-0010-0000-0000-000088010000}" name="TXT_SS_PROEFSTUKHOOGTE_VOOR" dataDxfId="89"/>
    <tableColumn id="393" xr3:uid="{00000000-0010-0000-0000-000089010000}" name="TXT_SS_TYPE_PROEF" dataDxfId="88"/>
    <tableColumn id="394" xr3:uid="{00000000-0010-0000-0000-00008A010000}" name="TXT_SS_MEMBRAANCORRECTIE" dataDxfId="87"/>
    <tableColumn id="395" xr3:uid="{00000000-0010-0000-0000-00008B010000}" name="TXT_SS_OVERIGECORRECTIES" dataDxfId="86"/>
    <tableColumn id="396" xr3:uid="{00000000-0010-0000-0000-00008C010000}" name="TXT_SS_BACKPRESSURE" dataDxfId="85"/>
    <tableColumn id="397" xr3:uid="{00000000-0010-0000-0000-00008D010000}" name="TXT_SS_CONSOLIDATIEWIJZE" dataDxfId="84"/>
    <tableColumn id="398" xr3:uid="{00000000-0010-0000-0000-00008E010000}" name="TXT_SS_SPANNINGSVERHOUDING_STOPCR_K" dataDxfId="83"/>
    <tableColumn id="399" xr3:uid="{00000000-0010-0000-0000-00008F010000}" name="TXT_SS_STOPCRITERIUM_CONSOLIDATIE" dataDxfId="82"/>
    <tableColumn id="400" xr3:uid="{00000000-0010-0000-0000-000090010000}" name="TXT_SS_S'_ISOTROOP_CONSOLIDATIE" dataDxfId="81"/>
    <tableColumn id="401" xr3:uid="{00000000-0010-0000-0000-000091010000}" name="TXT_SS_T_ISOTROOP_CONSOLIDATIE" dataDxfId="80"/>
    <tableColumn id="402" xr3:uid="{00000000-0010-0000-0000-000092010000}" name="TXT_SS_S'_MAX_CONSOLIDATIE" dataDxfId="79"/>
    <tableColumn id="403" xr3:uid="{00000000-0010-0000-0000-000093010000}" name="TXT_SS_T_MAX_CONSOLIDATIE" dataDxfId="78"/>
    <tableColumn id="404" xr3:uid="{00000000-0010-0000-0000-000094010000}" name="TXT_SS_S'_EIND_CONSOLIDATIE" dataDxfId="77"/>
    <tableColumn id="405" xr3:uid="{00000000-0010-0000-0000-000095010000}" name="TXT_SS_T_EIND_CONSOLIDATIE" dataDxfId="76"/>
    <tableColumn id="406" xr3:uid="{00000000-0010-0000-0000-000096010000}" name="TXT_SS_OCR" dataDxfId="75"/>
    <tableColumn id="407" xr3:uid="{00000000-0010-0000-0000-000097010000}" name="TXT_SS_AXIALEREK_CONSOLIDATIE" dataDxfId="74"/>
    <tableColumn id="408" xr3:uid="{00000000-0010-0000-0000-000098010000}" name="TXT_SS_VOLUMEREK_CONSOLIDATIE" dataDxfId="73"/>
    <tableColumn id="409" xr3:uid="{00000000-0010-0000-0000-000099010000}" name="TXT_SS_STOPCRITERIUM_AFSCHUIVEN" dataDxfId="72"/>
    <tableColumn id="410" xr3:uid="{00000000-0010-0000-0000-00009A010000}" name="TXT_SS_AXIALEREKSNELHEID_AFSCHUIVEN" dataDxfId="71"/>
    <tableColumn id="411" xr3:uid="{00000000-0010-0000-0000-00009B010000}" name="TXT_SS_S'_2%" dataDxfId="70"/>
    <tableColumn id="412" xr3:uid="{00000000-0010-0000-0000-00009C010000}" name="TXT_SS_T_2%" dataDxfId="69"/>
    <tableColumn id="413" xr3:uid="{00000000-0010-0000-0000-00009D010000}" name="TXT_SS_S'_5%" dataDxfId="68"/>
    <tableColumn id="414" xr3:uid="{00000000-0010-0000-0000-00009E010000}" name="TXT_SS_T_5%" dataDxfId="67"/>
    <tableColumn id="415" xr3:uid="{00000000-0010-0000-0000-00009F010000}" name="TXT_SS_S'_15%" dataDxfId="66"/>
    <tableColumn id="416" xr3:uid="{00000000-0010-0000-0000-0000A0010000}" name="TXT_SS_T_15%" dataDxfId="65"/>
    <tableColumn id="417" xr3:uid="{00000000-0010-0000-0000-0000A1010000}" name="TXT_SS_S'_BIJ_T_PIEK" dataDxfId="64"/>
    <tableColumn id="418" xr3:uid="{00000000-0010-0000-0000-0000A2010000}" name="TXT_SS_T_PIEK" dataDxfId="63"/>
    <tableColumn id="419" xr3:uid="{00000000-0010-0000-0000-0000A3010000}" name="TXT_SS_REK_BIJ_T_PIEK" dataDxfId="62"/>
    <tableColumn id="420" xr3:uid="{00000000-0010-0000-0000-0000A4010000}" name="TXT_SS_S'_BIJ_T_EIND" dataDxfId="61"/>
    <tableColumn id="421" xr3:uid="{00000000-0010-0000-0000-0000A5010000}" name="TXT_SS_T_EIND" dataDxfId="60"/>
    <tableColumn id="422" xr3:uid="{00000000-0010-0000-0000-0000A6010000}" name="TXT_SS_REK_BIJ_T_EIND" dataDxfId="59"/>
    <tableColumn id="423" xr3:uid="{00000000-0010-0000-0000-0000A7010000}" name="TXT_SS_E_UNDR50" dataDxfId="58"/>
    <tableColumn id="424" xr3:uid="{00000000-0010-0000-0000-0000A8010000}" name="TXT_SS_REK_BIJ_E_UNDR50" dataDxfId="57"/>
    <tableColumn id="425" xr3:uid="{00000000-0010-0000-0000-0000A9010000}" name="TXT_SS_SKEMPTON_A" dataDxfId="56"/>
    <tableColumn id="426" xr3:uid="{00000000-0010-0000-0000-0000AA010000}" name="TXT_MS_FILENAAM_PDF" dataDxfId="55"/>
    <tableColumn id="427" xr3:uid="{00000000-0010-0000-0000-0000AB010000}" name="TXT_MS_FILENAAM_SPANNINGSPAD" dataDxfId="54"/>
    <tableColumn id="428" xr3:uid="{00000000-0010-0000-0000-0000AC010000}" name="TXT_MS_MONSTERID" dataDxfId="53"/>
    <tableColumn id="429" xr3:uid="{00000000-0010-0000-0000-0000AD010000}" name="TXT_MS_LABORATORIUM" dataDxfId="52"/>
    <tableColumn id="430" xr3:uid="{00000000-0010-0000-0000-0000AE010000}" name="TXT_MS_CONSOLIDATIESPANNING" dataDxfId="51"/>
    <tableColumn id="431" xr3:uid="{00000000-0010-0000-0000-0000AF010000}" name="TXT_MS_REK_BIJ_E_UNDR50" dataDxfId="50"/>
    <tableColumn id="432" xr3:uid="{00000000-0010-0000-0000-0000B0010000}" name="TXT_MS_E_UNDR50" dataDxfId="49"/>
    <tableColumn id="433" xr3:uid="{00000000-0010-0000-0000-0000B1010000}" name="TXT_MS_S1'_2%" dataDxfId="48"/>
    <tableColumn id="434" xr3:uid="{00000000-0010-0000-0000-0000B2010000}" name="TXT_MS_S2'_2%" dataDxfId="47"/>
    <tableColumn id="435" xr3:uid="{00000000-0010-0000-0000-0000B3010000}" name="TXT_MS_S3'_2%" dataDxfId="46"/>
    <tableColumn id="436" xr3:uid="{00000000-0010-0000-0000-0000B4010000}" name="TXT_MS_T1_2%" dataDxfId="45"/>
    <tableColumn id="437" xr3:uid="{00000000-0010-0000-0000-0000B5010000}" name="TXT_MS_T2_2%" dataDxfId="44"/>
    <tableColumn id="438" xr3:uid="{00000000-0010-0000-0000-0000B6010000}" name="TXT_MS_T3_2%" dataDxfId="43"/>
    <tableColumn id="439" xr3:uid="{00000000-0010-0000-0000-0000B7010000}" name="TXT_MS_C_2%" dataDxfId="42"/>
    <tableColumn id="440" xr3:uid="{00000000-0010-0000-0000-0000B8010000}" name="TXT_MS_PHI_2%" dataDxfId="41"/>
    <tableColumn id="441" xr3:uid="{00000000-0010-0000-0000-0000B9010000}" name="TXT_MS_S1'_5%" dataDxfId="40"/>
    <tableColumn id="442" xr3:uid="{00000000-0010-0000-0000-0000BA010000}" name="TXT_MS_S2'_5%" dataDxfId="39"/>
    <tableColumn id="443" xr3:uid="{00000000-0010-0000-0000-0000BB010000}" name="TXT_MS_S3'_5%" dataDxfId="38"/>
    <tableColumn id="444" xr3:uid="{00000000-0010-0000-0000-0000BC010000}" name="TXT_MS_T1_5%" dataDxfId="37"/>
    <tableColumn id="445" xr3:uid="{00000000-0010-0000-0000-0000BD010000}" name="TXT_MS_T2_5%" dataDxfId="36"/>
    <tableColumn id="446" xr3:uid="{00000000-0010-0000-0000-0000BE010000}" name="TXT_MS_T3_5%" dataDxfId="35"/>
    <tableColumn id="447" xr3:uid="{00000000-0010-0000-0000-0000BF010000}" name="TXT_MS_C_5%" dataDxfId="34"/>
    <tableColumn id="448" xr3:uid="{00000000-0010-0000-0000-0000C0010000}" name="TXT_MS_PHI_5%" dataDxfId="33"/>
    <tableColumn id="449" xr3:uid="{00000000-0010-0000-0000-0000C1010000}" name="CEL_FILENAAM_PDF" dataDxfId="32"/>
    <tableColumn id="450" xr3:uid="{00000000-0010-0000-0000-0000C2010000}" name="CEL_FILENAAM_SPANNINGSPAD" dataDxfId="31"/>
    <tableColumn id="451" xr3:uid="{00000000-0010-0000-0000-0000C3010000}" name="CEL_PHI1" dataDxfId="30"/>
    <tableColumn id="452" xr3:uid="{00000000-0010-0000-0000-0000C4010000}" name="CEL_C1" dataDxfId="29"/>
    <tableColumn id="453" xr3:uid="{00000000-0010-0000-0000-0000C5010000}" name="CEL_PHI2" dataDxfId="28"/>
    <tableColumn id="454" xr3:uid="{00000000-0010-0000-0000-0000C6010000}" name="CEL_C2" dataDxfId="27"/>
    <tableColumn id="455" xr3:uid="{00000000-0010-0000-0000-0000C7010000}" name="CEL_PHI3" dataDxfId="26"/>
    <tableColumn id="456" xr3:uid="{00000000-0010-0000-0000-0000C8010000}" name="CEL_C3" dataDxfId="25"/>
    <tableColumn id="457" xr3:uid="{00000000-0010-0000-0000-0000C9010000}" name="CEL_PHI4" dataDxfId="24"/>
    <tableColumn id="458" xr3:uid="{00000000-0010-0000-0000-0000CA010000}" name="CEL_C4" dataDxfId="23"/>
    <tableColumn id="459" xr3:uid="{00000000-0010-0000-0000-0000CB010000}" name="CEL_PHI5" dataDxfId="22"/>
    <tableColumn id="460" xr3:uid="{00000000-0010-0000-0000-0000CC010000}" name="CEL_C5" dataDxfId="21"/>
    <tableColumn id="461" xr3:uid="{00000000-0010-0000-0000-0000CD010000}" name="CEL_EINDSPANNING" dataDxfId="20"/>
    <tableColumn id="462" xr3:uid="{00000000-0010-0000-0000-0000CE010000}" name="PV_NAAM" dataDxfId="19"/>
    <tableColumn id="463" xr3:uid="{00000000-0010-0000-0000-0000CF010000}" name="PV_OPMERKING" dataDxfId="18"/>
    <tableColumn id="464" xr3:uid="{00000000-0010-0000-0000-0000D0010000}" name="ANA_TERREINSPANNING" dataDxfId="17"/>
    <tableColumn id="465" xr3:uid="{00000000-0010-0000-0000-0000D1010000}" name="ANA_TXT_MAX_VERTICALE_CONSOLIDATIE_SPANNING" dataDxfId="16"/>
    <tableColumn id="466" xr3:uid="{00000000-0010-0000-0000-0000D2010000}" name="ANA_DSS_MAX_CONSOLIDATIE_SPANNING" dataDxfId="15"/>
    <tableColumn id="467" xr3:uid="{00000000-0010-0000-0000-0000D3010000}" name="ANA_TXT_CONSOLIDATIE_TYPE_VOORSTEL" dataDxfId="14"/>
    <tableColumn id="468" xr3:uid="{00000000-0010-0000-0000-0000D4010000}" name="ANA_TXT_CONSOLIDATIE_TYPE_HANDMATIG" dataDxfId="13"/>
    <tableColumn id="469" xr3:uid="{00000000-0010-0000-0000-0000D5010000}" name="ANA_TXT_CONSOLIDATIE_TYPE_REKEN" dataDxfId="12"/>
    <tableColumn id="470" xr3:uid="{00000000-0010-0000-0000-0000D6010000}" name="ANA_DSS_CONSOLIDATIE_TYPE_VOORSTEL" dataDxfId="11"/>
    <tableColumn id="471" xr3:uid="{00000000-0010-0000-0000-0000D7010000}" name="ANA_DSS_CONSOLIDATIE_TYPE_HANDMATIG" dataDxfId="10"/>
    <tableColumn id="472" xr3:uid="{00000000-0010-0000-0000-0000D8010000}" name="ANA_DSS_CONSOLIDATIE_TYPE_REKEN" dataDxfId="9"/>
    <tableColumn id="473" xr3:uid="{00000000-0010-0000-0000-0000D9010000}" name="ANA_GRENSSPANNING_PROEF" dataDxfId="8"/>
    <tableColumn id="474" xr3:uid="{00000000-0010-0000-0000-0000DA010000}" name="ANA_POP_VELD" dataDxfId="7"/>
    <tableColumn id="475" xr3:uid="{00000000-0010-0000-0000-0000DB010000}" name="ANA_POP_VELD_GEMIDDELD" dataDxfId="6"/>
    <tableColumn id="476" xr3:uid="{00000000-0010-0000-0000-0000DC010000}" name="ANA_GRENSSPANNING_VOORSTEL" dataDxfId="5"/>
    <tableColumn id="477" xr3:uid="{00000000-0010-0000-0000-0000DD010000}" name="ANA_GRENSSPANNING_HANDMATIG" dataDxfId="4"/>
    <tableColumn id="478" xr3:uid="{00000000-0010-0000-0000-0000DE010000}" name="ANA_GRENSSPANNING_REKEN" dataDxfId="3"/>
    <tableColumn id="479" xr3:uid="{00000000-0010-0000-0000-0000DF010000}" name="OCR_TXT" dataDxfId="2"/>
    <tableColumn id="480" xr3:uid="{00000000-0010-0000-0000-0000E0010000}" name="OCR_DSS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L859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8" sqref="A8"/>
    </sheetView>
  </sheetViews>
  <sheetFormatPr defaultRowHeight="14.4" x14ac:dyDescent="0.3"/>
  <cols>
    <col min="1" max="1" width="33" style="93" customWidth="1"/>
    <col min="2" max="2" width="12" style="93" customWidth="1"/>
    <col min="3" max="3" width="20" style="93" customWidth="1"/>
    <col min="4" max="4" width="24" style="93" customWidth="1"/>
    <col min="5" max="5" width="22" style="93" customWidth="1"/>
    <col min="6" max="6" width="20" style="93" customWidth="1"/>
    <col min="7" max="7" width="10" style="93" customWidth="1"/>
    <col min="8" max="8" width="20" style="93" customWidth="1"/>
    <col min="9" max="9" width="10" style="93" customWidth="1"/>
    <col min="10" max="10" width="16" style="93" customWidth="1"/>
    <col min="11" max="11" width="26" style="93" customWidth="1"/>
    <col min="12" max="12" width="65" style="93" customWidth="1"/>
    <col min="13" max="13" width="19.109375" style="93" customWidth="1"/>
    <col min="14" max="14" width="41" style="93" customWidth="1"/>
    <col min="15" max="15" width="16" style="93" customWidth="1"/>
    <col min="16" max="16" width="32" style="93" customWidth="1"/>
    <col min="17" max="17" width="26" style="93" customWidth="1"/>
    <col min="18" max="18" width="16" style="93" customWidth="1"/>
    <col min="19" max="19" width="16.33203125" style="93" customWidth="1"/>
    <col min="20" max="20" width="31" style="93" customWidth="1"/>
    <col min="21" max="21" width="27" style="93" customWidth="1"/>
    <col min="22" max="23" width="12" style="93" customWidth="1"/>
    <col min="24" max="24" width="21" style="93" customWidth="1"/>
    <col min="25" max="25" width="19" style="93" customWidth="1"/>
    <col min="26" max="26" width="16" style="93" customWidth="1"/>
    <col min="27" max="27" width="21" style="98" customWidth="1"/>
    <col min="28" max="29" width="26" style="93" customWidth="1"/>
    <col min="30" max="30" width="22" style="93" customWidth="1"/>
    <col min="31" max="31" width="20" style="93" customWidth="1"/>
    <col min="32" max="32" width="44" style="93" customWidth="1"/>
    <col min="33" max="33" width="19.6640625" style="93" customWidth="1"/>
    <col min="34" max="34" width="12.109375" style="93" customWidth="1"/>
    <col min="35" max="35" width="12" style="93" customWidth="1"/>
    <col min="36" max="36" width="64" style="93" customWidth="1"/>
    <col min="37" max="37" width="68" style="93" customWidth="1"/>
    <col min="38" max="38" width="26" style="93" customWidth="1"/>
    <col min="39" max="39" width="24" style="93" customWidth="1"/>
    <col min="40" max="40" width="25" style="93" customWidth="1"/>
    <col min="41" max="41" width="23" style="93" customWidth="1"/>
    <col min="42" max="42" width="30" style="93" customWidth="1"/>
    <col min="43" max="43" width="38" style="93" customWidth="1"/>
    <col min="44" max="44" width="24" style="93" customWidth="1"/>
    <col min="45" max="45" width="26" style="93" customWidth="1"/>
    <col min="46" max="46" width="22" style="93" customWidth="1"/>
    <col min="47" max="47" width="38" style="93" customWidth="1"/>
    <col min="48" max="48" width="21" style="93" customWidth="1"/>
    <col min="49" max="49" width="39" style="93" customWidth="1"/>
    <col min="50" max="50" width="141" style="93" customWidth="1"/>
    <col min="51" max="51" width="20" style="93" customWidth="1"/>
    <col min="52" max="53" width="24" style="93" customWidth="1"/>
    <col min="54" max="54" width="19" style="93" customWidth="1"/>
    <col min="55" max="55" width="17" style="93" customWidth="1"/>
    <col min="56" max="56" width="18" style="93" customWidth="1"/>
    <col min="57" max="57" width="24" style="93" customWidth="1"/>
    <col min="58" max="58" width="30" style="93" customWidth="1"/>
    <col min="59" max="59" width="35" style="93" customWidth="1"/>
    <col min="60" max="60" width="23" style="93" customWidth="1"/>
    <col min="61" max="61" width="19" style="93" customWidth="1"/>
    <col min="62" max="62" width="18" style="93" customWidth="1"/>
    <col min="63" max="63" width="20" style="93" customWidth="1"/>
    <col min="64" max="64" width="14" style="93" customWidth="1"/>
    <col min="65" max="65" width="22" style="93" customWidth="1"/>
    <col min="66" max="66" width="23" style="93" customWidth="1"/>
    <col min="67" max="67" width="16" style="93" customWidth="1"/>
    <col min="68" max="68" width="24" style="93" customWidth="1"/>
    <col min="69" max="69" width="21" style="93" customWidth="1"/>
    <col min="70" max="71" width="12" style="93" customWidth="1"/>
    <col min="72" max="72" width="22" style="93" customWidth="1"/>
    <col min="73" max="73" width="27" style="93" customWidth="1"/>
    <col min="74" max="74" width="19.44140625" style="93" customWidth="1"/>
    <col min="75" max="75" width="19" style="93" customWidth="1"/>
    <col min="76" max="76" width="25" style="93" customWidth="1"/>
    <col min="77" max="77" width="22" style="93" customWidth="1"/>
    <col min="78" max="79" width="21" style="93" customWidth="1"/>
    <col min="80" max="80" width="14" style="93" customWidth="1"/>
    <col min="81" max="81" width="22" style="93" customWidth="1"/>
    <col min="82" max="82" width="19" style="93" customWidth="1"/>
    <col min="83" max="83" width="30" style="93" customWidth="1"/>
    <col min="84" max="84" width="17" style="93" customWidth="1"/>
    <col min="85" max="85" width="26" style="93" customWidth="1"/>
    <col min="86" max="86" width="22" style="93" customWidth="1"/>
    <col min="87" max="87" width="52" style="93" customWidth="1"/>
    <col min="88" max="88" width="21" style="93" customWidth="1"/>
    <col min="89" max="89" width="44" style="93" customWidth="1"/>
    <col min="90" max="90" width="83" style="93" customWidth="1"/>
    <col min="91" max="91" width="24" style="93" customWidth="1"/>
    <col min="92" max="92" width="25" style="93" customWidth="1"/>
    <col min="93" max="93" width="11.33203125" style="93" customWidth="1"/>
    <col min="94" max="95" width="11" style="93" customWidth="1"/>
    <col min="96" max="96" width="14.88671875" style="93" customWidth="1"/>
    <col min="97" max="97" width="16.109375" style="93" customWidth="1"/>
    <col min="98" max="98" width="14.88671875" style="93" customWidth="1"/>
    <col min="99" max="102" width="14.109375" style="93" customWidth="1"/>
    <col min="103" max="106" width="15.33203125" style="93" customWidth="1"/>
    <col min="107" max="110" width="14.5546875" style="93" customWidth="1"/>
    <col min="111" max="111" width="13.6640625" style="93" customWidth="1"/>
    <col min="112" max="115" width="12" style="93" customWidth="1"/>
    <col min="116" max="116" width="12.33203125" style="93" customWidth="1"/>
    <col min="117" max="118" width="23" style="93" customWidth="1"/>
    <col min="119" max="119" width="12" style="93" customWidth="1"/>
    <col min="120" max="120" width="23" style="93" customWidth="1"/>
    <col min="121" max="121" width="24" style="93" customWidth="1"/>
    <col min="122" max="122" width="28" style="93" customWidth="1"/>
    <col min="123" max="123" width="24" style="93" customWidth="1"/>
    <col min="124" max="124" width="23" style="93" customWidth="1"/>
    <col min="125" max="126" width="13" style="93" customWidth="1"/>
    <col min="127" max="128" width="12" style="93" customWidth="1"/>
    <col min="129" max="129" width="14" style="93" customWidth="1"/>
    <col min="130" max="130" width="11" style="93" customWidth="1"/>
    <col min="131" max="131" width="37" style="93" customWidth="1"/>
    <col min="132" max="132" width="30" style="93" customWidth="1"/>
    <col min="133" max="133" width="34" style="93" customWidth="1"/>
    <col min="134" max="134" width="59" style="93" customWidth="1"/>
    <col min="135" max="135" width="24" style="93" customWidth="1"/>
    <col min="136" max="136" width="12" style="98" customWidth="1"/>
    <col min="137" max="137" width="29" style="93" customWidth="1"/>
    <col min="138" max="138" width="42" style="93" customWidth="1"/>
    <col min="139" max="139" width="19" style="93" customWidth="1"/>
    <col min="140" max="140" width="21" style="93" customWidth="1"/>
    <col min="141" max="143" width="23" style="93" customWidth="1"/>
    <col min="144" max="144" width="27" style="93" customWidth="1"/>
    <col min="145" max="145" width="17" style="93" customWidth="1"/>
    <col min="146" max="147" width="27" style="93" customWidth="1"/>
    <col min="148" max="148" width="28" style="93" customWidth="1"/>
    <col min="149" max="149" width="26" style="93" customWidth="1"/>
    <col min="150" max="150" width="36" style="93" customWidth="1"/>
    <col min="151" max="151" width="30" style="93" customWidth="1"/>
    <col min="152" max="152" width="26" style="93" customWidth="1"/>
    <col min="153" max="153" width="27" style="93" customWidth="1"/>
    <col min="154" max="154" width="19" style="93" customWidth="1"/>
    <col min="155" max="155" width="34" style="93" customWidth="1"/>
    <col min="156" max="156" width="33" style="93" customWidth="1"/>
    <col min="157" max="157" width="39" style="93" customWidth="1"/>
    <col min="158" max="158" width="38" style="93" customWidth="1"/>
    <col min="159" max="159" width="34" style="93" customWidth="1"/>
    <col min="160" max="160" width="37" style="93" customWidth="1"/>
    <col min="161" max="161" width="21" style="93" customWidth="1"/>
    <col min="162" max="162" width="29" style="93" customWidth="1"/>
    <col min="163" max="163" width="32" style="93" customWidth="1"/>
    <col min="164" max="166" width="16" style="93" customWidth="1"/>
    <col min="167" max="167" width="32" style="93" customWidth="1"/>
    <col min="168" max="168" width="30" style="93" customWidth="1"/>
    <col min="169" max="169" width="23" style="93" customWidth="1"/>
    <col min="170" max="170" width="34" style="93" customWidth="1"/>
    <col min="171" max="171" width="38" style="93" customWidth="1"/>
    <col min="172" max="172" width="21" style="93" customWidth="1"/>
    <col min="173" max="173" width="90" style="93" customWidth="1"/>
    <col min="174" max="174" width="31" style="93" customWidth="1"/>
    <col min="175" max="175" width="18" style="93" customWidth="1"/>
    <col min="176" max="176" width="20" style="93" customWidth="1"/>
    <col min="177" max="177" width="22" style="93" customWidth="1"/>
    <col min="178" max="179" width="21" style="93" customWidth="1"/>
    <col min="180" max="180" width="26" style="93" customWidth="1"/>
    <col min="181" max="181" width="16" style="93" customWidth="1"/>
    <col min="182" max="184" width="26" style="93" customWidth="1"/>
    <col min="185" max="185" width="75" style="93" customWidth="1"/>
    <col min="186" max="186" width="26" style="93" customWidth="1"/>
    <col min="187" max="187" width="34" style="93" customWidth="1"/>
    <col min="188" max="188" width="15" style="93" customWidth="1"/>
    <col min="189" max="196" width="23" style="93" customWidth="1"/>
    <col min="197" max="197" width="24" style="93" customWidth="1"/>
    <col min="198" max="198" width="15" style="93" customWidth="1"/>
    <col min="199" max="206" width="23" style="93" customWidth="1"/>
    <col min="207" max="207" width="24" style="93" customWidth="1"/>
    <col min="208" max="208" width="19" style="93" customWidth="1"/>
    <col min="209" max="217" width="25" style="93" customWidth="1"/>
    <col min="218" max="218" width="26" style="93" customWidth="1"/>
    <col min="219" max="219" width="15" style="93" customWidth="1"/>
    <col min="220" max="220" width="27" style="93" customWidth="1"/>
    <col min="221" max="221" width="35" style="93" customWidth="1"/>
    <col min="222" max="222" width="15" style="93" customWidth="1"/>
    <col min="223" max="223" width="16" style="93" customWidth="1"/>
    <col min="224" max="230" width="23" style="93" customWidth="1"/>
    <col min="231" max="231" width="16" style="93" customWidth="1"/>
    <col min="232" max="232" width="17" style="93" customWidth="1"/>
    <col min="233" max="239" width="24" style="93" customWidth="1"/>
    <col min="240" max="240" width="16" style="93" customWidth="1"/>
    <col min="241" max="241" width="17" style="93" customWidth="1"/>
    <col min="242" max="248" width="24" style="93" customWidth="1"/>
    <col min="249" max="251" width="15" style="93" customWidth="1"/>
    <col min="252" max="252" width="29" style="93" customWidth="1"/>
    <col min="253" max="253" width="37" style="93" customWidth="1"/>
    <col min="254" max="254" width="40" style="93" customWidth="1"/>
    <col min="255" max="262" width="26" style="93" customWidth="1"/>
    <col min="263" max="270" width="25" style="93" customWidth="1"/>
    <col min="271" max="278" width="24" style="93" customWidth="1"/>
    <col min="279" max="286" width="35" style="93" customWidth="1"/>
    <col min="287" max="294" width="22" style="93" customWidth="1"/>
    <col min="295" max="302" width="21" style="93" customWidth="1"/>
    <col min="303" max="310" width="20" style="93" customWidth="1"/>
    <col min="311" max="318" width="31" style="93" customWidth="1"/>
    <col min="319" max="319" width="38" style="93" customWidth="1"/>
    <col min="320" max="320" width="47" style="93" customWidth="1"/>
    <col min="321" max="321" width="26" style="93" customWidth="1"/>
    <col min="322" max="322" width="38" style="93" customWidth="1"/>
    <col min="323" max="323" width="32" style="93" customWidth="1"/>
    <col min="324" max="324" width="21" style="93" customWidth="1"/>
    <col min="325" max="325" width="20" style="93" customWidth="1"/>
    <col min="326" max="326" width="49" style="93" customWidth="1"/>
    <col min="327" max="327" width="19" style="93" customWidth="1"/>
    <col min="328" max="328" width="21" style="93" customWidth="1"/>
    <col min="329" max="331" width="23" style="93" customWidth="1"/>
    <col min="332" max="333" width="27" style="93" customWidth="1"/>
    <col min="334" max="334" width="22" style="106" customWidth="1"/>
    <col min="335" max="335" width="36" style="106" customWidth="1"/>
    <col min="336" max="336" width="22" style="93" customWidth="1"/>
    <col min="337" max="338" width="27" style="93" customWidth="1"/>
    <col min="339" max="339" width="28" style="93" customWidth="1"/>
    <col min="340" max="340" width="26" style="93" customWidth="1"/>
    <col min="341" max="341" width="37" style="93" customWidth="1"/>
    <col min="342" max="342" width="38" style="93" customWidth="1"/>
    <col min="343" max="343" width="34" style="93" customWidth="1"/>
    <col min="344" max="344" width="40" style="106" customWidth="1"/>
    <col min="345" max="345" width="42" style="106" customWidth="1"/>
    <col min="346" max="346" width="10" style="106" customWidth="1"/>
    <col min="347" max="347" width="34" style="106" customWidth="1"/>
    <col min="348" max="348" width="36" style="106" customWidth="1"/>
    <col min="349" max="349" width="23" style="106" customWidth="1"/>
    <col min="350" max="350" width="27" style="106" customWidth="1"/>
    <col min="351" max="351" width="28" style="106" customWidth="1"/>
    <col min="352" max="361" width="12" style="106" customWidth="1"/>
    <col min="362" max="362" width="17" style="106" customWidth="1"/>
    <col min="363" max="363" width="12" style="106" customWidth="1"/>
    <col min="364" max="364" width="19" style="106" customWidth="1"/>
    <col min="365" max="365" width="18" style="106" customWidth="1"/>
    <col min="366" max="366" width="12" style="106" customWidth="1"/>
    <col min="367" max="369" width="20" style="106" customWidth="1"/>
    <col min="370" max="370" width="22" style="106" customWidth="1"/>
    <col min="371" max="371" width="23" style="106" customWidth="1"/>
    <col min="372" max="372" width="38" style="93" customWidth="1"/>
    <col min="373" max="373" width="39" style="93" customWidth="1"/>
    <col min="374" max="374" width="31" style="93" customWidth="1"/>
    <col min="375" max="375" width="34" style="93" customWidth="1"/>
    <col min="376" max="376" width="28" style="93" customWidth="1"/>
    <col min="377" max="377" width="21" style="93" customWidth="1"/>
    <col min="378" max="378" width="29" style="93" customWidth="1"/>
    <col min="379" max="379" width="71" style="93" customWidth="1"/>
    <col min="380" max="380" width="22" style="93" customWidth="1"/>
    <col min="381" max="381" width="24" style="93" customWidth="1"/>
    <col min="382" max="383" width="26" style="93" customWidth="1"/>
    <col min="384" max="384" width="30" style="93" customWidth="1"/>
    <col min="385" max="385" width="26" style="93" customWidth="1"/>
    <col min="386" max="386" width="31" style="93" customWidth="1"/>
    <col min="387" max="388" width="25" style="93" customWidth="1"/>
    <col min="389" max="390" width="30" style="93" customWidth="1"/>
    <col min="391" max="391" width="31" style="93" customWidth="1"/>
    <col min="392" max="392" width="29" style="93" customWidth="1"/>
    <col min="393" max="393" width="36" style="93" customWidth="1"/>
    <col min="394" max="394" width="51" style="93" customWidth="1"/>
    <col min="395" max="395" width="62" style="93" customWidth="1"/>
    <col min="396" max="396" width="21" style="93" customWidth="1"/>
    <col min="397" max="397" width="66" style="93" customWidth="1"/>
    <col min="398" max="398" width="37" style="93" customWidth="1"/>
    <col min="399" max="399" width="61" style="93" customWidth="1"/>
    <col min="400" max="400" width="33" style="93" customWidth="1"/>
    <col min="401" max="401" width="32" style="93" customWidth="1"/>
    <col min="402" max="402" width="28" style="93" customWidth="1"/>
    <col min="403" max="403" width="27" style="93" customWidth="1"/>
    <col min="404" max="404" width="29" style="93" customWidth="1"/>
    <col min="405" max="405" width="28" style="93" customWidth="1"/>
    <col min="406" max="406" width="12" style="93" customWidth="1"/>
    <col min="407" max="408" width="31" style="93" customWidth="1"/>
    <col min="409" max="409" width="50" style="93" customWidth="1"/>
    <col min="410" max="410" width="37" style="93" customWidth="1"/>
    <col min="411" max="411" width="14" style="93" customWidth="1"/>
    <col min="412" max="412" width="13" style="93" customWidth="1"/>
    <col min="413" max="413" width="14" style="93" customWidth="1"/>
    <col min="414" max="414" width="13" style="93" customWidth="1"/>
    <col min="415" max="415" width="15" style="93" customWidth="1"/>
    <col min="416" max="416" width="14" style="93" customWidth="1"/>
    <col min="417" max="417" width="22" style="93" customWidth="1"/>
    <col min="418" max="418" width="15" style="93" customWidth="1"/>
    <col min="419" max="419" width="23" style="93" customWidth="1"/>
    <col min="420" max="420" width="22" style="93" customWidth="1"/>
    <col min="421" max="421" width="15" style="93" customWidth="1"/>
    <col min="422" max="422" width="23" style="93" customWidth="1"/>
    <col min="423" max="423" width="17" style="93" customWidth="1"/>
    <col min="424" max="424" width="25" style="93" customWidth="1"/>
    <col min="425" max="425" width="19" style="93" customWidth="1"/>
    <col min="426" max="426" width="21" style="93" customWidth="1"/>
    <col min="427" max="427" width="30" style="93" customWidth="1"/>
    <col min="428" max="428" width="18" style="93" customWidth="1"/>
    <col min="429" max="429" width="21" style="93" customWidth="1"/>
    <col min="430" max="430" width="29" style="93" customWidth="1"/>
    <col min="431" max="431" width="25" style="93" customWidth="1"/>
    <col min="432" max="432" width="17" style="93" customWidth="1"/>
    <col min="433" max="435" width="15" style="93" customWidth="1"/>
    <col min="436" max="438" width="14" style="93" customWidth="1"/>
    <col min="439" max="439" width="13" style="93" customWidth="1"/>
    <col min="440" max="443" width="15" style="93" customWidth="1"/>
    <col min="444" max="446" width="14" style="93" customWidth="1"/>
    <col min="447" max="447" width="13" style="93" customWidth="1"/>
    <col min="448" max="448" width="15" style="93" customWidth="1"/>
    <col min="449" max="449" width="18" style="93" customWidth="1"/>
    <col min="450" max="450" width="54" style="93" customWidth="1"/>
    <col min="451" max="451" width="10" style="93" customWidth="1"/>
    <col min="452" max="452" width="8" style="93" customWidth="1"/>
    <col min="453" max="453" width="10" style="93" customWidth="1"/>
    <col min="454" max="454" width="91.33203125" style="93" customWidth="1"/>
    <col min="455" max="455" width="21" style="93" customWidth="1"/>
    <col min="456" max="456" width="11" style="93" customWidth="1"/>
    <col min="457" max="457" width="10" style="93" customWidth="1"/>
    <col min="458" max="458" width="8" style="93" customWidth="1"/>
    <col min="459" max="459" width="10" style="93" customWidth="1"/>
    <col min="460" max="460" width="8" style="93" customWidth="1"/>
    <col min="461" max="461" width="18" style="93" customWidth="1"/>
    <col min="462" max="462" width="43" style="93" customWidth="1"/>
    <col min="463" max="463" width="74" style="93" customWidth="1"/>
    <col min="464" max="464" width="21" style="93" customWidth="1"/>
    <col min="465" max="465" width="45" style="93" customWidth="1"/>
    <col min="466" max="466" width="35" style="93" customWidth="1"/>
    <col min="467" max="467" width="36" style="93" customWidth="1"/>
    <col min="468" max="468" width="37" style="93" customWidth="1"/>
    <col min="469" max="469" width="33" style="93" customWidth="1"/>
    <col min="470" max="470" width="36" style="93" customWidth="1"/>
    <col min="471" max="471" width="37" style="93" customWidth="1"/>
    <col min="472" max="472" width="33" style="93" customWidth="1"/>
    <col min="473" max="473" width="25" style="93" customWidth="1"/>
    <col min="474" max="474" width="14" style="93" customWidth="1"/>
    <col min="475" max="475" width="24" style="93" customWidth="1"/>
    <col min="476" max="476" width="28" style="93" customWidth="1"/>
    <col min="477" max="477" width="29" style="93" customWidth="1"/>
    <col min="478" max="478" width="25" style="93" customWidth="1"/>
    <col min="479" max="480" width="10" style="93" customWidth="1"/>
    <col min="481" max="16384" width="8.88671875" style="93"/>
  </cols>
  <sheetData>
    <row r="2" spans="1:480" x14ac:dyDescent="0.3">
      <c r="A2" s="100" t="s">
        <v>0</v>
      </c>
      <c r="B2" s="101"/>
      <c r="C2" s="101"/>
      <c r="D2" s="101"/>
      <c r="E2" s="10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 t="s">
        <v>1</v>
      </c>
      <c r="W2" s="4"/>
      <c r="X2" s="4"/>
      <c r="Y2" s="4"/>
      <c r="Z2" s="4"/>
      <c r="AA2" s="94"/>
      <c r="AB2" s="4"/>
      <c r="AC2" s="4"/>
      <c r="AD2" s="4"/>
      <c r="AE2" s="4"/>
      <c r="AF2" s="4"/>
      <c r="AG2" s="4"/>
      <c r="AH2" s="4"/>
      <c r="AI2" s="4" t="s">
        <v>2</v>
      </c>
      <c r="AJ2" s="4"/>
      <c r="AK2" s="4"/>
      <c r="AL2" s="4"/>
      <c r="AM2" s="4"/>
      <c r="AN2" s="4"/>
      <c r="AO2" s="4"/>
      <c r="AP2" s="4"/>
      <c r="AQ2" s="5" t="s">
        <v>3</v>
      </c>
      <c r="AR2" s="6"/>
      <c r="AS2" s="6"/>
      <c r="AT2" s="6"/>
      <c r="AU2" s="6"/>
      <c r="AV2" s="6"/>
      <c r="AW2" s="6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8" t="s">
        <v>4</v>
      </c>
      <c r="BQ2" s="9"/>
      <c r="BR2" s="9"/>
      <c r="BS2" s="10"/>
      <c r="BT2" s="11" t="s">
        <v>5</v>
      </c>
      <c r="BU2" s="12"/>
      <c r="BV2" s="11"/>
      <c r="BW2" s="11"/>
      <c r="BX2" s="11"/>
      <c r="BY2" s="11"/>
      <c r="BZ2" s="11"/>
      <c r="CA2" s="12"/>
      <c r="CB2" s="11"/>
      <c r="CC2" s="11"/>
      <c r="CD2" s="11"/>
      <c r="CE2" s="13" t="s">
        <v>6</v>
      </c>
      <c r="CF2" s="13"/>
      <c r="CG2" s="13"/>
      <c r="CH2" s="13"/>
      <c r="CI2" s="13"/>
      <c r="CJ2" s="13"/>
      <c r="CK2" s="14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5"/>
      <c r="DJ2" s="15"/>
      <c r="DK2" s="15"/>
      <c r="DL2" s="15"/>
      <c r="DM2" s="16" t="s">
        <v>7</v>
      </c>
      <c r="DN2" s="16"/>
      <c r="DO2" s="16"/>
      <c r="DP2" s="16"/>
      <c r="DQ2" s="16"/>
      <c r="DR2" s="16"/>
      <c r="DS2" s="16"/>
      <c r="DT2" s="16"/>
      <c r="DU2" s="17"/>
      <c r="DV2" s="16"/>
      <c r="DW2" s="17"/>
      <c r="DX2" s="18"/>
      <c r="DY2" s="18"/>
      <c r="DZ2" s="18"/>
      <c r="EA2" s="19" t="s">
        <v>8</v>
      </c>
      <c r="EB2" s="19"/>
      <c r="EC2" s="19"/>
      <c r="ED2" s="20"/>
      <c r="EE2" s="20"/>
      <c r="EF2" s="99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19"/>
      <c r="ES2" s="19"/>
      <c r="ET2" s="19"/>
      <c r="EU2" s="21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22" t="s">
        <v>9</v>
      </c>
      <c r="FL2" s="22"/>
      <c r="FM2" s="22"/>
      <c r="FN2" s="22"/>
      <c r="FO2" s="22"/>
      <c r="FP2" s="22"/>
      <c r="FQ2" s="22"/>
      <c r="FR2" s="22"/>
      <c r="FS2" s="23"/>
      <c r="FT2" s="23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4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4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  <c r="IV2" s="22"/>
      <c r="IW2" s="22"/>
      <c r="IX2" s="22"/>
      <c r="IY2" s="22"/>
      <c r="IZ2" s="22"/>
      <c r="JA2" s="22"/>
      <c r="JB2" s="22"/>
      <c r="JC2" s="22"/>
      <c r="JD2" s="22"/>
      <c r="JE2" s="22"/>
      <c r="JF2" s="22"/>
      <c r="JG2" s="22"/>
      <c r="JH2" s="22"/>
      <c r="JI2" s="22"/>
      <c r="JJ2" s="22"/>
      <c r="JK2" s="22"/>
      <c r="JL2" s="22"/>
      <c r="JM2" s="22"/>
      <c r="JN2" s="22"/>
      <c r="JO2" s="22"/>
      <c r="JP2" s="22"/>
      <c r="JQ2" s="22"/>
      <c r="JR2" s="22"/>
      <c r="JS2" s="22"/>
      <c r="JT2" s="22"/>
      <c r="JU2" s="22"/>
      <c r="JV2" s="22"/>
      <c r="JW2" s="22"/>
      <c r="JX2" s="22"/>
      <c r="JY2" s="22"/>
      <c r="JZ2" s="22"/>
      <c r="KA2" s="22"/>
      <c r="KB2" s="22"/>
      <c r="KC2" s="22"/>
      <c r="KD2" s="22"/>
      <c r="KE2" s="22"/>
      <c r="KF2" s="22"/>
      <c r="KG2" s="22"/>
      <c r="KH2" s="22"/>
      <c r="KI2" s="22"/>
      <c r="KJ2" s="22"/>
      <c r="KK2" s="22"/>
      <c r="KL2" s="22"/>
      <c r="KM2" s="22"/>
      <c r="KN2" s="22"/>
      <c r="KO2" s="22"/>
      <c r="KP2" s="22"/>
      <c r="KQ2" s="22"/>
      <c r="KR2" s="22"/>
      <c r="KS2" s="22"/>
      <c r="KT2" s="22"/>
      <c r="KU2" s="22"/>
      <c r="KV2" s="22"/>
      <c r="KW2" s="22"/>
      <c r="KX2" s="22"/>
      <c r="KY2" s="22"/>
      <c r="KZ2" s="22"/>
      <c r="LA2" s="22"/>
      <c r="LB2" s="22"/>
      <c r="LC2" s="22"/>
      <c r="LD2" s="22"/>
      <c r="LE2" s="22"/>
      <c r="LF2" s="22"/>
      <c r="LG2" s="25" t="s">
        <v>10</v>
      </c>
      <c r="LH2" s="25"/>
      <c r="LI2" s="25"/>
      <c r="LJ2" s="25"/>
      <c r="LK2" s="25"/>
      <c r="LL2" s="25"/>
      <c r="LM2" s="25"/>
      <c r="LN2" s="25"/>
      <c r="LO2" s="25"/>
      <c r="LP2" s="25"/>
      <c r="LQ2" s="25"/>
      <c r="LR2" s="25"/>
      <c r="LS2" s="25"/>
      <c r="LT2" s="25"/>
      <c r="LU2" s="25"/>
      <c r="LV2" s="104"/>
      <c r="LW2" s="104"/>
      <c r="LX2" s="25"/>
      <c r="LY2" s="25"/>
      <c r="LZ2" s="25"/>
      <c r="MA2" s="25"/>
      <c r="MB2" s="25"/>
      <c r="MC2" s="25"/>
      <c r="MD2" s="25"/>
      <c r="ME2" s="25"/>
      <c r="MF2" s="104"/>
      <c r="MG2" s="104"/>
      <c r="MH2" s="104"/>
      <c r="MI2" s="104"/>
      <c r="MJ2" s="104"/>
      <c r="MK2" s="104"/>
      <c r="ML2" s="104"/>
      <c r="MM2" s="104"/>
      <c r="MN2" s="104"/>
      <c r="MO2" s="104"/>
      <c r="MP2" s="104"/>
      <c r="MQ2" s="104"/>
      <c r="MR2" s="104"/>
      <c r="MS2" s="104"/>
      <c r="MT2" s="104"/>
      <c r="MU2" s="104"/>
      <c r="MV2" s="104"/>
      <c r="MW2" s="104"/>
      <c r="MX2" s="104"/>
      <c r="MY2" s="104"/>
      <c r="MZ2" s="104"/>
      <c r="NA2" s="104"/>
      <c r="NB2" s="104"/>
      <c r="NC2" s="104"/>
      <c r="ND2" s="104"/>
      <c r="NE2" s="104"/>
      <c r="NF2" s="104"/>
      <c r="NG2" s="104"/>
      <c r="NH2" s="26" t="s">
        <v>11</v>
      </c>
      <c r="NI2" s="26"/>
      <c r="NJ2" s="26"/>
      <c r="NK2" s="26"/>
      <c r="NL2" s="26"/>
      <c r="NM2" s="26"/>
      <c r="NN2" s="26"/>
      <c r="NO2" s="26"/>
      <c r="NP2" s="26"/>
      <c r="NQ2" s="26"/>
      <c r="NR2" s="26"/>
      <c r="NS2" s="26"/>
      <c r="NT2" s="26"/>
      <c r="NU2" s="26"/>
      <c r="NV2" s="26"/>
      <c r="NW2" s="27"/>
      <c r="NX2" s="26"/>
      <c r="NY2" s="26"/>
      <c r="NZ2" s="26"/>
      <c r="OA2" s="26"/>
      <c r="OB2" s="26"/>
      <c r="OC2" s="26"/>
      <c r="OD2" s="26"/>
      <c r="OE2" s="26"/>
      <c r="OF2" s="26"/>
      <c r="OG2" s="26"/>
      <c r="OH2" s="26"/>
      <c r="OI2" s="26"/>
      <c r="OJ2" s="26"/>
      <c r="OK2" s="26"/>
      <c r="OL2" s="26"/>
      <c r="OM2" s="26"/>
      <c r="ON2" s="26"/>
      <c r="OO2" s="26"/>
      <c r="OP2" s="26"/>
      <c r="OQ2" s="26"/>
      <c r="OR2" s="26"/>
      <c r="OS2" s="26"/>
      <c r="OT2" s="26"/>
      <c r="OU2" s="26"/>
      <c r="OV2" s="26"/>
      <c r="OW2" s="26"/>
      <c r="OX2" s="26"/>
      <c r="OY2" s="26"/>
      <c r="OZ2" s="26"/>
      <c r="PA2" s="26"/>
      <c r="PB2" s="26"/>
      <c r="PC2" s="26"/>
      <c r="PD2" s="26"/>
      <c r="PE2" s="26"/>
      <c r="PF2" s="26"/>
      <c r="PG2" s="27"/>
      <c r="PH2" s="27"/>
      <c r="PI2" s="27"/>
      <c r="PJ2" s="4" t="s">
        <v>12</v>
      </c>
      <c r="PK2" s="28"/>
      <c r="PL2" s="28"/>
      <c r="PM2" s="28"/>
      <c r="PN2" s="28"/>
      <c r="PO2" s="28"/>
      <c r="PP2" s="4"/>
      <c r="PQ2" s="4"/>
      <c r="PR2" s="28"/>
      <c r="PS2" s="29"/>
      <c r="PT2" s="28"/>
      <c r="PU2" s="28"/>
      <c r="PV2" s="28"/>
      <c r="PW2" s="28"/>
      <c r="PX2" s="28"/>
      <c r="PY2" s="28"/>
      <c r="PZ2" s="28"/>
      <c r="QA2" s="29"/>
      <c r="QB2" s="28"/>
      <c r="QC2" s="28"/>
      <c r="QD2" s="28"/>
      <c r="QE2" s="28"/>
      <c r="QF2" s="28"/>
      <c r="QG2" s="13" t="s">
        <v>13</v>
      </c>
      <c r="QH2" s="14"/>
      <c r="QI2" s="14"/>
      <c r="QJ2" s="14"/>
      <c r="QK2" s="14"/>
      <c r="QL2" s="14"/>
      <c r="QM2" s="37" t="s">
        <v>14</v>
      </c>
      <c r="QN2" s="38"/>
      <c r="QO2" s="38"/>
      <c r="QP2" s="38"/>
      <c r="QQ2" s="38"/>
      <c r="QR2" s="38"/>
      <c r="QS2" s="38"/>
      <c r="QT2" s="102" t="s">
        <v>15</v>
      </c>
      <c r="QU2" s="16"/>
      <c r="QV2" s="16"/>
      <c r="QW2" s="16"/>
      <c r="QX2" s="16"/>
      <c r="QY2" s="16"/>
      <c r="QZ2" s="16"/>
      <c r="RA2" s="16"/>
      <c r="RB2" s="16"/>
      <c r="RC2" s="16"/>
      <c r="RD2" s="16"/>
      <c r="RE2" s="16"/>
      <c r="RF2" s="16"/>
      <c r="RG2" s="16"/>
      <c r="RH2" s="16"/>
      <c r="RI2" s="16"/>
      <c r="RJ2" s="16"/>
      <c r="RK2" s="16"/>
      <c r="RL2" s="16"/>
    </row>
    <row r="3" spans="1:480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95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2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95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2"/>
      <c r="LW3" s="2"/>
      <c r="LX3" s="1"/>
      <c r="LY3" s="1"/>
      <c r="LZ3" s="1"/>
      <c r="MA3" s="1"/>
      <c r="MB3" s="1"/>
      <c r="MC3" s="1"/>
      <c r="MD3" s="1"/>
      <c r="ME3" s="1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</row>
    <row r="4" spans="1:480" ht="48" customHeight="1" x14ac:dyDescent="0.3">
      <c r="A4" s="30" t="s">
        <v>16</v>
      </c>
      <c r="B4" s="30" t="s">
        <v>17</v>
      </c>
      <c r="C4" s="30" t="s">
        <v>18</v>
      </c>
      <c r="D4" s="30" t="s">
        <v>19</v>
      </c>
      <c r="E4" s="30" t="s">
        <v>20</v>
      </c>
      <c r="F4" s="30" t="s">
        <v>21</v>
      </c>
      <c r="G4" s="30" t="s">
        <v>22</v>
      </c>
      <c r="H4" s="30" t="s">
        <v>23</v>
      </c>
      <c r="I4" s="30" t="s">
        <v>24</v>
      </c>
      <c r="J4" s="30" t="s">
        <v>25</v>
      </c>
      <c r="K4" s="30" t="s">
        <v>26</v>
      </c>
      <c r="L4" s="30" t="s">
        <v>27</v>
      </c>
      <c r="M4" s="30" t="s">
        <v>28</v>
      </c>
      <c r="N4" s="30" t="s">
        <v>29</v>
      </c>
      <c r="O4" s="30" t="s">
        <v>30</v>
      </c>
      <c r="P4" s="30" t="s">
        <v>31</v>
      </c>
      <c r="Q4" s="30" t="s">
        <v>32</v>
      </c>
      <c r="R4" s="30" t="s">
        <v>33</v>
      </c>
      <c r="S4" s="30" t="s">
        <v>34</v>
      </c>
      <c r="T4" s="30" t="s">
        <v>35</v>
      </c>
      <c r="U4" s="30" t="s">
        <v>36</v>
      </c>
      <c r="V4" s="30" t="s">
        <v>37</v>
      </c>
      <c r="W4" s="30" t="s">
        <v>38</v>
      </c>
      <c r="X4" s="30" t="s">
        <v>39</v>
      </c>
      <c r="Y4" s="30" t="s">
        <v>40</v>
      </c>
      <c r="Z4" s="30" t="s">
        <v>41</v>
      </c>
      <c r="AA4" s="96" t="s">
        <v>42</v>
      </c>
      <c r="AB4" s="30" t="s">
        <v>43</v>
      </c>
      <c r="AC4" s="30" t="s">
        <v>44</v>
      </c>
      <c r="AD4" s="30" t="s">
        <v>45</v>
      </c>
      <c r="AE4" s="30" t="s">
        <v>46</v>
      </c>
      <c r="AF4" s="30" t="s">
        <v>47</v>
      </c>
      <c r="AG4" s="30" t="s">
        <v>48</v>
      </c>
      <c r="AH4" s="30" t="s">
        <v>49</v>
      </c>
      <c r="AI4" s="30" t="s">
        <v>50</v>
      </c>
      <c r="AJ4" s="30" t="s">
        <v>51</v>
      </c>
      <c r="AK4" s="30" t="s">
        <v>52</v>
      </c>
      <c r="AL4" s="30" t="s">
        <v>53</v>
      </c>
      <c r="AM4" s="30" t="s">
        <v>54</v>
      </c>
      <c r="AN4" s="30" t="s">
        <v>55</v>
      </c>
      <c r="AO4" s="30" t="s">
        <v>56</v>
      </c>
      <c r="AP4" s="30" t="s">
        <v>57</v>
      </c>
      <c r="AQ4" s="30" t="s">
        <v>43</v>
      </c>
      <c r="AR4" s="30" t="s">
        <v>58</v>
      </c>
      <c r="AS4" s="30" t="s">
        <v>59</v>
      </c>
      <c r="AT4" s="30" t="s">
        <v>60</v>
      </c>
      <c r="AU4" s="30" t="s">
        <v>61</v>
      </c>
      <c r="AV4" s="30" t="s">
        <v>42</v>
      </c>
      <c r="AW4" s="30" t="s">
        <v>62</v>
      </c>
      <c r="AX4" s="30" t="s">
        <v>63</v>
      </c>
      <c r="AY4" s="30" t="s">
        <v>64</v>
      </c>
      <c r="AZ4" s="30" t="s">
        <v>65</v>
      </c>
      <c r="BA4" s="30" t="s">
        <v>66</v>
      </c>
      <c r="BB4" s="30" t="s">
        <v>67</v>
      </c>
      <c r="BC4" s="30" t="s">
        <v>68</v>
      </c>
      <c r="BD4" s="30" t="s">
        <v>69</v>
      </c>
      <c r="BE4" s="30" t="s">
        <v>70</v>
      </c>
      <c r="BF4" s="30" t="s">
        <v>71</v>
      </c>
      <c r="BG4" s="30" t="s">
        <v>72</v>
      </c>
      <c r="BH4" s="30" t="s">
        <v>73</v>
      </c>
      <c r="BI4" s="30" t="s">
        <v>74</v>
      </c>
      <c r="BJ4" s="30" t="s">
        <v>75</v>
      </c>
      <c r="BK4" s="30" t="s">
        <v>76</v>
      </c>
      <c r="BL4" s="30" t="s">
        <v>77</v>
      </c>
      <c r="BM4" s="30" t="s">
        <v>78</v>
      </c>
      <c r="BN4" s="30" t="s">
        <v>79</v>
      </c>
      <c r="BO4" s="30" t="s">
        <v>80</v>
      </c>
      <c r="BP4" s="30" t="s">
        <v>81</v>
      </c>
      <c r="BQ4" s="30" t="s">
        <v>82</v>
      </c>
      <c r="BR4" s="30" t="s">
        <v>83</v>
      </c>
      <c r="BS4" s="31" t="s">
        <v>84</v>
      </c>
      <c r="BT4" s="30" t="s">
        <v>43</v>
      </c>
      <c r="BU4" s="30" t="s">
        <v>58</v>
      </c>
      <c r="BV4" s="30" t="s">
        <v>85</v>
      </c>
      <c r="BW4" s="30" t="s">
        <v>86</v>
      </c>
      <c r="BX4" s="30" t="s">
        <v>87</v>
      </c>
      <c r="BY4" s="30" t="s">
        <v>67</v>
      </c>
      <c r="BZ4" s="30" t="s">
        <v>88</v>
      </c>
      <c r="CA4" s="30" t="s">
        <v>89</v>
      </c>
      <c r="CB4" s="30" t="s">
        <v>90</v>
      </c>
      <c r="CC4" s="30" t="s">
        <v>74</v>
      </c>
      <c r="CD4" s="30" t="s">
        <v>91</v>
      </c>
      <c r="CE4" s="30" t="s">
        <v>43</v>
      </c>
      <c r="CF4" s="30" t="s">
        <v>44</v>
      </c>
      <c r="CG4" s="30" t="s">
        <v>59</v>
      </c>
      <c r="CH4" s="30" t="s">
        <v>92</v>
      </c>
      <c r="CI4" s="30" t="s">
        <v>61</v>
      </c>
      <c r="CJ4" s="30" t="s">
        <v>42</v>
      </c>
      <c r="CK4" s="30" t="s">
        <v>62</v>
      </c>
      <c r="CL4" s="30" t="s">
        <v>63</v>
      </c>
      <c r="CM4" s="30" t="s">
        <v>93</v>
      </c>
      <c r="CN4" s="30" t="s">
        <v>94</v>
      </c>
      <c r="CO4" s="30" t="s">
        <v>95</v>
      </c>
      <c r="CP4" s="30" t="s">
        <v>96</v>
      </c>
      <c r="CQ4" s="30" t="s">
        <v>97</v>
      </c>
      <c r="CR4" s="30" t="s">
        <v>98</v>
      </c>
      <c r="CS4" s="30" t="s">
        <v>99</v>
      </c>
      <c r="CT4" s="30" t="s">
        <v>100</v>
      </c>
      <c r="CU4" s="30" t="s">
        <v>101</v>
      </c>
      <c r="CV4" s="30" t="s">
        <v>102</v>
      </c>
      <c r="CW4" s="30" t="s">
        <v>103</v>
      </c>
      <c r="CX4" s="30" t="s">
        <v>104</v>
      </c>
      <c r="CY4" s="30" t="s">
        <v>105</v>
      </c>
      <c r="CZ4" s="30" t="s">
        <v>106</v>
      </c>
      <c r="DA4" s="30" t="s">
        <v>107</v>
      </c>
      <c r="DB4" s="30" t="s">
        <v>108</v>
      </c>
      <c r="DC4" s="30" t="s">
        <v>109</v>
      </c>
      <c r="DD4" s="30" t="s">
        <v>110</v>
      </c>
      <c r="DE4" s="30" t="s">
        <v>111</v>
      </c>
      <c r="DF4" s="30" t="s">
        <v>112</v>
      </c>
      <c r="DG4" s="30" t="s">
        <v>113</v>
      </c>
      <c r="DH4" s="30" t="s">
        <v>114</v>
      </c>
      <c r="DI4" s="30" t="s">
        <v>115</v>
      </c>
      <c r="DJ4" s="30" t="s">
        <v>116</v>
      </c>
      <c r="DK4" s="30" t="s">
        <v>117</v>
      </c>
      <c r="DL4" s="30" t="s">
        <v>118</v>
      </c>
      <c r="DM4" s="30" t="s">
        <v>43</v>
      </c>
      <c r="DN4" s="30" t="s">
        <v>44</v>
      </c>
      <c r="DO4" s="30" t="s">
        <v>119</v>
      </c>
      <c r="DP4" s="30" t="s">
        <v>120</v>
      </c>
      <c r="DQ4" s="30" t="s">
        <v>121</v>
      </c>
      <c r="DR4" s="30" t="s">
        <v>122</v>
      </c>
      <c r="DS4" s="30" t="s">
        <v>123</v>
      </c>
      <c r="DT4" s="30" t="s">
        <v>124</v>
      </c>
      <c r="DU4" s="30" t="s">
        <v>125</v>
      </c>
      <c r="DV4" s="30" t="s">
        <v>126</v>
      </c>
      <c r="DW4" s="30" t="s">
        <v>127</v>
      </c>
      <c r="DX4" s="30" t="s">
        <v>128</v>
      </c>
      <c r="DY4" s="30" t="s">
        <v>129</v>
      </c>
      <c r="DZ4" s="30" t="s">
        <v>130</v>
      </c>
      <c r="EA4" s="30" t="s">
        <v>43</v>
      </c>
      <c r="EB4" s="30" t="s">
        <v>131</v>
      </c>
      <c r="EC4" s="30" t="s">
        <v>59</v>
      </c>
      <c r="ED4" s="30" t="s">
        <v>92</v>
      </c>
      <c r="EE4" s="30" t="s">
        <v>132</v>
      </c>
      <c r="EF4" s="96" t="s">
        <v>42</v>
      </c>
      <c r="EG4" s="30" t="s">
        <v>62</v>
      </c>
      <c r="EH4" s="30" t="s">
        <v>63</v>
      </c>
      <c r="EI4" s="30" t="s">
        <v>64</v>
      </c>
      <c r="EJ4" s="30" t="s">
        <v>133</v>
      </c>
      <c r="EK4" s="30" t="s">
        <v>65</v>
      </c>
      <c r="EL4" s="30" t="s">
        <v>66</v>
      </c>
      <c r="EM4" s="30" t="s">
        <v>134</v>
      </c>
      <c r="EN4" s="30" t="s">
        <v>135</v>
      </c>
      <c r="EO4" s="30" t="s">
        <v>136</v>
      </c>
      <c r="EP4" s="30" t="s">
        <v>137</v>
      </c>
      <c r="EQ4" s="30" t="s">
        <v>138</v>
      </c>
      <c r="ER4" s="30" t="s">
        <v>139</v>
      </c>
      <c r="ES4" s="30" t="s">
        <v>140</v>
      </c>
      <c r="ET4" s="30" t="s">
        <v>141</v>
      </c>
      <c r="EU4" s="30" t="s">
        <v>142</v>
      </c>
      <c r="EV4" s="30" t="s">
        <v>143</v>
      </c>
      <c r="EW4" s="30" t="s">
        <v>144</v>
      </c>
      <c r="EX4" s="30" t="s">
        <v>145</v>
      </c>
      <c r="EY4" s="30" t="s">
        <v>146</v>
      </c>
      <c r="EZ4" s="30" t="s">
        <v>147</v>
      </c>
      <c r="FA4" s="30" t="s">
        <v>148</v>
      </c>
      <c r="FB4" s="30" t="s">
        <v>149</v>
      </c>
      <c r="FC4" s="30" t="s">
        <v>150</v>
      </c>
      <c r="FD4" s="30" t="s">
        <v>151</v>
      </c>
      <c r="FE4" s="30" t="s">
        <v>152</v>
      </c>
      <c r="FF4" s="30" t="s">
        <v>153</v>
      </c>
      <c r="FG4" s="30" t="s">
        <v>154</v>
      </c>
      <c r="FH4" s="30" t="s">
        <v>155</v>
      </c>
      <c r="FI4" s="30" t="s">
        <v>156</v>
      </c>
      <c r="FJ4" s="30" t="s">
        <v>157</v>
      </c>
      <c r="FK4" s="30" t="s">
        <v>43</v>
      </c>
      <c r="FL4" s="30" t="s">
        <v>158</v>
      </c>
      <c r="FM4" s="30" t="s">
        <v>59</v>
      </c>
      <c r="FN4" s="30" t="s">
        <v>92</v>
      </c>
      <c r="FO4" s="30" t="s">
        <v>132</v>
      </c>
      <c r="FP4" s="30" t="s">
        <v>42</v>
      </c>
      <c r="FQ4" s="30" t="s">
        <v>62</v>
      </c>
      <c r="FR4" s="30" t="s">
        <v>63</v>
      </c>
      <c r="FS4" s="30" t="s">
        <v>64</v>
      </c>
      <c r="FT4" s="30" t="s">
        <v>133</v>
      </c>
      <c r="FU4" s="30" t="s">
        <v>65</v>
      </c>
      <c r="FV4" s="30" t="s">
        <v>66</v>
      </c>
      <c r="FW4" s="30" t="s">
        <v>159</v>
      </c>
      <c r="FX4" s="30" t="s">
        <v>135</v>
      </c>
      <c r="FY4" s="30" t="s">
        <v>69</v>
      </c>
      <c r="FZ4" s="30" t="s">
        <v>160</v>
      </c>
      <c r="GA4" s="30" t="s">
        <v>161</v>
      </c>
      <c r="GB4" s="30" t="s">
        <v>162</v>
      </c>
      <c r="GC4" s="30" t="s">
        <v>163</v>
      </c>
      <c r="GD4" s="30" t="s">
        <v>164</v>
      </c>
      <c r="GE4" s="30" t="s">
        <v>165</v>
      </c>
      <c r="GF4" s="30" t="s">
        <v>166</v>
      </c>
      <c r="GG4" s="30" t="s">
        <v>167</v>
      </c>
      <c r="GH4" s="30" t="s">
        <v>168</v>
      </c>
      <c r="GI4" s="30" t="s">
        <v>169</v>
      </c>
      <c r="GJ4" s="30" t="s">
        <v>170</v>
      </c>
      <c r="GK4" s="30" t="s">
        <v>171</v>
      </c>
      <c r="GL4" s="30" t="s">
        <v>172</v>
      </c>
      <c r="GM4" s="30" t="s">
        <v>173</v>
      </c>
      <c r="GN4" s="30" t="s">
        <v>174</v>
      </c>
      <c r="GO4" s="30" t="s">
        <v>175</v>
      </c>
      <c r="GP4" s="30" t="s">
        <v>176</v>
      </c>
      <c r="GQ4" s="30" t="s">
        <v>177</v>
      </c>
      <c r="GR4" s="30" t="s">
        <v>178</v>
      </c>
      <c r="GS4" s="30" t="s">
        <v>179</v>
      </c>
      <c r="GT4" s="30" t="s">
        <v>180</v>
      </c>
      <c r="GU4" s="30" t="s">
        <v>181</v>
      </c>
      <c r="GV4" s="30" t="s">
        <v>182</v>
      </c>
      <c r="GW4" s="30" t="s">
        <v>183</v>
      </c>
      <c r="GX4" s="30" t="s">
        <v>184</v>
      </c>
      <c r="GY4" s="30" t="s">
        <v>185</v>
      </c>
      <c r="GZ4" s="30" t="s">
        <v>186</v>
      </c>
      <c r="HA4" s="30" t="s">
        <v>187</v>
      </c>
      <c r="HB4" s="30" t="s">
        <v>188</v>
      </c>
      <c r="HC4" s="30" t="s">
        <v>189</v>
      </c>
      <c r="HD4" s="30" t="s">
        <v>190</v>
      </c>
      <c r="HE4" s="30" t="s">
        <v>191</v>
      </c>
      <c r="HF4" s="30" t="s">
        <v>192</v>
      </c>
      <c r="HG4" s="30" t="s">
        <v>193</v>
      </c>
      <c r="HH4" s="30" t="s">
        <v>194</v>
      </c>
      <c r="HI4" s="30" t="s">
        <v>195</v>
      </c>
      <c r="HJ4" s="30" t="s">
        <v>196</v>
      </c>
      <c r="HK4" s="30" t="s">
        <v>197</v>
      </c>
      <c r="HL4" s="30" t="s">
        <v>198</v>
      </c>
      <c r="HM4" s="30" t="s">
        <v>199</v>
      </c>
      <c r="HN4" s="30" t="s">
        <v>200</v>
      </c>
      <c r="HO4" s="30" t="s">
        <v>201</v>
      </c>
      <c r="HP4" s="30" t="s">
        <v>202</v>
      </c>
      <c r="HQ4" s="30" t="s">
        <v>203</v>
      </c>
      <c r="HR4" s="30" t="s">
        <v>204</v>
      </c>
      <c r="HS4" s="30" t="s">
        <v>205</v>
      </c>
      <c r="HT4" s="30" t="s">
        <v>206</v>
      </c>
      <c r="HU4" s="30" t="s">
        <v>207</v>
      </c>
      <c r="HV4" s="30" t="s">
        <v>208</v>
      </c>
      <c r="HW4" s="30" t="s">
        <v>209</v>
      </c>
      <c r="HX4" s="30" t="s">
        <v>210</v>
      </c>
      <c r="HY4" s="30" t="s">
        <v>211</v>
      </c>
      <c r="HZ4" s="30" t="s">
        <v>212</v>
      </c>
      <c r="IA4" s="30" t="s">
        <v>213</v>
      </c>
      <c r="IB4" s="30" t="s">
        <v>214</v>
      </c>
      <c r="IC4" s="30" t="s">
        <v>215</v>
      </c>
      <c r="ID4" s="30" t="s">
        <v>216</v>
      </c>
      <c r="IE4" s="30" t="s">
        <v>217</v>
      </c>
      <c r="IF4" s="30" t="s">
        <v>218</v>
      </c>
      <c r="IG4" s="30" t="s">
        <v>219</v>
      </c>
      <c r="IH4" s="30" t="s">
        <v>220</v>
      </c>
      <c r="II4" s="30" t="s">
        <v>221</v>
      </c>
      <c r="IJ4" s="30" t="s">
        <v>222</v>
      </c>
      <c r="IK4" s="30" t="s">
        <v>223</v>
      </c>
      <c r="IL4" s="30" t="s">
        <v>224</v>
      </c>
      <c r="IM4" s="30" t="s">
        <v>225</v>
      </c>
      <c r="IN4" s="30" t="s">
        <v>226</v>
      </c>
      <c r="IO4" s="30" t="s">
        <v>155</v>
      </c>
      <c r="IP4" s="30" t="s">
        <v>156</v>
      </c>
      <c r="IQ4" s="30" t="s">
        <v>157</v>
      </c>
      <c r="IR4" s="30" t="s">
        <v>227</v>
      </c>
      <c r="IS4" s="30" t="s">
        <v>228</v>
      </c>
      <c r="IT4" s="30" t="s">
        <v>229</v>
      </c>
      <c r="IU4" s="30" t="s">
        <v>230</v>
      </c>
      <c r="IV4" s="30" t="s">
        <v>231</v>
      </c>
      <c r="IW4" s="30" t="s">
        <v>232</v>
      </c>
      <c r="IX4" s="30" t="s">
        <v>233</v>
      </c>
      <c r="IY4" s="30" t="s">
        <v>234</v>
      </c>
      <c r="IZ4" s="30" t="s">
        <v>235</v>
      </c>
      <c r="JA4" s="30" t="s">
        <v>236</v>
      </c>
      <c r="JB4" s="30" t="s">
        <v>237</v>
      </c>
      <c r="JC4" s="30" t="s">
        <v>238</v>
      </c>
      <c r="JD4" s="30" t="s">
        <v>239</v>
      </c>
      <c r="JE4" s="30" t="s">
        <v>240</v>
      </c>
      <c r="JF4" s="30" t="s">
        <v>241</v>
      </c>
      <c r="JG4" s="30" t="s">
        <v>242</v>
      </c>
      <c r="JH4" s="30" t="s">
        <v>243</v>
      </c>
      <c r="JI4" s="30" t="s">
        <v>244</v>
      </c>
      <c r="JJ4" s="30" t="s">
        <v>245</v>
      </c>
      <c r="JK4" s="30" t="s">
        <v>246</v>
      </c>
      <c r="JL4" s="30" t="s">
        <v>247</v>
      </c>
      <c r="JM4" s="30" t="s">
        <v>248</v>
      </c>
      <c r="JN4" s="30" t="s">
        <v>249</v>
      </c>
      <c r="JO4" s="30" t="s">
        <v>250</v>
      </c>
      <c r="JP4" s="30" t="s">
        <v>251</v>
      </c>
      <c r="JQ4" s="30" t="s">
        <v>252</v>
      </c>
      <c r="JR4" s="30" t="s">
        <v>253</v>
      </c>
      <c r="JS4" s="30" t="s">
        <v>254</v>
      </c>
      <c r="JT4" s="30" t="s">
        <v>255</v>
      </c>
      <c r="JU4" s="30" t="s">
        <v>256</v>
      </c>
      <c r="JV4" s="30" t="s">
        <v>257</v>
      </c>
      <c r="JW4" s="30" t="s">
        <v>258</v>
      </c>
      <c r="JX4" s="30" t="s">
        <v>259</v>
      </c>
      <c r="JY4" s="30" t="s">
        <v>260</v>
      </c>
      <c r="JZ4" s="30" t="s">
        <v>261</v>
      </c>
      <c r="KA4" s="30" t="s">
        <v>262</v>
      </c>
      <c r="KB4" s="30" t="s">
        <v>263</v>
      </c>
      <c r="KC4" s="30" t="s">
        <v>264</v>
      </c>
      <c r="KD4" s="30" t="s">
        <v>265</v>
      </c>
      <c r="KE4" s="30" t="s">
        <v>266</v>
      </c>
      <c r="KF4" s="30" t="s">
        <v>267</v>
      </c>
      <c r="KG4" s="30" t="s">
        <v>268</v>
      </c>
      <c r="KH4" s="30" t="s">
        <v>269</v>
      </c>
      <c r="KI4" s="30" t="s">
        <v>270</v>
      </c>
      <c r="KJ4" s="30" t="s">
        <v>271</v>
      </c>
      <c r="KK4" s="30" t="s">
        <v>272</v>
      </c>
      <c r="KL4" s="30" t="s">
        <v>273</v>
      </c>
      <c r="KM4" s="30" t="s">
        <v>274</v>
      </c>
      <c r="KN4" s="30" t="s">
        <v>275</v>
      </c>
      <c r="KO4" s="30" t="s">
        <v>276</v>
      </c>
      <c r="KP4" s="30" t="s">
        <v>277</v>
      </c>
      <c r="KQ4" s="30" t="s">
        <v>278</v>
      </c>
      <c r="KR4" s="30" t="s">
        <v>279</v>
      </c>
      <c r="KS4" s="30" t="s">
        <v>280</v>
      </c>
      <c r="KT4" s="30" t="s">
        <v>281</v>
      </c>
      <c r="KU4" s="30" t="s">
        <v>282</v>
      </c>
      <c r="KV4" s="30" t="s">
        <v>283</v>
      </c>
      <c r="KW4" s="30" t="s">
        <v>284</v>
      </c>
      <c r="KX4" s="30" t="s">
        <v>285</v>
      </c>
      <c r="KY4" s="30" t="s">
        <v>286</v>
      </c>
      <c r="KZ4" s="30" t="s">
        <v>287</v>
      </c>
      <c r="LA4" s="30" t="s">
        <v>288</v>
      </c>
      <c r="LB4" s="30" t="s">
        <v>289</v>
      </c>
      <c r="LC4" s="30" t="s">
        <v>290</v>
      </c>
      <c r="LD4" s="30" t="s">
        <v>291</v>
      </c>
      <c r="LE4" s="30" t="s">
        <v>292</v>
      </c>
      <c r="LF4" s="30" t="s">
        <v>293</v>
      </c>
      <c r="LG4" s="30" t="s">
        <v>43</v>
      </c>
      <c r="LH4" s="30" t="s">
        <v>131</v>
      </c>
      <c r="LI4" s="30" t="s">
        <v>59</v>
      </c>
      <c r="LJ4" s="30" t="s">
        <v>92</v>
      </c>
      <c r="LK4" s="30" t="s">
        <v>132</v>
      </c>
      <c r="LL4" s="30" t="s">
        <v>42</v>
      </c>
      <c r="LM4" s="30" t="s">
        <v>62</v>
      </c>
      <c r="LN4" s="30" t="s">
        <v>63</v>
      </c>
      <c r="LO4" s="30" t="s">
        <v>64</v>
      </c>
      <c r="LP4" s="30" t="s">
        <v>133</v>
      </c>
      <c r="LQ4" s="30" t="s">
        <v>65</v>
      </c>
      <c r="LR4" s="30" t="s">
        <v>66</v>
      </c>
      <c r="LS4" s="30" t="s">
        <v>134</v>
      </c>
      <c r="LT4" s="30" t="s">
        <v>135</v>
      </c>
      <c r="LU4" s="30" t="s">
        <v>294</v>
      </c>
      <c r="LV4" s="31" t="s">
        <v>295</v>
      </c>
      <c r="LW4" s="31" t="s">
        <v>296</v>
      </c>
      <c r="LX4" s="30" t="s">
        <v>73</v>
      </c>
      <c r="LY4" s="30" t="s">
        <v>137</v>
      </c>
      <c r="LZ4" s="30" t="s">
        <v>138</v>
      </c>
      <c r="MA4" s="30" t="s">
        <v>297</v>
      </c>
      <c r="MB4" s="30" t="s">
        <v>298</v>
      </c>
      <c r="MC4" s="30" t="s">
        <v>299</v>
      </c>
      <c r="MD4" s="30" t="s">
        <v>300</v>
      </c>
      <c r="ME4" s="30" t="s">
        <v>301</v>
      </c>
      <c r="MF4" s="31" t="s">
        <v>302</v>
      </c>
      <c r="MG4" s="31" t="s">
        <v>303</v>
      </c>
      <c r="MH4" s="31" t="s">
        <v>304</v>
      </c>
      <c r="MI4" s="31" t="s">
        <v>305</v>
      </c>
      <c r="MJ4" s="31" t="s">
        <v>306</v>
      </c>
      <c r="MK4" s="31" t="s">
        <v>307</v>
      </c>
      <c r="ML4" s="31" t="s">
        <v>308</v>
      </c>
      <c r="MM4" s="31" t="s">
        <v>309</v>
      </c>
      <c r="MN4" s="31" t="s">
        <v>310</v>
      </c>
      <c r="MO4" s="31" t="s">
        <v>311</v>
      </c>
      <c r="MP4" s="31" t="s">
        <v>312</v>
      </c>
      <c r="MQ4" s="31" t="s">
        <v>313</v>
      </c>
      <c r="MR4" s="31" t="s">
        <v>314</v>
      </c>
      <c r="MS4" s="31" t="s">
        <v>315</v>
      </c>
      <c r="MT4" s="31" t="s">
        <v>316</v>
      </c>
      <c r="MU4" s="31" t="s">
        <v>317</v>
      </c>
      <c r="MV4" s="31" t="s">
        <v>318</v>
      </c>
      <c r="MW4" s="31" t="s">
        <v>319</v>
      </c>
      <c r="MX4" s="31" t="s">
        <v>320</v>
      </c>
      <c r="MY4" s="31" t="s">
        <v>321</v>
      </c>
      <c r="MZ4" s="31" t="s">
        <v>322</v>
      </c>
      <c r="NA4" s="31" t="s">
        <v>323</v>
      </c>
      <c r="NB4" s="31" t="s">
        <v>324</v>
      </c>
      <c r="NC4" s="31" t="s">
        <v>325</v>
      </c>
      <c r="ND4" s="31" t="s">
        <v>326</v>
      </c>
      <c r="NE4" s="31" t="s">
        <v>326</v>
      </c>
      <c r="NF4" s="31" t="s">
        <v>326</v>
      </c>
      <c r="NG4" s="31" t="s">
        <v>327</v>
      </c>
      <c r="NH4" s="30" t="s">
        <v>43</v>
      </c>
      <c r="NI4" s="30" t="s">
        <v>131</v>
      </c>
      <c r="NJ4" s="30" t="s">
        <v>59</v>
      </c>
      <c r="NK4" s="30" t="s">
        <v>92</v>
      </c>
      <c r="NL4" s="30" t="s">
        <v>132</v>
      </c>
      <c r="NM4" s="30" t="s">
        <v>42</v>
      </c>
      <c r="NN4" s="30" t="s">
        <v>62</v>
      </c>
      <c r="NO4" s="30" t="s">
        <v>63</v>
      </c>
      <c r="NP4" s="30" t="s">
        <v>64</v>
      </c>
      <c r="NQ4" s="30" t="s">
        <v>328</v>
      </c>
      <c r="NR4" s="30" t="s">
        <v>65</v>
      </c>
      <c r="NS4" s="30" t="s">
        <v>66</v>
      </c>
      <c r="NT4" s="30" t="s">
        <v>135</v>
      </c>
      <c r="NU4" s="30" t="s">
        <v>134</v>
      </c>
      <c r="NV4" s="30" t="s">
        <v>329</v>
      </c>
      <c r="NW4" s="30" t="s">
        <v>295</v>
      </c>
      <c r="NX4" s="30" t="s">
        <v>73</v>
      </c>
      <c r="NY4" s="30" t="s">
        <v>137</v>
      </c>
      <c r="NZ4" s="30" t="s">
        <v>138</v>
      </c>
      <c r="OA4" s="30" t="s">
        <v>297</v>
      </c>
      <c r="OB4" s="30" t="s">
        <v>298</v>
      </c>
      <c r="OC4" s="30" t="s">
        <v>330</v>
      </c>
      <c r="OD4" s="30" t="s">
        <v>331</v>
      </c>
      <c r="OE4" s="30" t="s">
        <v>332</v>
      </c>
      <c r="OF4" s="30" t="s">
        <v>333</v>
      </c>
      <c r="OG4" s="30" t="s">
        <v>334</v>
      </c>
      <c r="OH4" s="30" t="s">
        <v>335</v>
      </c>
      <c r="OI4" s="30" t="s">
        <v>336</v>
      </c>
      <c r="OJ4" s="30" t="s">
        <v>337</v>
      </c>
      <c r="OK4" s="30" t="s">
        <v>338</v>
      </c>
      <c r="OL4" s="30" t="s">
        <v>339</v>
      </c>
      <c r="OM4" s="30" t="s">
        <v>340</v>
      </c>
      <c r="ON4" s="30" t="s">
        <v>341</v>
      </c>
      <c r="OO4" s="30" t="s">
        <v>342</v>
      </c>
      <c r="OP4" s="30" t="s">
        <v>343</v>
      </c>
      <c r="OQ4" s="30" t="s">
        <v>344</v>
      </c>
      <c r="OR4" s="30" t="s">
        <v>345</v>
      </c>
      <c r="OS4" s="30" t="s">
        <v>346</v>
      </c>
      <c r="OT4" s="30" t="s">
        <v>347</v>
      </c>
      <c r="OU4" s="30" t="s">
        <v>348</v>
      </c>
      <c r="OV4" s="30" t="s">
        <v>311</v>
      </c>
      <c r="OW4" s="30" t="s">
        <v>349</v>
      </c>
      <c r="OX4" s="30" t="s">
        <v>313</v>
      </c>
      <c r="OY4" s="30" t="s">
        <v>350</v>
      </c>
      <c r="OZ4" s="30" t="s">
        <v>317</v>
      </c>
      <c r="PA4" s="30" t="s">
        <v>351</v>
      </c>
      <c r="PB4" s="30" t="s">
        <v>321</v>
      </c>
      <c r="PC4" s="30" t="s">
        <v>352</v>
      </c>
      <c r="PD4" s="30" t="s">
        <v>353</v>
      </c>
      <c r="PE4" s="30" t="s">
        <v>324</v>
      </c>
      <c r="PF4" s="30" t="s">
        <v>325</v>
      </c>
      <c r="PG4" s="30" t="s">
        <v>354</v>
      </c>
      <c r="PH4" s="30" t="s">
        <v>355</v>
      </c>
      <c r="PI4" s="30" t="s">
        <v>356</v>
      </c>
      <c r="PJ4" s="30" t="s">
        <v>357</v>
      </c>
      <c r="PK4" s="30" t="s">
        <v>358</v>
      </c>
      <c r="PL4" s="30" t="s">
        <v>359</v>
      </c>
      <c r="PM4" s="30" t="s">
        <v>360</v>
      </c>
      <c r="PN4" s="30" t="s">
        <v>361</v>
      </c>
      <c r="PO4" s="30" t="s">
        <v>362</v>
      </c>
      <c r="PP4" s="30" t="s">
        <v>363</v>
      </c>
      <c r="PQ4" s="30" t="s">
        <v>364</v>
      </c>
      <c r="PR4" s="30" t="s">
        <v>365</v>
      </c>
      <c r="PS4" s="30" t="s">
        <v>366</v>
      </c>
      <c r="PT4" s="30" t="s">
        <v>367</v>
      </c>
      <c r="PU4" s="30" t="s">
        <v>368</v>
      </c>
      <c r="PV4" s="30" t="s">
        <v>369</v>
      </c>
      <c r="PW4" s="30" t="s">
        <v>370</v>
      </c>
      <c r="PX4" s="30" t="s">
        <v>371</v>
      </c>
      <c r="PY4" s="30" t="s">
        <v>372</v>
      </c>
      <c r="PZ4" s="30" t="s">
        <v>373</v>
      </c>
      <c r="QA4" s="30" t="s">
        <v>374</v>
      </c>
      <c r="QB4" s="30" t="s">
        <v>375</v>
      </c>
      <c r="QC4" s="30" t="s">
        <v>376</v>
      </c>
      <c r="QD4" s="30" t="s">
        <v>377</v>
      </c>
      <c r="QE4" s="30" t="s">
        <v>378</v>
      </c>
      <c r="QF4" s="30" t="s">
        <v>379</v>
      </c>
      <c r="QG4" s="32" t="s">
        <v>380</v>
      </c>
      <c r="QH4" s="32" t="s">
        <v>381</v>
      </c>
      <c r="QI4" s="30" t="s">
        <v>382</v>
      </c>
      <c r="QJ4" s="32" t="s">
        <v>383</v>
      </c>
      <c r="QK4" s="30" t="s">
        <v>384</v>
      </c>
      <c r="QL4" s="30" t="s">
        <v>385</v>
      </c>
      <c r="QM4" s="30" t="s">
        <v>386</v>
      </c>
      <c r="QN4" s="30" t="s">
        <v>387</v>
      </c>
      <c r="QO4" s="30" t="s">
        <v>388</v>
      </c>
      <c r="QP4" s="30" t="s">
        <v>388</v>
      </c>
      <c r="QQ4" s="30" t="s">
        <v>388</v>
      </c>
      <c r="QR4" s="30" t="s">
        <v>388</v>
      </c>
      <c r="QS4" s="30" t="s">
        <v>388</v>
      </c>
      <c r="QT4" s="33" t="s">
        <v>389</v>
      </c>
      <c r="QU4" s="30" t="s">
        <v>388</v>
      </c>
      <c r="QV4" s="30" t="s">
        <v>133</v>
      </c>
      <c r="QW4" s="30" t="s">
        <v>390</v>
      </c>
      <c r="QX4" s="30" t="s">
        <v>391</v>
      </c>
      <c r="QY4" s="30" t="s">
        <v>392</v>
      </c>
      <c r="QZ4" s="30" t="s">
        <v>393</v>
      </c>
      <c r="RA4" s="30" t="s">
        <v>394</v>
      </c>
      <c r="RB4" s="30" t="s">
        <v>395</v>
      </c>
      <c r="RC4" s="30" t="s">
        <v>396</v>
      </c>
      <c r="RD4" s="30" t="s">
        <v>397</v>
      </c>
      <c r="RE4" s="30" t="s">
        <v>398</v>
      </c>
      <c r="RF4" s="30" t="s">
        <v>399</v>
      </c>
      <c r="RG4" s="30" t="s">
        <v>400</v>
      </c>
      <c r="RH4" s="30" t="s">
        <v>401</v>
      </c>
      <c r="RI4" s="30" t="s">
        <v>402</v>
      </c>
      <c r="RJ4" s="30" t="s">
        <v>403</v>
      </c>
      <c r="RK4" s="30" t="s">
        <v>404</v>
      </c>
      <c r="RL4" s="30" t="s">
        <v>405</v>
      </c>
    </row>
    <row r="5" spans="1:480" x14ac:dyDescent="0.3">
      <c r="A5" s="34" t="s">
        <v>406</v>
      </c>
      <c r="B5" s="34" t="s">
        <v>406</v>
      </c>
      <c r="C5" s="34" t="s">
        <v>406</v>
      </c>
      <c r="D5" s="34" t="s">
        <v>406</v>
      </c>
      <c r="E5" s="34" t="s">
        <v>406</v>
      </c>
      <c r="F5" s="34" t="s">
        <v>406</v>
      </c>
      <c r="G5" s="34" t="s">
        <v>406</v>
      </c>
      <c r="H5" s="34" t="s">
        <v>406</v>
      </c>
      <c r="I5" s="34" t="s">
        <v>406</v>
      </c>
      <c r="J5" s="34" t="s">
        <v>406</v>
      </c>
      <c r="K5" s="34" t="s">
        <v>406</v>
      </c>
      <c r="L5" s="34" t="s">
        <v>406</v>
      </c>
      <c r="M5" s="34" t="s">
        <v>406</v>
      </c>
      <c r="N5" s="34" t="s">
        <v>406</v>
      </c>
      <c r="O5" s="34" t="s">
        <v>406</v>
      </c>
      <c r="P5" s="34" t="s">
        <v>406</v>
      </c>
      <c r="Q5" s="34" t="s">
        <v>406</v>
      </c>
      <c r="R5" s="34" t="s">
        <v>406</v>
      </c>
      <c r="S5" s="34" t="s">
        <v>406</v>
      </c>
      <c r="T5" s="34" t="s">
        <v>406</v>
      </c>
      <c r="U5" s="34" t="s">
        <v>406</v>
      </c>
      <c r="V5" s="34" t="s">
        <v>407</v>
      </c>
      <c r="W5" s="34" t="s">
        <v>407</v>
      </c>
      <c r="X5" s="34" t="s">
        <v>408</v>
      </c>
      <c r="Y5" s="34" t="s">
        <v>406</v>
      </c>
      <c r="Z5" s="34" t="s">
        <v>406</v>
      </c>
      <c r="AA5" s="97" t="s">
        <v>409</v>
      </c>
      <c r="AB5" s="34" t="s">
        <v>406</v>
      </c>
      <c r="AC5" s="34" t="s">
        <v>406</v>
      </c>
      <c r="AD5" s="34" t="s">
        <v>406</v>
      </c>
      <c r="AE5" s="34" t="s">
        <v>406</v>
      </c>
      <c r="AF5" s="34" t="s">
        <v>406</v>
      </c>
      <c r="AG5" s="34" t="s">
        <v>408</v>
      </c>
      <c r="AH5" s="34" t="s">
        <v>408</v>
      </c>
      <c r="AI5" s="34" t="s">
        <v>406</v>
      </c>
      <c r="AJ5" s="34" t="s">
        <v>406</v>
      </c>
      <c r="AK5" s="34" t="s">
        <v>406</v>
      </c>
      <c r="AL5" s="34" t="s">
        <v>408</v>
      </c>
      <c r="AM5" s="34" t="s">
        <v>408</v>
      </c>
      <c r="AN5" s="34" t="s">
        <v>407</v>
      </c>
      <c r="AO5" s="34" t="s">
        <v>407</v>
      </c>
      <c r="AP5" s="34" t="s">
        <v>410</v>
      </c>
      <c r="AQ5" s="34" t="s">
        <v>406</v>
      </c>
      <c r="AR5" s="34" t="s">
        <v>406</v>
      </c>
      <c r="AS5" s="34" t="s">
        <v>406</v>
      </c>
      <c r="AT5" s="34" t="s">
        <v>406</v>
      </c>
      <c r="AU5" s="34" t="s">
        <v>406</v>
      </c>
      <c r="AV5" s="34" t="s">
        <v>409</v>
      </c>
      <c r="AW5" s="34" t="s">
        <v>406</v>
      </c>
      <c r="AX5" s="34" t="s">
        <v>406</v>
      </c>
      <c r="AY5" s="34" t="s">
        <v>408</v>
      </c>
      <c r="AZ5" s="34" t="s">
        <v>410</v>
      </c>
      <c r="BA5" s="34" t="s">
        <v>410</v>
      </c>
      <c r="BB5" s="34" t="s">
        <v>411</v>
      </c>
      <c r="BC5" s="34" t="s">
        <v>411</v>
      </c>
      <c r="BD5" s="34" t="s">
        <v>406</v>
      </c>
      <c r="BE5" s="34" t="s">
        <v>411</v>
      </c>
      <c r="BF5" s="34" t="s">
        <v>410</v>
      </c>
      <c r="BG5" s="34" t="s">
        <v>412</v>
      </c>
      <c r="BH5" s="34" t="s">
        <v>412</v>
      </c>
      <c r="BI5" s="34" t="s">
        <v>411</v>
      </c>
      <c r="BJ5" s="34" t="s">
        <v>411</v>
      </c>
      <c r="BK5" s="34" t="s">
        <v>413</v>
      </c>
      <c r="BL5" s="34" t="s">
        <v>413</v>
      </c>
      <c r="BM5" s="34" t="s">
        <v>414</v>
      </c>
      <c r="BN5" s="34" t="s">
        <v>414</v>
      </c>
      <c r="BO5" s="34" t="s">
        <v>406</v>
      </c>
      <c r="BP5" s="34" t="s">
        <v>411</v>
      </c>
      <c r="BQ5" s="34" t="s">
        <v>411</v>
      </c>
      <c r="BR5" s="34" t="s">
        <v>411</v>
      </c>
      <c r="BS5" s="34" t="s">
        <v>406</v>
      </c>
      <c r="BT5" s="34" t="s">
        <v>406</v>
      </c>
      <c r="BU5" s="34" t="s">
        <v>406</v>
      </c>
      <c r="BV5" s="34" t="s">
        <v>406</v>
      </c>
      <c r="BW5" s="34" t="s">
        <v>406</v>
      </c>
      <c r="BX5" s="34" t="s">
        <v>406</v>
      </c>
      <c r="BY5" s="34" t="s">
        <v>406</v>
      </c>
      <c r="BZ5" s="34" t="s">
        <v>406</v>
      </c>
      <c r="CA5" s="34" t="s">
        <v>406</v>
      </c>
      <c r="CB5" s="34" t="s">
        <v>406</v>
      </c>
      <c r="CC5" s="34" t="s">
        <v>411</v>
      </c>
      <c r="CD5" s="34" t="s">
        <v>411</v>
      </c>
      <c r="CE5" s="34" t="s">
        <v>406</v>
      </c>
      <c r="CF5" s="34" t="s">
        <v>406</v>
      </c>
      <c r="CG5" s="34" t="s">
        <v>406</v>
      </c>
      <c r="CH5" s="34" t="s">
        <v>406</v>
      </c>
      <c r="CI5" s="34" t="s">
        <v>406</v>
      </c>
      <c r="CJ5" s="34" t="s">
        <v>409</v>
      </c>
      <c r="CK5" s="34" t="s">
        <v>406</v>
      </c>
      <c r="CL5" s="34" t="s">
        <v>406</v>
      </c>
      <c r="CM5" s="34" t="s">
        <v>415</v>
      </c>
      <c r="CN5" s="34" t="s">
        <v>415</v>
      </c>
      <c r="CO5" s="34" t="s">
        <v>411</v>
      </c>
      <c r="CP5" s="34" t="s">
        <v>411</v>
      </c>
      <c r="CQ5" s="34" t="s">
        <v>411</v>
      </c>
      <c r="CR5" s="34" t="s">
        <v>411</v>
      </c>
      <c r="CS5" s="34" t="s">
        <v>411</v>
      </c>
      <c r="CT5" s="34" t="s">
        <v>411</v>
      </c>
      <c r="CU5" s="34" t="s">
        <v>411</v>
      </c>
      <c r="CV5" s="34" t="s">
        <v>411</v>
      </c>
      <c r="CW5" s="34" t="s">
        <v>411</v>
      </c>
      <c r="CX5" s="34" t="s">
        <v>411</v>
      </c>
      <c r="CY5" s="34" t="s">
        <v>411</v>
      </c>
      <c r="CZ5" s="34" t="s">
        <v>411</v>
      </c>
      <c r="DA5" s="34" t="s">
        <v>411</v>
      </c>
      <c r="DB5" s="34" t="s">
        <v>411</v>
      </c>
      <c r="DC5" s="34" t="s">
        <v>411</v>
      </c>
      <c r="DD5" s="34" t="s">
        <v>411</v>
      </c>
      <c r="DE5" s="34" t="s">
        <v>411</v>
      </c>
      <c r="DF5" s="34" t="s">
        <v>411</v>
      </c>
      <c r="DG5" s="34" t="s">
        <v>411</v>
      </c>
      <c r="DH5" s="34" t="s">
        <v>415</v>
      </c>
      <c r="DI5" s="34" t="s">
        <v>415</v>
      </c>
      <c r="DJ5" s="34" t="s">
        <v>415</v>
      </c>
      <c r="DK5" s="34" t="s">
        <v>415</v>
      </c>
      <c r="DL5" s="34" t="s">
        <v>406</v>
      </c>
      <c r="DM5" s="34" t="s">
        <v>406</v>
      </c>
      <c r="DN5" s="34" t="s">
        <v>406</v>
      </c>
      <c r="DO5" s="34" t="s">
        <v>408</v>
      </c>
      <c r="DP5" s="34" t="s">
        <v>416</v>
      </c>
      <c r="DQ5" s="34" t="s">
        <v>413</v>
      </c>
      <c r="DR5" s="34" t="s">
        <v>413</v>
      </c>
      <c r="DS5" s="34" t="s">
        <v>406</v>
      </c>
      <c r="DT5" s="34" t="s">
        <v>413</v>
      </c>
      <c r="DU5" s="34" t="s">
        <v>413</v>
      </c>
      <c r="DV5" s="34" t="s">
        <v>413</v>
      </c>
      <c r="DW5" s="34" t="s">
        <v>413</v>
      </c>
      <c r="DX5" s="34" t="s">
        <v>406</v>
      </c>
      <c r="DY5" s="34" t="s">
        <v>406</v>
      </c>
      <c r="DZ5" s="34" t="s">
        <v>413</v>
      </c>
      <c r="EA5" s="34" t="s">
        <v>406</v>
      </c>
      <c r="EB5" s="34" t="s">
        <v>406</v>
      </c>
      <c r="EC5" s="34" t="s">
        <v>406</v>
      </c>
      <c r="ED5" s="34" t="s">
        <v>406</v>
      </c>
      <c r="EE5" s="34" t="s">
        <v>406</v>
      </c>
      <c r="EF5" s="97" t="s">
        <v>409</v>
      </c>
      <c r="EG5" s="34" t="s">
        <v>406</v>
      </c>
      <c r="EH5" s="34" t="s">
        <v>406</v>
      </c>
      <c r="EI5" s="34" t="s">
        <v>408</v>
      </c>
      <c r="EJ5" s="34" t="s">
        <v>413</v>
      </c>
      <c r="EK5" s="34" t="s">
        <v>410</v>
      </c>
      <c r="EL5" s="34" t="s">
        <v>410</v>
      </c>
      <c r="EM5" s="34" t="s">
        <v>411</v>
      </c>
      <c r="EN5" s="34" t="s">
        <v>411</v>
      </c>
      <c r="EO5" s="34" t="s">
        <v>413</v>
      </c>
      <c r="EP5" s="34" t="s">
        <v>417</v>
      </c>
      <c r="EQ5" s="34" t="s">
        <v>417</v>
      </c>
      <c r="ER5" s="34" t="s">
        <v>418</v>
      </c>
      <c r="ES5" s="34" t="s">
        <v>418</v>
      </c>
      <c r="ET5" s="34" t="s">
        <v>418</v>
      </c>
      <c r="EU5" s="34" t="s">
        <v>418</v>
      </c>
      <c r="EV5" s="34" t="s">
        <v>419</v>
      </c>
      <c r="EW5" s="34" t="s">
        <v>419</v>
      </c>
      <c r="EX5" s="34" t="s">
        <v>420</v>
      </c>
      <c r="EY5" s="34" t="s">
        <v>413</v>
      </c>
      <c r="EZ5" s="34" t="s">
        <v>413</v>
      </c>
      <c r="FA5" s="34" t="s">
        <v>413</v>
      </c>
      <c r="FB5" s="34" t="s">
        <v>413</v>
      </c>
      <c r="FC5" s="34" t="s">
        <v>413</v>
      </c>
      <c r="FD5" s="34" t="s">
        <v>406</v>
      </c>
      <c r="FE5" s="34" t="s">
        <v>413</v>
      </c>
      <c r="FF5" s="34" t="s">
        <v>411</v>
      </c>
      <c r="FG5" s="34" t="s">
        <v>413</v>
      </c>
      <c r="FH5" s="34" t="s">
        <v>406</v>
      </c>
      <c r="FI5" s="34" t="s">
        <v>406</v>
      </c>
      <c r="FJ5" s="34" t="s">
        <v>406</v>
      </c>
      <c r="FK5" s="34" t="s">
        <v>406</v>
      </c>
      <c r="FL5" s="34" t="s">
        <v>406</v>
      </c>
      <c r="FM5" s="34" t="s">
        <v>406</v>
      </c>
      <c r="FN5" s="34" t="s">
        <v>406</v>
      </c>
      <c r="FO5" s="34" t="s">
        <v>406</v>
      </c>
      <c r="FP5" s="34" t="s">
        <v>409</v>
      </c>
      <c r="FQ5" s="34" t="s">
        <v>406</v>
      </c>
      <c r="FR5" s="34" t="s">
        <v>406</v>
      </c>
      <c r="FS5" s="34" t="s">
        <v>408</v>
      </c>
      <c r="FT5" s="34" t="s">
        <v>413</v>
      </c>
      <c r="FU5" s="34" t="s">
        <v>410</v>
      </c>
      <c r="FV5" s="34" t="s">
        <v>410</v>
      </c>
      <c r="FW5" s="34" t="s">
        <v>411</v>
      </c>
      <c r="FX5" s="34" t="s">
        <v>411</v>
      </c>
      <c r="FY5" s="34" t="s">
        <v>406</v>
      </c>
      <c r="FZ5" s="34" t="s">
        <v>417</v>
      </c>
      <c r="GA5" s="34" t="s">
        <v>417</v>
      </c>
      <c r="GB5" s="34" t="s">
        <v>406</v>
      </c>
      <c r="GC5" s="34" t="s">
        <v>406</v>
      </c>
      <c r="GD5" s="34" t="s">
        <v>413</v>
      </c>
      <c r="GE5" s="34" t="s">
        <v>411</v>
      </c>
      <c r="GF5" s="34" t="s">
        <v>406</v>
      </c>
      <c r="GG5" s="34" t="s">
        <v>406</v>
      </c>
      <c r="GH5" s="34" t="s">
        <v>406</v>
      </c>
      <c r="GI5" s="34" t="s">
        <v>406</v>
      </c>
      <c r="GJ5" s="34" t="s">
        <v>406</v>
      </c>
      <c r="GK5" s="34" t="s">
        <v>406</v>
      </c>
      <c r="GL5" s="34" t="s">
        <v>406</v>
      </c>
      <c r="GM5" s="34" t="s">
        <v>406</v>
      </c>
      <c r="GN5" s="34" t="s">
        <v>406</v>
      </c>
      <c r="GO5" s="34" t="s">
        <v>406</v>
      </c>
      <c r="GP5" s="34" t="s">
        <v>406</v>
      </c>
      <c r="GQ5" s="34" t="s">
        <v>406</v>
      </c>
      <c r="GR5" s="34" t="s">
        <v>406</v>
      </c>
      <c r="GS5" s="34" t="s">
        <v>406</v>
      </c>
      <c r="GT5" s="34" t="s">
        <v>406</v>
      </c>
      <c r="GU5" s="34" t="s">
        <v>406</v>
      </c>
      <c r="GV5" s="34" t="s">
        <v>406</v>
      </c>
      <c r="GW5" s="34" t="s">
        <v>406</v>
      </c>
      <c r="GX5" s="34" t="s">
        <v>406</v>
      </c>
      <c r="GY5" s="34" t="s">
        <v>406</v>
      </c>
      <c r="GZ5" s="34" t="s">
        <v>406</v>
      </c>
      <c r="HA5" s="34" t="s">
        <v>406</v>
      </c>
      <c r="HB5" s="34" t="s">
        <v>406</v>
      </c>
      <c r="HC5" s="34" t="s">
        <v>406</v>
      </c>
      <c r="HD5" s="34" t="s">
        <v>406</v>
      </c>
      <c r="HE5" s="34" t="s">
        <v>406</v>
      </c>
      <c r="HF5" s="34" t="s">
        <v>406</v>
      </c>
      <c r="HG5" s="34" t="s">
        <v>406</v>
      </c>
      <c r="HH5" s="34" t="s">
        <v>406</v>
      </c>
      <c r="HI5" s="34" t="s">
        <v>406</v>
      </c>
      <c r="HJ5" s="34" t="s">
        <v>406</v>
      </c>
      <c r="HK5" s="34" t="s">
        <v>406</v>
      </c>
      <c r="HL5" s="34" t="s">
        <v>413</v>
      </c>
      <c r="HM5" s="34" t="s">
        <v>411</v>
      </c>
      <c r="HN5" s="34" t="s">
        <v>406</v>
      </c>
      <c r="HO5" s="34" t="s">
        <v>406</v>
      </c>
      <c r="HP5" s="34" t="s">
        <v>406</v>
      </c>
      <c r="HQ5" s="34" t="s">
        <v>406</v>
      </c>
      <c r="HR5" s="34" t="s">
        <v>406</v>
      </c>
      <c r="HS5" s="34" t="s">
        <v>406</v>
      </c>
      <c r="HT5" s="34" t="s">
        <v>406</v>
      </c>
      <c r="HU5" s="34" t="s">
        <v>406</v>
      </c>
      <c r="HV5" s="34" t="s">
        <v>406</v>
      </c>
      <c r="HW5" s="34" t="s">
        <v>406</v>
      </c>
      <c r="HX5" s="34" t="s">
        <v>406</v>
      </c>
      <c r="HY5" s="34" t="s">
        <v>406</v>
      </c>
      <c r="HZ5" s="34" t="s">
        <v>406</v>
      </c>
      <c r="IA5" s="34" t="s">
        <v>406</v>
      </c>
      <c r="IB5" s="34" t="s">
        <v>406</v>
      </c>
      <c r="IC5" s="34" t="s">
        <v>406</v>
      </c>
      <c r="ID5" s="34" t="s">
        <v>406</v>
      </c>
      <c r="IE5" s="34" t="s">
        <v>406</v>
      </c>
      <c r="IF5" s="34" t="s">
        <v>406</v>
      </c>
      <c r="IG5" s="34" t="s">
        <v>406</v>
      </c>
      <c r="IH5" s="34" t="s">
        <v>406</v>
      </c>
      <c r="II5" s="34" t="s">
        <v>406</v>
      </c>
      <c r="IJ5" s="34" t="s">
        <v>406</v>
      </c>
      <c r="IK5" s="34" t="s">
        <v>406</v>
      </c>
      <c r="IL5" s="34" t="s">
        <v>406</v>
      </c>
      <c r="IM5" s="34" t="s">
        <v>406</v>
      </c>
      <c r="IN5" s="34" t="s">
        <v>406</v>
      </c>
      <c r="IO5" s="34" t="s">
        <v>406</v>
      </c>
      <c r="IP5" s="34" t="s">
        <v>406</v>
      </c>
      <c r="IQ5" s="34" t="s">
        <v>406</v>
      </c>
      <c r="IR5" s="34" t="s">
        <v>413</v>
      </c>
      <c r="IS5" s="34" t="s">
        <v>411</v>
      </c>
      <c r="IT5" s="34" t="s">
        <v>413</v>
      </c>
      <c r="IU5" s="34" t="s">
        <v>421</v>
      </c>
      <c r="IV5" s="34" t="s">
        <v>421</v>
      </c>
      <c r="IW5" s="34" t="s">
        <v>421</v>
      </c>
      <c r="IX5" s="34" t="s">
        <v>421</v>
      </c>
      <c r="IY5" s="34" t="s">
        <v>421</v>
      </c>
      <c r="IZ5" s="34" t="s">
        <v>421</v>
      </c>
      <c r="JA5" s="34" t="s">
        <v>421</v>
      </c>
      <c r="JB5" s="34" t="s">
        <v>421</v>
      </c>
      <c r="JC5" s="34" t="s">
        <v>414</v>
      </c>
      <c r="JD5" s="34" t="s">
        <v>414</v>
      </c>
      <c r="JE5" s="34" t="s">
        <v>414</v>
      </c>
      <c r="JF5" s="34" t="s">
        <v>414</v>
      </c>
      <c r="JG5" s="34" t="s">
        <v>414</v>
      </c>
      <c r="JH5" s="34" t="s">
        <v>414</v>
      </c>
      <c r="JI5" s="34" t="s">
        <v>414</v>
      </c>
      <c r="JJ5" s="34" t="s">
        <v>414</v>
      </c>
      <c r="JK5" s="34" t="s">
        <v>422</v>
      </c>
      <c r="JL5" s="34" t="s">
        <v>422</v>
      </c>
      <c r="JM5" s="34" t="s">
        <v>422</v>
      </c>
      <c r="JN5" s="34" t="s">
        <v>422</v>
      </c>
      <c r="JO5" s="34" t="s">
        <v>422</v>
      </c>
      <c r="JP5" s="34" t="s">
        <v>422</v>
      </c>
      <c r="JQ5" s="34" t="s">
        <v>422</v>
      </c>
      <c r="JR5" s="34" t="s">
        <v>422</v>
      </c>
      <c r="JS5" s="34" t="s">
        <v>413</v>
      </c>
      <c r="JT5" s="34" t="s">
        <v>413</v>
      </c>
      <c r="JU5" s="34" t="s">
        <v>413</v>
      </c>
      <c r="JV5" s="34" t="s">
        <v>413</v>
      </c>
      <c r="JW5" s="34" t="s">
        <v>413</v>
      </c>
      <c r="JX5" s="34" t="s">
        <v>413</v>
      </c>
      <c r="JY5" s="34" t="s">
        <v>413</v>
      </c>
      <c r="JZ5" s="34" t="s">
        <v>413</v>
      </c>
      <c r="KA5" s="34" t="s">
        <v>421</v>
      </c>
      <c r="KB5" s="34" t="s">
        <v>421</v>
      </c>
      <c r="KC5" s="34" t="s">
        <v>421</v>
      </c>
      <c r="KD5" s="34" t="s">
        <v>421</v>
      </c>
      <c r="KE5" s="34" t="s">
        <v>421</v>
      </c>
      <c r="KF5" s="34" t="s">
        <v>421</v>
      </c>
      <c r="KG5" s="34" t="s">
        <v>421</v>
      </c>
      <c r="KH5" s="34" t="s">
        <v>421</v>
      </c>
      <c r="KI5" s="34" t="s">
        <v>414</v>
      </c>
      <c r="KJ5" s="34" t="s">
        <v>414</v>
      </c>
      <c r="KK5" s="34" t="s">
        <v>414</v>
      </c>
      <c r="KL5" s="34" t="s">
        <v>414</v>
      </c>
      <c r="KM5" s="34" t="s">
        <v>414</v>
      </c>
      <c r="KN5" s="34" t="s">
        <v>414</v>
      </c>
      <c r="KO5" s="34" t="s">
        <v>414</v>
      </c>
      <c r="KP5" s="34" t="s">
        <v>414</v>
      </c>
      <c r="KQ5" s="34" t="s">
        <v>422</v>
      </c>
      <c r="KR5" s="34" t="s">
        <v>422</v>
      </c>
      <c r="KS5" s="34" t="s">
        <v>422</v>
      </c>
      <c r="KT5" s="34" t="s">
        <v>422</v>
      </c>
      <c r="KU5" s="34" t="s">
        <v>422</v>
      </c>
      <c r="KV5" s="34" t="s">
        <v>422</v>
      </c>
      <c r="KW5" s="34" t="s">
        <v>422</v>
      </c>
      <c r="KX5" s="34" t="s">
        <v>422</v>
      </c>
      <c r="KY5" s="34" t="s">
        <v>413</v>
      </c>
      <c r="KZ5" s="34" t="s">
        <v>413</v>
      </c>
      <c r="LA5" s="34" t="s">
        <v>413</v>
      </c>
      <c r="LB5" s="34" t="s">
        <v>413</v>
      </c>
      <c r="LC5" s="34" t="s">
        <v>413</v>
      </c>
      <c r="LD5" s="34" t="s">
        <v>413</v>
      </c>
      <c r="LE5" s="34" t="s">
        <v>413</v>
      </c>
      <c r="LF5" s="34" t="s">
        <v>413</v>
      </c>
      <c r="LG5" s="34" t="s">
        <v>406</v>
      </c>
      <c r="LH5" s="34" t="s">
        <v>406</v>
      </c>
      <c r="LI5" s="34" t="s">
        <v>406</v>
      </c>
      <c r="LJ5" s="34" t="s">
        <v>406</v>
      </c>
      <c r="LK5" s="34" t="s">
        <v>406</v>
      </c>
      <c r="LL5" s="34" t="s">
        <v>409</v>
      </c>
      <c r="LM5" s="34" t="s">
        <v>406</v>
      </c>
      <c r="LN5" s="34" t="s">
        <v>406</v>
      </c>
      <c r="LO5" s="34" t="s">
        <v>408</v>
      </c>
      <c r="LP5" s="34" t="s">
        <v>413</v>
      </c>
      <c r="LQ5" s="34" t="s">
        <v>410</v>
      </c>
      <c r="LR5" s="34" t="s">
        <v>410</v>
      </c>
      <c r="LS5" s="34" t="s">
        <v>411</v>
      </c>
      <c r="LT5" s="34" t="s">
        <v>411</v>
      </c>
      <c r="LU5" s="34" t="s">
        <v>411</v>
      </c>
      <c r="LV5" s="105" t="s">
        <v>406</v>
      </c>
      <c r="LW5" s="105" t="s">
        <v>406</v>
      </c>
      <c r="LX5" s="34" t="s">
        <v>412</v>
      </c>
      <c r="LY5" s="34" t="s">
        <v>417</v>
      </c>
      <c r="LZ5" s="34" t="s">
        <v>417</v>
      </c>
      <c r="MA5" s="34" t="s">
        <v>418</v>
      </c>
      <c r="MB5" s="34" t="s">
        <v>418</v>
      </c>
      <c r="MC5" s="34" t="s">
        <v>418</v>
      </c>
      <c r="MD5" s="34" t="s">
        <v>406</v>
      </c>
      <c r="ME5" s="34" t="s">
        <v>406</v>
      </c>
      <c r="MF5" s="105" t="s">
        <v>413</v>
      </c>
      <c r="MG5" s="105" t="s">
        <v>413</v>
      </c>
      <c r="MH5" s="105" t="s">
        <v>406</v>
      </c>
      <c r="MI5" s="105" t="s">
        <v>411</v>
      </c>
      <c r="MJ5" s="105" t="s">
        <v>406</v>
      </c>
      <c r="MK5" s="105" t="s">
        <v>420</v>
      </c>
      <c r="ML5" s="105" t="s">
        <v>419</v>
      </c>
      <c r="MM5" s="105" t="s">
        <v>423</v>
      </c>
      <c r="MN5" s="105" t="s">
        <v>413</v>
      </c>
      <c r="MO5" s="105" t="s">
        <v>413</v>
      </c>
      <c r="MP5" s="105" t="s">
        <v>413</v>
      </c>
      <c r="MQ5" s="105" t="s">
        <v>413</v>
      </c>
      <c r="MR5" s="105" t="s">
        <v>413</v>
      </c>
      <c r="MS5" s="105" t="s">
        <v>413</v>
      </c>
      <c r="MT5" s="105" t="s">
        <v>413</v>
      </c>
      <c r="MU5" s="105" t="s">
        <v>413</v>
      </c>
      <c r="MV5" s="105" t="s">
        <v>413</v>
      </c>
      <c r="MW5" s="105" t="s">
        <v>413</v>
      </c>
      <c r="MX5" s="105" t="s">
        <v>413</v>
      </c>
      <c r="MY5" s="105" t="s">
        <v>413</v>
      </c>
      <c r="MZ5" s="105" t="s">
        <v>411</v>
      </c>
      <c r="NA5" s="105" t="s">
        <v>413</v>
      </c>
      <c r="NB5" s="105" t="s">
        <v>413</v>
      </c>
      <c r="NC5" s="105" t="s">
        <v>411</v>
      </c>
      <c r="ND5" s="105" t="s">
        <v>424</v>
      </c>
      <c r="NE5" s="105" t="s">
        <v>424</v>
      </c>
      <c r="NF5" s="105" t="s">
        <v>424</v>
      </c>
      <c r="NG5" s="105" t="s">
        <v>413</v>
      </c>
      <c r="NH5" s="34" t="s">
        <v>406</v>
      </c>
      <c r="NI5" s="34" t="s">
        <v>406</v>
      </c>
      <c r="NJ5" s="34" t="s">
        <v>406</v>
      </c>
      <c r="NK5" s="34" t="s">
        <v>406</v>
      </c>
      <c r="NL5" s="34" t="s">
        <v>406</v>
      </c>
      <c r="NM5" s="34" t="s">
        <v>409</v>
      </c>
      <c r="NN5" s="34" t="s">
        <v>406</v>
      </c>
      <c r="NO5" s="34" t="s">
        <v>406</v>
      </c>
      <c r="NP5" s="34" t="s">
        <v>408</v>
      </c>
      <c r="NQ5" s="34" t="s">
        <v>413</v>
      </c>
      <c r="NR5" s="34" t="s">
        <v>410</v>
      </c>
      <c r="NS5" s="34" t="s">
        <v>410</v>
      </c>
      <c r="NT5" s="34" t="s">
        <v>411</v>
      </c>
      <c r="NU5" s="34" t="s">
        <v>411</v>
      </c>
      <c r="NV5" s="34" t="s">
        <v>411</v>
      </c>
      <c r="NW5" s="34" t="s">
        <v>406</v>
      </c>
      <c r="NX5" s="34" t="s">
        <v>412</v>
      </c>
      <c r="NY5" s="34" t="s">
        <v>417</v>
      </c>
      <c r="NZ5" s="34" t="s">
        <v>417</v>
      </c>
      <c r="OA5" s="34" t="s">
        <v>418</v>
      </c>
      <c r="OB5" s="34" t="s">
        <v>418</v>
      </c>
      <c r="OC5" s="34" t="s">
        <v>406</v>
      </c>
      <c r="OD5" s="34" t="s">
        <v>406</v>
      </c>
      <c r="OE5" s="34" t="s">
        <v>406</v>
      </c>
      <c r="OF5" s="34" t="s">
        <v>413</v>
      </c>
      <c r="OG5" s="34" t="s">
        <v>406</v>
      </c>
      <c r="OH5" s="34" t="s">
        <v>406</v>
      </c>
      <c r="OI5" s="34" t="s">
        <v>406</v>
      </c>
      <c r="OJ5" s="34" t="s">
        <v>413</v>
      </c>
      <c r="OK5" s="34" t="s">
        <v>413</v>
      </c>
      <c r="OL5" s="34" t="s">
        <v>413</v>
      </c>
      <c r="OM5" s="34" t="s">
        <v>413</v>
      </c>
      <c r="ON5" s="34" t="s">
        <v>413</v>
      </c>
      <c r="OO5" s="34" t="s">
        <v>413</v>
      </c>
      <c r="OP5" s="34" t="s">
        <v>406</v>
      </c>
      <c r="OQ5" s="34" t="s">
        <v>411</v>
      </c>
      <c r="OR5" s="34" t="s">
        <v>411</v>
      </c>
      <c r="OS5" s="34" t="s">
        <v>411</v>
      </c>
      <c r="OT5" s="34" t="s">
        <v>419</v>
      </c>
      <c r="OU5" s="34" t="s">
        <v>413</v>
      </c>
      <c r="OV5" s="34" t="s">
        <v>413</v>
      </c>
      <c r="OW5" s="34" t="s">
        <v>413</v>
      </c>
      <c r="OX5" s="34" t="s">
        <v>413</v>
      </c>
      <c r="OY5" s="34" t="s">
        <v>413</v>
      </c>
      <c r="OZ5" s="34" t="s">
        <v>413</v>
      </c>
      <c r="PA5" s="34" t="s">
        <v>413</v>
      </c>
      <c r="PB5" s="34" t="s">
        <v>413</v>
      </c>
      <c r="PC5" s="34" t="s">
        <v>411</v>
      </c>
      <c r="PD5" s="34" t="s">
        <v>413</v>
      </c>
      <c r="PE5" s="34" t="s">
        <v>413</v>
      </c>
      <c r="PF5" s="34" t="s">
        <v>411</v>
      </c>
      <c r="PG5" s="34" t="s">
        <v>425</v>
      </c>
      <c r="PH5" s="34" t="s">
        <v>411</v>
      </c>
      <c r="PI5" s="34" t="s">
        <v>406</v>
      </c>
      <c r="PJ5" s="34" t="s">
        <v>406</v>
      </c>
      <c r="PK5" s="34" t="s">
        <v>406</v>
      </c>
      <c r="PL5" s="34" t="s">
        <v>406</v>
      </c>
      <c r="PM5" s="34" t="s">
        <v>406</v>
      </c>
      <c r="PN5" s="34" t="s">
        <v>413</v>
      </c>
      <c r="PO5" s="34" t="s">
        <v>411</v>
      </c>
      <c r="PP5" s="34" t="s">
        <v>425</v>
      </c>
      <c r="PQ5" s="34" t="s">
        <v>413</v>
      </c>
      <c r="PR5" s="34" t="s">
        <v>413</v>
      </c>
      <c r="PS5" s="34" t="s">
        <v>413</v>
      </c>
      <c r="PT5" s="34" t="s">
        <v>413</v>
      </c>
      <c r="PU5" s="34" t="s">
        <v>413</v>
      </c>
      <c r="PV5" s="34" t="s">
        <v>413</v>
      </c>
      <c r="PW5" s="34" t="s">
        <v>413</v>
      </c>
      <c r="PX5" s="34" t="s">
        <v>426</v>
      </c>
      <c r="PY5" s="34" t="s">
        <v>413</v>
      </c>
      <c r="PZ5" s="34" t="s">
        <v>413</v>
      </c>
      <c r="QA5" s="34" t="s">
        <v>413</v>
      </c>
      <c r="QB5" s="34" t="s">
        <v>413</v>
      </c>
      <c r="QC5" s="34" t="s">
        <v>413</v>
      </c>
      <c r="QD5" s="34" t="s">
        <v>413</v>
      </c>
      <c r="QE5" s="34" t="s">
        <v>413</v>
      </c>
      <c r="QF5" s="34" t="s">
        <v>426</v>
      </c>
      <c r="QG5" s="34" t="s">
        <v>406</v>
      </c>
      <c r="QH5" s="34" t="s">
        <v>406</v>
      </c>
      <c r="QI5" s="34" t="s">
        <v>426</v>
      </c>
      <c r="QJ5" s="34" t="s">
        <v>413</v>
      </c>
      <c r="QK5" s="34" t="s">
        <v>426</v>
      </c>
      <c r="QL5" s="34" t="s">
        <v>413</v>
      </c>
      <c r="QM5" s="34" t="s">
        <v>426</v>
      </c>
      <c r="QN5" s="34" t="s">
        <v>413</v>
      </c>
      <c r="QO5" s="34" t="s">
        <v>426</v>
      </c>
      <c r="QP5" s="34" t="s">
        <v>413</v>
      </c>
      <c r="QQ5" s="34" t="s">
        <v>426</v>
      </c>
      <c r="QR5" s="34" t="s">
        <v>413</v>
      </c>
      <c r="QS5" s="34" t="s">
        <v>413</v>
      </c>
      <c r="QT5" s="34" t="s">
        <v>406</v>
      </c>
      <c r="QU5" s="34" t="s">
        <v>406</v>
      </c>
      <c r="QV5" s="34" t="s">
        <v>413</v>
      </c>
      <c r="QW5" s="34" t="s">
        <v>413</v>
      </c>
      <c r="QX5" s="34" t="s">
        <v>413</v>
      </c>
      <c r="QY5" s="34" t="s">
        <v>406</v>
      </c>
      <c r="QZ5" s="34" t="s">
        <v>406</v>
      </c>
      <c r="RA5" s="34" t="s">
        <v>406</v>
      </c>
      <c r="RB5" s="34" t="s">
        <v>406</v>
      </c>
      <c r="RC5" s="34" t="s">
        <v>406</v>
      </c>
      <c r="RD5" s="34" t="s">
        <v>406</v>
      </c>
      <c r="RE5" s="34" t="s">
        <v>413</v>
      </c>
      <c r="RF5" s="34" t="s">
        <v>406</v>
      </c>
      <c r="RG5" s="34" t="s">
        <v>406</v>
      </c>
      <c r="RH5" s="34" t="s">
        <v>413</v>
      </c>
      <c r="RI5" s="34" t="s">
        <v>413</v>
      </c>
      <c r="RJ5" s="34" t="s">
        <v>413</v>
      </c>
      <c r="RK5" s="34" t="s">
        <v>406</v>
      </c>
      <c r="RL5" s="34" t="s">
        <v>406</v>
      </c>
    </row>
    <row r="7" spans="1:480" x14ac:dyDescent="0.3">
      <c r="A7" s="100" t="s">
        <v>427</v>
      </c>
      <c r="B7" s="100" t="s">
        <v>428</v>
      </c>
      <c r="C7" s="100" t="s">
        <v>429</v>
      </c>
      <c r="D7" s="100" t="s">
        <v>430</v>
      </c>
      <c r="E7" s="100" t="s">
        <v>431</v>
      </c>
      <c r="F7" s="100" t="s">
        <v>432</v>
      </c>
      <c r="G7" s="100" t="s">
        <v>433</v>
      </c>
      <c r="H7" s="100" t="s">
        <v>434</v>
      </c>
      <c r="I7" s="100" t="s">
        <v>435</v>
      </c>
      <c r="J7" s="100" t="s">
        <v>436</v>
      </c>
      <c r="K7" s="100" t="s">
        <v>437</v>
      </c>
      <c r="L7" s="100" t="s">
        <v>438</v>
      </c>
      <c r="M7" s="100" t="s">
        <v>439</v>
      </c>
      <c r="N7" s="100" t="s">
        <v>440</v>
      </c>
      <c r="O7" s="100" t="s">
        <v>441</v>
      </c>
      <c r="P7" s="100" t="s">
        <v>442</v>
      </c>
      <c r="Q7" s="100" t="s">
        <v>443</v>
      </c>
      <c r="R7" s="100" t="s">
        <v>444</v>
      </c>
      <c r="S7" s="100" t="s">
        <v>445</v>
      </c>
      <c r="T7" s="100" t="s">
        <v>446</v>
      </c>
      <c r="U7" s="100" t="s">
        <v>447</v>
      </c>
      <c r="V7" s="4" t="s">
        <v>448</v>
      </c>
      <c r="W7" s="4" t="s">
        <v>449</v>
      </c>
      <c r="X7" s="4" t="s">
        <v>450</v>
      </c>
      <c r="Y7" s="4" t="s">
        <v>451</v>
      </c>
      <c r="Z7" s="4" t="s">
        <v>452</v>
      </c>
      <c r="AA7" s="94" t="s">
        <v>453</v>
      </c>
      <c r="AB7" s="4" t="s">
        <v>454</v>
      </c>
      <c r="AC7" s="4" t="s">
        <v>455</v>
      </c>
      <c r="AD7" s="4" t="s">
        <v>456</v>
      </c>
      <c r="AE7" s="4" t="s">
        <v>457</v>
      </c>
      <c r="AF7" s="4" t="s">
        <v>458</v>
      </c>
      <c r="AG7" s="4" t="s">
        <v>459</v>
      </c>
      <c r="AH7" s="4" t="s">
        <v>460</v>
      </c>
      <c r="AI7" s="4" t="s">
        <v>461</v>
      </c>
      <c r="AJ7" s="4" t="s">
        <v>462</v>
      </c>
      <c r="AK7" s="4" t="s">
        <v>463</v>
      </c>
      <c r="AL7" s="4" t="s">
        <v>464</v>
      </c>
      <c r="AM7" s="4" t="s">
        <v>465</v>
      </c>
      <c r="AN7" s="4" t="s">
        <v>466</v>
      </c>
      <c r="AO7" s="4" t="s">
        <v>467</v>
      </c>
      <c r="AP7" s="4" t="s">
        <v>468</v>
      </c>
      <c r="AQ7" s="5" t="s">
        <v>469</v>
      </c>
      <c r="AR7" s="5" t="s">
        <v>470</v>
      </c>
      <c r="AS7" s="5" t="s">
        <v>471</v>
      </c>
      <c r="AT7" s="5" t="s">
        <v>472</v>
      </c>
      <c r="AU7" s="5" t="s">
        <v>473</v>
      </c>
      <c r="AV7" s="5" t="s">
        <v>474</v>
      </c>
      <c r="AW7" s="5" t="s">
        <v>475</v>
      </c>
      <c r="AX7" s="5" t="s">
        <v>476</v>
      </c>
      <c r="AY7" s="5" t="s">
        <v>477</v>
      </c>
      <c r="AZ7" s="5" t="s">
        <v>478</v>
      </c>
      <c r="BA7" s="5" t="s">
        <v>479</v>
      </c>
      <c r="BB7" s="5" t="s">
        <v>480</v>
      </c>
      <c r="BC7" s="5" t="s">
        <v>481</v>
      </c>
      <c r="BD7" s="5" t="s">
        <v>482</v>
      </c>
      <c r="BE7" s="5" t="s">
        <v>483</v>
      </c>
      <c r="BF7" s="5" t="s">
        <v>484</v>
      </c>
      <c r="BG7" s="5" t="s">
        <v>485</v>
      </c>
      <c r="BH7" s="5" t="s">
        <v>486</v>
      </c>
      <c r="BI7" s="5" t="s">
        <v>487</v>
      </c>
      <c r="BJ7" s="5" t="s">
        <v>488</v>
      </c>
      <c r="BK7" s="5" t="s">
        <v>489</v>
      </c>
      <c r="BL7" s="5" t="s">
        <v>490</v>
      </c>
      <c r="BM7" s="5" t="s">
        <v>491</v>
      </c>
      <c r="BN7" s="5" t="s">
        <v>492</v>
      </c>
      <c r="BO7" s="5" t="s">
        <v>493</v>
      </c>
      <c r="BP7" s="8" t="s">
        <v>494</v>
      </c>
      <c r="BQ7" s="8" t="s">
        <v>495</v>
      </c>
      <c r="BR7" s="8" t="s">
        <v>496</v>
      </c>
      <c r="BS7" s="8" t="s">
        <v>497</v>
      </c>
      <c r="BT7" s="11" t="s">
        <v>498</v>
      </c>
      <c r="BU7" s="11" t="s">
        <v>499</v>
      </c>
      <c r="BV7" s="11" t="s">
        <v>500</v>
      </c>
      <c r="BW7" s="11" t="s">
        <v>501</v>
      </c>
      <c r="BX7" s="11" t="s">
        <v>502</v>
      </c>
      <c r="BY7" s="11" t="s">
        <v>503</v>
      </c>
      <c r="BZ7" s="11" t="s">
        <v>504</v>
      </c>
      <c r="CA7" s="11" t="s">
        <v>505</v>
      </c>
      <c r="CB7" s="11" t="s">
        <v>506</v>
      </c>
      <c r="CC7" s="11" t="s">
        <v>507</v>
      </c>
      <c r="CD7" s="11" t="s">
        <v>508</v>
      </c>
      <c r="CE7" s="13" t="s">
        <v>509</v>
      </c>
      <c r="CF7" s="13" t="s">
        <v>510</v>
      </c>
      <c r="CG7" s="13" t="s">
        <v>511</v>
      </c>
      <c r="CH7" s="13" t="s">
        <v>512</v>
      </c>
      <c r="CI7" s="13" t="s">
        <v>513</v>
      </c>
      <c r="CJ7" s="13" t="s">
        <v>514</v>
      </c>
      <c r="CK7" s="13" t="s">
        <v>515</v>
      </c>
      <c r="CL7" s="13" t="s">
        <v>516</v>
      </c>
      <c r="CM7" s="13" t="s">
        <v>517</v>
      </c>
      <c r="CN7" s="13" t="s">
        <v>518</v>
      </c>
      <c r="CO7" s="13" t="s">
        <v>519</v>
      </c>
      <c r="CP7" s="13" t="s">
        <v>520</v>
      </c>
      <c r="CQ7" s="13" t="s">
        <v>521</v>
      </c>
      <c r="CR7" s="13" t="s">
        <v>522</v>
      </c>
      <c r="CS7" s="13" t="s">
        <v>523</v>
      </c>
      <c r="CT7" s="13" t="s">
        <v>524</v>
      </c>
      <c r="CU7" s="13" t="s">
        <v>525</v>
      </c>
      <c r="CV7" s="13" t="s">
        <v>526</v>
      </c>
      <c r="CW7" s="13" t="s">
        <v>527</v>
      </c>
      <c r="CX7" s="13" t="s">
        <v>528</v>
      </c>
      <c r="CY7" s="13" t="s">
        <v>529</v>
      </c>
      <c r="CZ7" s="13" t="s">
        <v>530</v>
      </c>
      <c r="DA7" s="13" t="s">
        <v>531</v>
      </c>
      <c r="DB7" s="13" t="s">
        <v>532</v>
      </c>
      <c r="DC7" s="13" t="s">
        <v>533</v>
      </c>
      <c r="DD7" s="13" t="s">
        <v>534</v>
      </c>
      <c r="DE7" s="13" t="s">
        <v>535</v>
      </c>
      <c r="DF7" s="13" t="s">
        <v>536</v>
      </c>
      <c r="DG7" s="13" t="s">
        <v>537</v>
      </c>
      <c r="DH7" s="13" t="s">
        <v>538</v>
      </c>
      <c r="DI7" s="13" t="s">
        <v>539</v>
      </c>
      <c r="DJ7" s="13" t="s">
        <v>540</v>
      </c>
      <c r="DK7" s="13" t="s">
        <v>541</v>
      </c>
      <c r="DL7" s="13" t="s">
        <v>542</v>
      </c>
      <c r="DM7" s="16" t="s">
        <v>543</v>
      </c>
      <c r="DN7" s="16" t="s">
        <v>544</v>
      </c>
      <c r="DO7" s="16" t="s">
        <v>545</v>
      </c>
      <c r="DP7" s="16" t="s">
        <v>546</v>
      </c>
      <c r="DQ7" s="16" t="s">
        <v>547</v>
      </c>
      <c r="DR7" s="16" t="s">
        <v>548</v>
      </c>
      <c r="DS7" s="16" t="s">
        <v>549</v>
      </c>
      <c r="DT7" s="16" t="s">
        <v>550</v>
      </c>
      <c r="DU7" s="16" t="s">
        <v>551</v>
      </c>
      <c r="DV7" s="16" t="s">
        <v>552</v>
      </c>
      <c r="DW7" s="16" t="s">
        <v>553</v>
      </c>
      <c r="DX7" s="16" t="s">
        <v>554</v>
      </c>
      <c r="DY7" s="16" t="s">
        <v>555</v>
      </c>
      <c r="DZ7" s="16" t="s">
        <v>556</v>
      </c>
      <c r="EA7" s="19" t="s">
        <v>557</v>
      </c>
      <c r="EB7" s="19" t="s">
        <v>558</v>
      </c>
      <c r="EC7" s="19" t="s">
        <v>559</v>
      </c>
      <c r="ED7" s="19" t="s">
        <v>560</v>
      </c>
      <c r="EE7" s="19" t="s">
        <v>561</v>
      </c>
      <c r="EF7" s="99" t="s">
        <v>562</v>
      </c>
      <c r="EG7" s="19" t="s">
        <v>563</v>
      </c>
      <c r="EH7" s="19" t="s">
        <v>564</v>
      </c>
      <c r="EI7" s="19" t="s">
        <v>565</v>
      </c>
      <c r="EJ7" s="19" t="s">
        <v>566</v>
      </c>
      <c r="EK7" s="19" t="s">
        <v>567</v>
      </c>
      <c r="EL7" s="19" t="s">
        <v>568</v>
      </c>
      <c r="EM7" s="19" t="s">
        <v>569</v>
      </c>
      <c r="EN7" s="19" t="s">
        <v>570</v>
      </c>
      <c r="EO7" s="19" t="s">
        <v>571</v>
      </c>
      <c r="EP7" s="19" t="s">
        <v>572</v>
      </c>
      <c r="EQ7" s="19" t="s">
        <v>573</v>
      </c>
      <c r="ER7" s="19" t="s">
        <v>574</v>
      </c>
      <c r="ES7" s="19" t="s">
        <v>575</v>
      </c>
      <c r="ET7" s="19" t="s">
        <v>576</v>
      </c>
      <c r="EU7" s="19" t="s">
        <v>577</v>
      </c>
      <c r="EV7" s="19" t="s">
        <v>578</v>
      </c>
      <c r="EW7" s="19" t="s">
        <v>579</v>
      </c>
      <c r="EX7" s="19" t="s">
        <v>580</v>
      </c>
      <c r="EY7" s="19" t="s">
        <v>581</v>
      </c>
      <c r="EZ7" s="19" t="s">
        <v>582</v>
      </c>
      <c r="FA7" s="19" t="s">
        <v>583</v>
      </c>
      <c r="FB7" s="19" t="s">
        <v>584</v>
      </c>
      <c r="FC7" s="19" t="s">
        <v>585</v>
      </c>
      <c r="FD7" s="19" t="s">
        <v>586</v>
      </c>
      <c r="FE7" s="19" t="s">
        <v>587</v>
      </c>
      <c r="FF7" s="19" t="s">
        <v>588</v>
      </c>
      <c r="FG7" s="19" t="s">
        <v>589</v>
      </c>
      <c r="FH7" s="19" t="s">
        <v>590</v>
      </c>
      <c r="FI7" s="19" t="s">
        <v>591</v>
      </c>
      <c r="FJ7" s="19" t="s">
        <v>592</v>
      </c>
      <c r="FK7" s="22" t="s">
        <v>593</v>
      </c>
      <c r="FL7" s="22" t="s">
        <v>594</v>
      </c>
      <c r="FM7" s="22" t="s">
        <v>595</v>
      </c>
      <c r="FN7" s="22" t="s">
        <v>596</v>
      </c>
      <c r="FO7" s="22" t="s">
        <v>597</v>
      </c>
      <c r="FP7" s="22" t="s">
        <v>598</v>
      </c>
      <c r="FQ7" s="22" t="s">
        <v>599</v>
      </c>
      <c r="FR7" s="22" t="s">
        <v>600</v>
      </c>
      <c r="FS7" s="22" t="s">
        <v>601</v>
      </c>
      <c r="FT7" s="22" t="s">
        <v>602</v>
      </c>
      <c r="FU7" s="22" t="s">
        <v>603</v>
      </c>
      <c r="FV7" s="22" t="s">
        <v>604</v>
      </c>
      <c r="FW7" s="22" t="s">
        <v>605</v>
      </c>
      <c r="FX7" s="22" t="s">
        <v>606</v>
      </c>
      <c r="FY7" s="22" t="s">
        <v>607</v>
      </c>
      <c r="FZ7" s="22" t="s">
        <v>608</v>
      </c>
      <c r="GA7" s="22" t="s">
        <v>609</v>
      </c>
      <c r="GB7" s="22" t="s">
        <v>610</v>
      </c>
      <c r="GC7" s="22" t="s">
        <v>611</v>
      </c>
      <c r="GD7" s="22" t="s">
        <v>612</v>
      </c>
      <c r="GE7" s="22" t="s">
        <v>613</v>
      </c>
      <c r="GF7" s="22" t="s">
        <v>614</v>
      </c>
      <c r="GG7" s="22" t="s">
        <v>615</v>
      </c>
      <c r="GH7" s="22" t="s">
        <v>616</v>
      </c>
      <c r="GI7" s="22" t="s">
        <v>617</v>
      </c>
      <c r="GJ7" s="22" t="s">
        <v>618</v>
      </c>
      <c r="GK7" s="22" t="s">
        <v>619</v>
      </c>
      <c r="GL7" s="22" t="s">
        <v>620</v>
      </c>
      <c r="GM7" s="22" t="s">
        <v>621</v>
      </c>
      <c r="GN7" s="22" t="s">
        <v>622</v>
      </c>
      <c r="GO7" s="22" t="s">
        <v>623</v>
      </c>
      <c r="GP7" s="22" t="s">
        <v>624</v>
      </c>
      <c r="GQ7" s="22" t="s">
        <v>625</v>
      </c>
      <c r="GR7" s="22" t="s">
        <v>626</v>
      </c>
      <c r="GS7" s="22" t="s">
        <v>627</v>
      </c>
      <c r="GT7" s="22" t="s">
        <v>628</v>
      </c>
      <c r="GU7" s="22" t="s">
        <v>629</v>
      </c>
      <c r="GV7" s="22" t="s">
        <v>630</v>
      </c>
      <c r="GW7" s="22" t="s">
        <v>631</v>
      </c>
      <c r="GX7" s="22" t="s">
        <v>632</v>
      </c>
      <c r="GY7" s="22" t="s">
        <v>633</v>
      </c>
      <c r="GZ7" s="22" t="s">
        <v>634</v>
      </c>
      <c r="HA7" s="22" t="s">
        <v>635</v>
      </c>
      <c r="HB7" s="22" t="s">
        <v>636</v>
      </c>
      <c r="HC7" s="22" t="s">
        <v>637</v>
      </c>
      <c r="HD7" s="22" t="s">
        <v>638</v>
      </c>
      <c r="HE7" s="22" t="s">
        <v>639</v>
      </c>
      <c r="HF7" s="22" t="s">
        <v>640</v>
      </c>
      <c r="HG7" s="22" t="s">
        <v>641</v>
      </c>
      <c r="HH7" s="22" t="s">
        <v>642</v>
      </c>
      <c r="HI7" s="22" t="s">
        <v>643</v>
      </c>
      <c r="HJ7" s="22" t="s">
        <v>644</v>
      </c>
      <c r="HK7" s="22" t="s">
        <v>645</v>
      </c>
      <c r="HL7" s="22" t="s">
        <v>646</v>
      </c>
      <c r="HM7" s="22" t="s">
        <v>647</v>
      </c>
      <c r="HN7" s="22" t="s">
        <v>648</v>
      </c>
      <c r="HO7" s="22" t="s">
        <v>649</v>
      </c>
      <c r="HP7" s="22" t="s">
        <v>650</v>
      </c>
      <c r="HQ7" s="22" t="s">
        <v>651</v>
      </c>
      <c r="HR7" s="22" t="s">
        <v>652</v>
      </c>
      <c r="HS7" s="22" t="s">
        <v>653</v>
      </c>
      <c r="HT7" s="22" t="s">
        <v>654</v>
      </c>
      <c r="HU7" s="22" t="s">
        <v>655</v>
      </c>
      <c r="HV7" s="22" t="s">
        <v>656</v>
      </c>
      <c r="HW7" s="22" t="s">
        <v>657</v>
      </c>
      <c r="HX7" s="22" t="s">
        <v>658</v>
      </c>
      <c r="HY7" s="22" t="s">
        <v>659</v>
      </c>
      <c r="HZ7" s="22" t="s">
        <v>660</v>
      </c>
      <c r="IA7" s="22" t="s">
        <v>661</v>
      </c>
      <c r="IB7" s="22" t="s">
        <v>662</v>
      </c>
      <c r="IC7" s="22" t="s">
        <v>663</v>
      </c>
      <c r="ID7" s="22" t="s">
        <v>664</v>
      </c>
      <c r="IE7" s="22" t="s">
        <v>665</v>
      </c>
      <c r="IF7" s="22" t="s">
        <v>666</v>
      </c>
      <c r="IG7" s="22" t="s">
        <v>667</v>
      </c>
      <c r="IH7" s="22" t="s">
        <v>668</v>
      </c>
      <c r="II7" s="22" t="s">
        <v>669</v>
      </c>
      <c r="IJ7" s="22" t="s">
        <v>670</v>
      </c>
      <c r="IK7" s="22" t="s">
        <v>671</v>
      </c>
      <c r="IL7" s="22" t="s">
        <v>672</v>
      </c>
      <c r="IM7" s="22" t="s">
        <v>673</v>
      </c>
      <c r="IN7" s="22" t="s">
        <v>674</v>
      </c>
      <c r="IO7" s="22" t="s">
        <v>675</v>
      </c>
      <c r="IP7" s="22" t="s">
        <v>676</v>
      </c>
      <c r="IQ7" s="22" t="s">
        <v>677</v>
      </c>
      <c r="IR7" s="22" t="s">
        <v>678</v>
      </c>
      <c r="IS7" s="22" t="s">
        <v>679</v>
      </c>
      <c r="IT7" s="22" t="s">
        <v>680</v>
      </c>
      <c r="IU7" s="22" t="s">
        <v>681</v>
      </c>
      <c r="IV7" s="22" t="s">
        <v>682</v>
      </c>
      <c r="IW7" s="22" t="s">
        <v>683</v>
      </c>
      <c r="IX7" s="22" t="s">
        <v>684</v>
      </c>
      <c r="IY7" s="22" t="s">
        <v>685</v>
      </c>
      <c r="IZ7" s="22" t="s">
        <v>686</v>
      </c>
      <c r="JA7" s="22" t="s">
        <v>687</v>
      </c>
      <c r="JB7" s="22" t="s">
        <v>688</v>
      </c>
      <c r="JC7" s="22" t="s">
        <v>689</v>
      </c>
      <c r="JD7" s="22" t="s">
        <v>690</v>
      </c>
      <c r="JE7" s="22" t="s">
        <v>691</v>
      </c>
      <c r="JF7" s="22" t="s">
        <v>692</v>
      </c>
      <c r="JG7" s="22" t="s">
        <v>693</v>
      </c>
      <c r="JH7" s="22" t="s">
        <v>694</v>
      </c>
      <c r="JI7" s="22" t="s">
        <v>695</v>
      </c>
      <c r="JJ7" s="22" t="s">
        <v>696</v>
      </c>
      <c r="JK7" s="22" t="s">
        <v>697</v>
      </c>
      <c r="JL7" s="22" t="s">
        <v>698</v>
      </c>
      <c r="JM7" s="22" t="s">
        <v>699</v>
      </c>
      <c r="JN7" s="22" t="s">
        <v>700</v>
      </c>
      <c r="JO7" s="22" t="s">
        <v>701</v>
      </c>
      <c r="JP7" s="22" t="s">
        <v>702</v>
      </c>
      <c r="JQ7" s="22" t="s">
        <v>703</v>
      </c>
      <c r="JR7" s="22" t="s">
        <v>704</v>
      </c>
      <c r="JS7" s="22" t="s">
        <v>705</v>
      </c>
      <c r="JT7" s="22" t="s">
        <v>706</v>
      </c>
      <c r="JU7" s="22" t="s">
        <v>707</v>
      </c>
      <c r="JV7" s="22" t="s">
        <v>708</v>
      </c>
      <c r="JW7" s="22" t="s">
        <v>709</v>
      </c>
      <c r="JX7" s="22" t="s">
        <v>710</v>
      </c>
      <c r="JY7" s="22" t="s">
        <v>711</v>
      </c>
      <c r="JZ7" s="22" t="s">
        <v>712</v>
      </c>
      <c r="KA7" s="22" t="s">
        <v>713</v>
      </c>
      <c r="KB7" s="22" t="s">
        <v>714</v>
      </c>
      <c r="KC7" s="22" t="s">
        <v>715</v>
      </c>
      <c r="KD7" s="22" t="s">
        <v>716</v>
      </c>
      <c r="KE7" s="22" t="s">
        <v>717</v>
      </c>
      <c r="KF7" s="22" t="s">
        <v>718</v>
      </c>
      <c r="KG7" s="22" t="s">
        <v>719</v>
      </c>
      <c r="KH7" s="22" t="s">
        <v>720</v>
      </c>
      <c r="KI7" s="22" t="s">
        <v>721</v>
      </c>
      <c r="KJ7" s="22" t="s">
        <v>722</v>
      </c>
      <c r="KK7" s="22" t="s">
        <v>723</v>
      </c>
      <c r="KL7" s="22" t="s">
        <v>724</v>
      </c>
      <c r="KM7" s="22" t="s">
        <v>725</v>
      </c>
      <c r="KN7" s="22" t="s">
        <v>726</v>
      </c>
      <c r="KO7" s="22" t="s">
        <v>727</v>
      </c>
      <c r="KP7" s="22" t="s">
        <v>728</v>
      </c>
      <c r="KQ7" s="22" t="s">
        <v>729</v>
      </c>
      <c r="KR7" s="22" t="s">
        <v>730</v>
      </c>
      <c r="KS7" s="22" t="s">
        <v>731</v>
      </c>
      <c r="KT7" s="22" t="s">
        <v>732</v>
      </c>
      <c r="KU7" s="22" t="s">
        <v>733</v>
      </c>
      <c r="KV7" s="22" t="s">
        <v>734</v>
      </c>
      <c r="KW7" s="22" t="s">
        <v>735</v>
      </c>
      <c r="KX7" s="22" t="s">
        <v>736</v>
      </c>
      <c r="KY7" s="22" t="s">
        <v>737</v>
      </c>
      <c r="KZ7" s="22" t="s">
        <v>738</v>
      </c>
      <c r="LA7" s="22" t="s">
        <v>739</v>
      </c>
      <c r="LB7" s="22" t="s">
        <v>740</v>
      </c>
      <c r="LC7" s="22" t="s">
        <v>741</v>
      </c>
      <c r="LD7" s="22" t="s">
        <v>742</v>
      </c>
      <c r="LE7" s="22" t="s">
        <v>743</v>
      </c>
      <c r="LF7" s="22" t="s">
        <v>744</v>
      </c>
      <c r="LG7" s="25" t="s">
        <v>745</v>
      </c>
      <c r="LH7" s="25" t="s">
        <v>746</v>
      </c>
      <c r="LI7" s="25" t="s">
        <v>747</v>
      </c>
      <c r="LJ7" s="25" t="s">
        <v>748</v>
      </c>
      <c r="LK7" s="25" t="s">
        <v>749</v>
      </c>
      <c r="LL7" s="25" t="s">
        <v>750</v>
      </c>
      <c r="LM7" s="25" t="s">
        <v>751</v>
      </c>
      <c r="LN7" s="25" t="s">
        <v>752</v>
      </c>
      <c r="LO7" s="25" t="s">
        <v>753</v>
      </c>
      <c r="LP7" s="25" t="s">
        <v>754</v>
      </c>
      <c r="LQ7" s="25" t="s">
        <v>755</v>
      </c>
      <c r="LR7" s="25" t="s">
        <v>756</v>
      </c>
      <c r="LS7" s="25" t="s">
        <v>757</v>
      </c>
      <c r="LT7" s="25" t="s">
        <v>758</v>
      </c>
      <c r="LU7" s="25" t="s">
        <v>759</v>
      </c>
      <c r="LV7" s="104" t="s">
        <v>760</v>
      </c>
      <c r="LW7" s="104" t="s">
        <v>761</v>
      </c>
      <c r="LX7" s="25" t="s">
        <v>762</v>
      </c>
      <c r="LY7" s="25" t="s">
        <v>763</v>
      </c>
      <c r="LZ7" s="25" t="s">
        <v>764</v>
      </c>
      <c r="MA7" s="25" t="s">
        <v>765</v>
      </c>
      <c r="MB7" s="25" t="s">
        <v>766</v>
      </c>
      <c r="MC7" s="25" t="s">
        <v>767</v>
      </c>
      <c r="MD7" s="25" t="s">
        <v>768</v>
      </c>
      <c r="ME7" s="25" t="s">
        <v>769</v>
      </c>
      <c r="MF7" s="104" t="s">
        <v>770</v>
      </c>
      <c r="MG7" s="104" t="s">
        <v>771</v>
      </c>
      <c r="MH7" s="104" t="s">
        <v>772</v>
      </c>
      <c r="MI7" s="104" t="s">
        <v>773</v>
      </c>
      <c r="MJ7" s="104" t="s">
        <v>774</v>
      </c>
      <c r="MK7" s="104" t="s">
        <v>775</v>
      </c>
      <c r="ML7" s="104" t="s">
        <v>776</v>
      </c>
      <c r="MM7" s="104" t="s">
        <v>777</v>
      </c>
      <c r="MN7" s="104" t="s">
        <v>778</v>
      </c>
      <c r="MO7" s="104" t="s">
        <v>779</v>
      </c>
      <c r="MP7" s="104" t="s">
        <v>780</v>
      </c>
      <c r="MQ7" s="104" t="s">
        <v>781</v>
      </c>
      <c r="MR7" s="104" t="s">
        <v>782</v>
      </c>
      <c r="MS7" s="104" t="s">
        <v>783</v>
      </c>
      <c r="MT7" s="104" t="s">
        <v>784</v>
      </c>
      <c r="MU7" s="104" t="s">
        <v>785</v>
      </c>
      <c r="MV7" s="104" t="s">
        <v>786</v>
      </c>
      <c r="MW7" s="104" t="s">
        <v>787</v>
      </c>
      <c r="MX7" s="104" t="s">
        <v>788</v>
      </c>
      <c r="MY7" s="104" t="s">
        <v>789</v>
      </c>
      <c r="MZ7" s="104" t="s">
        <v>790</v>
      </c>
      <c r="NA7" s="104" t="s">
        <v>791</v>
      </c>
      <c r="NB7" s="104" t="s">
        <v>792</v>
      </c>
      <c r="NC7" s="104" t="s">
        <v>793</v>
      </c>
      <c r="ND7" s="104" t="s">
        <v>794</v>
      </c>
      <c r="NE7" s="104" t="s">
        <v>795</v>
      </c>
      <c r="NF7" s="104" t="s">
        <v>796</v>
      </c>
      <c r="NG7" s="104" t="s">
        <v>797</v>
      </c>
      <c r="NH7" s="26" t="s">
        <v>798</v>
      </c>
      <c r="NI7" s="26" t="s">
        <v>799</v>
      </c>
      <c r="NJ7" s="26" t="s">
        <v>800</v>
      </c>
      <c r="NK7" s="26" t="s">
        <v>801</v>
      </c>
      <c r="NL7" s="26" t="s">
        <v>802</v>
      </c>
      <c r="NM7" s="26" t="s">
        <v>803</v>
      </c>
      <c r="NN7" s="26" t="s">
        <v>804</v>
      </c>
      <c r="NO7" s="26" t="s">
        <v>805</v>
      </c>
      <c r="NP7" s="26" t="s">
        <v>806</v>
      </c>
      <c r="NQ7" s="26" t="s">
        <v>807</v>
      </c>
      <c r="NR7" s="26" t="s">
        <v>808</v>
      </c>
      <c r="NS7" s="26" t="s">
        <v>809</v>
      </c>
      <c r="NT7" s="26" t="s">
        <v>810</v>
      </c>
      <c r="NU7" s="26" t="s">
        <v>811</v>
      </c>
      <c r="NV7" s="26" t="s">
        <v>812</v>
      </c>
      <c r="NW7" s="26" t="s">
        <v>813</v>
      </c>
      <c r="NX7" s="26" t="s">
        <v>814</v>
      </c>
      <c r="NY7" s="26" t="s">
        <v>815</v>
      </c>
      <c r="NZ7" s="26" t="s">
        <v>816</v>
      </c>
      <c r="OA7" s="26" t="s">
        <v>817</v>
      </c>
      <c r="OB7" s="26" t="s">
        <v>818</v>
      </c>
      <c r="OC7" s="26" t="s">
        <v>819</v>
      </c>
      <c r="OD7" s="26" t="s">
        <v>820</v>
      </c>
      <c r="OE7" s="26" t="s">
        <v>821</v>
      </c>
      <c r="OF7" s="26" t="s">
        <v>822</v>
      </c>
      <c r="OG7" s="26" t="s">
        <v>823</v>
      </c>
      <c r="OH7" s="26" t="s">
        <v>824</v>
      </c>
      <c r="OI7" s="26" t="s">
        <v>825</v>
      </c>
      <c r="OJ7" s="26" t="s">
        <v>826</v>
      </c>
      <c r="OK7" s="26" t="s">
        <v>827</v>
      </c>
      <c r="OL7" s="26" t="s">
        <v>828</v>
      </c>
      <c r="OM7" s="26" t="s">
        <v>829</v>
      </c>
      <c r="ON7" s="26" t="s">
        <v>830</v>
      </c>
      <c r="OO7" s="26" t="s">
        <v>831</v>
      </c>
      <c r="OP7" s="26" t="s">
        <v>832</v>
      </c>
      <c r="OQ7" s="26" t="s">
        <v>833</v>
      </c>
      <c r="OR7" s="26" t="s">
        <v>834</v>
      </c>
      <c r="OS7" s="26" t="s">
        <v>835</v>
      </c>
      <c r="OT7" s="26" t="s">
        <v>836</v>
      </c>
      <c r="OU7" s="26" t="s">
        <v>837</v>
      </c>
      <c r="OV7" s="26" t="s">
        <v>838</v>
      </c>
      <c r="OW7" s="26" t="s">
        <v>839</v>
      </c>
      <c r="OX7" s="26" t="s">
        <v>840</v>
      </c>
      <c r="OY7" s="26" t="s">
        <v>841</v>
      </c>
      <c r="OZ7" s="26" t="s">
        <v>842</v>
      </c>
      <c r="PA7" s="26" t="s">
        <v>843</v>
      </c>
      <c r="PB7" s="26" t="s">
        <v>844</v>
      </c>
      <c r="PC7" s="26" t="s">
        <v>845</v>
      </c>
      <c r="PD7" s="26" t="s">
        <v>846</v>
      </c>
      <c r="PE7" s="26" t="s">
        <v>847</v>
      </c>
      <c r="PF7" s="26" t="s">
        <v>848</v>
      </c>
      <c r="PG7" s="26" t="s">
        <v>849</v>
      </c>
      <c r="PH7" s="26" t="s">
        <v>850</v>
      </c>
      <c r="PI7" s="26" t="s">
        <v>851</v>
      </c>
      <c r="PJ7" s="4" t="s">
        <v>852</v>
      </c>
      <c r="PK7" s="4" t="s">
        <v>853</v>
      </c>
      <c r="PL7" s="4" t="s">
        <v>854</v>
      </c>
      <c r="PM7" s="4" t="s">
        <v>855</v>
      </c>
      <c r="PN7" s="4" t="s">
        <v>856</v>
      </c>
      <c r="PO7" s="4" t="s">
        <v>857</v>
      </c>
      <c r="PP7" s="4" t="s">
        <v>858</v>
      </c>
      <c r="PQ7" s="4" t="s">
        <v>859</v>
      </c>
      <c r="PR7" s="4" t="s">
        <v>860</v>
      </c>
      <c r="PS7" s="4" t="s">
        <v>861</v>
      </c>
      <c r="PT7" s="4" t="s">
        <v>862</v>
      </c>
      <c r="PU7" s="4" t="s">
        <v>863</v>
      </c>
      <c r="PV7" s="4" t="s">
        <v>864</v>
      </c>
      <c r="PW7" s="4" t="s">
        <v>865</v>
      </c>
      <c r="PX7" s="4" t="s">
        <v>866</v>
      </c>
      <c r="PY7" s="4" t="s">
        <v>867</v>
      </c>
      <c r="PZ7" s="4" t="s">
        <v>868</v>
      </c>
      <c r="QA7" s="4" t="s">
        <v>869</v>
      </c>
      <c r="QB7" s="4" t="s">
        <v>870</v>
      </c>
      <c r="QC7" s="4" t="s">
        <v>871</v>
      </c>
      <c r="QD7" s="4" t="s">
        <v>872</v>
      </c>
      <c r="QE7" s="4" t="s">
        <v>873</v>
      </c>
      <c r="QF7" s="4" t="s">
        <v>874</v>
      </c>
      <c r="QG7" s="13" t="s">
        <v>875</v>
      </c>
      <c r="QH7" s="13" t="s">
        <v>876</v>
      </c>
      <c r="QI7" s="13" t="s">
        <v>877</v>
      </c>
      <c r="QJ7" s="13" t="s">
        <v>878</v>
      </c>
      <c r="QK7" s="13" t="s">
        <v>879</v>
      </c>
      <c r="QL7" s="13" t="s">
        <v>880</v>
      </c>
      <c r="QM7" s="37" t="s">
        <v>881</v>
      </c>
      <c r="QN7" s="37" t="s">
        <v>882</v>
      </c>
      <c r="QO7" s="37" t="s">
        <v>883</v>
      </c>
      <c r="QP7" s="37" t="s">
        <v>884</v>
      </c>
      <c r="QQ7" s="37" t="s">
        <v>885</v>
      </c>
      <c r="QR7" s="37" t="s">
        <v>886</v>
      </c>
      <c r="QS7" s="37" t="s">
        <v>887</v>
      </c>
      <c r="QT7" s="102" t="s">
        <v>888</v>
      </c>
      <c r="QU7" s="102" t="s">
        <v>889</v>
      </c>
      <c r="QV7" s="102" t="s">
        <v>890</v>
      </c>
      <c r="QW7" s="102" t="s">
        <v>891</v>
      </c>
      <c r="QX7" s="102" t="s">
        <v>892</v>
      </c>
      <c r="QY7" s="102" t="s">
        <v>893</v>
      </c>
      <c r="QZ7" s="102" t="s">
        <v>894</v>
      </c>
      <c r="RA7" s="102" t="s">
        <v>895</v>
      </c>
      <c r="RB7" s="102" t="s">
        <v>896</v>
      </c>
      <c r="RC7" s="102" t="s">
        <v>897</v>
      </c>
      <c r="RD7" s="102" t="s">
        <v>898</v>
      </c>
      <c r="RE7" s="102" t="s">
        <v>899</v>
      </c>
      <c r="RF7" s="102" t="s">
        <v>900</v>
      </c>
      <c r="RG7" s="102" t="s">
        <v>901</v>
      </c>
      <c r="RH7" s="102" t="s">
        <v>902</v>
      </c>
      <c r="RI7" s="102" t="s">
        <v>903</v>
      </c>
      <c r="RJ7" s="102" t="s">
        <v>904</v>
      </c>
      <c r="RK7" s="102" t="s">
        <v>905</v>
      </c>
      <c r="RL7" s="102" t="s">
        <v>906</v>
      </c>
    </row>
    <row r="8" spans="1:480" x14ac:dyDescent="0.3">
      <c r="A8" s="93" t="str">
        <f>Table1[[#This Row],[ALG__REGEL]]&amp;"_"&amp;Table1[[#This Row],[BORING_NUMMER]]&amp;"_"&amp;Table1[[#This Row],[MONSTER_ID]]</f>
        <v>1_B01-K01_8-K405</v>
      </c>
      <c r="B8" s="93">
        <v>1</v>
      </c>
      <c r="C8" s="93" t="b">
        <v>0</v>
      </c>
      <c r="G8" s="93" t="b">
        <v>1</v>
      </c>
      <c r="H8" s="93" t="b">
        <v>0</v>
      </c>
      <c r="I8" s="93" t="b">
        <v>1</v>
      </c>
      <c r="J8" s="93" t="b">
        <v>0</v>
      </c>
      <c r="K8" s="93" t="s">
        <v>1278</v>
      </c>
      <c r="L8" s="93" t="s">
        <v>1279</v>
      </c>
      <c r="N8" s="93" t="s">
        <v>1383</v>
      </c>
      <c r="O8" s="93" t="s">
        <v>1145</v>
      </c>
      <c r="Q8" s="93" t="s">
        <v>1118</v>
      </c>
      <c r="V8" s="93">
        <v>78935.539999999994</v>
      </c>
      <c r="W8" s="93">
        <v>446497.69</v>
      </c>
      <c r="X8" s="93">
        <v>5.5E-2</v>
      </c>
      <c r="Y8" s="93" t="s">
        <v>1146</v>
      </c>
      <c r="Z8" s="93" t="s">
        <v>1147</v>
      </c>
      <c r="AA8" s="98">
        <v>45754</v>
      </c>
      <c r="AB8" s="93" t="s">
        <v>1280</v>
      </c>
      <c r="AD8" s="93" t="s">
        <v>1279</v>
      </c>
      <c r="AF8" s="93" t="s">
        <v>1122</v>
      </c>
      <c r="AG8" s="93">
        <v>-1.9950000000000001</v>
      </c>
      <c r="AI8" s="93" t="s">
        <v>1148</v>
      </c>
      <c r="AK8" s="93" t="s">
        <v>1124</v>
      </c>
      <c r="AL8" s="93">
        <v>-3.5449999999999999</v>
      </c>
      <c r="AM8" s="93">
        <v>-3.9449999999999998</v>
      </c>
      <c r="AN8" s="93">
        <v>3.6</v>
      </c>
      <c r="AO8" s="93">
        <v>4</v>
      </c>
      <c r="AT8" s="93" t="s">
        <v>1279</v>
      </c>
      <c r="AW8" s="93" t="s">
        <v>1149</v>
      </c>
      <c r="AX8" s="93" t="s">
        <v>1150</v>
      </c>
      <c r="CJ8" s="103"/>
      <c r="EA8" s="93" t="s">
        <v>1151</v>
      </c>
      <c r="EC8" s="93" t="s">
        <v>1152</v>
      </c>
      <c r="ED8" s="93" t="s">
        <v>1279</v>
      </c>
      <c r="EE8" s="93" t="s">
        <v>1129</v>
      </c>
      <c r="EF8" s="98">
        <v>45917</v>
      </c>
      <c r="EG8" s="93" t="s">
        <v>1149</v>
      </c>
      <c r="EH8" s="93" t="s">
        <v>1150</v>
      </c>
      <c r="EI8" s="93">
        <v>-3.87</v>
      </c>
      <c r="EJ8" s="93">
        <v>49.2</v>
      </c>
      <c r="EK8" s="93">
        <v>9.9</v>
      </c>
      <c r="EL8" s="93">
        <v>1.7</v>
      </c>
      <c r="EM8" s="93">
        <v>490.4</v>
      </c>
      <c r="EN8" s="93">
        <v>301.89999999999998</v>
      </c>
      <c r="ER8" s="93">
        <v>63.5</v>
      </c>
      <c r="ES8" s="93">
        <v>22</v>
      </c>
      <c r="ET8" s="93">
        <v>21.95</v>
      </c>
      <c r="EU8" s="93">
        <v>11.93</v>
      </c>
      <c r="EV8" s="93">
        <v>0.5</v>
      </c>
      <c r="EW8" s="93">
        <v>-0.5</v>
      </c>
      <c r="EX8" s="93">
        <v>16</v>
      </c>
      <c r="EY8" s="93">
        <v>176.1</v>
      </c>
      <c r="EZ8" s="93">
        <v>129.1</v>
      </c>
      <c r="FA8" s="93">
        <v>117.5</v>
      </c>
      <c r="FB8" s="93">
        <v>29.9</v>
      </c>
      <c r="FC8" s="93">
        <v>292.7</v>
      </c>
      <c r="FD8" s="93">
        <v>0.1</v>
      </c>
      <c r="FE8" s="93">
        <v>57.3</v>
      </c>
      <c r="FF8" s="93">
        <v>13.15</v>
      </c>
      <c r="FG8" s="93">
        <v>105</v>
      </c>
      <c r="FH8" s="93">
        <v>3.8899999999999997E-2</v>
      </c>
      <c r="FI8" s="93">
        <v>0.29499999999999998</v>
      </c>
      <c r="FJ8" s="93">
        <v>1.9400000000000001E-2</v>
      </c>
      <c r="FP8" s="103"/>
      <c r="LG8" s="93" t="s">
        <v>1153</v>
      </c>
      <c r="LH8" s="93" t="s">
        <v>1154</v>
      </c>
      <c r="LI8" s="93" t="s">
        <v>1148</v>
      </c>
      <c r="LJ8" s="93" t="s">
        <v>1279</v>
      </c>
      <c r="LK8" s="93" t="s">
        <v>1155</v>
      </c>
      <c r="LL8" s="103">
        <v>45883</v>
      </c>
      <c r="LM8" s="93" t="s">
        <v>1149</v>
      </c>
      <c r="LN8" s="93" t="s">
        <v>1150</v>
      </c>
      <c r="LO8" s="93">
        <v>-3.75</v>
      </c>
      <c r="LP8" s="93">
        <v>49.3</v>
      </c>
      <c r="LQ8" s="93">
        <v>9.6449541197453872</v>
      </c>
      <c r="LR8" s="93">
        <v>1.6322581752780769</v>
      </c>
      <c r="LS8" s="93">
        <v>490.89635854341731</v>
      </c>
      <c r="LT8" s="93">
        <v>494.39252336448578</v>
      </c>
      <c r="LV8" s="106">
        <v>12.380839092001541</v>
      </c>
      <c r="LW8" s="106">
        <v>10.62769761117441</v>
      </c>
      <c r="LX8" s="93">
        <v>2226.4</v>
      </c>
      <c r="LY8" s="93">
        <v>20</v>
      </c>
      <c r="LZ8" s="93">
        <v>20</v>
      </c>
      <c r="MA8" s="93">
        <v>63</v>
      </c>
      <c r="MB8" s="93">
        <v>25</v>
      </c>
      <c r="MC8" s="93">
        <v>21.7</v>
      </c>
      <c r="MD8" s="93" t="s">
        <v>1156</v>
      </c>
      <c r="ME8" s="93" t="s">
        <v>1157</v>
      </c>
      <c r="MF8" s="106">
        <v>50.3</v>
      </c>
      <c r="MG8" s="106">
        <v>50.3</v>
      </c>
      <c r="MI8" s="106">
        <v>13.0995495106633</v>
      </c>
      <c r="MJ8" s="106">
        <v>1</v>
      </c>
      <c r="MK8" s="106">
        <v>20.048379243888888</v>
      </c>
      <c r="ML8" s="106">
        <v>5</v>
      </c>
      <c r="MM8" s="106">
        <v>1.0862265</v>
      </c>
      <c r="MN8" s="106">
        <v>46.877507899999998</v>
      </c>
      <c r="MO8" s="106">
        <v>7.0255505830949172</v>
      </c>
      <c r="MP8" s="106">
        <v>43.448697300000013</v>
      </c>
      <c r="MQ8" s="106">
        <v>12.029342497597341</v>
      </c>
      <c r="MR8" s="106">
        <v>41.944436600000003</v>
      </c>
      <c r="MS8" s="106">
        <v>16.009889434205402</v>
      </c>
      <c r="MT8" s="106">
        <v>41.284872300000004</v>
      </c>
      <c r="MU8" s="106">
        <v>18.065116599979969</v>
      </c>
      <c r="MV8" s="106">
        <v>41.151828600000002</v>
      </c>
      <c r="MW8" s="106">
        <v>19.165910469168299</v>
      </c>
      <c r="MX8" s="106">
        <v>41.168394999999997</v>
      </c>
      <c r="MY8" s="106">
        <v>19.779526641724988</v>
      </c>
      <c r="MZ8" s="106">
        <v>27.998826031389669</v>
      </c>
      <c r="NA8" s="106">
        <v>40.241155099999993</v>
      </c>
      <c r="NB8" s="106">
        <v>19.432292014761821</v>
      </c>
      <c r="NC8" s="106">
        <v>40</v>
      </c>
      <c r="NG8" s="106">
        <v>289.86351887391419</v>
      </c>
      <c r="NM8" s="103"/>
      <c r="QT8" s="106" t="s">
        <v>1276</v>
      </c>
      <c r="QU8" s="106"/>
      <c r="QV8" s="106">
        <v>49.3</v>
      </c>
      <c r="QW8" s="106"/>
      <c r="QX8" s="106">
        <v>50.3</v>
      </c>
      <c r="QY8" s="106"/>
      <c r="QZ8" s="106"/>
      <c r="RA8" s="106"/>
      <c r="RB8" s="106" t="s">
        <v>1137</v>
      </c>
      <c r="RC8" s="106"/>
      <c r="RD8" s="106" t="s">
        <v>1137</v>
      </c>
      <c r="RE8" s="106">
        <v>57.3</v>
      </c>
      <c r="RF8" s="106">
        <v>8</v>
      </c>
      <c r="RG8" s="106">
        <v>10.15</v>
      </c>
      <c r="RH8" s="106"/>
      <c r="RI8" s="106"/>
      <c r="RJ8" s="106">
        <v>57.3</v>
      </c>
      <c r="RK8" s="106"/>
      <c r="RL8" s="106">
        <v>1.1622718052738339</v>
      </c>
    </row>
    <row r="9" spans="1:480" x14ac:dyDescent="0.3">
      <c r="A9" s="93" t="str">
        <f>Table1[[#This Row],[ALG__REGEL]]&amp;"_"&amp;Table1[[#This Row],[BORING_NUMMER]]&amp;"_"&amp;Table1[[#This Row],[MONSTER_ID]]</f>
        <v>2_B01-K02_8-505</v>
      </c>
      <c r="B9" s="93">
        <v>2</v>
      </c>
      <c r="C9" s="93" t="b">
        <v>0</v>
      </c>
      <c r="G9" s="93" t="b">
        <v>0</v>
      </c>
      <c r="H9" s="93" t="b">
        <v>0</v>
      </c>
      <c r="I9" s="93" t="b">
        <v>1</v>
      </c>
      <c r="J9" s="93" t="b">
        <v>0</v>
      </c>
      <c r="K9" s="93" t="s">
        <v>1278</v>
      </c>
      <c r="L9" s="93" t="s">
        <v>1279</v>
      </c>
      <c r="N9" s="93" t="s">
        <v>1383</v>
      </c>
      <c r="O9" s="93" t="s">
        <v>1145</v>
      </c>
      <c r="Q9" s="93" t="s">
        <v>1118</v>
      </c>
      <c r="V9" s="93">
        <v>78940.350000000006</v>
      </c>
      <c r="W9" s="93">
        <v>446498.06</v>
      </c>
      <c r="X9" s="93">
        <v>4.3999999999999997E-2</v>
      </c>
      <c r="Y9" s="93" t="s">
        <v>1163</v>
      </c>
      <c r="Z9" s="93" t="s">
        <v>1147</v>
      </c>
      <c r="AA9" s="98">
        <v>45754</v>
      </c>
      <c r="AB9" s="93" t="s">
        <v>1280</v>
      </c>
      <c r="AD9" s="93" t="s">
        <v>1279</v>
      </c>
      <c r="AF9" s="93" t="s">
        <v>1122</v>
      </c>
      <c r="AG9" s="93">
        <v>-1.996</v>
      </c>
      <c r="AI9" s="93" t="s">
        <v>1164</v>
      </c>
      <c r="AK9" s="93" t="s">
        <v>1124</v>
      </c>
      <c r="AL9" s="93">
        <v>-3.556</v>
      </c>
      <c r="AM9" s="93">
        <v>-3.956</v>
      </c>
      <c r="AN9" s="93">
        <v>3.6</v>
      </c>
      <c r="AO9" s="93">
        <v>4</v>
      </c>
      <c r="AT9" s="93" t="s">
        <v>1279</v>
      </c>
      <c r="AV9" s="103"/>
      <c r="AW9" s="93" t="s">
        <v>1165</v>
      </c>
      <c r="AX9" s="93" t="s">
        <v>1150</v>
      </c>
      <c r="CJ9" s="103"/>
      <c r="FP9" s="103"/>
      <c r="LG9" s="93" t="s">
        <v>1166</v>
      </c>
      <c r="LH9" s="93" t="s">
        <v>1167</v>
      </c>
      <c r="LI9" s="93" t="s">
        <v>1164</v>
      </c>
      <c r="LJ9" s="93" t="s">
        <v>1279</v>
      </c>
      <c r="LK9" s="93" t="s">
        <v>1155</v>
      </c>
      <c r="LL9" s="103">
        <v>45887</v>
      </c>
      <c r="LM9" s="93" t="s">
        <v>1165</v>
      </c>
      <c r="LN9" s="93" t="s">
        <v>1150</v>
      </c>
      <c r="LO9" s="93">
        <v>-3.85</v>
      </c>
      <c r="LP9" s="93">
        <v>46.3</v>
      </c>
      <c r="LQ9" s="93">
        <v>9.3944521790211208</v>
      </c>
      <c r="LR9" s="93">
        <v>1.4242996883264729</v>
      </c>
      <c r="LS9" s="93">
        <v>559.5839524517088</v>
      </c>
      <c r="LT9" s="93">
        <v>530</v>
      </c>
      <c r="LV9" s="106">
        <v>9.1612695127421944</v>
      </c>
      <c r="LW9" s="106">
        <v>7.9062003088758424</v>
      </c>
      <c r="LX9" s="93">
        <v>1475.3</v>
      </c>
      <c r="LY9" s="93">
        <v>20</v>
      </c>
      <c r="LZ9" s="93">
        <v>20</v>
      </c>
      <c r="MA9" s="93">
        <v>63</v>
      </c>
      <c r="MB9" s="93">
        <v>25</v>
      </c>
      <c r="MC9" s="93">
        <v>21.9</v>
      </c>
      <c r="MD9" s="93" t="s">
        <v>1156</v>
      </c>
      <c r="ME9" s="93" t="s">
        <v>1157</v>
      </c>
      <c r="MF9" s="106">
        <v>46.3</v>
      </c>
      <c r="MG9" s="106">
        <v>46.3</v>
      </c>
      <c r="MI9" s="106">
        <v>12.34935775929103</v>
      </c>
      <c r="MJ9" s="106">
        <v>1</v>
      </c>
      <c r="MK9" s="106">
        <v>20.045585791666671</v>
      </c>
      <c r="ML9" s="106">
        <v>5</v>
      </c>
      <c r="MM9" s="106">
        <v>1.0956062499999999</v>
      </c>
      <c r="MN9" s="106">
        <v>42.82225050000001</v>
      </c>
      <c r="MO9" s="106">
        <v>7.2119759546256841</v>
      </c>
      <c r="MP9" s="106">
        <v>40.919682799999997</v>
      </c>
      <c r="MQ9" s="106">
        <v>12.54442658312148</v>
      </c>
      <c r="MR9" s="106">
        <v>39.7686609</v>
      </c>
      <c r="MS9" s="106">
        <v>16.908245426897789</v>
      </c>
      <c r="MT9" s="106">
        <v>38.939728600000002</v>
      </c>
      <c r="MU9" s="106">
        <v>19.261538858747521</v>
      </c>
      <c r="MV9" s="106">
        <v>38.3448116</v>
      </c>
      <c r="MW9" s="106">
        <v>20.392407460482939</v>
      </c>
      <c r="MX9" s="106">
        <v>35.623089299999997</v>
      </c>
      <c r="MY9" s="106">
        <v>20.891440620732858</v>
      </c>
      <c r="MZ9" s="106">
        <v>30.99223150050554</v>
      </c>
      <c r="NA9" s="106">
        <v>33.452207599999987</v>
      </c>
      <c r="NB9" s="106">
        <v>20.634182704764449</v>
      </c>
      <c r="NC9" s="106">
        <v>40</v>
      </c>
      <c r="NG9" s="106">
        <v>294.35723400619452</v>
      </c>
      <c r="NM9" s="103"/>
      <c r="QT9" s="106" t="s">
        <v>1276</v>
      </c>
      <c r="QU9" s="106"/>
      <c r="QV9" s="106">
        <v>46.3</v>
      </c>
      <c r="QW9" s="106"/>
      <c r="QX9" s="106">
        <v>46.3</v>
      </c>
      <c r="QY9" s="106"/>
      <c r="QZ9" s="106"/>
      <c r="RA9" s="106"/>
      <c r="RB9" s="106" t="s">
        <v>1137</v>
      </c>
      <c r="RC9" s="106"/>
      <c r="RD9" s="106" t="s">
        <v>1137</v>
      </c>
      <c r="RE9" s="106"/>
      <c r="RF9" s="106"/>
      <c r="RG9" s="106"/>
      <c r="RH9" s="106"/>
      <c r="RI9" s="106">
        <v>70</v>
      </c>
      <c r="RJ9" s="106">
        <v>70</v>
      </c>
      <c r="RK9" s="106"/>
      <c r="RL9" s="106">
        <v>1.5118790496760259</v>
      </c>
    </row>
    <row r="10" spans="1:480" x14ac:dyDescent="0.3">
      <c r="A10" s="93" t="str">
        <f>Table1[[#This Row],[ALG__REGEL]]&amp;"_"&amp;Table1[[#This Row],[BORING_NUMMER]]&amp;"_"&amp;Table1[[#This Row],[MONSTER_ID]]</f>
        <v>3_B02-AL01_14-1088</v>
      </c>
      <c r="B10" s="93">
        <v>3</v>
      </c>
      <c r="C10" s="93" t="b">
        <v>0</v>
      </c>
      <c r="G10" s="93" t="b">
        <v>1</v>
      </c>
      <c r="H10" s="93" t="b">
        <v>0</v>
      </c>
      <c r="I10" s="93" t="b">
        <v>1</v>
      </c>
      <c r="J10" s="93" t="b">
        <v>0</v>
      </c>
      <c r="K10" s="93" t="s">
        <v>1278</v>
      </c>
      <c r="L10" s="93" t="s">
        <v>1279</v>
      </c>
      <c r="N10" s="93" t="s">
        <v>1383</v>
      </c>
      <c r="O10" s="93" t="s">
        <v>1168</v>
      </c>
      <c r="Q10" s="93" t="s">
        <v>1118</v>
      </c>
      <c r="V10" s="93">
        <v>87074.07</v>
      </c>
      <c r="W10" s="93">
        <v>441147.4</v>
      </c>
      <c r="X10" s="93">
        <v>-1.768</v>
      </c>
      <c r="Y10" s="93" t="s">
        <v>1169</v>
      </c>
      <c r="Z10" s="93" t="s">
        <v>1120</v>
      </c>
      <c r="AA10" s="98">
        <v>45754</v>
      </c>
      <c r="AB10" s="93" t="s">
        <v>1280</v>
      </c>
      <c r="AD10" s="93" t="s">
        <v>1279</v>
      </c>
      <c r="AF10" s="93" t="s">
        <v>1122</v>
      </c>
      <c r="AG10" s="93">
        <v>-3.298</v>
      </c>
      <c r="AI10" s="93" t="s">
        <v>1177</v>
      </c>
      <c r="AK10" s="93" t="s">
        <v>1124</v>
      </c>
      <c r="AL10" s="93">
        <v>-7.7679999999999998</v>
      </c>
      <c r="AM10" s="93">
        <v>-8.168000000000001</v>
      </c>
      <c r="AN10" s="93">
        <v>6</v>
      </c>
      <c r="AO10" s="93">
        <v>6.4</v>
      </c>
      <c r="AT10" s="93" t="s">
        <v>1279</v>
      </c>
      <c r="AV10" s="103"/>
      <c r="AW10" s="93" t="s">
        <v>1178</v>
      </c>
      <c r="AX10" s="93" t="s">
        <v>1150</v>
      </c>
      <c r="CJ10" s="103"/>
      <c r="EA10" s="93" t="s">
        <v>1179</v>
      </c>
      <c r="EC10" s="93" t="s">
        <v>1180</v>
      </c>
      <c r="ED10" s="93" t="s">
        <v>1279</v>
      </c>
      <c r="EE10" s="93" t="s">
        <v>1129</v>
      </c>
      <c r="EF10" s="98">
        <v>45874</v>
      </c>
      <c r="EG10" s="93" t="s">
        <v>1178</v>
      </c>
      <c r="EH10" s="93" t="s">
        <v>1150</v>
      </c>
      <c r="EI10" s="93">
        <v>-8.0399999999999991</v>
      </c>
      <c r="EJ10" s="93">
        <v>49.3</v>
      </c>
      <c r="EK10" s="93">
        <v>10.1</v>
      </c>
      <c r="EL10" s="93">
        <v>1.7</v>
      </c>
      <c r="EM10" s="93">
        <v>486.5</v>
      </c>
      <c r="EN10" s="93">
        <v>334.1</v>
      </c>
      <c r="ER10" s="93">
        <v>63.5</v>
      </c>
      <c r="ES10" s="93">
        <v>22</v>
      </c>
      <c r="ET10" s="93">
        <v>21.95</v>
      </c>
      <c r="EU10" s="93">
        <v>12.84</v>
      </c>
      <c r="EV10" s="93">
        <v>0.5</v>
      </c>
      <c r="EW10" s="93">
        <v>-0.5</v>
      </c>
      <c r="EX10" s="93">
        <v>16</v>
      </c>
      <c r="EY10" s="93">
        <v>172.9</v>
      </c>
      <c r="EZ10" s="93">
        <v>140.6</v>
      </c>
      <c r="FA10" s="93">
        <v>115.6</v>
      </c>
      <c r="FB10" s="93">
        <v>30.4</v>
      </c>
      <c r="FC10" s="93">
        <v>292.60000000000002</v>
      </c>
      <c r="FD10" s="93">
        <v>0.5</v>
      </c>
      <c r="FE10" s="93">
        <v>67.900000000000006</v>
      </c>
      <c r="FF10" s="93">
        <v>6.53</v>
      </c>
      <c r="FG10" s="93">
        <v>125</v>
      </c>
      <c r="FH10" s="93">
        <v>5.0700000000000002E-2</v>
      </c>
      <c r="FI10" s="93">
        <v>0.32300000000000001</v>
      </c>
      <c r="FJ10" s="93">
        <v>1.3899999999999999E-2</v>
      </c>
      <c r="FP10" s="103"/>
      <c r="LG10" s="93" t="s">
        <v>1181</v>
      </c>
      <c r="LH10" s="93" t="s">
        <v>1182</v>
      </c>
      <c r="LI10" s="93" t="s">
        <v>1177</v>
      </c>
      <c r="LJ10" s="93" t="s">
        <v>1279</v>
      </c>
      <c r="LK10" s="93" t="s">
        <v>1155</v>
      </c>
      <c r="LL10" s="103">
        <v>45876</v>
      </c>
      <c r="LM10" s="93" t="s">
        <v>1178</v>
      </c>
      <c r="LN10" s="93" t="s">
        <v>1150</v>
      </c>
      <c r="LO10" s="93">
        <v>-9.7899999999999991</v>
      </c>
      <c r="LP10" s="93">
        <v>49.3</v>
      </c>
      <c r="LQ10" s="93">
        <v>9.9747606949702998</v>
      </c>
      <c r="LR10" s="93">
        <v>1.770454116953972</v>
      </c>
      <c r="LS10" s="93">
        <v>463.40125391849529</v>
      </c>
      <c r="LT10" s="93">
        <v>494.89872468117022</v>
      </c>
      <c r="LV10" s="106">
        <v>7.1136149547407079</v>
      </c>
      <c r="LW10" s="106">
        <v>6.4182765303964384</v>
      </c>
      <c r="LX10" s="93">
        <v>1464.3</v>
      </c>
      <c r="LY10" s="93">
        <v>20</v>
      </c>
      <c r="LZ10" s="93">
        <v>20</v>
      </c>
      <c r="MA10" s="93">
        <v>63</v>
      </c>
      <c r="MB10" s="93">
        <v>25</v>
      </c>
      <c r="MC10" s="93">
        <v>22.86</v>
      </c>
      <c r="MD10" s="93" t="s">
        <v>1156</v>
      </c>
      <c r="ME10" s="93" t="s">
        <v>1157</v>
      </c>
      <c r="MF10" s="106">
        <v>49.3</v>
      </c>
      <c r="MG10" s="106">
        <v>49.3</v>
      </c>
      <c r="MI10" s="106">
        <v>8.5660539480835141</v>
      </c>
      <c r="MJ10" s="106">
        <v>1</v>
      </c>
      <c r="MK10" s="106">
        <v>20.04301249638889</v>
      </c>
      <c r="ML10" s="106">
        <v>5</v>
      </c>
      <c r="MM10" s="106">
        <v>1.1428747500000001</v>
      </c>
      <c r="MN10" s="106">
        <v>44.236297200000003</v>
      </c>
      <c r="MO10" s="106">
        <v>10.59528154210502</v>
      </c>
      <c r="MP10" s="106">
        <v>42.213659499999999</v>
      </c>
      <c r="MQ10" s="106">
        <v>18.627326007368818</v>
      </c>
      <c r="MR10" s="106">
        <v>40.074137399999998</v>
      </c>
      <c r="MS10" s="106">
        <v>24.699932373583032</v>
      </c>
      <c r="MT10" s="106">
        <v>39.354809600000003</v>
      </c>
      <c r="MU10" s="106">
        <v>26.821696974193951</v>
      </c>
      <c r="MV10" s="106">
        <v>40.142423800000003</v>
      </c>
      <c r="MW10" s="106">
        <v>27.184765374949599</v>
      </c>
      <c r="MX10" s="106">
        <v>39.955954699999999</v>
      </c>
      <c r="MY10" s="106">
        <v>27.22439842543702</v>
      </c>
      <c r="MZ10" s="106">
        <v>18.98719030596153</v>
      </c>
      <c r="NA10" s="106">
        <v>44.668244599999987</v>
      </c>
      <c r="NB10" s="106">
        <v>26.498493330383241</v>
      </c>
      <c r="NC10" s="106">
        <v>40</v>
      </c>
      <c r="NG10" s="106">
        <v>469.46461000062232</v>
      </c>
      <c r="NM10" s="103"/>
      <c r="QT10" s="106" t="s">
        <v>1276</v>
      </c>
      <c r="QU10" s="106"/>
      <c r="QV10" s="106">
        <v>49.3</v>
      </c>
      <c r="QW10" s="106"/>
      <c r="QX10" s="106">
        <v>49.3</v>
      </c>
      <c r="QY10" s="106"/>
      <c r="QZ10" s="106"/>
      <c r="RA10" s="106"/>
      <c r="RB10" s="106" t="s">
        <v>1137</v>
      </c>
      <c r="RC10" s="106"/>
      <c r="RD10" s="106" t="s">
        <v>1137</v>
      </c>
      <c r="RE10" s="106">
        <v>67.900000000000006</v>
      </c>
      <c r="RF10" s="106">
        <v>18.600000000000009</v>
      </c>
      <c r="RG10" s="106">
        <v>20.06666666666667</v>
      </c>
      <c r="RH10" s="106"/>
      <c r="RI10" s="106"/>
      <c r="RJ10" s="106">
        <v>67.900000000000006</v>
      </c>
      <c r="RK10" s="106"/>
      <c r="RL10" s="106">
        <v>1.377281947261664</v>
      </c>
    </row>
    <row r="11" spans="1:480" x14ac:dyDescent="0.3">
      <c r="A11" s="93" t="str">
        <f>Table1[[#This Row],[ALG__REGEL]]&amp;"_"&amp;Table1[[#This Row],[BORING_NUMMER]]&amp;"_"&amp;Table1[[#This Row],[MONSTER_ID]]</f>
        <v>4_B02-AL01_15-1321</v>
      </c>
      <c r="B11" s="93">
        <v>4</v>
      </c>
      <c r="C11" s="93" t="b">
        <v>0</v>
      </c>
      <c r="G11" s="93" t="b">
        <v>0</v>
      </c>
      <c r="H11" s="93" t="b">
        <v>0</v>
      </c>
      <c r="I11" s="93" t="b">
        <v>1</v>
      </c>
      <c r="J11" s="93" t="b">
        <v>0</v>
      </c>
      <c r="K11" s="93" t="s">
        <v>1278</v>
      </c>
      <c r="L11" s="93" t="s">
        <v>1279</v>
      </c>
      <c r="N11" s="93" t="s">
        <v>1383</v>
      </c>
      <c r="O11" s="93" t="s">
        <v>1168</v>
      </c>
      <c r="Q11" s="93" t="s">
        <v>1118</v>
      </c>
      <c r="V11" s="93">
        <v>87074.07</v>
      </c>
      <c r="W11" s="93">
        <v>441147.4</v>
      </c>
      <c r="X11" s="93">
        <v>-1.768</v>
      </c>
      <c r="Y11" s="93" t="s">
        <v>1169</v>
      </c>
      <c r="Z11" s="93" t="s">
        <v>1120</v>
      </c>
      <c r="AA11" s="98">
        <v>45754</v>
      </c>
      <c r="AB11" s="93" t="s">
        <v>1280</v>
      </c>
      <c r="AD11" s="93" t="s">
        <v>1279</v>
      </c>
      <c r="AF11" s="93" t="s">
        <v>1122</v>
      </c>
      <c r="AG11" s="93">
        <v>-3.298</v>
      </c>
      <c r="AI11" s="93" t="s">
        <v>1183</v>
      </c>
      <c r="AK11" s="93" t="s">
        <v>1124</v>
      </c>
      <c r="AL11" s="93">
        <v>-8.168000000000001</v>
      </c>
      <c r="AM11" s="93">
        <v>-8.5679999999999996</v>
      </c>
      <c r="AN11" s="93">
        <v>6.4</v>
      </c>
      <c r="AO11" s="93">
        <v>6.8</v>
      </c>
      <c r="AT11" s="93" t="s">
        <v>1279</v>
      </c>
      <c r="AW11" s="93" t="s">
        <v>1178</v>
      </c>
      <c r="AX11" s="93" t="s">
        <v>1150</v>
      </c>
      <c r="CJ11" s="103"/>
      <c r="FP11" s="103"/>
      <c r="LG11" s="93" t="s">
        <v>1184</v>
      </c>
      <c r="LH11" s="93" t="s">
        <v>1185</v>
      </c>
      <c r="LI11" s="93" t="s">
        <v>1183</v>
      </c>
      <c r="LJ11" s="93" t="s">
        <v>1279</v>
      </c>
      <c r="LK11" s="93" t="s">
        <v>1155</v>
      </c>
      <c r="LL11" s="103">
        <v>45877</v>
      </c>
      <c r="LM11" s="93" t="s">
        <v>1178</v>
      </c>
      <c r="LN11" s="93" t="s">
        <v>1150</v>
      </c>
      <c r="LO11" s="93">
        <v>-10.17</v>
      </c>
      <c r="LP11" s="93">
        <v>49.3</v>
      </c>
      <c r="LQ11" s="93">
        <v>10.05280652574872</v>
      </c>
      <c r="LR11" s="93">
        <v>1.9202718094951881</v>
      </c>
      <c r="LS11" s="93">
        <v>423.50956130483701</v>
      </c>
      <c r="LT11" s="93">
        <v>457.23997280761381</v>
      </c>
      <c r="LV11" s="106">
        <v>6.5679567486961092</v>
      </c>
      <c r="LW11" s="106">
        <v>6.1799963438319212</v>
      </c>
      <c r="LX11" s="93">
        <v>1481.4</v>
      </c>
      <c r="LY11" s="93">
        <v>20</v>
      </c>
      <c r="LZ11" s="93">
        <v>20</v>
      </c>
      <c r="MA11" s="93">
        <v>63</v>
      </c>
      <c r="MB11" s="93">
        <v>25</v>
      </c>
      <c r="MC11" s="93">
        <v>23.63</v>
      </c>
      <c r="MD11" s="93" t="s">
        <v>1156</v>
      </c>
      <c r="ME11" s="93" t="s">
        <v>1157</v>
      </c>
      <c r="MF11" s="106">
        <v>49.3</v>
      </c>
      <c r="MG11" s="106">
        <v>49.3</v>
      </c>
      <c r="MI11" s="106">
        <v>5.1240728228202324</v>
      </c>
      <c r="MJ11" s="106">
        <v>1</v>
      </c>
      <c r="MK11" s="106">
        <v>20.034976501944449</v>
      </c>
      <c r="ML11" s="106">
        <v>5</v>
      </c>
      <c r="MM11" s="106">
        <v>1.1859205500000001</v>
      </c>
      <c r="MN11" s="106">
        <v>46.348481800000002</v>
      </c>
      <c r="MO11" s="106">
        <v>12.500708971355451</v>
      </c>
      <c r="MP11" s="106">
        <v>44.103570200000007</v>
      </c>
      <c r="MQ11" s="106">
        <v>22.5799292988644</v>
      </c>
      <c r="MR11" s="106">
        <v>40.987905499999997</v>
      </c>
      <c r="MS11" s="106">
        <v>29.69024412328703</v>
      </c>
      <c r="MT11" s="106">
        <v>38.614432600000001</v>
      </c>
      <c r="MU11" s="106">
        <v>30.953960039596979</v>
      </c>
      <c r="MV11" s="106">
        <v>36.422961000000001</v>
      </c>
      <c r="MW11" s="106">
        <v>30.986551386032961</v>
      </c>
      <c r="MX11" s="106">
        <v>37.259092300000013</v>
      </c>
      <c r="MY11" s="106">
        <v>31.103657404817039</v>
      </c>
      <c r="MZ11" s="106">
        <v>18.169145223484492</v>
      </c>
      <c r="NA11" s="106">
        <v>29.1296593</v>
      </c>
      <c r="NB11" s="106">
        <v>28.06155632535485</v>
      </c>
      <c r="NC11" s="106">
        <v>40</v>
      </c>
      <c r="NG11" s="106">
        <v>572.88001369765084</v>
      </c>
      <c r="NM11" s="103"/>
      <c r="QT11" s="106" t="s">
        <v>1276</v>
      </c>
      <c r="QU11" s="106"/>
      <c r="QV11" s="106">
        <v>49.3</v>
      </c>
      <c r="QW11" s="106"/>
      <c r="QX11" s="106">
        <v>49.3</v>
      </c>
      <c r="QY11" s="106"/>
      <c r="QZ11" s="106"/>
      <c r="RA11" s="106"/>
      <c r="RB11" s="106" t="s">
        <v>1137</v>
      </c>
      <c r="RC11" s="106"/>
      <c r="RD11" s="106" t="s">
        <v>1137</v>
      </c>
      <c r="RE11" s="106"/>
      <c r="RF11" s="106"/>
      <c r="RG11" s="106">
        <v>20.06666666666667</v>
      </c>
      <c r="RH11" s="106">
        <v>69.366666666666674</v>
      </c>
      <c r="RI11" s="106"/>
      <c r="RJ11" s="106">
        <v>69.366666666666674</v>
      </c>
      <c r="RK11" s="106"/>
      <c r="RL11" s="106">
        <v>1.4070317782285331</v>
      </c>
    </row>
    <row r="12" spans="1:480" x14ac:dyDescent="0.3">
      <c r="A12" s="93" t="str">
        <f>Table1[[#This Row],[ALG__REGEL]]&amp;"_"&amp;Table1[[#This Row],[BORING_NUMMER]]&amp;"_"&amp;Table1[[#This Row],[MONSTER_ID]]</f>
        <v>5_B02-K01_16-667</v>
      </c>
      <c r="B12" s="93">
        <v>5</v>
      </c>
      <c r="C12" s="93" t="b">
        <v>0</v>
      </c>
      <c r="G12" s="93" t="b">
        <v>1</v>
      </c>
      <c r="H12" s="93" t="b">
        <v>0</v>
      </c>
      <c r="I12" s="93" t="b">
        <v>1</v>
      </c>
      <c r="J12" s="93" t="b">
        <v>0</v>
      </c>
      <c r="K12" s="93" t="s">
        <v>1278</v>
      </c>
      <c r="L12" s="93" t="s">
        <v>1279</v>
      </c>
      <c r="N12" s="93" t="s">
        <v>1383</v>
      </c>
      <c r="O12" s="93" t="s">
        <v>1192</v>
      </c>
      <c r="Q12" s="93" t="s">
        <v>1118</v>
      </c>
      <c r="V12" s="93">
        <v>87081.94</v>
      </c>
      <c r="W12" s="93">
        <v>441144.12</v>
      </c>
      <c r="X12" s="93">
        <v>-0.16700000000000001</v>
      </c>
      <c r="Y12" s="93" t="s">
        <v>1193</v>
      </c>
      <c r="Z12" s="93" t="s">
        <v>1147</v>
      </c>
      <c r="AA12" s="98">
        <v>45754</v>
      </c>
      <c r="AB12" s="93" t="s">
        <v>1280</v>
      </c>
      <c r="AD12" s="93" t="s">
        <v>1279</v>
      </c>
      <c r="AF12" s="93" t="s">
        <v>1122</v>
      </c>
      <c r="AG12" s="93">
        <v>-3.1469999999999998</v>
      </c>
      <c r="AI12" s="93" t="s">
        <v>1194</v>
      </c>
      <c r="AK12" s="93" t="s">
        <v>1124</v>
      </c>
      <c r="AL12" s="93">
        <v>-6.9669999999999996</v>
      </c>
      <c r="AM12" s="93">
        <v>-7.367</v>
      </c>
      <c r="AN12" s="93">
        <v>6.8</v>
      </c>
      <c r="AO12" s="93">
        <v>7.2</v>
      </c>
      <c r="AT12" s="93" t="s">
        <v>1279</v>
      </c>
      <c r="AW12" s="93" t="s">
        <v>1195</v>
      </c>
      <c r="CJ12" s="103"/>
      <c r="EA12" s="93" t="s">
        <v>1196</v>
      </c>
      <c r="EC12" s="93" t="s">
        <v>1197</v>
      </c>
      <c r="ED12" s="93" t="s">
        <v>1279</v>
      </c>
      <c r="EE12" s="93" t="s">
        <v>1129</v>
      </c>
      <c r="EF12" s="98">
        <v>45880</v>
      </c>
      <c r="EG12" s="93" t="s">
        <v>1195</v>
      </c>
      <c r="EI12" s="93">
        <v>-7.29</v>
      </c>
      <c r="EJ12" s="93">
        <v>60.7</v>
      </c>
      <c r="EK12" s="93">
        <v>9.8000000000000007</v>
      </c>
      <c r="EL12" s="93">
        <v>1.6</v>
      </c>
      <c r="EM12" s="93">
        <v>522</v>
      </c>
      <c r="EN12" s="93">
        <v>316.3</v>
      </c>
      <c r="ER12" s="93">
        <v>63.5</v>
      </c>
      <c r="ES12" s="93">
        <v>22</v>
      </c>
      <c r="ET12" s="93">
        <v>21.95</v>
      </c>
      <c r="EU12" s="93">
        <v>11.62</v>
      </c>
      <c r="EV12" s="93">
        <v>0.5</v>
      </c>
      <c r="EW12" s="93">
        <v>-0.5</v>
      </c>
      <c r="EX12" s="93">
        <v>16</v>
      </c>
      <c r="EY12" s="93">
        <v>372.5</v>
      </c>
      <c r="EZ12" s="93">
        <v>278.2</v>
      </c>
      <c r="FA12" s="93">
        <v>247.4</v>
      </c>
      <c r="FB12" s="93">
        <v>65.099999999999994</v>
      </c>
      <c r="FC12" s="93">
        <v>621.6</v>
      </c>
      <c r="FD12" s="93">
        <v>0.3</v>
      </c>
      <c r="FE12" s="93">
        <v>67.8</v>
      </c>
      <c r="FF12" s="93">
        <v>9.68</v>
      </c>
      <c r="FG12" s="93">
        <v>90</v>
      </c>
      <c r="FH12" s="93">
        <v>2.9000000000000001E-2</v>
      </c>
      <c r="FI12" s="93">
        <v>0.247</v>
      </c>
      <c r="FJ12" s="93">
        <v>1.6400000000000001E-2</v>
      </c>
      <c r="FP12" s="103"/>
      <c r="LG12" s="93" t="s">
        <v>1198</v>
      </c>
      <c r="LH12" s="93" t="s">
        <v>1199</v>
      </c>
      <c r="LI12" s="93" t="s">
        <v>1194</v>
      </c>
      <c r="LJ12" s="93" t="s">
        <v>1279</v>
      </c>
      <c r="LK12" s="93" t="s">
        <v>1155</v>
      </c>
      <c r="LL12" s="103">
        <v>45881</v>
      </c>
      <c r="LM12" s="93" t="s">
        <v>1195</v>
      </c>
      <c r="LO12" s="93">
        <v>-7.12</v>
      </c>
      <c r="LP12" s="93">
        <v>60.7</v>
      </c>
      <c r="LQ12" s="93">
        <v>10.035183273637459</v>
      </c>
      <c r="LR12" s="93">
        <v>1.674932916398554</v>
      </c>
      <c r="LS12" s="93">
        <v>499.1394148020654</v>
      </c>
      <c r="LT12" s="93">
        <v>485.09833585476542</v>
      </c>
      <c r="LV12" s="106">
        <v>7.6313886714254107</v>
      </c>
      <c r="LW12" s="106">
        <v>6.6771617238666767</v>
      </c>
      <c r="LX12" s="93">
        <v>1473.7</v>
      </c>
      <c r="LY12" s="93">
        <v>20</v>
      </c>
      <c r="LZ12" s="93">
        <v>20</v>
      </c>
      <c r="MA12" s="93">
        <v>63</v>
      </c>
      <c r="MB12" s="93">
        <v>25</v>
      </c>
      <c r="MC12" s="93">
        <v>22.22</v>
      </c>
      <c r="MD12" s="93" t="s">
        <v>1156</v>
      </c>
      <c r="ME12" s="93" t="s">
        <v>1157</v>
      </c>
      <c r="MF12" s="106">
        <v>60.7</v>
      </c>
      <c r="MG12" s="106">
        <v>60.7</v>
      </c>
      <c r="MI12" s="106">
        <v>11.052488464231219</v>
      </c>
      <c r="MJ12" s="106">
        <v>1</v>
      </c>
      <c r="MK12" s="106">
        <v>20.0545817625</v>
      </c>
      <c r="ML12" s="106">
        <v>5</v>
      </c>
      <c r="MM12" s="106">
        <v>1.1118086</v>
      </c>
      <c r="MN12" s="106">
        <v>56.835746200000003</v>
      </c>
      <c r="MO12" s="106">
        <v>8.8377706712222839</v>
      </c>
      <c r="MP12" s="106">
        <v>53.911947100000013</v>
      </c>
      <c r="MQ12" s="106">
        <v>15.986323891353541</v>
      </c>
      <c r="MR12" s="106">
        <v>50.225382000000003</v>
      </c>
      <c r="MS12" s="106">
        <v>22.232453312193311</v>
      </c>
      <c r="MT12" s="106">
        <v>47.775939899999997</v>
      </c>
      <c r="MU12" s="106">
        <v>25.16158444670636</v>
      </c>
      <c r="MV12" s="106">
        <v>46.151514400000003</v>
      </c>
      <c r="MW12" s="106">
        <v>26.048086303046929</v>
      </c>
      <c r="MX12" s="106">
        <v>46.093796799999993</v>
      </c>
      <c r="MY12" s="106">
        <v>26.0669640858893</v>
      </c>
      <c r="MZ12" s="106">
        <v>20.823459410897051</v>
      </c>
      <c r="NA12" s="106">
        <v>39.711172400000002</v>
      </c>
      <c r="NB12" s="106">
        <v>25.076200921251569</v>
      </c>
      <c r="NC12" s="106">
        <v>40</v>
      </c>
      <c r="NG12" s="106">
        <v>364.93452883076441</v>
      </c>
      <c r="NM12" s="103"/>
      <c r="QT12" s="106" t="s">
        <v>1276</v>
      </c>
      <c r="QU12" s="106"/>
      <c r="QV12" s="106">
        <v>60.7</v>
      </c>
      <c r="QW12" s="106"/>
      <c r="QX12" s="106">
        <v>60.7</v>
      </c>
      <c r="QY12" s="106"/>
      <c r="QZ12" s="106"/>
      <c r="RA12" s="106"/>
      <c r="RB12" s="106" t="s">
        <v>1137</v>
      </c>
      <c r="RC12" s="106"/>
      <c r="RD12" s="106" t="s">
        <v>1137</v>
      </c>
      <c r="RE12" s="106">
        <v>67.8</v>
      </c>
      <c r="RF12" s="106">
        <v>7.0999999999999943</v>
      </c>
      <c r="RG12" s="106">
        <v>7.0999999999999943</v>
      </c>
      <c r="RH12" s="106"/>
      <c r="RI12" s="106"/>
      <c r="RJ12" s="106">
        <v>67.8</v>
      </c>
      <c r="RK12" s="106"/>
      <c r="RL12" s="106">
        <v>1.116968698517298</v>
      </c>
    </row>
    <row r="13" spans="1:480" x14ac:dyDescent="0.3">
      <c r="A13" s="93" t="str">
        <f>Table1[[#This Row],[ALG__REGEL]]&amp;"_"&amp;Table1[[#This Row],[BORING_NUMMER]]&amp;"_"&amp;Table1[[#This Row],[MONSTER_ID]]</f>
        <v>6_B02-K02_17-22905</v>
      </c>
      <c r="B13" s="93">
        <v>6</v>
      </c>
      <c r="C13" s="93" t="b">
        <v>0</v>
      </c>
      <c r="G13" s="93" t="b">
        <v>1</v>
      </c>
      <c r="H13" s="93" t="b">
        <v>0</v>
      </c>
      <c r="I13" s="93" t="b">
        <v>1</v>
      </c>
      <c r="J13" s="93" t="b">
        <v>0</v>
      </c>
      <c r="K13" s="93" t="s">
        <v>1278</v>
      </c>
      <c r="L13" s="93" t="s">
        <v>1279</v>
      </c>
      <c r="N13" s="93" t="s">
        <v>1383</v>
      </c>
      <c r="O13" s="93" t="s">
        <v>1192</v>
      </c>
      <c r="Q13" s="93" t="s">
        <v>1118</v>
      </c>
      <c r="V13" s="93">
        <v>87083.63</v>
      </c>
      <c r="W13" s="93">
        <v>441148.12</v>
      </c>
      <c r="X13" s="93">
        <v>-0.20499999999999999</v>
      </c>
      <c r="Y13" s="93" t="s">
        <v>1200</v>
      </c>
      <c r="Z13" s="93" t="s">
        <v>1147</v>
      </c>
      <c r="AA13" s="98">
        <v>45754</v>
      </c>
      <c r="AB13" s="93" t="s">
        <v>1280</v>
      </c>
      <c r="AD13" s="93" t="s">
        <v>1279</v>
      </c>
      <c r="AF13" s="93" t="s">
        <v>1122</v>
      </c>
      <c r="AG13" s="93">
        <v>-3.1549999999999998</v>
      </c>
      <c r="AI13" s="93" t="s">
        <v>1208</v>
      </c>
      <c r="AK13" s="93" t="s">
        <v>1124</v>
      </c>
      <c r="AL13" s="93">
        <v>-7.4050000000000002</v>
      </c>
      <c r="AM13" s="93">
        <v>-7.8049999999999997</v>
      </c>
      <c r="AN13" s="93">
        <v>7.2</v>
      </c>
      <c r="AO13" s="93">
        <v>7.6</v>
      </c>
      <c r="AT13" s="93" t="s">
        <v>1279</v>
      </c>
      <c r="AW13" s="93" t="s">
        <v>1209</v>
      </c>
      <c r="CJ13" s="103"/>
      <c r="EA13" s="93" t="s">
        <v>1210</v>
      </c>
      <c r="EC13" s="93" t="s">
        <v>1211</v>
      </c>
      <c r="ED13" s="93" t="s">
        <v>1279</v>
      </c>
      <c r="EE13" s="93" t="s">
        <v>1129</v>
      </c>
      <c r="EF13" s="98">
        <v>45895</v>
      </c>
      <c r="EG13" s="93" t="s">
        <v>1209</v>
      </c>
      <c r="EI13" s="93">
        <v>-7.55</v>
      </c>
      <c r="EJ13" s="93">
        <v>55.8</v>
      </c>
      <c r="EK13" s="93">
        <v>9.1</v>
      </c>
      <c r="EL13" s="93">
        <v>1.6</v>
      </c>
      <c r="EM13" s="93">
        <v>474.4</v>
      </c>
      <c r="EN13" s="93">
        <v>312.60000000000002</v>
      </c>
      <c r="ER13" s="93">
        <v>63.5</v>
      </c>
      <c r="ES13" s="93">
        <v>22</v>
      </c>
      <c r="ET13" s="93">
        <v>21.96</v>
      </c>
      <c r="EU13" s="93">
        <v>11.5</v>
      </c>
      <c r="EV13" s="93">
        <v>0.5</v>
      </c>
      <c r="EW13" s="93">
        <v>-0.5</v>
      </c>
      <c r="EX13" s="93">
        <v>16</v>
      </c>
      <c r="EY13" s="93">
        <v>189.7</v>
      </c>
      <c r="EZ13" s="93">
        <v>134.19999999999999</v>
      </c>
      <c r="FA13" s="93">
        <v>131.69999999999999</v>
      </c>
      <c r="FB13" s="93">
        <v>34.1</v>
      </c>
      <c r="FC13" s="93">
        <v>257.89999999999998</v>
      </c>
      <c r="FD13" s="93">
        <v>0.2</v>
      </c>
      <c r="FE13" s="93">
        <v>62.2</v>
      </c>
      <c r="FF13" s="93">
        <v>28.76</v>
      </c>
      <c r="FG13" s="93">
        <v>90</v>
      </c>
      <c r="FH13" s="93">
        <v>4.6899999999999997E-2</v>
      </c>
      <c r="FI13" s="93">
        <v>0.32</v>
      </c>
      <c r="FJ13" s="93">
        <v>2.41E-2</v>
      </c>
      <c r="FP13" s="103"/>
      <c r="LG13" s="93" t="s">
        <v>1212</v>
      </c>
      <c r="LH13" s="93" t="s">
        <v>1213</v>
      </c>
      <c r="LI13" s="93" t="s">
        <v>1208</v>
      </c>
      <c r="LJ13" s="93" t="s">
        <v>1279</v>
      </c>
      <c r="LK13" s="93" t="s">
        <v>1155</v>
      </c>
      <c r="LL13" s="103">
        <v>45883</v>
      </c>
      <c r="LM13" s="93" t="s">
        <v>1209</v>
      </c>
      <c r="LO13" s="93">
        <v>-7.6000000000000014</v>
      </c>
      <c r="LP13" s="93">
        <v>55.7</v>
      </c>
      <c r="LQ13" s="93">
        <v>9.587049148522695</v>
      </c>
      <c r="LR13" s="93">
        <v>1.5239805430641331</v>
      </c>
      <c r="LS13" s="93">
        <v>529.07949790794976</v>
      </c>
      <c r="LT13" s="93">
        <v>467.29281767955803</v>
      </c>
      <c r="LV13" s="106">
        <v>8.5423422996995715</v>
      </c>
      <c r="LW13" s="106">
        <v>6.2038016173932728</v>
      </c>
      <c r="LX13" s="93">
        <v>1482.4</v>
      </c>
      <c r="LY13" s="93">
        <v>20</v>
      </c>
      <c r="LZ13" s="93">
        <v>20</v>
      </c>
      <c r="MA13" s="93">
        <v>63</v>
      </c>
      <c r="MB13" s="93">
        <v>25</v>
      </c>
      <c r="MC13" s="93">
        <v>18.850000000000001</v>
      </c>
      <c r="MD13" s="93" t="s">
        <v>1156</v>
      </c>
      <c r="ME13" s="93" t="s">
        <v>1157</v>
      </c>
      <c r="MF13" s="106">
        <v>56.7</v>
      </c>
      <c r="MG13" s="106">
        <v>56.7</v>
      </c>
      <c r="MI13" s="106">
        <v>24.50241200638202</v>
      </c>
      <c r="MJ13" s="106">
        <v>1</v>
      </c>
      <c r="MK13" s="106">
        <v>20.060494858055559</v>
      </c>
      <c r="ML13" s="106">
        <v>5</v>
      </c>
      <c r="MM13" s="106">
        <v>0.94366264999999994</v>
      </c>
      <c r="MN13" s="106">
        <v>52.487227100000013</v>
      </c>
      <c r="MO13" s="106">
        <v>10.76930596643456</v>
      </c>
      <c r="MP13" s="106">
        <v>49.843347199999997</v>
      </c>
      <c r="MQ13" s="106">
        <v>16.748992254908291</v>
      </c>
      <c r="MR13" s="106">
        <v>47.007347300000013</v>
      </c>
      <c r="MS13" s="106">
        <v>21.34043506310082</v>
      </c>
      <c r="MT13" s="106">
        <v>46.214118100000007</v>
      </c>
      <c r="MU13" s="106">
        <v>23.600171047558131</v>
      </c>
      <c r="MV13" s="106">
        <v>44.961735399999988</v>
      </c>
      <c r="MW13" s="106">
        <v>24.636906106247469</v>
      </c>
      <c r="MX13" s="106">
        <v>40.926885499999997</v>
      </c>
      <c r="MY13" s="106">
        <v>25.712795791899659</v>
      </c>
      <c r="MZ13" s="106">
        <v>35.937253411725059</v>
      </c>
      <c r="NA13" s="106">
        <v>40.747474700000012</v>
      </c>
      <c r="NB13" s="106">
        <v>25.67180775553663</v>
      </c>
      <c r="NC13" s="106">
        <v>40</v>
      </c>
      <c r="NG13" s="106">
        <v>461.21310945209052</v>
      </c>
      <c r="NM13" s="103"/>
      <c r="QT13" s="106" t="s">
        <v>1276</v>
      </c>
      <c r="QU13" s="106"/>
      <c r="QV13" s="106">
        <v>55.8</v>
      </c>
      <c r="QW13" s="106"/>
      <c r="QX13" s="106">
        <v>56.7</v>
      </c>
      <c r="QY13" s="106"/>
      <c r="QZ13" s="106"/>
      <c r="RA13" s="106"/>
      <c r="RB13" s="106" t="s">
        <v>1137</v>
      </c>
      <c r="RC13" s="106"/>
      <c r="RD13" s="106" t="s">
        <v>1137</v>
      </c>
      <c r="RE13" s="106">
        <v>62.2</v>
      </c>
      <c r="RF13" s="106">
        <v>6.4000000000000057</v>
      </c>
      <c r="RG13" s="106">
        <v>8.9000000000000057</v>
      </c>
      <c r="RH13" s="106"/>
      <c r="RI13" s="106"/>
      <c r="RJ13" s="106">
        <v>62.2</v>
      </c>
      <c r="RK13" s="106"/>
      <c r="RL13" s="106">
        <v>1.1146953405017921</v>
      </c>
    </row>
    <row r="14" spans="1:480" x14ac:dyDescent="0.3">
      <c r="A14" s="93" t="str">
        <f>Table1[[#This Row],[ALG__REGEL]]&amp;"_"&amp;Table1[[#This Row],[BORING_NUMMER]]&amp;"_"&amp;Table1[[#This Row],[MONSTER_ID]]</f>
        <v>7_B03-K01_2-K44</v>
      </c>
      <c r="B14" s="93">
        <v>7</v>
      </c>
      <c r="C14" s="93" t="b">
        <v>0</v>
      </c>
      <c r="G14" s="93" t="b">
        <v>1</v>
      </c>
      <c r="H14" s="93" t="b">
        <v>0</v>
      </c>
      <c r="I14" s="93" t="b">
        <v>1</v>
      </c>
      <c r="J14" s="93" t="b">
        <v>0</v>
      </c>
      <c r="K14" s="93" t="s">
        <v>1278</v>
      </c>
      <c r="L14" s="93" t="s">
        <v>1279</v>
      </c>
      <c r="N14" s="93" t="s">
        <v>1383</v>
      </c>
      <c r="O14" s="93" t="s">
        <v>1220</v>
      </c>
      <c r="Q14" s="93" t="s">
        <v>1118</v>
      </c>
      <c r="V14" s="93">
        <v>87513.65</v>
      </c>
      <c r="W14" s="93">
        <v>449526.42</v>
      </c>
      <c r="X14" s="93">
        <v>-1.8680000000000001</v>
      </c>
      <c r="Y14" s="93" t="s">
        <v>1221</v>
      </c>
      <c r="Z14" s="93" t="s">
        <v>1147</v>
      </c>
      <c r="AA14" s="98">
        <v>45754</v>
      </c>
      <c r="AB14" s="93" t="s">
        <v>1280</v>
      </c>
      <c r="AD14" s="93" t="s">
        <v>1279</v>
      </c>
      <c r="AF14" s="93" t="s">
        <v>1122</v>
      </c>
      <c r="AG14" s="93">
        <v>-2.4980000000000002</v>
      </c>
      <c r="AI14" s="93" t="s">
        <v>1222</v>
      </c>
      <c r="AK14" s="93" t="s">
        <v>1124</v>
      </c>
      <c r="AL14" s="93">
        <v>-3.0680000000000001</v>
      </c>
      <c r="AM14" s="93">
        <v>-3.468</v>
      </c>
      <c r="AN14" s="93">
        <v>1.2</v>
      </c>
      <c r="AO14" s="93">
        <v>1.6</v>
      </c>
      <c r="AT14" s="93" t="s">
        <v>1279</v>
      </c>
      <c r="AV14" s="103"/>
      <c r="AW14" s="93" t="s">
        <v>1223</v>
      </c>
      <c r="CJ14" s="103"/>
      <c r="EA14" s="93" t="s">
        <v>1224</v>
      </c>
      <c r="EC14" s="93" t="s">
        <v>1225</v>
      </c>
      <c r="ED14" s="93" t="s">
        <v>1279</v>
      </c>
      <c r="EE14" s="93" t="s">
        <v>1129</v>
      </c>
      <c r="EF14" s="98">
        <v>45936</v>
      </c>
      <c r="EG14" s="93" t="s">
        <v>1223</v>
      </c>
      <c r="EI14" s="93">
        <v>-3.39</v>
      </c>
      <c r="EJ14" s="93">
        <v>12.3</v>
      </c>
      <c r="EK14" s="93">
        <v>9.6999999999999993</v>
      </c>
      <c r="EL14" s="93">
        <v>1.7</v>
      </c>
      <c r="EM14" s="93">
        <v>479.7</v>
      </c>
      <c r="EN14" s="93">
        <v>389</v>
      </c>
      <c r="ER14" s="93">
        <v>63.5</v>
      </c>
      <c r="ES14" s="93">
        <v>25</v>
      </c>
      <c r="ET14" s="93">
        <v>25</v>
      </c>
      <c r="EU14" s="93">
        <v>18.54</v>
      </c>
      <c r="EV14" s="93">
        <v>0.5</v>
      </c>
      <c r="EW14" s="93">
        <v>-0.5</v>
      </c>
      <c r="EX14" s="93">
        <v>16</v>
      </c>
      <c r="EY14" s="93">
        <v>42.1</v>
      </c>
      <c r="EZ14" s="93">
        <v>32.700000000000003</v>
      </c>
      <c r="FA14" s="93">
        <v>28.1</v>
      </c>
      <c r="FB14" s="93">
        <v>6.1</v>
      </c>
      <c r="FC14" s="93">
        <v>72.099999999999994</v>
      </c>
      <c r="FD14" s="93">
        <v>0.7</v>
      </c>
      <c r="FE14" s="93">
        <v>19.3</v>
      </c>
      <c r="FF14" s="93">
        <v>7.73</v>
      </c>
      <c r="FG14" s="93">
        <v>50</v>
      </c>
      <c r="FH14" s="93">
        <v>2.4199999999999999E-2</v>
      </c>
      <c r="FI14" s="93">
        <v>0.16800000000000001</v>
      </c>
      <c r="FJ14" s="93">
        <v>9.1000000000000004E-3</v>
      </c>
      <c r="FP14" s="103"/>
      <c r="LG14" s="93" t="s">
        <v>1226</v>
      </c>
      <c r="LH14" s="93" t="s">
        <v>1227</v>
      </c>
      <c r="LI14" s="93" t="s">
        <v>1222</v>
      </c>
      <c r="LJ14" s="93" t="s">
        <v>1279</v>
      </c>
      <c r="LK14" s="93" t="s">
        <v>1155</v>
      </c>
      <c r="LL14" s="103">
        <v>45925</v>
      </c>
      <c r="LM14" s="93" t="s">
        <v>1223</v>
      </c>
      <c r="LO14" s="93">
        <v>-3.36</v>
      </c>
      <c r="LP14" s="93">
        <v>12.3</v>
      </c>
      <c r="LQ14" s="93">
        <v>9.5417322145223231</v>
      </c>
      <c r="LR14" s="93">
        <v>1.2220113187019821</v>
      </c>
      <c r="LS14" s="93">
        <v>680.82191780821915</v>
      </c>
      <c r="LT14" s="93">
        <v>641.80851063829789</v>
      </c>
      <c r="LV14" s="106">
        <v>11.748868002751619</v>
      </c>
      <c r="LW14" s="106">
        <v>10.920548040922119</v>
      </c>
      <c r="LX14" s="93">
        <v>1588.1</v>
      </c>
      <c r="LY14" s="93">
        <v>20</v>
      </c>
      <c r="LZ14" s="93">
        <v>20</v>
      </c>
      <c r="MA14" s="93">
        <v>63</v>
      </c>
      <c r="MB14" s="93">
        <v>25</v>
      </c>
      <c r="MC14" s="93">
        <v>23.36</v>
      </c>
      <c r="MD14" s="93" t="s">
        <v>1156</v>
      </c>
      <c r="ME14" s="93" t="s">
        <v>1157</v>
      </c>
      <c r="MF14" s="106">
        <v>12.3</v>
      </c>
      <c r="MG14" s="106">
        <v>12.3</v>
      </c>
      <c r="MI14" s="106">
        <v>6.49667237262668</v>
      </c>
      <c r="MJ14" s="106">
        <v>1</v>
      </c>
      <c r="MK14" s="106">
        <v>20.018631699444441</v>
      </c>
      <c r="ML14" s="106">
        <v>5</v>
      </c>
      <c r="MM14" s="106">
        <v>1.16878495</v>
      </c>
      <c r="MN14" s="106">
        <v>10.4365129</v>
      </c>
      <c r="MO14" s="106">
        <v>3.5108151495512918</v>
      </c>
      <c r="MP14" s="106">
        <v>9.8787772000000018</v>
      </c>
      <c r="MQ14" s="106">
        <v>6.1523798339831126</v>
      </c>
      <c r="MR14" s="106">
        <v>9.2559344999999986</v>
      </c>
      <c r="MS14" s="106">
        <v>8.3091108308622079</v>
      </c>
      <c r="MT14" s="106">
        <v>9.1185652000000026</v>
      </c>
      <c r="MU14" s="106">
        <v>9.3801711087579456</v>
      </c>
      <c r="MV14" s="106">
        <v>9.0521838999999993</v>
      </c>
      <c r="MW14" s="106">
        <v>9.9584307299699741</v>
      </c>
      <c r="MX14" s="106">
        <v>9.2295784000000012</v>
      </c>
      <c r="MY14" s="106">
        <v>10.36493470918135</v>
      </c>
      <c r="MZ14" s="106">
        <v>33.839442071468433</v>
      </c>
      <c r="NA14" s="106">
        <v>9.4412967000000005</v>
      </c>
      <c r="NB14" s="106">
        <v>10.2136386826836</v>
      </c>
      <c r="NC14" s="106">
        <v>40</v>
      </c>
      <c r="NG14" s="106">
        <v>141.07233915013529</v>
      </c>
      <c r="NM14" s="103"/>
      <c r="QT14" s="106" t="s">
        <v>1276</v>
      </c>
      <c r="QU14" s="106"/>
      <c r="QV14" s="106">
        <v>12.3</v>
      </c>
      <c r="QW14" s="106"/>
      <c r="QX14" s="106">
        <v>12.3</v>
      </c>
      <c r="QY14" s="106"/>
      <c r="QZ14" s="106"/>
      <c r="RA14" s="106"/>
      <c r="RB14" s="106" t="s">
        <v>1137</v>
      </c>
      <c r="RC14" s="106"/>
      <c r="RD14" s="106" t="s">
        <v>1137</v>
      </c>
      <c r="RE14" s="106">
        <v>19.3</v>
      </c>
      <c r="RF14" s="106">
        <v>7</v>
      </c>
      <c r="RG14" s="106">
        <v>9.75</v>
      </c>
      <c r="RH14" s="106"/>
      <c r="RI14" s="106"/>
      <c r="RJ14" s="106">
        <v>19.3</v>
      </c>
      <c r="RK14" s="106"/>
      <c r="RL14" s="106">
        <v>1.569105691056911</v>
      </c>
    </row>
    <row r="15" spans="1:480" x14ac:dyDescent="0.3">
      <c r="A15" s="93" t="str">
        <f>Table1[[#This Row],[ALG__REGEL]]&amp;"_"&amp;Table1[[#This Row],[BORING_NUMMER]]&amp;"_"&amp;Table1[[#This Row],[MONSTER_ID]]</f>
        <v>8_B03-K01_3-197</v>
      </c>
      <c r="B15" s="93">
        <v>8</v>
      </c>
      <c r="C15" s="93" t="b">
        <v>0</v>
      </c>
      <c r="G15" s="93" t="b">
        <v>0</v>
      </c>
      <c r="H15" s="93" t="b">
        <v>0</v>
      </c>
      <c r="I15" s="93" t="b">
        <v>1</v>
      </c>
      <c r="J15" s="93" t="b">
        <v>0</v>
      </c>
      <c r="K15" s="93" t="s">
        <v>1278</v>
      </c>
      <c r="L15" s="93" t="s">
        <v>1279</v>
      </c>
      <c r="N15" s="93" t="s">
        <v>1383</v>
      </c>
      <c r="O15" s="93" t="s">
        <v>1220</v>
      </c>
      <c r="Q15" s="93" t="s">
        <v>1118</v>
      </c>
      <c r="V15" s="93">
        <v>87513.65</v>
      </c>
      <c r="W15" s="93">
        <v>449526.42</v>
      </c>
      <c r="X15" s="93">
        <v>-1.8680000000000001</v>
      </c>
      <c r="Y15" s="93" t="s">
        <v>1221</v>
      </c>
      <c r="Z15" s="93" t="s">
        <v>1147</v>
      </c>
      <c r="AA15" s="98">
        <v>45754</v>
      </c>
      <c r="AB15" s="93" t="s">
        <v>1280</v>
      </c>
      <c r="AD15" s="93" t="s">
        <v>1279</v>
      </c>
      <c r="AF15" s="93" t="s">
        <v>1122</v>
      </c>
      <c r="AG15" s="93">
        <v>-2.4980000000000002</v>
      </c>
      <c r="AI15" s="93" t="s">
        <v>1228</v>
      </c>
      <c r="AK15" s="93" t="s">
        <v>1124</v>
      </c>
      <c r="AL15" s="93">
        <v>-3.468</v>
      </c>
      <c r="AM15" s="93">
        <v>-3.8679999999999999</v>
      </c>
      <c r="AN15" s="93">
        <v>1.6</v>
      </c>
      <c r="AO15" s="93">
        <v>2</v>
      </c>
      <c r="AT15" s="93" t="s">
        <v>1279</v>
      </c>
      <c r="AV15" s="103"/>
      <c r="AW15" s="93" t="s">
        <v>1229</v>
      </c>
      <c r="AX15" s="93" t="s">
        <v>1230</v>
      </c>
      <c r="CJ15" s="103"/>
      <c r="FP15" s="103"/>
      <c r="LG15" s="93" t="s">
        <v>1231</v>
      </c>
      <c r="LH15" s="93" t="s">
        <v>1232</v>
      </c>
      <c r="LI15" s="93" t="s">
        <v>1228</v>
      </c>
      <c r="LJ15" s="93" t="s">
        <v>1279</v>
      </c>
      <c r="LK15" s="93" t="s">
        <v>1155</v>
      </c>
      <c r="LL15" s="103">
        <v>45925</v>
      </c>
      <c r="LM15" s="93" t="s">
        <v>1229</v>
      </c>
      <c r="LN15" s="93" t="s">
        <v>1230</v>
      </c>
      <c r="LO15" s="93">
        <v>-3.76</v>
      </c>
      <c r="LP15" s="93">
        <v>12.7</v>
      </c>
      <c r="LQ15" s="93">
        <v>9.6487305309120863</v>
      </c>
      <c r="LR15" s="93">
        <v>2.0390625131366891</v>
      </c>
      <c r="LS15" s="93">
        <v>373.19444444444451</v>
      </c>
      <c r="LT15" s="93">
        <v>357.55885997521688</v>
      </c>
      <c r="LV15" s="106">
        <v>6.0842482302216991</v>
      </c>
      <c r="LW15" s="106">
        <v>5.4831854724984677</v>
      </c>
      <c r="LX15" s="93">
        <v>1472.5</v>
      </c>
      <c r="LY15" s="93">
        <v>20</v>
      </c>
      <c r="LZ15" s="93">
        <v>20</v>
      </c>
      <c r="MA15" s="93">
        <v>63</v>
      </c>
      <c r="MB15" s="93">
        <v>25</v>
      </c>
      <c r="MC15" s="93">
        <v>22.86</v>
      </c>
      <c r="MD15" s="93" t="s">
        <v>1156</v>
      </c>
      <c r="ME15" s="93" t="s">
        <v>1157</v>
      </c>
      <c r="MF15" s="106">
        <v>12.7</v>
      </c>
      <c r="MG15" s="106">
        <v>12.7</v>
      </c>
      <c r="MI15" s="106">
        <v>8.4835357948773726</v>
      </c>
      <c r="MJ15" s="106">
        <v>1</v>
      </c>
      <c r="MK15" s="106">
        <v>20.01914049444445</v>
      </c>
      <c r="ML15" s="106">
        <v>5</v>
      </c>
      <c r="MM15" s="106">
        <v>1.1439438</v>
      </c>
      <c r="MN15" s="106">
        <v>10.668925</v>
      </c>
      <c r="MO15" s="106">
        <v>3.932723386887373</v>
      </c>
      <c r="MP15" s="106">
        <v>10.364929500000001</v>
      </c>
      <c r="MQ15" s="106">
        <v>5.8255637442057386</v>
      </c>
      <c r="MR15" s="106">
        <v>10.4190687</v>
      </c>
      <c r="MS15" s="106">
        <v>7.3512250037485574</v>
      </c>
      <c r="MT15" s="106">
        <v>10.9556805</v>
      </c>
      <c r="MU15" s="106">
        <v>8.2999860092177524</v>
      </c>
      <c r="MV15" s="106">
        <v>11.874929099999999</v>
      </c>
      <c r="MW15" s="106">
        <v>9.1095565056244041</v>
      </c>
      <c r="MX15" s="106">
        <v>17.881787714285711</v>
      </c>
      <c r="MY15" s="106">
        <v>11.14586057366771</v>
      </c>
      <c r="MZ15" s="106">
        <v>44.956564867030536</v>
      </c>
      <c r="NA15" s="106">
        <v>16.876196400000001</v>
      </c>
      <c r="NB15" s="106">
        <v>10.79215501369513</v>
      </c>
      <c r="NC15" s="106">
        <v>40</v>
      </c>
      <c r="NG15" s="106">
        <v>126.5148037013366</v>
      </c>
      <c r="NM15" s="103"/>
      <c r="QT15" s="106" t="s">
        <v>1276</v>
      </c>
      <c r="QU15" s="106"/>
      <c r="QV15" s="106">
        <v>12.7</v>
      </c>
      <c r="QW15" s="106"/>
      <c r="QX15" s="106">
        <v>12.7</v>
      </c>
      <c r="QY15" s="106"/>
      <c r="QZ15" s="106"/>
      <c r="RA15" s="106"/>
      <c r="RB15" s="106" t="s">
        <v>1137</v>
      </c>
      <c r="RC15" s="106"/>
      <c r="RD15" s="106" t="s">
        <v>1137</v>
      </c>
      <c r="RE15" s="106"/>
      <c r="RF15" s="106"/>
      <c r="RG15" s="106">
        <v>9.75</v>
      </c>
      <c r="RH15" s="106">
        <v>22.45</v>
      </c>
      <c r="RI15" s="106"/>
      <c r="RJ15" s="106">
        <v>22.45</v>
      </c>
      <c r="RK15" s="106"/>
      <c r="RL15" s="106">
        <v>1.7677165354330711</v>
      </c>
    </row>
    <row r="16" spans="1:480" x14ac:dyDescent="0.3">
      <c r="A16" s="93" t="str">
        <f>Table1[[#This Row],[ALG__REGEL]]&amp;"_"&amp;Table1[[#This Row],[BORING_NUMMER]]&amp;"_"&amp;Table1[[#This Row],[MONSTER_ID]]</f>
        <v>9_B03-K01_4-954</v>
      </c>
      <c r="B16" s="93">
        <v>9</v>
      </c>
      <c r="C16" s="93" t="b">
        <v>0</v>
      </c>
      <c r="G16" s="93" t="b">
        <v>1</v>
      </c>
      <c r="H16" s="93" t="b">
        <v>0</v>
      </c>
      <c r="I16" s="93" t="b">
        <v>1</v>
      </c>
      <c r="J16" s="93" t="b">
        <v>0</v>
      </c>
      <c r="K16" s="93" t="s">
        <v>1278</v>
      </c>
      <c r="L16" s="93" t="s">
        <v>1279</v>
      </c>
      <c r="N16" s="93" t="s">
        <v>1383</v>
      </c>
      <c r="O16" s="93" t="s">
        <v>1220</v>
      </c>
      <c r="Q16" s="93" t="s">
        <v>1118</v>
      </c>
      <c r="V16" s="93">
        <v>87513.65</v>
      </c>
      <c r="W16" s="93">
        <v>449526.42</v>
      </c>
      <c r="X16" s="93">
        <v>-1.8680000000000001</v>
      </c>
      <c r="Y16" s="93" t="s">
        <v>1221</v>
      </c>
      <c r="Z16" s="93" t="s">
        <v>1147</v>
      </c>
      <c r="AA16" s="98">
        <v>45754</v>
      </c>
      <c r="AB16" s="93" t="s">
        <v>1280</v>
      </c>
      <c r="AD16" s="93" t="s">
        <v>1279</v>
      </c>
      <c r="AF16" s="93" t="s">
        <v>1122</v>
      </c>
      <c r="AG16" s="93">
        <v>-2.4980000000000002</v>
      </c>
      <c r="AI16" s="93" t="s">
        <v>1233</v>
      </c>
      <c r="AK16" s="93" t="s">
        <v>1124</v>
      </c>
      <c r="AL16" s="93">
        <v>-3.8679999999999999</v>
      </c>
      <c r="AM16" s="93">
        <v>-4.2679999999999998</v>
      </c>
      <c r="AN16" s="93">
        <v>2</v>
      </c>
      <c r="AO16" s="93">
        <v>2.4</v>
      </c>
      <c r="AT16" s="93" t="s">
        <v>1279</v>
      </c>
      <c r="AW16" s="93" t="s">
        <v>1229</v>
      </c>
      <c r="AX16" s="93" t="s">
        <v>1230</v>
      </c>
      <c r="CJ16" s="103"/>
      <c r="EA16" s="93" t="s">
        <v>1234</v>
      </c>
      <c r="EC16" s="93" t="s">
        <v>1235</v>
      </c>
      <c r="ED16" s="93" t="s">
        <v>1279</v>
      </c>
      <c r="EE16" s="93" t="s">
        <v>1129</v>
      </c>
      <c r="EF16" s="98">
        <v>45936</v>
      </c>
      <c r="EG16" s="93" t="s">
        <v>1229</v>
      </c>
      <c r="EH16" s="93" t="s">
        <v>1230</v>
      </c>
      <c r="EI16" s="93">
        <v>-4.1900000000000004</v>
      </c>
      <c r="EJ16" s="93">
        <v>13</v>
      </c>
      <c r="EK16" s="93">
        <v>9.8000000000000007</v>
      </c>
      <c r="EL16" s="93">
        <v>1.2</v>
      </c>
      <c r="EM16" s="93">
        <v>713.5</v>
      </c>
      <c r="EN16" s="93">
        <v>557.70000000000005</v>
      </c>
      <c r="ER16" s="93">
        <v>63.5</v>
      </c>
      <c r="ES16" s="93">
        <v>25</v>
      </c>
      <c r="ET16" s="93">
        <v>25</v>
      </c>
      <c r="EU16" s="93">
        <v>17.170000000000002</v>
      </c>
      <c r="EV16" s="93">
        <v>0.5</v>
      </c>
      <c r="EW16" s="93">
        <v>-0.5</v>
      </c>
      <c r="EX16" s="93">
        <v>16</v>
      </c>
      <c r="EY16" s="93">
        <v>49.4</v>
      </c>
      <c r="EZ16" s="93">
        <v>40</v>
      </c>
      <c r="FA16" s="93">
        <v>33.200000000000003</v>
      </c>
      <c r="FB16" s="93">
        <v>11.3</v>
      </c>
      <c r="FC16" s="93">
        <v>80.5</v>
      </c>
      <c r="FD16" s="93">
        <v>-0.1</v>
      </c>
      <c r="FE16" s="93">
        <v>25.5</v>
      </c>
      <c r="FF16" s="93">
        <v>2.63</v>
      </c>
      <c r="FG16" s="93">
        <v>45</v>
      </c>
      <c r="FH16" s="93">
        <v>4.02E-2</v>
      </c>
      <c r="FI16" s="93">
        <v>0.30399999999999999</v>
      </c>
      <c r="FJ16" s="93">
        <v>1.4E-2</v>
      </c>
      <c r="FP16" s="103"/>
      <c r="LG16" s="93" t="s">
        <v>1236</v>
      </c>
      <c r="LH16" s="93" t="s">
        <v>1237</v>
      </c>
      <c r="LI16" s="93" t="s">
        <v>1233</v>
      </c>
      <c r="LJ16" s="93" t="s">
        <v>1279</v>
      </c>
      <c r="LK16" s="93" t="s">
        <v>1155</v>
      </c>
      <c r="LL16" s="103">
        <v>45929</v>
      </c>
      <c r="LM16" s="93" t="s">
        <v>1229</v>
      </c>
      <c r="LN16" s="93" t="s">
        <v>1230</v>
      </c>
      <c r="LO16" s="93">
        <v>-4.16</v>
      </c>
      <c r="LP16" s="93">
        <v>13</v>
      </c>
      <c r="LQ16" s="93">
        <v>8.8959659050170519</v>
      </c>
      <c r="LR16" s="93">
        <v>1.1127252345658769</v>
      </c>
      <c r="LS16" s="93">
        <v>699.47552447552448</v>
      </c>
      <c r="LT16" s="93">
        <v>717.68953068592043</v>
      </c>
      <c r="LV16" s="106">
        <v>11.822270545132779</v>
      </c>
      <c r="LW16" s="106">
        <v>10.291201173259291</v>
      </c>
      <c r="LX16" s="93">
        <v>1454.4</v>
      </c>
      <c r="LY16" s="93">
        <v>20</v>
      </c>
      <c r="LZ16" s="93">
        <v>20</v>
      </c>
      <c r="MA16" s="93">
        <v>63</v>
      </c>
      <c r="MB16" s="93">
        <v>25</v>
      </c>
      <c r="MC16" s="93">
        <v>22</v>
      </c>
      <c r="MD16" s="93" t="s">
        <v>1156</v>
      </c>
      <c r="ME16" s="93" t="s">
        <v>1157</v>
      </c>
      <c r="MF16" s="106">
        <v>13</v>
      </c>
      <c r="MG16" s="106">
        <v>13</v>
      </c>
      <c r="MI16" s="106">
        <v>11.94013625411683</v>
      </c>
      <c r="MJ16" s="106">
        <v>1</v>
      </c>
      <c r="MK16" s="106">
        <v>20.038752026666661</v>
      </c>
      <c r="ML16" s="106">
        <v>5</v>
      </c>
      <c r="MM16" s="106">
        <v>1.1007412000000001</v>
      </c>
      <c r="MN16" s="106">
        <v>11.518907499999999</v>
      </c>
      <c r="MO16" s="106">
        <v>2.5756617560115331</v>
      </c>
      <c r="MP16" s="106">
        <v>10.8408772</v>
      </c>
      <c r="MQ16" s="106">
        <v>4.3218880652456004</v>
      </c>
      <c r="MR16" s="106">
        <v>10.8134987</v>
      </c>
      <c r="MS16" s="106">
        <v>5.7727629327168408</v>
      </c>
      <c r="MT16" s="106">
        <v>10.604822499999999</v>
      </c>
      <c r="MU16" s="106">
        <v>6.5232084944909454</v>
      </c>
      <c r="MV16" s="106">
        <v>10.599748</v>
      </c>
      <c r="MW16" s="106">
        <v>6.9953640381316191</v>
      </c>
      <c r="MX16" s="106">
        <v>9.0850120000000008</v>
      </c>
      <c r="MY16" s="106">
        <v>7.626928373314148</v>
      </c>
      <c r="MZ16" s="106">
        <v>44.10781271298324</v>
      </c>
      <c r="NA16" s="106">
        <v>9.3597299000000014</v>
      </c>
      <c r="NB16" s="106">
        <v>7.4827824574278186</v>
      </c>
      <c r="NC16" s="106">
        <v>40</v>
      </c>
      <c r="NG16" s="106">
        <v>99.603125733021429</v>
      </c>
      <c r="NM16" s="103"/>
      <c r="QT16" s="106" t="s">
        <v>1276</v>
      </c>
      <c r="QU16" s="106"/>
      <c r="QV16" s="106">
        <v>13</v>
      </c>
      <c r="QW16" s="106"/>
      <c r="QX16" s="106">
        <v>13</v>
      </c>
      <c r="QY16" s="106"/>
      <c r="QZ16" s="106"/>
      <c r="RA16" s="106"/>
      <c r="RB16" s="106" t="s">
        <v>1137</v>
      </c>
      <c r="RC16" s="106"/>
      <c r="RD16" s="106" t="s">
        <v>1137</v>
      </c>
      <c r="RE16" s="106">
        <v>25.5</v>
      </c>
      <c r="RF16" s="106">
        <v>12.5</v>
      </c>
      <c r="RG16" s="106">
        <v>9.75</v>
      </c>
      <c r="RH16" s="106"/>
      <c r="RI16" s="106"/>
      <c r="RJ16" s="106">
        <v>25.5</v>
      </c>
      <c r="RK16" s="106"/>
      <c r="RL16" s="106">
        <v>1.961538461538461</v>
      </c>
    </row>
    <row r="17" spans="1:480" x14ac:dyDescent="0.3">
      <c r="A17" s="93" t="str">
        <f>Table1[[#This Row],[ALG__REGEL]]&amp;"_"&amp;Table1[[#This Row],[BORING_NUMMER]]&amp;"_"&amp;Table1[[#This Row],[MONSTER_ID]]</f>
        <v>10_B03-K01_5-1001</v>
      </c>
      <c r="B17" s="93">
        <v>10</v>
      </c>
      <c r="C17" s="93" t="b">
        <v>0</v>
      </c>
      <c r="G17" s="93" t="b">
        <v>0</v>
      </c>
      <c r="H17" s="93" t="b">
        <v>0</v>
      </c>
      <c r="I17" s="93" t="b">
        <v>1</v>
      </c>
      <c r="J17" s="93" t="b">
        <v>0</v>
      </c>
      <c r="K17" s="93" t="s">
        <v>1278</v>
      </c>
      <c r="L17" s="93" t="s">
        <v>1279</v>
      </c>
      <c r="N17" s="93" t="s">
        <v>1383</v>
      </c>
      <c r="O17" s="93" t="s">
        <v>1220</v>
      </c>
      <c r="Q17" s="93" t="s">
        <v>1118</v>
      </c>
      <c r="V17" s="93">
        <v>87513.65</v>
      </c>
      <c r="W17" s="93">
        <v>449526.42</v>
      </c>
      <c r="X17" s="93">
        <v>-1.8680000000000001</v>
      </c>
      <c r="Y17" s="93" t="s">
        <v>1221</v>
      </c>
      <c r="Z17" s="93" t="s">
        <v>1147</v>
      </c>
      <c r="AA17" s="98">
        <v>45754</v>
      </c>
      <c r="AB17" s="93" t="s">
        <v>1280</v>
      </c>
      <c r="AD17" s="93" t="s">
        <v>1279</v>
      </c>
      <c r="AF17" s="93" t="s">
        <v>1122</v>
      </c>
      <c r="AG17" s="93">
        <v>-2.4980000000000002</v>
      </c>
      <c r="AI17" s="93" t="s">
        <v>1238</v>
      </c>
      <c r="AK17" s="93" t="s">
        <v>1124</v>
      </c>
      <c r="AL17" s="93">
        <v>-4.2679999999999998</v>
      </c>
      <c r="AM17" s="93">
        <v>-4.6680000000000001</v>
      </c>
      <c r="AN17" s="93">
        <v>2.4</v>
      </c>
      <c r="AO17" s="93">
        <v>2.8</v>
      </c>
      <c r="AT17" s="93" t="s">
        <v>1279</v>
      </c>
      <c r="AV17" s="103"/>
      <c r="AW17" s="93" t="s">
        <v>1239</v>
      </c>
      <c r="AX17" s="93" t="s">
        <v>1230</v>
      </c>
      <c r="CJ17" s="103"/>
      <c r="FP17" s="103"/>
      <c r="LG17" s="93" t="s">
        <v>1240</v>
      </c>
      <c r="LH17" s="93" t="s">
        <v>1241</v>
      </c>
      <c r="LI17" s="93" t="s">
        <v>1238</v>
      </c>
      <c r="LJ17" s="93" t="s">
        <v>1279</v>
      </c>
      <c r="LK17" s="93" t="s">
        <v>1155</v>
      </c>
      <c r="LL17" s="103">
        <v>45929</v>
      </c>
      <c r="LM17" s="93" t="s">
        <v>1239</v>
      </c>
      <c r="LN17" s="93" t="s">
        <v>1230</v>
      </c>
      <c r="LO17" s="93">
        <v>-4.5599999999999996</v>
      </c>
      <c r="LP17" s="93">
        <v>13.5</v>
      </c>
      <c r="LQ17" s="93">
        <v>9.9445494056367227</v>
      </c>
      <c r="LR17" s="93">
        <v>1.8155047422376469</v>
      </c>
      <c r="LS17" s="93">
        <v>447.75672981056817</v>
      </c>
      <c r="LT17" s="93">
        <v>461.29032258064518</v>
      </c>
      <c r="LV17" s="106">
        <v>8.8672510091714631</v>
      </c>
      <c r="LW17" s="106">
        <v>7.6238550281033444</v>
      </c>
      <c r="LX17" s="93">
        <v>1826.1</v>
      </c>
      <c r="LY17" s="93">
        <v>20</v>
      </c>
      <c r="LZ17" s="93">
        <v>20</v>
      </c>
      <c r="MA17" s="93">
        <v>63</v>
      </c>
      <c r="MB17" s="93">
        <v>25</v>
      </c>
      <c r="MC17" s="93">
        <v>21.84</v>
      </c>
      <c r="MD17" s="93" t="s">
        <v>1156</v>
      </c>
      <c r="ME17" s="93" t="s">
        <v>1157</v>
      </c>
      <c r="MF17" s="106">
        <v>13.5</v>
      </c>
      <c r="MG17" s="106">
        <v>13.5</v>
      </c>
      <c r="MI17" s="106">
        <v>12.600215071450179</v>
      </c>
      <c r="MJ17" s="106">
        <v>1</v>
      </c>
      <c r="MK17" s="106">
        <v>20.02203633277778</v>
      </c>
      <c r="ML17" s="106">
        <v>5</v>
      </c>
      <c r="MM17" s="106">
        <v>1.0924845000000001</v>
      </c>
      <c r="MN17" s="106">
        <v>11.4779325</v>
      </c>
      <c r="MO17" s="106">
        <v>2.7976951453726429</v>
      </c>
      <c r="MP17" s="106">
        <v>10.926156000000001</v>
      </c>
      <c r="MQ17" s="106">
        <v>4.4699610162244072</v>
      </c>
      <c r="MR17" s="106">
        <v>10.7051473</v>
      </c>
      <c r="MS17" s="106">
        <v>5.8516490872568934</v>
      </c>
      <c r="MT17" s="106">
        <v>10.444193500000001</v>
      </c>
      <c r="MU17" s="106">
        <v>6.6563500334087706</v>
      </c>
      <c r="MV17" s="106">
        <v>10.5731357</v>
      </c>
      <c r="MW17" s="106">
        <v>7.1222890893405548</v>
      </c>
      <c r="MX17" s="106">
        <v>11.349517199999999</v>
      </c>
      <c r="MY17" s="106">
        <v>8.4258224397713768</v>
      </c>
      <c r="MZ17" s="106">
        <v>44.970434795905483</v>
      </c>
      <c r="NA17" s="106">
        <v>10.952088099999999</v>
      </c>
      <c r="NB17" s="106">
        <v>8.2432130548396962</v>
      </c>
      <c r="NC17" s="106">
        <v>40</v>
      </c>
      <c r="NG17" s="106">
        <v>97.024971988667716</v>
      </c>
      <c r="NM17" s="103"/>
      <c r="QT17" s="106" t="s">
        <v>1276</v>
      </c>
      <c r="QU17" s="106"/>
      <c r="QV17" s="106">
        <v>13.5</v>
      </c>
      <c r="QW17" s="106"/>
      <c r="QX17" s="106">
        <v>13.5</v>
      </c>
      <c r="QY17" s="106"/>
      <c r="QZ17" s="106"/>
      <c r="RA17" s="106"/>
      <c r="RB17" s="106" t="s">
        <v>1137</v>
      </c>
      <c r="RC17" s="106"/>
      <c r="RD17" s="106" t="s">
        <v>1137</v>
      </c>
      <c r="RE17" s="106"/>
      <c r="RF17" s="106"/>
      <c r="RG17" s="106">
        <v>9.75</v>
      </c>
      <c r="RH17" s="106">
        <v>23.25</v>
      </c>
      <c r="RI17" s="106"/>
      <c r="RJ17" s="106">
        <v>23.25</v>
      </c>
      <c r="RK17" s="106"/>
      <c r="RL17" s="106">
        <v>1.7222222222222221</v>
      </c>
    </row>
    <row r="18" spans="1:480" x14ac:dyDescent="0.3">
      <c r="A18" s="93" t="str">
        <f>Table1[[#This Row],[ALG__REGEL]]&amp;"_"&amp;Table1[[#This Row],[BORING_NUMMER]]&amp;"_"&amp;Table1[[#This Row],[MONSTER_ID]]</f>
        <v>11_B03-K02_1-E 201</v>
      </c>
      <c r="B18" s="93">
        <v>11</v>
      </c>
      <c r="C18" s="93" t="b">
        <v>0</v>
      </c>
      <c r="G18" s="93" t="b">
        <v>0</v>
      </c>
      <c r="H18" s="93" t="b">
        <v>0</v>
      </c>
      <c r="I18" s="93" t="b">
        <v>1</v>
      </c>
      <c r="J18" s="93" t="b">
        <v>0</v>
      </c>
      <c r="K18" s="93" t="s">
        <v>1278</v>
      </c>
      <c r="L18" s="93" t="s">
        <v>1279</v>
      </c>
      <c r="N18" s="93" t="s">
        <v>1383</v>
      </c>
      <c r="O18" s="93" t="s">
        <v>1220</v>
      </c>
      <c r="Q18" s="93" t="s">
        <v>1118</v>
      </c>
      <c r="V18" s="93">
        <v>87520.09</v>
      </c>
      <c r="W18" s="93">
        <v>449519.78</v>
      </c>
      <c r="X18" s="93">
        <v>-1.9039999999999999</v>
      </c>
      <c r="Y18" s="93" t="s">
        <v>1243</v>
      </c>
      <c r="Z18" s="93" t="s">
        <v>1147</v>
      </c>
      <c r="AA18" s="98">
        <v>45754</v>
      </c>
      <c r="AB18" s="93" t="s">
        <v>1280</v>
      </c>
      <c r="AD18" s="93" t="s">
        <v>1279</v>
      </c>
      <c r="AF18" s="93" t="s">
        <v>1122</v>
      </c>
      <c r="AG18" s="93">
        <v>-2.504</v>
      </c>
      <c r="AI18" s="93" t="s">
        <v>1244</v>
      </c>
      <c r="AK18" s="93" t="s">
        <v>1124</v>
      </c>
      <c r="AL18" s="93">
        <v>-2.7040000000000002</v>
      </c>
      <c r="AM18" s="93">
        <v>-3.1040000000000001</v>
      </c>
      <c r="AN18" s="93">
        <v>0.8</v>
      </c>
      <c r="AO18" s="93">
        <v>1.2</v>
      </c>
      <c r="AT18" s="93" t="s">
        <v>1279</v>
      </c>
      <c r="AW18" s="93" t="s">
        <v>1245</v>
      </c>
      <c r="AX18" s="93" t="s">
        <v>1246</v>
      </c>
      <c r="CJ18" s="103"/>
      <c r="FP18" s="103"/>
      <c r="LG18" s="93" t="s">
        <v>1247</v>
      </c>
      <c r="LH18" s="93" t="s">
        <v>1248</v>
      </c>
      <c r="LI18" s="93" t="s">
        <v>1244</v>
      </c>
      <c r="LJ18" s="93" t="s">
        <v>1279</v>
      </c>
      <c r="LK18" s="93" t="s">
        <v>1155</v>
      </c>
      <c r="LL18" s="103">
        <v>45932</v>
      </c>
      <c r="LM18" s="93" t="s">
        <v>1245</v>
      </c>
      <c r="LN18" s="93" t="s">
        <v>1246</v>
      </c>
      <c r="LO18" s="93">
        <v>-2.99</v>
      </c>
      <c r="LP18" s="93">
        <v>5.9</v>
      </c>
      <c r="LQ18" s="93">
        <v>10.2730971771394</v>
      </c>
      <c r="LR18" s="93">
        <v>2.247240007499244</v>
      </c>
      <c r="LS18" s="93">
        <v>357.14285714285711</v>
      </c>
      <c r="LT18" s="93">
        <v>323.47525891829679</v>
      </c>
      <c r="LV18" s="106">
        <v>6.5494446269134006</v>
      </c>
      <c r="LW18" s="106">
        <v>6.0007633725185228</v>
      </c>
      <c r="LX18" s="93">
        <v>1729.4</v>
      </c>
      <c r="LY18" s="93">
        <v>20</v>
      </c>
      <c r="LZ18" s="93">
        <v>20</v>
      </c>
      <c r="MA18" s="93">
        <v>63</v>
      </c>
      <c r="MB18" s="93">
        <v>25</v>
      </c>
      <c r="MC18" s="93">
        <v>23.18</v>
      </c>
      <c r="MD18" s="93" t="s">
        <v>1156</v>
      </c>
      <c r="ME18" s="93" t="s">
        <v>1157</v>
      </c>
      <c r="MF18" s="106">
        <v>5.9</v>
      </c>
      <c r="MG18" s="106">
        <v>5.9</v>
      </c>
      <c r="MI18" s="106">
        <v>7.2674344440084724</v>
      </c>
      <c r="MJ18" s="106">
        <v>1</v>
      </c>
      <c r="MK18" s="106">
        <v>20.01765664611111</v>
      </c>
      <c r="ML18" s="106">
        <v>5</v>
      </c>
      <c r="MM18" s="106">
        <v>1.1591520500000001</v>
      </c>
      <c r="MN18" s="106">
        <v>4.7748505999999997</v>
      </c>
      <c r="MO18" s="106">
        <v>2.5525164128950029</v>
      </c>
      <c r="MP18" s="106">
        <v>4.7869672999999997</v>
      </c>
      <c r="MQ18" s="106">
        <v>3.8360326377119072</v>
      </c>
      <c r="MR18" s="106">
        <v>5.4027840999999999</v>
      </c>
      <c r="MS18" s="106">
        <v>5.2085534182195534</v>
      </c>
      <c r="MT18" s="106">
        <v>6.4156126000000002</v>
      </c>
      <c r="MU18" s="106">
        <v>6.2001329644235774</v>
      </c>
      <c r="MV18" s="106">
        <v>7.3924466000000013</v>
      </c>
      <c r="MW18" s="106">
        <v>6.9529696956359901</v>
      </c>
      <c r="MX18" s="106">
        <v>11.4816669</v>
      </c>
      <c r="MY18" s="106">
        <v>8.3141616806100433</v>
      </c>
      <c r="MZ18" s="106">
        <v>44.086142380940188</v>
      </c>
      <c r="NA18" s="106">
        <v>10.814178800000001</v>
      </c>
      <c r="NB18" s="106">
        <v>8.2553173715530725</v>
      </c>
      <c r="NC18" s="106">
        <v>40</v>
      </c>
      <c r="NG18" s="106">
        <v>71.263306912457153</v>
      </c>
      <c r="NM18" s="103"/>
      <c r="QT18" s="106" t="s">
        <v>1276</v>
      </c>
      <c r="QU18" s="106"/>
      <c r="QV18" s="106">
        <v>5.9</v>
      </c>
      <c r="QW18" s="106"/>
      <c r="QX18" s="106">
        <v>5.9</v>
      </c>
      <c r="QY18" s="106"/>
      <c r="QZ18" s="106"/>
      <c r="RA18" s="106"/>
      <c r="RB18" s="106" t="s">
        <v>1137</v>
      </c>
      <c r="RC18" s="106"/>
      <c r="RD18" s="106" t="s">
        <v>1137</v>
      </c>
      <c r="RE18" s="106"/>
      <c r="RF18" s="106"/>
      <c r="RG18" s="106">
        <v>12.2</v>
      </c>
      <c r="RH18" s="106">
        <v>18.100000000000001</v>
      </c>
      <c r="RI18" s="106">
        <v>30</v>
      </c>
      <c r="RJ18" s="106">
        <v>30</v>
      </c>
      <c r="RK18" s="106"/>
      <c r="RL18" s="106">
        <v>5.0847457627118642</v>
      </c>
    </row>
    <row r="19" spans="1:480" x14ac:dyDescent="0.3">
      <c r="A19" s="93" t="str">
        <f>Table1[[#This Row],[ALG__REGEL]]&amp;"_"&amp;Table1[[#This Row],[BORING_NUMMER]]&amp;"_"&amp;Table1[[#This Row],[MONSTER_ID]]</f>
        <v>12_B03-K02_2-507</v>
      </c>
      <c r="B19" s="93">
        <v>12</v>
      </c>
      <c r="C19" s="93" t="b">
        <v>0</v>
      </c>
      <c r="G19" s="93" t="b">
        <v>0</v>
      </c>
      <c r="H19" s="93" t="b">
        <v>0</v>
      </c>
      <c r="I19" s="93" t="b">
        <v>1</v>
      </c>
      <c r="J19" s="93" t="b">
        <v>0</v>
      </c>
      <c r="K19" s="93" t="s">
        <v>1278</v>
      </c>
      <c r="L19" s="93" t="s">
        <v>1279</v>
      </c>
      <c r="N19" s="93" t="s">
        <v>1383</v>
      </c>
      <c r="O19" s="93" t="s">
        <v>1220</v>
      </c>
      <c r="Q19" s="93" t="s">
        <v>1118</v>
      </c>
      <c r="V19" s="93">
        <v>87520.09</v>
      </c>
      <c r="W19" s="93">
        <v>449519.78</v>
      </c>
      <c r="X19" s="93">
        <v>-1.9039999999999999</v>
      </c>
      <c r="Y19" s="93" t="s">
        <v>1243</v>
      </c>
      <c r="Z19" s="93" t="s">
        <v>1147</v>
      </c>
      <c r="AA19" s="98">
        <v>45754</v>
      </c>
      <c r="AB19" s="93" t="s">
        <v>1280</v>
      </c>
      <c r="AD19" s="93" t="s">
        <v>1279</v>
      </c>
      <c r="AF19" s="93" t="s">
        <v>1122</v>
      </c>
      <c r="AG19" s="93">
        <v>-2.504</v>
      </c>
      <c r="AI19" s="93" t="s">
        <v>1249</v>
      </c>
      <c r="AK19" s="93" t="s">
        <v>1124</v>
      </c>
      <c r="AL19" s="93">
        <v>-3.1040000000000001</v>
      </c>
      <c r="AM19" s="93">
        <v>-3.504</v>
      </c>
      <c r="AN19" s="93">
        <v>1.2</v>
      </c>
      <c r="AO19" s="93">
        <v>1.6</v>
      </c>
      <c r="AT19" s="93" t="s">
        <v>1279</v>
      </c>
      <c r="AV19" s="103"/>
      <c r="AW19" s="93" t="s">
        <v>1195</v>
      </c>
      <c r="CJ19" s="103"/>
      <c r="FP19" s="103"/>
      <c r="LG19" s="93" t="s">
        <v>1250</v>
      </c>
      <c r="LH19" s="93" t="s">
        <v>1251</v>
      </c>
      <c r="LI19" s="93" t="s">
        <v>1249</v>
      </c>
      <c r="LJ19" s="93" t="s">
        <v>1279</v>
      </c>
      <c r="LK19" s="93" t="s">
        <v>1155</v>
      </c>
      <c r="LL19" s="103">
        <v>45938</v>
      </c>
      <c r="LM19" s="93" t="s">
        <v>1195</v>
      </c>
      <c r="LO19" s="93">
        <v>-3.39</v>
      </c>
      <c r="LP19" s="93">
        <v>6.1</v>
      </c>
      <c r="LQ19" s="93">
        <v>9.1087037340743429</v>
      </c>
      <c r="LR19" s="93">
        <v>1.292699873371157</v>
      </c>
      <c r="LS19" s="93">
        <v>604.62633451957311</v>
      </c>
      <c r="LT19" s="93">
        <v>582.14616096207226</v>
      </c>
      <c r="LV19" s="106">
        <v>9.9559049952298135</v>
      </c>
      <c r="LW19" s="106">
        <v>9.6488986254534836</v>
      </c>
      <c r="LX19" s="93">
        <v>1443.7</v>
      </c>
      <c r="LY19" s="93">
        <v>20</v>
      </c>
      <c r="LZ19" s="93">
        <v>20</v>
      </c>
      <c r="MA19" s="93">
        <v>63</v>
      </c>
      <c r="MB19" s="93">
        <v>25</v>
      </c>
      <c r="MC19" s="93">
        <v>24.25</v>
      </c>
      <c r="MD19" s="93" t="s">
        <v>1156</v>
      </c>
      <c r="ME19" s="93" t="s">
        <v>1157</v>
      </c>
      <c r="MF19" s="106">
        <v>6.1</v>
      </c>
      <c r="MG19" s="106">
        <v>6.1</v>
      </c>
      <c r="MI19" s="106">
        <v>2.8019587079996522</v>
      </c>
      <c r="MJ19" s="106">
        <v>1</v>
      </c>
      <c r="MK19" s="106">
        <v>20.02104910972222</v>
      </c>
      <c r="ML19" s="106">
        <v>5</v>
      </c>
      <c r="MM19" s="106">
        <v>1.2149725</v>
      </c>
      <c r="MN19" s="106">
        <v>3.9085505</v>
      </c>
      <c r="MO19" s="106">
        <v>2.927287996940986</v>
      </c>
      <c r="MP19" s="106">
        <v>3.3134602000000002</v>
      </c>
      <c r="MQ19" s="106">
        <v>4.5465875847462964</v>
      </c>
      <c r="MR19" s="106">
        <v>4.0216322000000009</v>
      </c>
      <c r="MS19" s="106">
        <v>6.1071566413015574</v>
      </c>
      <c r="MT19" s="106">
        <v>5.5988682999999986</v>
      </c>
      <c r="MU19" s="106">
        <v>7.4836414661937978</v>
      </c>
      <c r="MV19" s="106">
        <v>7.1670234000000006</v>
      </c>
      <c r="MW19" s="106">
        <v>8.4557008745959035</v>
      </c>
      <c r="MX19" s="106">
        <v>11.594995300000001</v>
      </c>
      <c r="MY19" s="106">
        <v>9.9095028747831542</v>
      </c>
      <c r="MZ19" s="106">
        <v>36.882392233392693</v>
      </c>
      <c r="NA19" s="106">
        <v>12.219628500000001</v>
      </c>
      <c r="NB19" s="106">
        <v>9.8626195095907487</v>
      </c>
      <c r="NC19" s="106">
        <v>40</v>
      </c>
      <c r="NG19" s="106">
        <v>80.758755360767992</v>
      </c>
      <c r="NM19" s="103"/>
      <c r="QT19" s="106" t="s">
        <v>1276</v>
      </c>
      <c r="QU19" s="106"/>
      <c r="QV19" s="106">
        <v>6.1</v>
      </c>
      <c r="QW19" s="106"/>
      <c r="QX19" s="106">
        <v>6.1</v>
      </c>
      <c r="QY19" s="106"/>
      <c r="QZ19" s="106"/>
      <c r="RA19" s="106"/>
      <c r="RB19" s="106" t="s">
        <v>1137</v>
      </c>
      <c r="RC19" s="106"/>
      <c r="RD19" s="106" t="s">
        <v>1137</v>
      </c>
      <c r="RE19" s="106"/>
      <c r="RF19" s="106"/>
      <c r="RG19" s="106">
        <v>12.2</v>
      </c>
      <c r="RH19" s="106">
        <v>18.3</v>
      </c>
      <c r="RI19" s="106">
        <v>30</v>
      </c>
      <c r="RJ19" s="106">
        <v>30</v>
      </c>
      <c r="RK19" s="106"/>
      <c r="RL19" s="106">
        <v>4.918032786885246</v>
      </c>
    </row>
    <row r="20" spans="1:480" x14ac:dyDescent="0.3">
      <c r="A20" s="93" t="str">
        <f>Table1[[#This Row],[ALG__REGEL]]&amp;"_"&amp;Table1[[#This Row],[BORING_NUMMER]]&amp;"_"&amp;Table1[[#This Row],[MONSTER_ID]]</f>
        <v>13_B03-K02_3-581</v>
      </c>
      <c r="B20" s="93">
        <v>13</v>
      </c>
      <c r="C20" s="93" t="b">
        <v>0</v>
      </c>
      <c r="G20" s="93" t="b">
        <v>0</v>
      </c>
      <c r="H20" s="93" t="b">
        <v>0</v>
      </c>
      <c r="I20" s="93" t="b">
        <v>1</v>
      </c>
      <c r="J20" s="93" t="b">
        <v>0</v>
      </c>
      <c r="K20" s="93" t="s">
        <v>1278</v>
      </c>
      <c r="L20" s="93" t="s">
        <v>1279</v>
      </c>
      <c r="N20" s="93" t="s">
        <v>1383</v>
      </c>
      <c r="O20" s="93" t="s">
        <v>1220</v>
      </c>
      <c r="Q20" s="93" t="s">
        <v>1118</v>
      </c>
      <c r="V20" s="93">
        <v>87520.09</v>
      </c>
      <c r="W20" s="93">
        <v>449519.78</v>
      </c>
      <c r="X20" s="93">
        <v>-1.9039999999999999</v>
      </c>
      <c r="Y20" s="93" t="s">
        <v>1243</v>
      </c>
      <c r="Z20" s="93" t="s">
        <v>1147</v>
      </c>
      <c r="AA20" s="98">
        <v>45754</v>
      </c>
      <c r="AB20" s="93" t="s">
        <v>1280</v>
      </c>
      <c r="AD20" s="93" t="s">
        <v>1279</v>
      </c>
      <c r="AF20" s="93" t="s">
        <v>1122</v>
      </c>
      <c r="AG20" s="93">
        <v>-2.504</v>
      </c>
      <c r="AI20" s="93" t="s">
        <v>1252</v>
      </c>
      <c r="AK20" s="93" t="s">
        <v>1124</v>
      </c>
      <c r="AL20" s="93">
        <v>-3.504</v>
      </c>
      <c r="AM20" s="93">
        <v>-3.9039999999999999</v>
      </c>
      <c r="AN20" s="93">
        <v>1.6</v>
      </c>
      <c r="AO20" s="93">
        <v>2</v>
      </c>
      <c r="AT20" s="93" t="s">
        <v>1279</v>
      </c>
      <c r="AW20" s="93" t="s">
        <v>1195</v>
      </c>
      <c r="CJ20" s="103"/>
      <c r="FP20" s="103"/>
      <c r="LG20" s="93" t="s">
        <v>1253</v>
      </c>
      <c r="LH20" s="93" t="s">
        <v>1254</v>
      </c>
      <c r="LI20" s="93" t="s">
        <v>1252</v>
      </c>
      <c r="LJ20" s="93" t="s">
        <v>1279</v>
      </c>
      <c r="LK20" s="93" t="s">
        <v>1155</v>
      </c>
      <c r="LL20" s="103">
        <v>45939</v>
      </c>
      <c r="LM20" s="93" t="s">
        <v>1195</v>
      </c>
      <c r="LO20" s="93">
        <v>-3.79</v>
      </c>
      <c r="LP20" s="93">
        <v>6.4</v>
      </c>
      <c r="LQ20" s="93">
        <v>9.5392146070778576</v>
      </c>
      <c r="LR20" s="93">
        <v>1.242474215726155</v>
      </c>
      <c r="LS20" s="93">
        <v>667.75956284153006</v>
      </c>
      <c r="LT20" s="93">
        <v>652.62626262626259</v>
      </c>
      <c r="LV20" s="106">
        <v>14.11995159514885</v>
      </c>
      <c r="LW20" s="106">
        <v>13.23889447655568</v>
      </c>
      <c r="LX20" s="93">
        <v>1915</v>
      </c>
      <c r="LY20" s="93">
        <v>20</v>
      </c>
      <c r="LZ20" s="93">
        <v>20</v>
      </c>
      <c r="MA20" s="93">
        <v>63</v>
      </c>
      <c r="MB20" s="93">
        <v>25</v>
      </c>
      <c r="MC20" s="93">
        <v>23.54</v>
      </c>
      <c r="MD20" s="93" t="s">
        <v>1156</v>
      </c>
      <c r="ME20" s="93" t="s">
        <v>1157</v>
      </c>
      <c r="MF20" s="106">
        <v>6.4</v>
      </c>
      <c r="MG20" s="106">
        <v>6.4</v>
      </c>
      <c r="MI20" s="106">
        <v>5.8266733668664799</v>
      </c>
      <c r="MJ20" s="106">
        <v>1</v>
      </c>
      <c r="MK20" s="106">
        <v>20.01488978916667</v>
      </c>
      <c r="ML20" s="106">
        <v>5</v>
      </c>
      <c r="MM20" s="106">
        <v>1.17716105</v>
      </c>
      <c r="MN20" s="106">
        <v>4.9228021000000002</v>
      </c>
      <c r="MO20" s="106">
        <v>2.235858890081396</v>
      </c>
      <c r="MP20" s="106">
        <v>4.6582859999999986</v>
      </c>
      <c r="MQ20" s="106">
        <v>3.7189210961923602</v>
      </c>
      <c r="MR20" s="106">
        <v>4.8883741000000001</v>
      </c>
      <c r="MS20" s="106">
        <v>5.0952428990593317</v>
      </c>
      <c r="MT20" s="106">
        <v>5.2727440000000003</v>
      </c>
      <c r="MU20" s="106">
        <v>5.8705855636115194</v>
      </c>
      <c r="MV20" s="106">
        <v>5.801218200000001</v>
      </c>
      <c r="MW20" s="106">
        <v>6.4339104618020642</v>
      </c>
      <c r="MX20" s="106">
        <v>8.0122473999999997</v>
      </c>
      <c r="MY20" s="106">
        <v>7.1678116270286356</v>
      </c>
      <c r="MZ20" s="106">
        <v>44.742359542953317</v>
      </c>
      <c r="NA20" s="106">
        <v>7.7491098999999988</v>
      </c>
      <c r="NB20" s="106">
        <v>7.0368874879790893</v>
      </c>
      <c r="NC20" s="106">
        <v>40</v>
      </c>
      <c r="NG20" s="106">
        <v>77.275523873229218</v>
      </c>
      <c r="NM20" s="103"/>
      <c r="QT20" s="106" t="s">
        <v>1276</v>
      </c>
      <c r="QU20" s="106"/>
      <c r="QV20" s="106">
        <v>6.4</v>
      </c>
      <c r="QW20" s="106"/>
      <c r="QX20" s="106">
        <v>6.4</v>
      </c>
      <c r="QY20" s="106"/>
      <c r="QZ20" s="106"/>
      <c r="RA20" s="106"/>
      <c r="RB20" s="106" t="s">
        <v>1137</v>
      </c>
      <c r="RC20" s="106"/>
      <c r="RD20" s="106" t="s">
        <v>1137</v>
      </c>
      <c r="RE20" s="106"/>
      <c r="RF20" s="106"/>
      <c r="RG20" s="106">
        <v>12.2</v>
      </c>
      <c r="RH20" s="106">
        <v>18.600000000000001</v>
      </c>
      <c r="RI20" s="106">
        <v>30</v>
      </c>
      <c r="RJ20" s="106">
        <v>30</v>
      </c>
      <c r="RK20" s="106"/>
      <c r="RL20" s="106">
        <v>4.6875</v>
      </c>
    </row>
    <row r="21" spans="1:480" x14ac:dyDescent="0.3">
      <c r="A21" s="93" t="str">
        <f>Table1[[#This Row],[ALG__REGEL]]&amp;"_"&amp;Table1[[#This Row],[BORING_NUMMER]]&amp;"_"&amp;Table1[[#This Row],[MONSTER_ID]]</f>
        <v>14_B03-K02_4-928</v>
      </c>
      <c r="B21" s="93">
        <v>14</v>
      </c>
      <c r="C21" s="93" t="b">
        <v>0</v>
      </c>
      <c r="G21" s="93" t="b">
        <v>1</v>
      </c>
      <c r="H21" s="93" t="b">
        <v>0</v>
      </c>
      <c r="I21" s="93" t="b">
        <v>1</v>
      </c>
      <c r="J21" s="93" t="b">
        <v>0</v>
      </c>
      <c r="K21" s="93" t="s">
        <v>1278</v>
      </c>
      <c r="L21" s="93" t="s">
        <v>1279</v>
      </c>
      <c r="N21" s="93" t="s">
        <v>1383</v>
      </c>
      <c r="O21" s="93" t="s">
        <v>1220</v>
      </c>
      <c r="Q21" s="93" t="s">
        <v>1118</v>
      </c>
      <c r="V21" s="93">
        <v>87520.09</v>
      </c>
      <c r="W21" s="93">
        <v>449519.78</v>
      </c>
      <c r="X21" s="93">
        <v>-1.9039999999999999</v>
      </c>
      <c r="Y21" s="93" t="s">
        <v>1243</v>
      </c>
      <c r="Z21" s="93" t="s">
        <v>1147</v>
      </c>
      <c r="AA21" s="98">
        <v>45754</v>
      </c>
      <c r="AB21" s="93" t="s">
        <v>1280</v>
      </c>
      <c r="AD21" s="93" t="s">
        <v>1279</v>
      </c>
      <c r="AF21" s="93" t="s">
        <v>1122</v>
      </c>
      <c r="AG21" s="93">
        <v>-2.504</v>
      </c>
      <c r="AI21" s="93" t="s">
        <v>1255</v>
      </c>
      <c r="AK21" s="93" t="s">
        <v>1124</v>
      </c>
      <c r="AL21" s="93">
        <v>-3.9039999999999999</v>
      </c>
      <c r="AM21" s="93">
        <v>-4.3040000000000003</v>
      </c>
      <c r="AN21" s="93">
        <v>2</v>
      </c>
      <c r="AO21" s="93">
        <v>2.4</v>
      </c>
      <c r="AT21" s="93" t="s">
        <v>1279</v>
      </c>
      <c r="AV21" s="103"/>
      <c r="AW21" s="93" t="s">
        <v>1256</v>
      </c>
      <c r="AX21" s="93" t="s">
        <v>1257</v>
      </c>
      <c r="CJ21" s="103"/>
      <c r="EA21" s="93" t="s">
        <v>1258</v>
      </c>
      <c r="EC21" s="93" t="s">
        <v>1259</v>
      </c>
      <c r="ED21" s="93" t="s">
        <v>1279</v>
      </c>
      <c r="EE21" s="93" t="s">
        <v>1129</v>
      </c>
      <c r="EF21" s="98">
        <v>45945</v>
      </c>
      <c r="EG21" s="93" t="s">
        <v>1256</v>
      </c>
      <c r="EH21" s="93" t="s">
        <v>1257</v>
      </c>
      <c r="EI21" s="93">
        <v>-4.1900000000000004</v>
      </c>
      <c r="EJ21" s="93">
        <v>6.7</v>
      </c>
      <c r="EK21" s="93">
        <v>10</v>
      </c>
      <c r="EL21" s="93">
        <v>1.6</v>
      </c>
      <c r="EM21" s="93">
        <v>541.4</v>
      </c>
      <c r="EN21" s="93">
        <v>425.9</v>
      </c>
      <c r="ER21" s="93">
        <v>63.5</v>
      </c>
      <c r="ES21" s="93">
        <v>25</v>
      </c>
      <c r="ET21" s="93">
        <v>25</v>
      </c>
      <c r="EU21" s="93">
        <v>23.01</v>
      </c>
      <c r="EV21" s="93">
        <v>0.5</v>
      </c>
      <c r="EW21" s="93">
        <v>-0.5</v>
      </c>
      <c r="EX21" s="93">
        <v>16</v>
      </c>
      <c r="EY21" s="93">
        <v>23.4</v>
      </c>
      <c r="EZ21" s="93">
        <v>19.600000000000001</v>
      </c>
      <c r="FA21" s="93">
        <v>15.3</v>
      </c>
      <c r="FB21" s="93">
        <v>4.4000000000000004</v>
      </c>
      <c r="FC21" s="93">
        <v>39.6</v>
      </c>
      <c r="FD21" s="93">
        <v>0.1</v>
      </c>
      <c r="FE21" s="93">
        <v>18.899999999999999</v>
      </c>
      <c r="FF21" s="93">
        <v>0.56000000000000005</v>
      </c>
      <c r="FG21" s="93">
        <v>33</v>
      </c>
      <c r="FH21" s="93">
        <v>1.0200000000000001E-2</v>
      </c>
      <c r="FI21" s="93">
        <v>0.104</v>
      </c>
      <c r="FJ21" s="93">
        <v>4.7000000000000002E-3</v>
      </c>
      <c r="FP21" s="103"/>
      <c r="LG21" s="93" t="s">
        <v>1260</v>
      </c>
      <c r="LH21" s="93" t="s">
        <v>1261</v>
      </c>
      <c r="LI21" s="93" t="s">
        <v>1255</v>
      </c>
      <c r="LJ21" s="93" t="s">
        <v>1279</v>
      </c>
      <c r="LK21" s="93" t="s">
        <v>1155</v>
      </c>
      <c r="LL21" s="103">
        <v>45940</v>
      </c>
      <c r="LM21" s="93" t="s">
        <v>1256</v>
      </c>
      <c r="LN21" s="93" t="s">
        <v>1257</v>
      </c>
      <c r="LO21" s="93">
        <v>-4.1900000000000004</v>
      </c>
      <c r="LP21" s="93">
        <v>6.7</v>
      </c>
      <c r="LQ21" s="93">
        <v>9.7607640621907787</v>
      </c>
      <c r="LR21" s="93">
        <v>1.3544672597313201</v>
      </c>
      <c r="LS21" s="93">
        <v>620.63492063492049</v>
      </c>
      <c r="LT21" s="93">
        <v>703.39999999999986</v>
      </c>
      <c r="LV21" s="106">
        <v>9.3592337867091153</v>
      </c>
      <c r="LW21" s="106">
        <v>9.2463471442885883</v>
      </c>
      <c r="LX21" s="93">
        <v>1430.3</v>
      </c>
      <c r="LY21" s="93">
        <v>20</v>
      </c>
      <c r="LZ21" s="93">
        <v>20</v>
      </c>
      <c r="MA21" s="93">
        <v>63</v>
      </c>
      <c r="MB21" s="93">
        <v>25</v>
      </c>
      <c r="MC21" s="93">
        <v>24.68</v>
      </c>
      <c r="MD21" s="93" t="s">
        <v>1156</v>
      </c>
      <c r="ME21" s="93" t="s">
        <v>1157</v>
      </c>
      <c r="MF21" s="106">
        <v>6.7</v>
      </c>
      <c r="MG21" s="106">
        <v>6.7</v>
      </c>
      <c r="MI21" s="106">
        <v>1.089451320705493</v>
      </c>
      <c r="MJ21" s="106">
        <v>1</v>
      </c>
      <c r="MK21" s="106">
        <v>20.010134562499999</v>
      </c>
      <c r="ML21" s="106">
        <v>5</v>
      </c>
      <c r="MM21" s="106">
        <v>1.2363785</v>
      </c>
      <c r="MN21" s="106">
        <v>5.4585670999999998</v>
      </c>
      <c r="MO21" s="106">
        <v>3.6477440974811439</v>
      </c>
      <c r="MP21" s="106">
        <v>5.1847811000000004</v>
      </c>
      <c r="MQ21" s="106">
        <v>6.196632176212014</v>
      </c>
      <c r="MR21" s="106">
        <v>5.2022271999999994</v>
      </c>
      <c r="MS21" s="106">
        <v>8.0733904871884299</v>
      </c>
      <c r="MT21" s="106">
        <v>5.8556289000000001</v>
      </c>
      <c r="MU21" s="106">
        <v>9.3868910228196825</v>
      </c>
      <c r="MV21" s="106">
        <v>6.757749200000001</v>
      </c>
      <c r="MW21" s="106">
        <v>10.274844514018239</v>
      </c>
      <c r="MX21" s="106">
        <v>8.2603681999999985</v>
      </c>
      <c r="MY21" s="106">
        <v>10.89580537586551</v>
      </c>
      <c r="MZ21" s="106">
        <v>26.529910908755479</v>
      </c>
      <c r="NA21" s="106">
        <v>9.7220835000000001</v>
      </c>
      <c r="NB21" s="106">
        <v>10.556721062223451</v>
      </c>
      <c r="NC21" s="106">
        <v>40</v>
      </c>
      <c r="NG21" s="106">
        <v>143.583924440039</v>
      </c>
      <c r="NM21" s="103"/>
      <c r="QT21" s="106" t="s">
        <v>1276</v>
      </c>
      <c r="QU21" s="106"/>
      <c r="QV21" s="106">
        <v>6.7</v>
      </c>
      <c r="QW21" s="106"/>
      <c r="QX21" s="106">
        <v>6.7</v>
      </c>
      <c r="QY21" s="106"/>
      <c r="QZ21" s="106"/>
      <c r="RA21" s="106"/>
      <c r="RB21" s="106" t="s">
        <v>1137</v>
      </c>
      <c r="RC21" s="106"/>
      <c r="RD21" s="106" t="s">
        <v>1137</v>
      </c>
      <c r="RE21" s="106">
        <v>18.899999999999999</v>
      </c>
      <c r="RF21" s="106">
        <v>12.2</v>
      </c>
      <c r="RG21" s="106">
        <v>12.2</v>
      </c>
      <c r="RH21" s="106"/>
      <c r="RI21" s="106">
        <v>30</v>
      </c>
      <c r="RJ21" s="106">
        <v>30</v>
      </c>
      <c r="RK21" s="106"/>
      <c r="RL21" s="106">
        <v>4.4776119402985071</v>
      </c>
    </row>
    <row r="22" spans="1:480" x14ac:dyDescent="0.3">
      <c r="A22" s="93" t="str">
        <f>Table1[[#This Row],[ALG__REGEL]]&amp;"_"&amp;Table1[[#This Row],[BORING_NUMMER]]&amp;"_"&amp;Table1[[#This Row],[MONSTER_ID]]</f>
        <v>15_B03-K03_2-032</v>
      </c>
      <c r="B22" s="93">
        <v>15</v>
      </c>
      <c r="C22" s="93" t="b">
        <v>0</v>
      </c>
      <c r="G22" s="93" t="b">
        <v>0</v>
      </c>
      <c r="H22" s="93" t="b">
        <v>0</v>
      </c>
      <c r="I22" s="93" t="b">
        <v>1</v>
      </c>
      <c r="J22" s="93" t="b">
        <v>0</v>
      </c>
      <c r="K22" s="93" t="s">
        <v>1278</v>
      </c>
      <c r="L22" s="93" t="s">
        <v>1279</v>
      </c>
      <c r="N22" s="93" t="s">
        <v>1383</v>
      </c>
      <c r="O22" s="93" t="s">
        <v>1220</v>
      </c>
      <c r="Q22" s="93" t="s">
        <v>1118</v>
      </c>
      <c r="V22" s="93">
        <v>87528.1</v>
      </c>
      <c r="W22" s="93">
        <v>449512.12</v>
      </c>
      <c r="X22" s="93">
        <v>-2.008</v>
      </c>
      <c r="Y22" s="93" t="s">
        <v>1263</v>
      </c>
      <c r="Z22" s="93" t="s">
        <v>1147</v>
      </c>
      <c r="AA22" s="98">
        <v>45754</v>
      </c>
      <c r="AB22" s="93" t="s">
        <v>1280</v>
      </c>
      <c r="AD22" s="93" t="s">
        <v>1279</v>
      </c>
      <c r="AF22" s="93" t="s">
        <v>1122</v>
      </c>
      <c r="AG22" s="93">
        <v>-2.6480000000000001</v>
      </c>
      <c r="AI22" s="93" t="s">
        <v>1264</v>
      </c>
      <c r="AK22" s="93" t="s">
        <v>1124</v>
      </c>
      <c r="AL22" s="93">
        <v>-3.2080000000000002</v>
      </c>
      <c r="AM22" s="93">
        <v>-3.6080000000000001</v>
      </c>
      <c r="AN22" s="93">
        <v>1.2</v>
      </c>
      <c r="AO22" s="93">
        <v>1.6</v>
      </c>
      <c r="AT22" s="93" t="s">
        <v>1279</v>
      </c>
      <c r="AV22" s="103"/>
      <c r="AW22" s="93" t="s">
        <v>1195</v>
      </c>
      <c r="CJ22" s="103"/>
      <c r="FP22" s="103"/>
      <c r="LG22" s="93" t="s">
        <v>1265</v>
      </c>
      <c r="LH22" s="93" t="s">
        <v>1266</v>
      </c>
      <c r="LI22" s="93" t="s">
        <v>1264</v>
      </c>
      <c r="LJ22" s="93" t="s">
        <v>1279</v>
      </c>
      <c r="LK22" s="93" t="s">
        <v>1155</v>
      </c>
      <c r="LL22" s="103">
        <v>45944</v>
      </c>
      <c r="LM22" s="93" t="s">
        <v>1195</v>
      </c>
      <c r="LO22" s="93">
        <v>-3.41</v>
      </c>
      <c r="LP22" s="93">
        <v>10.3</v>
      </c>
      <c r="LQ22" s="93">
        <v>10.651997097531391</v>
      </c>
      <c r="LR22" s="93">
        <v>2.907697625748217</v>
      </c>
      <c r="LS22" s="93">
        <v>266.33785450061657</v>
      </c>
      <c r="LT22" s="93">
        <v>269.01595744680839</v>
      </c>
      <c r="LV22" s="106">
        <v>7.0347126857760163</v>
      </c>
      <c r="LW22" s="106">
        <v>6.6619145513077997</v>
      </c>
      <c r="LX22" s="93">
        <v>2381.5</v>
      </c>
      <c r="LY22" s="93">
        <v>20</v>
      </c>
      <c r="LZ22" s="93">
        <v>20</v>
      </c>
      <c r="MA22" s="93">
        <v>63</v>
      </c>
      <c r="MB22" s="93">
        <v>25</v>
      </c>
      <c r="MC22" s="93">
        <v>23.84</v>
      </c>
      <c r="MD22" s="93" t="s">
        <v>1156</v>
      </c>
      <c r="ME22" s="93" t="s">
        <v>1157</v>
      </c>
      <c r="MF22" s="106">
        <v>10.3</v>
      </c>
      <c r="MG22" s="106">
        <v>10.3</v>
      </c>
      <c r="MI22" s="106">
        <v>4.6390819651589377</v>
      </c>
      <c r="MJ22" s="106">
        <v>1</v>
      </c>
      <c r="MK22" s="106">
        <v>20.015867371388889</v>
      </c>
      <c r="ML22" s="106">
        <v>5</v>
      </c>
      <c r="MM22" s="106">
        <v>1.1920019500000001</v>
      </c>
      <c r="MN22" s="106">
        <v>9.1073336000000005</v>
      </c>
      <c r="MO22" s="106">
        <v>4.2579830759406132</v>
      </c>
      <c r="MP22" s="106">
        <v>9.1550589999999996</v>
      </c>
      <c r="MQ22" s="106">
        <v>6.872796328628894</v>
      </c>
      <c r="MR22" s="106">
        <v>9.9010292</v>
      </c>
      <c r="MS22" s="106">
        <v>9.0855968726028209</v>
      </c>
      <c r="MT22" s="106">
        <v>11.022470999999999</v>
      </c>
      <c r="MU22" s="106">
        <v>10.263412040706511</v>
      </c>
      <c r="MV22" s="106">
        <v>11.5451265</v>
      </c>
      <c r="MW22" s="106">
        <v>10.8123748338021</v>
      </c>
      <c r="MX22" s="106">
        <v>8.289078571428572</v>
      </c>
      <c r="MY22" s="106">
        <v>11.310831613101049</v>
      </c>
      <c r="MZ22" s="106">
        <v>44.912061481246951</v>
      </c>
      <c r="NA22" s="106">
        <v>8.9438254999999991</v>
      </c>
      <c r="NB22" s="106">
        <v>11.11278624574002</v>
      </c>
      <c r="NC22" s="106">
        <v>40</v>
      </c>
      <c r="NG22" s="106">
        <v>172.12021913184569</v>
      </c>
      <c r="NM22" s="103"/>
      <c r="QT22" s="106" t="s">
        <v>1276</v>
      </c>
      <c r="QU22" s="106"/>
      <c r="QV22" s="106">
        <v>10.3</v>
      </c>
      <c r="QW22" s="106"/>
      <c r="QX22" s="106">
        <v>10.3</v>
      </c>
      <c r="QY22" s="106"/>
      <c r="QZ22" s="106"/>
      <c r="RA22" s="106"/>
      <c r="RB22" s="106" t="s">
        <v>1137</v>
      </c>
      <c r="RC22" s="106"/>
      <c r="RD22" s="106" t="s">
        <v>1137</v>
      </c>
      <c r="RE22" s="106"/>
      <c r="RF22" s="106"/>
      <c r="RG22" s="106"/>
      <c r="RH22" s="106"/>
      <c r="RI22" s="106"/>
      <c r="RJ22" s="106"/>
      <c r="RK22" s="106"/>
      <c r="RL22" s="106"/>
    </row>
    <row r="23" spans="1:480" x14ac:dyDescent="0.3">
      <c r="A23" s="93" t="str">
        <f>Table1[[#This Row],[ALG__REGEL]]&amp;"_"&amp;Table1[[#This Row],[BORING_NUMMER]]&amp;"_"&amp;Table1[[#This Row],[MONSTER_ID]]</f>
        <v>16_B03-K03_4-092</v>
      </c>
      <c r="B23" s="93">
        <v>16</v>
      </c>
      <c r="C23" s="93" t="b">
        <v>0</v>
      </c>
      <c r="G23" s="93" t="b">
        <v>0</v>
      </c>
      <c r="H23" s="93" t="b">
        <v>0</v>
      </c>
      <c r="I23" s="93" t="b">
        <v>1</v>
      </c>
      <c r="J23" s="93" t="b">
        <v>0</v>
      </c>
      <c r="K23" s="93" t="s">
        <v>1278</v>
      </c>
      <c r="L23" s="93" t="s">
        <v>1279</v>
      </c>
      <c r="N23" s="93" t="s">
        <v>1383</v>
      </c>
      <c r="O23" s="93" t="s">
        <v>1220</v>
      </c>
      <c r="Q23" s="93" t="s">
        <v>1118</v>
      </c>
      <c r="V23" s="93">
        <v>87528.1</v>
      </c>
      <c r="W23" s="93">
        <v>449512.12</v>
      </c>
      <c r="X23" s="93">
        <v>-2.008</v>
      </c>
      <c r="Y23" s="93" t="s">
        <v>1263</v>
      </c>
      <c r="Z23" s="93" t="s">
        <v>1147</v>
      </c>
      <c r="AA23" s="98">
        <v>45754</v>
      </c>
      <c r="AB23" s="93" t="s">
        <v>1280</v>
      </c>
      <c r="AD23" s="93" t="s">
        <v>1279</v>
      </c>
      <c r="AF23" s="93" t="s">
        <v>1122</v>
      </c>
      <c r="AG23" s="93">
        <v>-2.6480000000000001</v>
      </c>
      <c r="AI23" s="93" t="s">
        <v>1267</v>
      </c>
      <c r="AK23" s="93" t="s">
        <v>1124</v>
      </c>
      <c r="AL23" s="93">
        <v>-4.008</v>
      </c>
      <c r="AM23" s="93">
        <v>-4.4079999999999986</v>
      </c>
      <c r="AN23" s="93">
        <v>2</v>
      </c>
      <c r="AO23" s="93">
        <v>2.4</v>
      </c>
      <c r="AT23" s="93" t="s">
        <v>1279</v>
      </c>
      <c r="AW23" s="93" t="s">
        <v>1229</v>
      </c>
      <c r="AX23" s="93" t="s">
        <v>1230</v>
      </c>
      <c r="CJ23" s="103"/>
      <c r="FP23" s="103"/>
      <c r="LG23" s="93" t="s">
        <v>1268</v>
      </c>
      <c r="LH23" s="93" t="s">
        <v>1269</v>
      </c>
      <c r="LI23" s="93" t="s">
        <v>1267</v>
      </c>
      <c r="LJ23" s="93" t="s">
        <v>1279</v>
      </c>
      <c r="LK23" s="93" t="s">
        <v>1155</v>
      </c>
      <c r="LL23" s="103">
        <v>45946</v>
      </c>
      <c r="LM23" s="93" t="s">
        <v>1229</v>
      </c>
      <c r="LN23" s="93" t="s">
        <v>1230</v>
      </c>
      <c r="LO23" s="93">
        <v>-4.3</v>
      </c>
      <c r="LP23" s="93">
        <v>11.2</v>
      </c>
      <c r="LQ23" s="93">
        <v>9.4145930385768413</v>
      </c>
      <c r="LR23" s="93">
        <v>4.443218442070993</v>
      </c>
      <c r="LS23" s="93">
        <v>111.88679245283021</v>
      </c>
      <c r="LT23" s="93">
        <v>634.15841584158409</v>
      </c>
      <c r="LV23" s="106">
        <v>2.2985414044079149</v>
      </c>
      <c r="LW23" s="106">
        <v>2.009372001415715</v>
      </c>
      <c r="LX23" s="93">
        <v>1494</v>
      </c>
      <c r="LY23" s="93">
        <v>20</v>
      </c>
      <c r="LZ23" s="93">
        <v>20</v>
      </c>
      <c r="MA23" s="93">
        <v>63</v>
      </c>
      <c r="MB23" s="93">
        <v>25</v>
      </c>
      <c r="MC23" s="93">
        <v>22.81</v>
      </c>
      <c r="MD23" s="93" t="s">
        <v>1156</v>
      </c>
      <c r="ME23" s="93" t="s">
        <v>1157</v>
      </c>
      <c r="MF23" s="106">
        <v>11.2</v>
      </c>
      <c r="MG23" s="106">
        <v>11.2</v>
      </c>
      <c r="MI23" s="106">
        <v>8.7657480263033509</v>
      </c>
      <c r="MJ23" s="106">
        <v>1</v>
      </c>
      <c r="MK23" s="106">
        <v>20.01810364138889</v>
      </c>
      <c r="ML23" s="106">
        <v>5</v>
      </c>
      <c r="MM23" s="106">
        <v>1.1404177</v>
      </c>
      <c r="MN23" s="106">
        <v>9.675816300000001</v>
      </c>
      <c r="MO23" s="106">
        <v>3.2594875917707031</v>
      </c>
      <c r="MP23" s="106">
        <v>9.2750246999999995</v>
      </c>
      <c r="MQ23" s="106">
        <v>5.5085558519975262</v>
      </c>
      <c r="MR23" s="106">
        <v>9.1735258999999996</v>
      </c>
      <c r="MS23" s="106">
        <v>7.5458607940614701</v>
      </c>
      <c r="MT23" s="106">
        <v>9.4494043000000012</v>
      </c>
      <c r="MU23" s="106">
        <v>8.6462009487813791</v>
      </c>
      <c r="MV23" s="106">
        <v>10.009988099999999</v>
      </c>
      <c r="MW23" s="106">
        <v>9.3655452834220814</v>
      </c>
      <c r="MX23" s="106">
        <v>11.1166891</v>
      </c>
      <c r="MY23" s="106">
        <v>10.147021346649669</v>
      </c>
      <c r="MZ23" s="106">
        <v>30.55009194694744</v>
      </c>
      <c r="NA23" s="106">
        <v>11.060412599999999</v>
      </c>
      <c r="NB23" s="106">
        <v>9.9845756964984975</v>
      </c>
      <c r="NC23" s="106">
        <v>40</v>
      </c>
      <c r="NG23" s="106">
        <v>118.19534572847721</v>
      </c>
      <c r="NM23" s="103"/>
      <c r="QT23" s="106" t="s">
        <v>1276</v>
      </c>
      <c r="QU23" s="106"/>
      <c r="QV23" s="106">
        <v>11.2</v>
      </c>
      <c r="QW23" s="106"/>
      <c r="QX23" s="106">
        <v>11.2</v>
      </c>
      <c r="QY23" s="106"/>
      <c r="QZ23" s="106"/>
      <c r="RA23" s="106"/>
      <c r="RB23" s="106" t="s">
        <v>1137</v>
      </c>
      <c r="RC23" s="106"/>
      <c r="RD23" s="106" t="s">
        <v>1137</v>
      </c>
      <c r="RE23" s="106"/>
      <c r="RF23" s="106"/>
      <c r="RG23" s="106"/>
      <c r="RH23" s="106"/>
      <c r="RI23" s="106"/>
      <c r="RJ23" s="106"/>
      <c r="RK23" s="106"/>
      <c r="RL23" s="106"/>
    </row>
    <row r="24" spans="1:480" x14ac:dyDescent="0.3">
      <c r="A24" s="93" t="str">
        <f>Table1[[#This Row],[ALG__REGEL]]&amp;"_"&amp;Table1[[#This Row],[BORING_NUMMER]]&amp;"_"&amp;Table1[[#This Row],[MONSTER_ID]]</f>
        <v>17_B03-K03_5A-G94</v>
      </c>
      <c r="B24" s="93">
        <v>17</v>
      </c>
      <c r="C24" s="93" t="b">
        <v>0</v>
      </c>
      <c r="G24" s="93" t="b">
        <v>0</v>
      </c>
      <c r="H24" s="93" t="b">
        <v>0</v>
      </c>
      <c r="I24" s="93" t="b">
        <v>1</v>
      </c>
      <c r="J24" s="93" t="b">
        <v>0</v>
      </c>
      <c r="K24" s="93" t="s">
        <v>1278</v>
      </c>
      <c r="L24" s="93" t="s">
        <v>1279</v>
      </c>
      <c r="N24" s="93" t="s">
        <v>1383</v>
      </c>
      <c r="O24" s="93" t="s">
        <v>1220</v>
      </c>
      <c r="Q24" s="93" t="s">
        <v>1118</v>
      </c>
      <c r="V24" s="93">
        <v>87528.1</v>
      </c>
      <c r="W24" s="93">
        <v>449512.12</v>
      </c>
      <c r="X24" s="93">
        <v>-2.008</v>
      </c>
      <c r="Y24" s="93" t="s">
        <v>1263</v>
      </c>
      <c r="Z24" s="93" t="s">
        <v>1147</v>
      </c>
      <c r="AA24" s="98">
        <v>45754</v>
      </c>
      <c r="AB24" s="93" t="s">
        <v>1280</v>
      </c>
      <c r="AD24" s="93" t="s">
        <v>1279</v>
      </c>
      <c r="AF24" s="93" t="s">
        <v>1122</v>
      </c>
      <c r="AG24" s="93">
        <v>-2.6480000000000001</v>
      </c>
      <c r="AI24" s="93" t="s">
        <v>1271</v>
      </c>
      <c r="AK24" s="93" t="s">
        <v>1124</v>
      </c>
      <c r="AL24" s="93">
        <v>-4.4079999999999986</v>
      </c>
      <c r="AM24" s="93">
        <v>-4.6079999999999997</v>
      </c>
      <c r="AN24" s="93">
        <v>2.4</v>
      </c>
      <c r="AO24" s="93">
        <v>2.6</v>
      </c>
      <c r="AT24" s="93" t="s">
        <v>1279</v>
      </c>
      <c r="AW24" s="93" t="s">
        <v>1272</v>
      </c>
      <c r="AX24" s="93" t="s">
        <v>1230</v>
      </c>
      <c r="CJ24" s="103"/>
      <c r="FP24" s="103"/>
      <c r="LG24" s="93" t="s">
        <v>1273</v>
      </c>
      <c r="LH24" s="93" t="s">
        <v>1274</v>
      </c>
      <c r="LI24" s="93" t="s">
        <v>1275</v>
      </c>
      <c r="LJ24" s="93" t="s">
        <v>1279</v>
      </c>
      <c r="LK24" s="93" t="s">
        <v>1155</v>
      </c>
      <c r="LL24" s="103">
        <v>45952</v>
      </c>
      <c r="LM24" s="93" t="s">
        <v>1272</v>
      </c>
      <c r="LN24" s="93" t="s">
        <v>1230</v>
      </c>
      <c r="LO24" s="93">
        <v>-4.51</v>
      </c>
      <c r="LP24" s="93">
        <v>11.7</v>
      </c>
      <c r="LQ24" s="93">
        <v>9.4662039911883724</v>
      </c>
      <c r="LR24" s="93">
        <v>1.2327767428846119</v>
      </c>
      <c r="LS24" s="93">
        <v>667.87658802177873</v>
      </c>
      <c r="LT24" s="93">
        <v>693.11064718162845</v>
      </c>
      <c r="LV24" s="106">
        <v>10.423995529836329</v>
      </c>
      <c r="LW24" s="106">
        <v>9.9876103245921151</v>
      </c>
      <c r="LX24" s="93">
        <v>1435.6</v>
      </c>
      <c r="LY24" s="93">
        <v>20</v>
      </c>
      <c r="LZ24" s="93">
        <v>20</v>
      </c>
      <c r="MA24" s="93">
        <v>63</v>
      </c>
      <c r="MB24" s="93">
        <v>25</v>
      </c>
      <c r="MC24" s="93">
        <v>24.07</v>
      </c>
      <c r="MD24" s="93" t="s">
        <v>1156</v>
      </c>
      <c r="ME24" s="93" t="s">
        <v>1157</v>
      </c>
      <c r="MF24" s="106">
        <v>11.7</v>
      </c>
      <c r="MG24" s="106">
        <v>11.7</v>
      </c>
      <c r="MI24" s="106">
        <v>3.819393759920839</v>
      </c>
      <c r="MJ24" s="106">
        <v>1</v>
      </c>
      <c r="MK24" s="106">
        <v>20.01601536888889</v>
      </c>
      <c r="ML24" s="106">
        <v>5</v>
      </c>
      <c r="MM24" s="106">
        <v>1.20225125</v>
      </c>
      <c r="MN24" s="106">
        <v>10.3695635</v>
      </c>
      <c r="MO24" s="106">
        <v>4.8295184197823868</v>
      </c>
      <c r="MP24" s="106">
        <v>9.8842490000000005</v>
      </c>
      <c r="MQ24" s="106">
        <v>8.0795329911378868</v>
      </c>
      <c r="MR24" s="106">
        <v>9.7115745000000011</v>
      </c>
      <c r="MS24" s="106">
        <v>10.189819621628621</v>
      </c>
      <c r="MT24" s="106">
        <v>9.6809051999999998</v>
      </c>
      <c r="MU24" s="106">
        <v>11.28170623219855</v>
      </c>
      <c r="MV24" s="106">
        <v>9.7940853000000008</v>
      </c>
      <c r="MW24" s="106">
        <v>11.904652712441679</v>
      </c>
      <c r="MX24" s="106">
        <v>10.9922223</v>
      </c>
      <c r="MY24" s="106">
        <v>13.071234626609019</v>
      </c>
      <c r="MZ24" s="106">
        <v>43.841780804029632</v>
      </c>
      <c r="NA24" s="106">
        <v>10.8637569</v>
      </c>
      <c r="NB24" s="106">
        <v>12.958987136258211</v>
      </c>
      <c r="NC24" s="106">
        <v>40</v>
      </c>
      <c r="NG24" s="106">
        <v>202.09942196888849</v>
      </c>
      <c r="NM24" s="103"/>
      <c r="QT24" s="106" t="s">
        <v>1276</v>
      </c>
      <c r="QU24" s="106"/>
      <c r="QV24" s="106">
        <v>11.7</v>
      </c>
      <c r="QW24" s="106"/>
      <c r="QX24" s="106">
        <v>11.7</v>
      </c>
      <c r="QY24" s="106"/>
      <c r="QZ24" s="106"/>
      <c r="RA24" s="106"/>
      <c r="RB24" s="106" t="s">
        <v>1137</v>
      </c>
      <c r="RC24" s="106"/>
      <c r="RD24" s="106" t="s">
        <v>1137</v>
      </c>
      <c r="RE24" s="106"/>
      <c r="RF24" s="106"/>
      <c r="RG24" s="106"/>
      <c r="RH24" s="106"/>
      <c r="RI24" s="106"/>
      <c r="RJ24" s="106"/>
      <c r="RK24" s="106"/>
      <c r="RL24" s="106"/>
    </row>
    <row r="25" spans="1:480" x14ac:dyDescent="0.3">
      <c r="A25" s="93" t="str">
        <f>Table1[[#This Row],[ALG__REGEL]]&amp;"_"&amp;Table1[[#This Row],[BORING_NUMMER]]&amp;"_"&amp;Table1[[#This Row],[MONSTER_ID]]</f>
        <v>18_B01-AL01_3-162</v>
      </c>
      <c r="B25" s="93">
        <v>18</v>
      </c>
      <c r="C25" s="93" t="b">
        <v>0</v>
      </c>
      <c r="G25" s="93" t="b">
        <v>1</v>
      </c>
      <c r="H25" s="93" t="b">
        <v>0</v>
      </c>
      <c r="I25" s="93" t="b">
        <v>0</v>
      </c>
      <c r="J25" s="93" t="b">
        <v>1</v>
      </c>
      <c r="K25" s="93" t="s">
        <v>1278</v>
      </c>
      <c r="L25" s="93" t="s">
        <v>1279</v>
      </c>
      <c r="N25" s="93" t="s">
        <v>1383</v>
      </c>
      <c r="O25" s="93" t="s">
        <v>1117</v>
      </c>
      <c r="Q25" s="93" t="s">
        <v>1118</v>
      </c>
      <c r="V25" s="93">
        <v>78949.47</v>
      </c>
      <c r="W25" s="93">
        <v>446455.69</v>
      </c>
      <c r="X25" s="93">
        <v>-2.83</v>
      </c>
      <c r="Y25" s="93" t="s">
        <v>1119</v>
      </c>
      <c r="Z25" s="93" t="s">
        <v>1120</v>
      </c>
      <c r="AA25" s="98">
        <v>45845</v>
      </c>
      <c r="AD25" s="93" t="s">
        <v>1279</v>
      </c>
      <c r="AF25" s="93" t="s">
        <v>1122</v>
      </c>
      <c r="AG25" s="93">
        <v>-3.4</v>
      </c>
      <c r="AI25" s="93" t="s">
        <v>1123</v>
      </c>
      <c r="AK25" s="93" t="s">
        <v>1124</v>
      </c>
      <c r="AL25" s="93">
        <v>-4.43</v>
      </c>
      <c r="AM25" s="93">
        <v>-4.83</v>
      </c>
      <c r="AN25" s="93">
        <v>1.6</v>
      </c>
      <c r="AO25" s="93">
        <v>2</v>
      </c>
      <c r="AT25" s="93" t="s">
        <v>1279</v>
      </c>
      <c r="AW25" s="93" t="s">
        <v>1125</v>
      </c>
      <c r="AX25" s="93" t="s">
        <v>1126</v>
      </c>
      <c r="CJ25" s="103"/>
      <c r="EA25" s="93" t="s">
        <v>1127</v>
      </c>
      <c r="EC25" s="93" t="s">
        <v>1128</v>
      </c>
      <c r="ED25" s="93" t="s">
        <v>1279</v>
      </c>
      <c r="EE25" s="93" t="s">
        <v>1129</v>
      </c>
      <c r="EF25" s="98">
        <v>45895</v>
      </c>
      <c r="EG25" s="93" t="s">
        <v>1125</v>
      </c>
      <c r="EH25" s="93" t="s">
        <v>1126</v>
      </c>
      <c r="EI25" s="93">
        <v>-4.7</v>
      </c>
      <c r="EJ25" s="93">
        <v>12.9</v>
      </c>
      <c r="EK25" s="93">
        <v>14.5</v>
      </c>
      <c r="EL25" s="93">
        <v>8</v>
      </c>
      <c r="EM25" s="93">
        <v>81.3</v>
      </c>
      <c r="EN25" s="93">
        <v>62.4</v>
      </c>
      <c r="ER25" s="93">
        <v>63.5</v>
      </c>
      <c r="ES25" s="93">
        <v>22</v>
      </c>
      <c r="ET25" s="93">
        <v>21.95</v>
      </c>
      <c r="EU25" s="93">
        <v>17.41</v>
      </c>
      <c r="EV25" s="93">
        <v>0.5</v>
      </c>
      <c r="EW25" s="93">
        <v>-0.5</v>
      </c>
      <c r="EX25" s="93">
        <v>16</v>
      </c>
      <c r="EY25" s="93">
        <v>74.599999999999994</v>
      </c>
      <c r="EZ25" s="93">
        <v>52.3</v>
      </c>
      <c r="FA25" s="93">
        <v>49.9</v>
      </c>
      <c r="FB25" s="93">
        <v>13.4</v>
      </c>
      <c r="FC25" s="93">
        <v>126.6</v>
      </c>
      <c r="FD25" s="93">
        <v>0.5</v>
      </c>
      <c r="FE25" s="93">
        <v>23.9</v>
      </c>
      <c r="FF25" s="93">
        <v>2.77</v>
      </c>
      <c r="FG25" s="93">
        <v>39</v>
      </c>
      <c r="FH25" s="93">
        <v>7.4000000000000003E-3</v>
      </c>
      <c r="FI25" s="93">
        <v>0.124</v>
      </c>
      <c r="FJ25" s="93">
        <v>1.09E-2</v>
      </c>
      <c r="FP25" s="103"/>
      <c r="LL25" s="103"/>
      <c r="NH25" s="93" t="s">
        <v>1130</v>
      </c>
      <c r="NI25" s="93" t="s">
        <v>1131</v>
      </c>
      <c r="NJ25" s="93" t="s">
        <v>1123</v>
      </c>
      <c r="NK25" s="93" t="s">
        <v>1279</v>
      </c>
      <c r="NL25" s="93" t="s">
        <v>1132</v>
      </c>
      <c r="NM25" s="103">
        <v>45756</v>
      </c>
      <c r="NN25" s="93" t="s">
        <v>1125</v>
      </c>
      <c r="NO25" s="93" t="s">
        <v>1126</v>
      </c>
      <c r="NP25" s="93">
        <v>-4.55</v>
      </c>
      <c r="NQ25" s="93">
        <v>12.9</v>
      </c>
      <c r="NR25" s="93">
        <v>15</v>
      </c>
      <c r="NS25" s="93">
        <v>8</v>
      </c>
      <c r="NT25" s="93">
        <v>82.8</v>
      </c>
      <c r="NU25" s="93">
        <v>86.1</v>
      </c>
      <c r="NV25" s="93">
        <v>292.5</v>
      </c>
      <c r="NY25" s="93">
        <v>20</v>
      </c>
      <c r="NZ25" s="93">
        <v>20</v>
      </c>
      <c r="OA25" s="93">
        <v>66</v>
      </c>
      <c r="OB25" s="93">
        <v>135</v>
      </c>
      <c r="OC25" s="93" t="s">
        <v>1133</v>
      </c>
      <c r="OD25" s="93" t="s">
        <v>1134</v>
      </c>
      <c r="OE25" s="93" t="s">
        <v>1134</v>
      </c>
      <c r="OF25" s="93">
        <v>300</v>
      </c>
      <c r="OG25" s="93" t="s">
        <v>1135</v>
      </c>
      <c r="OH25" s="93">
        <v>0.63</v>
      </c>
      <c r="OI25" s="93" t="s">
        <v>1136</v>
      </c>
      <c r="OJ25" s="93">
        <v>8</v>
      </c>
      <c r="OK25" s="93">
        <v>0</v>
      </c>
      <c r="ON25" s="93">
        <v>10.6</v>
      </c>
      <c r="OO25" s="93">
        <v>2.4</v>
      </c>
      <c r="OP25" s="93">
        <v>1</v>
      </c>
      <c r="OQ25" s="93">
        <v>1.8</v>
      </c>
      <c r="OR25" s="93">
        <v>5.4</v>
      </c>
      <c r="OS25" s="93">
        <v>25</v>
      </c>
      <c r="OT25" s="93">
        <v>1</v>
      </c>
      <c r="OU25" s="93">
        <v>10.6</v>
      </c>
      <c r="OV25" s="93">
        <v>7.4</v>
      </c>
      <c r="OW25" s="93">
        <v>11.3</v>
      </c>
      <c r="OX25" s="93">
        <v>8.1999999999999993</v>
      </c>
      <c r="OY25" s="93">
        <v>10.8</v>
      </c>
      <c r="OZ25" s="93">
        <v>8.4</v>
      </c>
      <c r="PA25" s="93">
        <v>11.3</v>
      </c>
      <c r="PB25" s="93">
        <v>8.4</v>
      </c>
      <c r="PC25" s="93">
        <v>11</v>
      </c>
      <c r="PD25" s="93">
        <v>10.199999999999999</v>
      </c>
      <c r="PE25" s="93">
        <v>8.1</v>
      </c>
      <c r="PF25" s="93">
        <v>27.5</v>
      </c>
      <c r="PG25" s="93">
        <v>2.5</v>
      </c>
      <c r="PH25" s="93">
        <v>0.4</v>
      </c>
      <c r="QT25" s="106" t="s">
        <v>1277</v>
      </c>
      <c r="QU25" s="106"/>
      <c r="QV25" s="106">
        <v>12.9</v>
      </c>
      <c r="QW25" s="106">
        <v>13</v>
      </c>
      <c r="QX25" s="106"/>
      <c r="QY25" s="106" t="s">
        <v>1137</v>
      </c>
      <c r="QZ25" s="106"/>
      <c r="RA25" s="106" t="s">
        <v>1137</v>
      </c>
      <c r="RB25" s="106"/>
      <c r="RC25" s="106"/>
      <c r="RD25" s="106"/>
      <c r="RE25" s="106">
        <v>23.9</v>
      </c>
      <c r="RF25" s="106">
        <v>11</v>
      </c>
      <c r="RG25" s="106">
        <v>11.55</v>
      </c>
      <c r="RH25" s="106"/>
      <c r="RI25" s="106"/>
      <c r="RJ25" s="106">
        <v>23.9</v>
      </c>
      <c r="RK25" s="106">
        <v>1.8527131782945729</v>
      </c>
      <c r="RL25" s="106"/>
    </row>
    <row r="26" spans="1:480" x14ac:dyDescent="0.3">
      <c r="A26" s="93" t="str">
        <f>Table1[[#This Row],[ALG__REGEL]]&amp;"_"&amp;Table1[[#This Row],[BORING_NUMMER]]&amp;"_"&amp;Table1[[#This Row],[MONSTER_ID]]</f>
        <v>19_B01-AL01_9-525</v>
      </c>
      <c r="B26" s="93">
        <v>19</v>
      </c>
      <c r="C26" s="93" t="b">
        <v>0</v>
      </c>
      <c r="G26" s="93" t="b">
        <v>1</v>
      </c>
      <c r="H26" s="93" t="b">
        <v>0</v>
      </c>
      <c r="I26" s="93" t="b">
        <v>0</v>
      </c>
      <c r="J26" s="93" t="b">
        <v>1</v>
      </c>
      <c r="K26" s="93" t="s">
        <v>1278</v>
      </c>
      <c r="L26" s="93" t="s">
        <v>1279</v>
      </c>
      <c r="N26" s="93" t="s">
        <v>1383</v>
      </c>
      <c r="O26" s="93" t="s">
        <v>1117</v>
      </c>
      <c r="Q26" s="93" t="s">
        <v>1118</v>
      </c>
      <c r="V26" s="93">
        <v>78949.47</v>
      </c>
      <c r="W26" s="93">
        <v>446455.69</v>
      </c>
      <c r="X26" s="93">
        <v>-2.83</v>
      </c>
      <c r="Y26" s="93" t="s">
        <v>1119</v>
      </c>
      <c r="Z26" s="93" t="s">
        <v>1120</v>
      </c>
      <c r="AA26" s="98">
        <v>45845</v>
      </c>
      <c r="AD26" s="93" t="s">
        <v>1279</v>
      </c>
      <c r="AF26" s="93" t="s">
        <v>1122</v>
      </c>
      <c r="AG26" s="93">
        <v>-3.4</v>
      </c>
      <c r="AI26" s="93" t="s">
        <v>1138</v>
      </c>
      <c r="AK26" s="93" t="s">
        <v>1124</v>
      </c>
      <c r="AL26" s="93">
        <v>-6.83</v>
      </c>
      <c r="AM26" s="93">
        <v>-7.23</v>
      </c>
      <c r="AN26" s="93">
        <v>4</v>
      </c>
      <c r="AO26" s="93">
        <v>4.4000000000000004</v>
      </c>
      <c r="AT26" s="93" t="s">
        <v>1279</v>
      </c>
      <c r="AW26" s="93" t="s">
        <v>1139</v>
      </c>
      <c r="AX26" s="93" t="s">
        <v>1140</v>
      </c>
      <c r="CJ26" s="103"/>
      <c r="EA26" s="93" t="s">
        <v>1141</v>
      </c>
      <c r="EC26" s="93" t="s">
        <v>1142</v>
      </c>
      <c r="ED26" s="93" t="s">
        <v>1279</v>
      </c>
      <c r="EE26" s="93" t="s">
        <v>1129</v>
      </c>
      <c r="EF26" s="98">
        <v>45895</v>
      </c>
      <c r="EG26" s="93" t="s">
        <v>1139</v>
      </c>
      <c r="EH26" s="93" t="s">
        <v>1140</v>
      </c>
      <c r="EI26" s="93">
        <v>-7.1</v>
      </c>
      <c r="EJ26" s="93">
        <v>30.7</v>
      </c>
      <c r="EK26" s="93">
        <v>14.1</v>
      </c>
      <c r="EL26" s="93">
        <v>7.5</v>
      </c>
      <c r="EM26" s="93">
        <v>88.8</v>
      </c>
      <c r="EN26" s="93">
        <v>63</v>
      </c>
      <c r="ER26" s="93">
        <v>63.5</v>
      </c>
      <c r="ES26" s="93">
        <v>22</v>
      </c>
      <c r="ET26" s="93">
        <v>21.95</v>
      </c>
      <c r="EU26" s="93">
        <v>15.48</v>
      </c>
      <c r="EV26" s="93">
        <v>0.5</v>
      </c>
      <c r="EW26" s="93">
        <v>-0.5</v>
      </c>
      <c r="EX26" s="93">
        <v>16</v>
      </c>
      <c r="EY26" s="93">
        <v>182.5</v>
      </c>
      <c r="EZ26" s="93">
        <v>136.30000000000001</v>
      </c>
      <c r="FA26" s="93">
        <v>121.9</v>
      </c>
      <c r="FB26" s="93">
        <v>30.5</v>
      </c>
      <c r="FC26" s="93">
        <v>305.7</v>
      </c>
      <c r="FD26" s="93">
        <v>0.8</v>
      </c>
      <c r="FE26" s="93">
        <v>42.8</v>
      </c>
      <c r="FF26" s="93">
        <v>4.5999999999999996</v>
      </c>
      <c r="FG26" s="93">
        <v>55</v>
      </c>
      <c r="FH26" s="93">
        <v>1.1599999999999999E-2</v>
      </c>
      <c r="FI26" s="93">
        <v>0.157</v>
      </c>
      <c r="FJ26" s="93">
        <v>1.11E-2</v>
      </c>
      <c r="FP26" s="103"/>
      <c r="LL26" s="103"/>
      <c r="NH26" s="93" t="s">
        <v>1143</v>
      </c>
      <c r="NI26" s="93" t="s">
        <v>1144</v>
      </c>
      <c r="NJ26" s="93" t="s">
        <v>1138</v>
      </c>
      <c r="NK26" s="93" t="s">
        <v>1279</v>
      </c>
      <c r="NL26" s="93" t="s">
        <v>1132</v>
      </c>
      <c r="NM26" s="103">
        <v>45756</v>
      </c>
      <c r="NN26" s="93" t="s">
        <v>1139</v>
      </c>
      <c r="NO26" s="93" t="s">
        <v>1140</v>
      </c>
      <c r="NP26" s="93">
        <v>-6.95</v>
      </c>
      <c r="NQ26" s="93">
        <v>30.7</v>
      </c>
      <c r="NR26" s="93">
        <v>14.8</v>
      </c>
      <c r="NS26" s="93">
        <v>7.3</v>
      </c>
      <c r="NT26" s="93">
        <v>93.7</v>
      </c>
      <c r="NU26" s="93">
        <v>102</v>
      </c>
      <c r="NV26" s="93">
        <v>83.3</v>
      </c>
      <c r="NY26" s="93">
        <v>20</v>
      </c>
      <c r="NZ26" s="93">
        <v>20</v>
      </c>
      <c r="OA26" s="93">
        <v>66</v>
      </c>
      <c r="OB26" s="93">
        <v>135</v>
      </c>
      <c r="OC26" s="93" t="s">
        <v>1133</v>
      </c>
      <c r="OD26" s="93" t="s">
        <v>1134</v>
      </c>
      <c r="OE26" s="93" t="s">
        <v>1134</v>
      </c>
      <c r="OF26" s="93">
        <v>300</v>
      </c>
      <c r="OG26" s="93" t="s">
        <v>1135</v>
      </c>
      <c r="OH26" s="93">
        <v>0.54</v>
      </c>
      <c r="OI26" s="93" t="s">
        <v>1136</v>
      </c>
      <c r="OJ26" s="93">
        <v>17</v>
      </c>
      <c r="OK26" s="93">
        <v>0</v>
      </c>
      <c r="ON26" s="93">
        <v>23.9</v>
      </c>
      <c r="OO26" s="93">
        <v>7.1</v>
      </c>
      <c r="OP26" s="93">
        <v>1</v>
      </c>
      <c r="OQ26" s="93">
        <v>3</v>
      </c>
      <c r="OR26" s="93">
        <v>4.5999999999999996</v>
      </c>
      <c r="OS26" s="93">
        <v>25</v>
      </c>
      <c r="OT26" s="93">
        <v>1</v>
      </c>
      <c r="OU26" s="93">
        <v>23.2</v>
      </c>
      <c r="OV26" s="93">
        <v>16.100000000000001</v>
      </c>
      <c r="OW26" s="93">
        <v>21.5</v>
      </c>
      <c r="OX26" s="93">
        <v>15.8</v>
      </c>
      <c r="OY26" s="93">
        <v>17</v>
      </c>
      <c r="OZ26" s="93">
        <v>11.7</v>
      </c>
      <c r="PA26" s="93">
        <v>22.7</v>
      </c>
      <c r="PB26" s="93">
        <v>16.399999999999999</v>
      </c>
      <c r="PC26" s="93">
        <v>2.8</v>
      </c>
      <c r="PD26" s="93">
        <v>15.3</v>
      </c>
      <c r="PE26" s="93">
        <v>10.5</v>
      </c>
      <c r="PF26" s="93">
        <v>25</v>
      </c>
      <c r="PG26" s="93">
        <v>11.6</v>
      </c>
      <c r="PH26" s="93">
        <v>0.2</v>
      </c>
      <c r="QT26" s="106" t="s">
        <v>1277</v>
      </c>
      <c r="QU26" s="106"/>
      <c r="QV26" s="106">
        <v>30.7</v>
      </c>
      <c r="QW26" s="106">
        <v>31</v>
      </c>
      <c r="QX26" s="106"/>
      <c r="QY26" s="106" t="s">
        <v>1137</v>
      </c>
      <c r="QZ26" s="106"/>
      <c r="RA26" s="106" t="s">
        <v>1137</v>
      </c>
      <c r="RB26" s="106"/>
      <c r="RC26" s="106"/>
      <c r="RD26" s="106"/>
      <c r="RE26" s="106">
        <v>42.8</v>
      </c>
      <c r="RF26" s="106">
        <v>12.1</v>
      </c>
      <c r="RG26" s="106">
        <v>11.55</v>
      </c>
      <c r="RH26" s="106"/>
      <c r="RI26" s="106"/>
      <c r="RJ26" s="106">
        <v>42.8</v>
      </c>
      <c r="RK26" s="106">
        <v>1.39413680781759</v>
      </c>
      <c r="RL26" s="106"/>
    </row>
    <row r="27" spans="1:480" x14ac:dyDescent="0.3">
      <c r="A27" s="93" t="str">
        <f>Table1[[#This Row],[ALG__REGEL]]&amp;"_"&amp;Table1[[#This Row],[BORING_NUMMER]]&amp;"_"&amp;Table1[[#This Row],[MONSTER_ID]]</f>
        <v>20_B01-K01_16-4452</v>
      </c>
      <c r="B27" s="93">
        <v>20</v>
      </c>
      <c r="C27" s="93" t="b">
        <v>0</v>
      </c>
      <c r="G27" s="93" t="b">
        <v>1</v>
      </c>
      <c r="H27" s="93" t="b">
        <v>0</v>
      </c>
      <c r="I27" s="93" t="b">
        <v>0</v>
      </c>
      <c r="J27" s="93" t="b">
        <v>1</v>
      </c>
      <c r="K27" s="93" t="s">
        <v>1278</v>
      </c>
      <c r="L27" s="93" t="s">
        <v>1279</v>
      </c>
      <c r="N27" s="93" t="s">
        <v>1383</v>
      </c>
      <c r="O27" s="93" t="s">
        <v>1145</v>
      </c>
      <c r="Q27" s="93" t="s">
        <v>1118</v>
      </c>
      <c r="V27" s="93">
        <v>78935.539999999994</v>
      </c>
      <c r="W27" s="93">
        <v>446497.69</v>
      </c>
      <c r="X27" s="93">
        <v>5.5E-2</v>
      </c>
      <c r="Y27" s="93" t="s">
        <v>1146</v>
      </c>
      <c r="Z27" s="93" t="s">
        <v>1147</v>
      </c>
      <c r="AA27" s="98">
        <v>45754</v>
      </c>
      <c r="AD27" s="93" t="s">
        <v>1279</v>
      </c>
      <c r="AF27" s="93" t="s">
        <v>1122</v>
      </c>
      <c r="AG27" s="93">
        <v>-1.9950000000000001</v>
      </c>
      <c r="AI27" s="93" t="s">
        <v>1158</v>
      </c>
      <c r="AK27" s="93" t="s">
        <v>1124</v>
      </c>
      <c r="AL27" s="93">
        <v>-6.7450000000000001</v>
      </c>
      <c r="AM27" s="93">
        <v>-7.1449999999999996</v>
      </c>
      <c r="AN27" s="93">
        <v>6.8</v>
      </c>
      <c r="AO27" s="93">
        <v>7.2</v>
      </c>
      <c r="AT27" s="93" t="s">
        <v>1279</v>
      </c>
      <c r="AW27" s="93" t="s">
        <v>1125</v>
      </c>
      <c r="AX27" s="93" t="s">
        <v>1126</v>
      </c>
      <c r="CJ27" s="103"/>
      <c r="EA27" s="93" t="s">
        <v>1159</v>
      </c>
      <c r="EC27" s="93" t="s">
        <v>1160</v>
      </c>
      <c r="ED27" s="93" t="s">
        <v>1279</v>
      </c>
      <c r="EE27" s="93" t="s">
        <v>1129</v>
      </c>
      <c r="EF27" s="98">
        <v>45903</v>
      </c>
      <c r="EG27" s="93" t="s">
        <v>1125</v>
      </c>
      <c r="EH27" s="93" t="s">
        <v>1126</v>
      </c>
      <c r="EI27" s="93">
        <v>-7.05</v>
      </c>
      <c r="EJ27" s="93">
        <v>67.900000000000006</v>
      </c>
      <c r="EK27" s="93">
        <v>14.2</v>
      </c>
      <c r="EL27" s="93">
        <v>7.3</v>
      </c>
      <c r="EM27" s="93">
        <v>94.2</v>
      </c>
      <c r="EN27" s="93">
        <v>55.8</v>
      </c>
      <c r="ER27" s="93">
        <v>63.5</v>
      </c>
      <c r="ES27" s="93">
        <v>22</v>
      </c>
      <c r="ET27" s="93">
        <v>22</v>
      </c>
      <c r="EU27" s="93">
        <v>13.18</v>
      </c>
      <c r="EV27" s="93">
        <v>0.5</v>
      </c>
      <c r="EW27" s="93">
        <v>-0.5</v>
      </c>
      <c r="EX27" s="93">
        <v>16</v>
      </c>
      <c r="EY27" s="93">
        <v>408.9</v>
      </c>
      <c r="EZ27" s="93">
        <v>305.3</v>
      </c>
      <c r="FA27" s="93">
        <v>274</v>
      </c>
      <c r="FB27" s="93">
        <v>75.8</v>
      </c>
      <c r="FC27" s="93">
        <v>686</v>
      </c>
      <c r="FD27" s="93">
        <v>0.2</v>
      </c>
      <c r="FE27" s="93">
        <v>80.2</v>
      </c>
      <c r="FF27" s="93">
        <v>7.99</v>
      </c>
      <c r="FG27" s="93">
        <v>110</v>
      </c>
      <c r="FH27" s="93">
        <v>1.7000000000000001E-2</v>
      </c>
      <c r="FI27" s="93">
        <v>0.20100000000000001</v>
      </c>
      <c r="FJ27" s="93">
        <v>1.5900000000000001E-2</v>
      </c>
      <c r="FP27" s="103"/>
      <c r="LL27" s="103"/>
      <c r="NH27" s="93" t="s">
        <v>1161</v>
      </c>
      <c r="NI27" s="93" t="s">
        <v>1162</v>
      </c>
      <c r="NJ27" s="93" t="s">
        <v>1158</v>
      </c>
      <c r="NK27" s="93" t="s">
        <v>1279</v>
      </c>
      <c r="NL27" s="93" t="s">
        <v>1132</v>
      </c>
      <c r="NM27" s="103">
        <v>45918</v>
      </c>
      <c r="NN27" s="93" t="s">
        <v>1125</v>
      </c>
      <c r="NO27" s="93" t="s">
        <v>1126</v>
      </c>
      <c r="NP27" s="93">
        <v>-6.9</v>
      </c>
      <c r="NQ27" s="93">
        <v>67.900000000000006</v>
      </c>
      <c r="NR27" s="93">
        <v>15.3</v>
      </c>
      <c r="NS27" s="93">
        <v>8.1</v>
      </c>
      <c r="NT27" s="93">
        <v>76.8</v>
      </c>
      <c r="NU27" s="93">
        <v>88.5</v>
      </c>
      <c r="NV27" s="93">
        <v>80</v>
      </c>
      <c r="NY27" s="93">
        <v>20</v>
      </c>
      <c r="NZ27" s="93">
        <v>20</v>
      </c>
      <c r="OA27" s="93">
        <v>66</v>
      </c>
      <c r="OB27" s="93">
        <v>135</v>
      </c>
      <c r="OC27" s="93" t="s">
        <v>1133</v>
      </c>
      <c r="OD27" s="93" t="s">
        <v>1134</v>
      </c>
      <c r="OE27" s="93" t="s">
        <v>1134</v>
      </c>
      <c r="OF27" s="93">
        <v>300</v>
      </c>
      <c r="OG27" s="93" t="s">
        <v>1135</v>
      </c>
      <c r="OH27" s="93">
        <v>0.49</v>
      </c>
      <c r="OI27" s="93" t="s">
        <v>1136</v>
      </c>
      <c r="OJ27" s="93">
        <v>33</v>
      </c>
      <c r="OK27" s="93">
        <v>0</v>
      </c>
      <c r="ON27" s="93">
        <v>50.7</v>
      </c>
      <c r="OO27" s="93">
        <v>17.3</v>
      </c>
      <c r="OP27" s="93">
        <v>1</v>
      </c>
      <c r="OQ27" s="93">
        <v>7.3</v>
      </c>
      <c r="OR27" s="93">
        <v>9.3000000000000007</v>
      </c>
      <c r="OS27" s="93">
        <v>25</v>
      </c>
      <c r="OT27" s="93">
        <v>1</v>
      </c>
      <c r="OU27" s="93">
        <v>47.4</v>
      </c>
      <c r="OV27" s="93">
        <v>29.8</v>
      </c>
      <c r="OW27" s="93">
        <v>45.3</v>
      </c>
      <c r="OX27" s="93">
        <v>31</v>
      </c>
      <c r="OY27" s="93">
        <v>41.7</v>
      </c>
      <c r="OZ27" s="93">
        <v>27.5</v>
      </c>
      <c r="PA27" s="93">
        <v>45</v>
      </c>
      <c r="PB27" s="93">
        <v>31.1</v>
      </c>
      <c r="PC27" s="93">
        <v>6</v>
      </c>
      <c r="PD27" s="93">
        <v>37.200000000000003</v>
      </c>
      <c r="PE27" s="93">
        <v>22.7</v>
      </c>
      <c r="PF27" s="93">
        <v>25</v>
      </c>
      <c r="PG27" s="93">
        <v>28.8</v>
      </c>
      <c r="PH27" s="93">
        <v>0.2</v>
      </c>
      <c r="QT27" s="106" t="s">
        <v>1277</v>
      </c>
      <c r="QU27" s="106"/>
      <c r="QV27" s="106">
        <v>67.900000000000006</v>
      </c>
      <c r="QW27" s="106">
        <v>68</v>
      </c>
      <c r="QX27" s="106"/>
      <c r="QY27" s="106" t="s">
        <v>1137</v>
      </c>
      <c r="QZ27" s="106"/>
      <c r="RA27" s="106" t="s">
        <v>1137</v>
      </c>
      <c r="RB27" s="106"/>
      <c r="RC27" s="106"/>
      <c r="RD27" s="106"/>
      <c r="RE27" s="106">
        <v>80.2</v>
      </c>
      <c r="RF27" s="106">
        <v>12.3</v>
      </c>
      <c r="RG27" s="106">
        <v>10.15</v>
      </c>
      <c r="RH27" s="106"/>
      <c r="RI27" s="106"/>
      <c r="RJ27" s="106">
        <v>80.2</v>
      </c>
      <c r="RK27" s="106">
        <v>1.181148748159057</v>
      </c>
      <c r="RL27" s="106"/>
    </row>
    <row r="28" spans="1:480" x14ac:dyDescent="0.3">
      <c r="A28" s="93" t="str">
        <f>Table1[[#This Row],[ALG__REGEL]]&amp;"_"&amp;Table1[[#This Row],[BORING_NUMMER]]&amp;"_"&amp;Table1[[#This Row],[MONSTER_ID]]</f>
        <v>21_B02-AL01_11-22463</v>
      </c>
      <c r="B28" s="93">
        <v>21</v>
      </c>
      <c r="C28" s="93" t="b">
        <v>0</v>
      </c>
      <c r="G28" s="93" t="b">
        <v>1</v>
      </c>
      <c r="H28" s="93" t="b">
        <v>0</v>
      </c>
      <c r="I28" s="93" t="b">
        <v>0</v>
      </c>
      <c r="J28" s="93" t="b">
        <v>1</v>
      </c>
      <c r="K28" s="93" t="s">
        <v>1278</v>
      </c>
      <c r="L28" s="93" t="s">
        <v>1279</v>
      </c>
      <c r="N28" s="93" t="s">
        <v>1383</v>
      </c>
      <c r="O28" s="93" t="s">
        <v>1168</v>
      </c>
      <c r="Q28" s="93" t="s">
        <v>1118</v>
      </c>
      <c r="V28" s="93">
        <v>87074.07</v>
      </c>
      <c r="W28" s="93">
        <v>441147.4</v>
      </c>
      <c r="X28" s="93">
        <v>-1.768</v>
      </c>
      <c r="Y28" s="93" t="s">
        <v>1169</v>
      </c>
      <c r="Z28" s="93" t="s">
        <v>1120</v>
      </c>
      <c r="AA28" s="98">
        <v>45936</v>
      </c>
      <c r="AD28" s="93" t="s">
        <v>1279</v>
      </c>
      <c r="AF28" s="93" t="s">
        <v>1122</v>
      </c>
      <c r="AG28" s="93">
        <v>-3.298</v>
      </c>
      <c r="AI28" s="93" t="s">
        <v>1170</v>
      </c>
      <c r="AK28" s="93" t="s">
        <v>1124</v>
      </c>
      <c r="AL28" s="93">
        <v>-6.5679999999999996</v>
      </c>
      <c r="AM28" s="93">
        <v>-6.968</v>
      </c>
      <c r="AN28" s="93">
        <v>4.8</v>
      </c>
      <c r="AO28" s="93">
        <v>5.2</v>
      </c>
      <c r="AT28" s="93" t="s">
        <v>1279</v>
      </c>
      <c r="AW28" s="93" t="s">
        <v>1171</v>
      </c>
      <c r="AX28" s="93" t="s">
        <v>1172</v>
      </c>
      <c r="CJ28" s="103"/>
      <c r="EA28" s="93" t="s">
        <v>1173</v>
      </c>
      <c r="EC28" s="93" t="s">
        <v>1174</v>
      </c>
      <c r="ED28" s="93" t="s">
        <v>1279</v>
      </c>
      <c r="EE28" s="93" t="s">
        <v>1129</v>
      </c>
      <c r="EF28" s="98">
        <v>45855</v>
      </c>
      <c r="EG28" s="93" t="s">
        <v>1171</v>
      </c>
      <c r="EH28" s="93" t="s">
        <v>1172</v>
      </c>
      <c r="EI28" s="93">
        <v>-6.89</v>
      </c>
      <c r="EJ28" s="93">
        <v>51.6</v>
      </c>
      <c r="EK28" s="93">
        <v>14.4</v>
      </c>
      <c r="EL28" s="93">
        <v>8</v>
      </c>
      <c r="EM28" s="93">
        <v>79.900000000000006</v>
      </c>
      <c r="EN28" s="93">
        <v>51.1</v>
      </c>
      <c r="ER28" s="93">
        <v>63.5</v>
      </c>
      <c r="ES28" s="93">
        <v>22</v>
      </c>
      <c r="ET28" s="93">
        <v>21.95</v>
      </c>
      <c r="EU28" s="93">
        <v>15.27</v>
      </c>
      <c r="EV28" s="93">
        <v>0.5</v>
      </c>
      <c r="EW28" s="93">
        <v>-0.5</v>
      </c>
      <c r="EX28" s="93">
        <v>16</v>
      </c>
      <c r="EY28" s="93">
        <v>307</v>
      </c>
      <c r="EZ28" s="93">
        <v>233.6</v>
      </c>
      <c r="FA28" s="93">
        <v>203.2</v>
      </c>
      <c r="FB28" s="93">
        <v>53.8</v>
      </c>
      <c r="FC28" s="93">
        <v>512.9</v>
      </c>
      <c r="FD28" s="93">
        <v>0.3</v>
      </c>
      <c r="FE28" s="93">
        <v>68</v>
      </c>
      <c r="FF28" s="93">
        <v>7.06</v>
      </c>
      <c r="FG28" s="93">
        <v>110</v>
      </c>
      <c r="FH28" s="93">
        <v>1.6199999999999999E-2</v>
      </c>
      <c r="FI28" s="93">
        <v>0.14599999999999999</v>
      </c>
      <c r="FJ28" s="93">
        <v>9.2999999999999992E-3</v>
      </c>
      <c r="FP28" s="103"/>
      <c r="LL28" s="103"/>
      <c r="NH28" s="93" t="s">
        <v>1175</v>
      </c>
      <c r="NI28" s="93" t="s">
        <v>1176</v>
      </c>
      <c r="NJ28" s="93" t="s">
        <v>1170</v>
      </c>
      <c r="NK28" s="93" t="s">
        <v>1279</v>
      </c>
      <c r="NL28" s="93" t="s">
        <v>1132</v>
      </c>
      <c r="NM28" s="103">
        <v>45869</v>
      </c>
      <c r="NN28" s="93" t="s">
        <v>1171</v>
      </c>
      <c r="NO28" s="93" t="s">
        <v>1172</v>
      </c>
      <c r="NP28" s="93">
        <v>-6.74</v>
      </c>
      <c r="NQ28" s="93">
        <v>46.7</v>
      </c>
      <c r="NR28" s="93">
        <v>15.5</v>
      </c>
      <c r="NS28" s="93">
        <v>9.5</v>
      </c>
      <c r="NT28" s="93">
        <v>68.3</v>
      </c>
      <c r="NU28" s="93">
        <v>63.3</v>
      </c>
      <c r="NV28" s="93">
        <v>70</v>
      </c>
      <c r="NY28" s="93">
        <v>20</v>
      </c>
      <c r="NZ28" s="93">
        <v>20</v>
      </c>
      <c r="OA28" s="93">
        <v>66</v>
      </c>
      <c r="OB28" s="93">
        <v>135</v>
      </c>
      <c r="OC28" s="93" t="s">
        <v>1133</v>
      </c>
      <c r="OD28" s="93" t="s">
        <v>1134</v>
      </c>
      <c r="OE28" s="93" t="s">
        <v>1134</v>
      </c>
      <c r="OF28" s="93">
        <v>300</v>
      </c>
      <c r="OG28" s="93" t="s">
        <v>1135</v>
      </c>
      <c r="OH28" s="93">
        <v>0.55000000000000004</v>
      </c>
      <c r="OI28" s="93" t="s">
        <v>1136</v>
      </c>
      <c r="OJ28" s="93">
        <v>26</v>
      </c>
      <c r="OK28" s="93">
        <v>0</v>
      </c>
      <c r="ON28" s="93">
        <v>36.4</v>
      </c>
      <c r="OO28" s="93">
        <v>10.6</v>
      </c>
      <c r="OP28" s="93">
        <v>1</v>
      </c>
      <c r="OQ28" s="93">
        <v>4.2</v>
      </c>
      <c r="OR28" s="93">
        <v>4.7</v>
      </c>
      <c r="OS28" s="93">
        <v>25</v>
      </c>
      <c r="OT28" s="93">
        <v>1</v>
      </c>
      <c r="OU28" s="93">
        <v>37</v>
      </c>
      <c r="OV28" s="93">
        <v>22.4</v>
      </c>
      <c r="OW28" s="93">
        <v>37.9</v>
      </c>
      <c r="OX28" s="93">
        <v>26.5</v>
      </c>
      <c r="OY28" s="93">
        <v>34.9</v>
      </c>
      <c r="OZ28" s="93">
        <v>23.6</v>
      </c>
      <c r="PA28" s="93">
        <v>37.700000000000003</v>
      </c>
      <c r="PB28" s="93">
        <v>26.9</v>
      </c>
      <c r="PC28" s="93">
        <v>6.5</v>
      </c>
      <c r="PD28" s="93">
        <v>31.3</v>
      </c>
      <c r="PE28" s="93">
        <v>19.8</v>
      </c>
      <c r="PF28" s="93">
        <v>25</v>
      </c>
      <c r="PG28" s="93">
        <v>4.7</v>
      </c>
      <c r="PH28" s="93">
        <v>0.8</v>
      </c>
      <c r="QT28" s="106" t="s">
        <v>1277</v>
      </c>
      <c r="QU28" s="106"/>
      <c r="QV28" s="106">
        <v>51.6</v>
      </c>
      <c r="QW28" s="106">
        <v>47</v>
      </c>
      <c r="QX28" s="106"/>
      <c r="QY28" s="106" t="s">
        <v>1137</v>
      </c>
      <c r="QZ28" s="106"/>
      <c r="RA28" s="106" t="s">
        <v>1137</v>
      </c>
      <c r="RB28" s="106"/>
      <c r="RC28" s="106"/>
      <c r="RD28" s="106"/>
      <c r="RE28" s="106">
        <v>68</v>
      </c>
      <c r="RF28" s="106">
        <v>16.399999999999999</v>
      </c>
      <c r="RG28" s="106">
        <v>20.06666666666667</v>
      </c>
      <c r="RH28" s="106"/>
      <c r="RI28" s="106"/>
      <c r="RJ28" s="106">
        <v>68</v>
      </c>
      <c r="RK28" s="106">
        <v>1.317829457364341</v>
      </c>
      <c r="RL28" s="106"/>
    </row>
    <row r="29" spans="1:480" x14ac:dyDescent="0.3">
      <c r="A29" s="93" t="str">
        <f>Table1[[#This Row],[ALG__REGEL]]&amp;"_"&amp;Table1[[#This Row],[BORING_NUMMER]]&amp;"_"&amp;Table1[[#This Row],[MONSTER_ID]]</f>
        <v>22_B02-AL01_19-782</v>
      </c>
      <c r="B29" s="93">
        <v>22</v>
      </c>
      <c r="C29" s="93" t="b">
        <v>0</v>
      </c>
      <c r="G29" s="93" t="b">
        <v>1</v>
      </c>
      <c r="H29" s="93" t="b">
        <v>0</v>
      </c>
      <c r="I29" s="93" t="b">
        <v>0</v>
      </c>
      <c r="J29" s="93" t="b">
        <v>1</v>
      </c>
      <c r="K29" s="93" t="s">
        <v>1278</v>
      </c>
      <c r="L29" s="93" t="s">
        <v>1279</v>
      </c>
      <c r="N29" s="93" t="s">
        <v>1383</v>
      </c>
      <c r="O29" s="93" t="s">
        <v>1168</v>
      </c>
      <c r="Q29" s="93" t="s">
        <v>1118</v>
      </c>
      <c r="V29" s="93">
        <v>87074.07</v>
      </c>
      <c r="W29" s="93">
        <v>441147.4</v>
      </c>
      <c r="X29" s="93">
        <v>-1.768</v>
      </c>
      <c r="Y29" s="93" t="s">
        <v>1169</v>
      </c>
      <c r="Z29" s="93" t="s">
        <v>1120</v>
      </c>
      <c r="AA29" s="98">
        <v>45936</v>
      </c>
      <c r="AD29" s="93" t="s">
        <v>1279</v>
      </c>
      <c r="AF29" s="93" t="s">
        <v>1122</v>
      </c>
      <c r="AG29" s="93">
        <v>-3.298</v>
      </c>
      <c r="AI29" s="93" t="s">
        <v>1186</v>
      </c>
      <c r="AK29" s="93" t="s">
        <v>1124</v>
      </c>
      <c r="AL29" s="93">
        <v>-9.7680000000000007</v>
      </c>
      <c r="AM29" s="93">
        <v>-10.167999999999999</v>
      </c>
      <c r="AN29" s="93">
        <v>8</v>
      </c>
      <c r="AO29" s="93">
        <v>8.4</v>
      </c>
      <c r="AT29" s="93" t="s">
        <v>1279</v>
      </c>
      <c r="AV29" s="103"/>
      <c r="AW29" s="93" t="s">
        <v>1187</v>
      </c>
      <c r="AX29" s="93" t="s">
        <v>1140</v>
      </c>
      <c r="CJ29" s="103"/>
      <c r="EA29" s="93" t="s">
        <v>1188</v>
      </c>
      <c r="EC29" s="93" t="s">
        <v>1189</v>
      </c>
      <c r="ED29" s="93" t="s">
        <v>1279</v>
      </c>
      <c r="EE29" s="93" t="s">
        <v>1129</v>
      </c>
      <c r="EF29" s="98">
        <v>45874</v>
      </c>
      <c r="EG29" s="93" t="s">
        <v>1187</v>
      </c>
      <c r="EH29" s="93" t="s">
        <v>1140</v>
      </c>
      <c r="EI29" s="93">
        <v>-10.09</v>
      </c>
      <c r="EJ29" s="93">
        <v>52.7</v>
      </c>
      <c r="EK29" s="93">
        <v>15.7</v>
      </c>
      <c r="EL29" s="93">
        <v>9.1999999999999993</v>
      </c>
      <c r="EM29" s="93">
        <v>71.599999999999994</v>
      </c>
      <c r="EN29" s="93">
        <v>46.8</v>
      </c>
      <c r="ER29" s="93">
        <v>63.5</v>
      </c>
      <c r="ES29" s="93">
        <v>22</v>
      </c>
      <c r="ET29" s="93">
        <v>21.95</v>
      </c>
      <c r="EU29" s="93">
        <v>16.95</v>
      </c>
      <c r="EV29" s="93">
        <v>0.5</v>
      </c>
      <c r="EW29" s="93">
        <v>-0.5</v>
      </c>
      <c r="EX29" s="93">
        <v>16</v>
      </c>
      <c r="EY29" s="93">
        <v>309</v>
      </c>
      <c r="EZ29" s="93">
        <v>239.3</v>
      </c>
      <c r="FA29" s="93">
        <v>206.8</v>
      </c>
      <c r="FB29" s="93">
        <v>56.7</v>
      </c>
      <c r="FC29" s="93">
        <v>516.1</v>
      </c>
      <c r="FD29" s="93">
        <v>0.1</v>
      </c>
      <c r="FE29" s="93">
        <v>77.900000000000006</v>
      </c>
      <c r="FF29" s="93">
        <v>3.89</v>
      </c>
      <c r="FG29" s="93">
        <v>145</v>
      </c>
      <c r="FH29" s="93">
        <v>8.6E-3</v>
      </c>
      <c r="FI29" s="93">
        <v>0.11700000000000001</v>
      </c>
      <c r="FJ29" s="93">
        <v>7.3000000000000001E-3</v>
      </c>
      <c r="FP29" s="103"/>
      <c r="LL29" s="103"/>
      <c r="NH29" s="93" t="s">
        <v>1190</v>
      </c>
      <c r="NI29" s="93" t="s">
        <v>1191</v>
      </c>
      <c r="NJ29" s="93" t="s">
        <v>1186</v>
      </c>
      <c r="NK29" s="93" t="s">
        <v>1279</v>
      </c>
      <c r="NL29" s="93" t="s">
        <v>1132</v>
      </c>
      <c r="NM29" s="103">
        <v>45517</v>
      </c>
      <c r="NN29" s="93" t="s">
        <v>1187</v>
      </c>
      <c r="NO29" s="93" t="s">
        <v>1140</v>
      </c>
      <c r="NP29" s="93">
        <v>-9.94</v>
      </c>
      <c r="NQ29" s="93">
        <v>52.7</v>
      </c>
      <c r="NR29" s="93">
        <v>15.6</v>
      </c>
      <c r="NS29" s="93">
        <v>9.9</v>
      </c>
      <c r="NT29" s="93">
        <v>62.8</v>
      </c>
      <c r="NU29" s="93">
        <v>57.6</v>
      </c>
      <c r="NV29" s="93">
        <v>68</v>
      </c>
      <c r="NY29" s="93">
        <v>20</v>
      </c>
      <c r="NZ29" s="93">
        <v>20</v>
      </c>
      <c r="OA29" s="93">
        <v>66</v>
      </c>
      <c r="OB29" s="93">
        <v>135</v>
      </c>
      <c r="OC29" s="93" t="s">
        <v>1133</v>
      </c>
      <c r="OD29" s="93" t="s">
        <v>1134</v>
      </c>
      <c r="OE29" s="93" t="s">
        <v>1134</v>
      </c>
      <c r="OF29" s="93">
        <v>300</v>
      </c>
      <c r="OG29" s="93" t="s">
        <v>1135</v>
      </c>
      <c r="OH29" s="93">
        <v>0.55000000000000004</v>
      </c>
      <c r="OI29" s="93" t="s">
        <v>1136</v>
      </c>
      <c r="OJ29" s="93">
        <v>29</v>
      </c>
      <c r="OK29" s="93">
        <v>0</v>
      </c>
      <c r="ON29" s="93">
        <v>41.1</v>
      </c>
      <c r="OO29" s="93">
        <v>11.9</v>
      </c>
      <c r="OP29" s="93">
        <v>1</v>
      </c>
      <c r="OQ29" s="93">
        <v>3.6</v>
      </c>
      <c r="OR29" s="93">
        <v>4.8</v>
      </c>
      <c r="OS29" s="93">
        <v>25</v>
      </c>
      <c r="OT29" s="93">
        <v>1</v>
      </c>
      <c r="OU29" s="93">
        <v>38.200000000000003</v>
      </c>
      <c r="OV29" s="93">
        <v>23.6</v>
      </c>
      <c r="OW29" s="93">
        <v>36.6</v>
      </c>
      <c r="OX29" s="93">
        <v>25.2</v>
      </c>
      <c r="OY29" s="93">
        <v>32</v>
      </c>
      <c r="OZ29" s="93">
        <v>21.9</v>
      </c>
      <c r="PA29" s="93">
        <v>36.9</v>
      </c>
      <c r="PB29" s="93">
        <v>25.3</v>
      </c>
      <c r="PC29" s="93">
        <v>4.5</v>
      </c>
      <c r="PD29" s="93">
        <v>28</v>
      </c>
      <c r="PE29" s="93">
        <v>18.600000000000001</v>
      </c>
      <c r="PF29" s="93">
        <v>25</v>
      </c>
      <c r="PG29" s="93">
        <v>11.9</v>
      </c>
      <c r="PH29" s="93">
        <v>0.3</v>
      </c>
      <c r="QT29" s="106" t="s">
        <v>1277</v>
      </c>
      <c r="QU29" s="106"/>
      <c r="QV29" s="106">
        <v>52.7</v>
      </c>
      <c r="QW29" s="106">
        <v>53</v>
      </c>
      <c r="QX29" s="106"/>
      <c r="QY29" s="106" t="s">
        <v>1137</v>
      </c>
      <c r="QZ29" s="106"/>
      <c r="RA29" s="106" t="s">
        <v>1137</v>
      </c>
      <c r="RB29" s="106"/>
      <c r="RC29" s="106"/>
      <c r="RD29" s="106"/>
      <c r="RE29" s="106">
        <v>77.900000000000006</v>
      </c>
      <c r="RF29" s="106">
        <v>25.2</v>
      </c>
      <c r="RG29" s="106">
        <v>20.06666666666667</v>
      </c>
      <c r="RH29" s="106"/>
      <c r="RI29" s="106"/>
      <c r="RJ29" s="106">
        <v>77.900000000000006</v>
      </c>
      <c r="RK29" s="106">
        <v>1.478178368121442</v>
      </c>
      <c r="RL29" s="106"/>
    </row>
    <row r="30" spans="1:480" x14ac:dyDescent="0.3">
      <c r="A30" s="93" t="str">
        <f>Table1[[#This Row],[ALG__REGEL]]&amp;"_"&amp;Table1[[#This Row],[BORING_NUMMER]]&amp;"_"&amp;Table1[[#This Row],[MONSTER_ID]]</f>
        <v>23_B02-K02_4-10346</v>
      </c>
      <c r="B30" s="93">
        <v>23</v>
      </c>
      <c r="C30" s="93" t="b">
        <v>0</v>
      </c>
      <c r="G30" s="93" t="b">
        <v>1</v>
      </c>
      <c r="H30" s="93" t="b">
        <v>0</v>
      </c>
      <c r="I30" s="93" t="b">
        <v>0</v>
      </c>
      <c r="J30" s="93" t="b">
        <v>1</v>
      </c>
      <c r="K30" s="93" t="s">
        <v>1278</v>
      </c>
      <c r="L30" s="93" t="s">
        <v>1279</v>
      </c>
      <c r="N30" s="93" t="s">
        <v>1383</v>
      </c>
      <c r="O30" s="93" t="s">
        <v>1192</v>
      </c>
      <c r="Q30" s="93" t="s">
        <v>1118</v>
      </c>
      <c r="V30" s="93">
        <v>87083.63</v>
      </c>
      <c r="W30" s="93">
        <v>441148.12</v>
      </c>
      <c r="X30" s="93">
        <v>-0.20499999999999999</v>
      </c>
      <c r="Y30" s="93" t="s">
        <v>1200</v>
      </c>
      <c r="Z30" s="93" t="s">
        <v>1147</v>
      </c>
      <c r="AA30" s="98">
        <v>45967</v>
      </c>
      <c r="AD30" s="93" t="s">
        <v>1279</v>
      </c>
      <c r="AF30" s="93" t="s">
        <v>1122</v>
      </c>
      <c r="AG30" s="93">
        <v>-3.1549999999999998</v>
      </c>
      <c r="AI30" s="93" t="s">
        <v>1201</v>
      </c>
      <c r="AK30" s="93" t="s">
        <v>1124</v>
      </c>
      <c r="AL30" s="93">
        <v>-2.2050000000000001</v>
      </c>
      <c r="AM30" s="93">
        <v>-2.605</v>
      </c>
      <c r="AN30" s="93">
        <v>2</v>
      </c>
      <c r="AO30" s="93">
        <v>2.4</v>
      </c>
      <c r="AT30" s="93" t="s">
        <v>1279</v>
      </c>
      <c r="AW30" s="93" t="s">
        <v>1202</v>
      </c>
      <c r="AX30" s="93" t="s">
        <v>1203</v>
      </c>
      <c r="CJ30" s="103"/>
      <c r="EA30" s="93" t="s">
        <v>1204</v>
      </c>
      <c r="EC30" s="93" t="s">
        <v>1205</v>
      </c>
      <c r="ED30" s="93" t="s">
        <v>1279</v>
      </c>
      <c r="EE30" s="93" t="s">
        <v>1129</v>
      </c>
      <c r="EF30" s="98">
        <v>0</v>
      </c>
      <c r="EG30" s="93" t="s">
        <v>1202</v>
      </c>
      <c r="EH30" s="93" t="s">
        <v>1203</v>
      </c>
      <c r="EI30" s="93">
        <v>-2.89</v>
      </c>
      <c r="EJ30" s="93">
        <v>34.200000000000003</v>
      </c>
      <c r="EK30" s="93">
        <v>15.3</v>
      </c>
      <c r="EL30" s="93">
        <v>8.8000000000000007</v>
      </c>
      <c r="EM30" s="93">
        <v>74</v>
      </c>
      <c r="EN30" s="93">
        <v>41.8</v>
      </c>
      <c r="ER30" s="93">
        <v>63.5</v>
      </c>
      <c r="ES30" s="93">
        <v>22</v>
      </c>
      <c r="ET30" s="93">
        <v>21.94</v>
      </c>
      <c r="EU30" s="93">
        <v>16.3</v>
      </c>
      <c r="EV30" s="93">
        <v>0.5</v>
      </c>
      <c r="EW30" s="93">
        <v>-0.5</v>
      </c>
      <c r="EX30" s="93">
        <v>16</v>
      </c>
      <c r="EY30" s="93">
        <v>202.4</v>
      </c>
      <c r="EZ30" s="93">
        <v>148.1</v>
      </c>
      <c r="FA30" s="93">
        <v>134.30000000000001</v>
      </c>
      <c r="FB30" s="93">
        <v>34.700000000000003</v>
      </c>
      <c r="FC30" s="93">
        <v>339.1</v>
      </c>
      <c r="FD30" s="93">
        <v>1.1000000000000001</v>
      </c>
      <c r="FE30" s="93">
        <v>45.7</v>
      </c>
      <c r="FF30" s="93">
        <v>11.45</v>
      </c>
      <c r="FG30" s="93">
        <v>160</v>
      </c>
      <c r="FH30" s="93">
        <v>6.7000000000000002E-3</v>
      </c>
      <c r="FI30" s="93">
        <v>9.2999999999999999E-2</v>
      </c>
      <c r="FJ30" s="93">
        <v>7.1999999999999998E-3</v>
      </c>
      <c r="FP30" s="103"/>
      <c r="LL30" s="103"/>
      <c r="NH30" s="93" t="s">
        <v>1206</v>
      </c>
      <c r="NI30" s="93" t="s">
        <v>1207</v>
      </c>
      <c r="NJ30" s="93" t="s">
        <v>1201</v>
      </c>
      <c r="NK30" s="93" t="s">
        <v>1279</v>
      </c>
      <c r="NL30" s="93" t="s">
        <v>1132</v>
      </c>
      <c r="NM30" s="103">
        <v>45725</v>
      </c>
      <c r="NN30" s="93" t="s">
        <v>1202</v>
      </c>
      <c r="NO30" s="93" t="s">
        <v>1203</v>
      </c>
      <c r="NP30" s="93">
        <v>-2.69</v>
      </c>
      <c r="NQ30" s="93">
        <v>34.299999999999997</v>
      </c>
      <c r="NR30" s="93">
        <v>15.7</v>
      </c>
      <c r="NS30" s="93">
        <v>9.1</v>
      </c>
      <c r="NT30" s="93">
        <v>62</v>
      </c>
      <c r="NU30" s="93">
        <v>72.3</v>
      </c>
      <c r="NV30" s="93">
        <v>73.3</v>
      </c>
      <c r="NY30" s="93">
        <v>20</v>
      </c>
      <c r="NZ30" s="93">
        <v>20</v>
      </c>
      <c r="OA30" s="93">
        <v>66</v>
      </c>
      <c r="OB30" s="93">
        <v>135</v>
      </c>
      <c r="OC30" s="93" t="s">
        <v>1133</v>
      </c>
      <c r="OD30" s="93" t="s">
        <v>1134</v>
      </c>
      <c r="OE30" s="93" t="s">
        <v>1134</v>
      </c>
      <c r="OF30" s="93">
        <v>300</v>
      </c>
      <c r="OG30" s="93" t="s">
        <v>1135</v>
      </c>
      <c r="OH30" s="93">
        <v>0.52</v>
      </c>
      <c r="OI30" s="93" t="s">
        <v>1136</v>
      </c>
      <c r="OJ30" s="93">
        <v>18</v>
      </c>
      <c r="OK30" s="93">
        <v>0</v>
      </c>
      <c r="ON30" s="93">
        <v>34</v>
      </c>
      <c r="OO30" s="93">
        <v>0</v>
      </c>
      <c r="OP30" s="93">
        <v>1</v>
      </c>
      <c r="OQ30" s="93">
        <v>6.6</v>
      </c>
      <c r="OR30" s="93">
        <v>14.3</v>
      </c>
      <c r="OS30" s="93">
        <v>25</v>
      </c>
      <c r="OT30" s="93">
        <v>0.3</v>
      </c>
      <c r="OU30" s="93">
        <v>24.7</v>
      </c>
      <c r="OV30" s="93">
        <v>13.2</v>
      </c>
      <c r="OW30" s="93">
        <v>24.4</v>
      </c>
      <c r="OX30" s="93">
        <v>14.2</v>
      </c>
      <c r="OY30" s="93">
        <v>26.8</v>
      </c>
      <c r="OZ30" s="93">
        <v>16.3</v>
      </c>
      <c r="PA30" s="93">
        <v>27.7</v>
      </c>
      <c r="PB30" s="93">
        <v>16.600000000000001</v>
      </c>
      <c r="PC30" s="93">
        <v>17.399999999999999</v>
      </c>
      <c r="PD30" s="93">
        <v>27.5</v>
      </c>
      <c r="PE30" s="93">
        <v>16.2</v>
      </c>
      <c r="PF30" s="93">
        <v>25</v>
      </c>
      <c r="PG30" s="93">
        <v>7.7</v>
      </c>
      <c r="PH30" s="93">
        <v>0.3</v>
      </c>
      <c r="QT30" s="106" t="s">
        <v>1277</v>
      </c>
      <c r="QU30" s="106"/>
      <c r="QV30" s="106">
        <v>34.299999999999997</v>
      </c>
      <c r="QW30" s="106">
        <v>34</v>
      </c>
      <c r="QX30" s="106"/>
      <c r="QY30" s="106" t="s">
        <v>1137</v>
      </c>
      <c r="QZ30" s="106"/>
      <c r="RA30" s="106" t="s">
        <v>1137</v>
      </c>
      <c r="RB30" s="106"/>
      <c r="RC30" s="106"/>
      <c r="RD30" s="106"/>
      <c r="RE30" s="106">
        <v>45.7</v>
      </c>
      <c r="RF30" s="106">
        <v>11.400000000000009</v>
      </c>
      <c r="RG30" s="106">
        <v>8.9000000000000057</v>
      </c>
      <c r="RH30" s="106"/>
      <c r="RI30" s="106"/>
      <c r="RJ30" s="106">
        <v>45.7</v>
      </c>
      <c r="RK30" s="106">
        <v>1.332361516034986</v>
      </c>
      <c r="RL30" s="106"/>
    </row>
    <row r="31" spans="1:480" x14ac:dyDescent="0.3">
      <c r="A31" s="93" t="str">
        <f>Table1[[#This Row],[ALG__REGEL]]&amp;"_"&amp;Table1[[#This Row],[BORING_NUMMER]]&amp;"_"&amp;Table1[[#This Row],[MONSTER_ID]]</f>
        <v>24_B05-AL01_5-B498</v>
      </c>
      <c r="B31" s="93">
        <v>24</v>
      </c>
      <c r="C31" s="93" t="b">
        <v>0</v>
      </c>
      <c r="G31" s="93" t="b">
        <v>1</v>
      </c>
      <c r="H31" s="93" t="b">
        <v>0</v>
      </c>
      <c r="I31" s="93" t="b">
        <v>0</v>
      </c>
      <c r="J31" s="93" t="b">
        <v>1</v>
      </c>
      <c r="K31" s="93" t="s">
        <v>1278</v>
      </c>
      <c r="L31" s="93" t="s">
        <v>1279</v>
      </c>
      <c r="N31" s="93" t="s">
        <v>1383</v>
      </c>
      <c r="O31" s="93" t="s">
        <v>1311</v>
      </c>
      <c r="Q31" s="93" t="s">
        <v>1118</v>
      </c>
      <c r="V31" s="93">
        <v>79766.259999999995</v>
      </c>
      <c r="W31" s="93">
        <v>444159.69</v>
      </c>
      <c r="X31" s="93">
        <v>-2.2610000000000001</v>
      </c>
      <c r="Y31" s="93" t="s">
        <v>1312</v>
      </c>
      <c r="Z31" s="93" t="s">
        <v>1120</v>
      </c>
      <c r="AA31" s="98">
        <v>45695</v>
      </c>
      <c r="AD31" s="93" t="s">
        <v>1279</v>
      </c>
      <c r="AF31" s="93" t="s">
        <v>1122</v>
      </c>
      <c r="AG31" s="93">
        <v>-2.9609999999999999</v>
      </c>
      <c r="AI31" s="93" t="s">
        <v>1313</v>
      </c>
      <c r="AK31" s="93" t="s">
        <v>1124</v>
      </c>
      <c r="AL31" s="93">
        <v>-4.6609999999999996</v>
      </c>
      <c r="AM31" s="93">
        <v>-5.0609999999999999</v>
      </c>
      <c r="AN31" s="93">
        <v>2.4</v>
      </c>
      <c r="AO31" s="93">
        <v>2.8</v>
      </c>
      <c r="AT31" s="93" t="s">
        <v>1279</v>
      </c>
      <c r="AW31" s="93" t="s">
        <v>1125</v>
      </c>
      <c r="AX31" s="93" t="s">
        <v>1126</v>
      </c>
      <c r="CJ31" s="103"/>
      <c r="EA31" s="93" t="s">
        <v>1314</v>
      </c>
      <c r="EC31" s="93" t="s">
        <v>1315</v>
      </c>
      <c r="ED31" s="93" t="s">
        <v>1279</v>
      </c>
      <c r="EE31" s="93" t="s">
        <v>1129</v>
      </c>
      <c r="EF31" s="98">
        <v>45903</v>
      </c>
      <c r="EG31" s="93" t="s">
        <v>1125</v>
      </c>
      <c r="EH31" s="93" t="s">
        <v>1126</v>
      </c>
      <c r="EI31" s="93">
        <v>-4.96</v>
      </c>
      <c r="EJ31" s="93">
        <v>13.2</v>
      </c>
      <c r="EK31" s="93">
        <v>13.7</v>
      </c>
      <c r="EL31" s="93">
        <v>6.7</v>
      </c>
      <c r="EM31" s="93">
        <v>104.6</v>
      </c>
      <c r="EN31" s="93">
        <v>72.400000000000006</v>
      </c>
      <c r="ER31" s="93">
        <v>63.5</v>
      </c>
      <c r="ES31" s="93">
        <v>22</v>
      </c>
      <c r="ET31" s="93">
        <v>21.95</v>
      </c>
      <c r="EU31" s="93">
        <v>16.29</v>
      </c>
      <c r="EV31" s="93">
        <v>0.5</v>
      </c>
      <c r="EW31" s="93">
        <v>-0.5</v>
      </c>
      <c r="EX31" s="93">
        <v>16</v>
      </c>
      <c r="EY31" s="93">
        <v>76.7</v>
      </c>
      <c r="EZ31" s="93">
        <v>55.8</v>
      </c>
      <c r="FA31" s="93">
        <v>51.6</v>
      </c>
      <c r="FB31" s="93">
        <v>13.3</v>
      </c>
      <c r="FC31" s="93">
        <v>130</v>
      </c>
      <c r="FD31" s="93">
        <v>0.5</v>
      </c>
      <c r="FE31" s="93">
        <v>22</v>
      </c>
      <c r="FF31" s="93">
        <v>3.23</v>
      </c>
      <c r="FG31" s="93">
        <v>36</v>
      </c>
      <c r="FH31" s="93">
        <v>1.09E-2</v>
      </c>
      <c r="FI31" s="93">
        <v>0.153</v>
      </c>
      <c r="FJ31" s="93">
        <v>1.17E-2</v>
      </c>
      <c r="FP31" s="103"/>
      <c r="LL31" s="103"/>
      <c r="NH31" s="93" t="s">
        <v>1316</v>
      </c>
      <c r="NI31" s="93" t="s">
        <v>1317</v>
      </c>
      <c r="NJ31" s="93" t="s">
        <v>1313</v>
      </c>
      <c r="NK31" s="93" t="s">
        <v>1279</v>
      </c>
      <c r="NL31" s="93" t="s">
        <v>1132</v>
      </c>
      <c r="NM31" s="103">
        <v>45918</v>
      </c>
      <c r="NN31" s="93" t="s">
        <v>1125</v>
      </c>
      <c r="NO31" s="93" t="s">
        <v>1126</v>
      </c>
      <c r="NP31" s="93">
        <v>-4.8099999999999996</v>
      </c>
      <c r="NQ31" s="93">
        <v>13.2</v>
      </c>
      <c r="NR31" s="93">
        <v>14.5</v>
      </c>
      <c r="NS31" s="93">
        <v>7.6</v>
      </c>
      <c r="NT31" s="93">
        <v>98</v>
      </c>
      <c r="NU31" s="93">
        <v>91.8</v>
      </c>
      <c r="NV31" s="93">
        <v>100</v>
      </c>
      <c r="NY31" s="93">
        <v>20</v>
      </c>
      <c r="NZ31" s="93">
        <v>20</v>
      </c>
      <c r="OA31" s="93">
        <v>66</v>
      </c>
      <c r="OB31" s="93">
        <v>135</v>
      </c>
      <c r="OC31" s="93" t="s">
        <v>1133</v>
      </c>
      <c r="OD31" s="93" t="s">
        <v>1134</v>
      </c>
      <c r="OE31" s="93" t="s">
        <v>1134</v>
      </c>
      <c r="OF31" s="93">
        <v>300</v>
      </c>
      <c r="OG31" s="93" t="s">
        <v>1135</v>
      </c>
      <c r="OH31" s="93">
        <v>0.49</v>
      </c>
      <c r="OI31" s="93" t="s">
        <v>1136</v>
      </c>
      <c r="OJ31" s="93">
        <v>6</v>
      </c>
      <c r="OK31" s="93">
        <v>0</v>
      </c>
      <c r="ON31" s="93">
        <v>9.6999999999999993</v>
      </c>
      <c r="OO31" s="93">
        <v>3.3</v>
      </c>
      <c r="OP31" s="93">
        <v>1</v>
      </c>
      <c r="OQ31" s="93">
        <v>2.2000000000000002</v>
      </c>
      <c r="OR31" s="93">
        <v>3.1</v>
      </c>
      <c r="OS31" s="93">
        <v>25</v>
      </c>
      <c r="OT31" s="93">
        <v>1</v>
      </c>
      <c r="OU31" s="93">
        <v>10.1</v>
      </c>
      <c r="OV31" s="93">
        <v>7.1</v>
      </c>
      <c r="OW31" s="93">
        <v>10.3</v>
      </c>
      <c r="OX31" s="93">
        <v>7.3</v>
      </c>
      <c r="OY31" s="93">
        <v>9.1999999999999993</v>
      </c>
      <c r="OZ31" s="93">
        <v>6.7</v>
      </c>
      <c r="PA31" s="93">
        <v>10.4</v>
      </c>
      <c r="PB31" s="93">
        <v>7.3</v>
      </c>
      <c r="PC31" s="93">
        <v>3.1</v>
      </c>
      <c r="PD31" s="93">
        <v>8.3000000000000007</v>
      </c>
      <c r="PE31" s="93">
        <v>6.3</v>
      </c>
      <c r="PF31" s="93">
        <v>24.9</v>
      </c>
      <c r="PG31" s="93">
        <v>2.7</v>
      </c>
      <c r="PH31" s="93">
        <v>0.4</v>
      </c>
      <c r="QT31" s="106" t="s">
        <v>1277</v>
      </c>
      <c r="QU31" s="106"/>
      <c r="QV31" s="106">
        <v>13.2</v>
      </c>
      <c r="QW31" s="106">
        <v>13</v>
      </c>
      <c r="QX31" s="106"/>
      <c r="QY31" s="106" t="s">
        <v>1137</v>
      </c>
      <c r="QZ31" s="106"/>
      <c r="RA31" s="106" t="s">
        <v>1137</v>
      </c>
      <c r="RB31" s="106"/>
      <c r="RC31" s="106"/>
      <c r="RD31" s="106"/>
      <c r="RE31" s="106">
        <v>22</v>
      </c>
      <c r="RF31" s="106">
        <v>8.8000000000000007</v>
      </c>
      <c r="RG31" s="106">
        <v>12.65</v>
      </c>
      <c r="RH31" s="106"/>
      <c r="RI31" s="106"/>
      <c r="RJ31" s="106">
        <v>22</v>
      </c>
      <c r="RK31" s="106">
        <v>1.666666666666667</v>
      </c>
      <c r="RL31" s="106"/>
    </row>
    <row r="32" spans="1:480" x14ac:dyDescent="0.3">
      <c r="A32" s="93" t="str">
        <f>Table1[[#This Row],[ALG__REGEL]]&amp;"_"&amp;Table1[[#This Row],[BORING_NUMMER]]&amp;"_"&amp;Table1[[#This Row],[MONSTER_ID]]</f>
        <v>25_B05-AL01_11-756</v>
      </c>
      <c r="B32" s="93">
        <v>25</v>
      </c>
      <c r="C32" s="93" t="b">
        <v>0</v>
      </c>
      <c r="G32" s="93" t="b">
        <v>1</v>
      </c>
      <c r="H32" s="93" t="b">
        <v>0</v>
      </c>
      <c r="I32" s="93" t="b">
        <v>0</v>
      </c>
      <c r="J32" s="93" t="b">
        <v>1</v>
      </c>
      <c r="K32" s="93" t="s">
        <v>1278</v>
      </c>
      <c r="L32" s="93" t="s">
        <v>1279</v>
      </c>
      <c r="N32" s="93" t="s">
        <v>1383</v>
      </c>
      <c r="O32" s="93" t="s">
        <v>1311</v>
      </c>
      <c r="Q32" s="93" t="s">
        <v>1118</v>
      </c>
      <c r="V32" s="93">
        <v>79766.259999999995</v>
      </c>
      <c r="W32" s="93">
        <v>444159.69</v>
      </c>
      <c r="X32" s="93">
        <v>-2.2610000000000001</v>
      </c>
      <c r="Y32" s="93" t="s">
        <v>1312</v>
      </c>
      <c r="Z32" s="93" t="s">
        <v>1120</v>
      </c>
      <c r="AA32" s="98">
        <v>45695</v>
      </c>
      <c r="AD32" s="93" t="s">
        <v>1279</v>
      </c>
      <c r="AF32" s="93" t="s">
        <v>1122</v>
      </c>
      <c r="AG32" s="93">
        <v>-2.9609999999999999</v>
      </c>
      <c r="AI32" s="93" t="s">
        <v>1318</v>
      </c>
      <c r="AK32" s="93" t="s">
        <v>1124</v>
      </c>
      <c r="AL32" s="93">
        <v>-7.0609999999999999</v>
      </c>
      <c r="AM32" s="93">
        <v>-7.4610000000000003</v>
      </c>
      <c r="AN32" s="93">
        <v>4.8</v>
      </c>
      <c r="AO32" s="93">
        <v>5.2</v>
      </c>
      <c r="AT32" s="93" t="s">
        <v>1279</v>
      </c>
      <c r="AW32" s="93" t="s">
        <v>1319</v>
      </c>
      <c r="AX32" s="93" t="s">
        <v>1172</v>
      </c>
      <c r="CJ32" s="103"/>
      <c r="EA32" s="93" t="s">
        <v>1320</v>
      </c>
      <c r="EC32" s="93" t="s">
        <v>1321</v>
      </c>
      <c r="ED32" s="93" t="s">
        <v>1279</v>
      </c>
      <c r="EE32" s="93" t="s">
        <v>1129</v>
      </c>
      <c r="EF32" s="98">
        <v>45908</v>
      </c>
      <c r="EG32" s="93" t="s">
        <v>1319</v>
      </c>
      <c r="EH32" s="93" t="s">
        <v>1172</v>
      </c>
      <c r="EI32" s="93">
        <v>-7.38</v>
      </c>
      <c r="EJ32" s="93">
        <v>24</v>
      </c>
      <c r="EK32" s="93">
        <v>16.2</v>
      </c>
      <c r="EL32" s="93">
        <v>10.9</v>
      </c>
      <c r="EM32" s="93">
        <v>48.9</v>
      </c>
      <c r="EN32" s="93">
        <v>43.2</v>
      </c>
      <c r="ER32" s="93">
        <v>63.5</v>
      </c>
      <c r="ES32" s="93">
        <v>22</v>
      </c>
      <c r="ET32" s="93">
        <v>21.96</v>
      </c>
      <c r="EU32" s="93">
        <v>18.77</v>
      </c>
      <c r="EV32" s="93">
        <v>0.5</v>
      </c>
      <c r="EW32" s="93">
        <v>-0.5</v>
      </c>
      <c r="EX32" s="93">
        <v>16</v>
      </c>
      <c r="EY32" s="93">
        <v>143.80000000000001</v>
      </c>
      <c r="EZ32" s="93">
        <v>103.9</v>
      </c>
      <c r="FA32" s="93">
        <v>95.8</v>
      </c>
      <c r="FB32" s="93">
        <v>24</v>
      </c>
      <c r="FC32" s="93">
        <v>239.8</v>
      </c>
      <c r="FD32" s="93">
        <v>0.1</v>
      </c>
      <c r="FE32" s="93">
        <v>40.5</v>
      </c>
      <c r="FF32" s="93">
        <v>1.97</v>
      </c>
      <c r="FG32" s="93">
        <v>65</v>
      </c>
      <c r="FH32" s="93">
        <v>5.1999999999999998E-3</v>
      </c>
      <c r="FI32" s="93">
        <v>7.8E-2</v>
      </c>
      <c r="FJ32" s="93">
        <v>6.4000000000000003E-3</v>
      </c>
      <c r="FP32" s="103"/>
      <c r="LL32" s="103"/>
      <c r="NH32" s="93" t="s">
        <v>1322</v>
      </c>
      <c r="NI32" s="93" t="s">
        <v>1323</v>
      </c>
      <c r="NJ32" s="93" t="s">
        <v>1318</v>
      </c>
      <c r="NK32" s="93" t="s">
        <v>1279</v>
      </c>
      <c r="NL32" s="93" t="s">
        <v>1132</v>
      </c>
      <c r="NM32" s="103">
        <v>45918</v>
      </c>
      <c r="NN32" s="93" t="s">
        <v>1319</v>
      </c>
      <c r="NO32" s="93" t="s">
        <v>1172</v>
      </c>
      <c r="NP32" s="93">
        <v>-7.23</v>
      </c>
      <c r="NQ32" s="93">
        <v>23.8</v>
      </c>
      <c r="NR32" s="93">
        <v>15.6</v>
      </c>
      <c r="NS32" s="93">
        <v>9.6999999999999993</v>
      </c>
      <c r="NT32" s="93">
        <v>68.3</v>
      </c>
      <c r="NU32" s="93">
        <v>61.2</v>
      </c>
      <c r="NV32" s="93">
        <v>67.900000000000006</v>
      </c>
      <c r="NY32" s="93">
        <v>20</v>
      </c>
      <c r="NZ32" s="93">
        <v>20</v>
      </c>
      <c r="OA32" s="93">
        <v>66</v>
      </c>
      <c r="OB32" s="93">
        <v>135</v>
      </c>
      <c r="OC32" s="93" t="s">
        <v>1133</v>
      </c>
      <c r="OD32" s="93" t="s">
        <v>1134</v>
      </c>
      <c r="OE32" s="93" t="s">
        <v>1134</v>
      </c>
      <c r="OF32" s="93">
        <v>300</v>
      </c>
      <c r="OG32" s="93" t="s">
        <v>1135</v>
      </c>
      <c r="OH32" s="93">
        <v>0.6</v>
      </c>
      <c r="OI32" s="93" t="s">
        <v>1136</v>
      </c>
      <c r="OJ32" s="93">
        <v>14</v>
      </c>
      <c r="OK32" s="93">
        <v>0</v>
      </c>
      <c r="ON32" s="93">
        <v>19.2</v>
      </c>
      <c r="OO32" s="93">
        <v>4.8</v>
      </c>
      <c r="OP32" s="93">
        <v>1</v>
      </c>
      <c r="OQ32" s="93">
        <v>1.4</v>
      </c>
      <c r="OR32" s="93">
        <v>2.2999999999999998</v>
      </c>
      <c r="OS32" s="93">
        <v>25</v>
      </c>
      <c r="OT32" s="93">
        <v>1</v>
      </c>
      <c r="OU32" s="93">
        <v>22.3</v>
      </c>
      <c r="OV32" s="93">
        <v>15.6</v>
      </c>
      <c r="OW32" s="93">
        <v>22</v>
      </c>
      <c r="OX32" s="93">
        <v>15.8</v>
      </c>
      <c r="OY32" s="93">
        <v>18.8</v>
      </c>
      <c r="OZ32" s="93">
        <v>13</v>
      </c>
      <c r="PA32" s="93">
        <v>22.4</v>
      </c>
      <c r="PB32" s="93">
        <v>16.2</v>
      </c>
      <c r="PC32" s="93">
        <v>3</v>
      </c>
      <c r="PD32" s="93">
        <v>16.5</v>
      </c>
      <c r="PE32" s="93">
        <v>10.7</v>
      </c>
      <c r="PF32" s="93">
        <v>25</v>
      </c>
      <c r="PG32" s="93">
        <v>5.3</v>
      </c>
      <c r="PH32" s="93">
        <v>0.4</v>
      </c>
      <c r="QT32" s="106" t="s">
        <v>1277</v>
      </c>
      <c r="QU32" s="106"/>
      <c r="QV32" s="106">
        <v>24</v>
      </c>
      <c r="QW32" s="106">
        <v>24</v>
      </c>
      <c r="QX32" s="106"/>
      <c r="QY32" s="106" t="s">
        <v>1137</v>
      </c>
      <c r="QZ32" s="106"/>
      <c r="RA32" s="106" t="s">
        <v>1137</v>
      </c>
      <c r="RB32" s="106"/>
      <c r="RC32" s="106"/>
      <c r="RD32" s="106"/>
      <c r="RE32" s="106">
        <v>40.5</v>
      </c>
      <c r="RF32" s="106">
        <v>16.5</v>
      </c>
      <c r="RG32" s="106">
        <v>12.65</v>
      </c>
      <c r="RH32" s="106"/>
      <c r="RI32" s="106"/>
      <c r="RJ32" s="106">
        <v>40.5</v>
      </c>
      <c r="RK32" s="106">
        <v>1.6875</v>
      </c>
      <c r="RL32" s="106"/>
    </row>
    <row r="33" spans="1:480" x14ac:dyDescent="0.3">
      <c r="A33" s="93" t="str">
        <f>Table1[[#This Row],[ALG__REGEL]]&amp;"_"&amp;Table1[[#This Row],[BORING_NUMMER]]&amp;"_"&amp;Table1[[#This Row],[MONSTER_ID]]</f>
        <v>26_B06-AL01_3-318</v>
      </c>
      <c r="B33" s="93">
        <v>26</v>
      </c>
      <c r="C33" s="93" t="b">
        <v>0</v>
      </c>
      <c r="G33" s="93" t="b">
        <v>1</v>
      </c>
      <c r="H33" s="93" t="b">
        <v>0</v>
      </c>
      <c r="I33" s="93" t="b">
        <v>0</v>
      </c>
      <c r="J33" s="93" t="b">
        <v>1</v>
      </c>
      <c r="K33" s="93" t="s">
        <v>1278</v>
      </c>
      <c r="L33" s="93" t="s">
        <v>1279</v>
      </c>
      <c r="N33" s="93" t="s">
        <v>1383</v>
      </c>
      <c r="O33" s="93" t="s">
        <v>1324</v>
      </c>
      <c r="Q33" s="93" t="s">
        <v>1118</v>
      </c>
      <c r="V33" s="93">
        <v>81398.720000000001</v>
      </c>
      <c r="W33" s="93">
        <v>440929.65</v>
      </c>
      <c r="X33" s="93">
        <v>-2.98</v>
      </c>
      <c r="Y33" s="93" t="s">
        <v>1325</v>
      </c>
      <c r="Z33" s="93" t="s">
        <v>1120</v>
      </c>
      <c r="AA33" s="98" t="s">
        <v>1326</v>
      </c>
      <c r="AD33" s="93" t="s">
        <v>1279</v>
      </c>
      <c r="AF33" s="93" t="s">
        <v>1122</v>
      </c>
      <c r="AG33" s="93">
        <v>-3.33</v>
      </c>
      <c r="AI33" s="93" t="s">
        <v>1327</v>
      </c>
      <c r="AK33" s="93" t="s">
        <v>1124</v>
      </c>
      <c r="AL33" s="93">
        <v>-4.58</v>
      </c>
      <c r="AM33" s="93">
        <v>-4.9800000000000004</v>
      </c>
      <c r="AN33" s="93">
        <v>1.6</v>
      </c>
      <c r="AO33" s="93">
        <v>2</v>
      </c>
      <c r="AT33" s="93" t="s">
        <v>1279</v>
      </c>
      <c r="AW33" s="93" t="s">
        <v>1139</v>
      </c>
      <c r="AX33" s="93" t="s">
        <v>1140</v>
      </c>
      <c r="CJ33" s="103"/>
      <c r="EA33" s="93" t="s">
        <v>1328</v>
      </c>
      <c r="EC33" s="93" t="s">
        <v>1329</v>
      </c>
      <c r="ED33" s="93" t="s">
        <v>1279</v>
      </c>
      <c r="EE33" s="93" t="s">
        <v>1129</v>
      </c>
      <c r="EF33" s="98">
        <v>45979</v>
      </c>
      <c r="EG33" s="93" t="s">
        <v>1139</v>
      </c>
      <c r="EH33" s="93" t="s">
        <v>1140</v>
      </c>
      <c r="EI33" s="93">
        <v>-4.9000000000000004</v>
      </c>
      <c r="EJ33" s="93">
        <v>8.5</v>
      </c>
      <c r="EK33" s="93">
        <v>13.6</v>
      </c>
      <c r="EL33" s="93">
        <v>6.6</v>
      </c>
      <c r="EM33" s="93">
        <v>105</v>
      </c>
      <c r="EN33" s="93">
        <v>43.7</v>
      </c>
      <c r="ER33" s="93">
        <v>63.5</v>
      </c>
      <c r="ES33" s="93">
        <v>22</v>
      </c>
      <c r="ET33" s="93">
        <v>21.96</v>
      </c>
      <c r="EU33" s="93">
        <v>17.93</v>
      </c>
      <c r="EV33" s="93">
        <v>0.5</v>
      </c>
      <c r="EW33" s="93">
        <v>-0.5</v>
      </c>
      <c r="EX33" s="93">
        <v>16</v>
      </c>
      <c r="EY33" s="93">
        <v>48.4</v>
      </c>
      <c r="EZ33" s="93">
        <v>36.299999999999997</v>
      </c>
      <c r="FA33" s="93">
        <v>32</v>
      </c>
      <c r="FB33" s="93">
        <v>8.8000000000000007</v>
      </c>
      <c r="FC33" s="93">
        <v>81.8</v>
      </c>
      <c r="FD33" s="93">
        <v>0.5</v>
      </c>
      <c r="FE33" s="93">
        <v>18.7</v>
      </c>
      <c r="FF33" s="93">
        <v>0.49</v>
      </c>
      <c r="FG33" s="93">
        <v>30</v>
      </c>
      <c r="FH33" s="93">
        <v>5.7000000000000002E-3</v>
      </c>
      <c r="FI33" s="93">
        <v>0.13100000000000001</v>
      </c>
      <c r="FJ33" s="93">
        <v>9.4999999999999998E-3</v>
      </c>
      <c r="FP33" s="103"/>
      <c r="LL33" s="103"/>
      <c r="NH33" s="93" t="s">
        <v>1330</v>
      </c>
      <c r="NI33" s="93" t="s">
        <v>1331</v>
      </c>
      <c r="NJ33" s="93" t="s">
        <v>1327</v>
      </c>
      <c r="NK33" s="93" t="s">
        <v>1279</v>
      </c>
      <c r="NL33" s="93" t="s">
        <v>1132</v>
      </c>
      <c r="NM33" s="103">
        <v>45989</v>
      </c>
      <c r="NN33" s="93" t="s">
        <v>1139</v>
      </c>
      <c r="NO33" s="93" t="s">
        <v>1140</v>
      </c>
      <c r="NP33" s="93">
        <v>-4.75</v>
      </c>
      <c r="NQ33" s="93">
        <v>8.5</v>
      </c>
      <c r="NR33" s="93">
        <v>15.8</v>
      </c>
      <c r="NS33" s="93">
        <v>10.6</v>
      </c>
      <c r="NT33" s="93">
        <v>65.900000000000006</v>
      </c>
      <c r="NU33" s="93">
        <v>49</v>
      </c>
      <c r="NV33" s="93">
        <v>80</v>
      </c>
      <c r="NY33" s="93">
        <v>20</v>
      </c>
      <c r="NZ33" s="93">
        <v>20</v>
      </c>
      <c r="OA33" s="93">
        <v>66</v>
      </c>
      <c r="OB33" s="93">
        <v>135</v>
      </c>
      <c r="OC33" s="93" t="s">
        <v>1133</v>
      </c>
      <c r="OD33" s="93" t="s">
        <v>1134</v>
      </c>
      <c r="OE33" s="93" t="s">
        <v>1134</v>
      </c>
      <c r="OF33" s="93">
        <v>300</v>
      </c>
      <c r="OG33" s="93" t="s">
        <v>1135</v>
      </c>
      <c r="OH33" s="93">
        <v>0.59</v>
      </c>
      <c r="OI33" s="93" t="s">
        <v>1136</v>
      </c>
      <c r="OJ33" s="93">
        <v>5</v>
      </c>
      <c r="OK33" s="93">
        <v>0</v>
      </c>
      <c r="ON33" s="93">
        <v>7.2</v>
      </c>
      <c r="OO33" s="93">
        <v>1.8</v>
      </c>
      <c r="OP33" s="93">
        <v>1.1000000000000001</v>
      </c>
      <c r="OQ33" s="93">
        <v>1.6</v>
      </c>
      <c r="OR33" s="93">
        <v>1.1000000000000001</v>
      </c>
      <c r="OS33" s="93">
        <v>25</v>
      </c>
      <c r="OT33" s="93">
        <v>1</v>
      </c>
      <c r="OU33" s="93">
        <v>10.6</v>
      </c>
      <c r="OV33" s="93">
        <v>7.5</v>
      </c>
      <c r="OW33" s="93">
        <v>11.9</v>
      </c>
      <c r="OX33" s="93">
        <v>8.1</v>
      </c>
      <c r="OY33" s="93">
        <v>11.4</v>
      </c>
      <c r="OZ33" s="93">
        <v>7.7</v>
      </c>
      <c r="PA33" s="93">
        <v>11.9</v>
      </c>
      <c r="PB33" s="93">
        <v>8.5</v>
      </c>
      <c r="PC33" s="93">
        <v>3.3</v>
      </c>
      <c r="PD33" s="93">
        <v>10.7</v>
      </c>
      <c r="PE33" s="93">
        <v>7.5</v>
      </c>
      <c r="PF33" s="93">
        <v>25</v>
      </c>
      <c r="PG33" s="93">
        <v>1.4</v>
      </c>
      <c r="PH33" s="93">
        <v>0.8</v>
      </c>
      <c r="QT33" s="106" t="s">
        <v>1277</v>
      </c>
      <c r="QU33" s="106"/>
      <c r="QV33" s="106">
        <v>8.5</v>
      </c>
      <c r="QW33" s="106">
        <v>9</v>
      </c>
      <c r="QX33" s="106"/>
      <c r="QY33" s="106" t="s">
        <v>1137</v>
      </c>
      <c r="QZ33" s="106"/>
      <c r="RA33" s="106" t="s">
        <v>1137</v>
      </c>
      <c r="RB33" s="106"/>
      <c r="RC33" s="106"/>
      <c r="RD33" s="106"/>
      <c r="RE33" s="106">
        <v>18.7</v>
      </c>
      <c r="RF33" s="106">
        <v>10.199999999999999</v>
      </c>
      <c r="RG33" s="106">
        <v>10.199999999999999</v>
      </c>
      <c r="RH33" s="106"/>
      <c r="RI33" s="106">
        <v>30</v>
      </c>
      <c r="RJ33" s="106">
        <v>30</v>
      </c>
      <c r="RK33" s="106">
        <v>3.5294117647058818</v>
      </c>
      <c r="RL33" s="106"/>
    </row>
    <row r="34" spans="1:480" x14ac:dyDescent="0.3">
      <c r="A34" s="93" t="str">
        <f>Table1[[#This Row],[ALG__REGEL]]&amp;"_"&amp;Table1[[#This Row],[BORING_NUMMER]]&amp;"_"&amp;Table1[[#This Row],[MONSTER_ID]]</f>
        <v>27_B07-AL01_5-22549</v>
      </c>
      <c r="B34" s="93">
        <v>27</v>
      </c>
      <c r="C34" s="93" t="b">
        <v>0</v>
      </c>
      <c r="G34" s="93" t="b">
        <v>1</v>
      </c>
      <c r="H34" s="93" t="b">
        <v>0</v>
      </c>
      <c r="I34" s="93" t="b">
        <v>0</v>
      </c>
      <c r="J34" s="93" t="b">
        <v>1</v>
      </c>
      <c r="K34" s="93" t="s">
        <v>1278</v>
      </c>
      <c r="L34" s="93" t="s">
        <v>1279</v>
      </c>
      <c r="N34" s="93" t="s">
        <v>1383</v>
      </c>
      <c r="O34" s="93" t="s">
        <v>1332</v>
      </c>
      <c r="Q34" s="93" t="s">
        <v>1118</v>
      </c>
      <c r="V34" s="93">
        <v>79778.990000000005</v>
      </c>
      <c r="W34" s="93">
        <v>441321.76</v>
      </c>
      <c r="X34" s="93">
        <v>-2.181</v>
      </c>
      <c r="Y34" s="93" t="s">
        <v>1333</v>
      </c>
      <c r="Z34" s="93" t="s">
        <v>1120</v>
      </c>
      <c r="AA34" s="98" t="s">
        <v>1334</v>
      </c>
      <c r="AD34" s="93" t="s">
        <v>1279</v>
      </c>
      <c r="AF34" s="93" t="s">
        <v>1122</v>
      </c>
      <c r="AG34" s="93">
        <v>-3.2810000000000001</v>
      </c>
      <c r="AI34" s="93" t="s">
        <v>1335</v>
      </c>
      <c r="AK34" s="93" t="s">
        <v>1124</v>
      </c>
      <c r="AL34" s="93">
        <v>-4.5810000000000004</v>
      </c>
      <c r="AM34" s="93">
        <v>-4.9809999999999999</v>
      </c>
      <c r="AN34" s="93">
        <v>2.4</v>
      </c>
      <c r="AO34" s="93">
        <v>2.8</v>
      </c>
      <c r="AT34" s="93" t="s">
        <v>1279</v>
      </c>
      <c r="AW34" s="93" t="s">
        <v>1139</v>
      </c>
      <c r="AX34" s="93" t="s">
        <v>1140</v>
      </c>
      <c r="CJ34" s="103"/>
      <c r="EA34" s="93" t="s">
        <v>1336</v>
      </c>
      <c r="EC34" s="93" t="s">
        <v>1337</v>
      </c>
      <c r="ED34" s="93" t="s">
        <v>1279</v>
      </c>
      <c r="EE34" s="93" t="s">
        <v>1129</v>
      </c>
      <c r="EF34" s="98">
        <v>45979</v>
      </c>
      <c r="EG34" s="93" t="s">
        <v>1139</v>
      </c>
      <c r="EH34" s="93" t="s">
        <v>1140</v>
      </c>
      <c r="EI34" s="93">
        <v>-4.91</v>
      </c>
      <c r="EJ34" s="93">
        <v>29.2</v>
      </c>
      <c r="EK34" s="93">
        <v>14</v>
      </c>
      <c r="EL34" s="93">
        <v>7.3</v>
      </c>
      <c r="EM34" s="93">
        <v>92.4</v>
      </c>
      <c r="EN34" s="93">
        <v>65.599999999999994</v>
      </c>
      <c r="ER34" s="93">
        <v>63.5</v>
      </c>
      <c r="ES34" s="93">
        <v>25</v>
      </c>
      <c r="ET34" s="93">
        <v>25</v>
      </c>
      <c r="EU34" s="93">
        <v>17.43</v>
      </c>
      <c r="EV34" s="93">
        <v>0.5</v>
      </c>
      <c r="EW34" s="93">
        <v>-0.5</v>
      </c>
      <c r="EX34" s="93">
        <v>16</v>
      </c>
      <c r="EY34" s="93">
        <v>172.5</v>
      </c>
      <c r="EZ34" s="93">
        <v>129.19999999999999</v>
      </c>
      <c r="FA34" s="93">
        <v>115.6</v>
      </c>
      <c r="FB34" s="93">
        <v>33.5</v>
      </c>
      <c r="FC34" s="93">
        <v>292.10000000000002</v>
      </c>
      <c r="FD34" s="93">
        <v>0.1</v>
      </c>
      <c r="FE34" s="93">
        <v>44.9</v>
      </c>
      <c r="FF34" s="93">
        <v>5.55</v>
      </c>
      <c r="FG34" s="93">
        <v>95</v>
      </c>
      <c r="FH34" s="93">
        <v>1.3899999999999999E-2</v>
      </c>
      <c r="FI34" s="93">
        <v>0.16300000000000001</v>
      </c>
      <c r="FJ34" s="93">
        <v>1.2999999999999999E-2</v>
      </c>
      <c r="FP34" s="103"/>
      <c r="LL34" s="103"/>
      <c r="NH34" s="93" t="s">
        <v>1338</v>
      </c>
      <c r="NI34" s="93" t="s">
        <v>1339</v>
      </c>
      <c r="NJ34" s="93" t="s">
        <v>1335</v>
      </c>
      <c r="NK34" s="93" t="s">
        <v>1279</v>
      </c>
      <c r="NL34" s="93" t="s">
        <v>1132</v>
      </c>
      <c r="NM34" s="103">
        <v>45789</v>
      </c>
      <c r="NN34" s="93" t="s">
        <v>1139</v>
      </c>
      <c r="NO34" s="93" t="s">
        <v>1140</v>
      </c>
      <c r="NP34" s="93">
        <v>-4.76</v>
      </c>
      <c r="NQ34" s="93">
        <v>29.2</v>
      </c>
      <c r="NR34" s="93">
        <v>14</v>
      </c>
      <c r="NS34" s="93">
        <v>7</v>
      </c>
      <c r="NT34" s="93">
        <v>68.7</v>
      </c>
      <c r="NU34" s="93">
        <v>99.1</v>
      </c>
      <c r="NV34" s="93">
        <v>74.7</v>
      </c>
      <c r="NY34" s="93">
        <v>20</v>
      </c>
      <c r="NZ34" s="93">
        <v>20</v>
      </c>
      <c r="OA34" s="93">
        <v>66</v>
      </c>
      <c r="OB34" s="93">
        <v>135</v>
      </c>
      <c r="OC34" s="93" t="s">
        <v>1133</v>
      </c>
      <c r="OD34" s="93" t="s">
        <v>1134</v>
      </c>
      <c r="OE34" s="93" t="s">
        <v>1134</v>
      </c>
      <c r="OF34" s="93">
        <v>300</v>
      </c>
      <c r="OG34" s="93" t="s">
        <v>1135</v>
      </c>
      <c r="OH34" s="93">
        <v>0.56999999999999995</v>
      </c>
      <c r="OI34" s="93" t="s">
        <v>1136</v>
      </c>
      <c r="OJ34" s="93">
        <v>17</v>
      </c>
      <c r="OK34" s="93">
        <v>0</v>
      </c>
      <c r="ON34" s="93">
        <v>22.8</v>
      </c>
      <c r="OO34" s="93">
        <v>6.2</v>
      </c>
      <c r="OP34" s="93">
        <v>1</v>
      </c>
      <c r="OQ34" s="93">
        <v>3.4</v>
      </c>
      <c r="OR34" s="93">
        <v>6.4</v>
      </c>
      <c r="OS34" s="93">
        <v>25</v>
      </c>
      <c r="OT34" s="93">
        <v>1</v>
      </c>
      <c r="OU34" s="93">
        <v>22.6</v>
      </c>
      <c r="OV34" s="93">
        <v>13.5</v>
      </c>
      <c r="OW34" s="93">
        <v>22.6</v>
      </c>
      <c r="OX34" s="93">
        <v>14.7</v>
      </c>
      <c r="OY34" s="93">
        <v>19.600000000000001</v>
      </c>
      <c r="OZ34" s="93">
        <v>12.1</v>
      </c>
      <c r="PA34" s="93">
        <v>22.5</v>
      </c>
      <c r="PB34" s="93">
        <v>14.8</v>
      </c>
      <c r="PC34" s="93">
        <v>6.2</v>
      </c>
      <c r="PD34" s="93">
        <v>17.399999999999999</v>
      </c>
      <c r="PE34" s="93">
        <v>10.5</v>
      </c>
      <c r="PF34" s="93">
        <v>25</v>
      </c>
      <c r="PG34" s="93">
        <v>6</v>
      </c>
      <c r="PH34" s="93">
        <v>0.4</v>
      </c>
      <c r="QT34" s="106" t="s">
        <v>1277</v>
      </c>
      <c r="QU34" s="106"/>
      <c r="QV34" s="106">
        <v>29.2</v>
      </c>
      <c r="QW34" s="106">
        <v>29</v>
      </c>
      <c r="QX34" s="106"/>
      <c r="QY34" s="106" t="s">
        <v>1137</v>
      </c>
      <c r="QZ34" s="106"/>
      <c r="RA34" s="106" t="s">
        <v>1137</v>
      </c>
      <c r="RB34" s="106"/>
      <c r="RC34" s="106"/>
      <c r="RD34" s="106"/>
      <c r="RE34" s="106">
        <v>44.9</v>
      </c>
      <c r="RF34" s="106">
        <v>15.7</v>
      </c>
      <c r="RG34" s="106">
        <v>15.7</v>
      </c>
      <c r="RH34" s="106"/>
      <c r="RI34" s="106"/>
      <c r="RJ34" s="106">
        <v>44.9</v>
      </c>
      <c r="RK34" s="106">
        <v>1.5376712328767119</v>
      </c>
      <c r="RL34" s="106"/>
    </row>
    <row r="35" spans="1:480" x14ac:dyDescent="0.3">
      <c r="A35" s="93" t="str">
        <f>Table1[[#This Row],[ALG__REGEL]]&amp;"_"&amp;Table1[[#This Row],[BORING_NUMMER]]&amp;"_"&amp;Table1[[#This Row],[MONSTER_ID]]</f>
        <v>28_B08-K01_18-23040</v>
      </c>
      <c r="B35" s="93">
        <v>28</v>
      </c>
      <c r="C35" s="93" t="b">
        <v>0</v>
      </c>
      <c r="G35" s="93" t="b">
        <v>1</v>
      </c>
      <c r="H35" s="93" t="b">
        <v>0</v>
      </c>
      <c r="I35" s="93" t="b">
        <v>0</v>
      </c>
      <c r="J35" s="93" t="b">
        <v>1</v>
      </c>
      <c r="K35" s="93" t="s">
        <v>1278</v>
      </c>
      <c r="L35" s="93" t="s">
        <v>1279</v>
      </c>
      <c r="N35" s="93" t="s">
        <v>1383</v>
      </c>
      <c r="O35" s="93" t="s">
        <v>1340</v>
      </c>
      <c r="Q35" s="93" t="s">
        <v>1118</v>
      </c>
      <c r="V35" s="93">
        <v>86212.86</v>
      </c>
      <c r="W35" s="93">
        <v>443070.64</v>
      </c>
      <c r="X35" s="93">
        <v>-1E-3</v>
      </c>
      <c r="Y35" s="93" t="s">
        <v>1341</v>
      </c>
      <c r="Z35" s="93" t="s">
        <v>1147</v>
      </c>
      <c r="AA35" s="98" t="s">
        <v>1342</v>
      </c>
      <c r="AD35" s="93" t="s">
        <v>1279</v>
      </c>
      <c r="AF35" s="93" t="s">
        <v>1122</v>
      </c>
      <c r="AG35" s="93">
        <v>-2.0009999999999999</v>
      </c>
      <c r="AI35" s="93" t="s">
        <v>1343</v>
      </c>
      <c r="AK35" s="93" t="s">
        <v>1124</v>
      </c>
      <c r="AL35" s="93">
        <v>-7.601</v>
      </c>
      <c r="AM35" s="93">
        <v>-8.0009999999999994</v>
      </c>
      <c r="AN35" s="93">
        <v>7.6</v>
      </c>
      <c r="AO35" s="93">
        <v>8</v>
      </c>
      <c r="AT35" s="93" t="s">
        <v>1279</v>
      </c>
      <c r="AW35" s="93" t="s">
        <v>1344</v>
      </c>
      <c r="AX35" s="93" t="s">
        <v>1270</v>
      </c>
      <c r="CJ35" s="103"/>
      <c r="EA35" s="93" t="s">
        <v>1345</v>
      </c>
      <c r="EC35" s="93" t="s">
        <v>1346</v>
      </c>
      <c r="ED35" s="93" t="s">
        <v>1279</v>
      </c>
      <c r="EE35" s="93" t="s">
        <v>1129</v>
      </c>
      <c r="EF35" s="98">
        <v>45959</v>
      </c>
      <c r="EG35" s="93" t="s">
        <v>1344</v>
      </c>
      <c r="EH35" s="93" t="s">
        <v>1270</v>
      </c>
      <c r="EI35" s="93">
        <v>-7.92</v>
      </c>
      <c r="EJ35" s="93">
        <v>47.8</v>
      </c>
      <c r="EK35" s="93">
        <v>16.2</v>
      </c>
      <c r="EL35" s="93">
        <v>10.4</v>
      </c>
      <c r="EM35" s="93">
        <v>56.1</v>
      </c>
      <c r="EN35" s="93">
        <v>44.5</v>
      </c>
      <c r="ER35" s="93">
        <v>63.5</v>
      </c>
      <c r="ES35" s="93">
        <v>25</v>
      </c>
      <c r="ET35" s="93">
        <v>25</v>
      </c>
      <c r="EU35" s="93">
        <v>20.100000000000001</v>
      </c>
      <c r="EV35" s="93">
        <v>0.5</v>
      </c>
      <c r="EW35" s="93">
        <v>-0.5</v>
      </c>
      <c r="EX35" s="93">
        <v>16</v>
      </c>
      <c r="EY35" s="93">
        <v>283</v>
      </c>
      <c r="EZ35" s="93">
        <v>210.1</v>
      </c>
      <c r="FA35" s="93">
        <v>190.5</v>
      </c>
      <c r="FB35" s="93">
        <v>52.2</v>
      </c>
      <c r="FC35" s="93">
        <v>473.9</v>
      </c>
      <c r="FD35" s="93">
        <v>0.1</v>
      </c>
      <c r="FE35" s="93">
        <v>85.6</v>
      </c>
      <c r="FF35" s="93">
        <v>4.58</v>
      </c>
      <c r="FG35" s="93">
        <v>150</v>
      </c>
      <c r="FH35" s="93">
        <v>8.6999999999999994E-3</v>
      </c>
      <c r="FI35" s="93">
        <v>0.10100000000000001</v>
      </c>
      <c r="FJ35" s="93">
        <v>8.3000000000000001E-3</v>
      </c>
      <c r="FP35" s="103"/>
      <c r="LL35" s="103"/>
      <c r="NH35" s="93" t="s">
        <v>1347</v>
      </c>
      <c r="NI35" s="93" t="s">
        <v>1348</v>
      </c>
      <c r="NJ35" s="93" t="s">
        <v>1343</v>
      </c>
      <c r="NK35" s="93" t="s">
        <v>1279</v>
      </c>
      <c r="NL35" s="93" t="s">
        <v>1132</v>
      </c>
      <c r="NM35" s="103">
        <v>45849</v>
      </c>
      <c r="NN35" s="93" t="s">
        <v>1344</v>
      </c>
      <c r="NO35" s="93" t="s">
        <v>1270</v>
      </c>
      <c r="NP35" s="93">
        <v>-7.77</v>
      </c>
      <c r="NQ35" s="93">
        <v>47.8</v>
      </c>
      <c r="NR35" s="93">
        <v>16</v>
      </c>
      <c r="NS35" s="93">
        <v>9.6</v>
      </c>
      <c r="NT35" s="93">
        <v>64.5</v>
      </c>
      <c r="NU35" s="93">
        <v>66.5</v>
      </c>
      <c r="NV35" s="93">
        <v>40</v>
      </c>
      <c r="NY35" s="93">
        <v>20</v>
      </c>
      <c r="NZ35" s="93">
        <v>20</v>
      </c>
      <c r="OA35" s="93">
        <v>66</v>
      </c>
      <c r="OB35" s="93">
        <v>135</v>
      </c>
      <c r="OC35" s="93" t="s">
        <v>1133</v>
      </c>
      <c r="OD35" s="93" t="s">
        <v>1134</v>
      </c>
      <c r="OE35" s="93" t="s">
        <v>1134</v>
      </c>
      <c r="OF35" s="93">
        <v>300</v>
      </c>
      <c r="OG35" s="93" t="s">
        <v>1135</v>
      </c>
      <c r="OH35" s="93">
        <v>0.61</v>
      </c>
      <c r="OI35" s="93" t="s">
        <v>1136</v>
      </c>
      <c r="OJ35" s="93">
        <v>29</v>
      </c>
      <c r="OK35" s="93">
        <v>0</v>
      </c>
      <c r="ON35" s="93">
        <v>38.6</v>
      </c>
      <c r="OO35" s="93">
        <v>9.4</v>
      </c>
      <c r="OP35" s="93">
        <v>1</v>
      </c>
      <c r="OQ35" s="93">
        <v>2.1</v>
      </c>
      <c r="OR35" s="93">
        <v>4.5999999999999996</v>
      </c>
      <c r="OS35" s="93">
        <v>25</v>
      </c>
      <c r="OT35" s="93">
        <v>1</v>
      </c>
      <c r="OU35" s="93">
        <v>39</v>
      </c>
      <c r="OV35" s="93">
        <v>23.5</v>
      </c>
      <c r="OW35" s="93">
        <v>39.299999999999997</v>
      </c>
      <c r="OX35" s="93">
        <v>26</v>
      </c>
      <c r="OY35" s="93">
        <v>34.1</v>
      </c>
      <c r="OZ35" s="93">
        <v>21.4</v>
      </c>
      <c r="PA35" s="93">
        <v>39.1</v>
      </c>
      <c r="PB35" s="93">
        <v>26.1</v>
      </c>
      <c r="PC35" s="93">
        <v>5.6</v>
      </c>
      <c r="PD35" s="93">
        <v>29.9</v>
      </c>
      <c r="PE35" s="93">
        <v>17.2</v>
      </c>
      <c r="PF35" s="93">
        <v>25</v>
      </c>
      <c r="PG35" s="93">
        <v>7.7</v>
      </c>
      <c r="PH35" s="93">
        <v>0.5</v>
      </c>
      <c r="QT35" s="106" t="s">
        <v>1277</v>
      </c>
      <c r="QU35" s="106"/>
      <c r="QV35" s="106">
        <v>47.8</v>
      </c>
      <c r="QW35" s="106">
        <v>48</v>
      </c>
      <c r="QX35" s="106"/>
      <c r="QY35" s="106" t="s">
        <v>1137</v>
      </c>
      <c r="QZ35" s="106"/>
      <c r="RA35" s="106" t="s">
        <v>1137</v>
      </c>
      <c r="RB35" s="106"/>
      <c r="RC35" s="106"/>
      <c r="RD35" s="106"/>
      <c r="RE35" s="106">
        <v>85.6</v>
      </c>
      <c r="RF35" s="106">
        <v>37.799999999999997</v>
      </c>
      <c r="RG35" s="106">
        <v>37.799999999999997</v>
      </c>
      <c r="RH35" s="106"/>
      <c r="RI35" s="106"/>
      <c r="RJ35" s="106">
        <v>85.6</v>
      </c>
      <c r="RK35" s="106">
        <v>1.7907949790794979</v>
      </c>
      <c r="RL35" s="106"/>
    </row>
    <row r="36" spans="1:480" x14ac:dyDescent="0.3">
      <c r="A36" s="93" t="str">
        <f>Table1[[#This Row],[ALG__REGEL]]&amp;"_"&amp;Table1[[#This Row],[BORING_NUMMER]]&amp;"_"&amp;Table1[[#This Row],[MONSTER_ID]]</f>
        <v>29_B08-K02_7-K624</v>
      </c>
      <c r="B36" s="93">
        <v>29</v>
      </c>
      <c r="C36" s="93" t="b">
        <v>0</v>
      </c>
      <c r="G36" s="93" t="b">
        <v>1</v>
      </c>
      <c r="H36" s="93" t="b">
        <v>0</v>
      </c>
      <c r="I36" s="93" t="b">
        <v>0</v>
      </c>
      <c r="J36" s="93" t="b">
        <v>1</v>
      </c>
      <c r="K36" s="93" t="s">
        <v>1278</v>
      </c>
      <c r="L36" s="93" t="s">
        <v>1279</v>
      </c>
      <c r="N36" s="93" t="s">
        <v>1383</v>
      </c>
      <c r="O36" s="93" t="s">
        <v>1340</v>
      </c>
      <c r="Q36" s="93" t="s">
        <v>1118</v>
      </c>
      <c r="V36" s="93">
        <v>86215.19</v>
      </c>
      <c r="W36" s="93">
        <v>443063.94</v>
      </c>
      <c r="X36" s="93">
        <v>2E-3</v>
      </c>
      <c r="Y36" s="93" t="s">
        <v>1349</v>
      </c>
      <c r="Z36" s="93" t="s">
        <v>1147</v>
      </c>
      <c r="AA36" s="98" t="s">
        <v>1350</v>
      </c>
      <c r="AD36" s="93" t="s">
        <v>1279</v>
      </c>
      <c r="AF36" s="93" t="s">
        <v>1122</v>
      </c>
      <c r="AG36" s="93">
        <v>-1.998</v>
      </c>
      <c r="AI36" s="93" t="s">
        <v>1351</v>
      </c>
      <c r="AK36" s="93" t="s">
        <v>1124</v>
      </c>
      <c r="AL36" s="93">
        <v>-3.198</v>
      </c>
      <c r="AM36" s="93">
        <v>-3.5979999999999999</v>
      </c>
      <c r="AN36" s="93">
        <v>3.2</v>
      </c>
      <c r="AO36" s="93">
        <v>3.6</v>
      </c>
      <c r="AT36" s="93" t="s">
        <v>1279</v>
      </c>
      <c r="AV36" s="103"/>
      <c r="AW36" s="93" t="s">
        <v>1262</v>
      </c>
      <c r="AX36" s="93" t="s">
        <v>1242</v>
      </c>
      <c r="CJ36" s="103"/>
      <c r="EA36" s="93" t="s">
        <v>1352</v>
      </c>
      <c r="EC36" s="93" t="s">
        <v>1353</v>
      </c>
      <c r="ED36" s="93" t="s">
        <v>1279</v>
      </c>
      <c r="EE36" s="93" t="s">
        <v>1129</v>
      </c>
      <c r="EF36" s="98">
        <v>45965</v>
      </c>
      <c r="EG36" s="93" t="s">
        <v>1262</v>
      </c>
      <c r="EH36" s="93" t="s">
        <v>1242</v>
      </c>
      <c r="EI36" s="93">
        <v>-3.52</v>
      </c>
      <c r="EJ36" s="93">
        <v>32</v>
      </c>
      <c r="EK36" s="93">
        <v>13.4</v>
      </c>
      <c r="EL36" s="93">
        <v>6.3</v>
      </c>
      <c r="EM36" s="93">
        <v>111.7</v>
      </c>
      <c r="EN36" s="93">
        <v>94.7</v>
      </c>
      <c r="ER36" s="93">
        <v>63.5</v>
      </c>
      <c r="ES36" s="93">
        <v>25</v>
      </c>
      <c r="ET36" s="93">
        <v>25</v>
      </c>
      <c r="EU36" s="93">
        <v>17</v>
      </c>
      <c r="EV36" s="93">
        <v>0.5</v>
      </c>
      <c r="EW36" s="93">
        <v>-0.5</v>
      </c>
      <c r="EX36" s="93">
        <v>16</v>
      </c>
      <c r="EY36" s="93">
        <v>190</v>
      </c>
      <c r="EZ36" s="93">
        <v>142.5</v>
      </c>
      <c r="FA36" s="93">
        <v>125.8</v>
      </c>
      <c r="FB36" s="93">
        <v>34.200000000000003</v>
      </c>
      <c r="FC36" s="93">
        <v>318.2</v>
      </c>
      <c r="FD36" s="93">
        <v>0.5</v>
      </c>
      <c r="FE36" s="93">
        <v>58.6</v>
      </c>
      <c r="FF36" s="93">
        <v>5.85</v>
      </c>
      <c r="FG36" s="93">
        <v>110</v>
      </c>
      <c r="FH36" s="93">
        <v>2.0899999999999998E-2</v>
      </c>
      <c r="FI36" s="93">
        <v>0.193</v>
      </c>
      <c r="FJ36" s="93">
        <v>1.35E-2</v>
      </c>
      <c r="FP36" s="103"/>
      <c r="LL36" s="103"/>
      <c r="NH36" s="93" t="s">
        <v>1354</v>
      </c>
      <c r="NI36" s="93" t="s">
        <v>1355</v>
      </c>
      <c r="NJ36" s="93" t="s">
        <v>1351</v>
      </c>
      <c r="NK36" s="93" t="s">
        <v>1279</v>
      </c>
      <c r="NL36" s="93" t="s">
        <v>1132</v>
      </c>
      <c r="NM36" s="103">
        <v>45975</v>
      </c>
      <c r="NN36" s="93" t="s">
        <v>1262</v>
      </c>
      <c r="NO36" s="93" t="s">
        <v>1242</v>
      </c>
      <c r="NP36" s="93">
        <v>-3.3</v>
      </c>
      <c r="NQ36" s="93">
        <v>32</v>
      </c>
      <c r="NR36" s="93">
        <v>14.1</v>
      </c>
      <c r="NS36" s="93">
        <v>6.7</v>
      </c>
      <c r="NT36" s="93">
        <v>94.2</v>
      </c>
      <c r="NU36" s="93">
        <v>109.6</v>
      </c>
      <c r="NV36" s="93">
        <v>82.4</v>
      </c>
      <c r="NY36" s="93">
        <v>20</v>
      </c>
      <c r="NZ36" s="93">
        <v>20</v>
      </c>
      <c r="OA36" s="93">
        <v>66</v>
      </c>
      <c r="OB36" s="93">
        <v>135</v>
      </c>
      <c r="OC36" s="93" t="s">
        <v>1133</v>
      </c>
      <c r="OD36" s="93" t="s">
        <v>1134</v>
      </c>
      <c r="OE36" s="93" t="s">
        <v>1134</v>
      </c>
      <c r="OF36" s="93">
        <v>300</v>
      </c>
      <c r="OG36" s="93" t="s">
        <v>1135</v>
      </c>
      <c r="OH36" s="93">
        <v>0.52</v>
      </c>
      <c r="OI36" s="93" t="s">
        <v>1136</v>
      </c>
      <c r="OJ36" s="93">
        <v>17</v>
      </c>
      <c r="OK36" s="93">
        <v>0</v>
      </c>
      <c r="ON36" s="93">
        <v>24.3</v>
      </c>
      <c r="OO36" s="93">
        <v>7.7</v>
      </c>
      <c r="OP36" s="93">
        <v>1</v>
      </c>
      <c r="OQ36" s="93">
        <v>2.8</v>
      </c>
      <c r="OR36" s="93">
        <v>5.2</v>
      </c>
      <c r="OS36" s="93">
        <v>25</v>
      </c>
      <c r="OT36" s="93">
        <v>1</v>
      </c>
      <c r="OU36" s="93">
        <v>25.5</v>
      </c>
      <c r="OV36" s="93">
        <v>17.3</v>
      </c>
      <c r="OW36" s="93">
        <v>29</v>
      </c>
      <c r="OX36" s="93">
        <v>22.2</v>
      </c>
      <c r="OY36" s="93">
        <v>30.1</v>
      </c>
      <c r="OZ36" s="93">
        <v>21.6</v>
      </c>
      <c r="PA36" s="93">
        <v>30.8</v>
      </c>
      <c r="PB36" s="93">
        <v>23.8</v>
      </c>
      <c r="PC36" s="93">
        <v>8.3000000000000007</v>
      </c>
      <c r="PD36" s="93">
        <v>28.1</v>
      </c>
      <c r="PE36" s="93">
        <v>18.5</v>
      </c>
      <c r="PF36" s="93">
        <v>25</v>
      </c>
      <c r="PG36" s="93">
        <v>2.2999999999999998</v>
      </c>
      <c r="PH36" s="93">
        <v>1.4</v>
      </c>
      <c r="QT36" s="106" t="s">
        <v>1277</v>
      </c>
      <c r="QU36" s="106"/>
      <c r="QV36" s="106">
        <v>32</v>
      </c>
      <c r="QW36" s="106">
        <v>32</v>
      </c>
      <c r="QX36" s="106"/>
      <c r="QY36" s="106" t="s">
        <v>1137</v>
      </c>
      <c r="QZ36" s="106"/>
      <c r="RA36" s="106" t="s">
        <v>1137</v>
      </c>
      <c r="RB36" s="106"/>
      <c r="RC36" s="106"/>
      <c r="RD36" s="106"/>
      <c r="RE36" s="106">
        <v>58.6</v>
      </c>
      <c r="RF36" s="106">
        <v>26.6</v>
      </c>
      <c r="RG36" s="106">
        <v>26.6</v>
      </c>
      <c r="RH36" s="106"/>
      <c r="RI36" s="106"/>
      <c r="RJ36" s="106">
        <v>58.6</v>
      </c>
      <c r="RK36" s="106">
        <v>1.83125</v>
      </c>
      <c r="RL36" s="106"/>
    </row>
    <row r="37" spans="1:480" x14ac:dyDescent="0.3">
      <c r="A37" s="93" t="str">
        <f>Table1[[#This Row],[ALG__REGEL]]&amp;"_"&amp;Table1[[#This Row],[BORING_NUMMER]]&amp;"_"&amp;Table1[[#This Row],[MONSTER_ID]]</f>
        <v>30_B09-K01_6-S 323</v>
      </c>
      <c r="B37" s="93">
        <v>30</v>
      </c>
      <c r="C37" s="93" t="b">
        <v>0</v>
      </c>
      <c r="G37" s="93" t="b">
        <v>1</v>
      </c>
      <c r="H37" s="93" t="b">
        <v>0</v>
      </c>
      <c r="I37" s="93" t="b">
        <v>0</v>
      </c>
      <c r="J37" s="93" t="b">
        <v>1</v>
      </c>
      <c r="K37" s="93" t="s">
        <v>1278</v>
      </c>
      <c r="L37" s="93" t="s">
        <v>1279</v>
      </c>
      <c r="N37" s="93" t="s">
        <v>1383</v>
      </c>
      <c r="O37" s="93" t="s">
        <v>1356</v>
      </c>
      <c r="Q37" s="93" t="s">
        <v>1118</v>
      </c>
      <c r="V37" s="93">
        <v>80461.320000000007</v>
      </c>
      <c r="W37" s="93">
        <v>449171.41</v>
      </c>
      <c r="X37" s="93">
        <v>0.17</v>
      </c>
      <c r="Y37" s="93" t="s">
        <v>1357</v>
      </c>
      <c r="Z37" s="93" t="s">
        <v>1147</v>
      </c>
      <c r="AA37" s="98" t="s">
        <v>1358</v>
      </c>
      <c r="AD37" s="93" t="s">
        <v>1279</v>
      </c>
      <c r="AF37" s="93" t="s">
        <v>1122</v>
      </c>
      <c r="AG37" s="93">
        <v>-1.5</v>
      </c>
      <c r="AI37" s="93" t="s">
        <v>1359</v>
      </c>
      <c r="AK37" s="93" t="s">
        <v>1124</v>
      </c>
      <c r="AL37" s="93">
        <v>-2.63</v>
      </c>
      <c r="AM37" s="93">
        <v>-3.03</v>
      </c>
      <c r="AN37" s="93">
        <v>2.8</v>
      </c>
      <c r="AO37" s="93">
        <v>3.2</v>
      </c>
      <c r="AT37" s="93" t="s">
        <v>1279</v>
      </c>
      <c r="AV37" s="103"/>
      <c r="AW37" s="93" t="s">
        <v>1360</v>
      </c>
      <c r="AX37" s="93" t="s">
        <v>1242</v>
      </c>
      <c r="CJ37" s="103"/>
      <c r="EA37" s="93" t="s">
        <v>1361</v>
      </c>
      <c r="EC37" s="93" t="s">
        <v>1362</v>
      </c>
      <c r="ED37" s="93" t="s">
        <v>1279</v>
      </c>
      <c r="EE37" s="93" t="s">
        <v>1129</v>
      </c>
      <c r="EF37" s="98">
        <v>45959</v>
      </c>
      <c r="EG37" s="93" t="s">
        <v>1360</v>
      </c>
      <c r="EH37" s="93" t="s">
        <v>1242</v>
      </c>
      <c r="EI37" s="93">
        <v>-2.95</v>
      </c>
      <c r="EJ37" s="93">
        <v>41.8</v>
      </c>
      <c r="EK37" s="93">
        <v>12.5</v>
      </c>
      <c r="EL37" s="93">
        <v>5.2</v>
      </c>
      <c r="EM37" s="93">
        <v>140.4</v>
      </c>
      <c r="EN37" s="93">
        <v>98.4</v>
      </c>
      <c r="ER37" s="93">
        <v>63.5</v>
      </c>
      <c r="ES37" s="93">
        <v>25</v>
      </c>
      <c r="ET37" s="93">
        <v>25</v>
      </c>
      <c r="EU37" s="93">
        <v>16.47</v>
      </c>
      <c r="EV37" s="93">
        <v>0.5</v>
      </c>
      <c r="EW37" s="93">
        <v>-0.5</v>
      </c>
      <c r="EX37" s="93">
        <v>16</v>
      </c>
      <c r="EY37" s="93">
        <v>245.6</v>
      </c>
      <c r="EZ37" s="93">
        <v>190.4</v>
      </c>
      <c r="FA37" s="93">
        <v>165.6</v>
      </c>
      <c r="FB37" s="93">
        <v>44.3</v>
      </c>
      <c r="FC37" s="93">
        <v>407.4</v>
      </c>
      <c r="FD37" s="93">
        <v>0.1</v>
      </c>
      <c r="FE37" s="93">
        <v>72.099999999999994</v>
      </c>
      <c r="FF37" s="93">
        <v>6.3</v>
      </c>
      <c r="FG37" s="93">
        <v>125</v>
      </c>
      <c r="FH37" s="93">
        <v>2.4400000000000002E-2</v>
      </c>
      <c r="FI37" s="93">
        <v>0.20499999999999999</v>
      </c>
      <c r="FJ37" s="93">
        <v>1.2999999999999999E-2</v>
      </c>
      <c r="FP37" s="103"/>
      <c r="LL37" s="103"/>
      <c r="NH37" s="93" t="s">
        <v>1363</v>
      </c>
      <c r="NI37" s="93" t="s">
        <v>1364</v>
      </c>
      <c r="NJ37" s="93" t="s">
        <v>1365</v>
      </c>
      <c r="NK37" s="93" t="s">
        <v>1279</v>
      </c>
      <c r="NL37" s="93" t="s">
        <v>1132</v>
      </c>
      <c r="NM37" s="103">
        <v>45849</v>
      </c>
      <c r="NN37" s="93" t="s">
        <v>1360</v>
      </c>
      <c r="NO37" s="93" t="s">
        <v>1242</v>
      </c>
      <c r="NP37" s="93">
        <v>-2.8</v>
      </c>
      <c r="NQ37" s="93">
        <v>41.8</v>
      </c>
      <c r="NR37" s="93">
        <v>14.1</v>
      </c>
      <c r="NS37" s="93">
        <v>6.9</v>
      </c>
      <c r="NT37" s="93">
        <v>109.1</v>
      </c>
      <c r="NU37" s="93">
        <v>104.1</v>
      </c>
      <c r="NV37" s="93">
        <v>66.7</v>
      </c>
      <c r="NY37" s="93">
        <v>20</v>
      </c>
      <c r="NZ37" s="93">
        <v>20</v>
      </c>
      <c r="OA37" s="93">
        <v>66</v>
      </c>
      <c r="OB37" s="93">
        <v>135</v>
      </c>
      <c r="OC37" s="93" t="s">
        <v>1133</v>
      </c>
      <c r="OD37" s="93" t="s">
        <v>1134</v>
      </c>
      <c r="OE37" s="93" t="s">
        <v>1134</v>
      </c>
      <c r="OF37" s="93">
        <v>300</v>
      </c>
      <c r="OG37" s="93" t="s">
        <v>1135</v>
      </c>
      <c r="OH37" s="93">
        <v>0.5</v>
      </c>
      <c r="OI37" s="93" t="s">
        <v>1136</v>
      </c>
      <c r="OJ37" s="93">
        <v>21</v>
      </c>
      <c r="OK37" s="93">
        <v>0</v>
      </c>
      <c r="ON37" s="93">
        <v>31.5</v>
      </c>
      <c r="OO37" s="93">
        <v>10.5</v>
      </c>
      <c r="OP37" s="93">
        <v>1</v>
      </c>
      <c r="OQ37" s="93">
        <v>4</v>
      </c>
      <c r="OR37" s="93">
        <v>6</v>
      </c>
      <c r="OS37" s="93">
        <v>25</v>
      </c>
      <c r="OT37" s="93">
        <v>1</v>
      </c>
      <c r="OU37" s="93">
        <v>30.4</v>
      </c>
      <c r="OV37" s="93">
        <v>19.8</v>
      </c>
      <c r="OW37" s="93">
        <v>29.3</v>
      </c>
      <c r="OX37" s="93">
        <v>20.3</v>
      </c>
      <c r="OY37" s="93">
        <v>27.1</v>
      </c>
      <c r="OZ37" s="93">
        <v>19</v>
      </c>
      <c r="PA37" s="93">
        <v>29.4</v>
      </c>
      <c r="PB37" s="93">
        <v>20.3</v>
      </c>
      <c r="PC37" s="93">
        <v>5</v>
      </c>
      <c r="PD37" s="93">
        <v>24.9</v>
      </c>
      <c r="PE37" s="93">
        <v>16.600000000000001</v>
      </c>
      <c r="PF37" s="93">
        <v>25</v>
      </c>
      <c r="PG37" s="93">
        <v>13.7</v>
      </c>
      <c r="PH37" s="93">
        <v>0.2</v>
      </c>
      <c r="QT37" s="106" t="s">
        <v>1277</v>
      </c>
      <c r="QU37" s="106"/>
      <c r="QV37" s="106">
        <v>41.8</v>
      </c>
      <c r="QW37" s="106">
        <v>42</v>
      </c>
      <c r="QX37" s="106"/>
      <c r="QY37" s="106" t="s">
        <v>1137</v>
      </c>
      <c r="QZ37" s="106"/>
      <c r="RA37" s="106" t="s">
        <v>1137</v>
      </c>
      <c r="RB37" s="106"/>
      <c r="RC37" s="106"/>
      <c r="RD37" s="106"/>
      <c r="RE37" s="106">
        <v>72.099999999999994</v>
      </c>
      <c r="RF37" s="106">
        <v>30.3</v>
      </c>
      <c r="RG37" s="106">
        <v>30.3</v>
      </c>
      <c r="RH37" s="106"/>
      <c r="RI37" s="106"/>
      <c r="RJ37" s="106">
        <v>72.099999999999994</v>
      </c>
      <c r="RK37" s="106">
        <v>1.72488038277512</v>
      </c>
      <c r="RL37" s="106"/>
    </row>
    <row r="38" spans="1:480" x14ac:dyDescent="0.3">
      <c r="A38" s="93" t="str">
        <f>Table1[[#This Row],[ALG__REGEL]]&amp;"_"&amp;Table1[[#This Row],[BORING_NUMMER]]&amp;"_"&amp;Table1[[#This Row],[MONSTER_ID]]</f>
        <v>31_B03-AL01_10-991</v>
      </c>
      <c r="B38" s="93">
        <v>31</v>
      </c>
      <c r="C38" s="93" t="b">
        <v>0</v>
      </c>
      <c r="G38" s="93" t="b">
        <v>0</v>
      </c>
      <c r="H38" s="93" t="b">
        <v>0</v>
      </c>
      <c r="I38" s="93" t="b">
        <v>0</v>
      </c>
      <c r="J38" s="93" t="b">
        <v>1</v>
      </c>
      <c r="K38" s="93" t="s">
        <v>1278</v>
      </c>
      <c r="L38" s="93" t="s">
        <v>1279</v>
      </c>
      <c r="N38" s="93" t="s">
        <v>1383</v>
      </c>
      <c r="O38" s="93" t="s">
        <v>1214</v>
      </c>
      <c r="Q38" s="93" t="s">
        <v>1118</v>
      </c>
      <c r="V38" s="93">
        <v>87463.87</v>
      </c>
      <c r="W38" s="93">
        <v>449482.61</v>
      </c>
      <c r="X38" s="93">
        <v>-4.5170000000000003</v>
      </c>
      <c r="Y38" s="93" t="s">
        <v>1215</v>
      </c>
      <c r="Z38" s="93" t="s">
        <v>1120</v>
      </c>
      <c r="AA38" s="98">
        <v>45878</v>
      </c>
      <c r="AD38" s="93" t="s">
        <v>1366</v>
      </c>
      <c r="AE38" s="93" t="s">
        <v>1121</v>
      </c>
      <c r="AF38" s="93" t="s">
        <v>1122</v>
      </c>
      <c r="AG38" s="93">
        <v>-5.7970000000000006</v>
      </c>
      <c r="AI38" s="93" t="s">
        <v>1217</v>
      </c>
      <c r="AK38" s="93" t="s">
        <v>1124</v>
      </c>
      <c r="AL38" s="93">
        <v>-8.9170000000000016</v>
      </c>
      <c r="AM38" s="93">
        <v>-9.3170000000000002</v>
      </c>
      <c r="AN38" s="93">
        <v>4.4000000000000004</v>
      </c>
      <c r="AO38" s="93">
        <v>4.8</v>
      </c>
      <c r="AT38" s="93" t="s">
        <v>1367</v>
      </c>
      <c r="AW38" s="93" t="s">
        <v>1125</v>
      </c>
      <c r="AX38" s="93" t="s">
        <v>1126</v>
      </c>
      <c r="CJ38" s="103"/>
      <c r="FP38" s="103"/>
      <c r="LL38" s="103"/>
      <c r="NH38" s="93" t="s">
        <v>1218</v>
      </c>
      <c r="NI38" s="93" t="s">
        <v>1219</v>
      </c>
      <c r="NJ38" s="93" t="s">
        <v>1217</v>
      </c>
      <c r="NK38" s="93" t="s">
        <v>1368</v>
      </c>
      <c r="NL38" s="93" t="s">
        <v>1132</v>
      </c>
      <c r="NM38" s="103">
        <v>45944</v>
      </c>
      <c r="NN38" s="93" t="s">
        <v>1125</v>
      </c>
      <c r="NO38" s="93" t="s">
        <v>1126</v>
      </c>
      <c r="NP38" s="93">
        <v>-9.02</v>
      </c>
      <c r="NQ38" s="93">
        <v>45</v>
      </c>
      <c r="NR38" s="93">
        <v>15.4</v>
      </c>
      <c r="NS38" s="93">
        <v>9.1</v>
      </c>
      <c r="NT38" s="93">
        <v>60.2</v>
      </c>
      <c r="NU38" s="93">
        <v>68.7</v>
      </c>
      <c r="NV38" s="93">
        <v>72</v>
      </c>
      <c r="NY38" s="93">
        <v>20</v>
      </c>
      <c r="NZ38" s="93">
        <v>20</v>
      </c>
      <c r="OA38" s="93">
        <v>66</v>
      </c>
      <c r="OB38" s="93">
        <v>135</v>
      </c>
      <c r="OC38" s="93" t="s">
        <v>1133</v>
      </c>
      <c r="OD38" s="93" t="s">
        <v>1134</v>
      </c>
      <c r="OE38" s="93" t="s">
        <v>1134</v>
      </c>
      <c r="OF38" s="93">
        <v>300</v>
      </c>
      <c r="OG38" s="93" t="s">
        <v>1135</v>
      </c>
      <c r="OH38" s="93">
        <v>0.45</v>
      </c>
      <c r="OI38" s="93" t="s">
        <v>1136</v>
      </c>
      <c r="OJ38" s="93">
        <v>53</v>
      </c>
      <c r="OK38" s="93">
        <v>0</v>
      </c>
      <c r="ON38" s="93">
        <v>85.6</v>
      </c>
      <c r="OO38" s="93">
        <v>32.5</v>
      </c>
      <c r="OP38" s="93">
        <v>2.6</v>
      </c>
      <c r="OQ38" s="93">
        <v>12.8</v>
      </c>
      <c r="OR38" s="93">
        <v>16</v>
      </c>
      <c r="OS38" s="93">
        <v>25</v>
      </c>
      <c r="OT38" s="93">
        <v>1</v>
      </c>
      <c r="OU38" s="93">
        <v>76.599999999999994</v>
      </c>
      <c r="OV38" s="93">
        <v>44.8</v>
      </c>
      <c r="OW38" s="93">
        <v>68.7</v>
      </c>
      <c r="OX38" s="93">
        <v>42.9</v>
      </c>
      <c r="OY38" s="93">
        <v>58.1</v>
      </c>
      <c r="OZ38" s="93">
        <v>38</v>
      </c>
      <c r="PA38" s="93">
        <v>79.3</v>
      </c>
      <c r="PB38" s="93">
        <v>45.2</v>
      </c>
      <c r="PC38" s="93">
        <v>1.3</v>
      </c>
      <c r="PD38" s="93">
        <v>52.8</v>
      </c>
      <c r="PE38" s="93">
        <v>33.9</v>
      </c>
      <c r="PF38" s="93">
        <v>25</v>
      </c>
      <c r="PG38" s="93">
        <v>115.5</v>
      </c>
      <c r="PH38" s="93">
        <v>0.1</v>
      </c>
      <c r="QT38" s="106" t="s">
        <v>1277</v>
      </c>
      <c r="QU38" s="106"/>
      <c r="QV38" s="106">
        <v>45</v>
      </c>
      <c r="QW38" s="106">
        <v>118.1</v>
      </c>
      <c r="QX38" s="106"/>
      <c r="QY38" s="106" t="s">
        <v>1216</v>
      </c>
      <c r="QZ38" s="106"/>
      <c r="RA38" s="106" t="s">
        <v>1216</v>
      </c>
      <c r="RB38" s="106"/>
      <c r="RC38" s="106"/>
      <c r="RD38" s="106"/>
      <c r="RE38" s="106"/>
      <c r="RF38" s="106"/>
      <c r="RG38" s="106"/>
      <c r="RH38" s="106"/>
      <c r="RI38" s="106"/>
      <c r="RJ38" s="106"/>
      <c r="RK38" s="106"/>
      <c r="RL38" s="106"/>
    </row>
    <row r="39" spans="1:480" x14ac:dyDescent="0.3">
      <c r="A39" s="93" t="str">
        <f>Table1[[#This Row],[ALG__REGEL]]&amp;"_"&amp;Table1[[#This Row],[BORING_NUMMER]]&amp;"_"&amp;Table1[[#This Row],[MONSTER_ID]]</f>
        <v>32_B08-K01_15-22380</v>
      </c>
      <c r="B39" s="93">
        <v>32</v>
      </c>
      <c r="C39" s="93" t="b">
        <v>0</v>
      </c>
      <c r="G39" s="93" t="b">
        <v>0</v>
      </c>
      <c r="H39" s="93" t="b">
        <v>0</v>
      </c>
      <c r="I39" s="93" t="b">
        <v>0</v>
      </c>
      <c r="J39" s="93" t="b">
        <v>1</v>
      </c>
      <c r="K39" s="93" t="s">
        <v>1278</v>
      </c>
      <c r="L39" s="93" t="s">
        <v>1279</v>
      </c>
      <c r="N39" s="93" t="s">
        <v>1383</v>
      </c>
      <c r="O39" s="93" t="s">
        <v>1340</v>
      </c>
      <c r="Q39" s="93" t="s">
        <v>1118</v>
      </c>
      <c r="V39" s="93">
        <v>86212.86</v>
      </c>
      <c r="W39" s="93">
        <v>443070.64</v>
      </c>
      <c r="X39" s="93">
        <v>-1E-3</v>
      </c>
      <c r="Y39" s="93" t="s">
        <v>1341</v>
      </c>
      <c r="Z39" s="93" t="s">
        <v>1147</v>
      </c>
      <c r="AA39" s="98" t="s">
        <v>1342</v>
      </c>
      <c r="AD39" s="93" t="s">
        <v>1366</v>
      </c>
      <c r="AE39" s="93" t="s">
        <v>1121</v>
      </c>
      <c r="AF39" s="93" t="s">
        <v>1122</v>
      </c>
      <c r="AG39" s="93">
        <v>-2.0009999999999999</v>
      </c>
      <c r="AI39" s="93" t="s">
        <v>1369</v>
      </c>
      <c r="AK39" s="93" t="s">
        <v>1124</v>
      </c>
      <c r="AL39" s="93">
        <v>-6.4010000000000007</v>
      </c>
      <c r="AM39" s="93">
        <v>-6.8010000000000002</v>
      </c>
      <c r="AN39" s="93">
        <v>6.4</v>
      </c>
      <c r="AO39" s="93">
        <v>6.8</v>
      </c>
      <c r="AT39" s="93" t="s">
        <v>1367</v>
      </c>
      <c r="AW39" s="93" t="s">
        <v>1370</v>
      </c>
      <c r="AX39" s="93" t="s">
        <v>1371</v>
      </c>
      <c r="CJ39" s="103"/>
      <c r="FP39" s="103"/>
      <c r="LL39" s="103"/>
      <c r="NH39" s="93" t="s">
        <v>1372</v>
      </c>
      <c r="NI39" s="93" t="s">
        <v>1373</v>
      </c>
      <c r="NJ39" s="93" t="s">
        <v>1369</v>
      </c>
      <c r="NK39" s="93" t="s">
        <v>1368</v>
      </c>
      <c r="NL39" s="93" t="s">
        <v>1132</v>
      </c>
      <c r="NM39" s="103">
        <v>45819</v>
      </c>
      <c r="NN39" s="93" t="s">
        <v>1370</v>
      </c>
      <c r="NO39" s="93" t="s">
        <v>1371</v>
      </c>
      <c r="NP39" s="93">
        <v>-6.6</v>
      </c>
      <c r="NQ39" s="93">
        <v>43.7</v>
      </c>
      <c r="NR39" s="93">
        <v>15.1</v>
      </c>
      <c r="NS39" s="93">
        <v>8</v>
      </c>
      <c r="NT39" s="93">
        <v>68.7</v>
      </c>
      <c r="NU39" s="93">
        <v>89.3</v>
      </c>
      <c r="NV39" s="93">
        <v>48</v>
      </c>
      <c r="NY39" s="93">
        <v>20</v>
      </c>
      <c r="NZ39" s="93">
        <v>20</v>
      </c>
      <c r="OA39" s="93">
        <v>66</v>
      </c>
      <c r="OB39" s="93">
        <v>135</v>
      </c>
      <c r="OC39" s="93" t="s">
        <v>1133</v>
      </c>
      <c r="OD39" s="93" t="s">
        <v>1134</v>
      </c>
      <c r="OE39" s="93" t="s">
        <v>1134</v>
      </c>
      <c r="OF39" s="93">
        <v>300</v>
      </c>
      <c r="OG39" s="93" t="s">
        <v>1135</v>
      </c>
      <c r="OH39" s="93">
        <v>0.45</v>
      </c>
      <c r="OI39" s="93" t="s">
        <v>1136</v>
      </c>
      <c r="OJ39" s="93">
        <v>50</v>
      </c>
      <c r="OK39" s="93">
        <v>0</v>
      </c>
      <c r="ON39" s="93">
        <v>79.8</v>
      </c>
      <c r="OO39" s="93">
        <v>30.3</v>
      </c>
      <c r="OP39" s="93">
        <v>2.5</v>
      </c>
      <c r="OQ39" s="93">
        <v>12</v>
      </c>
      <c r="OR39" s="93">
        <v>15</v>
      </c>
      <c r="OS39" s="93">
        <v>25</v>
      </c>
      <c r="OT39" s="93">
        <v>0.9</v>
      </c>
      <c r="OU39" s="93">
        <v>72.599999999999994</v>
      </c>
      <c r="OV39" s="93">
        <v>41</v>
      </c>
      <c r="OW39" s="93">
        <v>65.2</v>
      </c>
      <c r="OX39" s="93">
        <v>39.5</v>
      </c>
      <c r="OY39" s="93">
        <v>53.9</v>
      </c>
      <c r="OZ39" s="93">
        <v>35</v>
      </c>
      <c r="PA39" s="93">
        <v>75.099999999999994</v>
      </c>
      <c r="PB39" s="93">
        <v>41.2</v>
      </c>
      <c r="PC39" s="93">
        <v>1.4</v>
      </c>
      <c r="PD39" s="93">
        <v>47.6</v>
      </c>
      <c r="PE39" s="93">
        <v>31.2</v>
      </c>
      <c r="PF39" s="93">
        <v>25</v>
      </c>
      <c r="PG39" s="93">
        <v>97.4</v>
      </c>
      <c r="PH39" s="93">
        <v>0.1</v>
      </c>
      <c r="QT39" s="106" t="s">
        <v>1277</v>
      </c>
      <c r="QU39" s="106"/>
      <c r="QV39" s="106">
        <v>43.7</v>
      </c>
      <c r="QW39" s="106">
        <v>110.1</v>
      </c>
      <c r="QX39" s="106"/>
      <c r="QY39" s="106" t="s">
        <v>1216</v>
      </c>
      <c r="QZ39" s="106"/>
      <c r="RA39" s="106" t="s">
        <v>1216</v>
      </c>
      <c r="RB39" s="106"/>
      <c r="RC39" s="106"/>
      <c r="RD39" s="106"/>
      <c r="RE39" s="106"/>
      <c r="RF39" s="106"/>
      <c r="RG39" s="106">
        <v>37.799999999999997</v>
      </c>
      <c r="RH39" s="106">
        <v>81.5</v>
      </c>
      <c r="RI39" s="106"/>
      <c r="RJ39" s="106">
        <v>81.5</v>
      </c>
      <c r="RK39" s="106">
        <v>1</v>
      </c>
      <c r="RL39" s="106"/>
    </row>
    <row r="40" spans="1:480" x14ac:dyDescent="0.3">
      <c r="A40" s="93" t="str">
        <f>Table1[[#This Row],[ALG__REGEL]]&amp;"_"&amp;Table1[[#This Row],[BORING_NUMMER]]&amp;"_"&amp;Table1[[#This Row],[MONSTER_ID]]</f>
        <v>33_B11-K01_26-1116</v>
      </c>
      <c r="B40" s="93">
        <v>33</v>
      </c>
      <c r="C40" s="93" t="b">
        <v>0</v>
      </c>
      <c r="G40" s="93" t="b">
        <v>0</v>
      </c>
      <c r="H40" s="93" t="b">
        <v>0</v>
      </c>
      <c r="I40" s="93" t="b">
        <v>0</v>
      </c>
      <c r="J40" s="93" t="b">
        <v>1</v>
      </c>
      <c r="K40" s="93" t="s">
        <v>1278</v>
      </c>
      <c r="L40" s="93" t="s">
        <v>1279</v>
      </c>
      <c r="N40" s="93" t="s">
        <v>1383</v>
      </c>
      <c r="O40" s="93" t="s">
        <v>1374</v>
      </c>
      <c r="Q40" s="93" t="s">
        <v>1118</v>
      </c>
      <c r="V40" s="93">
        <v>87080.1</v>
      </c>
      <c r="W40" s="93">
        <v>435430.7</v>
      </c>
      <c r="X40" s="93">
        <v>5.0730000000000004</v>
      </c>
      <c r="Y40" s="93" t="s">
        <v>1375</v>
      </c>
      <c r="Z40" s="93" t="s">
        <v>1147</v>
      </c>
      <c r="AA40" s="98" t="s">
        <v>1376</v>
      </c>
      <c r="AD40" s="93" t="s">
        <v>1366</v>
      </c>
      <c r="AE40" s="93" t="s">
        <v>1121</v>
      </c>
      <c r="AF40" s="93" t="s">
        <v>1122</v>
      </c>
      <c r="AG40" s="93">
        <v>1.603</v>
      </c>
      <c r="AI40" s="93" t="s">
        <v>1377</v>
      </c>
      <c r="AK40" s="93" t="s">
        <v>1124</v>
      </c>
      <c r="AL40" s="93">
        <v>-5.7270000000000003</v>
      </c>
      <c r="AM40" s="93">
        <v>-6.1269999999999989</v>
      </c>
      <c r="AN40" s="93">
        <v>10.8</v>
      </c>
      <c r="AO40" s="93">
        <v>11.2</v>
      </c>
      <c r="AT40" s="93" t="s">
        <v>1367</v>
      </c>
      <c r="AV40" s="103"/>
      <c r="AW40" s="93" t="s">
        <v>1378</v>
      </c>
      <c r="AX40" s="93" t="s">
        <v>1379</v>
      </c>
      <c r="CJ40" s="103"/>
      <c r="FP40" s="103"/>
      <c r="LL40" s="103"/>
      <c r="NH40" s="93" t="s">
        <v>1380</v>
      </c>
      <c r="NI40" s="93" t="s">
        <v>1381</v>
      </c>
      <c r="NJ40" s="93" t="s">
        <v>1377</v>
      </c>
      <c r="NK40" s="93" t="s">
        <v>1368</v>
      </c>
      <c r="NL40" s="93" t="s">
        <v>1132</v>
      </c>
      <c r="NM40" s="103">
        <v>45867</v>
      </c>
      <c r="NN40" s="93" t="s">
        <v>1378</v>
      </c>
      <c r="NO40" s="93" t="s">
        <v>1379</v>
      </c>
      <c r="NP40" s="93">
        <v>-5.83</v>
      </c>
      <c r="NQ40" s="93">
        <v>107.6</v>
      </c>
      <c r="NR40" s="93">
        <v>15.1</v>
      </c>
      <c r="NS40" s="93">
        <v>8.8000000000000007</v>
      </c>
      <c r="NT40" s="93">
        <v>63.8</v>
      </c>
      <c r="NU40" s="93">
        <v>72.599999999999994</v>
      </c>
      <c r="NV40" s="93">
        <v>74</v>
      </c>
      <c r="NY40" s="93">
        <v>20</v>
      </c>
      <c r="NZ40" s="93">
        <v>20</v>
      </c>
      <c r="OA40" s="93">
        <v>66</v>
      </c>
      <c r="OB40" s="93">
        <v>135</v>
      </c>
      <c r="OC40" s="93" t="s">
        <v>1133</v>
      </c>
      <c r="OD40" s="93" t="s">
        <v>1134</v>
      </c>
      <c r="OE40" s="93" t="s">
        <v>1134</v>
      </c>
      <c r="OF40" s="93">
        <v>300</v>
      </c>
      <c r="OG40" s="93" t="s">
        <v>1135</v>
      </c>
      <c r="OH40" s="93">
        <v>0.45</v>
      </c>
      <c r="OI40" s="93" t="s">
        <v>1136</v>
      </c>
      <c r="OJ40" s="93">
        <v>126</v>
      </c>
      <c r="OK40" s="93">
        <v>0</v>
      </c>
      <c r="ON40" s="93">
        <v>203</v>
      </c>
      <c r="OO40" s="93">
        <v>77</v>
      </c>
      <c r="OP40" s="93">
        <v>2.6</v>
      </c>
      <c r="OQ40" s="93">
        <v>16.899999999999999</v>
      </c>
      <c r="OR40" s="93">
        <v>17.600000000000001</v>
      </c>
      <c r="OS40" s="93" t="s">
        <v>1382</v>
      </c>
      <c r="OT40" s="93">
        <v>1</v>
      </c>
      <c r="OU40" s="93">
        <v>185.5</v>
      </c>
      <c r="OV40" s="93">
        <v>106.1</v>
      </c>
      <c r="OW40" s="93">
        <v>166.6</v>
      </c>
      <c r="OX40" s="93">
        <v>105</v>
      </c>
      <c r="OY40" s="93">
        <v>136.4</v>
      </c>
      <c r="OZ40" s="93">
        <v>80.7</v>
      </c>
      <c r="PA40" s="93">
        <v>180.9</v>
      </c>
      <c r="PB40" s="93">
        <v>106.4</v>
      </c>
      <c r="PC40" s="93">
        <v>2.6</v>
      </c>
      <c r="PD40" s="93">
        <v>129.9</v>
      </c>
      <c r="PE40" s="93">
        <v>74.2</v>
      </c>
      <c r="PF40" s="93">
        <v>20.9</v>
      </c>
      <c r="PG40" s="93">
        <v>130.4</v>
      </c>
      <c r="PH40" s="93">
        <v>0.1</v>
      </c>
      <c r="QT40" s="106" t="s">
        <v>1277</v>
      </c>
      <c r="QU40" s="106"/>
      <c r="QV40" s="106">
        <v>107.6</v>
      </c>
      <c r="QW40" s="106">
        <v>280</v>
      </c>
      <c r="QX40" s="106"/>
      <c r="QY40" s="106" t="s">
        <v>1216</v>
      </c>
      <c r="QZ40" s="106"/>
      <c r="RA40" s="106" t="s">
        <v>1216</v>
      </c>
      <c r="RB40" s="106"/>
      <c r="RC40" s="106"/>
      <c r="RD40" s="106"/>
      <c r="RE40" s="106"/>
      <c r="RF40" s="106"/>
      <c r="RG40" s="106"/>
      <c r="RH40" s="106"/>
      <c r="RI40" s="106"/>
      <c r="RJ40" s="106"/>
      <c r="RK40" s="106"/>
      <c r="RL40" s="106"/>
    </row>
    <row r="41" spans="1:480" x14ac:dyDescent="0.3">
      <c r="CJ41" s="103"/>
      <c r="FP41" s="103"/>
      <c r="LL41" s="103"/>
      <c r="NM41" s="103"/>
      <c r="QT41" s="106"/>
      <c r="QU41" s="106"/>
      <c r="QV41" s="106"/>
      <c r="QW41" s="106"/>
      <c r="QX41" s="106"/>
      <c r="QY41" s="106"/>
      <c r="QZ41" s="106"/>
      <c r="RA41" s="106"/>
      <c r="RB41" s="106"/>
      <c r="RC41" s="106"/>
      <c r="RD41" s="106"/>
      <c r="RE41" s="106"/>
      <c r="RF41" s="106"/>
      <c r="RG41" s="106"/>
      <c r="RH41" s="106"/>
      <c r="RI41" s="106"/>
      <c r="RJ41" s="106"/>
      <c r="RK41" s="106"/>
      <c r="RL41" s="106"/>
    </row>
    <row r="42" spans="1:480" x14ac:dyDescent="0.3">
      <c r="CJ42" s="103"/>
      <c r="FP42" s="103"/>
      <c r="LL42" s="103"/>
      <c r="NM42" s="103"/>
      <c r="QT42" s="106"/>
      <c r="QU42" s="106"/>
      <c r="QV42" s="106"/>
      <c r="QW42" s="106"/>
      <c r="QX42" s="106"/>
      <c r="QY42" s="106"/>
      <c r="QZ42" s="106"/>
      <c r="RA42" s="106"/>
      <c r="RB42" s="106"/>
      <c r="RC42" s="106"/>
      <c r="RD42" s="106"/>
      <c r="RE42" s="106"/>
      <c r="RF42" s="106"/>
      <c r="RG42" s="106"/>
      <c r="RH42" s="106"/>
      <c r="RI42" s="106"/>
      <c r="RJ42" s="106"/>
      <c r="RK42" s="106"/>
      <c r="RL42" s="106"/>
    </row>
    <row r="43" spans="1:480" x14ac:dyDescent="0.3">
      <c r="CJ43" s="103"/>
      <c r="FP43" s="103"/>
      <c r="LL43" s="103"/>
      <c r="NM43" s="103"/>
      <c r="QT43" s="106"/>
      <c r="QU43" s="106"/>
      <c r="QV43" s="106"/>
      <c r="QW43" s="106"/>
      <c r="QX43" s="106"/>
      <c r="QY43" s="106"/>
      <c r="QZ43" s="106"/>
      <c r="RA43" s="106"/>
      <c r="RB43" s="106"/>
      <c r="RC43" s="106"/>
      <c r="RD43" s="106"/>
      <c r="RE43" s="106"/>
      <c r="RF43" s="106"/>
      <c r="RG43" s="106"/>
      <c r="RH43" s="106"/>
      <c r="RI43" s="106"/>
      <c r="RJ43" s="106"/>
      <c r="RK43" s="106"/>
      <c r="RL43" s="106"/>
    </row>
    <row r="44" spans="1:480" x14ac:dyDescent="0.3">
      <c r="CJ44" s="103"/>
      <c r="FP44" s="103"/>
      <c r="LL44" s="103"/>
      <c r="NM44" s="103"/>
      <c r="QT44" s="106"/>
      <c r="QU44" s="106"/>
      <c r="QV44" s="106"/>
      <c r="QW44" s="106"/>
      <c r="QX44" s="106"/>
      <c r="QY44" s="106"/>
      <c r="QZ44" s="106"/>
      <c r="RA44" s="106"/>
      <c r="RB44" s="106"/>
      <c r="RC44" s="106"/>
      <c r="RD44" s="106"/>
      <c r="RE44" s="106"/>
      <c r="RF44" s="106"/>
      <c r="RG44" s="106"/>
      <c r="RH44" s="106"/>
      <c r="RI44" s="106"/>
      <c r="RJ44" s="106"/>
      <c r="RK44" s="106"/>
      <c r="RL44" s="106"/>
    </row>
    <row r="45" spans="1:480" x14ac:dyDescent="0.3">
      <c r="CJ45" s="103"/>
      <c r="FP45" s="103"/>
      <c r="LL45" s="103"/>
      <c r="NM45" s="103"/>
      <c r="QT45" s="106"/>
      <c r="QU45" s="106"/>
      <c r="QV45" s="106"/>
      <c r="QW45" s="106"/>
      <c r="QX45" s="106"/>
      <c r="QY45" s="106"/>
      <c r="QZ45" s="106"/>
      <c r="RA45" s="106"/>
      <c r="RB45" s="106"/>
      <c r="RC45" s="106"/>
      <c r="RD45" s="106"/>
      <c r="RE45" s="106"/>
      <c r="RF45" s="106"/>
      <c r="RG45" s="106"/>
      <c r="RH45" s="106"/>
      <c r="RI45" s="106"/>
      <c r="RJ45" s="106"/>
      <c r="RK45" s="106"/>
      <c r="RL45" s="106"/>
    </row>
    <row r="46" spans="1:480" x14ac:dyDescent="0.3">
      <c r="CJ46" s="103"/>
      <c r="FP46" s="103"/>
      <c r="LL46" s="103"/>
      <c r="NM46" s="103"/>
      <c r="QT46" s="106"/>
      <c r="QU46" s="106"/>
      <c r="QV46" s="106"/>
      <c r="QW46" s="106"/>
      <c r="QX46" s="106"/>
      <c r="QY46" s="106"/>
      <c r="QZ46" s="106"/>
      <c r="RA46" s="106"/>
      <c r="RB46" s="106"/>
      <c r="RC46" s="106"/>
      <c r="RD46" s="106"/>
      <c r="RE46" s="106"/>
      <c r="RF46" s="106"/>
      <c r="RG46" s="106"/>
      <c r="RH46" s="106"/>
      <c r="RI46" s="106"/>
      <c r="RJ46" s="106"/>
      <c r="RK46" s="106"/>
      <c r="RL46" s="106"/>
    </row>
    <row r="47" spans="1:480" x14ac:dyDescent="0.3">
      <c r="CJ47" s="103"/>
      <c r="FP47" s="103"/>
      <c r="LL47" s="103"/>
      <c r="NM47" s="103"/>
      <c r="QT47" s="106"/>
      <c r="QU47" s="106"/>
      <c r="QV47" s="106"/>
      <c r="QW47" s="106"/>
      <c r="QX47" s="106"/>
      <c r="QY47" s="106"/>
      <c r="QZ47" s="106"/>
      <c r="RA47" s="106"/>
      <c r="RB47" s="106"/>
      <c r="RC47" s="106"/>
      <c r="RD47" s="106"/>
      <c r="RE47" s="106"/>
      <c r="RF47" s="106"/>
      <c r="RG47" s="106"/>
      <c r="RH47" s="106"/>
      <c r="RI47" s="106"/>
      <c r="RJ47" s="106"/>
      <c r="RK47" s="106"/>
      <c r="RL47" s="106"/>
    </row>
    <row r="48" spans="1:480" x14ac:dyDescent="0.3">
      <c r="CJ48" s="103"/>
      <c r="FP48" s="103"/>
      <c r="LL48" s="103"/>
      <c r="NM48" s="103"/>
      <c r="QT48" s="106"/>
      <c r="QU48" s="106"/>
      <c r="QV48" s="106"/>
      <c r="QW48" s="106"/>
      <c r="QX48" s="106"/>
      <c r="QY48" s="106"/>
      <c r="QZ48" s="106"/>
      <c r="RA48" s="106"/>
      <c r="RB48" s="106"/>
      <c r="RC48" s="106"/>
      <c r="RD48" s="106"/>
      <c r="RE48" s="106"/>
      <c r="RF48" s="106"/>
      <c r="RG48" s="106"/>
      <c r="RH48" s="106"/>
      <c r="RI48" s="106"/>
      <c r="RJ48" s="106"/>
      <c r="RK48" s="106"/>
      <c r="RL48" s="106"/>
    </row>
    <row r="49" spans="88:480" x14ac:dyDescent="0.3">
      <c r="CJ49" s="103"/>
      <c r="FP49" s="103"/>
      <c r="LL49" s="103"/>
      <c r="NM49" s="103"/>
      <c r="QT49" s="106"/>
      <c r="QU49" s="106"/>
      <c r="QV49" s="106"/>
      <c r="QW49" s="106"/>
      <c r="QX49" s="106"/>
      <c r="QY49" s="106"/>
      <c r="QZ49" s="106"/>
      <c r="RA49" s="106"/>
      <c r="RB49" s="106"/>
      <c r="RC49" s="106"/>
      <c r="RD49" s="106"/>
      <c r="RE49" s="106"/>
      <c r="RF49" s="106"/>
      <c r="RG49" s="106"/>
      <c r="RH49" s="106"/>
      <c r="RI49" s="106"/>
      <c r="RJ49" s="106"/>
      <c r="RK49" s="106"/>
      <c r="RL49" s="106"/>
    </row>
    <row r="50" spans="88:480" x14ac:dyDescent="0.3">
      <c r="CJ50" s="103"/>
      <c r="FP50" s="103"/>
      <c r="LL50" s="103"/>
      <c r="NM50" s="103"/>
      <c r="QT50" s="106"/>
      <c r="QU50" s="106"/>
      <c r="QV50" s="106"/>
      <c r="QW50" s="106"/>
      <c r="QX50" s="106"/>
      <c r="QY50" s="106"/>
      <c r="QZ50" s="106"/>
      <c r="RA50" s="106"/>
      <c r="RB50" s="106"/>
      <c r="RC50" s="106"/>
      <c r="RD50" s="106"/>
      <c r="RE50" s="106"/>
      <c r="RF50" s="106"/>
      <c r="RG50" s="106"/>
      <c r="RH50" s="106"/>
      <c r="RI50" s="106"/>
      <c r="RJ50" s="106"/>
      <c r="RK50" s="106"/>
      <c r="RL50" s="106"/>
    </row>
    <row r="51" spans="88:480" x14ac:dyDescent="0.3">
      <c r="CJ51" s="103"/>
      <c r="FP51" s="103"/>
      <c r="LL51" s="103"/>
      <c r="NM51" s="103"/>
      <c r="QT51" s="106"/>
      <c r="QU51" s="106"/>
      <c r="QV51" s="106"/>
      <c r="QW51" s="106"/>
      <c r="QX51" s="106"/>
      <c r="QY51" s="106"/>
      <c r="QZ51" s="106"/>
      <c r="RA51" s="106"/>
      <c r="RB51" s="106"/>
      <c r="RC51" s="106"/>
      <c r="RD51" s="106"/>
      <c r="RE51" s="106"/>
      <c r="RF51" s="106"/>
      <c r="RG51" s="106"/>
      <c r="RH51" s="106"/>
      <c r="RI51" s="106"/>
      <c r="RJ51" s="106"/>
      <c r="RK51" s="106"/>
      <c r="RL51" s="106"/>
    </row>
    <row r="52" spans="88:480" x14ac:dyDescent="0.3">
      <c r="CJ52" s="103"/>
      <c r="FP52" s="103"/>
      <c r="LL52" s="103"/>
      <c r="NM52" s="103"/>
      <c r="QT52" s="106"/>
      <c r="QU52" s="106"/>
      <c r="QV52" s="106"/>
      <c r="QW52" s="106"/>
      <c r="QX52" s="106"/>
      <c r="QY52" s="106"/>
      <c r="QZ52" s="106"/>
      <c r="RA52" s="106"/>
      <c r="RB52" s="106"/>
      <c r="RC52" s="106"/>
      <c r="RD52" s="106"/>
      <c r="RE52" s="106"/>
      <c r="RF52" s="106"/>
      <c r="RG52" s="106"/>
      <c r="RH52" s="106"/>
      <c r="RI52" s="106"/>
      <c r="RJ52" s="106"/>
      <c r="RK52" s="106"/>
      <c r="RL52" s="106"/>
    </row>
    <row r="53" spans="88:480" x14ac:dyDescent="0.3">
      <c r="CJ53" s="103"/>
      <c r="FP53" s="103"/>
      <c r="LL53" s="103"/>
      <c r="NM53" s="103"/>
      <c r="QT53" s="106"/>
      <c r="QU53" s="106"/>
      <c r="QV53" s="106"/>
      <c r="QW53" s="106"/>
      <c r="QX53" s="106"/>
      <c r="QY53" s="106"/>
      <c r="QZ53" s="106"/>
      <c r="RA53" s="106"/>
      <c r="RB53" s="106"/>
      <c r="RC53" s="106"/>
      <c r="RD53" s="106"/>
      <c r="RE53" s="106"/>
      <c r="RF53" s="106"/>
      <c r="RG53" s="106"/>
      <c r="RH53" s="106"/>
      <c r="RI53" s="106"/>
      <c r="RJ53" s="106"/>
      <c r="RK53" s="106"/>
      <c r="RL53" s="106"/>
    </row>
    <row r="54" spans="88:480" x14ac:dyDescent="0.3">
      <c r="CJ54" s="103"/>
      <c r="FP54" s="103"/>
      <c r="LL54" s="103"/>
      <c r="NM54" s="103"/>
      <c r="QT54" s="106"/>
      <c r="QU54" s="106"/>
      <c r="QV54" s="106"/>
      <c r="QW54" s="106"/>
      <c r="QX54" s="106"/>
      <c r="QY54" s="106"/>
      <c r="QZ54" s="106"/>
      <c r="RA54" s="106"/>
      <c r="RB54" s="106"/>
      <c r="RC54" s="106"/>
      <c r="RD54" s="106"/>
      <c r="RE54" s="106"/>
      <c r="RF54" s="106"/>
      <c r="RG54" s="106"/>
      <c r="RH54" s="106"/>
      <c r="RI54" s="106"/>
      <c r="RJ54" s="106"/>
      <c r="RK54" s="106"/>
      <c r="RL54" s="106"/>
    </row>
    <row r="55" spans="88:480" x14ac:dyDescent="0.3">
      <c r="CJ55" s="103"/>
      <c r="FP55" s="103"/>
      <c r="LL55" s="103"/>
      <c r="NM55" s="103"/>
      <c r="QT55" s="106"/>
      <c r="QU55" s="106"/>
      <c r="QV55" s="106"/>
      <c r="QW55" s="106"/>
      <c r="QX55" s="106"/>
      <c r="QY55" s="106"/>
      <c r="QZ55" s="106"/>
      <c r="RA55" s="106"/>
      <c r="RB55" s="106"/>
      <c r="RC55" s="106"/>
      <c r="RD55" s="106"/>
      <c r="RE55" s="106"/>
      <c r="RF55" s="106"/>
      <c r="RG55" s="106"/>
      <c r="RH55" s="106"/>
      <c r="RI55" s="106"/>
      <c r="RJ55" s="106"/>
      <c r="RK55" s="106"/>
      <c r="RL55" s="106"/>
    </row>
    <row r="56" spans="88:480" x14ac:dyDescent="0.3">
      <c r="CJ56" s="103"/>
      <c r="FP56" s="103"/>
      <c r="LL56" s="103"/>
      <c r="NM56" s="103"/>
      <c r="QT56" s="106"/>
      <c r="QU56" s="106"/>
      <c r="QV56" s="106"/>
      <c r="QW56" s="106"/>
      <c r="QX56" s="106"/>
      <c r="QY56" s="106"/>
      <c r="QZ56" s="106"/>
      <c r="RA56" s="106"/>
      <c r="RB56" s="106"/>
      <c r="RC56" s="106"/>
      <c r="RD56" s="106"/>
      <c r="RE56" s="106"/>
      <c r="RF56" s="106"/>
      <c r="RG56" s="106"/>
      <c r="RH56" s="106"/>
      <c r="RI56" s="106"/>
      <c r="RJ56" s="106"/>
      <c r="RK56" s="106"/>
      <c r="RL56" s="106"/>
    </row>
    <row r="57" spans="88:480" x14ac:dyDescent="0.3">
      <c r="CJ57" s="103"/>
      <c r="FP57" s="103"/>
      <c r="LL57" s="103"/>
      <c r="NM57" s="103"/>
      <c r="QT57" s="106"/>
      <c r="QU57" s="106"/>
      <c r="QV57" s="106"/>
      <c r="QW57" s="106"/>
      <c r="QX57" s="106"/>
      <c r="QY57" s="106"/>
      <c r="QZ57" s="106"/>
      <c r="RA57" s="106"/>
      <c r="RB57" s="106"/>
      <c r="RC57" s="106"/>
      <c r="RD57" s="106"/>
      <c r="RE57" s="106"/>
      <c r="RF57" s="106"/>
      <c r="RG57" s="106"/>
      <c r="RH57" s="106"/>
      <c r="RI57" s="106"/>
      <c r="RJ57" s="106"/>
      <c r="RK57" s="106"/>
      <c r="RL57" s="106"/>
    </row>
    <row r="58" spans="88:480" x14ac:dyDescent="0.3">
      <c r="CJ58" s="103"/>
      <c r="FP58" s="103"/>
      <c r="LL58" s="103"/>
      <c r="NM58" s="103"/>
      <c r="QT58" s="106"/>
      <c r="QU58" s="106"/>
      <c r="QV58" s="106"/>
      <c r="QW58" s="106"/>
      <c r="QX58" s="106"/>
      <c r="QY58" s="106"/>
      <c r="QZ58" s="106"/>
      <c r="RA58" s="106"/>
      <c r="RB58" s="106"/>
      <c r="RC58" s="106"/>
      <c r="RD58" s="106"/>
      <c r="RE58" s="106"/>
      <c r="RF58" s="106"/>
      <c r="RG58" s="106"/>
      <c r="RH58" s="106"/>
      <c r="RI58" s="106"/>
      <c r="RJ58" s="106"/>
      <c r="RK58" s="106"/>
      <c r="RL58" s="106"/>
    </row>
    <row r="59" spans="88:480" x14ac:dyDescent="0.3">
      <c r="CJ59" s="103"/>
      <c r="FP59" s="103"/>
      <c r="LL59" s="103"/>
      <c r="NM59" s="103"/>
      <c r="QT59" s="106"/>
      <c r="QU59" s="106"/>
      <c r="QV59" s="106"/>
      <c r="QW59" s="106"/>
      <c r="QX59" s="106"/>
      <c r="QY59" s="106"/>
      <c r="QZ59" s="106"/>
      <c r="RA59" s="106"/>
      <c r="RB59" s="106"/>
      <c r="RC59" s="106"/>
      <c r="RD59" s="106"/>
      <c r="RE59" s="106"/>
      <c r="RF59" s="106"/>
      <c r="RG59" s="106"/>
      <c r="RH59" s="106"/>
      <c r="RI59" s="106"/>
      <c r="RJ59" s="106"/>
      <c r="RK59" s="106"/>
      <c r="RL59" s="106"/>
    </row>
    <row r="60" spans="88:480" x14ac:dyDescent="0.3">
      <c r="CJ60" s="103"/>
      <c r="FP60" s="103"/>
      <c r="LL60" s="103"/>
      <c r="NM60" s="103"/>
      <c r="QT60" s="106"/>
      <c r="QU60" s="106"/>
      <c r="QV60" s="106"/>
      <c r="QW60" s="106"/>
      <c r="QX60" s="106"/>
      <c r="QY60" s="106"/>
      <c r="QZ60" s="106"/>
      <c r="RA60" s="106"/>
      <c r="RB60" s="106"/>
      <c r="RC60" s="106"/>
      <c r="RD60" s="106"/>
      <c r="RE60" s="106"/>
      <c r="RF60" s="106"/>
      <c r="RG60" s="106"/>
      <c r="RH60" s="106"/>
      <c r="RI60" s="106"/>
      <c r="RJ60" s="106"/>
      <c r="RK60" s="106"/>
      <c r="RL60" s="106"/>
    </row>
    <row r="61" spans="88:480" x14ac:dyDescent="0.3">
      <c r="CJ61" s="103"/>
      <c r="FP61" s="103"/>
      <c r="LL61" s="103"/>
      <c r="NM61" s="103"/>
      <c r="QT61" s="106"/>
      <c r="QU61" s="106"/>
      <c r="QV61" s="106"/>
      <c r="QW61" s="106"/>
      <c r="QX61" s="106"/>
      <c r="QY61" s="106"/>
      <c r="QZ61" s="106"/>
      <c r="RA61" s="106"/>
      <c r="RB61" s="106"/>
      <c r="RC61" s="106"/>
      <c r="RD61" s="106"/>
      <c r="RE61" s="106"/>
      <c r="RF61" s="106"/>
      <c r="RG61" s="106"/>
      <c r="RH61" s="106"/>
      <c r="RI61" s="106"/>
      <c r="RJ61" s="106"/>
      <c r="RK61" s="106"/>
      <c r="RL61" s="106"/>
    </row>
    <row r="62" spans="88:480" x14ac:dyDescent="0.3">
      <c r="CJ62" s="103"/>
      <c r="FP62" s="103"/>
      <c r="LL62" s="103"/>
      <c r="NM62" s="103"/>
      <c r="QT62" s="106"/>
      <c r="QU62" s="106"/>
      <c r="QV62" s="106"/>
      <c r="QW62" s="106"/>
      <c r="QX62" s="106"/>
      <c r="QY62" s="106"/>
      <c r="QZ62" s="106"/>
      <c r="RA62" s="106"/>
      <c r="RB62" s="106"/>
      <c r="RC62" s="106"/>
      <c r="RD62" s="106"/>
      <c r="RE62" s="106"/>
      <c r="RF62" s="106"/>
      <c r="RG62" s="106"/>
      <c r="RH62" s="106"/>
      <c r="RI62" s="106"/>
      <c r="RJ62" s="106"/>
      <c r="RK62" s="106"/>
      <c r="RL62" s="106"/>
    </row>
    <row r="63" spans="88:480" x14ac:dyDescent="0.3">
      <c r="CJ63" s="103"/>
      <c r="FP63" s="103"/>
      <c r="LL63" s="103"/>
      <c r="NM63" s="103"/>
      <c r="QT63" s="106"/>
      <c r="QU63" s="106"/>
      <c r="QV63" s="106"/>
      <c r="QW63" s="106"/>
      <c r="QX63" s="106"/>
      <c r="QY63" s="106"/>
      <c r="QZ63" s="106"/>
      <c r="RA63" s="106"/>
      <c r="RB63" s="106"/>
      <c r="RC63" s="106"/>
      <c r="RD63" s="106"/>
      <c r="RE63" s="106"/>
      <c r="RF63" s="106"/>
      <c r="RG63" s="106"/>
      <c r="RH63" s="106"/>
      <c r="RI63" s="106"/>
      <c r="RJ63" s="106"/>
      <c r="RK63" s="106"/>
      <c r="RL63" s="106"/>
    </row>
    <row r="64" spans="88:480" x14ac:dyDescent="0.3">
      <c r="CJ64" s="103"/>
      <c r="FP64" s="103"/>
      <c r="LL64" s="103"/>
      <c r="NM64" s="103"/>
      <c r="QT64" s="106"/>
      <c r="QU64" s="106"/>
      <c r="QV64" s="106"/>
      <c r="QW64" s="106"/>
      <c r="QX64" s="106"/>
      <c r="QY64" s="106"/>
      <c r="QZ64" s="106"/>
      <c r="RA64" s="106"/>
      <c r="RB64" s="106"/>
      <c r="RC64" s="106"/>
      <c r="RD64" s="106"/>
      <c r="RE64" s="106"/>
      <c r="RF64" s="106"/>
      <c r="RG64" s="106"/>
      <c r="RH64" s="106"/>
      <c r="RI64" s="106"/>
      <c r="RJ64" s="106"/>
      <c r="RK64" s="106"/>
      <c r="RL64" s="106"/>
    </row>
    <row r="65" spans="88:480" x14ac:dyDescent="0.3">
      <c r="CJ65" s="103"/>
      <c r="FP65" s="103"/>
      <c r="LL65" s="103"/>
      <c r="NM65" s="103"/>
      <c r="QT65" s="106"/>
      <c r="QU65" s="106"/>
      <c r="QV65" s="106"/>
      <c r="QW65" s="106"/>
      <c r="QX65" s="106"/>
      <c r="QY65" s="106"/>
      <c r="QZ65" s="106"/>
      <c r="RA65" s="106"/>
      <c r="RB65" s="106"/>
      <c r="RC65" s="106"/>
      <c r="RD65" s="106"/>
      <c r="RE65" s="106"/>
      <c r="RF65" s="106"/>
      <c r="RG65" s="106"/>
      <c r="RH65" s="106"/>
      <c r="RI65" s="106"/>
      <c r="RJ65" s="106"/>
      <c r="RK65" s="106"/>
      <c r="RL65" s="106"/>
    </row>
    <row r="66" spans="88:480" x14ac:dyDescent="0.3">
      <c r="CJ66" s="103"/>
      <c r="FP66" s="103"/>
      <c r="LL66" s="103"/>
      <c r="NM66" s="103"/>
      <c r="QT66" s="106"/>
      <c r="QU66" s="106"/>
      <c r="QV66" s="106"/>
      <c r="QW66" s="106"/>
      <c r="QX66" s="106"/>
      <c r="QY66" s="106"/>
      <c r="QZ66" s="106"/>
      <c r="RA66" s="106"/>
      <c r="RB66" s="106"/>
      <c r="RC66" s="106"/>
      <c r="RD66" s="106"/>
      <c r="RE66" s="106"/>
      <c r="RF66" s="106"/>
      <c r="RG66" s="106"/>
      <c r="RH66" s="106"/>
      <c r="RI66" s="106"/>
      <c r="RJ66" s="106"/>
      <c r="RK66" s="106"/>
      <c r="RL66" s="106"/>
    </row>
    <row r="67" spans="88:480" x14ac:dyDescent="0.3">
      <c r="CJ67" s="103"/>
      <c r="FP67" s="103"/>
      <c r="LL67" s="103"/>
      <c r="NM67" s="103"/>
      <c r="QT67" s="106"/>
      <c r="QU67" s="106"/>
      <c r="QV67" s="106"/>
      <c r="QW67" s="106"/>
      <c r="QX67" s="106"/>
      <c r="QY67" s="106"/>
      <c r="QZ67" s="106"/>
      <c r="RA67" s="106"/>
      <c r="RB67" s="106"/>
      <c r="RC67" s="106"/>
      <c r="RD67" s="106"/>
      <c r="RE67" s="106"/>
      <c r="RF67" s="106"/>
      <c r="RG67" s="106"/>
      <c r="RH67" s="106"/>
      <c r="RI67" s="106"/>
      <c r="RJ67" s="106"/>
      <c r="RK67" s="106"/>
      <c r="RL67" s="106"/>
    </row>
    <row r="68" spans="88:480" x14ac:dyDescent="0.3">
      <c r="CJ68" s="103"/>
      <c r="FP68" s="103"/>
      <c r="LL68" s="103"/>
      <c r="NM68" s="103"/>
      <c r="QT68" s="106"/>
      <c r="QU68" s="106"/>
      <c r="QV68" s="106"/>
      <c r="QW68" s="106"/>
      <c r="QX68" s="106"/>
      <c r="QY68" s="106"/>
      <c r="QZ68" s="106"/>
      <c r="RA68" s="106"/>
      <c r="RB68" s="106"/>
      <c r="RC68" s="106"/>
      <c r="RD68" s="106"/>
      <c r="RE68" s="106"/>
      <c r="RF68" s="106"/>
      <c r="RG68" s="106"/>
      <c r="RH68" s="106"/>
      <c r="RI68" s="106"/>
      <c r="RJ68" s="106"/>
      <c r="RK68" s="106"/>
      <c r="RL68" s="106"/>
    </row>
    <row r="69" spans="88:480" x14ac:dyDescent="0.3">
      <c r="CJ69" s="103"/>
      <c r="FP69" s="103"/>
      <c r="LL69" s="103"/>
      <c r="NM69" s="103"/>
      <c r="QT69" s="106"/>
      <c r="QU69" s="106"/>
      <c r="QV69" s="106"/>
      <c r="QW69" s="106"/>
      <c r="QX69" s="106"/>
      <c r="QY69" s="106"/>
      <c r="QZ69" s="106"/>
      <c r="RA69" s="106"/>
      <c r="RB69" s="106"/>
      <c r="RC69" s="106"/>
      <c r="RD69" s="106"/>
      <c r="RE69" s="106"/>
      <c r="RF69" s="106"/>
      <c r="RG69" s="106"/>
      <c r="RH69" s="106"/>
      <c r="RI69" s="106"/>
      <c r="RJ69" s="106"/>
      <c r="RK69" s="106"/>
      <c r="RL69" s="106"/>
    </row>
    <row r="70" spans="88:480" x14ac:dyDescent="0.3">
      <c r="CJ70" s="103"/>
      <c r="FP70" s="103"/>
      <c r="LL70" s="103"/>
      <c r="NM70" s="103"/>
      <c r="QT70" s="106"/>
      <c r="QU70" s="106"/>
      <c r="QV70" s="106"/>
      <c r="QW70" s="106"/>
      <c r="QX70" s="106"/>
      <c r="QY70" s="106"/>
      <c r="QZ70" s="106"/>
      <c r="RA70" s="106"/>
      <c r="RB70" s="106"/>
      <c r="RC70" s="106"/>
      <c r="RD70" s="106"/>
      <c r="RE70" s="106"/>
      <c r="RF70" s="106"/>
      <c r="RG70" s="106"/>
      <c r="RH70" s="106"/>
      <c r="RI70" s="106"/>
      <c r="RJ70" s="106"/>
      <c r="RK70" s="106"/>
      <c r="RL70" s="106"/>
    </row>
    <row r="71" spans="88:480" x14ac:dyDescent="0.3">
      <c r="CJ71" s="103"/>
      <c r="FP71" s="103"/>
      <c r="LL71" s="103"/>
      <c r="NM71" s="103"/>
      <c r="QT71" s="106"/>
      <c r="QU71" s="106"/>
      <c r="QV71" s="106"/>
      <c r="QW71" s="106"/>
      <c r="QX71" s="106"/>
      <c r="QY71" s="106"/>
      <c r="QZ71" s="106"/>
      <c r="RA71" s="106"/>
      <c r="RB71" s="106"/>
      <c r="RC71" s="106"/>
      <c r="RD71" s="106"/>
      <c r="RE71" s="106"/>
      <c r="RF71" s="106"/>
      <c r="RG71" s="106"/>
      <c r="RH71" s="106"/>
      <c r="RI71" s="106"/>
      <c r="RJ71" s="106"/>
      <c r="RK71" s="106"/>
      <c r="RL71" s="106"/>
    </row>
    <row r="72" spans="88:480" x14ac:dyDescent="0.3">
      <c r="CJ72" s="103"/>
      <c r="FP72" s="103"/>
      <c r="LL72" s="103"/>
      <c r="NM72" s="103"/>
      <c r="QT72" s="106"/>
      <c r="QU72" s="106"/>
      <c r="QV72" s="106"/>
      <c r="QW72" s="106"/>
      <c r="QX72" s="106"/>
      <c r="QY72" s="106"/>
      <c r="QZ72" s="106"/>
      <c r="RA72" s="106"/>
      <c r="RB72" s="106"/>
      <c r="RC72" s="106"/>
      <c r="RD72" s="106"/>
      <c r="RE72" s="106"/>
      <c r="RF72" s="106"/>
      <c r="RG72" s="106"/>
      <c r="RH72" s="106"/>
      <c r="RI72" s="106"/>
      <c r="RJ72" s="106"/>
      <c r="RK72" s="106"/>
      <c r="RL72" s="106"/>
    </row>
    <row r="73" spans="88:480" x14ac:dyDescent="0.3">
      <c r="CJ73" s="103"/>
      <c r="FP73" s="103"/>
      <c r="LL73" s="103"/>
      <c r="NM73" s="103"/>
      <c r="QT73" s="106"/>
      <c r="QU73" s="106"/>
      <c r="QV73" s="106"/>
      <c r="QW73" s="106"/>
      <c r="QX73" s="106"/>
      <c r="QY73" s="106"/>
      <c r="QZ73" s="106"/>
      <c r="RA73" s="106"/>
      <c r="RB73" s="106"/>
      <c r="RC73" s="106"/>
      <c r="RD73" s="106"/>
      <c r="RE73" s="106"/>
      <c r="RF73" s="106"/>
      <c r="RG73" s="106"/>
      <c r="RH73" s="106"/>
      <c r="RI73" s="106"/>
      <c r="RJ73" s="106"/>
      <c r="RK73" s="106"/>
      <c r="RL73" s="106"/>
    </row>
    <row r="74" spans="88:480" x14ac:dyDescent="0.3">
      <c r="CJ74" s="103"/>
      <c r="FP74" s="103"/>
      <c r="LL74" s="103"/>
      <c r="NM74" s="103"/>
      <c r="QT74" s="106"/>
      <c r="QU74" s="106"/>
      <c r="QV74" s="106"/>
      <c r="QW74" s="106"/>
      <c r="QX74" s="106"/>
      <c r="QY74" s="106"/>
      <c r="QZ74" s="106"/>
      <c r="RA74" s="106"/>
      <c r="RB74" s="106"/>
      <c r="RC74" s="106"/>
      <c r="RD74" s="106"/>
      <c r="RE74" s="106"/>
      <c r="RF74" s="106"/>
      <c r="RG74" s="106"/>
      <c r="RH74" s="106"/>
      <c r="RI74" s="106"/>
      <c r="RJ74" s="106"/>
      <c r="RK74" s="106"/>
      <c r="RL74" s="106"/>
    </row>
    <row r="75" spans="88:480" x14ac:dyDescent="0.3">
      <c r="CJ75" s="103"/>
      <c r="FP75" s="103"/>
      <c r="LL75" s="103"/>
      <c r="NM75" s="103"/>
      <c r="QT75" s="106"/>
      <c r="QU75" s="106"/>
      <c r="QV75" s="106"/>
      <c r="QW75" s="106"/>
      <c r="QX75" s="106"/>
      <c r="QY75" s="106"/>
      <c r="QZ75" s="106"/>
      <c r="RA75" s="106"/>
      <c r="RB75" s="106"/>
      <c r="RC75" s="106"/>
      <c r="RD75" s="106"/>
      <c r="RE75" s="106"/>
      <c r="RF75" s="106"/>
      <c r="RG75" s="106"/>
      <c r="RH75" s="106"/>
      <c r="RI75" s="106"/>
      <c r="RJ75" s="106"/>
      <c r="RK75" s="106"/>
      <c r="RL75" s="106"/>
    </row>
    <row r="76" spans="88:480" x14ac:dyDescent="0.3">
      <c r="CJ76" s="103"/>
      <c r="FP76" s="103"/>
      <c r="LL76" s="103"/>
      <c r="NM76" s="103"/>
      <c r="QT76" s="106"/>
      <c r="QU76" s="106"/>
      <c r="QV76" s="106"/>
      <c r="QW76" s="106"/>
      <c r="QX76" s="106"/>
      <c r="QY76" s="106"/>
      <c r="QZ76" s="106"/>
      <c r="RA76" s="106"/>
      <c r="RB76" s="106"/>
      <c r="RC76" s="106"/>
      <c r="RD76" s="106"/>
      <c r="RE76" s="106"/>
      <c r="RF76" s="106"/>
      <c r="RG76" s="106"/>
      <c r="RH76" s="106"/>
      <c r="RI76" s="106"/>
      <c r="RJ76" s="106"/>
      <c r="RK76" s="106"/>
      <c r="RL76" s="106"/>
    </row>
    <row r="77" spans="88:480" x14ac:dyDescent="0.3">
      <c r="CJ77" s="103"/>
      <c r="FP77" s="103"/>
      <c r="LL77" s="103"/>
      <c r="NM77" s="103"/>
      <c r="QT77" s="106"/>
      <c r="QU77" s="106"/>
      <c r="QV77" s="106"/>
      <c r="QW77" s="106"/>
      <c r="QX77" s="106"/>
      <c r="QY77" s="106"/>
      <c r="QZ77" s="106"/>
      <c r="RA77" s="106"/>
      <c r="RB77" s="106"/>
      <c r="RC77" s="106"/>
      <c r="RD77" s="106"/>
      <c r="RE77" s="106"/>
      <c r="RF77" s="106"/>
      <c r="RG77" s="106"/>
      <c r="RH77" s="106"/>
      <c r="RI77" s="106"/>
      <c r="RJ77" s="106"/>
      <c r="RK77" s="106"/>
      <c r="RL77" s="106"/>
    </row>
    <row r="78" spans="88:480" x14ac:dyDescent="0.3">
      <c r="CJ78" s="103"/>
      <c r="FP78" s="103"/>
      <c r="LL78" s="103"/>
      <c r="NM78" s="103"/>
      <c r="QT78" s="106"/>
      <c r="QU78" s="106"/>
      <c r="QV78" s="106"/>
      <c r="QW78" s="106"/>
      <c r="QX78" s="106"/>
      <c r="QY78" s="106"/>
      <c r="QZ78" s="106"/>
      <c r="RA78" s="106"/>
      <c r="RB78" s="106"/>
      <c r="RC78" s="106"/>
      <c r="RD78" s="106"/>
      <c r="RE78" s="106"/>
      <c r="RF78" s="106"/>
      <c r="RG78" s="106"/>
      <c r="RH78" s="106"/>
      <c r="RI78" s="106"/>
      <c r="RJ78" s="106"/>
      <c r="RK78" s="106"/>
      <c r="RL78" s="106"/>
    </row>
    <row r="79" spans="88:480" x14ac:dyDescent="0.3">
      <c r="CJ79" s="103"/>
      <c r="FP79" s="103"/>
      <c r="LL79" s="103"/>
      <c r="NM79" s="103"/>
      <c r="QT79" s="106"/>
      <c r="QU79" s="106"/>
      <c r="QV79" s="106"/>
      <c r="QW79" s="106"/>
      <c r="QX79" s="106"/>
      <c r="QY79" s="106"/>
      <c r="QZ79" s="106"/>
      <c r="RA79" s="106"/>
      <c r="RB79" s="106"/>
      <c r="RC79" s="106"/>
      <c r="RD79" s="106"/>
      <c r="RE79" s="106"/>
      <c r="RF79" s="106"/>
      <c r="RG79" s="106"/>
      <c r="RH79" s="106"/>
      <c r="RI79" s="106"/>
      <c r="RJ79" s="106"/>
      <c r="RK79" s="106"/>
      <c r="RL79" s="106"/>
    </row>
    <row r="80" spans="88:480" x14ac:dyDescent="0.3">
      <c r="CJ80" s="103"/>
      <c r="FP80" s="103"/>
      <c r="LL80" s="103"/>
      <c r="NM80" s="103"/>
      <c r="QT80" s="106"/>
      <c r="QU80" s="106"/>
      <c r="QV80" s="106"/>
      <c r="QW80" s="106"/>
      <c r="QX80" s="106"/>
      <c r="QY80" s="106"/>
      <c r="QZ80" s="106"/>
      <c r="RA80" s="106"/>
      <c r="RB80" s="106"/>
      <c r="RC80" s="106"/>
      <c r="RD80" s="106"/>
      <c r="RE80" s="106"/>
      <c r="RF80" s="106"/>
      <c r="RG80" s="106"/>
      <c r="RH80" s="106"/>
      <c r="RI80" s="106"/>
      <c r="RJ80" s="106"/>
      <c r="RK80" s="106"/>
      <c r="RL80" s="106"/>
    </row>
    <row r="81" spans="88:480" x14ac:dyDescent="0.3">
      <c r="CJ81" s="103"/>
      <c r="FP81" s="103"/>
      <c r="LL81" s="103"/>
      <c r="NM81" s="103"/>
      <c r="QT81" s="106"/>
      <c r="QU81" s="106"/>
      <c r="QV81" s="106"/>
      <c r="QW81" s="106"/>
      <c r="QX81" s="106"/>
      <c r="QY81" s="106"/>
      <c r="QZ81" s="106"/>
      <c r="RA81" s="106"/>
      <c r="RB81" s="106"/>
      <c r="RC81" s="106"/>
      <c r="RD81" s="106"/>
      <c r="RE81" s="106"/>
      <c r="RF81" s="106"/>
      <c r="RG81" s="106"/>
      <c r="RH81" s="106"/>
      <c r="RI81" s="106"/>
      <c r="RJ81" s="106"/>
      <c r="RK81" s="106"/>
      <c r="RL81" s="106"/>
    </row>
    <row r="82" spans="88:480" x14ac:dyDescent="0.3">
      <c r="CJ82" s="103"/>
      <c r="FP82" s="103"/>
      <c r="LL82" s="103"/>
      <c r="NM82" s="103"/>
      <c r="QT82" s="106"/>
      <c r="QU82" s="106"/>
      <c r="QV82" s="106"/>
      <c r="QW82" s="106"/>
      <c r="QX82" s="106"/>
      <c r="QY82" s="106"/>
      <c r="QZ82" s="106"/>
      <c r="RA82" s="106"/>
      <c r="RB82" s="106"/>
      <c r="RC82" s="106"/>
      <c r="RD82" s="106"/>
      <c r="RE82" s="106"/>
      <c r="RF82" s="106"/>
      <c r="RG82" s="106"/>
      <c r="RH82" s="106"/>
      <c r="RI82" s="106"/>
      <c r="RJ82" s="106"/>
      <c r="RK82" s="106"/>
      <c r="RL82" s="106"/>
    </row>
    <row r="83" spans="88:480" x14ac:dyDescent="0.3">
      <c r="CJ83" s="103"/>
      <c r="FP83" s="103"/>
      <c r="LL83" s="103"/>
      <c r="NM83" s="103"/>
      <c r="QT83" s="106"/>
      <c r="QU83" s="106"/>
      <c r="QV83" s="106"/>
      <c r="QW83" s="106"/>
      <c r="QX83" s="106"/>
      <c r="QY83" s="106"/>
      <c r="QZ83" s="106"/>
      <c r="RA83" s="106"/>
      <c r="RB83" s="106"/>
      <c r="RC83" s="106"/>
      <c r="RD83" s="106"/>
      <c r="RE83" s="106"/>
      <c r="RF83" s="106"/>
      <c r="RG83" s="106"/>
      <c r="RH83" s="106"/>
      <c r="RI83" s="106"/>
      <c r="RJ83" s="106"/>
      <c r="RK83" s="106"/>
      <c r="RL83" s="106"/>
    </row>
    <row r="84" spans="88:480" x14ac:dyDescent="0.3">
      <c r="CJ84" s="103"/>
      <c r="FP84" s="103"/>
      <c r="LL84" s="103"/>
      <c r="NM84" s="103"/>
      <c r="QT84" s="106"/>
      <c r="QU84" s="106"/>
      <c r="QV84" s="106"/>
      <c r="QW84" s="106"/>
      <c r="QX84" s="106"/>
      <c r="QY84" s="106"/>
      <c r="QZ84" s="106"/>
      <c r="RA84" s="106"/>
      <c r="RB84" s="106"/>
      <c r="RC84" s="106"/>
      <c r="RD84" s="106"/>
      <c r="RE84" s="106"/>
      <c r="RF84" s="106"/>
      <c r="RG84" s="106"/>
      <c r="RH84" s="106"/>
      <c r="RI84" s="106"/>
      <c r="RJ84" s="106"/>
      <c r="RK84" s="106"/>
      <c r="RL84" s="106"/>
    </row>
    <row r="85" spans="88:480" x14ac:dyDescent="0.3">
      <c r="CJ85" s="103"/>
      <c r="FP85" s="103"/>
      <c r="LL85" s="103"/>
      <c r="NM85" s="103"/>
      <c r="QT85" s="106"/>
      <c r="QU85" s="106"/>
      <c r="QV85" s="106"/>
      <c r="QW85" s="106"/>
      <c r="QX85" s="106"/>
      <c r="QY85" s="106"/>
      <c r="QZ85" s="106"/>
      <c r="RA85" s="106"/>
      <c r="RB85" s="106"/>
      <c r="RC85" s="106"/>
      <c r="RD85" s="106"/>
      <c r="RE85" s="106"/>
      <c r="RF85" s="106"/>
      <c r="RG85" s="106"/>
      <c r="RH85" s="106"/>
      <c r="RI85" s="106"/>
      <c r="RJ85" s="106"/>
      <c r="RK85" s="106"/>
      <c r="RL85" s="106"/>
    </row>
    <row r="86" spans="88:480" x14ac:dyDescent="0.3">
      <c r="CJ86" s="103"/>
      <c r="FP86" s="103"/>
      <c r="LL86" s="103"/>
      <c r="NM86" s="103"/>
      <c r="QT86" s="106"/>
      <c r="QU86" s="106"/>
      <c r="QV86" s="106"/>
      <c r="QW86" s="106"/>
      <c r="QX86" s="106"/>
      <c r="QY86" s="106"/>
      <c r="QZ86" s="106"/>
      <c r="RA86" s="106"/>
      <c r="RB86" s="106"/>
      <c r="RC86" s="106"/>
      <c r="RD86" s="106"/>
      <c r="RE86" s="106"/>
      <c r="RF86" s="106"/>
      <c r="RG86" s="106"/>
      <c r="RH86" s="106"/>
      <c r="RI86" s="106"/>
      <c r="RJ86" s="106"/>
      <c r="RK86" s="106"/>
      <c r="RL86" s="106"/>
    </row>
    <row r="87" spans="88:480" x14ac:dyDescent="0.3">
      <c r="CJ87" s="103"/>
      <c r="FP87" s="103"/>
      <c r="LL87" s="103"/>
      <c r="NM87" s="103"/>
      <c r="QT87" s="106"/>
      <c r="QU87" s="106"/>
      <c r="QV87" s="106"/>
      <c r="QW87" s="106"/>
      <c r="QX87" s="106"/>
      <c r="QY87" s="106"/>
      <c r="QZ87" s="106"/>
      <c r="RA87" s="106"/>
      <c r="RB87" s="106"/>
      <c r="RC87" s="106"/>
      <c r="RD87" s="106"/>
      <c r="RE87" s="106"/>
      <c r="RF87" s="106"/>
      <c r="RG87" s="106"/>
      <c r="RH87" s="106"/>
      <c r="RI87" s="106"/>
      <c r="RJ87" s="106"/>
      <c r="RK87" s="106"/>
      <c r="RL87" s="106"/>
    </row>
    <row r="88" spans="88:480" x14ac:dyDescent="0.3">
      <c r="CJ88" s="103"/>
      <c r="FP88" s="103"/>
      <c r="LL88" s="103"/>
      <c r="NM88" s="103"/>
      <c r="QT88" s="106"/>
      <c r="QU88" s="106"/>
      <c r="QV88" s="106"/>
      <c r="QW88" s="106"/>
      <c r="QX88" s="106"/>
      <c r="QY88" s="106"/>
      <c r="QZ88" s="106"/>
      <c r="RA88" s="106"/>
      <c r="RB88" s="106"/>
      <c r="RC88" s="106"/>
      <c r="RD88" s="106"/>
      <c r="RE88" s="106"/>
      <c r="RF88" s="106"/>
      <c r="RG88" s="106"/>
      <c r="RH88" s="106"/>
      <c r="RI88" s="106"/>
      <c r="RJ88" s="106"/>
      <c r="RK88" s="106"/>
      <c r="RL88" s="106"/>
    </row>
    <row r="89" spans="88:480" x14ac:dyDescent="0.3">
      <c r="CJ89" s="103"/>
      <c r="FP89" s="103"/>
      <c r="LL89" s="103"/>
      <c r="NM89" s="103"/>
      <c r="QT89" s="106"/>
      <c r="QU89" s="106"/>
      <c r="QV89" s="106"/>
      <c r="QW89" s="106"/>
      <c r="QX89" s="106"/>
      <c r="QY89" s="106"/>
      <c r="QZ89" s="106"/>
      <c r="RA89" s="106"/>
      <c r="RB89" s="106"/>
      <c r="RC89" s="106"/>
      <c r="RD89" s="106"/>
      <c r="RE89" s="106"/>
      <c r="RF89" s="106"/>
      <c r="RG89" s="106"/>
      <c r="RH89" s="106"/>
      <c r="RI89" s="106"/>
      <c r="RJ89" s="106"/>
      <c r="RK89" s="106"/>
      <c r="RL89" s="106"/>
    </row>
    <row r="90" spans="88:480" x14ac:dyDescent="0.3">
      <c r="CJ90" s="103"/>
      <c r="FP90" s="103"/>
      <c r="LL90" s="103"/>
      <c r="NM90" s="103"/>
      <c r="QT90" s="106"/>
      <c r="QU90" s="106"/>
      <c r="QV90" s="106"/>
      <c r="QW90" s="106"/>
      <c r="QX90" s="106"/>
      <c r="QY90" s="106"/>
      <c r="QZ90" s="106"/>
      <c r="RA90" s="106"/>
      <c r="RB90" s="106"/>
      <c r="RC90" s="106"/>
      <c r="RD90" s="106"/>
      <c r="RE90" s="106"/>
      <c r="RF90" s="106"/>
      <c r="RG90" s="106"/>
      <c r="RH90" s="106"/>
      <c r="RI90" s="106"/>
      <c r="RJ90" s="106"/>
      <c r="RK90" s="106"/>
      <c r="RL90" s="106"/>
    </row>
    <row r="91" spans="88:480" x14ac:dyDescent="0.3">
      <c r="CJ91" s="103"/>
      <c r="FP91" s="103"/>
      <c r="LL91" s="103"/>
      <c r="NM91" s="103"/>
      <c r="QT91" s="106"/>
      <c r="QU91" s="106"/>
      <c r="QV91" s="106"/>
      <c r="QW91" s="106"/>
      <c r="QX91" s="106"/>
      <c r="QY91" s="106"/>
      <c r="QZ91" s="106"/>
      <c r="RA91" s="106"/>
      <c r="RB91" s="106"/>
      <c r="RC91" s="106"/>
      <c r="RD91" s="106"/>
      <c r="RE91" s="106"/>
      <c r="RF91" s="106"/>
      <c r="RG91" s="106"/>
      <c r="RH91" s="106"/>
      <c r="RI91" s="106"/>
      <c r="RJ91" s="106"/>
      <c r="RK91" s="106"/>
      <c r="RL91" s="106"/>
    </row>
    <row r="92" spans="88:480" x14ac:dyDescent="0.3">
      <c r="CJ92" s="103"/>
      <c r="FP92" s="103"/>
      <c r="LL92" s="103"/>
      <c r="NM92" s="103"/>
      <c r="QT92" s="106"/>
      <c r="QU92" s="106"/>
      <c r="QV92" s="106"/>
      <c r="QW92" s="106"/>
      <c r="QX92" s="106"/>
      <c r="QY92" s="106"/>
      <c r="QZ92" s="106"/>
      <c r="RA92" s="106"/>
      <c r="RB92" s="106"/>
      <c r="RC92" s="106"/>
      <c r="RD92" s="106"/>
      <c r="RE92" s="106"/>
      <c r="RF92" s="106"/>
      <c r="RG92" s="106"/>
      <c r="RH92" s="106"/>
      <c r="RI92" s="106"/>
      <c r="RJ92" s="106"/>
      <c r="RK92" s="106"/>
      <c r="RL92" s="106"/>
    </row>
    <row r="93" spans="88:480" x14ac:dyDescent="0.3">
      <c r="CJ93" s="103"/>
      <c r="FP93" s="103"/>
      <c r="LL93" s="103"/>
      <c r="NM93" s="103"/>
      <c r="QT93" s="106"/>
      <c r="QU93" s="106"/>
      <c r="QV93" s="106"/>
      <c r="QW93" s="106"/>
      <c r="QX93" s="106"/>
      <c r="QY93" s="106"/>
      <c r="QZ93" s="106"/>
      <c r="RA93" s="106"/>
      <c r="RB93" s="106"/>
      <c r="RC93" s="106"/>
      <c r="RD93" s="106"/>
      <c r="RE93" s="106"/>
      <c r="RF93" s="106"/>
      <c r="RG93" s="106"/>
      <c r="RH93" s="106"/>
      <c r="RI93" s="106"/>
      <c r="RJ93" s="106"/>
      <c r="RK93" s="106"/>
      <c r="RL93" s="106"/>
    </row>
    <row r="94" spans="88:480" x14ac:dyDescent="0.3">
      <c r="CJ94" s="103"/>
      <c r="FP94" s="103"/>
      <c r="LL94" s="103"/>
      <c r="NM94" s="103"/>
      <c r="QT94" s="106"/>
      <c r="QU94" s="106"/>
      <c r="QV94" s="106"/>
      <c r="QW94" s="106"/>
      <c r="QX94" s="106"/>
      <c r="QY94" s="106"/>
      <c r="QZ94" s="106"/>
      <c r="RA94" s="106"/>
      <c r="RB94" s="106"/>
      <c r="RC94" s="106"/>
      <c r="RD94" s="106"/>
      <c r="RE94" s="106"/>
      <c r="RF94" s="106"/>
      <c r="RG94" s="106"/>
      <c r="RH94" s="106"/>
      <c r="RI94" s="106"/>
      <c r="RJ94" s="106"/>
      <c r="RK94" s="106"/>
      <c r="RL94" s="106"/>
    </row>
    <row r="95" spans="88:480" x14ac:dyDescent="0.3">
      <c r="CJ95" s="103"/>
      <c r="FP95" s="103"/>
      <c r="LL95" s="103"/>
      <c r="NM95" s="103"/>
      <c r="QT95" s="106"/>
      <c r="QU95" s="106"/>
      <c r="QV95" s="106"/>
      <c r="QW95" s="106"/>
      <c r="QX95" s="106"/>
      <c r="QY95" s="106"/>
      <c r="QZ95" s="106"/>
      <c r="RA95" s="106"/>
      <c r="RB95" s="106"/>
      <c r="RC95" s="106"/>
      <c r="RD95" s="106"/>
      <c r="RE95" s="106"/>
      <c r="RF95" s="106"/>
      <c r="RG95" s="106"/>
      <c r="RH95" s="106"/>
      <c r="RI95" s="106"/>
      <c r="RJ95" s="106"/>
      <c r="RK95" s="106"/>
      <c r="RL95" s="106"/>
    </row>
    <row r="96" spans="88:480" x14ac:dyDescent="0.3">
      <c r="CJ96" s="103"/>
      <c r="FP96" s="103"/>
      <c r="LL96" s="103"/>
      <c r="NM96" s="103"/>
      <c r="QT96" s="106"/>
      <c r="QU96" s="106"/>
      <c r="QV96" s="106"/>
      <c r="QW96" s="106"/>
      <c r="QX96" s="106"/>
      <c r="QY96" s="106"/>
      <c r="QZ96" s="106"/>
      <c r="RA96" s="106"/>
      <c r="RB96" s="106"/>
      <c r="RC96" s="106"/>
      <c r="RD96" s="106"/>
      <c r="RE96" s="106"/>
      <c r="RF96" s="106"/>
      <c r="RG96" s="106"/>
      <c r="RH96" s="106"/>
      <c r="RI96" s="106"/>
      <c r="RJ96" s="106"/>
      <c r="RK96" s="106"/>
      <c r="RL96" s="106"/>
    </row>
    <row r="97" spans="88:480" x14ac:dyDescent="0.3">
      <c r="CJ97" s="103"/>
      <c r="FP97" s="103"/>
      <c r="LL97" s="103"/>
      <c r="NM97" s="103"/>
      <c r="QT97" s="106"/>
      <c r="QU97" s="106"/>
      <c r="QV97" s="106"/>
      <c r="QW97" s="106"/>
      <c r="QX97" s="106"/>
      <c r="QY97" s="106"/>
      <c r="QZ97" s="106"/>
      <c r="RA97" s="106"/>
      <c r="RB97" s="106"/>
      <c r="RC97" s="106"/>
      <c r="RD97" s="106"/>
      <c r="RE97" s="106"/>
      <c r="RF97" s="106"/>
      <c r="RG97" s="106"/>
      <c r="RH97" s="106"/>
      <c r="RI97" s="106"/>
      <c r="RJ97" s="106"/>
      <c r="RK97" s="106"/>
      <c r="RL97" s="106"/>
    </row>
    <row r="98" spans="88:480" x14ac:dyDescent="0.3">
      <c r="CJ98" s="103"/>
      <c r="FP98" s="103"/>
      <c r="LL98" s="103"/>
      <c r="NM98" s="103"/>
      <c r="QT98" s="106"/>
      <c r="QU98" s="106"/>
      <c r="QV98" s="106"/>
      <c r="QW98" s="106"/>
      <c r="QX98" s="106"/>
      <c r="QY98" s="106"/>
      <c r="QZ98" s="106"/>
      <c r="RA98" s="106"/>
      <c r="RB98" s="106"/>
      <c r="RC98" s="106"/>
      <c r="RD98" s="106"/>
      <c r="RE98" s="106"/>
      <c r="RF98" s="106"/>
      <c r="RG98" s="106"/>
      <c r="RH98" s="106"/>
      <c r="RI98" s="106"/>
      <c r="RJ98" s="106"/>
      <c r="RK98" s="106"/>
      <c r="RL98" s="106"/>
    </row>
    <row r="99" spans="88:480" x14ac:dyDescent="0.3">
      <c r="CJ99" s="103"/>
      <c r="FP99" s="103"/>
      <c r="LL99" s="103"/>
      <c r="NM99" s="103"/>
      <c r="QT99" s="106"/>
      <c r="QU99" s="106"/>
      <c r="QV99" s="106"/>
      <c r="QW99" s="106"/>
      <c r="QX99" s="106"/>
      <c r="QY99" s="106"/>
      <c r="QZ99" s="106"/>
      <c r="RA99" s="106"/>
      <c r="RB99" s="106"/>
      <c r="RC99" s="106"/>
      <c r="RD99" s="106"/>
      <c r="RE99" s="106"/>
      <c r="RF99" s="106"/>
      <c r="RG99" s="106"/>
      <c r="RH99" s="106"/>
      <c r="RI99" s="106"/>
      <c r="RJ99" s="106"/>
      <c r="RK99" s="106"/>
      <c r="RL99" s="106"/>
    </row>
    <row r="100" spans="88:480" x14ac:dyDescent="0.3">
      <c r="CJ100" s="103"/>
      <c r="FP100" s="103"/>
      <c r="LL100" s="103"/>
      <c r="NM100" s="103"/>
      <c r="QT100" s="106"/>
      <c r="QU100" s="106"/>
      <c r="QV100" s="106"/>
      <c r="QW100" s="106"/>
      <c r="QX100" s="106"/>
      <c r="QY100" s="106"/>
      <c r="QZ100" s="106"/>
      <c r="RA100" s="106"/>
      <c r="RB100" s="106"/>
      <c r="RC100" s="106"/>
      <c r="RD100" s="106"/>
      <c r="RE100" s="106"/>
      <c r="RF100" s="106"/>
      <c r="RG100" s="106"/>
      <c r="RH100" s="106"/>
      <c r="RI100" s="106"/>
      <c r="RJ100" s="106"/>
      <c r="RK100" s="106"/>
      <c r="RL100" s="106"/>
    </row>
    <row r="101" spans="88:480" x14ac:dyDescent="0.3">
      <c r="CJ101" s="103"/>
      <c r="FP101" s="103"/>
      <c r="LL101" s="103"/>
      <c r="NM101" s="103"/>
      <c r="QT101" s="106"/>
      <c r="QU101" s="106"/>
      <c r="QV101" s="106"/>
      <c r="QW101" s="106"/>
      <c r="QX101" s="106"/>
      <c r="QY101" s="106"/>
      <c r="QZ101" s="106"/>
      <c r="RA101" s="106"/>
      <c r="RB101" s="106"/>
      <c r="RC101" s="106"/>
      <c r="RD101" s="106"/>
      <c r="RE101" s="106"/>
      <c r="RF101" s="106"/>
      <c r="RG101" s="106"/>
      <c r="RH101" s="106"/>
      <c r="RI101" s="106"/>
      <c r="RJ101" s="106"/>
      <c r="RK101" s="106"/>
      <c r="RL101" s="106"/>
    </row>
    <row r="102" spans="88:480" x14ac:dyDescent="0.3">
      <c r="CJ102" s="103"/>
      <c r="FP102" s="103"/>
      <c r="LL102" s="103"/>
      <c r="NM102" s="103"/>
      <c r="QT102" s="106"/>
      <c r="QU102" s="106"/>
      <c r="QV102" s="106"/>
      <c r="QW102" s="106"/>
      <c r="QX102" s="106"/>
      <c r="QY102" s="106"/>
      <c r="QZ102" s="106"/>
      <c r="RA102" s="106"/>
      <c r="RB102" s="106"/>
      <c r="RC102" s="106"/>
      <c r="RD102" s="106"/>
      <c r="RE102" s="106"/>
      <c r="RF102" s="106"/>
      <c r="RG102" s="106"/>
      <c r="RH102" s="106"/>
      <c r="RI102" s="106"/>
      <c r="RJ102" s="106"/>
      <c r="RK102" s="106"/>
      <c r="RL102" s="106"/>
    </row>
    <row r="103" spans="88:480" x14ac:dyDescent="0.3">
      <c r="CJ103" s="103"/>
      <c r="FP103" s="103"/>
      <c r="LL103" s="103"/>
      <c r="NM103" s="103"/>
      <c r="QT103" s="106"/>
      <c r="QU103" s="106"/>
      <c r="QV103" s="106"/>
      <c r="QW103" s="106"/>
      <c r="QX103" s="106"/>
      <c r="QY103" s="106"/>
      <c r="QZ103" s="106"/>
      <c r="RA103" s="106"/>
      <c r="RB103" s="106"/>
      <c r="RC103" s="106"/>
      <c r="RD103" s="106"/>
      <c r="RE103" s="106"/>
      <c r="RF103" s="106"/>
      <c r="RG103" s="106"/>
      <c r="RH103" s="106"/>
      <c r="RI103" s="106"/>
      <c r="RJ103" s="106"/>
      <c r="RK103" s="106"/>
      <c r="RL103" s="106"/>
    </row>
    <row r="104" spans="88:480" x14ac:dyDescent="0.3">
      <c r="CJ104" s="103"/>
      <c r="FP104" s="103"/>
      <c r="LL104" s="103"/>
      <c r="NM104" s="103"/>
      <c r="QT104" s="106"/>
      <c r="QU104" s="106"/>
      <c r="QV104" s="106"/>
      <c r="QW104" s="106"/>
      <c r="QX104" s="106"/>
      <c r="QY104" s="106"/>
      <c r="QZ104" s="106"/>
      <c r="RA104" s="106"/>
      <c r="RB104" s="106"/>
      <c r="RC104" s="106"/>
      <c r="RD104" s="106"/>
      <c r="RE104" s="106"/>
      <c r="RF104" s="106"/>
      <c r="RG104" s="106"/>
      <c r="RH104" s="106"/>
      <c r="RI104" s="106"/>
      <c r="RJ104" s="106"/>
      <c r="RK104" s="106"/>
      <c r="RL104" s="106"/>
    </row>
    <row r="105" spans="88:480" x14ac:dyDescent="0.3">
      <c r="CJ105" s="103"/>
      <c r="FP105" s="103"/>
      <c r="LL105" s="103"/>
      <c r="NM105" s="103"/>
      <c r="QT105" s="106"/>
      <c r="QU105" s="106"/>
      <c r="QV105" s="106"/>
      <c r="QW105" s="106"/>
      <c r="QX105" s="106"/>
      <c r="QY105" s="106"/>
      <c r="QZ105" s="106"/>
      <c r="RA105" s="106"/>
      <c r="RB105" s="106"/>
      <c r="RC105" s="106"/>
      <c r="RD105" s="106"/>
      <c r="RE105" s="106"/>
      <c r="RF105" s="106"/>
      <c r="RG105" s="106"/>
      <c r="RH105" s="106"/>
      <c r="RI105" s="106"/>
      <c r="RJ105" s="106"/>
      <c r="RK105" s="106"/>
      <c r="RL105" s="106"/>
    </row>
    <row r="106" spans="88:480" x14ac:dyDescent="0.3">
      <c r="CJ106" s="103"/>
      <c r="FP106" s="103"/>
      <c r="LL106" s="103"/>
      <c r="NM106" s="103"/>
      <c r="QT106" s="106"/>
      <c r="QU106" s="106"/>
      <c r="QV106" s="106"/>
      <c r="QW106" s="106"/>
      <c r="QX106" s="106"/>
      <c r="QY106" s="106"/>
      <c r="QZ106" s="106"/>
      <c r="RA106" s="106"/>
      <c r="RB106" s="106"/>
      <c r="RC106" s="106"/>
      <c r="RD106" s="106"/>
      <c r="RE106" s="106"/>
      <c r="RF106" s="106"/>
      <c r="RG106" s="106"/>
      <c r="RH106" s="106"/>
      <c r="RI106" s="106"/>
      <c r="RJ106" s="106"/>
      <c r="RK106" s="106"/>
      <c r="RL106" s="106"/>
    </row>
    <row r="107" spans="88:480" x14ac:dyDescent="0.3">
      <c r="CJ107" s="103"/>
      <c r="FP107" s="103"/>
      <c r="LL107" s="103"/>
      <c r="NM107" s="103"/>
      <c r="QT107" s="106"/>
      <c r="QU107" s="106"/>
      <c r="QV107" s="106"/>
      <c r="QW107" s="106"/>
      <c r="QX107" s="106"/>
      <c r="QY107" s="106"/>
      <c r="QZ107" s="106"/>
      <c r="RA107" s="106"/>
      <c r="RB107" s="106"/>
      <c r="RC107" s="106"/>
      <c r="RD107" s="106"/>
      <c r="RE107" s="106"/>
      <c r="RF107" s="106"/>
      <c r="RG107" s="106"/>
      <c r="RH107" s="106"/>
      <c r="RI107" s="106"/>
      <c r="RJ107" s="106"/>
      <c r="RK107" s="106"/>
      <c r="RL107" s="106"/>
    </row>
    <row r="108" spans="88:480" x14ac:dyDescent="0.3">
      <c r="CJ108" s="103"/>
      <c r="FP108" s="103"/>
      <c r="LL108" s="103"/>
      <c r="NM108" s="103"/>
      <c r="QT108" s="106"/>
      <c r="QU108" s="106"/>
      <c r="QV108" s="106"/>
      <c r="QW108" s="106"/>
      <c r="QX108" s="106"/>
      <c r="QY108" s="106"/>
      <c r="QZ108" s="106"/>
      <c r="RA108" s="106"/>
      <c r="RB108" s="106"/>
      <c r="RC108" s="106"/>
      <c r="RD108" s="106"/>
      <c r="RE108" s="106"/>
      <c r="RF108" s="106"/>
      <c r="RG108" s="106"/>
      <c r="RH108" s="106"/>
      <c r="RI108" s="106"/>
      <c r="RJ108" s="106"/>
      <c r="RK108" s="106"/>
      <c r="RL108" s="106"/>
    </row>
    <row r="109" spans="88:480" x14ac:dyDescent="0.3">
      <c r="CJ109" s="103"/>
      <c r="FP109" s="103"/>
      <c r="LL109" s="103"/>
      <c r="NM109" s="103"/>
      <c r="QT109" s="106"/>
      <c r="QU109" s="106"/>
      <c r="QV109" s="106"/>
      <c r="QW109" s="106"/>
      <c r="QX109" s="106"/>
      <c r="QY109" s="106"/>
      <c r="QZ109" s="106"/>
      <c r="RA109" s="106"/>
      <c r="RB109" s="106"/>
      <c r="RC109" s="106"/>
      <c r="RD109" s="106"/>
      <c r="RE109" s="106"/>
      <c r="RF109" s="106"/>
      <c r="RG109" s="106"/>
      <c r="RH109" s="106"/>
      <c r="RI109" s="106"/>
      <c r="RJ109" s="106"/>
      <c r="RK109" s="106"/>
      <c r="RL109" s="106"/>
    </row>
    <row r="110" spans="88:480" x14ac:dyDescent="0.3">
      <c r="CJ110" s="103"/>
      <c r="FP110" s="103"/>
      <c r="LL110" s="103"/>
      <c r="NM110" s="103"/>
      <c r="QT110" s="106"/>
      <c r="QU110" s="106"/>
      <c r="QV110" s="106"/>
      <c r="QW110" s="106"/>
      <c r="QX110" s="106"/>
      <c r="QY110" s="106"/>
      <c r="QZ110" s="106"/>
      <c r="RA110" s="106"/>
      <c r="RB110" s="106"/>
      <c r="RC110" s="106"/>
      <c r="RD110" s="106"/>
      <c r="RE110" s="106"/>
      <c r="RF110" s="106"/>
      <c r="RG110" s="106"/>
      <c r="RH110" s="106"/>
      <c r="RI110" s="106"/>
      <c r="RJ110" s="106"/>
      <c r="RK110" s="106"/>
      <c r="RL110" s="106"/>
    </row>
    <row r="111" spans="88:480" x14ac:dyDescent="0.3">
      <c r="CJ111" s="103"/>
      <c r="FP111" s="103"/>
      <c r="LL111" s="103"/>
      <c r="NM111" s="103"/>
      <c r="QT111" s="106"/>
      <c r="QU111" s="106"/>
      <c r="QV111" s="106"/>
      <c r="QW111" s="106"/>
      <c r="QX111" s="106"/>
      <c r="QY111" s="106"/>
      <c r="QZ111" s="106"/>
      <c r="RA111" s="106"/>
      <c r="RB111" s="106"/>
      <c r="RC111" s="106"/>
      <c r="RD111" s="106"/>
      <c r="RE111" s="106"/>
      <c r="RF111" s="106"/>
      <c r="RG111" s="106"/>
      <c r="RH111" s="106"/>
      <c r="RI111" s="106"/>
      <c r="RJ111" s="106"/>
      <c r="RK111" s="106"/>
      <c r="RL111" s="106"/>
    </row>
    <row r="112" spans="88:480" x14ac:dyDescent="0.3">
      <c r="CJ112" s="103"/>
      <c r="FP112" s="103"/>
      <c r="LL112" s="103"/>
      <c r="NM112" s="103"/>
      <c r="QT112" s="106"/>
      <c r="QU112" s="106"/>
      <c r="QV112" s="106"/>
      <c r="QW112" s="106"/>
      <c r="QX112" s="106"/>
      <c r="QY112" s="106"/>
      <c r="QZ112" s="106"/>
      <c r="RA112" s="106"/>
      <c r="RB112" s="106"/>
      <c r="RC112" s="106"/>
      <c r="RD112" s="106"/>
      <c r="RE112" s="106"/>
      <c r="RF112" s="106"/>
      <c r="RG112" s="106"/>
      <c r="RH112" s="106"/>
      <c r="RI112" s="106"/>
      <c r="RJ112" s="106"/>
      <c r="RK112" s="106"/>
      <c r="RL112" s="106"/>
    </row>
    <row r="113" spans="88:480" x14ac:dyDescent="0.3">
      <c r="CJ113" s="103"/>
      <c r="FP113" s="103"/>
      <c r="LL113" s="103"/>
      <c r="NM113" s="103"/>
      <c r="QT113" s="106"/>
      <c r="QU113" s="106"/>
      <c r="QV113" s="106"/>
      <c r="QW113" s="106"/>
      <c r="QX113" s="106"/>
      <c r="QY113" s="106"/>
      <c r="QZ113" s="106"/>
      <c r="RA113" s="106"/>
      <c r="RB113" s="106"/>
      <c r="RC113" s="106"/>
      <c r="RD113" s="106"/>
      <c r="RE113" s="106"/>
      <c r="RF113" s="106"/>
      <c r="RG113" s="106"/>
      <c r="RH113" s="106"/>
      <c r="RI113" s="106"/>
      <c r="RJ113" s="106"/>
      <c r="RK113" s="106"/>
      <c r="RL113" s="106"/>
    </row>
    <row r="114" spans="88:480" x14ac:dyDescent="0.3">
      <c r="CJ114" s="103"/>
      <c r="FP114" s="103"/>
      <c r="LL114" s="103"/>
      <c r="NM114" s="103"/>
      <c r="QT114" s="106"/>
      <c r="QU114" s="106"/>
      <c r="QV114" s="106"/>
      <c r="QW114" s="106"/>
      <c r="QX114" s="106"/>
      <c r="QY114" s="106"/>
      <c r="QZ114" s="106"/>
      <c r="RA114" s="106"/>
      <c r="RB114" s="106"/>
      <c r="RC114" s="106"/>
      <c r="RD114" s="106"/>
      <c r="RE114" s="106"/>
      <c r="RF114" s="106"/>
      <c r="RG114" s="106"/>
      <c r="RH114" s="106"/>
      <c r="RI114" s="106"/>
      <c r="RJ114" s="106"/>
      <c r="RK114" s="106"/>
      <c r="RL114" s="106"/>
    </row>
    <row r="115" spans="88:480" x14ac:dyDescent="0.3">
      <c r="CJ115" s="103"/>
      <c r="FP115" s="103"/>
      <c r="LL115" s="103"/>
      <c r="NM115" s="103"/>
      <c r="QT115" s="106"/>
      <c r="QU115" s="106"/>
      <c r="QV115" s="106"/>
      <c r="QW115" s="106"/>
      <c r="QX115" s="106"/>
      <c r="QY115" s="106"/>
      <c r="QZ115" s="106"/>
      <c r="RA115" s="106"/>
      <c r="RB115" s="106"/>
      <c r="RC115" s="106"/>
      <c r="RD115" s="106"/>
      <c r="RE115" s="106"/>
      <c r="RF115" s="106"/>
      <c r="RG115" s="106"/>
      <c r="RH115" s="106"/>
      <c r="RI115" s="106"/>
      <c r="RJ115" s="106"/>
      <c r="RK115" s="106"/>
      <c r="RL115" s="106"/>
    </row>
    <row r="116" spans="88:480" x14ac:dyDescent="0.3">
      <c r="CJ116" s="103"/>
      <c r="FP116" s="103"/>
      <c r="LL116" s="103"/>
      <c r="NM116" s="103"/>
      <c r="QT116" s="106"/>
      <c r="QU116" s="106"/>
      <c r="QV116" s="106"/>
      <c r="QW116" s="106"/>
      <c r="QX116" s="106"/>
      <c r="QY116" s="106"/>
      <c r="QZ116" s="106"/>
      <c r="RA116" s="106"/>
      <c r="RB116" s="106"/>
      <c r="RC116" s="106"/>
      <c r="RD116" s="106"/>
      <c r="RE116" s="106"/>
      <c r="RF116" s="106"/>
      <c r="RG116" s="106"/>
      <c r="RH116" s="106"/>
      <c r="RI116" s="106"/>
      <c r="RJ116" s="106"/>
      <c r="RK116" s="106"/>
      <c r="RL116" s="106"/>
    </row>
    <row r="117" spans="88:480" x14ac:dyDescent="0.3">
      <c r="CJ117" s="103"/>
      <c r="FP117" s="103"/>
      <c r="LL117" s="103"/>
      <c r="NM117" s="103"/>
      <c r="QT117" s="106"/>
      <c r="QU117" s="106"/>
      <c r="QV117" s="106"/>
      <c r="QW117" s="106"/>
      <c r="QX117" s="106"/>
      <c r="QY117" s="106"/>
      <c r="QZ117" s="106"/>
      <c r="RA117" s="106"/>
      <c r="RB117" s="106"/>
      <c r="RC117" s="106"/>
      <c r="RD117" s="106"/>
      <c r="RE117" s="106"/>
      <c r="RF117" s="106"/>
      <c r="RG117" s="106"/>
      <c r="RH117" s="106"/>
      <c r="RI117" s="106"/>
      <c r="RJ117" s="106"/>
      <c r="RK117" s="106"/>
      <c r="RL117" s="106"/>
    </row>
    <row r="118" spans="88:480" x14ac:dyDescent="0.3">
      <c r="CJ118" s="103"/>
      <c r="FP118" s="103"/>
      <c r="LL118" s="103"/>
      <c r="NM118" s="103"/>
      <c r="QT118" s="106"/>
      <c r="QU118" s="106"/>
      <c r="QV118" s="106"/>
      <c r="QW118" s="106"/>
      <c r="QX118" s="106"/>
      <c r="QY118" s="106"/>
      <c r="QZ118" s="106"/>
      <c r="RA118" s="106"/>
      <c r="RB118" s="106"/>
      <c r="RC118" s="106"/>
      <c r="RD118" s="106"/>
      <c r="RE118" s="106"/>
      <c r="RF118" s="106"/>
      <c r="RG118" s="106"/>
      <c r="RH118" s="106"/>
      <c r="RI118" s="106"/>
      <c r="RJ118" s="106"/>
      <c r="RK118" s="106"/>
      <c r="RL118" s="106"/>
    </row>
    <row r="119" spans="88:480" x14ac:dyDescent="0.3">
      <c r="CJ119" s="103"/>
      <c r="FP119" s="103"/>
      <c r="LL119" s="103"/>
      <c r="NM119" s="103"/>
      <c r="QT119" s="106"/>
      <c r="QU119" s="106"/>
      <c r="QV119" s="106"/>
      <c r="QW119" s="106"/>
      <c r="QX119" s="106"/>
      <c r="QY119" s="106"/>
      <c r="QZ119" s="106"/>
      <c r="RA119" s="106"/>
      <c r="RB119" s="106"/>
      <c r="RC119" s="106"/>
      <c r="RD119" s="106"/>
      <c r="RE119" s="106"/>
      <c r="RF119" s="106"/>
      <c r="RG119" s="106"/>
      <c r="RH119" s="106"/>
      <c r="RI119" s="106"/>
      <c r="RJ119" s="106"/>
      <c r="RK119" s="106"/>
      <c r="RL119" s="106"/>
    </row>
    <row r="120" spans="88:480" x14ac:dyDescent="0.3">
      <c r="CJ120" s="103"/>
      <c r="FP120" s="103"/>
      <c r="LL120" s="103"/>
      <c r="NM120" s="103"/>
      <c r="QT120" s="106"/>
      <c r="QU120" s="106"/>
      <c r="QV120" s="106"/>
      <c r="QW120" s="106"/>
      <c r="QX120" s="106"/>
      <c r="QY120" s="106"/>
      <c r="QZ120" s="106"/>
      <c r="RA120" s="106"/>
      <c r="RB120" s="106"/>
      <c r="RC120" s="106"/>
      <c r="RD120" s="106"/>
      <c r="RE120" s="106"/>
      <c r="RF120" s="106"/>
      <c r="RG120" s="106"/>
      <c r="RH120" s="106"/>
      <c r="RI120" s="106"/>
      <c r="RJ120" s="106"/>
      <c r="RK120" s="106"/>
      <c r="RL120" s="106"/>
    </row>
    <row r="121" spans="88:480" x14ac:dyDescent="0.3">
      <c r="CJ121" s="103"/>
      <c r="FP121" s="103"/>
      <c r="LL121" s="103"/>
      <c r="NM121" s="103"/>
      <c r="QT121" s="106"/>
      <c r="QU121" s="106"/>
      <c r="QV121" s="106"/>
      <c r="QW121" s="106"/>
      <c r="QX121" s="106"/>
      <c r="QY121" s="106"/>
      <c r="QZ121" s="106"/>
      <c r="RA121" s="106"/>
      <c r="RB121" s="106"/>
      <c r="RC121" s="106"/>
      <c r="RD121" s="106"/>
      <c r="RE121" s="106"/>
      <c r="RF121" s="106"/>
      <c r="RG121" s="106"/>
      <c r="RH121" s="106"/>
      <c r="RI121" s="106"/>
      <c r="RJ121" s="106"/>
      <c r="RK121" s="106"/>
      <c r="RL121" s="106"/>
    </row>
    <row r="122" spans="88:480" x14ac:dyDescent="0.3">
      <c r="CJ122" s="103"/>
      <c r="FP122" s="103"/>
      <c r="LL122" s="103"/>
      <c r="NM122" s="103"/>
      <c r="QT122" s="106"/>
      <c r="QU122" s="106"/>
      <c r="QV122" s="106"/>
      <c r="QW122" s="106"/>
      <c r="QX122" s="106"/>
      <c r="QY122" s="106"/>
      <c r="QZ122" s="106"/>
      <c r="RA122" s="106"/>
      <c r="RB122" s="106"/>
      <c r="RC122" s="106"/>
      <c r="RD122" s="106"/>
      <c r="RE122" s="106"/>
      <c r="RF122" s="106"/>
      <c r="RG122" s="106"/>
      <c r="RH122" s="106"/>
      <c r="RI122" s="106"/>
      <c r="RJ122" s="106"/>
      <c r="RK122" s="106"/>
      <c r="RL122" s="106"/>
    </row>
    <row r="123" spans="88:480" x14ac:dyDescent="0.3">
      <c r="CJ123" s="103"/>
      <c r="FP123" s="103"/>
      <c r="LL123" s="103"/>
      <c r="NM123" s="103"/>
      <c r="QT123" s="106"/>
      <c r="QU123" s="106"/>
      <c r="QV123" s="106"/>
      <c r="QW123" s="106"/>
      <c r="QX123" s="106"/>
      <c r="QY123" s="106"/>
      <c r="QZ123" s="106"/>
      <c r="RA123" s="106"/>
      <c r="RB123" s="106"/>
      <c r="RC123" s="106"/>
      <c r="RD123" s="106"/>
      <c r="RE123" s="106"/>
      <c r="RF123" s="106"/>
      <c r="RG123" s="106"/>
      <c r="RH123" s="106"/>
      <c r="RI123" s="106"/>
      <c r="RJ123" s="106"/>
      <c r="RK123" s="106"/>
      <c r="RL123" s="106"/>
    </row>
    <row r="124" spans="88:480" x14ac:dyDescent="0.3">
      <c r="CJ124" s="103"/>
      <c r="FP124" s="103"/>
      <c r="LL124" s="103"/>
      <c r="NM124" s="103"/>
      <c r="QT124" s="106"/>
      <c r="QU124" s="106"/>
      <c r="QV124" s="106"/>
      <c r="QW124" s="106"/>
      <c r="QX124" s="106"/>
      <c r="QY124" s="106"/>
      <c r="QZ124" s="106"/>
      <c r="RA124" s="106"/>
      <c r="RB124" s="106"/>
      <c r="RC124" s="106"/>
      <c r="RD124" s="106"/>
      <c r="RE124" s="106"/>
      <c r="RF124" s="106"/>
      <c r="RG124" s="106"/>
      <c r="RH124" s="106"/>
      <c r="RI124" s="106"/>
      <c r="RJ124" s="106"/>
      <c r="RK124" s="106"/>
      <c r="RL124" s="106"/>
    </row>
    <row r="125" spans="88:480" x14ac:dyDescent="0.3">
      <c r="CJ125" s="103"/>
      <c r="FP125" s="103"/>
      <c r="LL125" s="103"/>
      <c r="NM125" s="103"/>
      <c r="QT125" s="106"/>
      <c r="QU125" s="106"/>
      <c r="QV125" s="106"/>
      <c r="QW125" s="106"/>
      <c r="QX125" s="106"/>
      <c r="QY125" s="106"/>
      <c r="QZ125" s="106"/>
      <c r="RA125" s="106"/>
      <c r="RB125" s="106"/>
      <c r="RC125" s="106"/>
      <c r="RD125" s="106"/>
      <c r="RE125" s="106"/>
      <c r="RF125" s="106"/>
      <c r="RG125" s="106"/>
      <c r="RH125" s="106"/>
      <c r="RI125" s="106"/>
      <c r="RJ125" s="106"/>
      <c r="RK125" s="106"/>
      <c r="RL125" s="106"/>
    </row>
    <row r="126" spans="88:480" x14ac:dyDescent="0.3">
      <c r="CJ126" s="103"/>
      <c r="FP126" s="103"/>
      <c r="LL126" s="103"/>
      <c r="NM126" s="103"/>
      <c r="QT126" s="106"/>
      <c r="QU126" s="106"/>
      <c r="QV126" s="106"/>
      <c r="QW126" s="106"/>
      <c r="QX126" s="106"/>
      <c r="QY126" s="106"/>
      <c r="QZ126" s="106"/>
      <c r="RA126" s="106"/>
      <c r="RB126" s="106"/>
      <c r="RC126" s="106"/>
      <c r="RD126" s="106"/>
      <c r="RE126" s="106"/>
      <c r="RF126" s="106"/>
      <c r="RG126" s="106"/>
      <c r="RH126" s="106"/>
      <c r="RI126" s="106"/>
      <c r="RJ126" s="106"/>
      <c r="RK126" s="106"/>
      <c r="RL126" s="106"/>
    </row>
    <row r="127" spans="88:480" x14ac:dyDescent="0.3">
      <c r="CJ127" s="103"/>
      <c r="FP127" s="103"/>
      <c r="LL127" s="103"/>
      <c r="NM127" s="103"/>
      <c r="QT127" s="106"/>
      <c r="QU127" s="106"/>
      <c r="QV127" s="106"/>
      <c r="QW127" s="106"/>
      <c r="QX127" s="106"/>
      <c r="QY127" s="106"/>
      <c r="QZ127" s="106"/>
      <c r="RA127" s="106"/>
      <c r="RB127" s="106"/>
      <c r="RC127" s="106"/>
      <c r="RD127" s="106"/>
      <c r="RE127" s="106"/>
      <c r="RF127" s="106"/>
      <c r="RG127" s="106"/>
      <c r="RH127" s="106"/>
      <c r="RI127" s="106"/>
      <c r="RJ127" s="106"/>
      <c r="RK127" s="106"/>
      <c r="RL127" s="106"/>
    </row>
    <row r="128" spans="88:480" x14ac:dyDescent="0.3">
      <c r="CJ128" s="103"/>
      <c r="FP128" s="103"/>
      <c r="LL128" s="103"/>
      <c r="NM128" s="103"/>
      <c r="QT128" s="106"/>
      <c r="QU128" s="106"/>
      <c r="QV128" s="106"/>
      <c r="QW128" s="106"/>
      <c r="QX128" s="106"/>
      <c r="QY128" s="106"/>
      <c r="QZ128" s="106"/>
      <c r="RA128" s="106"/>
      <c r="RB128" s="106"/>
      <c r="RC128" s="106"/>
      <c r="RD128" s="106"/>
      <c r="RE128" s="106"/>
      <c r="RF128" s="106"/>
      <c r="RG128" s="106"/>
      <c r="RH128" s="106"/>
      <c r="RI128" s="106"/>
      <c r="RJ128" s="106"/>
      <c r="RK128" s="106"/>
      <c r="RL128" s="106"/>
    </row>
    <row r="129" spans="88:480" x14ac:dyDescent="0.3">
      <c r="CJ129" s="103"/>
      <c r="FP129" s="103"/>
      <c r="LL129" s="103"/>
      <c r="NM129" s="103"/>
      <c r="QT129" s="106"/>
      <c r="QU129" s="106"/>
      <c r="QV129" s="106"/>
      <c r="QW129" s="106"/>
      <c r="QX129" s="106"/>
      <c r="QY129" s="106"/>
      <c r="QZ129" s="106"/>
      <c r="RA129" s="106"/>
      <c r="RB129" s="106"/>
      <c r="RC129" s="106"/>
      <c r="RD129" s="106"/>
      <c r="RE129" s="106"/>
      <c r="RF129" s="106"/>
      <c r="RG129" s="106"/>
      <c r="RH129" s="106"/>
      <c r="RI129" s="106"/>
      <c r="RJ129" s="106"/>
      <c r="RK129" s="106"/>
      <c r="RL129" s="106"/>
    </row>
    <row r="130" spans="88:480" x14ac:dyDescent="0.3">
      <c r="CJ130" s="103"/>
      <c r="FP130" s="103"/>
      <c r="LL130" s="103"/>
      <c r="NM130" s="103"/>
      <c r="QT130" s="106"/>
      <c r="QU130" s="106"/>
      <c r="QV130" s="106"/>
      <c r="QW130" s="106"/>
      <c r="QX130" s="106"/>
      <c r="QY130" s="106"/>
      <c r="QZ130" s="106"/>
      <c r="RA130" s="106"/>
      <c r="RB130" s="106"/>
      <c r="RC130" s="106"/>
      <c r="RD130" s="106"/>
      <c r="RE130" s="106"/>
      <c r="RF130" s="106"/>
      <c r="RG130" s="106"/>
      <c r="RH130" s="106"/>
      <c r="RI130" s="106"/>
      <c r="RJ130" s="106"/>
      <c r="RK130" s="106"/>
      <c r="RL130" s="106"/>
    </row>
    <row r="131" spans="88:480" x14ac:dyDescent="0.3">
      <c r="CJ131" s="103"/>
      <c r="FP131" s="103"/>
      <c r="LL131" s="103"/>
      <c r="NM131" s="103"/>
      <c r="QT131" s="106"/>
      <c r="QU131" s="106"/>
      <c r="QV131" s="106"/>
      <c r="QW131" s="106"/>
      <c r="QX131" s="106"/>
      <c r="QY131" s="106"/>
      <c r="QZ131" s="106"/>
      <c r="RA131" s="106"/>
      <c r="RB131" s="106"/>
      <c r="RC131" s="106"/>
      <c r="RD131" s="106"/>
      <c r="RE131" s="106"/>
      <c r="RF131" s="106"/>
      <c r="RG131" s="106"/>
      <c r="RH131" s="106"/>
      <c r="RI131" s="106"/>
      <c r="RJ131" s="106"/>
      <c r="RK131" s="106"/>
      <c r="RL131" s="106"/>
    </row>
    <row r="132" spans="88:480" x14ac:dyDescent="0.3">
      <c r="CJ132" s="103"/>
      <c r="FP132" s="103"/>
      <c r="LL132" s="103"/>
      <c r="NM132" s="103"/>
      <c r="QT132" s="106"/>
      <c r="QU132" s="106"/>
      <c r="QV132" s="106"/>
      <c r="QW132" s="106"/>
      <c r="QX132" s="106"/>
      <c r="QY132" s="106"/>
      <c r="QZ132" s="106"/>
      <c r="RA132" s="106"/>
      <c r="RB132" s="106"/>
      <c r="RC132" s="106"/>
      <c r="RD132" s="106"/>
      <c r="RE132" s="106"/>
      <c r="RF132" s="106"/>
      <c r="RG132" s="106"/>
      <c r="RH132" s="106"/>
      <c r="RI132" s="106"/>
      <c r="RJ132" s="106"/>
      <c r="RK132" s="106"/>
      <c r="RL132" s="106"/>
    </row>
    <row r="133" spans="88:480" x14ac:dyDescent="0.3">
      <c r="CJ133" s="103"/>
      <c r="FP133" s="103"/>
      <c r="LL133" s="103"/>
      <c r="NM133" s="103"/>
      <c r="QT133" s="106"/>
      <c r="QU133" s="106"/>
      <c r="QV133" s="106"/>
      <c r="QW133" s="106"/>
      <c r="QX133" s="106"/>
      <c r="QY133" s="106"/>
      <c r="QZ133" s="106"/>
      <c r="RA133" s="106"/>
      <c r="RB133" s="106"/>
      <c r="RC133" s="106"/>
      <c r="RD133" s="106"/>
      <c r="RE133" s="106"/>
      <c r="RF133" s="106"/>
      <c r="RG133" s="106"/>
      <c r="RH133" s="106"/>
      <c r="RI133" s="106"/>
      <c r="RJ133" s="106"/>
      <c r="RK133" s="106"/>
      <c r="RL133" s="106"/>
    </row>
    <row r="134" spans="88:480" x14ac:dyDescent="0.3">
      <c r="CJ134" s="103"/>
      <c r="FP134" s="103"/>
      <c r="LL134" s="103"/>
      <c r="NM134" s="103"/>
      <c r="QT134" s="106"/>
      <c r="QU134" s="106"/>
      <c r="QV134" s="106"/>
      <c r="QW134" s="106"/>
      <c r="QX134" s="106"/>
      <c r="QY134" s="106"/>
      <c r="QZ134" s="106"/>
      <c r="RA134" s="106"/>
      <c r="RB134" s="106"/>
      <c r="RC134" s="106"/>
      <c r="RD134" s="106"/>
      <c r="RE134" s="106"/>
      <c r="RF134" s="106"/>
      <c r="RG134" s="106"/>
      <c r="RH134" s="106"/>
      <c r="RI134" s="106"/>
      <c r="RJ134" s="106"/>
      <c r="RK134" s="106"/>
      <c r="RL134" s="106"/>
    </row>
    <row r="135" spans="88:480" x14ac:dyDescent="0.3">
      <c r="CJ135" s="103"/>
      <c r="FP135" s="103"/>
      <c r="LL135" s="103"/>
      <c r="NM135" s="103"/>
      <c r="QT135" s="106"/>
      <c r="QU135" s="106"/>
      <c r="QV135" s="106"/>
      <c r="QW135" s="106"/>
      <c r="QX135" s="106"/>
      <c r="QY135" s="106"/>
      <c r="QZ135" s="106"/>
      <c r="RA135" s="106"/>
      <c r="RB135" s="106"/>
      <c r="RC135" s="106"/>
      <c r="RD135" s="106"/>
      <c r="RE135" s="106"/>
      <c r="RF135" s="106"/>
      <c r="RG135" s="106"/>
      <c r="RH135" s="106"/>
      <c r="RI135" s="106"/>
      <c r="RJ135" s="106"/>
      <c r="RK135" s="106"/>
      <c r="RL135" s="106"/>
    </row>
    <row r="136" spans="88:480" x14ac:dyDescent="0.3">
      <c r="CJ136" s="103"/>
      <c r="FP136" s="103"/>
      <c r="LL136" s="103"/>
      <c r="NM136" s="103"/>
      <c r="QT136" s="106"/>
      <c r="QU136" s="106"/>
      <c r="QV136" s="106"/>
      <c r="QW136" s="106"/>
      <c r="QX136" s="106"/>
      <c r="QY136" s="106"/>
      <c r="QZ136" s="106"/>
      <c r="RA136" s="106"/>
      <c r="RB136" s="106"/>
      <c r="RC136" s="106"/>
      <c r="RD136" s="106"/>
      <c r="RE136" s="106"/>
      <c r="RF136" s="106"/>
      <c r="RG136" s="106"/>
      <c r="RH136" s="106"/>
      <c r="RI136" s="106"/>
      <c r="RJ136" s="106"/>
      <c r="RK136" s="106"/>
      <c r="RL136" s="106"/>
    </row>
    <row r="137" spans="88:480" x14ac:dyDescent="0.3">
      <c r="CJ137" s="103"/>
      <c r="FP137" s="103"/>
      <c r="LL137" s="103"/>
      <c r="NM137" s="103"/>
      <c r="QT137" s="106"/>
      <c r="QU137" s="106"/>
      <c r="QV137" s="106"/>
      <c r="QW137" s="106"/>
      <c r="QX137" s="106"/>
      <c r="QY137" s="106"/>
      <c r="QZ137" s="106"/>
      <c r="RA137" s="106"/>
      <c r="RB137" s="106"/>
      <c r="RC137" s="106"/>
      <c r="RD137" s="106"/>
      <c r="RE137" s="106"/>
      <c r="RF137" s="106"/>
      <c r="RG137" s="106"/>
      <c r="RH137" s="106"/>
      <c r="RI137" s="106"/>
      <c r="RJ137" s="106"/>
      <c r="RK137" s="106"/>
      <c r="RL137" s="106"/>
    </row>
    <row r="138" spans="88:480" x14ac:dyDescent="0.3">
      <c r="CJ138" s="103"/>
      <c r="FP138" s="103"/>
      <c r="LL138" s="103"/>
      <c r="NM138" s="103"/>
      <c r="QT138" s="106"/>
      <c r="QU138" s="106"/>
      <c r="QV138" s="106"/>
      <c r="QW138" s="106"/>
      <c r="QX138" s="106"/>
      <c r="QY138" s="106"/>
      <c r="QZ138" s="106"/>
      <c r="RA138" s="106"/>
      <c r="RB138" s="106"/>
      <c r="RC138" s="106"/>
      <c r="RD138" s="106"/>
      <c r="RE138" s="106"/>
      <c r="RF138" s="106"/>
      <c r="RG138" s="106"/>
      <c r="RH138" s="106"/>
      <c r="RI138" s="106"/>
      <c r="RJ138" s="106"/>
      <c r="RK138" s="106"/>
      <c r="RL138" s="106"/>
    </row>
    <row r="139" spans="88:480" x14ac:dyDescent="0.3">
      <c r="CJ139" s="103"/>
      <c r="FP139" s="103"/>
      <c r="LL139" s="103"/>
      <c r="NM139" s="103"/>
      <c r="QT139" s="106"/>
      <c r="QU139" s="106"/>
      <c r="QV139" s="106"/>
      <c r="QW139" s="106"/>
      <c r="QX139" s="106"/>
      <c r="QY139" s="106"/>
      <c r="QZ139" s="106"/>
      <c r="RA139" s="106"/>
      <c r="RB139" s="106"/>
      <c r="RC139" s="106"/>
      <c r="RD139" s="106"/>
      <c r="RE139" s="106"/>
      <c r="RF139" s="106"/>
      <c r="RG139" s="106"/>
      <c r="RH139" s="106"/>
      <c r="RI139" s="106"/>
      <c r="RJ139" s="106"/>
      <c r="RK139" s="106"/>
      <c r="RL139" s="106"/>
    </row>
    <row r="140" spans="88:480" x14ac:dyDescent="0.3">
      <c r="CJ140" s="103"/>
      <c r="FP140" s="103"/>
      <c r="LL140" s="103"/>
      <c r="NM140" s="103"/>
      <c r="QT140" s="106"/>
      <c r="QU140" s="106"/>
      <c r="QV140" s="106"/>
      <c r="QW140" s="106"/>
      <c r="QX140" s="106"/>
      <c r="QY140" s="106"/>
      <c r="QZ140" s="106"/>
      <c r="RA140" s="106"/>
      <c r="RB140" s="106"/>
      <c r="RC140" s="106"/>
      <c r="RD140" s="106"/>
      <c r="RE140" s="106"/>
      <c r="RF140" s="106"/>
      <c r="RG140" s="106"/>
      <c r="RH140" s="106"/>
      <c r="RI140" s="106"/>
      <c r="RJ140" s="106"/>
      <c r="RK140" s="106"/>
      <c r="RL140" s="106"/>
    </row>
    <row r="141" spans="88:480" x14ac:dyDescent="0.3">
      <c r="CJ141" s="103"/>
      <c r="FP141" s="103"/>
      <c r="LL141" s="103"/>
      <c r="NM141" s="103"/>
      <c r="QT141" s="106"/>
      <c r="QU141" s="106"/>
      <c r="QV141" s="106"/>
      <c r="QW141" s="106"/>
      <c r="QX141" s="106"/>
      <c r="QY141" s="106"/>
      <c r="QZ141" s="106"/>
      <c r="RA141" s="106"/>
      <c r="RB141" s="106"/>
      <c r="RC141" s="106"/>
      <c r="RD141" s="106"/>
      <c r="RE141" s="106"/>
      <c r="RF141" s="106"/>
      <c r="RG141" s="106"/>
      <c r="RH141" s="106"/>
      <c r="RI141" s="106"/>
      <c r="RJ141" s="106"/>
      <c r="RK141" s="106"/>
      <c r="RL141" s="106"/>
    </row>
    <row r="142" spans="88:480" x14ac:dyDescent="0.3">
      <c r="CJ142" s="103"/>
      <c r="FP142" s="103"/>
      <c r="LL142" s="103"/>
      <c r="NM142" s="103"/>
      <c r="QT142" s="106"/>
      <c r="QU142" s="106"/>
      <c r="QV142" s="106"/>
      <c r="QW142" s="106"/>
      <c r="QX142" s="106"/>
      <c r="QY142" s="106"/>
      <c r="QZ142" s="106"/>
      <c r="RA142" s="106"/>
      <c r="RB142" s="106"/>
      <c r="RC142" s="106"/>
      <c r="RD142" s="106"/>
      <c r="RE142" s="106"/>
      <c r="RF142" s="106"/>
      <c r="RG142" s="106"/>
      <c r="RH142" s="106"/>
      <c r="RI142" s="106"/>
      <c r="RJ142" s="106"/>
      <c r="RK142" s="106"/>
      <c r="RL142" s="106"/>
    </row>
    <row r="143" spans="88:480" x14ac:dyDescent="0.3">
      <c r="CJ143" s="103"/>
      <c r="FP143" s="103"/>
      <c r="LL143" s="103"/>
      <c r="NM143" s="103"/>
      <c r="QT143" s="106"/>
      <c r="QU143" s="106"/>
      <c r="QV143" s="106"/>
      <c r="QW143" s="106"/>
      <c r="QX143" s="106"/>
      <c r="QY143" s="106"/>
      <c r="QZ143" s="106"/>
      <c r="RA143" s="106"/>
      <c r="RB143" s="106"/>
      <c r="RC143" s="106"/>
      <c r="RD143" s="106"/>
      <c r="RE143" s="106"/>
      <c r="RF143" s="106"/>
      <c r="RG143" s="106"/>
      <c r="RH143" s="106"/>
      <c r="RI143" s="106"/>
      <c r="RJ143" s="106"/>
      <c r="RK143" s="106"/>
      <c r="RL143" s="106"/>
    </row>
    <row r="144" spans="88:480" x14ac:dyDescent="0.3">
      <c r="CJ144" s="103"/>
      <c r="FP144" s="103"/>
      <c r="LL144" s="103"/>
      <c r="NM144" s="103"/>
      <c r="QT144" s="106"/>
      <c r="QU144" s="106"/>
      <c r="QV144" s="106"/>
      <c r="QW144" s="106"/>
      <c r="QX144" s="106"/>
      <c r="QY144" s="106"/>
      <c r="QZ144" s="106"/>
      <c r="RA144" s="106"/>
      <c r="RB144" s="106"/>
      <c r="RC144" s="106"/>
      <c r="RD144" s="106"/>
      <c r="RE144" s="106"/>
      <c r="RF144" s="106"/>
      <c r="RG144" s="106"/>
      <c r="RH144" s="106"/>
      <c r="RI144" s="106"/>
      <c r="RJ144" s="106"/>
      <c r="RK144" s="106"/>
      <c r="RL144" s="106"/>
    </row>
    <row r="145" spans="88:480" x14ac:dyDescent="0.3">
      <c r="CJ145" s="103"/>
      <c r="FP145" s="103"/>
      <c r="LL145" s="103"/>
      <c r="NM145" s="103"/>
      <c r="QT145" s="106"/>
      <c r="QU145" s="106"/>
      <c r="QV145" s="106"/>
      <c r="QW145" s="106"/>
      <c r="QX145" s="106"/>
      <c r="QY145" s="106"/>
      <c r="QZ145" s="106"/>
      <c r="RA145" s="106"/>
      <c r="RB145" s="106"/>
      <c r="RC145" s="106"/>
      <c r="RD145" s="106"/>
      <c r="RE145" s="106"/>
      <c r="RF145" s="106"/>
      <c r="RG145" s="106"/>
      <c r="RH145" s="106"/>
      <c r="RI145" s="106"/>
      <c r="RJ145" s="106"/>
      <c r="RK145" s="106"/>
      <c r="RL145" s="106"/>
    </row>
    <row r="146" spans="88:480" x14ac:dyDescent="0.3">
      <c r="CJ146" s="103"/>
      <c r="FP146" s="103"/>
      <c r="LL146" s="103"/>
      <c r="NM146" s="103"/>
      <c r="QT146" s="106"/>
      <c r="QU146" s="106"/>
      <c r="QV146" s="106"/>
      <c r="QW146" s="106"/>
      <c r="QX146" s="106"/>
      <c r="QY146" s="106"/>
      <c r="QZ146" s="106"/>
      <c r="RA146" s="106"/>
      <c r="RB146" s="106"/>
      <c r="RC146" s="106"/>
      <c r="RD146" s="106"/>
      <c r="RE146" s="106"/>
      <c r="RF146" s="106"/>
      <c r="RG146" s="106"/>
      <c r="RH146" s="106"/>
      <c r="RI146" s="106"/>
      <c r="RJ146" s="106"/>
      <c r="RK146" s="106"/>
      <c r="RL146" s="106"/>
    </row>
    <row r="147" spans="88:480" x14ac:dyDescent="0.3">
      <c r="CJ147" s="103"/>
      <c r="FP147" s="103"/>
      <c r="LL147" s="103"/>
      <c r="NM147" s="103"/>
      <c r="QT147" s="106"/>
      <c r="QU147" s="106"/>
      <c r="QV147" s="106"/>
      <c r="QW147" s="106"/>
      <c r="QX147" s="106"/>
      <c r="QY147" s="106"/>
      <c r="QZ147" s="106"/>
      <c r="RA147" s="106"/>
      <c r="RB147" s="106"/>
      <c r="RC147" s="106"/>
      <c r="RD147" s="106"/>
      <c r="RE147" s="106"/>
      <c r="RF147" s="106"/>
      <c r="RG147" s="106"/>
      <c r="RH147" s="106"/>
      <c r="RI147" s="106"/>
      <c r="RJ147" s="106"/>
      <c r="RK147" s="106"/>
      <c r="RL147" s="106"/>
    </row>
    <row r="148" spans="88:480" x14ac:dyDescent="0.3">
      <c r="CJ148" s="103"/>
      <c r="FP148" s="103"/>
      <c r="LL148" s="103"/>
      <c r="NM148" s="103"/>
      <c r="QT148" s="106"/>
      <c r="QU148" s="106"/>
      <c r="QV148" s="106"/>
      <c r="QW148" s="106"/>
      <c r="QX148" s="106"/>
      <c r="QY148" s="106"/>
      <c r="QZ148" s="106"/>
      <c r="RA148" s="106"/>
      <c r="RB148" s="106"/>
      <c r="RC148" s="106"/>
      <c r="RD148" s="106"/>
      <c r="RE148" s="106"/>
      <c r="RF148" s="106"/>
      <c r="RG148" s="106"/>
      <c r="RH148" s="106"/>
      <c r="RI148" s="106"/>
      <c r="RJ148" s="106"/>
      <c r="RK148" s="106"/>
      <c r="RL148" s="106"/>
    </row>
    <row r="149" spans="88:480" x14ac:dyDescent="0.3">
      <c r="CJ149" s="103"/>
      <c r="FP149" s="103"/>
      <c r="LL149" s="103"/>
      <c r="NM149" s="103"/>
      <c r="QT149" s="106"/>
      <c r="QU149" s="106"/>
      <c r="QV149" s="106"/>
      <c r="QW149" s="106"/>
      <c r="QX149" s="106"/>
      <c r="QY149" s="106"/>
      <c r="QZ149" s="106"/>
      <c r="RA149" s="106"/>
      <c r="RB149" s="106"/>
      <c r="RC149" s="106"/>
      <c r="RD149" s="106"/>
      <c r="RE149" s="106"/>
      <c r="RF149" s="106"/>
      <c r="RG149" s="106"/>
      <c r="RH149" s="106"/>
      <c r="RI149" s="106"/>
      <c r="RJ149" s="106"/>
      <c r="RK149" s="106"/>
      <c r="RL149" s="106"/>
    </row>
    <row r="150" spans="88:480" x14ac:dyDescent="0.3">
      <c r="CJ150" s="103"/>
      <c r="FP150" s="103"/>
      <c r="LL150" s="103"/>
      <c r="NM150" s="103"/>
      <c r="QT150" s="106"/>
      <c r="QU150" s="106"/>
      <c r="QV150" s="106"/>
      <c r="QW150" s="106"/>
      <c r="QX150" s="106"/>
      <c r="QY150" s="106"/>
      <c r="QZ150" s="106"/>
      <c r="RA150" s="106"/>
      <c r="RB150" s="106"/>
      <c r="RC150" s="106"/>
      <c r="RD150" s="106"/>
      <c r="RE150" s="106"/>
      <c r="RF150" s="106"/>
      <c r="RG150" s="106"/>
      <c r="RH150" s="106"/>
      <c r="RI150" s="106"/>
      <c r="RJ150" s="106"/>
      <c r="RK150" s="106"/>
      <c r="RL150" s="106"/>
    </row>
    <row r="151" spans="88:480" x14ac:dyDescent="0.3">
      <c r="CJ151" s="103"/>
      <c r="FP151" s="103"/>
      <c r="LL151" s="103"/>
      <c r="NM151" s="103"/>
      <c r="QT151" s="106"/>
      <c r="QU151" s="106"/>
      <c r="QV151" s="106"/>
      <c r="QW151" s="106"/>
      <c r="QX151" s="106"/>
      <c r="QY151" s="106"/>
      <c r="QZ151" s="106"/>
      <c r="RA151" s="106"/>
      <c r="RB151" s="106"/>
      <c r="RC151" s="106"/>
      <c r="RD151" s="106"/>
      <c r="RE151" s="106"/>
      <c r="RF151" s="106"/>
      <c r="RG151" s="106"/>
      <c r="RH151" s="106"/>
      <c r="RI151" s="106"/>
      <c r="RJ151" s="106"/>
      <c r="RK151" s="106"/>
      <c r="RL151" s="106"/>
    </row>
    <row r="152" spans="88:480" x14ac:dyDescent="0.3">
      <c r="CJ152" s="103"/>
      <c r="FP152" s="103"/>
      <c r="LL152" s="103"/>
      <c r="NM152" s="103"/>
      <c r="QT152" s="106"/>
      <c r="QU152" s="106"/>
      <c r="QV152" s="106"/>
      <c r="QW152" s="106"/>
      <c r="QX152" s="106"/>
      <c r="QY152" s="106"/>
      <c r="QZ152" s="106"/>
      <c r="RA152" s="106"/>
      <c r="RB152" s="106"/>
      <c r="RC152" s="106"/>
      <c r="RD152" s="106"/>
      <c r="RE152" s="106"/>
      <c r="RF152" s="106"/>
      <c r="RG152" s="106"/>
      <c r="RH152" s="106"/>
      <c r="RI152" s="106"/>
      <c r="RJ152" s="106"/>
      <c r="RK152" s="106"/>
      <c r="RL152" s="106"/>
    </row>
    <row r="153" spans="88:480" x14ac:dyDescent="0.3">
      <c r="CJ153" s="103"/>
      <c r="FP153" s="103"/>
      <c r="LL153" s="103"/>
      <c r="NM153" s="103"/>
      <c r="QT153" s="106"/>
      <c r="QU153" s="106"/>
      <c r="QV153" s="106"/>
      <c r="QW153" s="106"/>
      <c r="QX153" s="106"/>
      <c r="QY153" s="106"/>
      <c r="QZ153" s="106"/>
      <c r="RA153" s="106"/>
      <c r="RB153" s="106"/>
      <c r="RC153" s="106"/>
      <c r="RD153" s="106"/>
      <c r="RE153" s="106"/>
      <c r="RF153" s="106"/>
      <c r="RG153" s="106"/>
      <c r="RH153" s="106"/>
      <c r="RI153" s="106"/>
      <c r="RJ153" s="106"/>
      <c r="RK153" s="106"/>
      <c r="RL153" s="106"/>
    </row>
    <row r="154" spans="88:480" x14ac:dyDescent="0.3">
      <c r="CJ154" s="103"/>
      <c r="FP154" s="103"/>
      <c r="LL154" s="103"/>
      <c r="NM154" s="103"/>
      <c r="QT154" s="106"/>
      <c r="QU154" s="106"/>
      <c r="QV154" s="106"/>
      <c r="QW154" s="106"/>
      <c r="QX154" s="106"/>
      <c r="QY154" s="106"/>
      <c r="QZ154" s="106"/>
      <c r="RA154" s="106"/>
      <c r="RB154" s="106"/>
      <c r="RC154" s="106"/>
      <c r="RD154" s="106"/>
      <c r="RE154" s="106"/>
      <c r="RF154" s="106"/>
      <c r="RG154" s="106"/>
      <c r="RH154" s="106"/>
      <c r="RI154" s="106"/>
      <c r="RJ154" s="106"/>
      <c r="RK154" s="106"/>
      <c r="RL154" s="106"/>
    </row>
    <row r="155" spans="88:480" x14ac:dyDescent="0.3">
      <c r="CJ155" s="103"/>
      <c r="FP155" s="103"/>
      <c r="LL155" s="103"/>
      <c r="NM155" s="103"/>
      <c r="QT155" s="106"/>
      <c r="QU155" s="106"/>
      <c r="QV155" s="106"/>
      <c r="QW155" s="106"/>
      <c r="QX155" s="106"/>
      <c r="QY155" s="106"/>
      <c r="QZ155" s="106"/>
      <c r="RA155" s="106"/>
      <c r="RB155" s="106"/>
      <c r="RC155" s="106"/>
      <c r="RD155" s="106"/>
      <c r="RE155" s="106"/>
      <c r="RF155" s="106"/>
      <c r="RG155" s="106"/>
      <c r="RH155" s="106"/>
      <c r="RI155" s="106"/>
      <c r="RJ155" s="106"/>
      <c r="RK155" s="106"/>
      <c r="RL155" s="106"/>
    </row>
    <row r="156" spans="88:480" x14ac:dyDescent="0.3">
      <c r="CJ156" s="103"/>
      <c r="FP156" s="103"/>
      <c r="LL156" s="103"/>
      <c r="NM156" s="103"/>
      <c r="QT156" s="106"/>
      <c r="QU156" s="106"/>
      <c r="QV156" s="106"/>
      <c r="QW156" s="106"/>
      <c r="QX156" s="106"/>
      <c r="QY156" s="106"/>
      <c r="QZ156" s="106"/>
      <c r="RA156" s="106"/>
      <c r="RB156" s="106"/>
      <c r="RC156" s="106"/>
      <c r="RD156" s="106"/>
      <c r="RE156" s="106"/>
      <c r="RF156" s="106"/>
      <c r="RG156" s="106"/>
      <c r="RH156" s="106"/>
      <c r="RI156" s="106"/>
      <c r="RJ156" s="106"/>
      <c r="RK156" s="106"/>
      <c r="RL156" s="106"/>
    </row>
    <row r="157" spans="88:480" x14ac:dyDescent="0.3">
      <c r="CJ157" s="103"/>
      <c r="FP157" s="103"/>
      <c r="LL157" s="103"/>
      <c r="NM157" s="103"/>
      <c r="QT157" s="106"/>
      <c r="QU157" s="106"/>
      <c r="QV157" s="106"/>
      <c r="QW157" s="106"/>
      <c r="QX157" s="106"/>
      <c r="QY157" s="106"/>
      <c r="QZ157" s="106"/>
      <c r="RA157" s="106"/>
      <c r="RB157" s="106"/>
      <c r="RC157" s="106"/>
      <c r="RD157" s="106"/>
      <c r="RE157" s="106"/>
      <c r="RF157" s="106"/>
      <c r="RG157" s="106"/>
      <c r="RH157" s="106"/>
      <c r="RI157" s="106"/>
      <c r="RJ157" s="106"/>
      <c r="RK157" s="106"/>
      <c r="RL157" s="106"/>
    </row>
    <row r="158" spans="88:480" x14ac:dyDescent="0.3">
      <c r="CJ158" s="103"/>
      <c r="FP158" s="103"/>
      <c r="LL158" s="103"/>
      <c r="NM158" s="103"/>
      <c r="QT158" s="106"/>
      <c r="QU158" s="106"/>
      <c r="QV158" s="106"/>
      <c r="QW158" s="106"/>
      <c r="QX158" s="106"/>
      <c r="QY158" s="106"/>
      <c r="QZ158" s="106"/>
      <c r="RA158" s="106"/>
      <c r="RB158" s="106"/>
      <c r="RC158" s="106"/>
      <c r="RD158" s="106"/>
      <c r="RE158" s="106"/>
      <c r="RF158" s="106"/>
      <c r="RG158" s="106"/>
      <c r="RH158" s="106"/>
      <c r="RI158" s="106"/>
      <c r="RJ158" s="106"/>
      <c r="RK158" s="106"/>
      <c r="RL158" s="106"/>
    </row>
    <row r="159" spans="88:480" x14ac:dyDescent="0.3">
      <c r="CJ159" s="103"/>
      <c r="FP159" s="103"/>
      <c r="LL159" s="103"/>
      <c r="NM159" s="103"/>
      <c r="QT159" s="106"/>
      <c r="QU159" s="106"/>
      <c r="QV159" s="106"/>
      <c r="QW159" s="106"/>
      <c r="QX159" s="106"/>
      <c r="QY159" s="106"/>
      <c r="QZ159" s="106"/>
      <c r="RA159" s="106"/>
      <c r="RB159" s="106"/>
      <c r="RC159" s="106"/>
      <c r="RD159" s="106"/>
      <c r="RE159" s="106"/>
      <c r="RF159" s="106"/>
      <c r="RG159" s="106"/>
      <c r="RH159" s="106"/>
      <c r="RI159" s="106"/>
      <c r="RJ159" s="106"/>
      <c r="RK159" s="106"/>
      <c r="RL159" s="106"/>
    </row>
    <row r="160" spans="88:480" x14ac:dyDescent="0.3">
      <c r="CJ160" s="103"/>
      <c r="FP160" s="103"/>
      <c r="LL160" s="103"/>
      <c r="NM160" s="103"/>
      <c r="QT160" s="106"/>
      <c r="QU160" s="106"/>
      <c r="QV160" s="106"/>
      <c r="QW160" s="106"/>
      <c r="QX160" s="106"/>
      <c r="QY160" s="106"/>
      <c r="QZ160" s="106"/>
      <c r="RA160" s="106"/>
      <c r="RB160" s="106"/>
      <c r="RC160" s="106"/>
      <c r="RD160" s="106"/>
      <c r="RE160" s="106"/>
      <c r="RF160" s="106"/>
      <c r="RG160" s="106"/>
      <c r="RH160" s="106"/>
      <c r="RI160" s="106"/>
      <c r="RJ160" s="106"/>
      <c r="RK160" s="106"/>
      <c r="RL160" s="106"/>
    </row>
    <row r="161" spans="88:480" x14ac:dyDescent="0.3">
      <c r="CJ161" s="103"/>
      <c r="FP161" s="103"/>
      <c r="LL161" s="103"/>
      <c r="NM161" s="103"/>
      <c r="QT161" s="106"/>
      <c r="QU161" s="106"/>
      <c r="QV161" s="106"/>
      <c r="QW161" s="106"/>
      <c r="QX161" s="106"/>
      <c r="QY161" s="106"/>
      <c r="QZ161" s="106"/>
      <c r="RA161" s="106"/>
      <c r="RB161" s="106"/>
      <c r="RC161" s="106"/>
      <c r="RD161" s="106"/>
      <c r="RE161" s="106"/>
      <c r="RF161" s="106"/>
      <c r="RG161" s="106"/>
      <c r="RH161" s="106"/>
      <c r="RI161" s="106"/>
      <c r="RJ161" s="106"/>
      <c r="RK161" s="106"/>
      <c r="RL161" s="106"/>
    </row>
    <row r="162" spans="88:480" x14ac:dyDescent="0.3">
      <c r="CJ162" s="103"/>
      <c r="FP162" s="103"/>
      <c r="LL162" s="103"/>
      <c r="NM162" s="103"/>
      <c r="QT162" s="106"/>
      <c r="QU162" s="106"/>
      <c r="QV162" s="106"/>
      <c r="QW162" s="106"/>
      <c r="QX162" s="106"/>
      <c r="QY162" s="106"/>
      <c r="QZ162" s="106"/>
      <c r="RA162" s="106"/>
      <c r="RB162" s="106"/>
      <c r="RC162" s="106"/>
      <c r="RD162" s="106"/>
      <c r="RE162" s="106"/>
      <c r="RF162" s="106"/>
      <c r="RG162" s="106"/>
      <c r="RH162" s="106"/>
      <c r="RI162" s="106"/>
      <c r="RJ162" s="106"/>
      <c r="RK162" s="106"/>
      <c r="RL162" s="106"/>
    </row>
    <row r="163" spans="88:480" x14ac:dyDescent="0.3">
      <c r="CJ163" s="103"/>
      <c r="FP163" s="103"/>
      <c r="LL163" s="103"/>
      <c r="NM163" s="103"/>
      <c r="QT163" s="106"/>
      <c r="QU163" s="106"/>
      <c r="QV163" s="106"/>
      <c r="QW163" s="106"/>
      <c r="QX163" s="106"/>
      <c r="QY163" s="106"/>
      <c r="QZ163" s="106"/>
      <c r="RA163" s="106"/>
      <c r="RB163" s="106"/>
      <c r="RC163" s="106"/>
      <c r="RD163" s="106"/>
      <c r="RE163" s="106"/>
      <c r="RF163" s="106"/>
      <c r="RG163" s="106"/>
      <c r="RH163" s="106"/>
      <c r="RI163" s="106"/>
      <c r="RJ163" s="106"/>
      <c r="RK163" s="106"/>
      <c r="RL163" s="106"/>
    </row>
    <row r="164" spans="88:480" x14ac:dyDescent="0.3">
      <c r="CJ164" s="103"/>
      <c r="FP164" s="103"/>
      <c r="LL164" s="103"/>
      <c r="NM164" s="103"/>
      <c r="QT164" s="106"/>
      <c r="QU164" s="106"/>
      <c r="QV164" s="106"/>
      <c r="QW164" s="106"/>
      <c r="QX164" s="106"/>
      <c r="QY164" s="106"/>
      <c r="QZ164" s="106"/>
      <c r="RA164" s="106"/>
      <c r="RB164" s="106"/>
      <c r="RC164" s="106"/>
      <c r="RD164" s="106"/>
      <c r="RE164" s="106"/>
      <c r="RF164" s="106"/>
      <c r="RG164" s="106"/>
      <c r="RH164" s="106"/>
      <c r="RI164" s="106"/>
      <c r="RJ164" s="106"/>
      <c r="RK164" s="106"/>
      <c r="RL164" s="106"/>
    </row>
    <row r="165" spans="88:480" x14ac:dyDescent="0.3">
      <c r="CJ165" s="103"/>
      <c r="FP165" s="103"/>
      <c r="LL165" s="103"/>
      <c r="NM165" s="103"/>
      <c r="QT165" s="106"/>
      <c r="QU165" s="106"/>
      <c r="QV165" s="106"/>
      <c r="QW165" s="106"/>
      <c r="QX165" s="106"/>
      <c r="QY165" s="106"/>
      <c r="QZ165" s="106"/>
      <c r="RA165" s="106"/>
      <c r="RB165" s="106"/>
      <c r="RC165" s="106"/>
      <c r="RD165" s="106"/>
      <c r="RE165" s="106"/>
      <c r="RF165" s="106"/>
      <c r="RG165" s="106"/>
      <c r="RH165" s="106"/>
      <c r="RI165" s="106"/>
      <c r="RJ165" s="106"/>
      <c r="RK165" s="106"/>
      <c r="RL165" s="106"/>
    </row>
    <row r="166" spans="88:480" x14ac:dyDescent="0.3">
      <c r="CJ166" s="103"/>
      <c r="FP166" s="103"/>
      <c r="LL166" s="103"/>
      <c r="NM166" s="103"/>
      <c r="QT166" s="106"/>
      <c r="QU166" s="106"/>
      <c r="QV166" s="106"/>
      <c r="QW166" s="106"/>
      <c r="QX166" s="106"/>
      <c r="QY166" s="106"/>
      <c r="QZ166" s="106"/>
      <c r="RA166" s="106"/>
      <c r="RB166" s="106"/>
      <c r="RC166" s="106"/>
      <c r="RD166" s="106"/>
      <c r="RE166" s="106"/>
      <c r="RF166" s="106"/>
      <c r="RG166" s="106"/>
      <c r="RH166" s="106"/>
      <c r="RI166" s="106"/>
      <c r="RJ166" s="106"/>
      <c r="RK166" s="106"/>
      <c r="RL166" s="106"/>
    </row>
    <row r="167" spans="88:480" x14ac:dyDescent="0.3">
      <c r="CJ167" s="103"/>
      <c r="FP167" s="103"/>
      <c r="LL167" s="103"/>
      <c r="NM167" s="103"/>
      <c r="QT167" s="106"/>
      <c r="QU167" s="106"/>
      <c r="QV167" s="106"/>
      <c r="QW167" s="106"/>
      <c r="QX167" s="106"/>
      <c r="QY167" s="106"/>
      <c r="QZ167" s="106"/>
      <c r="RA167" s="106"/>
      <c r="RB167" s="106"/>
      <c r="RC167" s="106"/>
      <c r="RD167" s="106"/>
      <c r="RE167" s="106"/>
      <c r="RF167" s="106"/>
      <c r="RG167" s="106"/>
      <c r="RH167" s="106"/>
      <c r="RI167" s="106"/>
      <c r="RJ167" s="106"/>
      <c r="RK167" s="106"/>
      <c r="RL167" s="106"/>
    </row>
    <row r="168" spans="88:480" x14ac:dyDescent="0.3">
      <c r="CJ168" s="103"/>
      <c r="FP168" s="103"/>
      <c r="LL168" s="103"/>
      <c r="NM168" s="103"/>
      <c r="QT168" s="106"/>
      <c r="QU168" s="106"/>
      <c r="QV168" s="106"/>
      <c r="QW168" s="106"/>
      <c r="QX168" s="106"/>
      <c r="QY168" s="106"/>
      <c r="QZ168" s="106"/>
      <c r="RA168" s="106"/>
      <c r="RB168" s="106"/>
      <c r="RC168" s="106"/>
      <c r="RD168" s="106"/>
      <c r="RE168" s="106"/>
      <c r="RF168" s="106"/>
      <c r="RG168" s="106"/>
      <c r="RH168" s="106"/>
      <c r="RI168" s="106"/>
      <c r="RJ168" s="106"/>
      <c r="RK168" s="106"/>
      <c r="RL168" s="106"/>
    </row>
    <row r="169" spans="88:480" x14ac:dyDescent="0.3">
      <c r="CJ169" s="103"/>
      <c r="FP169" s="103"/>
      <c r="LL169" s="103"/>
      <c r="NM169" s="103"/>
      <c r="QT169" s="106"/>
      <c r="QU169" s="106"/>
      <c r="QV169" s="106"/>
      <c r="QW169" s="106"/>
      <c r="QX169" s="106"/>
      <c r="QY169" s="106"/>
      <c r="QZ169" s="106"/>
      <c r="RA169" s="106"/>
      <c r="RB169" s="106"/>
      <c r="RC169" s="106"/>
      <c r="RD169" s="106"/>
      <c r="RE169" s="106"/>
      <c r="RF169" s="106"/>
      <c r="RG169" s="106"/>
      <c r="RH169" s="106"/>
      <c r="RI169" s="106"/>
      <c r="RJ169" s="106"/>
      <c r="RK169" s="106"/>
      <c r="RL169" s="106"/>
    </row>
    <row r="170" spans="88:480" x14ac:dyDescent="0.3">
      <c r="CJ170" s="103"/>
      <c r="FP170" s="103"/>
      <c r="LL170" s="103"/>
      <c r="NM170" s="103"/>
      <c r="QT170" s="106"/>
      <c r="QU170" s="106"/>
      <c r="QV170" s="106"/>
      <c r="QW170" s="106"/>
      <c r="QX170" s="106"/>
      <c r="QY170" s="106"/>
      <c r="QZ170" s="106"/>
      <c r="RA170" s="106"/>
      <c r="RB170" s="106"/>
      <c r="RC170" s="106"/>
      <c r="RD170" s="106"/>
      <c r="RE170" s="106"/>
      <c r="RF170" s="106"/>
      <c r="RG170" s="106"/>
      <c r="RH170" s="106"/>
      <c r="RI170" s="106"/>
      <c r="RJ170" s="106"/>
      <c r="RK170" s="106"/>
      <c r="RL170" s="106"/>
    </row>
    <row r="171" spans="88:480" x14ac:dyDescent="0.3">
      <c r="CJ171" s="103"/>
      <c r="FP171" s="103"/>
      <c r="LL171" s="103"/>
      <c r="NM171" s="103"/>
      <c r="QT171" s="106"/>
      <c r="QU171" s="106"/>
      <c r="QV171" s="106"/>
      <c r="QW171" s="106"/>
      <c r="QX171" s="106"/>
      <c r="QY171" s="106"/>
      <c r="QZ171" s="106"/>
      <c r="RA171" s="106"/>
      <c r="RB171" s="106"/>
      <c r="RC171" s="106"/>
      <c r="RD171" s="106"/>
      <c r="RE171" s="106"/>
      <c r="RF171" s="106"/>
      <c r="RG171" s="106"/>
      <c r="RH171" s="106"/>
      <c r="RI171" s="106"/>
      <c r="RJ171" s="106"/>
      <c r="RK171" s="106"/>
      <c r="RL171" s="106"/>
    </row>
    <row r="172" spans="88:480" x14ac:dyDescent="0.3">
      <c r="CJ172" s="103"/>
      <c r="FP172" s="103"/>
      <c r="LL172" s="103"/>
      <c r="NM172" s="103"/>
      <c r="QT172" s="106"/>
      <c r="QU172" s="106"/>
      <c r="QV172" s="106"/>
      <c r="QW172" s="106"/>
      <c r="QX172" s="106"/>
      <c r="QY172" s="106"/>
      <c r="QZ172" s="106"/>
      <c r="RA172" s="106"/>
      <c r="RB172" s="106"/>
      <c r="RC172" s="106"/>
      <c r="RD172" s="106"/>
      <c r="RE172" s="106"/>
      <c r="RF172" s="106"/>
      <c r="RG172" s="106"/>
      <c r="RH172" s="106"/>
      <c r="RI172" s="106"/>
      <c r="RJ172" s="106"/>
      <c r="RK172" s="106"/>
      <c r="RL172" s="106"/>
    </row>
    <row r="173" spans="88:480" x14ac:dyDescent="0.3">
      <c r="CJ173" s="103"/>
      <c r="FP173" s="103"/>
      <c r="LL173" s="103"/>
      <c r="NM173" s="103"/>
      <c r="QT173" s="106"/>
      <c r="QU173" s="106"/>
      <c r="QV173" s="106"/>
      <c r="QW173" s="106"/>
      <c r="QX173" s="106"/>
      <c r="QY173" s="106"/>
      <c r="QZ173" s="106"/>
      <c r="RA173" s="106"/>
      <c r="RB173" s="106"/>
      <c r="RC173" s="106"/>
      <c r="RD173" s="106"/>
      <c r="RE173" s="106"/>
      <c r="RF173" s="106"/>
      <c r="RG173" s="106"/>
      <c r="RH173" s="106"/>
      <c r="RI173" s="106"/>
      <c r="RJ173" s="106"/>
      <c r="RK173" s="106"/>
      <c r="RL173" s="106"/>
    </row>
    <row r="174" spans="88:480" x14ac:dyDescent="0.3">
      <c r="CJ174" s="103"/>
      <c r="FP174" s="103"/>
      <c r="LL174" s="103"/>
      <c r="NM174" s="103"/>
      <c r="QT174" s="106"/>
      <c r="QU174" s="106"/>
      <c r="QV174" s="106"/>
      <c r="QW174" s="106"/>
      <c r="QX174" s="106"/>
      <c r="QY174" s="106"/>
      <c r="QZ174" s="106"/>
      <c r="RA174" s="106"/>
      <c r="RB174" s="106"/>
      <c r="RC174" s="106"/>
      <c r="RD174" s="106"/>
      <c r="RE174" s="106"/>
      <c r="RF174" s="106"/>
      <c r="RG174" s="106"/>
      <c r="RH174" s="106"/>
      <c r="RI174" s="106"/>
      <c r="RJ174" s="106"/>
      <c r="RK174" s="106"/>
      <c r="RL174" s="106"/>
    </row>
    <row r="175" spans="88:480" x14ac:dyDescent="0.3">
      <c r="CJ175" s="103"/>
      <c r="FP175" s="103"/>
      <c r="LL175" s="103"/>
      <c r="NM175" s="103"/>
      <c r="QT175" s="106"/>
      <c r="QU175" s="106"/>
      <c r="QV175" s="106"/>
      <c r="QW175" s="106"/>
      <c r="QX175" s="106"/>
      <c r="QY175" s="106"/>
      <c r="QZ175" s="106"/>
      <c r="RA175" s="106"/>
      <c r="RB175" s="106"/>
      <c r="RC175" s="106"/>
      <c r="RD175" s="106"/>
      <c r="RE175" s="106"/>
      <c r="RF175" s="106"/>
      <c r="RG175" s="106"/>
      <c r="RH175" s="106"/>
      <c r="RI175" s="106"/>
      <c r="RJ175" s="106"/>
      <c r="RK175" s="106"/>
      <c r="RL175" s="106"/>
    </row>
    <row r="176" spans="88:480" x14ac:dyDescent="0.3">
      <c r="CJ176" s="103"/>
      <c r="FP176" s="103"/>
      <c r="LL176" s="103"/>
      <c r="NM176" s="103"/>
      <c r="QT176" s="106"/>
      <c r="QU176" s="106"/>
      <c r="QV176" s="106"/>
      <c r="QW176" s="106"/>
      <c r="QX176" s="106"/>
      <c r="QY176" s="106"/>
      <c r="QZ176" s="106"/>
      <c r="RA176" s="106"/>
      <c r="RB176" s="106"/>
      <c r="RC176" s="106"/>
      <c r="RD176" s="106"/>
      <c r="RE176" s="106"/>
      <c r="RF176" s="106"/>
      <c r="RG176" s="106"/>
      <c r="RH176" s="106"/>
      <c r="RI176" s="106"/>
      <c r="RJ176" s="106"/>
      <c r="RK176" s="106"/>
      <c r="RL176" s="106"/>
    </row>
    <row r="177" spans="88:480" x14ac:dyDescent="0.3">
      <c r="CJ177" s="103"/>
      <c r="FP177" s="103"/>
      <c r="LL177" s="103"/>
      <c r="NM177" s="103"/>
      <c r="QT177" s="106"/>
      <c r="QU177" s="106"/>
      <c r="QV177" s="106"/>
      <c r="QW177" s="106"/>
      <c r="QX177" s="106"/>
      <c r="QY177" s="106"/>
      <c r="QZ177" s="106"/>
      <c r="RA177" s="106"/>
      <c r="RB177" s="106"/>
      <c r="RC177" s="106"/>
      <c r="RD177" s="106"/>
      <c r="RE177" s="106"/>
      <c r="RF177" s="106"/>
      <c r="RG177" s="106"/>
      <c r="RH177" s="106"/>
      <c r="RI177" s="106"/>
      <c r="RJ177" s="106"/>
      <c r="RK177" s="106"/>
      <c r="RL177" s="106"/>
    </row>
    <row r="178" spans="88:480" x14ac:dyDescent="0.3">
      <c r="CJ178" s="103"/>
      <c r="FP178" s="103"/>
      <c r="LL178" s="103"/>
      <c r="NM178" s="103"/>
      <c r="QT178" s="106"/>
      <c r="QU178" s="106"/>
      <c r="QV178" s="106"/>
      <c r="QW178" s="106"/>
      <c r="QX178" s="106"/>
      <c r="QY178" s="106"/>
      <c r="QZ178" s="106"/>
      <c r="RA178" s="106"/>
      <c r="RB178" s="106"/>
      <c r="RC178" s="106"/>
      <c r="RD178" s="106"/>
      <c r="RE178" s="106"/>
      <c r="RF178" s="106"/>
      <c r="RG178" s="106"/>
      <c r="RH178" s="106"/>
      <c r="RI178" s="106"/>
      <c r="RJ178" s="106"/>
      <c r="RK178" s="106"/>
      <c r="RL178" s="106"/>
    </row>
    <row r="179" spans="88:480" x14ac:dyDescent="0.3">
      <c r="CJ179" s="103"/>
      <c r="FP179" s="103"/>
      <c r="LL179" s="103"/>
      <c r="NM179" s="103"/>
      <c r="QT179" s="106"/>
      <c r="QU179" s="106"/>
      <c r="QV179" s="106"/>
      <c r="QW179" s="106"/>
      <c r="QX179" s="106"/>
      <c r="QY179" s="106"/>
      <c r="QZ179" s="106"/>
      <c r="RA179" s="106"/>
      <c r="RB179" s="106"/>
      <c r="RC179" s="106"/>
      <c r="RD179" s="106"/>
      <c r="RE179" s="106"/>
      <c r="RF179" s="106"/>
      <c r="RG179" s="106"/>
      <c r="RH179" s="106"/>
      <c r="RI179" s="106"/>
      <c r="RJ179" s="106"/>
      <c r="RK179" s="106"/>
      <c r="RL179" s="106"/>
    </row>
    <row r="180" spans="88:480" x14ac:dyDescent="0.3">
      <c r="CJ180" s="103"/>
      <c r="FP180" s="103"/>
      <c r="LL180" s="103"/>
      <c r="NM180" s="103"/>
      <c r="QT180" s="106"/>
      <c r="QU180" s="106"/>
      <c r="QV180" s="106"/>
      <c r="QW180" s="106"/>
      <c r="QX180" s="106"/>
      <c r="QY180" s="106"/>
      <c r="QZ180" s="106"/>
      <c r="RA180" s="106"/>
      <c r="RB180" s="106"/>
      <c r="RC180" s="106"/>
      <c r="RD180" s="106"/>
      <c r="RE180" s="106"/>
      <c r="RF180" s="106"/>
      <c r="RG180" s="106"/>
      <c r="RH180" s="106"/>
      <c r="RI180" s="106"/>
      <c r="RJ180" s="106"/>
      <c r="RK180" s="106"/>
      <c r="RL180" s="106"/>
    </row>
    <row r="181" spans="88:480" x14ac:dyDescent="0.3">
      <c r="CJ181" s="103"/>
      <c r="FP181" s="103"/>
      <c r="LL181" s="103"/>
      <c r="NM181" s="103"/>
      <c r="QT181" s="106"/>
      <c r="QU181" s="106"/>
      <c r="QV181" s="106"/>
      <c r="QW181" s="106"/>
      <c r="QX181" s="106"/>
      <c r="QY181" s="106"/>
      <c r="QZ181" s="106"/>
      <c r="RA181" s="106"/>
      <c r="RB181" s="106"/>
      <c r="RC181" s="106"/>
      <c r="RD181" s="106"/>
      <c r="RE181" s="106"/>
      <c r="RF181" s="106"/>
      <c r="RG181" s="106"/>
      <c r="RH181" s="106"/>
      <c r="RI181" s="106"/>
      <c r="RJ181" s="106"/>
      <c r="RK181" s="106"/>
      <c r="RL181" s="106"/>
    </row>
    <row r="182" spans="88:480" x14ac:dyDescent="0.3">
      <c r="CJ182" s="103"/>
      <c r="FP182" s="103"/>
      <c r="LL182" s="103"/>
      <c r="NM182" s="103"/>
      <c r="QT182" s="106"/>
      <c r="QU182" s="106"/>
      <c r="QV182" s="106"/>
      <c r="QW182" s="106"/>
      <c r="QX182" s="106"/>
      <c r="QY182" s="106"/>
      <c r="QZ182" s="106"/>
      <c r="RA182" s="106"/>
      <c r="RB182" s="106"/>
      <c r="RC182" s="106"/>
      <c r="RD182" s="106"/>
      <c r="RE182" s="106"/>
      <c r="RF182" s="106"/>
      <c r="RG182" s="106"/>
      <c r="RH182" s="106"/>
      <c r="RI182" s="106"/>
      <c r="RJ182" s="106"/>
      <c r="RK182" s="106"/>
      <c r="RL182" s="106"/>
    </row>
    <row r="183" spans="88:480" x14ac:dyDescent="0.3">
      <c r="CJ183" s="103"/>
      <c r="FP183" s="103"/>
      <c r="LL183" s="103"/>
      <c r="NM183" s="103"/>
      <c r="QT183" s="106"/>
      <c r="QU183" s="106"/>
      <c r="QV183" s="106"/>
      <c r="QW183" s="106"/>
      <c r="QX183" s="106"/>
      <c r="QY183" s="106"/>
      <c r="QZ183" s="106"/>
      <c r="RA183" s="106"/>
      <c r="RB183" s="106"/>
      <c r="RC183" s="106"/>
      <c r="RD183" s="106"/>
      <c r="RE183" s="106"/>
      <c r="RF183" s="106"/>
      <c r="RG183" s="106"/>
      <c r="RH183" s="106"/>
      <c r="RI183" s="106"/>
      <c r="RJ183" s="106"/>
      <c r="RK183" s="106"/>
      <c r="RL183" s="106"/>
    </row>
    <row r="184" spans="88:480" x14ac:dyDescent="0.3">
      <c r="CJ184" s="103"/>
      <c r="FP184" s="103"/>
      <c r="LL184" s="103"/>
      <c r="NM184" s="103"/>
      <c r="QT184" s="106"/>
      <c r="QU184" s="106"/>
      <c r="QV184" s="106"/>
      <c r="QW184" s="106"/>
      <c r="QX184" s="106"/>
      <c r="QY184" s="106"/>
      <c r="QZ184" s="106"/>
      <c r="RA184" s="106"/>
      <c r="RB184" s="106"/>
      <c r="RC184" s="106"/>
      <c r="RD184" s="106"/>
      <c r="RE184" s="106"/>
      <c r="RF184" s="106"/>
      <c r="RG184" s="106"/>
      <c r="RH184" s="106"/>
      <c r="RI184" s="106"/>
      <c r="RJ184" s="106"/>
      <c r="RK184" s="106"/>
      <c r="RL184" s="106"/>
    </row>
    <row r="185" spans="88:480" x14ac:dyDescent="0.3">
      <c r="CJ185" s="103"/>
      <c r="FP185" s="103"/>
      <c r="LL185" s="103"/>
      <c r="NM185" s="103"/>
      <c r="QT185" s="106"/>
      <c r="QU185" s="106"/>
      <c r="QV185" s="106"/>
      <c r="QW185" s="106"/>
      <c r="QX185" s="106"/>
      <c r="QY185" s="106"/>
      <c r="QZ185" s="106"/>
      <c r="RA185" s="106"/>
      <c r="RB185" s="106"/>
      <c r="RC185" s="106"/>
      <c r="RD185" s="106"/>
      <c r="RE185" s="106"/>
      <c r="RF185" s="106"/>
      <c r="RG185" s="106"/>
      <c r="RH185" s="106"/>
      <c r="RI185" s="106"/>
      <c r="RJ185" s="106"/>
      <c r="RK185" s="106"/>
      <c r="RL185" s="106"/>
    </row>
    <row r="186" spans="88:480" x14ac:dyDescent="0.3">
      <c r="CJ186" s="103"/>
      <c r="FP186" s="103"/>
      <c r="LL186" s="103"/>
      <c r="NM186" s="103"/>
      <c r="QT186" s="106"/>
      <c r="QU186" s="106"/>
      <c r="QV186" s="106"/>
      <c r="QW186" s="106"/>
      <c r="QX186" s="106"/>
      <c r="QY186" s="106"/>
      <c r="QZ186" s="106"/>
      <c r="RA186" s="106"/>
      <c r="RB186" s="106"/>
      <c r="RC186" s="106"/>
      <c r="RD186" s="106"/>
      <c r="RE186" s="106"/>
      <c r="RF186" s="106"/>
      <c r="RG186" s="106"/>
      <c r="RH186" s="106"/>
      <c r="RI186" s="106"/>
      <c r="RJ186" s="106"/>
      <c r="RK186" s="106"/>
      <c r="RL186" s="106"/>
    </row>
    <row r="187" spans="88:480" x14ac:dyDescent="0.3">
      <c r="CJ187" s="103"/>
      <c r="FP187" s="103"/>
      <c r="LL187" s="103"/>
      <c r="NM187" s="103"/>
      <c r="QT187" s="106"/>
      <c r="QU187" s="106"/>
      <c r="QV187" s="106"/>
      <c r="QW187" s="106"/>
      <c r="QX187" s="106"/>
      <c r="QY187" s="106"/>
      <c r="QZ187" s="106"/>
      <c r="RA187" s="106"/>
      <c r="RB187" s="106"/>
      <c r="RC187" s="106"/>
      <c r="RD187" s="106"/>
      <c r="RE187" s="106"/>
      <c r="RF187" s="106"/>
      <c r="RG187" s="106"/>
      <c r="RH187" s="106"/>
      <c r="RI187" s="106"/>
      <c r="RJ187" s="106"/>
      <c r="RK187" s="106"/>
      <c r="RL187" s="106"/>
    </row>
    <row r="188" spans="88:480" x14ac:dyDescent="0.3">
      <c r="CJ188" s="103"/>
      <c r="FP188" s="103"/>
      <c r="LL188" s="103"/>
      <c r="NM188" s="103"/>
      <c r="QT188" s="106"/>
      <c r="QU188" s="106"/>
      <c r="QV188" s="106"/>
      <c r="QW188" s="106"/>
      <c r="QX188" s="106"/>
      <c r="QY188" s="106"/>
      <c r="QZ188" s="106"/>
      <c r="RA188" s="106"/>
      <c r="RB188" s="106"/>
      <c r="RC188" s="106"/>
      <c r="RD188" s="106"/>
      <c r="RE188" s="106"/>
      <c r="RF188" s="106"/>
      <c r="RG188" s="106"/>
      <c r="RH188" s="106"/>
      <c r="RI188" s="106"/>
      <c r="RJ188" s="106"/>
      <c r="RK188" s="106"/>
      <c r="RL188" s="106"/>
    </row>
    <row r="189" spans="88:480" x14ac:dyDescent="0.3">
      <c r="CJ189" s="103"/>
      <c r="FP189" s="103"/>
      <c r="LL189" s="103"/>
      <c r="NM189" s="103"/>
      <c r="QT189" s="106"/>
      <c r="QU189" s="106"/>
      <c r="QV189" s="106"/>
      <c r="QW189" s="106"/>
      <c r="QX189" s="106"/>
      <c r="QY189" s="106"/>
      <c r="QZ189" s="106"/>
      <c r="RA189" s="106"/>
      <c r="RB189" s="106"/>
      <c r="RC189" s="106"/>
      <c r="RD189" s="106"/>
      <c r="RE189" s="106"/>
      <c r="RF189" s="106"/>
      <c r="RG189" s="106"/>
      <c r="RH189" s="106"/>
      <c r="RI189" s="106"/>
      <c r="RJ189" s="106"/>
      <c r="RK189" s="106"/>
      <c r="RL189" s="106"/>
    </row>
    <row r="190" spans="88:480" x14ac:dyDescent="0.3">
      <c r="CJ190" s="103"/>
      <c r="FP190" s="103"/>
      <c r="LL190" s="103"/>
      <c r="NM190" s="103"/>
      <c r="QT190" s="106"/>
      <c r="QU190" s="106"/>
      <c r="QV190" s="106"/>
      <c r="QW190" s="106"/>
      <c r="QX190" s="106"/>
      <c r="QY190" s="106"/>
      <c r="QZ190" s="106"/>
      <c r="RA190" s="106"/>
      <c r="RB190" s="106"/>
      <c r="RC190" s="106"/>
      <c r="RD190" s="106"/>
      <c r="RE190" s="106"/>
      <c r="RF190" s="106"/>
      <c r="RG190" s="106"/>
      <c r="RH190" s="106"/>
      <c r="RI190" s="106"/>
      <c r="RJ190" s="106"/>
      <c r="RK190" s="106"/>
      <c r="RL190" s="106"/>
    </row>
    <row r="191" spans="88:480" x14ac:dyDescent="0.3">
      <c r="CJ191" s="103"/>
      <c r="FP191" s="103"/>
      <c r="LL191" s="103"/>
      <c r="NM191" s="103"/>
      <c r="QT191" s="106"/>
      <c r="QU191" s="106"/>
      <c r="QV191" s="106"/>
      <c r="QW191" s="106"/>
      <c r="QX191" s="106"/>
      <c r="QY191" s="106"/>
      <c r="QZ191" s="106"/>
      <c r="RA191" s="106"/>
      <c r="RB191" s="106"/>
      <c r="RC191" s="106"/>
      <c r="RD191" s="106"/>
      <c r="RE191" s="106"/>
      <c r="RF191" s="106"/>
      <c r="RG191" s="106"/>
      <c r="RH191" s="106"/>
      <c r="RI191" s="106"/>
      <c r="RJ191" s="106"/>
      <c r="RK191" s="106"/>
      <c r="RL191" s="106"/>
    </row>
    <row r="192" spans="88:480" x14ac:dyDescent="0.3">
      <c r="CJ192" s="103"/>
      <c r="FP192" s="103"/>
      <c r="LL192" s="103"/>
      <c r="NM192" s="103"/>
      <c r="QT192" s="106"/>
      <c r="QU192" s="106"/>
      <c r="QV192" s="106"/>
      <c r="QW192" s="106"/>
      <c r="QX192" s="106"/>
      <c r="QY192" s="106"/>
      <c r="QZ192" s="106"/>
      <c r="RA192" s="106"/>
      <c r="RB192" s="106"/>
      <c r="RC192" s="106"/>
      <c r="RD192" s="106"/>
      <c r="RE192" s="106"/>
      <c r="RF192" s="106"/>
      <c r="RG192" s="106"/>
      <c r="RH192" s="106"/>
      <c r="RI192" s="106"/>
      <c r="RJ192" s="106"/>
      <c r="RK192" s="106"/>
      <c r="RL192" s="106"/>
    </row>
    <row r="193" spans="88:480" x14ac:dyDescent="0.3">
      <c r="CJ193" s="103"/>
      <c r="FP193" s="103"/>
      <c r="LL193" s="103"/>
      <c r="NM193" s="103"/>
      <c r="QT193" s="106"/>
      <c r="QU193" s="106"/>
      <c r="QV193" s="106"/>
      <c r="QW193" s="106"/>
      <c r="QX193" s="106"/>
      <c r="QY193" s="106"/>
      <c r="QZ193" s="106"/>
      <c r="RA193" s="106"/>
      <c r="RB193" s="106"/>
      <c r="RC193" s="106"/>
      <c r="RD193" s="106"/>
      <c r="RE193" s="106"/>
      <c r="RF193" s="106"/>
      <c r="RG193" s="106"/>
      <c r="RH193" s="106"/>
      <c r="RI193" s="106"/>
      <c r="RJ193" s="106"/>
      <c r="RK193" s="106"/>
      <c r="RL193" s="106"/>
    </row>
    <row r="194" spans="88:480" x14ac:dyDescent="0.3">
      <c r="CJ194" s="103"/>
      <c r="FP194" s="103"/>
      <c r="LL194" s="103"/>
      <c r="NM194" s="103"/>
      <c r="QT194" s="106"/>
      <c r="QU194" s="106"/>
      <c r="QV194" s="106"/>
      <c r="QW194" s="106"/>
      <c r="QX194" s="106"/>
      <c r="QY194" s="106"/>
      <c r="QZ194" s="106"/>
      <c r="RA194" s="106"/>
      <c r="RB194" s="106"/>
      <c r="RC194" s="106"/>
      <c r="RD194" s="106"/>
      <c r="RE194" s="106"/>
      <c r="RF194" s="106"/>
      <c r="RG194" s="106"/>
      <c r="RH194" s="106"/>
      <c r="RI194" s="106"/>
      <c r="RJ194" s="106"/>
      <c r="RK194" s="106"/>
      <c r="RL194" s="106"/>
    </row>
    <row r="195" spans="88:480" x14ac:dyDescent="0.3">
      <c r="CJ195" s="103"/>
      <c r="FP195" s="103"/>
      <c r="LL195" s="103"/>
      <c r="NM195" s="103"/>
      <c r="QT195" s="106"/>
      <c r="QU195" s="106"/>
      <c r="QV195" s="106"/>
      <c r="QW195" s="106"/>
      <c r="QX195" s="106"/>
      <c r="QY195" s="106"/>
      <c r="QZ195" s="106"/>
      <c r="RA195" s="106"/>
      <c r="RB195" s="106"/>
      <c r="RC195" s="106"/>
      <c r="RD195" s="106"/>
      <c r="RE195" s="106"/>
      <c r="RF195" s="106"/>
      <c r="RG195" s="106"/>
      <c r="RH195" s="106"/>
      <c r="RI195" s="106"/>
      <c r="RJ195" s="106"/>
      <c r="RK195" s="106"/>
      <c r="RL195" s="106"/>
    </row>
    <row r="196" spans="88:480" x14ac:dyDescent="0.3">
      <c r="CJ196" s="103"/>
      <c r="FP196" s="103"/>
      <c r="LL196" s="103"/>
      <c r="NM196" s="103"/>
      <c r="QT196" s="106"/>
      <c r="QU196" s="106"/>
      <c r="QV196" s="106"/>
      <c r="QW196" s="106"/>
      <c r="QX196" s="106"/>
      <c r="QY196" s="106"/>
      <c r="QZ196" s="106"/>
      <c r="RA196" s="106"/>
      <c r="RB196" s="106"/>
      <c r="RC196" s="106"/>
      <c r="RD196" s="106"/>
      <c r="RE196" s="106"/>
      <c r="RF196" s="106"/>
      <c r="RG196" s="106"/>
      <c r="RH196" s="106"/>
      <c r="RI196" s="106"/>
      <c r="RJ196" s="106"/>
      <c r="RK196" s="106"/>
      <c r="RL196" s="106"/>
    </row>
    <row r="197" spans="88:480" x14ac:dyDescent="0.3">
      <c r="CJ197" s="103"/>
      <c r="FP197" s="103"/>
      <c r="LL197" s="103"/>
      <c r="NM197" s="103"/>
      <c r="QT197" s="106"/>
      <c r="QU197" s="106"/>
      <c r="QV197" s="106"/>
      <c r="QW197" s="106"/>
      <c r="QX197" s="106"/>
      <c r="QY197" s="106"/>
      <c r="QZ197" s="106"/>
      <c r="RA197" s="106"/>
      <c r="RB197" s="106"/>
      <c r="RC197" s="106"/>
      <c r="RD197" s="106"/>
      <c r="RE197" s="106"/>
      <c r="RF197" s="106"/>
      <c r="RG197" s="106"/>
      <c r="RH197" s="106"/>
      <c r="RI197" s="106"/>
      <c r="RJ197" s="106"/>
      <c r="RK197" s="106"/>
      <c r="RL197" s="106"/>
    </row>
    <row r="198" spans="88:480" x14ac:dyDescent="0.3">
      <c r="CJ198" s="103"/>
      <c r="FP198" s="103"/>
      <c r="LL198" s="103"/>
      <c r="NM198" s="103"/>
      <c r="QT198" s="106"/>
      <c r="QU198" s="106"/>
      <c r="QV198" s="106"/>
      <c r="QW198" s="106"/>
      <c r="QX198" s="106"/>
      <c r="QY198" s="106"/>
      <c r="QZ198" s="106"/>
      <c r="RA198" s="106"/>
      <c r="RB198" s="106"/>
      <c r="RC198" s="106"/>
      <c r="RD198" s="106"/>
      <c r="RE198" s="106"/>
      <c r="RF198" s="106"/>
      <c r="RG198" s="106"/>
      <c r="RH198" s="106"/>
      <c r="RI198" s="106"/>
      <c r="RJ198" s="106"/>
      <c r="RK198" s="106"/>
      <c r="RL198" s="106"/>
    </row>
    <row r="199" spans="88:480" x14ac:dyDescent="0.3">
      <c r="CJ199" s="103"/>
      <c r="FP199" s="103"/>
      <c r="LL199" s="103"/>
      <c r="NM199" s="103"/>
      <c r="QT199" s="106"/>
      <c r="QU199" s="106"/>
      <c r="QV199" s="106"/>
      <c r="QW199" s="106"/>
      <c r="QX199" s="106"/>
      <c r="QY199" s="106"/>
      <c r="QZ199" s="106"/>
      <c r="RA199" s="106"/>
      <c r="RB199" s="106"/>
      <c r="RC199" s="106"/>
      <c r="RD199" s="106"/>
      <c r="RE199" s="106"/>
      <c r="RF199" s="106"/>
      <c r="RG199" s="106"/>
      <c r="RH199" s="106"/>
      <c r="RI199" s="106"/>
      <c r="RJ199" s="106"/>
      <c r="RK199" s="106"/>
      <c r="RL199" s="106"/>
    </row>
    <row r="200" spans="88:480" x14ac:dyDescent="0.3">
      <c r="CJ200" s="103"/>
      <c r="FP200" s="103"/>
      <c r="LL200" s="103"/>
      <c r="NM200" s="103"/>
      <c r="QT200" s="106"/>
      <c r="QU200" s="106"/>
      <c r="QV200" s="106"/>
      <c r="QW200" s="106"/>
      <c r="QX200" s="106"/>
      <c r="QY200" s="106"/>
      <c r="QZ200" s="106"/>
      <c r="RA200" s="106"/>
      <c r="RB200" s="106"/>
      <c r="RC200" s="106"/>
      <c r="RD200" s="106"/>
      <c r="RE200" s="106"/>
      <c r="RF200" s="106"/>
      <c r="RG200" s="106"/>
      <c r="RH200" s="106"/>
      <c r="RI200" s="106"/>
      <c r="RJ200" s="106"/>
      <c r="RK200" s="106"/>
      <c r="RL200" s="106"/>
    </row>
    <row r="201" spans="88:480" x14ac:dyDescent="0.3">
      <c r="CJ201" s="103"/>
      <c r="FP201" s="103"/>
      <c r="LL201" s="103"/>
      <c r="NM201" s="103"/>
      <c r="QT201" s="106"/>
      <c r="QU201" s="106"/>
      <c r="QV201" s="106"/>
      <c r="QW201" s="106"/>
      <c r="QX201" s="106"/>
      <c r="QY201" s="106"/>
      <c r="QZ201" s="106"/>
      <c r="RA201" s="106"/>
      <c r="RB201" s="106"/>
      <c r="RC201" s="106"/>
      <c r="RD201" s="106"/>
      <c r="RE201" s="106"/>
      <c r="RF201" s="106"/>
      <c r="RG201" s="106"/>
      <c r="RH201" s="106"/>
      <c r="RI201" s="106"/>
      <c r="RJ201" s="106"/>
      <c r="RK201" s="106"/>
      <c r="RL201" s="106"/>
    </row>
    <row r="202" spans="88:480" x14ac:dyDescent="0.3">
      <c r="CJ202" s="103"/>
      <c r="FP202" s="103"/>
      <c r="LL202" s="103"/>
      <c r="NM202" s="103"/>
      <c r="QT202" s="106"/>
      <c r="QU202" s="106"/>
      <c r="QV202" s="106"/>
      <c r="QW202" s="106"/>
      <c r="QX202" s="106"/>
      <c r="QY202" s="106"/>
      <c r="QZ202" s="106"/>
      <c r="RA202" s="106"/>
      <c r="RB202" s="106"/>
      <c r="RC202" s="106"/>
      <c r="RD202" s="106"/>
      <c r="RE202" s="106"/>
      <c r="RF202" s="106"/>
      <c r="RG202" s="106"/>
      <c r="RH202" s="106"/>
      <c r="RI202" s="106"/>
      <c r="RJ202" s="106"/>
      <c r="RK202" s="106"/>
      <c r="RL202" s="106"/>
    </row>
    <row r="203" spans="88:480" x14ac:dyDescent="0.3">
      <c r="CJ203" s="103"/>
      <c r="FP203" s="103"/>
      <c r="LL203" s="103"/>
      <c r="NM203" s="103"/>
      <c r="QT203" s="106"/>
      <c r="QU203" s="106"/>
      <c r="QV203" s="106"/>
      <c r="QW203" s="106"/>
      <c r="QX203" s="106"/>
      <c r="QY203" s="106"/>
      <c r="QZ203" s="106"/>
      <c r="RA203" s="106"/>
      <c r="RB203" s="106"/>
      <c r="RC203" s="106"/>
      <c r="RD203" s="106"/>
      <c r="RE203" s="106"/>
      <c r="RF203" s="106"/>
      <c r="RG203" s="106"/>
      <c r="RH203" s="106"/>
      <c r="RI203" s="106"/>
      <c r="RJ203" s="106"/>
      <c r="RK203" s="106"/>
      <c r="RL203" s="106"/>
    </row>
    <row r="204" spans="88:480" x14ac:dyDescent="0.3">
      <c r="CJ204" s="103"/>
      <c r="FP204" s="103"/>
      <c r="LL204" s="103"/>
      <c r="NM204" s="103"/>
      <c r="QT204" s="106"/>
      <c r="QU204" s="106"/>
      <c r="QV204" s="106"/>
      <c r="QW204" s="106"/>
      <c r="QX204" s="106"/>
      <c r="QY204" s="106"/>
      <c r="QZ204" s="106"/>
      <c r="RA204" s="106"/>
      <c r="RB204" s="106"/>
      <c r="RC204" s="106"/>
      <c r="RD204" s="106"/>
      <c r="RE204" s="106"/>
      <c r="RF204" s="106"/>
      <c r="RG204" s="106"/>
      <c r="RH204" s="106"/>
      <c r="RI204" s="106"/>
      <c r="RJ204" s="106"/>
      <c r="RK204" s="106"/>
      <c r="RL204" s="106"/>
    </row>
    <row r="205" spans="88:480" x14ac:dyDescent="0.3">
      <c r="CJ205" s="103"/>
      <c r="FP205" s="103"/>
      <c r="LL205" s="103"/>
      <c r="NM205" s="103"/>
      <c r="QT205" s="106"/>
      <c r="QU205" s="106"/>
      <c r="QV205" s="106"/>
      <c r="QW205" s="106"/>
      <c r="QX205" s="106"/>
      <c r="QY205" s="106"/>
      <c r="QZ205" s="106"/>
      <c r="RA205" s="106"/>
      <c r="RB205" s="106"/>
      <c r="RC205" s="106"/>
      <c r="RD205" s="106"/>
      <c r="RE205" s="106"/>
      <c r="RF205" s="106"/>
      <c r="RG205" s="106"/>
      <c r="RH205" s="106"/>
      <c r="RI205" s="106"/>
      <c r="RJ205" s="106"/>
      <c r="RK205" s="106"/>
      <c r="RL205" s="106"/>
    </row>
    <row r="206" spans="88:480" x14ac:dyDescent="0.3">
      <c r="CJ206" s="103"/>
      <c r="FP206" s="103"/>
      <c r="LL206" s="103"/>
      <c r="NM206" s="103"/>
      <c r="QT206" s="106"/>
      <c r="QU206" s="106"/>
      <c r="QV206" s="106"/>
      <c r="QW206" s="106"/>
      <c r="QX206" s="106"/>
      <c r="QY206" s="106"/>
      <c r="QZ206" s="106"/>
      <c r="RA206" s="106"/>
      <c r="RB206" s="106"/>
      <c r="RC206" s="106"/>
      <c r="RD206" s="106"/>
      <c r="RE206" s="106"/>
      <c r="RF206" s="106"/>
      <c r="RG206" s="106"/>
      <c r="RH206" s="106"/>
      <c r="RI206" s="106"/>
      <c r="RJ206" s="106"/>
      <c r="RK206" s="106"/>
      <c r="RL206" s="106"/>
    </row>
    <row r="207" spans="88:480" x14ac:dyDescent="0.3">
      <c r="CJ207" s="103"/>
      <c r="FP207" s="103"/>
      <c r="LL207" s="103"/>
      <c r="NM207" s="103"/>
      <c r="QT207" s="106"/>
      <c r="QU207" s="106"/>
      <c r="QV207" s="106"/>
      <c r="QW207" s="106"/>
      <c r="QX207" s="106"/>
      <c r="QY207" s="106"/>
      <c r="QZ207" s="106"/>
      <c r="RA207" s="106"/>
      <c r="RB207" s="106"/>
      <c r="RC207" s="106"/>
      <c r="RD207" s="106"/>
      <c r="RE207" s="106"/>
      <c r="RF207" s="106"/>
      <c r="RG207" s="106"/>
      <c r="RH207" s="106"/>
      <c r="RI207" s="106"/>
      <c r="RJ207" s="106"/>
      <c r="RK207" s="106"/>
      <c r="RL207" s="106"/>
    </row>
    <row r="208" spans="88:480" x14ac:dyDescent="0.3">
      <c r="CJ208" s="103"/>
      <c r="FP208" s="103"/>
      <c r="LL208" s="103"/>
      <c r="NM208" s="103"/>
      <c r="QT208" s="106"/>
      <c r="QU208" s="106"/>
      <c r="QV208" s="106"/>
      <c r="QW208" s="106"/>
      <c r="QX208" s="106"/>
      <c r="QY208" s="106"/>
      <c r="QZ208" s="106"/>
      <c r="RA208" s="106"/>
      <c r="RB208" s="106"/>
      <c r="RC208" s="106"/>
      <c r="RD208" s="106"/>
      <c r="RE208" s="106"/>
      <c r="RF208" s="106"/>
      <c r="RG208" s="106"/>
      <c r="RH208" s="106"/>
      <c r="RI208" s="106"/>
      <c r="RJ208" s="106"/>
      <c r="RK208" s="106"/>
      <c r="RL208" s="106"/>
    </row>
    <row r="209" spans="88:480" x14ac:dyDescent="0.3">
      <c r="CJ209" s="103"/>
      <c r="FP209" s="103"/>
      <c r="LL209" s="103"/>
      <c r="NM209" s="103"/>
      <c r="QT209" s="106"/>
      <c r="QU209" s="106"/>
      <c r="QV209" s="106"/>
      <c r="QW209" s="106"/>
      <c r="QX209" s="106"/>
      <c r="QY209" s="106"/>
      <c r="QZ209" s="106"/>
      <c r="RA209" s="106"/>
      <c r="RB209" s="106"/>
      <c r="RC209" s="106"/>
      <c r="RD209" s="106"/>
      <c r="RE209" s="106"/>
      <c r="RF209" s="106"/>
      <c r="RG209" s="106"/>
      <c r="RH209" s="106"/>
      <c r="RI209" s="106"/>
      <c r="RJ209" s="106"/>
      <c r="RK209" s="106"/>
      <c r="RL209" s="106"/>
    </row>
    <row r="210" spans="88:480" x14ac:dyDescent="0.3">
      <c r="CJ210" s="103"/>
      <c r="FP210" s="103"/>
      <c r="LL210" s="103"/>
      <c r="NM210" s="103"/>
      <c r="QT210" s="106"/>
      <c r="QU210" s="106"/>
      <c r="QV210" s="106"/>
      <c r="QW210" s="106"/>
      <c r="QX210" s="106"/>
      <c r="QY210" s="106"/>
      <c r="QZ210" s="106"/>
      <c r="RA210" s="106"/>
      <c r="RB210" s="106"/>
      <c r="RC210" s="106"/>
      <c r="RD210" s="106"/>
      <c r="RE210" s="106"/>
      <c r="RF210" s="106"/>
      <c r="RG210" s="106"/>
      <c r="RH210" s="106"/>
      <c r="RI210" s="106"/>
      <c r="RJ210" s="106"/>
      <c r="RK210" s="106"/>
      <c r="RL210" s="106"/>
    </row>
    <row r="211" spans="88:480" x14ac:dyDescent="0.3">
      <c r="CJ211" s="103"/>
      <c r="FP211" s="103"/>
      <c r="LL211" s="103"/>
      <c r="NM211" s="103"/>
      <c r="QT211" s="106"/>
      <c r="QU211" s="106"/>
      <c r="QV211" s="106"/>
      <c r="QW211" s="106"/>
      <c r="QX211" s="106"/>
      <c r="QY211" s="106"/>
      <c r="QZ211" s="106"/>
      <c r="RA211" s="106"/>
      <c r="RB211" s="106"/>
      <c r="RC211" s="106"/>
      <c r="RD211" s="106"/>
      <c r="RE211" s="106"/>
      <c r="RF211" s="106"/>
      <c r="RG211" s="106"/>
      <c r="RH211" s="106"/>
      <c r="RI211" s="106"/>
      <c r="RJ211" s="106"/>
      <c r="RK211" s="106"/>
      <c r="RL211" s="106"/>
    </row>
    <row r="212" spans="88:480" x14ac:dyDescent="0.3">
      <c r="CJ212" s="103"/>
      <c r="FP212" s="103"/>
      <c r="LL212" s="103"/>
      <c r="NM212" s="103"/>
      <c r="QT212" s="106"/>
      <c r="QU212" s="106"/>
      <c r="QV212" s="106"/>
      <c r="QW212" s="106"/>
      <c r="QX212" s="106"/>
      <c r="QY212" s="106"/>
      <c r="QZ212" s="106"/>
      <c r="RA212" s="106"/>
      <c r="RB212" s="106"/>
      <c r="RC212" s="106"/>
      <c r="RD212" s="106"/>
      <c r="RE212" s="106"/>
      <c r="RF212" s="106"/>
      <c r="RG212" s="106"/>
      <c r="RH212" s="106"/>
      <c r="RI212" s="106"/>
      <c r="RJ212" s="106"/>
      <c r="RK212" s="106"/>
      <c r="RL212" s="106"/>
    </row>
    <row r="213" spans="88:480" x14ac:dyDescent="0.3">
      <c r="CJ213" s="103"/>
      <c r="FP213" s="103"/>
      <c r="LL213" s="103"/>
      <c r="NM213" s="103"/>
      <c r="QT213" s="106"/>
      <c r="QU213" s="106"/>
      <c r="QV213" s="106"/>
      <c r="QW213" s="106"/>
      <c r="QX213" s="106"/>
      <c r="QY213" s="106"/>
      <c r="QZ213" s="106"/>
      <c r="RA213" s="106"/>
      <c r="RB213" s="106"/>
      <c r="RC213" s="106"/>
      <c r="RD213" s="106"/>
      <c r="RE213" s="106"/>
      <c r="RF213" s="106"/>
      <c r="RG213" s="106"/>
      <c r="RH213" s="106"/>
      <c r="RI213" s="106"/>
      <c r="RJ213" s="106"/>
      <c r="RK213" s="106"/>
      <c r="RL213" s="106"/>
    </row>
    <row r="214" spans="88:480" x14ac:dyDescent="0.3">
      <c r="CJ214" s="103"/>
      <c r="FP214" s="103"/>
      <c r="LL214" s="103"/>
      <c r="NM214" s="103"/>
      <c r="QT214" s="106"/>
      <c r="QU214" s="106"/>
      <c r="QV214" s="106"/>
      <c r="QW214" s="106"/>
      <c r="QX214" s="106"/>
      <c r="QY214" s="106"/>
      <c r="QZ214" s="106"/>
      <c r="RA214" s="106"/>
      <c r="RB214" s="106"/>
      <c r="RC214" s="106"/>
      <c r="RD214" s="106"/>
      <c r="RE214" s="106"/>
      <c r="RF214" s="106"/>
      <c r="RG214" s="106"/>
      <c r="RH214" s="106"/>
      <c r="RI214" s="106"/>
      <c r="RJ214" s="106"/>
      <c r="RK214" s="106"/>
      <c r="RL214" s="106"/>
    </row>
    <row r="215" spans="88:480" x14ac:dyDescent="0.3">
      <c r="CJ215" s="103"/>
      <c r="FP215" s="103"/>
      <c r="LL215" s="103"/>
      <c r="NM215" s="103"/>
      <c r="QT215" s="106"/>
      <c r="QU215" s="106"/>
      <c r="QV215" s="106"/>
      <c r="QW215" s="106"/>
      <c r="QX215" s="106"/>
      <c r="QY215" s="106"/>
      <c r="QZ215" s="106"/>
      <c r="RA215" s="106"/>
      <c r="RB215" s="106"/>
      <c r="RC215" s="106"/>
      <c r="RD215" s="106"/>
      <c r="RE215" s="106"/>
      <c r="RF215" s="106"/>
      <c r="RG215" s="106"/>
      <c r="RH215" s="106"/>
      <c r="RI215" s="106"/>
      <c r="RJ215" s="106"/>
      <c r="RK215" s="106"/>
      <c r="RL215" s="106"/>
    </row>
    <row r="216" spans="88:480" x14ac:dyDescent="0.3">
      <c r="CJ216" s="103"/>
      <c r="FP216" s="103"/>
      <c r="LL216" s="103"/>
      <c r="NM216" s="103"/>
      <c r="QT216" s="106"/>
      <c r="QU216" s="106"/>
      <c r="QV216" s="106"/>
      <c r="QW216" s="106"/>
      <c r="QX216" s="106"/>
      <c r="QY216" s="106"/>
      <c r="QZ216" s="106"/>
      <c r="RA216" s="106"/>
      <c r="RB216" s="106"/>
      <c r="RC216" s="106"/>
      <c r="RD216" s="106"/>
      <c r="RE216" s="106"/>
      <c r="RF216" s="106"/>
      <c r="RG216" s="106"/>
      <c r="RH216" s="106"/>
      <c r="RI216" s="106"/>
      <c r="RJ216" s="106"/>
      <c r="RK216" s="106"/>
      <c r="RL216" s="106"/>
    </row>
    <row r="217" spans="88:480" x14ac:dyDescent="0.3">
      <c r="CJ217" s="103"/>
      <c r="FP217" s="103"/>
      <c r="LL217" s="103"/>
      <c r="NM217" s="103"/>
      <c r="QT217" s="106"/>
      <c r="QU217" s="106"/>
      <c r="QV217" s="106"/>
      <c r="QW217" s="106"/>
      <c r="QX217" s="106"/>
      <c r="QY217" s="106"/>
      <c r="QZ217" s="106"/>
      <c r="RA217" s="106"/>
      <c r="RB217" s="106"/>
      <c r="RC217" s="106"/>
      <c r="RD217" s="106"/>
      <c r="RE217" s="106"/>
      <c r="RF217" s="106"/>
      <c r="RG217" s="106"/>
      <c r="RH217" s="106"/>
      <c r="RI217" s="106"/>
      <c r="RJ217" s="106"/>
      <c r="RK217" s="106"/>
      <c r="RL217" s="106"/>
    </row>
    <row r="218" spans="88:480" x14ac:dyDescent="0.3">
      <c r="CJ218" s="103"/>
      <c r="FP218" s="103"/>
      <c r="LL218" s="103"/>
      <c r="NM218" s="103"/>
      <c r="QT218" s="106"/>
      <c r="QU218" s="106"/>
      <c r="QV218" s="106"/>
      <c r="QW218" s="106"/>
      <c r="QX218" s="106"/>
      <c r="QY218" s="106"/>
      <c r="QZ218" s="106"/>
      <c r="RA218" s="106"/>
      <c r="RB218" s="106"/>
      <c r="RC218" s="106"/>
      <c r="RD218" s="106"/>
      <c r="RE218" s="106"/>
      <c r="RF218" s="106"/>
      <c r="RG218" s="106"/>
      <c r="RH218" s="106"/>
      <c r="RI218" s="106"/>
      <c r="RJ218" s="106"/>
      <c r="RK218" s="106"/>
      <c r="RL218" s="106"/>
    </row>
    <row r="219" spans="88:480" x14ac:dyDescent="0.3">
      <c r="CJ219" s="103"/>
      <c r="FP219" s="103"/>
      <c r="LL219" s="103"/>
      <c r="NM219" s="103"/>
      <c r="QT219" s="106"/>
      <c r="QU219" s="106"/>
      <c r="QV219" s="106"/>
      <c r="QW219" s="106"/>
      <c r="QX219" s="106"/>
      <c r="QY219" s="106"/>
      <c r="QZ219" s="106"/>
      <c r="RA219" s="106"/>
      <c r="RB219" s="106"/>
      <c r="RC219" s="106"/>
      <c r="RD219" s="106"/>
      <c r="RE219" s="106"/>
      <c r="RF219" s="106"/>
      <c r="RG219" s="106"/>
      <c r="RH219" s="106"/>
      <c r="RI219" s="106"/>
      <c r="RJ219" s="106"/>
      <c r="RK219" s="106"/>
      <c r="RL219" s="106"/>
    </row>
    <row r="220" spans="88:480" x14ac:dyDescent="0.3">
      <c r="CJ220" s="103"/>
      <c r="FP220" s="103"/>
      <c r="LL220" s="103"/>
      <c r="NM220" s="103"/>
      <c r="QT220" s="106"/>
      <c r="QU220" s="106"/>
      <c r="QV220" s="106"/>
      <c r="QW220" s="106"/>
      <c r="QX220" s="106"/>
      <c r="QY220" s="106"/>
      <c r="QZ220" s="106"/>
      <c r="RA220" s="106"/>
      <c r="RB220" s="106"/>
      <c r="RC220" s="106"/>
      <c r="RD220" s="106"/>
      <c r="RE220" s="106"/>
      <c r="RF220" s="106"/>
      <c r="RG220" s="106"/>
      <c r="RH220" s="106"/>
      <c r="RI220" s="106"/>
      <c r="RJ220" s="106"/>
      <c r="RK220" s="106"/>
      <c r="RL220" s="106"/>
    </row>
    <row r="221" spans="88:480" x14ac:dyDescent="0.3">
      <c r="CJ221" s="103"/>
      <c r="FP221" s="103"/>
      <c r="LL221" s="103"/>
      <c r="NM221" s="103"/>
      <c r="QT221" s="106"/>
      <c r="QU221" s="106"/>
      <c r="QV221" s="106"/>
      <c r="QW221" s="106"/>
      <c r="QX221" s="106"/>
      <c r="QY221" s="106"/>
      <c r="QZ221" s="106"/>
      <c r="RA221" s="106"/>
      <c r="RB221" s="106"/>
      <c r="RC221" s="106"/>
      <c r="RD221" s="106"/>
      <c r="RE221" s="106"/>
      <c r="RF221" s="106"/>
      <c r="RG221" s="106"/>
      <c r="RH221" s="106"/>
      <c r="RI221" s="106"/>
      <c r="RJ221" s="106"/>
      <c r="RK221" s="106"/>
      <c r="RL221" s="106"/>
    </row>
    <row r="222" spans="88:480" x14ac:dyDescent="0.3">
      <c r="CJ222" s="103"/>
      <c r="FP222" s="103"/>
      <c r="LL222" s="103"/>
      <c r="NM222" s="103"/>
      <c r="QT222" s="106"/>
      <c r="QU222" s="106"/>
      <c r="QV222" s="106"/>
      <c r="QW222" s="106"/>
      <c r="QX222" s="106"/>
      <c r="QY222" s="106"/>
      <c r="QZ222" s="106"/>
      <c r="RA222" s="106"/>
      <c r="RB222" s="106"/>
      <c r="RC222" s="106"/>
      <c r="RD222" s="106"/>
      <c r="RE222" s="106"/>
      <c r="RF222" s="106"/>
      <c r="RG222" s="106"/>
      <c r="RH222" s="106"/>
      <c r="RI222" s="106"/>
      <c r="RJ222" s="106"/>
      <c r="RK222" s="106"/>
      <c r="RL222" s="106"/>
    </row>
    <row r="223" spans="88:480" x14ac:dyDescent="0.3">
      <c r="CJ223" s="103"/>
      <c r="FP223" s="103"/>
      <c r="LL223" s="103"/>
      <c r="NM223" s="103"/>
      <c r="QT223" s="106"/>
      <c r="QU223" s="106"/>
      <c r="QV223" s="106"/>
      <c r="QW223" s="106"/>
      <c r="QX223" s="106"/>
      <c r="QY223" s="106"/>
      <c r="QZ223" s="106"/>
      <c r="RA223" s="106"/>
      <c r="RB223" s="106"/>
      <c r="RC223" s="106"/>
      <c r="RD223" s="106"/>
      <c r="RE223" s="106"/>
      <c r="RF223" s="106"/>
      <c r="RG223" s="106"/>
      <c r="RH223" s="106"/>
      <c r="RI223" s="106"/>
      <c r="RJ223" s="106"/>
      <c r="RK223" s="106"/>
      <c r="RL223" s="106"/>
    </row>
    <row r="224" spans="88:480" x14ac:dyDescent="0.3">
      <c r="CJ224" s="103"/>
      <c r="FP224" s="103"/>
      <c r="LL224" s="103"/>
      <c r="NM224" s="103"/>
      <c r="QT224" s="106"/>
      <c r="QU224" s="106"/>
      <c r="QV224" s="106"/>
      <c r="QW224" s="106"/>
      <c r="QX224" s="106"/>
      <c r="QY224" s="106"/>
      <c r="QZ224" s="106"/>
      <c r="RA224" s="106"/>
      <c r="RB224" s="106"/>
      <c r="RC224" s="106"/>
      <c r="RD224" s="106"/>
      <c r="RE224" s="106"/>
      <c r="RF224" s="106"/>
      <c r="RG224" s="106"/>
      <c r="RH224" s="106"/>
      <c r="RI224" s="106"/>
      <c r="RJ224" s="106"/>
      <c r="RK224" s="106"/>
      <c r="RL224" s="106"/>
    </row>
    <row r="225" spans="88:480" x14ac:dyDescent="0.3">
      <c r="CJ225" s="103"/>
      <c r="FP225" s="103"/>
      <c r="LL225" s="103"/>
      <c r="NM225" s="103"/>
      <c r="QT225" s="106"/>
      <c r="QU225" s="106"/>
      <c r="QV225" s="106"/>
      <c r="QW225" s="106"/>
      <c r="QX225" s="106"/>
      <c r="QY225" s="106"/>
      <c r="QZ225" s="106"/>
      <c r="RA225" s="106"/>
      <c r="RB225" s="106"/>
      <c r="RC225" s="106"/>
      <c r="RD225" s="106"/>
      <c r="RE225" s="106"/>
      <c r="RF225" s="106"/>
      <c r="RG225" s="106"/>
      <c r="RH225" s="106"/>
      <c r="RI225" s="106"/>
      <c r="RJ225" s="106"/>
      <c r="RK225" s="106"/>
      <c r="RL225" s="106"/>
    </row>
    <row r="226" spans="88:480" x14ac:dyDescent="0.3">
      <c r="CJ226" s="103"/>
      <c r="FP226" s="103"/>
      <c r="LL226" s="103"/>
      <c r="NM226" s="103"/>
      <c r="QT226" s="106"/>
      <c r="QU226" s="106"/>
      <c r="QV226" s="106"/>
      <c r="QW226" s="106"/>
      <c r="QX226" s="106"/>
      <c r="QY226" s="106"/>
      <c r="QZ226" s="106"/>
      <c r="RA226" s="106"/>
      <c r="RB226" s="106"/>
      <c r="RC226" s="106"/>
      <c r="RD226" s="106"/>
      <c r="RE226" s="106"/>
      <c r="RF226" s="106"/>
      <c r="RG226" s="106"/>
      <c r="RH226" s="106"/>
      <c r="RI226" s="106"/>
      <c r="RJ226" s="106"/>
      <c r="RK226" s="106"/>
      <c r="RL226" s="106"/>
    </row>
    <row r="227" spans="88:480" x14ac:dyDescent="0.3">
      <c r="CJ227" s="103"/>
      <c r="FP227" s="103"/>
      <c r="LL227" s="103"/>
      <c r="NM227" s="103"/>
      <c r="QT227" s="106"/>
      <c r="QU227" s="106"/>
      <c r="QV227" s="106"/>
      <c r="QW227" s="106"/>
      <c r="QX227" s="106"/>
      <c r="QY227" s="106"/>
      <c r="QZ227" s="106"/>
      <c r="RA227" s="106"/>
      <c r="RB227" s="106"/>
      <c r="RC227" s="106"/>
      <c r="RD227" s="106"/>
      <c r="RE227" s="106"/>
      <c r="RF227" s="106"/>
      <c r="RG227" s="106"/>
      <c r="RH227" s="106"/>
      <c r="RI227" s="106"/>
      <c r="RJ227" s="106"/>
      <c r="RK227" s="106"/>
      <c r="RL227" s="106"/>
    </row>
    <row r="228" spans="88:480" x14ac:dyDescent="0.3">
      <c r="CJ228" s="103"/>
      <c r="FP228" s="103"/>
      <c r="LL228" s="103"/>
      <c r="NM228" s="103"/>
      <c r="QT228" s="106"/>
      <c r="QU228" s="106"/>
      <c r="QV228" s="106"/>
      <c r="QW228" s="106"/>
      <c r="QX228" s="106"/>
      <c r="QY228" s="106"/>
      <c r="QZ228" s="106"/>
      <c r="RA228" s="106"/>
      <c r="RB228" s="106"/>
      <c r="RC228" s="106"/>
      <c r="RD228" s="106"/>
      <c r="RE228" s="106"/>
      <c r="RF228" s="106"/>
      <c r="RG228" s="106"/>
      <c r="RH228" s="106"/>
      <c r="RI228" s="106"/>
      <c r="RJ228" s="106"/>
      <c r="RK228" s="106"/>
      <c r="RL228" s="106"/>
    </row>
    <row r="229" spans="88:480" x14ac:dyDescent="0.3">
      <c r="CJ229" s="103"/>
      <c r="FP229" s="103"/>
      <c r="LL229" s="103"/>
      <c r="NM229" s="103"/>
      <c r="QT229" s="106"/>
      <c r="QU229" s="106"/>
      <c r="QV229" s="106"/>
      <c r="QW229" s="106"/>
      <c r="QX229" s="106"/>
      <c r="QY229" s="106"/>
      <c r="QZ229" s="106"/>
      <c r="RA229" s="106"/>
      <c r="RB229" s="106"/>
      <c r="RC229" s="106"/>
      <c r="RD229" s="106"/>
      <c r="RE229" s="106"/>
      <c r="RF229" s="106"/>
      <c r="RG229" s="106"/>
      <c r="RH229" s="106"/>
      <c r="RI229" s="106"/>
      <c r="RJ229" s="106"/>
      <c r="RK229" s="106"/>
      <c r="RL229" s="106"/>
    </row>
    <row r="230" spans="88:480" x14ac:dyDescent="0.3">
      <c r="CJ230" s="103"/>
      <c r="FP230" s="103"/>
      <c r="LL230" s="103"/>
      <c r="NM230" s="103"/>
      <c r="QT230" s="106"/>
      <c r="QU230" s="106"/>
      <c r="QV230" s="106"/>
      <c r="QW230" s="106"/>
      <c r="QX230" s="106"/>
      <c r="QY230" s="106"/>
      <c r="QZ230" s="106"/>
      <c r="RA230" s="106"/>
      <c r="RB230" s="106"/>
      <c r="RC230" s="106"/>
      <c r="RD230" s="106"/>
      <c r="RE230" s="106"/>
      <c r="RF230" s="106"/>
      <c r="RG230" s="106"/>
      <c r="RH230" s="106"/>
      <c r="RI230" s="106"/>
      <c r="RJ230" s="106"/>
      <c r="RK230" s="106"/>
      <c r="RL230" s="106"/>
    </row>
    <row r="231" spans="88:480" x14ac:dyDescent="0.3">
      <c r="CJ231" s="103"/>
      <c r="FP231" s="103"/>
      <c r="LL231" s="103"/>
      <c r="NM231" s="103"/>
      <c r="QT231" s="106"/>
      <c r="QU231" s="106"/>
      <c r="QV231" s="106"/>
      <c r="QW231" s="106"/>
      <c r="QX231" s="106"/>
      <c r="QY231" s="106"/>
      <c r="QZ231" s="106"/>
      <c r="RA231" s="106"/>
      <c r="RB231" s="106"/>
      <c r="RC231" s="106"/>
      <c r="RD231" s="106"/>
      <c r="RE231" s="106"/>
      <c r="RF231" s="106"/>
      <c r="RG231" s="106"/>
      <c r="RH231" s="106"/>
      <c r="RI231" s="106"/>
      <c r="RJ231" s="106"/>
      <c r="RK231" s="106"/>
      <c r="RL231" s="106"/>
    </row>
    <row r="232" spans="88:480" x14ac:dyDescent="0.3">
      <c r="CJ232" s="103"/>
      <c r="FP232" s="103"/>
      <c r="LL232" s="103"/>
      <c r="NM232" s="103"/>
      <c r="QT232" s="106"/>
      <c r="QU232" s="106"/>
      <c r="QV232" s="106"/>
      <c r="QW232" s="106"/>
      <c r="QX232" s="106"/>
      <c r="QY232" s="106"/>
      <c r="QZ232" s="106"/>
      <c r="RA232" s="106"/>
      <c r="RB232" s="106"/>
      <c r="RC232" s="106"/>
      <c r="RD232" s="106"/>
      <c r="RE232" s="106"/>
      <c r="RF232" s="106"/>
      <c r="RG232" s="106"/>
      <c r="RH232" s="106"/>
      <c r="RI232" s="106"/>
      <c r="RJ232" s="106"/>
      <c r="RK232" s="106"/>
      <c r="RL232" s="106"/>
    </row>
    <row r="233" spans="88:480" x14ac:dyDescent="0.3">
      <c r="CJ233" s="103"/>
      <c r="FP233" s="103"/>
      <c r="LL233" s="103"/>
      <c r="NM233" s="103"/>
      <c r="QT233" s="106"/>
      <c r="QU233" s="106"/>
      <c r="QV233" s="106"/>
      <c r="QW233" s="106"/>
      <c r="QX233" s="106"/>
      <c r="QY233" s="106"/>
      <c r="QZ233" s="106"/>
      <c r="RA233" s="106"/>
      <c r="RB233" s="106"/>
      <c r="RC233" s="106"/>
      <c r="RD233" s="106"/>
      <c r="RE233" s="106"/>
      <c r="RF233" s="106"/>
      <c r="RG233" s="106"/>
      <c r="RH233" s="106"/>
      <c r="RI233" s="106"/>
      <c r="RJ233" s="106"/>
      <c r="RK233" s="106"/>
      <c r="RL233" s="106"/>
    </row>
    <row r="234" spans="88:480" x14ac:dyDescent="0.3">
      <c r="CJ234" s="103"/>
      <c r="FP234" s="103"/>
      <c r="LL234" s="103"/>
      <c r="NM234" s="103"/>
      <c r="QT234" s="106"/>
      <c r="QU234" s="106"/>
      <c r="QV234" s="106"/>
      <c r="QW234" s="106"/>
      <c r="QX234" s="106"/>
      <c r="QY234" s="106"/>
      <c r="QZ234" s="106"/>
      <c r="RA234" s="106"/>
      <c r="RB234" s="106"/>
      <c r="RC234" s="106"/>
      <c r="RD234" s="106"/>
      <c r="RE234" s="106"/>
      <c r="RF234" s="106"/>
      <c r="RG234" s="106"/>
      <c r="RH234" s="106"/>
      <c r="RI234" s="106"/>
      <c r="RJ234" s="106"/>
      <c r="RK234" s="106"/>
      <c r="RL234" s="106"/>
    </row>
    <row r="235" spans="88:480" x14ac:dyDescent="0.3">
      <c r="CJ235" s="103"/>
      <c r="FP235" s="103"/>
      <c r="LL235" s="103"/>
      <c r="NM235" s="103"/>
      <c r="QT235" s="106"/>
      <c r="QU235" s="106"/>
      <c r="QV235" s="106"/>
      <c r="QW235" s="106"/>
      <c r="QX235" s="106"/>
      <c r="QY235" s="106"/>
      <c r="QZ235" s="106"/>
      <c r="RA235" s="106"/>
      <c r="RB235" s="106"/>
      <c r="RC235" s="106"/>
      <c r="RD235" s="106"/>
      <c r="RE235" s="106"/>
      <c r="RF235" s="106"/>
      <c r="RG235" s="106"/>
      <c r="RH235" s="106"/>
      <c r="RI235" s="106"/>
      <c r="RJ235" s="106"/>
      <c r="RK235" s="106"/>
      <c r="RL235" s="106"/>
    </row>
    <row r="236" spans="88:480" x14ac:dyDescent="0.3">
      <c r="CJ236" s="103"/>
      <c r="FP236" s="103"/>
      <c r="LL236" s="103"/>
      <c r="NM236" s="103"/>
      <c r="QT236" s="106"/>
      <c r="QU236" s="106"/>
      <c r="QV236" s="106"/>
      <c r="QW236" s="106"/>
      <c r="QX236" s="106"/>
      <c r="QY236" s="106"/>
      <c r="QZ236" s="106"/>
      <c r="RA236" s="106"/>
      <c r="RB236" s="106"/>
      <c r="RC236" s="106"/>
      <c r="RD236" s="106"/>
      <c r="RE236" s="106"/>
      <c r="RF236" s="106"/>
      <c r="RG236" s="106"/>
      <c r="RH236" s="106"/>
      <c r="RI236" s="106"/>
      <c r="RJ236" s="106"/>
      <c r="RK236" s="106"/>
      <c r="RL236" s="106"/>
    </row>
    <row r="237" spans="88:480" x14ac:dyDescent="0.3">
      <c r="CJ237" s="103"/>
      <c r="FP237" s="103"/>
      <c r="LL237" s="103"/>
      <c r="NM237" s="103"/>
      <c r="QT237" s="106"/>
      <c r="QU237" s="106"/>
      <c r="QV237" s="106"/>
      <c r="QW237" s="106"/>
      <c r="QX237" s="106"/>
      <c r="QY237" s="106"/>
      <c r="QZ237" s="106"/>
      <c r="RA237" s="106"/>
      <c r="RB237" s="106"/>
      <c r="RC237" s="106"/>
      <c r="RD237" s="106"/>
      <c r="RE237" s="106"/>
      <c r="RF237" s="106"/>
      <c r="RG237" s="106"/>
      <c r="RH237" s="106"/>
      <c r="RI237" s="106"/>
      <c r="RJ237" s="106"/>
      <c r="RK237" s="106"/>
      <c r="RL237" s="106"/>
    </row>
    <row r="238" spans="88:480" x14ac:dyDescent="0.3">
      <c r="CJ238" s="103"/>
      <c r="FP238" s="103"/>
      <c r="LL238" s="103"/>
      <c r="NM238" s="103"/>
      <c r="QT238" s="106"/>
      <c r="QU238" s="106"/>
      <c r="QV238" s="106"/>
      <c r="QW238" s="106"/>
      <c r="QX238" s="106"/>
      <c r="QY238" s="106"/>
      <c r="QZ238" s="106"/>
      <c r="RA238" s="106"/>
      <c r="RB238" s="106"/>
      <c r="RC238" s="106"/>
      <c r="RD238" s="106"/>
      <c r="RE238" s="106"/>
      <c r="RF238" s="106"/>
      <c r="RG238" s="106"/>
      <c r="RH238" s="106"/>
      <c r="RI238" s="106"/>
      <c r="RJ238" s="106"/>
      <c r="RK238" s="106"/>
      <c r="RL238" s="106"/>
    </row>
    <row r="239" spans="88:480" x14ac:dyDescent="0.3">
      <c r="CJ239" s="103"/>
      <c r="FP239" s="103"/>
      <c r="LL239" s="103"/>
      <c r="NM239" s="103"/>
      <c r="QT239" s="106"/>
      <c r="QU239" s="106"/>
      <c r="QV239" s="106"/>
      <c r="QW239" s="106"/>
      <c r="QX239" s="106"/>
      <c r="QY239" s="106"/>
      <c r="QZ239" s="106"/>
      <c r="RA239" s="106"/>
      <c r="RB239" s="106"/>
      <c r="RC239" s="106"/>
      <c r="RD239" s="106"/>
      <c r="RE239" s="106"/>
      <c r="RF239" s="106"/>
      <c r="RG239" s="106"/>
      <c r="RH239" s="106"/>
      <c r="RI239" s="106"/>
      <c r="RJ239" s="106"/>
      <c r="RK239" s="106"/>
      <c r="RL239" s="106"/>
    </row>
    <row r="240" spans="88:480" x14ac:dyDescent="0.3">
      <c r="CJ240" s="103"/>
      <c r="FP240" s="103"/>
      <c r="LL240" s="103"/>
      <c r="NM240" s="103"/>
      <c r="QT240" s="106"/>
      <c r="QU240" s="106"/>
      <c r="QV240" s="106"/>
      <c r="QW240" s="106"/>
      <c r="QX240" s="106"/>
      <c r="QY240" s="106"/>
      <c r="QZ240" s="106"/>
      <c r="RA240" s="106"/>
      <c r="RB240" s="106"/>
      <c r="RC240" s="106"/>
      <c r="RD240" s="106"/>
      <c r="RE240" s="106"/>
      <c r="RF240" s="106"/>
      <c r="RG240" s="106"/>
      <c r="RH240" s="106"/>
      <c r="RI240" s="106"/>
      <c r="RJ240" s="106"/>
      <c r="RK240" s="106"/>
      <c r="RL240" s="106"/>
    </row>
    <row r="241" spans="88:480" x14ac:dyDescent="0.3">
      <c r="CJ241" s="103"/>
      <c r="FP241" s="103"/>
      <c r="LL241" s="103"/>
      <c r="NM241" s="103"/>
      <c r="QT241" s="106"/>
      <c r="QU241" s="106"/>
      <c r="QV241" s="106"/>
      <c r="QW241" s="106"/>
      <c r="QX241" s="106"/>
      <c r="QY241" s="106"/>
      <c r="QZ241" s="106"/>
      <c r="RA241" s="106"/>
      <c r="RB241" s="106"/>
      <c r="RC241" s="106"/>
      <c r="RD241" s="106"/>
      <c r="RE241" s="106"/>
      <c r="RF241" s="106"/>
      <c r="RG241" s="106"/>
      <c r="RH241" s="106"/>
      <c r="RI241" s="106"/>
      <c r="RJ241" s="106"/>
      <c r="RK241" s="106"/>
      <c r="RL241" s="106"/>
    </row>
    <row r="242" spans="88:480" x14ac:dyDescent="0.3">
      <c r="CJ242" s="103"/>
      <c r="FP242" s="103"/>
      <c r="LL242" s="103"/>
      <c r="NM242" s="103"/>
      <c r="QT242" s="106"/>
      <c r="QU242" s="106"/>
      <c r="QV242" s="106"/>
      <c r="QW242" s="106"/>
      <c r="QX242" s="106"/>
      <c r="QY242" s="106"/>
      <c r="QZ242" s="106"/>
      <c r="RA242" s="106"/>
      <c r="RB242" s="106"/>
      <c r="RC242" s="106"/>
      <c r="RD242" s="106"/>
      <c r="RE242" s="106"/>
      <c r="RF242" s="106"/>
      <c r="RG242" s="106"/>
      <c r="RH242" s="106"/>
      <c r="RI242" s="106"/>
      <c r="RJ242" s="106"/>
      <c r="RK242" s="106"/>
      <c r="RL242" s="106"/>
    </row>
    <row r="243" spans="88:480" x14ac:dyDescent="0.3">
      <c r="CJ243" s="103"/>
      <c r="FP243" s="103"/>
      <c r="LL243" s="103"/>
      <c r="NM243" s="103"/>
      <c r="QT243" s="106"/>
      <c r="QU243" s="106"/>
      <c r="QV243" s="106"/>
      <c r="QW243" s="106"/>
      <c r="QX243" s="106"/>
      <c r="QY243" s="106"/>
      <c r="QZ243" s="106"/>
      <c r="RA243" s="106"/>
      <c r="RB243" s="106"/>
      <c r="RC243" s="106"/>
      <c r="RD243" s="106"/>
      <c r="RE243" s="106"/>
      <c r="RF243" s="106"/>
      <c r="RG243" s="106"/>
      <c r="RH243" s="106"/>
      <c r="RI243" s="106"/>
      <c r="RJ243" s="106"/>
      <c r="RK243" s="106"/>
      <c r="RL243" s="106"/>
    </row>
    <row r="244" spans="88:480" x14ac:dyDescent="0.3">
      <c r="CJ244" s="103"/>
      <c r="FP244" s="103"/>
      <c r="LL244" s="103"/>
      <c r="NM244" s="103"/>
      <c r="QT244" s="106"/>
      <c r="QU244" s="106"/>
      <c r="QV244" s="106"/>
      <c r="QW244" s="106"/>
      <c r="QX244" s="106"/>
      <c r="QY244" s="106"/>
      <c r="QZ244" s="106"/>
      <c r="RA244" s="106"/>
      <c r="RB244" s="106"/>
      <c r="RC244" s="106"/>
      <c r="RD244" s="106"/>
      <c r="RE244" s="106"/>
      <c r="RF244" s="106"/>
      <c r="RG244" s="106"/>
      <c r="RH244" s="106"/>
      <c r="RI244" s="106"/>
      <c r="RJ244" s="106"/>
      <c r="RK244" s="106"/>
      <c r="RL244" s="106"/>
    </row>
    <row r="245" spans="88:480" x14ac:dyDescent="0.3">
      <c r="CJ245" s="103"/>
      <c r="FP245" s="103"/>
      <c r="LL245" s="103"/>
      <c r="NM245" s="103"/>
      <c r="QT245" s="106"/>
      <c r="QU245" s="106"/>
      <c r="QV245" s="106"/>
      <c r="QW245" s="106"/>
      <c r="QX245" s="106"/>
      <c r="QY245" s="106"/>
      <c r="QZ245" s="106"/>
      <c r="RA245" s="106"/>
      <c r="RB245" s="106"/>
      <c r="RC245" s="106"/>
      <c r="RD245" s="106"/>
      <c r="RE245" s="106"/>
      <c r="RF245" s="106"/>
      <c r="RG245" s="106"/>
      <c r="RH245" s="106"/>
      <c r="RI245" s="106"/>
      <c r="RJ245" s="106"/>
      <c r="RK245" s="106"/>
      <c r="RL245" s="106"/>
    </row>
    <row r="246" spans="88:480" x14ac:dyDescent="0.3">
      <c r="CJ246" s="103"/>
      <c r="FP246" s="103"/>
      <c r="LL246" s="103"/>
      <c r="NM246" s="103"/>
      <c r="QT246" s="106"/>
      <c r="QU246" s="106"/>
      <c r="QV246" s="106"/>
      <c r="QW246" s="106"/>
      <c r="QX246" s="106"/>
      <c r="QY246" s="106"/>
      <c r="QZ246" s="106"/>
      <c r="RA246" s="106"/>
      <c r="RB246" s="106"/>
      <c r="RC246" s="106"/>
      <c r="RD246" s="106"/>
      <c r="RE246" s="106"/>
      <c r="RF246" s="106"/>
      <c r="RG246" s="106"/>
      <c r="RH246" s="106"/>
      <c r="RI246" s="106"/>
      <c r="RJ246" s="106"/>
      <c r="RK246" s="106"/>
      <c r="RL246" s="106"/>
    </row>
    <row r="247" spans="88:480" x14ac:dyDescent="0.3">
      <c r="CJ247" s="103"/>
      <c r="FP247" s="103"/>
      <c r="LL247" s="103"/>
      <c r="NM247" s="103"/>
      <c r="QT247" s="106"/>
      <c r="QU247" s="106"/>
      <c r="QV247" s="106"/>
      <c r="QW247" s="106"/>
      <c r="QX247" s="106"/>
      <c r="QY247" s="106"/>
      <c r="QZ247" s="106"/>
      <c r="RA247" s="106"/>
      <c r="RB247" s="106"/>
      <c r="RC247" s="106"/>
      <c r="RD247" s="106"/>
      <c r="RE247" s="106"/>
      <c r="RF247" s="106"/>
      <c r="RG247" s="106"/>
      <c r="RH247" s="106"/>
      <c r="RI247" s="106"/>
      <c r="RJ247" s="106"/>
      <c r="RK247" s="106"/>
      <c r="RL247" s="106"/>
    </row>
    <row r="248" spans="88:480" x14ac:dyDescent="0.3">
      <c r="CJ248" s="103"/>
      <c r="FP248" s="103"/>
      <c r="LL248" s="103"/>
      <c r="NM248" s="103"/>
      <c r="QT248" s="106"/>
      <c r="QU248" s="106"/>
      <c r="QV248" s="106"/>
      <c r="QW248" s="106"/>
      <c r="QX248" s="106"/>
      <c r="QY248" s="106"/>
      <c r="QZ248" s="106"/>
      <c r="RA248" s="106"/>
      <c r="RB248" s="106"/>
      <c r="RC248" s="106"/>
      <c r="RD248" s="106"/>
      <c r="RE248" s="106"/>
      <c r="RF248" s="106"/>
      <c r="RG248" s="106"/>
      <c r="RH248" s="106"/>
      <c r="RI248" s="106"/>
      <c r="RJ248" s="106"/>
      <c r="RK248" s="106"/>
      <c r="RL248" s="106"/>
    </row>
    <row r="249" spans="88:480" x14ac:dyDescent="0.3">
      <c r="CJ249" s="103"/>
      <c r="FP249" s="103"/>
      <c r="LL249" s="103"/>
      <c r="NM249" s="103"/>
      <c r="QT249" s="106"/>
      <c r="QU249" s="106"/>
      <c r="QV249" s="106"/>
      <c r="QW249" s="106"/>
      <c r="QX249" s="106"/>
      <c r="QY249" s="106"/>
      <c r="QZ249" s="106"/>
      <c r="RA249" s="106"/>
      <c r="RB249" s="106"/>
      <c r="RC249" s="106"/>
      <c r="RD249" s="106"/>
      <c r="RE249" s="106"/>
      <c r="RF249" s="106"/>
      <c r="RG249" s="106"/>
      <c r="RH249" s="106"/>
      <c r="RI249" s="106"/>
      <c r="RJ249" s="106"/>
      <c r="RK249" s="106"/>
      <c r="RL249" s="106"/>
    </row>
    <row r="250" spans="88:480" x14ac:dyDescent="0.3">
      <c r="CJ250" s="103"/>
      <c r="FP250" s="103"/>
      <c r="LL250" s="103"/>
      <c r="NM250" s="103"/>
      <c r="QT250" s="106"/>
      <c r="QU250" s="106"/>
      <c r="QV250" s="106"/>
      <c r="QW250" s="106"/>
      <c r="QX250" s="106"/>
      <c r="QY250" s="106"/>
      <c r="QZ250" s="106"/>
      <c r="RA250" s="106"/>
      <c r="RB250" s="106"/>
      <c r="RC250" s="106"/>
      <c r="RD250" s="106"/>
      <c r="RE250" s="106"/>
      <c r="RF250" s="106"/>
      <c r="RG250" s="106"/>
      <c r="RH250" s="106"/>
      <c r="RI250" s="106"/>
      <c r="RJ250" s="106"/>
      <c r="RK250" s="106"/>
      <c r="RL250" s="106"/>
    </row>
    <row r="251" spans="88:480" x14ac:dyDescent="0.3">
      <c r="CJ251" s="103"/>
      <c r="FP251" s="103"/>
      <c r="LL251" s="103"/>
      <c r="NM251" s="103"/>
      <c r="QT251" s="106"/>
      <c r="QU251" s="106"/>
      <c r="QV251" s="106"/>
      <c r="QW251" s="106"/>
      <c r="QX251" s="106"/>
      <c r="QY251" s="106"/>
      <c r="QZ251" s="106"/>
      <c r="RA251" s="106"/>
      <c r="RB251" s="106"/>
      <c r="RC251" s="106"/>
      <c r="RD251" s="106"/>
      <c r="RE251" s="106"/>
      <c r="RF251" s="106"/>
      <c r="RG251" s="106"/>
      <c r="RH251" s="106"/>
      <c r="RI251" s="106"/>
      <c r="RJ251" s="106"/>
      <c r="RK251" s="106"/>
      <c r="RL251" s="106"/>
    </row>
    <row r="252" spans="88:480" x14ac:dyDescent="0.3">
      <c r="CJ252" s="103"/>
      <c r="FP252" s="103"/>
      <c r="LL252" s="103"/>
      <c r="NM252" s="103"/>
      <c r="QT252" s="106"/>
      <c r="QU252" s="106"/>
      <c r="QV252" s="106"/>
      <c r="QW252" s="106"/>
      <c r="QX252" s="106"/>
      <c r="QY252" s="106"/>
      <c r="QZ252" s="106"/>
      <c r="RA252" s="106"/>
      <c r="RB252" s="106"/>
      <c r="RC252" s="106"/>
      <c r="RD252" s="106"/>
      <c r="RE252" s="106"/>
      <c r="RF252" s="106"/>
      <c r="RG252" s="106"/>
      <c r="RH252" s="106"/>
      <c r="RI252" s="106"/>
      <c r="RJ252" s="106"/>
      <c r="RK252" s="106"/>
      <c r="RL252" s="106"/>
    </row>
    <row r="253" spans="88:480" x14ac:dyDescent="0.3">
      <c r="CJ253" s="103"/>
      <c r="FP253" s="103"/>
      <c r="LL253" s="103"/>
      <c r="NM253" s="103"/>
      <c r="QT253" s="106"/>
      <c r="QU253" s="106"/>
      <c r="QV253" s="106"/>
      <c r="QW253" s="106"/>
      <c r="QX253" s="106"/>
      <c r="QY253" s="106"/>
      <c r="QZ253" s="106"/>
      <c r="RA253" s="106"/>
      <c r="RB253" s="106"/>
      <c r="RC253" s="106"/>
      <c r="RD253" s="106"/>
      <c r="RE253" s="106"/>
      <c r="RF253" s="106"/>
      <c r="RG253" s="106"/>
      <c r="RH253" s="106"/>
      <c r="RI253" s="106"/>
      <c r="RJ253" s="106"/>
      <c r="RK253" s="106"/>
      <c r="RL253" s="106"/>
    </row>
    <row r="254" spans="88:480" x14ac:dyDescent="0.3">
      <c r="CJ254" s="103"/>
      <c r="FP254" s="103"/>
      <c r="LL254" s="103"/>
      <c r="NM254" s="103"/>
      <c r="QT254" s="106"/>
      <c r="QU254" s="106"/>
      <c r="QV254" s="106"/>
      <c r="QW254" s="106"/>
      <c r="QX254" s="106"/>
      <c r="QY254" s="106"/>
      <c r="QZ254" s="106"/>
      <c r="RA254" s="106"/>
      <c r="RB254" s="106"/>
      <c r="RC254" s="106"/>
      <c r="RD254" s="106"/>
      <c r="RE254" s="106"/>
      <c r="RF254" s="106"/>
      <c r="RG254" s="106"/>
      <c r="RH254" s="106"/>
      <c r="RI254" s="106"/>
      <c r="RJ254" s="106"/>
      <c r="RK254" s="106"/>
      <c r="RL254" s="106"/>
    </row>
    <row r="255" spans="88:480" x14ac:dyDescent="0.3">
      <c r="CJ255" s="103"/>
      <c r="FP255" s="103"/>
      <c r="LL255" s="103"/>
      <c r="NM255" s="103"/>
      <c r="QT255" s="106"/>
      <c r="QU255" s="106"/>
      <c r="QV255" s="106"/>
      <c r="QW255" s="106"/>
      <c r="QX255" s="106"/>
      <c r="QY255" s="106"/>
      <c r="QZ255" s="106"/>
      <c r="RA255" s="106"/>
      <c r="RB255" s="106"/>
      <c r="RC255" s="106"/>
      <c r="RD255" s="106"/>
      <c r="RE255" s="106"/>
      <c r="RF255" s="106"/>
      <c r="RG255" s="106"/>
      <c r="RH255" s="106"/>
      <c r="RI255" s="106"/>
      <c r="RJ255" s="106"/>
      <c r="RK255" s="106"/>
      <c r="RL255" s="106"/>
    </row>
    <row r="256" spans="88:480" x14ac:dyDescent="0.3">
      <c r="CJ256" s="103"/>
      <c r="FP256" s="103"/>
      <c r="LL256" s="103"/>
      <c r="NM256" s="103"/>
      <c r="QT256" s="106"/>
      <c r="QU256" s="106"/>
      <c r="QV256" s="106"/>
      <c r="QW256" s="106"/>
      <c r="QX256" s="106"/>
      <c r="QY256" s="106"/>
      <c r="QZ256" s="106"/>
      <c r="RA256" s="106"/>
      <c r="RB256" s="106"/>
      <c r="RC256" s="106"/>
      <c r="RD256" s="106"/>
      <c r="RE256" s="106"/>
      <c r="RF256" s="106"/>
      <c r="RG256" s="106"/>
      <c r="RH256" s="106"/>
      <c r="RI256" s="106"/>
      <c r="RJ256" s="106"/>
      <c r="RK256" s="106"/>
      <c r="RL256" s="106"/>
    </row>
    <row r="257" spans="88:480" x14ac:dyDescent="0.3">
      <c r="CJ257" s="103"/>
      <c r="FP257" s="103"/>
      <c r="LL257" s="103"/>
      <c r="NM257" s="103"/>
      <c r="QT257" s="106"/>
      <c r="QU257" s="106"/>
      <c r="QV257" s="106"/>
      <c r="QW257" s="106"/>
      <c r="QX257" s="106"/>
      <c r="QY257" s="106"/>
      <c r="QZ257" s="106"/>
      <c r="RA257" s="106"/>
      <c r="RB257" s="106"/>
      <c r="RC257" s="106"/>
      <c r="RD257" s="106"/>
      <c r="RE257" s="106"/>
      <c r="RF257" s="106"/>
      <c r="RG257" s="106"/>
      <c r="RH257" s="106"/>
      <c r="RI257" s="106"/>
      <c r="RJ257" s="106"/>
      <c r="RK257" s="106"/>
      <c r="RL257" s="106"/>
    </row>
    <row r="258" spans="88:480" x14ac:dyDescent="0.3">
      <c r="CJ258" s="103"/>
      <c r="FP258" s="103"/>
      <c r="LL258" s="103"/>
      <c r="NM258" s="103"/>
      <c r="QT258" s="106"/>
      <c r="QU258" s="106"/>
      <c r="QV258" s="106"/>
      <c r="QW258" s="106"/>
      <c r="QX258" s="106"/>
      <c r="QY258" s="106"/>
      <c r="QZ258" s="106"/>
      <c r="RA258" s="106"/>
      <c r="RB258" s="106"/>
      <c r="RC258" s="106"/>
      <c r="RD258" s="106"/>
      <c r="RE258" s="106"/>
      <c r="RF258" s="106"/>
      <c r="RG258" s="106"/>
      <c r="RH258" s="106"/>
      <c r="RI258" s="106"/>
      <c r="RJ258" s="106"/>
      <c r="RK258" s="106"/>
      <c r="RL258" s="106"/>
    </row>
    <row r="259" spans="88:480" x14ac:dyDescent="0.3">
      <c r="CJ259" s="103"/>
      <c r="FP259" s="103"/>
      <c r="LL259" s="103"/>
      <c r="NM259" s="103"/>
      <c r="QT259" s="106"/>
      <c r="QU259" s="106"/>
      <c r="QV259" s="106"/>
      <c r="QW259" s="106"/>
      <c r="QX259" s="106"/>
      <c r="QY259" s="106"/>
      <c r="QZ259" s="106"/>
      <c r="RA259" s="106"/>
      <c r="RB259" s="106"/>
      <c r="RC259" s="106"/>
      <c r="RD259" s="106"/>
      <c r="RE259" s="106"/>
      <c r="RF259" s="106"/>
      <c r="RG259" s="106"/>
      <c r="RH259" s="106"/>
      <c r="RI259" s="106"/>
      <c r="RJ259" s="106"/>
      <c r="RK259" s="106"/>
      <c r="RL259" s="106"/>
    </row>
    <row r="260" spans="88:480" x14ac:dyDescent="0.3">
      <c r="CJ260" s="103"/>
      <c r="FP260" s="103"/>
      <c r="LL260" s="103"/>
      <c r="NM260" s="103"/>
      <c r="QT260" s="106"/>
      <c r="QU260" s="106"/>
      <c r="QV260" s="106"/>
      <c r="QW260" s="106"/>
      <c r="QX260" s="106"/>
      <c r="QY260" s="106"/>
      <c r="QZ260" s="106"/>
      <c r="RA260" s="106"/>
      <c r="RB260" s="106"/>
      <c r="RC260" s="106"/>
      <c r="RD260" s="106"/>
      <c r="RE260" s="106"/>
      <c r="RF260" s="106"/>
      <c r="RG260" s="106"/>
      <c r="RH260" s="106"/>
      <c r="RI260" s="106"/>
      <c r="RJ260" s="106"/>
      <c r="RK260" s="106"/>
      <c r="RL260" s="106"/>
    </row>
    <row r="261" spans="88:480" x14ac:dyDescent="0.3">
      <c r="CJ261" s="103"/>
      <c r="FP261" s="103"/>
      <c r="LL261" s="103"/>
      <c r="NM261" s="103"/>
      <c r="QT261" s="106"/>
      <c r="QU261" s="106"/>
      <c r="QV261" s="106"/>
      <c r="QW261" s="106"/>
      <c r="QX261" s="106"/>
      <c r="QY261" s="106"/>
      <c r="QZ261" s="106"/>
      <c r="RA261" s="106"/>
      <c r="RB261" s="106"/>
      <c r="RC261" s="106"/>
      <c r="RD261" s="106"/>
      <c r="RE261" s="106"/>
      <c r="RF261" s="106"/>
      <c r="RG261" s="106"/>
      <c r="RH261" s="106"/>
      <c r="RI261" s="106"/>
      <c r="RJ261" s="106"/>
      <c r="RK261" s="106"/>
      <c r="RL261" s="106"/>
    </row>
    <row r="262" spans="88:480" x14ac:dyDescent="0.3">
      <c r="CJ262" s="103"/>
      <c r="FP262" s="103"/>
      <c r="LL262" s="103"/>
      <c r="NM262" s="103"/>
      <c r="QT262" s="106"/>
      <c r="QU262" s="106"/>
      <c r="QV262" s="106"/>
      <c r="QW262" s="106"/>
      <c r="QX262" s="106"/>
      <c r="QY262" s="106"/>
      <c r="QZ262" s="106"/>
      <c r="RA262" s="106"/>
      <c r="RB262" s="106"/>
      <c r="RC262" s="106"/>
      <c r="RD262" s="106"/>
      <c r="RE262" s="106"/>
      <c r="RF262" s="106"/>
      <c r="RG262" s="106"/>
      <c r="RH262" s="106"/>
      <c r="RI262" s="106"/>
      <c r="RJ262" s="106"/>
      <c r="RK262" s="106"/>
      <c r="RL262" s="106"/>
    </row>
    <row r="263" spans="88:480" x14ac:dyDescent="0.3">
      <c r="CJ263" s="103"/>
      <c r="FP263" s="103"/>
      <c r="LL263" s="103"/>
      <c r="NM263" s="103"/>
      <c r="QT263" s="106"/>
      <c r="QU263" s="106"/>
      <c r="QV263" s="106"/>
      <c r="QW263" s="106"/>
      <c r="QX263" s="106"/>
      <c r="QY263" s="106"/>
      <c r="QZ263" s="106"/>
      <c r="RA263" s="106"/>
      <c r="RB263" s="106"/>
      <c r="RC263" s="106"/>
      <c r="RD263" s="106"/>
      <c r="RE263" s="106"/>
      <c r="RF263" s="106"/>
      <c r="RG263" s="106"/>
      <c r="RH263" s="106"/>
      <c r="RI263" s="106"/>
      <c r="RJ263" s="106"/>
      <c r="RK263" s="106"/>
      <c r="RL263" s="106"/>
    </row>
    <row r="264" spans="88:480" x14ac:dyDescent="0.3">
      <c r="CJ264" s="103"/>
      <c r="FP264" s="103"/>
      <c r="LL264" s="103"/>
      <c r="NM264" s="103"/>
      <c r="QT264" s="106"/>
      <c r="QU264" s="106"/>
      <c r="QV264" s="106"/>
      <c r="QW264" s="106"/>
      <c r="QX264" s="106"/>
      <c r="QY264" s="106"/>
      <c r="QZ264" s="106"/>
      <c r="RA264" s="106"/>
      <c r="RB264" s="106"/>
      <c r="RC264" s="106"/>
      <c r="RD264" s="106"/>
      <c r="RE264" s="106"/>
      <c r="RF264" s="106"/>
      <c r="RG264" s="106"/>
      <c r="RH264" s="106"/>
      <c r="RI264" s="106"/>
      <c r="RJ264" s="106"/>
      <c r="RK264" s="106"/>
      <c r="RL264" s="106"/>
    </row>
    <row r="265" spans="88:480" x14ac:dyDescent="0.3">
      <c r="CJ265" s="103"/>
      <c r="FP265" s="103"/>
      <c r="LL265" s="103"/>
      <c r="NM265" s="103"/>
      <c r="QT265" s="106"/>
      <c r="QU265" s="106"/>
      <c r="QV265" s="106"/>
      <c r="QW265" s="106"/>
      <c r="QX265" s="106"/>
      <c r="QY265" s="106"/>
      <c r="QZ265" s="106"/>
      <c r="RA265" s="106"/>
      <c r="RB265" s="106"/>
      <c r="RC265" s="106"/>
      <c r="RD265" s="106"/>
      <c r="RE265" s="106"/>
      <c r="RF265" s="106"/>
      <c r="RG265" s="106"/>
      <c r="RH265" s="106"/>
      <c r="RI265" s="106"/>
      <c r="RJ265" s="106"/>
      <c r="RK265" s="106"/>
      <c r="RL265" s="106"/>
    </row>
    <row r="266" spans="88:480" x14ac:dyDescent="0.3">
      <c r="CJ266" s="103"/>
      <c r="FP266" s="103"/>
      <c r="LL266" s="103"/>
      <c r="NM266" s="103"/>
      <c r="QT266" s="106"/>
      <c r="QU266" s="106"/>
      <c r="QV266" s="106"/>
      <c r="QW266" s="106"/>
      <c r="QX266" s="106"/>
      <c r="QY266" s="106"/>
      <c r="QZ266" s="106"/>
      <c r="RA266" s="106"/>
      <c r="RB266" s="106"/>
      <c r="RC266" s="106"/>
      <c r="RD266" s="106"/>
      <c r="RE266" s="106"/>
      <c r="RF266" s="106"/>
      <c r="RG266" s="106"/>
      <c r="RH266" s="106"/>
      <c r="RI266" s="106"/>
      <c r="RJ266" s="106"/>
      <c r="RK266" s="106"/>
      <c r="RL266" s="106"/>
    </row>
    <row r="267" spans="88:480" x14ac:dyDescent="0.3">
      <c r="CJ267" s="103"/>
      <c r="FP267" s="103"/>
      <c r="LL267" s="103"/>
      <c r="NM267" s="103"/>
      <c r="QT267" s="106"/>
      <c r="QU267" s="106"/>
      <c r="QV267" s="106"/>
      <c r="QW267" s="106"/>
      <c r="QX267" s="106"/>
      <c r="QY267" s="106"/>
      <c r="QZ267" s="106"/>
      <c r="RA267" s="106"/>
      <c r="RB267" s="106"/>
      <c r="RC267" s="106"/>
      <c r="RD267" s="106"/>
      <c r="RE267" s="106"/>
      <c r="RF267" s="106"/>
      <c r="RG267" s="106"/>
      <c r="RH267" s="106"/>
      <c r="RI267" s="106"/>
      <c r="RJ267" s="106"/>
      <c r="RK267" s="106"/>
      <c r="RL267" s="106"/>
    </row>
    <row r="268" spans="88:480" x14ac:dyDescent="0.3">
      <c r="CJ268" s="103"/>
      <c r="FP268" s="103"/>
      <c r="LL268" s="103"/>
      <c r="NM268" s="103"/>
      <c r="QT268" s="106"/>
      <c r="QU268" s="106"/>
      <c r="QV268" s="106"/>
      <c r="QW268" s="106"/>
      <c r="QX268" s="106"/>
      <c r="QY268" s="106"/>
      <c r="QZ268" s="106"/>
      <c r="RA268" s="106"/>
      <c r="RB268" s="106"/>
      <c r="RC268" s="106"/>
      <c r="RD268" s="106"/>
      <c r="RE268" s="106"/>
      <c r="RF268" s="106"/>
      <c r="RG268" s="106"/>
      <c r="RH268" s="106"/>
      <c r="RI268" s="106"/>
      <c r="RJ268" s="106"/>
      <c r="RK268" s="106"/>
      <c r="RL268" s="106"/>
    </row>
    <row r="269" spans="88:480" x14ac:dyDescent="0.3">
      <c r="CJ269" s="103"/>
      <c r="FP269" s="103"/>
      <c r="LL269" s="103"/>
      <c r="NM269" s="103"/>
      <c r="QT269" s="106"/>
      <c r="QU269" s="106"/>
      <c r="QV269" s="106"/>
      <c r="QW269" s="106"/>
      <c r="QX269" s="106"/>
      <c r="QY269" s="106"/>
      <c r="QZ269" s="106"/>
      <c r="RA269" s="106"/>
      <c r="RB269" s="106"/>
      <c r="RC269" s="106"/>
      <c r="RD269" s="106"/>
      <c r="RE269" s="106"/>
      <c r="RF269" s="106"/>
      <c r="RG269" s="106"/>
      <c r="RH269" s="106"/>
      <c r="RI269" s="106"/>
      <c r="RJ269" s="106"/>
      <c r="RK269" s="106"/>
      <c r="RL269" s="106"/>
    </row>
    <row r="270" spans="88:480" x14ac:dyDescent="0.3">
      <c r="CJ270" s="103"/>
      <c r="FP270" s="103"/>
      <c r="LL270" s="103"/>
      <c r="NM270" s="103"/>
      <c r="QT270" s="106"/>
      <c r="QU270" s="106"/>
      <c r="QV270" s="106"/>
      <c r="QW270" s="106"/>
      <c r="QX270" s="106"/>
      <c r="QY270" s="106"/>
      <c r="QZ270" s="106"/>
      <c r="RA270" s="106"/>
      <c r="RB270" s="106"/>
      <c r="RC270" s="106"/>
      <c r="RD270" s="106"/>
      <c r="RE270" s="106"/>
      <c r="RF270" s="106"/>
      <c r="RG270" s="106"/>
      <c r="RH270" s="106"/>
      <c r="RI270" s="106"/>
      <c r="RJ270" s="106"/>
      <c r="RK270" s="106"/>
      <c r="RL270" s="106"/>
    </row>
    <row r="271" spans="88:480" x14ac:dyDescent="0.3">
      <c r="CJ271" s="103"/>
      <c r="FP271" s="103"/>
      <c r="LL271" s="103"/>
      <c r="NM271" s="103"/>
      <c r="QT271" s="106"/>
      <c r="QU271" s="106"/>
      <c r="QV271" s="106"/>
      <c r="QW271" s="106"/>
      <c r="QX271" s="106"/>
      <c r="QY271" s="106"/>
      <c r="QZ271" s="106"/>
      <c r="RA271" s="106"/>
      <c r="RB271" s="106"/>
      <c r="RC271" s="106"/>
      <c r="RD271" s="106"/>
      <c r="RE271" s="106"/>
      <c r="RF271" s="106"/>
      <c r="RG271" s="106"/>
      <c r="RH271" s="106"/>
      <c r="RI271" s="106"/>
      <c r="RJ271" s="106"/>
      <c r="RK271" s="106"/>
      <c r="RL271" s="106"/>
    </row>
    <row r="272" spans="88:480" x14ac:dyDescent="0.3">
      <c r="CJ272" s="103"/>
      <c r="FP272" s="103"/>
      <c r="LL272" s="103"/>
      <c r="NM272" s="103"/>
      <c r="QT272" s="106"/>
      <c r="QU272" s="106"/>
      <c r="QV272" s="106"/>
      <c r="QW272" s="106"/>
      <c r="QX272" s="106"/>
      <c r="QY272" s="106"/>
      <c r="QZ272" s="106"/>
      <c r="RA272" s="106"/>
      <c r="RB272" s="106"/>
      <c r="RC272" s="106"/>
      <c r="RD272" s="106"/>
      <c r="RE272" s="106"/>
      <c r="RF272" s="106"/>
      <c r="RG272" s="106"/>
      <c r="RH272" s="106"/>
      <c r="RI272" s="106"/>
      <c r="RJ272" s="106"/>
      <c r="RK272" s="106"/>
      <c r="RL272" s="106"/>
    </row>
    <row r="273" spans="88:480" x14ac:dyDescent="0.3">
      <c r="CJ273" s="103"/>
      <c r="FP273" s="103"/>
      <c r="LL273" s="103"/>
      <c r="NM273" s="103"/>
      <c r="QT273" s="106"/>
      <c r="QU273" s="106"/>
      <c r="QV273" s="106"/>
      <c r="QW273" s="106"/>
      <c r="QX273" s="106"/>
      <c r="QY273" s="106"/>
      <c r="QZ273" s="106"/>
      <c r="RA273" s="106"/>
      <c r="RB273" s="106"/>
      <c r="RC273" s="106"/>
      <c r="RD273" s="106"/>
      <c r="RE273" s="106"/>
      <c r="RF273" s="106"/>
      <c r="RG273" s="106"/>
      <c r="RH273" s="106"/>
      <c r="RI273" s="106"/>
      <c r="RJ273" s="106"/>
      <c r="RK273" s="106"/>
      <c r="RL273" s="106"/>
    </row>
    <row r="274" spans="88:480" x14ac:dyDescent="0.3">
      <c r="CJ274" s="103"/>
      <c r="FP274" s="103"/>
      <c r="LL274" s="103"/>
      <c r="NM274" s="103"/>
      <c r="QT274" s="106"/>
      <c r="QU274" s="106"/>
      <c r="QV274" s="106"/>
      <c r="QW274" s="106"/>
      <c r="QX274" s="106"/>
      <c r="QY274" s="106"/>
      <c r="QZ274" s="106"/>
      <c r="RA274" s="106"/>
      <c r="RB274" s="106"/>
      <c r="RC274" s="106"/>
      <c r="RD274" s="106"/>
      <c r="RE274" s="106"/>
      <c r="RF274" s="106"/>
      <c r="RG274" s="106"/>
      <c r="RH274" s="106"/>
      <c r="RI274" s="106"/>
      <c r="RJ274" s="106"/>
      <c r="RK274" s="106"/>
      <c r="RL274" s="106"/>
    </row>
    <row r="275" spans="88:480" x14ac:dyDescent="0.3">
      <c r="CJ275" s="103"/>
      <c r="FP275" s="103"/>
      <c r="LL275" s="103"/>
      <c r="NM275" s="103"/>
      <c r="QT275" s="106"/>
      <c r="QU275" s="106"/>
      <c r="QV275" s="106"/>
      <c r="QW275" s="106"/>
      <c r="QX275" s="106"/>
      <c r="QY275" s="106"/>
      <c r="QZ275" s="106"/>
      <c r="RA275" s="106"/>
      <c r="RB275" s="106"/>
      <c r="RC275" s="106"/>
      <c r="RD275" s="106"/>
      <c r="RE275" s="106"/>
      <c r="RF275" s="106"/>
      <c r="RG275" s="106"/>
      <c r="RH275" s="106"/>
      <c r="RI275" s="106"/>
      <c r="RJ275" s="106"/>
      <c r="RK275" s="106"/>
      <c r="RL275" s="106"/>
    </row>
    <row r="276" spans="88:480" x14ac:dyDescent="0.3">
      <c r="CJ276" s="103"/>
      <c r="FP276" s="103"/>
      <c r="LL276" s="103"/>
      <c r="NM276" s="103"/>
      <c r="QT276" s="106"/>
      <c r="QU276" s="106"/>
      <c r="QV276" s="106"/>
      <c r="QW276" s="106"/>
      <c r="QX276" s="106"/>
      <c r="QY276" s="106"/>
      <c r="QZ276" s="106"/>
      <c r="RA276" s="106"/>
      <c r="RB276" s="106"/>
      <c r="RC276" s="106"/>
      <c r="RD276" s="106"/>
      <c r="RE276" s="106"/>
      <c r="RF276" s="106"/>
      <c r="RG276" s="106"/>
      <c r="RH276" s="106"/>
      <c r="RI276" s="106"/>
      <c r="RJ276" s="106"/>
      <c r="RK276" s="106"/>
      <c r="RL276" s="106"/>
    </row>
    <row r="277" spans="88:480" x14ac:dyDescent="0.3">
      <c r="CJ277" s="103"/>
      <c r="FP277" s="103"/>
      <c r="LL277" s="103"/>
      <c r="NM277" s="103"/>
      <c r="QT277" s="106"/>
      <c r="QU277" s="106"/>
      <c r="QV277" s="106"/>
      <c r="QW277" s="106"/>
      <c r="QX277" s="106"/>
      <c r="QY277" s="106"/>
      <c r="QZ277" s="106"/>
      <c r="RA277" s="106"/>
      <c r="RB277" s="106"/>
      <c r="RC277" s="106"/>
      <c r="RD277" s="106"/>
      <c r="RE277" s="106"/>
      <c r="RF277" s="106"/>
      <c r="RG277" s="106"/>
      <c r="RH277" s="106"/>
      <c r="RI277" s="106"/>
      <c r="RJ277" s="106"/>
      <c r="RK277" s="106"/>
      <c r="RL277" s="106"/>
    </row>
    <row r="278" spans="88:480" x14ac:dyDescent="0.3">
      <c r="CJ278" s="103"/>
      <c r="FP278" s="103"/>
      <c r="LL278" s="103"/>
      <c r="NM278" s="103"/>
      <c r="QT278" s="106"/>
      <c r="QU278" s="106"/>
      <c r="QV278" s="106"/>
      <c r="QW278" s="106"/>
      <c r="QX278" s="106"/>
      <c r="QY278" s="106"/>
      <c r="QZ278" s="106"/>
      <c r="RA278" s="106"/>
      <c r="RB278" s="106"/>
      <c r="RC278" s="106"/>
      <c r="RD278" s="106"/>
      <c r="RE278" s="106"/>
      <c r="RF278" s="106"/>
      <c r="RG278" s="106"/>
      <c r="RH278" s="106"/>
      <c r="RI278" s="106"/>
      <c r="RJ278" s="106"/>
      <c r="RK278" s="106"/>
      <c r="RL278" s="106"/>
    </row>
    <row r="279" spans="88:480" x14ac:dyDescent="0.3">
      <c r="CJ279" s="103"/>
      <c r="FP279" s="103"/>
      <c r="LL279" s="103"/>
      <c r="NM279" s="103"/>
      <c r="QT279" s="106"/>
      <c r="QU279" s="106"/>
      <c r="QV279" s="106"/>
      <c r="QW279" s="106"/>
      <c r="QX279" s="106"/>
      <c r="QY279" s="106"/>
      <c r="QZ279" s="106"/>
      <c r="RA279" s="106"/>
      <c r="RB279" s="106"/>
      <c r="RC279" s="106"/>
      <c r="RD279" s="106"/>
      <c r="RE279" s="106"/>
      <c r="RF279" s="106"/>
      <c r="RG279" s="106"/>
      <c r="RH279" s="106"/>
      <c r="RI279" s="106"/>
      <c r="RJ279" s="106"/>
      <c r="RK279" s="106"/>
      <c r="RL279" s="106"/>
    </row>
    <row r="280" spans="88:480" x14ac:dyDescent="0.3">
      <c r="CJ280" s="103"/>
      <c r="FP280" s="103"/>
      <c r="LL280" s="103"/>
      <c r="NM280" s="103"/>
      <c r="QT280" s="106"/>
      <c r="QU280" s="106"/>
      <c r="QV280" s="106"/>
      <c r="QW280" s="106"/>
      <c r="QX280" s="106"/>
      <c r="QY280" s="106"/>
      <c r="QZ280" s="106"/>
      <c r="RA280" s="106"/>
      <c r="RB280" s="106"/>
      <c r="RC280" s="106"/>
      <c r="RD280" s="106"/>
      <c r="RE280" s="106"/>
      <c r="RF280" s="106"/>
      <c r="RG280" s="106"/>
      <c r="RH280" s="106"/>
      <c r="RI280" s="106"/>
      <c r="RJ280" s="106"/>
      <c r="RK280" s="106"/>
      <c r="RL280" s="106"/>
    </row>
    <row r="281" spans="88:480" x14ac:dyDescent="0.3">
      <c r="CJ281" s="103"/>
      <c r="FP281" s="103"/>
      <c r="LL281" s="103"/>
      <c r="NM281" s="103"/>
      <c r="QT281" s="106"/>
      <c r="QU281" s="106"/>
      <c r="QV281" s="106"/>
      <c r="QW281" s="106"/>
      <c r="QX281" s="106"/>
      <c r="QY281" s="106"/>
      <c r="QZ281" s="106"/>
      <c r="RA281" s="106"/>
      <c r="RB281" s="106"/>
      <c r="RC281" s="106"/>
      <c r="RD281" s="106"/>
      <c r="RE281" s="106"/>
      <c r="RF281" s="106"/>
      <c r="RG281" s="106"/>
      <c r="RH281" s="106"/>
      <c r="RI281" s="106"/>
      <c r="RJ281" s="106"/>
      <c r="RK281" s="106"/>
      <c r="RL281" s="106"/>
    </row>
    <row r="282" spans="88:480" x14ac:dyDescent="0.3">
      <c r="CJ282" s="103"/>
      <c r="FP282" s="103"/>
      <c r="LL282" s="103"/>
      <c r="NM282" s="103"/>
      <c r="QT282" s="106"/>
      <c r="QU282" s="106"/>
      <c r="QV282" s="106"/>
      <c r="QW282" s="106"/>
      <c r="QX282" s="106"/>
      <c r="QY282" s="106"/>
      <c r="QZ282" s="106"/>
      <c r="RA282" s="106"/>
      <c r="RB282" s="106"/>
      <c r="RC282" s="106"/>
      <c r="RD282" s="106"/>
      <c r="RE282" s="106"/>
      <c r="RF282" s="106"/>
      <c r="RG282" s="106"/>
      <c r="RH282" s="106"/>
      <c r="RI282" s="106"/>
      <c r="RJ282" s="106"/>
      <c r="RK282" s="106"/>
      <c r="RL282" s="106"/>
    </row>
    <row r="283" spans="88:480" x14ac:dyDescent="0.3">
      <c r="CJ283" s="103"/>
      <c r="FP283" s="103"/>
      <c r="LL283" s="103"/>
      <c r="NM283" s="103"/>
      <c r="QT283" s="106"/>
      <c r="QU283" s="106"/>
      <c r="QV283" s="106"/>
      <c r="QW283" s="106"/>
      <c r="QX283" s="106"/>
      <c r="QY283" s="106"/>
      <c r="QZ283" s="106"/>
      <c r="RA283" s="106"/>
      <c r="RB283" s="106"/>
      <c r="RC283" s="106"/>
      <c r="RD283" s="106"/>
      <c r="RE283" s="106"/>
      <c r="RF283" s="106"/>
      <c r="RG283" s="106"/>
      <c r="RH283" s="106"/>
      <c r="RI283" s="106"/>
      <c r="RJ283" s="106"/>
      <c r="RK283" s="106"/>
      <c r="RL283" s="106"/>
    </row>
    <row r="284" spans="88:480" x14ac:dyDescent="0.3">
      <c r="CJ284" s="103"/>
      <c r="FP284" s="103"/>
      <c r="LL284" s="103"/>
      <c r="NM284" s="103"/>
      <c r="QT284" s="106"/>
      <c r="QU284" s="106"/>
      <c r="QV284" s="106"/>
      <c r="QW284" s="106"/>
      <c r="QX284" s="106"/>
      <c r="QY284" s="106"/>
      <c r="QZ284" s="106"/>
      <c r="RA284" s="106"/>
      <c r="RB284" s="106"/>
      <c r="RC284" s="106"/>
      <c r="RD284" s="106"/>
      <c r="RE284" s="106"/>
      <c r="RF284" s="106"/>
      <c r="RG284" s="106"/>
      <c r="RH284" s="106"/>
      <c r="RI284" s="106"/>
      <c r="RJ284" s="106"/>
      <c r="RK284" s="106"/>
      <c r="RL284" s="106"/>
    </row>
    <row r="285" spans="88:480" x14ac:dyDescent="0.3">
      <c r="CJ285" s="103"/>
      <c r="FP285" s="103"/>
      <c r="LL285" s="103"/>
      <c r="NM285" s="103"/>
      <c r="QT285" s="106"/>
      <c r="QU285" s="106"/>
      <c r="QV285" s="106"/>
      <c r="QW285" s="106"/>
      <c r="QX285" s="106"/>
      <c r="QY285" s="106"/>
      <c r="QZ285" s="106"/>
      <c r="RA285" s="106"/>
      <c r="RB285" s="106"/>
      <c r="RC285" s="106"/>
      <c r="RD285" s="106"/>
      <c r="RE285" s="106"/>
      <c r="RF285" s="106"/>
      <c r="RG285" s="106"/>
      <c r="RH285" s="106"/>
      <c r="RI285" s="106"/>
      <c r="RJ285" s="106"/>
      <c r="RK285" s="106"/>
      <c r="RL285" s="106"/>
    </row>
    <row r="286" spans="88:480" x14ac:dyDescent="0.3">
      <c r="CJ286" s="103"/>
      <c r="FP286" s="103"/>
      <c r="LL286" s="103"/>
      <c r="NM286" s="103"/>
      <c r="QT286" s="106"/>
      <c r="QU286" s="106"/>
      <c r="QV286" s="106"/>
      <c r="QW286" s="106"/>
      <c r="QX286" s="106"/>
      <c r="QY286" s="106"/>
      <c r="QZ286" s="106"/>
      <c r="RA286" s="106"/>
      <c r="RB286" s="106"/>
      <c r="RC286" s="106"/>
      <c r="RD286" s="106"/>
      <c r="RE286" s="106"/>
      <c r="RF286" s="106"/>
      <c r="RG286" s="106"/>
      <c r="RH286" s="106"/>
      <c r="RI286" s="106"/>
      <c r="RJ286" s="106"/>
      <c r="RK286" s="106"/>
      <c r="RL286" s="106"/>
    </row>
    <row r="287" spans="88:480" x14ac:dyDescent="0.3">
      <c r="CJ287" s="103"/>
      <c r="FP287" s="103"/>
      <c r="LL287" s="103"/>
      <c r="NM287" s="103"/>
      <c r="QT287" s="106"/>
      <c r="QU287" s="106"/>
      <c r="QV287" s="106"/>
      <c r="QW287" s="106"/>
      <c r="QX287" s="106"/>
      <c r="QY287" s="106"/>
      <c r="QZ287" s="106"/>
      <c r="RA287" s="106"/>
      <c r="RB287" s="106"/>
      <c r="RC287" s="106"/>
      <c r="RD287" s="106"/>
      <c r="RE287" s="106"/>
      <c r="RF287" s="106"/>
      <c r="RG287" s="106"/>
      <c r="RH287" s="106"/>
      <c r="RI287" s="106"/>
      <c r="RJ287" s="106"/>
      <c r="RK287" s="106"/>
      <c r="RL287" s="106"/>
    </row>
    <row r="288" spans="88:480" x14ac:dyDescent="0.3">
      <c r="CJ288" s="103"/>
      <c r="FP288" s="103"/>
      <c r="LL288" s="103"/>
      <c r="NM288" s="103"/>
      <c r="QT288" s="106"/>
      <c r="QU288" s="106"/>
      <c r="QV288" s="106"/>
      <c r="QW288" s="106"/>
      <c r="QX288" s="106"/>
      <c r="QY288" s="106"/>
      <c r="QZ288" s="106"/>
      <c r="RA288" s="106"/>
      <c r="RB288" s="106"/>
      <c r="RC288" s="106"/>
      <c r="RD288" s="106"/>
      <c r="RE288" s="106"/>
      <c r="RF288" s="106"/>
      <c r="RG288" s="106"/>
      <c r="RH288" s="106"/>
      <c r="RI288" s="106"/>
      <c r="RJ288" s="106"/>
      <c r="RK288" s="106"/>
      <c r="RL288" s="106"/>
    </row>
    <row r="289" spans="88:480" x14ac:dyDescent="0.3">
      <c r="CJ289" s="103"/>
      <c r="FP289" s="103"/>
      <c r="LL289" s="103"/>
      <c r="NM289" s="103"/>
      <c r="QT289" s="106"/>
      <c r="QU289" s="106"/>
      <c r="QV289" s="106"/>
      <c r="QW289" s="106"/>
      <c r="QX289" s="106"/>
      <c r="QY289" s="106"/>
      <c r="QZ289" s="106"/>
      <c r="RA289" s="106"/>
      <c r="RB289" s="106"/>
      <c r="RC289" s="106"/>
      <c r="RD289" s="106"/>
      <c r="RE289" s="106"/>
      <c r="RF289" s="106"/>
      <c r="RG289" s="106"/>
      <c r="RH289" s="106"/>
      <c r="RI289" s="106"/>
      <c r="RJ289" s="106"/>
      <c r="RK289" s="106"/>
      <c r="RL289" s="106"/>
    </row>
    <row r="290" spans="88:480" x14ac:dyDescent="0.3">
      <c r="CJ290" s="103"/>
      <c r="FP290" s="103"/>
      <c r="LL290" s="103"/>
      <c r="NM290" s="103"/>
      <c r="QT290" s="106"/>
      <c r="QU290" s="106"/>
      <c r="QV290" s="106"/>
      <c r="QW290" s="106"/>
      <c r="QX290" s="106"/>
      <c r="QY290" s="106"/>
      <c r="QZ290" s="106"/>
      <c r="RA290" s="106"/>
      <c r="RB290" s="106"/>
      <c r="RC290" s="106"/>
      <c r="RD290" s="106"/>
      <c r="RE290" s="106"/>
      <c r="RF290" s="106"/>
      <c r="RG290" s="106"/>
      <c r="RH290" s="106"/>
      <c r="RI290" s="106"/>
      <c r="RJ290" s="106"/>
      <c r="RK290" s="106"/>
      <c r="RL290" s="106"/>
    </row>
    <row r="291" spans="88:480" x14ac:dyDescent="0.3">
      <c r="CJ291" s="103"/>
      <c r="FP291" s="103"/>
      <c r="LL291" s="103"/>
      <c r="NM291" s="103"/>
      <c r="QT291" s="106"/>
      <c r="QU291" s="106"/>
      <c r="QV291" s="106"/>
      <c r="QW291" s="106"/>
      <c r="QX291" s="106"/>
      <c r="QY291" s="106"/>
      <c r="QZ291" s="106"/>
      <c r="RA291" s="106"/>
      <c r="RB291" s="106"/>
      <c r="RC291" s="106"/>
      <c r="RD291" s="106"/>
      <c r="RE291" s="106"/>
      <c r="RF291" s="106"/>
      <c r="RG291" s="106"/>
      <c r="RH291" s="106"/>
      <c r="RI291" s="106"/>
      <c r="RJ291" s="106"/>
      <c r="RK291" s="106"/>
      <c r="RL291" s="106"/>
    </row>
    <row r="292" spans="88:480" x14ac:dyDescent="0.3">
      <c r="CJ292" s="103"/>
      <c r="FP292" s="103"/>
      <c r="LL292" s="103"/>
      <c r="NM292" s="103"/>
      <c r="QT292" s="106"/>
      <c r="QU292" s="106"/>
      <c r="QV292" s="106"/>
      <c r="QW292" s="106"/>
      <c r="QX292" s="106"/>
      <c r="QY292" s="106"/>
      <c r="QZ292" s="106"/>
      <c r="RA292" s="106"/>
      <c r="RB292" s="106"/>
      <c r="RC292" s="106"/>
      <c r="RD292" s="106"/>
      <c r="RE292" s="106"/>
      <c r="RF292" s="106"/>
      <c r="RG292" s="106"/>
      <c r="RH292" s="106"/>
      <c r="RI292" s="106"/>
      <c r="RJ292" s="106"/>
      <c r="RK292" s="106"/>
      <c r="RL292" s="106"/>
    </row>
    <row r="293" spans="88:480" x14ac:dyDescent="0.3">
      <c r="CJ293" s="103"/>
      <c r="FP293" s="103"/>
      <c r="LL293" s="103"/>
      <c r="NM293" s="103"/>
      <c r="QT293" s="106"/>
      <c r="QU293" s="106"/>
      <c r="QV293" s="106"/>
      <c r="QW293" s="106"/>
      <c r="QX293" s="106"/>
      <c r="QY293" s="106"/>
      <c r="QZ293" s="106"/>
      <c r="RA293" s="106"/>
      <c r="RB293" s="106"/>
      <c r="RC293" s="106"/>
      <c r="RD293" s="106"/>
      <c r="RE293" s="106"/>
      <c r="RF293" s="106"/>
      <c r="RG293" s="106"/>
      <c r="RH293" s="106"/>
      <c r="RI293" s="106"/>
      <c r="RJ293" s="106"/>
      <c r="RK293" s="106"/>
      <c r="RL293" s="106"/>
    </row>
    <row r="294" spans="88:480" x14ac:dyDescent="0.3">
      <c r="CJ294" s="103"/>
      <c r="FP294" s="103"/>
      <c r="LL294" s="103"/>
      <c r="NM294" s="103"/>
      <c r="QT294" s="106"/>
      <c r="QU294" s="106"/>
      <c r="QV294" s="106"/>
      <c r="QW294" s="106"/>
      <c r="QX294" s="106"/>
      <c r="QY294" s="106"/>
      <c r="QZ294" s="106"/>
      <c r="RA294" s="106"/>
      <c r="RB294" s="106"/>
      <c r="RC294" s="106"/>
      <c r="RD294" s="106"/>
      <c r="RE294" s="106"/>
      <c r="RF294" s="106"/>
      <c r="RG294" s="106"/>
      <c r="RH294" s="106"/>
      <c r="RI294" s="106"/>
      <c r="RJ294" s="106"/>
      <c r="RK294" s="106"/>
      <c r="RL294" s="106"/>
    </row>
    <row r="295" spans="88:480" x14ac:dyDescent="0.3">
      <c r="CJ295" s="103"/>
      <c r="FP295" s="103"/>
      <c r="LL295" s="103"/>
      <c r="NM295" s="103"/>
      <c r="QT295" s="106"/>
      <c r="QU295" s="106"/>
      <c r="QV295" s="106"/>
      <c r="QW295" s="106"/>
      <c r="QX295" s="106"/>
      <c r="QY295" s="106"/>
      <c r="QZ295" s="106"/>
      <c r="RA295" s="106"/>
      <c r="RB295" s="106"/>
      <c r="RC295" s="106"/>
      <c r="RD295" s="106"/>
      <c r="RE295" s="106"/>
      <c r="RF295" s="106"/>
      <c r="RG295" s="106"/>
      <c r="RH295" s="106"/>
      <c r="RI295" s="106"/>
      <c r="RJ295" s="106"/>
      <c r="RK295" s="106"/>
      <c r="RL295" s="106"/>
    </row>
    <row r="296" spans="88:480" x14ac:dyDescent="0.3">
      <c r="CJ296" s="103"/>
      <c r="FP296" s="103"/>
      <c r="LL296" s="103"/>
      <c r="NM296" s="103"/>
      <c r="QT296" s="106"/>
      <c r="QU296" s="106"/>
      <c r="QV296" s="106"/>
      <c r="QW296" s="106"/>
      <c r="QX296" s="106"/>
      <c r="QY296" s="106"/>
      <c r="QZ296" s="106"/>
      <c r="RA296" s="106"/>
      <c r="RB296" s="106"/>
      <c r="RC296" s="106"/>
      <c r="RD296" s="106"/>
      <c r="RE296" s="106"/>
      <c r="RF296" s="106"/>
      <c r="RG296" s="106"/>
      <c r="RH296" s="106"/>
      <c r="RI296" s="106"/>
      <c r="RJ296" s="106"/>
      <c r="RK296" s="106"/>
      <c r="RL296" s="106"/>
    </row>
    <row r="297" spans="88:480" x14ac:dyDescent="0.3">
      <c r="CJ297" s="103"/>
      <c r="FP297" s="103"/>
      <c r="LL297" s="103"/>
      <c r="NM297" s="103"/>
      <c r="QT297" s="106"/>
      <c r="QU297" s="106"/>
      <c r="QV297" s="106"/>
      <c r="QW297" s="106"/>
      <c r="QX297" s="106"/>
      <c r="QY297" s="106"/>
      <c r="QZ297" s="106"/>
      <c r="RA297" s="106"/>
      <c r="RB297" s="106"/>
      <c r="RC297" s="106"/>
      <c r="RD297" s="106"/>
      <c r="RE297" s="106"/>
      <c r="RF297" s="106"/>
      <c r="RG297" s="106"/>
      <c r="RH297" s="106"/>
      <c r="RI297" s="106"/>
      <c r="RJ297" s="106"/>
      <c r="RK297" s="106"/>
      <c r="RL297" s="106"/>
    </row>
    <row r="298" spans="88:480" x14ac:dyDescent="0.3">
      <c r="CJ298" s="103"/>
      <c r="FP298" s="103"/>
      <c r="LL298" s="103"/>
      <c r="NM298" s="103"/>
      <c r="QT298" s="106"/>
      <c r="QU298" s="106"/>
      <c r="QV298" s="106"/>
      <c r="QW298" s="106"/>
      <c r="QX298" s="106"/>
      <c r="QY298" s="106"/>
      <c r="QZ298" s="106"/>
      <c r="RA298" s="106"/>
      <c r="RB298" s="106"/>
      <c r="RC298" s="106"/>
      <c r="RD298" s="106"/>
      <c r="RE298" s="106"/>
      <c r="RF298" s="106"/>
      <c r="RG298" s="106"/>
      <c r="RH298" s="106"/>
      <c r="RI298" s="106"/>
      <c r="RJ298" s="106"/>
      <c r="RK298" s="106"/>
      <c r="RL298" s="106"/>
    </row>
    <row r="299" spans="88:480" x14ac:dyDescent="0.3">
      <c r="CJ299" s="103"/>
      <c r="FP299" s="103"/>
      <c r="LL299" s="103"/>
      <c r="NM299" s="103"/>
      <c r="QT299" s="106"/>
      <c r="QU299" s="106"/>
      <c r="QV299" s="106"/>
      <c r="QW299" s="106"/>
      <c r="QX299" s="106"/>
      <c r="QY299" s="106"/>
      <c r="QZ299" s="106"/>
      <c r="RA299" s="106"/>
      <c r="RB299" s="106"/>
      <c r="RC299" s="106"/>
      <c r="RD299" s="106"/>
      <c r="RE299" s="106"/>
      <c r="RF299" s="106"/>
      <c r="RG299" s="106"/>
      <c r="RH299" s="106"/>
      <c r="RI299" s="106"/>
      <c r="RJ299" s="106"/>
      <c r="RK299" s="106"/>
      <c r="RL299" s="106"/>
    </row>
    <row r="300" spans="88:480" x14ac:dyDescent="0.3">
      <c r="CJ300" s="103"/>
      <c r="FP300" s="103"/>
      <c r="LL300" s="103"/>
      <c r="NM300" s="103"/>
      <c r="QT300" s="106"/>
      <c r="QU300" s="106"/>
      <c r="QV300" s="106"/>
      <c r="QW300" s="106"/>
      <c r="QX300" s="106"/>
      <c r="QY300" s="106"/>
      <c r="QZ300" s="106"/>
      <c r="RA300" s="106"/>
      <c r="RB300" s="106"/>
      <c r="RC300" s="106"/>
      <c r="RD300" s="106"/>
      <c r="RE300" s="106"/>
      <c r="RF300" s="106"/>
      <c r="RG300" s="106"/>
      <c r="RH300" s="106"/>
      <c r="RI300" s="106"/>
      <c r="RJ300" s="106"/>
      <c r="RK300" s="106"/>
      <c r="RL300" s="106"/>
    </row>
    <row r="301" spans="88:480" x14ac:dyDescent="0.3">
      <c r="CJ301" s="103"/>
      <c r="FP301" s="103"/>
      <c r="LL301" s="103"/>
      <c r="NM301" s="103"/>
      <c r="QT301" s="106"/>
      <c r="QU301" s="106"/>
      <c r="QV301" s="106"/>
      <c r="QW301" s="106"/>
      <c r="QX301" s="106"/>
      <c r="QY301" s="106"/>
      <c r="QZ301" s="106"/>
      <c r="RA301" s="106"/>
      <c r="RB301" s="106"/>
      <c r="RC301" s="106"/>
      <c r="RD301" s="106"/>
      <c r="RE301" s="106"/>
      <c r="RF301" s="106"/>
      <c r="RG301" s="106"/>
      <c r="RH301" s="106"/>
      <c r="RI301" s="106"/>
      <c r="RJ301" s="106"/>
      <c r="RK301" s="106"/>
      <c r="RL301" s="106"/>
    </row>
    <row r="302" spans="88:480" x14ac:dyDescent="0.3">
      <c r="CJ302" s="103"/>
      <c r="FP302" s="103"/>
      <c r="LL302" s="103"/>
      <c r="NM302" s="103"/>
      <c r="QT302" s="106"/>
      <c r="QU302" s="106"/>
      <c r="QV302" s="106"/>
      <c r="QW302" s="106"/>
      <c r="QX302" s="106"/>
      <c r="QY302" s="106"/>
      <c r="QZ302" s="106"/>
      <c r="RA302" s="106"/>
      <c r="RB302" s="106"/>
      <c r="RC302" s="106"/>
      <c r="RD302" s="106"/>
      <c r="RE302" s="106"/>
      <c r="RF302" s="106"/>
      <c r="RG302" s="106"/>
      <c r="RH302" s="106"/>
      <c r="RI302" s="106"/>
      <c r="RJ302" s="106"/>
      <c r="RK302" s="106"/>
      <c r="RL302" s="106"/>
    </row>
    <row r="303" spans="88:480" x14ac:dyDescent="0.3">
      <c r="CJ303" s="103"/>
      <c r="FP303" s="103"/>
      <c r="LL303" s="103"/>
      <c r="NM303" s="103"/>
      <c r="QT303" s="106"/>
      <c r="QU303" s="106"/>
      <c r="QV303" s="106"/>
      <c r="QW303" s="106"/>
      <c r="QX303" s="106"/>
      <c r="QY303" s="106"/>
      <c r="QZ303" s="106"/>
      <c r="RA303" s="106"/>
      <c r="RB303" s="106"/>
      <c r="RC303" s="106"/>
      <c r="RD303" s="106"/>
      <c r="RE303" s="106"/>
      <c r="RF303" s="106"/>
      <c r="RG303" s="106"/>
      <c r="RH303" s="106"/>
      <c r="RI303" s="106"/>
      <c r="RJ303" s="106"/>
      <c r="RK303" s="106"/>
      <c r="RL303" s="106"/>
    </row>
    <row r="304" spans="88:480" x14ac:dyDescent="0.3">
      <c r="CJ304" s="103"/>
      <c r="FP304" s="103"/>
      <c r="LL304" s="103"/>
      <c r="NM304" s="103"/>
      <c r="QT304" s="106"/>
      <c r="QU304" s="106"/>
      <c r="QV304" s="106"/>
      <c r="QW304" s="106"/>
      <c r="QX304" s="106"/>
      <c r="QY304" s="106"/>
      <c r="QZ304" s="106"/>
      <c r="RA304" s="106"/>
      <c r="RB304" s="106"/>
      <c r="RC304" s="106"/>
      <c r="RD304" s="106"/>
      <c r="RE304" s="106"/>
      <c r="RF304" s="106"/>
      <c r="RG304" s="106"/>
      <c r="RH304" s="106"/>
      <c r="RI304" s="106"/>
      <c r="RJ304" s="106"/>
      <c r="RK304" s="106"/>
      <c r="RL304" s="106"/>
    </row>
    <row r="305" spans="88:480" x14ac:dyDescent="0.3">
      <c r="CJ305" s="103"/>
      <c r="FP305" s="103"/>
      <c r="LL305" s="103"/>
      <c r="NM305" s="103"/>
      <c r="QT305" s="106"/>
      <c r="QU305" s="106"/>
      <c r="QV305" s="106"/>
      <c r="QW305" s="106"/>
      <c r="QX305" s="106"/>
      <c r="QY305" s="106"/>
      <c r="QZ305" s="106"/>
      <c r="RA305" s="106"/>
      <c r="RB305" s="106"/>
      <c r="RC305" s="106"/>
      <c r="RD305" s="106"/>
      <c r="RE305" s="106"/>
      <c r="RF305" s="106"/>
      <c r="RG305" s="106"/>
      <c r="RH305" s="106"/>
      <c r="RI305" s="106"/>
      <c r="RJ305" s="106"/>
      <c r="RK305" s="106"/>
      <c r="RL305" s="106"/>
    </row>
    <row r="306" spans="88:480" x14ac:dyDescent="0.3">
      <c r="CJ306" s="103"/>
      <c r="FP306" s="103"/>
      <c r="LL306" s="103"/>
      <c r="NM306" s="103"/>
      <c r="QT306" s="106"/>
      <c r="QU306" s="106"/>
      <c r="QV306" s="106"/>
      <c r="QW306" s="106"/>
      <c r="QX306" s="106"/>
      <c r="QY306" s="106"/>
      <c r="QZ306" s="106"/>
      <c r="RA306" s="106"/>
      <c r="RB306" s="106"/>
      <c r="RC306" s="106"/>
      <c r="RD306" s="106"/>
      <c r="RE306" s="106"/>
      <c r="RF306" s="106"/>
      <c r="RG306" s="106"/>
      <c r="RH306" s="106"/>
      <c r="RI306" s="106"/>
      <c r="RJ306" s="106"/>
      <c r="RK306" s="106"/>
      <c r="RL306" s="106"/>
    </row>
    <row r="307" spans="88:480" x14ac:dyDescent="0.3">
      <c r="CJ307" s="103"/>
      <c r="FP307" s="103"/>
      <c r="LL307" s="103"/>
      <c r="NM307" s="103"/>
      <c r="QT307" s="106"/>
      <c r="QU307" s="106"/>
      <c r="QV307" s="106"/>
      <c r="QW307" s="106"/>
      <c r="QX307" s="106"/>
      <c r="QY307" s="106"/>
      <c r="QZ307" s="106"/>
      <c r="RA307" s="106"/>
      <c r="RB307" s="106"/>
      <c r="RC307" s="106"/>
      <c r="RD307" s="106"/>
      <c r="RE307" s="106"/>
      <c r="RF307" s="106"/>
      <c r="RG307" s="106"/>
      <c r="RH307" s="106"/>
      <c r="RI307" s="106"/>
      <c r="RJ307" s="106"/>
      <c r="RK307" s="106"/>
      <c r="RL307" s="106"/>
    </row>
    <row r="308" spans="88:480" x14ac:dyDescent="0.3">
      <c r="CJ308" s="103"/>
      <c r="FP308" s="103"/>
      <c r="LL308" s="103"/>
      <c r="NM308" s="103"/>
      <c r="QT308" s="106"/>
      <c r="QU308" s="106"/>
      <c r="QV308" s="106"/>
      <c r="QW308" s="106"/>
      <c r="QX308" s="106"/>
      <c r="QY308" s="106"/>
      <c r="QZ308" s="106"/>
      <c r="RA308" s="106"/>
      <c r="RB308" s="106"/>
      <c r="RC308" s="106"/>
      <c r="RD308" s="106"/>
      <c r="RE308" s="106"/>
      <c r="RF308" s="106"/>
      <c r="RG308" s="106"/>
      <c r="RH308" s="106"/>
      <c r="RI308" s="106"/>
      <c r="RJ308" s="106"/>
      <c r="RK308" s="106"/>
      <c r="RL308" s="106"/>
    </row>
    <row r="309" spans="88:480" x14ac:dyDescent="0.3">
      <c r="CJ309" s="103"/>
      <c r="FP309" s="103"/>
      <c r="LL309" s="103"/>
      <c r="NM309" s="103"/>
      <c r="QT309" s="106"/>
      <c r="QU309" s="106"/>
      <c r="QV309" s="106"/>
      <c r="QW309" s="106"/>
      <c r="QX309" s="106"/>
      <c r="QY309" s="106"/>
      <c r="QZ309" s="106"/>
      <c r="RA309" s="106"/>
      <c r="RB309" s="106"/>
      <c r="RC309" s="106"/>
      <c r="RD309" s="106"/>
      <c r="RE309" s="106"/>
      <c r="RF309" s="106"/>
      <c r="RG309" s="106"/>
      <c r="RH309" s="106"/>
      <c r="RI309" s="106"/>
      <c r="RJ309" s="106"/>
      <c r="RK309" s="106"/>
      <c r="RL309" s="106"/>
    </row>
    <row r="310" spans="88:480" x14ac:dyDescent="0.3">
      <c r="CJ310" s="103"/>
      <c r="FP310" s="103"/>
      <c r="LL310" s="103"/>
      <c r="NM310" s="103"/>
      <c r="QT310" s="106"/>
      <c r="QU310" s="106"/>
      <c r="QV310" s="106"/>
      <c r="QW310" s="106"/>
      <c r="QX310" s="106"/>
      <c r="QY310" s="106"/>
      <c r="QZ310" s="106"/>
      <c r="RA310" s="106"/>
      <c r="RB310" s="106"/>
      <c r="RC310" s="106"/>
      <c r="RD310" s="106"/>
      <c r="RE310" s="106"/>
      <c r="RF310" s="106"/>
      <c r="RG310" s="106"/>
      <c r="RH310" s="106"/>
      <c r="RI310" s="106"/>
      <c r="RJ310" s="106"/>
      <c r="RK310" s="106"/>
      <c r="RL310" s="106"/>
    </row>
    <row r="311" spans="88:480" x14ac:dyDescent="0.3">
      <c r="CJ311" s="103"/>
      <c r="FP311" s="103"/>
      <c r="LL311" s="103"/>
      <c r="NM311" s="103"/>
      <c r="QT311" s="106"/>
      <c r="QU311" s="106"/>
      <c r="QV311" s="106"/>
      <c r="QW311" s="106"/>
      <c r="QX311" s="106"/>
      <c r="QY311" s="106"/>
      <c r="QZ311" s="106"/>
      <c r="RA311" s="106"/>
      <c r="RB311" s="106"/>
      <c r="RC311" s="106"/>
      <c r="RD311" s="106"/>
      <c r="RE311" s="106"/>
      <c r="RF311" s="106"/>
      <c r="RG311" s="106"/>
      <c r="RH311" s="106"/>
      <c r="RI311" s="106"/>
      <c r="RJ311" s="106"/>
      <c r="RK311" s="106"/>
      <c r="RL311" s="106"/>
    </row>
    <row r="312" spans="88:480" x14ac:dyDescent="0.3">
      <c r="CJ312" s="103"/>
      <c r="FP312" s="103"/>
      <c r="LL312" s="103"/>
      <c r="NM312" s="103"/>
      <c r="QT312" s="106"/>
      <c r="QU312" s="106"/>
      <c r="QV312" s="106"/>
      <c r="QW312" s="106"/>
      <c r="QX312" s="106"/>
      <c r="QY312" s="106"/>
      <c r="QZ312" s="106"/>
      <c r="RA312" s="106"/>
      <c r="RB312" s="106"/>
      <c r="RC312" s="106"/>
      <c r="RD312" s="106"/>
      <c r="RE312" s="106"/>
      <c r="RF312" s="106"/>
      <c r="RG312" s="106"/>
      <c r="RH312" s="106"/>
      <c r="RI312" s="106"/>
      <c r="RJ312" s="106"/>
      <c r="RK312" s="106"/>
      <c r="RL312" s="106"/>
    </row>
    <row r="313" spans="88:480" x14ac:dyDescent="0.3">
      <c r="CJ313" s="103"/>
      <c r="FP313" s="103"/>
      <c r="LL313" s="103"/>
      <c r="NM313" s="103"/>
      <c r="QT313" s="106"/>
      <c r="QU313" s="106"/>
      <c r="QV313" s="106"/>
      <c r="QW313" s="106"/>
      <c r="QX313" s="106"/>
      <c r="QY313" s="106"/>
      <c r="QZ313" s="106"/>
      <c r="RA313" s="106"/>
      <c r="RB313" s="106"/>
      <c r="RC313" s="106"/>
      <c r="RD313" s="106"/>
      <c r="RE313" s="106"/>
      <c r="RF313" s="106"/>
      <c r="RG313" s="106"/>
      <c r="RH313" s="106"/>
      <c r="RI313" s="106"/>
      <c r="RJ313" s="106"/>
      <c r="RK313" s="106"/>
      <c r="RL313" s="106"/>
    </row>
    <row r="314" spans="88:480" x14ac:dyDescent="0.3">
      <c r="CJ314" s="103"/>
      <c r="FP314" s="103"/>
      <c r="LL314" s="103"/>
      <c r="NM314" s="103"/>
      <c r="QT314" s="106"/>
      <c r="QU314" s="106"/>
      <c r="QV314" s="106"/>
      <c r="QW314" s="106"/>
      <c r="QX314" s="106"/>
      <c r="QY314" s="106"/>
      <c r="QZ314" s="106"/>
      <c r="RA314" s="106"/>
      <c r="RB314" s="106"/>
      <c r="RC314" s="106"/>
      <c r="RD314" s="106"/>
      <c r="RE314" s="106"/>
      <c r="RF314" s="106"/>
      <c r="RG314" s="106"/>
      <c r="RH314" s="106"/>
      <c r="RI314" s="106"/>
      <c r="RJ314" s="106"/>
      <c r="RK314" s="106"/>
      <c r="RL314" s="106"/>
    </row>
    <row r="315" spans="88:480" x14ac:dyDescent="0.3">
      <c r="CJ315" s="103"/>
      <c r="FP315" s="103"/>
      <c r="LL315" s="103"/>
      <c r="NM315" s="103"/>
      <c r="QT315" s="106"/>
      <c r="QU315" s="106"/>
      <c r="QV315" s="106"/>
      <c r="QW315" s="106"/>
      <c r="QX315" s="106"/>
      <c r="QY315" s="106"/>
      <c r="QZ315" s="106"/>
      <c r="RA315" s="106"/>
      <c r="RB315" s="106"/>
      <c r="RC315" s="106"/>
      <c r="RD315" s="106"/>
      <c r="RE315" s="106"/>
      <c r="RF315" s="106"/>
      <c r="RG315" s="106"/>
      <c r="RH315" s="106"/>
      <c r="RI315" s="106"/>
      <c r="RJ315" s="106"/>
      <c r="RK315" s="106"/>
      <c r="RL315" s="106"/>
    </row>
    <row r="316" spans="88:480" x14ac:dyDescent="0.3">
      <c r="CJ316" s="103"/>
      <c r="FP316" s="103"/>
      <c r="LL316" s="103"/>
      <c r="NM316" s="103"/>
      <c r="QT316" s="106"/>
      <c r="QU316" s="106"/>
      <c r="QV316" s="106"/>
      <c r="QW316" s="106"/>
      <c r="QX316" s="106"/>
      <c r="QY316" s="106"/>
      <c r="QZ316" s="106"/>
      <c r="RA316" s="106"/>
      <c r="RB316" s="106"/>
      <c r="RC316" s="106"/>
      <c r="RD316" s="106"/>
      <c r="RE316" s="106"/>
      <c r="RF316" s="106"/>
      <c r="RG316" s="106"/>
      <c r="RH316" s="106"/>
      <c r="RI316" s="106"/>
      <c r="RJ316" s="106"/>
      <c r="RK316" s="106"/>
      <c r="RL316" s="106"/>
    </row>
    <row r="317" spans="88:480" x14ac:dyDescent="0.3">
      <c r="CJ317" s="103"/>
      <c r="FP317" s="103"/>
      <c r="LL317" s="103"/>
      <c r="NM317" s="103"/>
      <c r="QT317" s="106"/>
      <c r="QU317" s="106"/>
      <c r="QV317" s="106"/>
      <c r="QW317" s="106"/>
      <c r="QX317" s="106"/>
      <c r="QY317" s="106"/>
      <c r="QZ317" s="106"/>
      <c r="RA317" s="106"/>
      <c r="RB317" s="106"/>
      <c r="RC317" s="106"/>
      <c r="RD317" s="106"/>
      <c r="RE317" s="106"/>
      <c r="RF317" s="106"/>
      <c r="RG317" s="106"/>
      <c r="RH317" s="106"/>
      <c r="RI317" s="106"/>
      <c r="RJ317" s="106"/>
      <c r="RK317" s="106"/>
      <c r="RL317" s="106"/>
    </row>
    <row r="318" spans="88:480" x14ac:dyDescent="0.3">
      <c r="CJ318" s="103"/>
      <c r="FP318" s="103"/>
      <c r="LL318" s="103"/>
      <c r="NM318" s="103"/>
      <c r="QT318" s="106"/>
      <c r="QU318" s="106"/>
      <c r="QV318" s="106"/>
      <c r="QW318" s="106"/>
      <c r="QX318" s="106"/>
      <c r="QY318" s="106"/>
      <c r="QZ318" s="106"/>
      <c r="RA318" s="106"/>
      <c r="RB318" s="106"/>
      <c r="RC318" s="106"/>
      <c r="RD318" s="106"/>
      <c r="RE318" s="106"/>
      <c r="RF318" s="106"/>
      <c r="RG318" s="106"/>
      <c r="RH318" s="106"/>
      <c r="RI318" s="106"/>
      <c r="RJ318" s="106"/>
      <c r="RK318" s="106"/>
      <c r="RL318" s="106"/>
    </row>
    <row r="319" spans="88:480" x14ac:dyDescent="0.3">
      <c r="CJ319" s="103"/>
      <c r="FP319" s="103"/>
      <c r="LL319" s="103"/>
      <c r="NM319" s="103"/>
      <c r="QT319" s="106"/>
      <c r="QU319" s="106"/>
      <c r="QV319" s="106"/>
      <c r="QW319" s="106"/>
      <c r="QX319" s="106"/>
      <c r="QY319" s="106"/>
      <c r="QZ319" s="106"/>
      <c r="RA319" s="106"/>
      <c r="RB319" s="106"/>
      <c r="RC319" s="106"/>
      <c r="RD319" s="106"/>
      <c r="RE319" s="106"/>
      <c r="RF319" s="106"/>
      <c r="RG319" s="106"/>
      <c r="RH319" s="106"/>
      <c r="RI319" s="106"/>
      <c r="RJ319" s="106"/>
      <c r="RK319" s="106"/>
      <c r="RL319" s="106"/>
    </row>
    <row r="320" spans="88:480" x14ac:dyDescent="0.3">
      <c r="CJ320" s="103"/>
      <c r="FP320" s="103"/>
      <c r="LL320" s="103"/>
      <c r="NM320" s="103"/>
      <c r="QT320" s="106"/>
      <c r="QU320" s="106"/>
      <c r="QV320" s="106"/>
      <c r="QW320" s="106"/>
      <c r="QX320" s="106"/>
      <c r="QY320" s="106"/>
      <c r="QZ320" s="106"/>
      <c r="RA320" s="106"/>
      <c r="RB320" s="106"/>
      <c r="RC320" s="106"/>
      <c r="RD320" s="106"/>
      <c r="RE320" s="106"/>
      <c r="RF320" s="106"/>
      <c r="RG320" s="106"/>
      <c r="RH320" s="106"/>
      <c r="RI320" s="106"/>
      <c r="RJ320" s="106"/>
      <c r="RK320" s="106"/>
      <c r="RL320" s="106"/>
    </row>
    <row r="321" spans="48:480" x14ac:dyDescent="0.3">
      <c r="CJ321" s="103"/>
      <c r="FP321" s="103"/>
      <c r="LL321" s="103"/>
      <c r="NM321" s="103"/>
      <c r="QT321" s="106"/>
      <c r="QU321" s="106"/>
      <c r="QV321" s="106"/>
      <c r="QW321" s="106"/>
      <c r="QX321" s="106"/>
      <c r="QY321" s="106"/>
      <c r="QZ321" s="106"/>
      <c r="RA321" s="106"/>
      <c r="RB321" s="106"/>
      <c r="RC321" s="106"/>
      <c r="RD321" s="106"/>
      <c r="RE321" s="106"/>
      <c r="RF321" s="106"/>
      <c r="RG321" s="106"/>
      <c r="RH321" s="106"/>
      <c r="RI321" s="106"/>
      <c r="RJ321" s="106"/>
      <c r="RK321" s="106"/>
      <c r="RL321" s="106"/>
    </row>
    <row r="322" spans="48:480" x14ac:dyDescent="0.3">
      <c r="CJ322" s="103"/>
      <c r="FP322" s="103"/>
      <c r="LL322" s="103"/>
      <c r="NM322" s="103"/>
      <c r="QT322" s="106"/>
      <c r="QU322" s="106"/>
      <c r="QV322" s="106"/>
      <c r="QW322" s="106"/>
      <c r="QX322" s="106"/>
      <c r="QY322" s="106"/>
      <c r="QZ322" s="106"/>
      <c r="RA322" s="106"/>
      <c r="RB322" s="106"/>
      <c r="RC322" s="106"/>
      <c r="RD322" s="106"/>
      <c r="RE322" s="106"/>
      <c r="RF322" s="106"/>
      <c r="RG322" s="106"/>
      <c r="RH322" s="106"/>
      <c r="RI322" s="106"/>
      <c r="RJ322" s="106"/>
      <c r="RK322" s="106"/>
      <c r="RL322" s="106"/>
    </row>
    <row r="323" spans="48:480" x14ac:dyDescent="0.3">
      <c r="CJ323" s="103"/>
      <c r="FP323" s="103"/>
      <c r="LL323" s="103"/>
      <c r="NM323" s="103"/>
      <c r="QT323" s="106"/>
      <c r="QU323" s="106"/>
      <c r="QV323" s="106"/>
      <c r="QW323" s="106"/>
      <c r="QX323" s="106"/>
      <c r="QY323" s="106"/>
      <c r="QZ323" s="106"/>
      <c r="RA323" s="106"/>
      <c r="RB323" s="106"/>
      <c r="RC323" s="106"/>
      <c r="RD323" s="106"/>
      <c r="RE323" s="106"/>
      <c r="RF323" s="106"/>
      <c r="RG323" s="106"/>
      <c r="RH323" s="106"/>
      <c r="RI323" s="106"/>
      <c r="RJ323" s="106"/>
      <c r="RK323" s="106"/>
      <c r="RL323" s="106"/>
    </row>
    <row r="324" spans="48:480" x14ac:dyDescent="0.3">
      <c r="CJ324" s="103"/>
      <c r="FP324" s="103"/>
      <c r="LL324" s="103"/>
      <c r="NM324" s="103"/>
      <c r="QT324" s="106"/>
      <c r="QU324" s="106"/>
      <c r="QV324" s="106"/>
      <c r="QW324" s="106"/>
      <c r="QX324" s="106"/>
      <c r="QY324" s="106"/>
      <c r="QZ324" s="106"/>
      <c r="RA324" s="106"/>
      <c r="RB324" s="106"/>
      <c r="RC324" s="106"/>
      <c r="RD324" s="106"/>
      <c r="RE324" s="106"/>
      <c r="RF324" s="106"/>
      <c r="RG324" s="106"/>
      <c r="RH324" s="106"/>
      <c r="RI324" s="106"/>
      <c r="RJ324" s="106"/>
      <c r="RK324" s="106"/>
      <c r="RL324" s="106"/>
    </row>
    <row r="325" spans="48:480" x14ac:dyDescent="0.3">
      <c r="CJ325" s="103"/>
      <c r="FP325" s="103"/>
      <c r="LL325" s="103"/>
      <c r="NM325" s="103"/>
      <c r="QT325" s="106"/>
      <c r="QU325" s="106"/>
      <c r="QV325" s="106"/>
      <c r="QW325" s="106"/>
      <c r="QX325" s="106"/>
      <c r="QY325" s="106"/>
      <c r="QZ325" s="106"/>
      <c r="RA325" s="106"/>
      <c r="RB325" s="106"/>
      <c r="RC325" s="106"/>
      <c r="RD325" s="106"/>
      <c r="RE325" s="106"/>
      <c r="RF325" s="106"/>
      <c r="RG325" s="106"/>
      <c r="RH325" s="106"/>
      <c r="RI325" s="106"/>
      <c r="RJ325" s="106"/>
      <c r="RK325" s="106"/>
      <c r="RL325" s="106"/>
    </row>
    <row r="326" spans="48:480" x14ac:dyDescent="0.3">
      <c r="CJ326" s="103"/>
      <c r="FP326" s="103"/>
      <c r="LL326" s="103"/>
      <c r="NM326" s="103"/>
      <c r="QT326" s="106"/>
      <c r="QU326" s="106"/>
      <c r="QV326" s="106"/>
      <c r="QW326" s="106"/>
      <c r="QX326" s="106"/>
      <c r="QY326" s="106"/>
      <c r="QZ326" s="106"/>
      <c r="RA326" s="106"/>
      <c r="RB326" s="106"/>
      <c r="RC326" s="106"/>
      <c r="RD326" s="106"/>
      <c r="RE326" s="106"/>
      <c r="RF326" s="106"/>
      <c r="RG326" s="106"/>
      <c r="RH326" s="106"/>
      <c r="RI326" s="106"/>
      <c r="RJ326" s="106"/>
      <c r="RK326" s="106"/>
      <c r="RL326" s="106"/>
    </row>
    <row r="327" spans="48:480" x14ac:dyDescent="0.3">
      <c r="CJ327" s="103"/>
      <c r="FP327" s="103"/>
      <c r="LL327" s="103"/>
      <c r="NM327" s="103"/>
      <c r="QT327" s="106"/>
      <c r="QU327" s="106"/>
      <c r="QV327" s="106"/>
      <c r="QW327" s="106"/>
      <c r="QX327" s="106"/>
      <c r="QY327" s="106"/>
      <c r="QZ327" s="106"/>
      <c r="RA327" s="106"/>
      <c r="RB327" s="106"/>
      <c r="RC327" s="106"/>
      <c r="RD327" s="106"/>
      <c r="RE327" s="106"/>
      <c r="RF327" s="106"/>
      <c r="RG327" s="106"/>
      <c r="RH327" s="106"/>
      <c r="RI327" s="106"/>
      <c r="RJ327" s="106"/>
      <c r="RK327" s="106"/>
      <c r="RL327" s="106"/>
    </row>
    <row r="328" spans="48:480" x14ac:dyDescent="0.3">
      <c r="CJ328" s="103"/>
      <c r="FP328" s="103"/>
      <c r="LL328" s="103"/>
      <c r="NM328" s="103"/>
      <c r="QT328" s="106"/>
      <c r="QU328" s="106"/>
      <c r="QV328" s="106"/>
      <c r="QW328" s="106"/>
      <c r="QX328" s="106"/>
      <c r="QY328" s="106"/>
      <c r="QZ328" s="106"/>
      <c r="RA328" s="106"/>
      <c r="RB328" s="106"/>
      <c r="RC328" s="106"/>
      <c r="RD328" s="106"/>
      <c r="RE328" s="106"/>
      <c r="RF328" s="106"/>
      <c r="RG328" s="106"/>
      <c r="RH328" s="106"/>
      <c r="RI328" s="106"/>
      <c r="RJ328" s="106"/>
      <c r="RK328" s="106"/>
      <c r="RL328" s="106"/>
    </row>
    <row r="329" spans="48:480" x14ac:dyDescent="0.3">
      <c r="AV329" s="103"/>
      <c r="CJ329" s="103"/>
      <c r="FP329" s="103"/>
      <c r="LL329" s="103"/>
      <c r="NM329" s="103"/>
      <c r="QT329" s="106"/>
      <c r="QU329" s="106"/>
      <c r="QV329" s="106"/>
      <c r="QW329" s="106"/>
      <c r="QX329" s="106"/>
      <c r="QY329" s="106"/>
      <c r="QZ329" s="106"/>
      <c r="RA329" s="106"/>
      <c r="RB329" s="106"/>
      <c r="RC329" s="106"/>
      <c r="RD329" s="106"/>
      <c r="RE329" s="106"/>
      <c r="RF329" s="106"/>
      <c r="RG329" s="106"/>
      <c r="RH329" s="106"/>
      <c r="RI329" s="106"/>
      <c r="RJ329" s="106"/>
      <c r="RK329" s="106"/>
      <c r="RL329" s="106"/>
    </row>
    <row r="330" spans="48:480" x14ac:dyDescent="0.3">
      <c r="AV330" s="103"/>
      <c r="CJ330" s="103"/>
      <c r="FP330" s="103"/>
      <c r="LL330" s="103"/>
      <c r="NM330" s="103"/>
      <c r="QT330" s="106"/>
      <c r="QU330" s="106"/>
      <c r="QV330" s="106"/>
      <c r="QW330" s="106"/>
      <c r="QX330" s="106"/>
      <c r="QY330" s="106"/>
      <c r="QZ330" s="106"/>
      <c r="RA330" s="106"/>
      <c r="RB330" s="106"/>
      <c r="RC330" s="106"/>
      <c r="RD330" s="106"/>
      <c r="RE330" s="106"/>
      <c r="RF330" s="106"/>
      <c r="RG330" s="106"/>
      <c r="RH330" s="106"/>
      <c r="RI330" s="106"/>
      <c r="RJ330" s="106"/>
      <c r="RK330" s="106"/>
      <c r="RL330" s="106"/>
    </row>
    <row r="331" spans="48:480" x14ac:dyDescent="0.3">
      <c r="AV331" s="103"/>
      <c r="CJ331" s="103"/>
      <c r="FP331" s="103"/>
      <c r="LL331" s="103"/>
      <c r="NM331" s="103"/>
      <c r="QT331" s="106"/>
      <c r="QU331" s="106"/>
      <c r="QV331" s="106"/>
      <c r="QW331" s="106"/>
      <c r="QX331" s="106"/>
      <c r="QY331" s="106"/>
      <c r="QZ331" s="106"/>
      <c r="RA331" s="106"/>
      <c r="RB331" s="106"/>
      <c r="RC331" s="106"/>
      <c r="RD331" s="106"/>
      <c r="RE331" s="106"/>
      <c r="RF331" s="106"/>
      <c r="RG331" s="106"/>
      <c r="RH331" s="106"/>
      <c r="RI331" s="106"/>
      <c r="RJ331" s="106"/>
      <c r="RK331" s="106"/>
      <c r="RL331" s="106"/>
    </row>
    <row r="332" spans="48:480" x14ac:dyDescent="0.3">
      <c r="AV332" s="103"/>
      <c r="CJ332" s="103"/>
      <c r="FP332" s="103"/>
      <c r="LL332" s="103"/>
      <c r="NM332" s="103"/>
      <c r="QT332" s="106"/>
      <c r="QU332" s="106"/>
      <c r="QV332" s="106"/>
      <c r="QW332" s="106"/>
      <c r="QX332" s="106"/>
      <c r="QY332" s="106"/>
      <c r="QZ332" s="106"/>
      <c r="RA332" s="106"/>
      <c r="RB332" s="106"/>
      <c r="RC332" s="106"/>
      <c r="RD332" s="106"/>
      <c r="RE332" s="106"/>
      <c r="RF332" s="106"/>
      <c r="RG332" s="106"/>
      <c r="RH332" s="106"/>
      <c r="RI332" s="106"/>
      <c r="RJ332" s="106"/>
      <c r="RK332" s="106"/>
      <c r="RL332" s="106"/>
    </row>
    <row r="333" spans="48:480" x14ac:dyDescent="0.3">
      <c r="AV333" s="103"/>
      <c r="CJ333" s="103"/>
      <c r="FP333" s="103"/>
      <c r="LL333" s="103"/>
      <c r="NM333" s="103"/>
      <c r="QT333" s="106"/>
      <c r="QU333" s="106"/>
      <c r="QV333" s="106"/>
      <c r="QW333" s="106"/>
      <c r="QX333" s="106"/>
      <c r="QY333" s="106"/>
      <c r="QZ333" s="106"/>
      <c r="RA333" s="106"/>
      <c r="RB333" s="106"/>
      <c r="RC333" s="106"/>
      <c r="RD333" s="106"/>
      <c r="RE333" s="106"/>
      <c r="RF333" s="106"/>
      <c r="RG333" s="106"/>
      <c r="RH333" s="106"/>
      <c r="RI333" s="106"/>
      <c r="RJ333" s="106"/>
      <c r="RK333" s="106"/>
      <c r="RL333" s="106"/>
    </row>
    <row r="334" spans="48:480" x14ac:dyDescent="0.3">
      <c r="AV334" s="103"/>
      <c r="CJ334" s="103"/>
      <c r="FP334" s="103"/>
      <c r="LL334" s="103"/>
      <c r="NM334" s="103"/>
      <c r="QT334" s="106"/>
      <c r="QU334" s="106"/>
      <c r="QV334" s="106"/>
      <c r="QW334" s="106"/>
      <c r="QX334" s="106"/>
      <c r="QY334" s="106"/>
      <c r="QZ334" s="106"/>
      <c r="RA334" s="106"/>
      <c r="RB334" s="106"/>
      <c r="RC334" s="106"/>
      <c r="RD334" s="106"/>
      <c r="RE334" s="106"/>
      <c r="RF334" s="106"/>
      <c r="RG334" s="106"/>
      <c r="RH334" s="106"/>
      <c r="RI334" s="106"/>
      <c r="RJ334" s="106"/>
      <c r="RK334" s="106"/>
      <c r="RL334" s="106"/>
    </row>
    <row r="335" spans="48:480" x14ac:dyDescent="0.3">
      <c r="AV335" s="103"/>
      <c r="CJ335" s="103"/>
      <c r="FP335" s="103"/>
      <c r="LL335" s="103"/>
      <c r="NM335" s="103"/>
      <c r="QT335" s="106"/>
      <c r="QU335" s="106"/>
      <c r="QV335" s="106"/>
      <c r="QW335" s="106"/>
      <c r="QX335" s="106"/>
      <c r="QY335" s="106"/>
      <c r="QZ335" s="106"/>
      <c r="RA335" s="106"/>
      <c r="RB335" s="106"/>
      <c r="RC335" s="106"/>
      <c r="RD335" s="106"/>
      <c r="RE335" s="106"/>
      <c r="RF335" s="106"/>
      <c r="RG335" s="106"/>
      <c r="RH335" s="106"/>
      <c r="RI335" s="106"/>
      <c r="RJ335" s="106"/>
      <c r="RK335" s="106"/>
      <c r="RL335" s="106"/>
    </row>
    <row r="336" spans="48:480" x14ac:dyDescent="0.3">
      <c r="AV336" s="103"/>
      <c r="CJ336" s="103"/>
      <c r="FP336" s="103"/>
      <c r="LL336" s="103"/>
      <c r="NM336" s="103"/>
      <c r="QT336" s="106"/>
      <c r="QU336" s="106"/>
      <c r="QV336" s="106"/>
      <c r="QW336" s="106"/>
      <c r="QX336" s="106"/>
      <c r="QY336" s="106"/>
      <c r="QZ336" s="106"/>
      <c r="RA336" s="106"/>
      <c r="RB336" s="106"/>
      <c r="RC336" s="106"/>
      <c r="RD336" s="106"/>
      <c r="RE336" s="106"/>
      <c r="RF336" s="106"/>
      <c r="RG336" s="106"/>
      <c r="RH336" s="106"/>
      <c r="RI336" s="106"/>
      <c r="RJ336" s="106"/>
      <c r="RK336" s="106"/>
      <c r="RL336" s="106"/>
    </row>
    <row r="337" spans="48:480" x14ac:dyDescent="0.3">
      <c r="AV337" s="103"/>
      <c r="CJ337" s="103"/>
      <c r="FP337" s="103"/>
      <c r="LL337" s="103"/>
      <c r="NM337" s="103"/>
      <c r="QT337" s="106"/>
      <c r="QU337" s="106"/>
      <c r="QV337" s="106"/>
      <c r="QW337" s="106"/>
      <c r="QX337" s="106"/>
      <c r="QY337" s="106"/>
      <c r="QZ337" s="106"/>
      <c r="RA337" s="106"/>
      <c r="RB337" s="106"/>
      <c r="RC337" s="106"/>
      <c r="RD337" s="106"/>
      <c r="RE337" s="106"/>
      <c r="RF337" s="106"/>
      <c r="RG337" s="106"/>
      <c r="RH337" s="106"/>
      <c r="RI337" s="106"/>
      <c r="RJ337" s="106"/>
      <c r="RK337" s="106"/>
      <c r="RL337" s="106"/>
    </row>
    <row r="338" spans="48:480" x14ac:dyDescent="0.3">
      <c r="AV338" s="103"/>
      <c r="CJ338" s="103"/>
      <c r="FP338" s="103"/>
      <c r="LL338" s="103"/>
      <c r="NM338" s="103"/>
      <c r="QT338" s="106"/>
      <c r="QU338" s="106"/>
      <c r="QV338" s="106"/>
      <c r="QW338" s="106"/>
      <c r="QX338" s="106"/>
      <c r="QY338" s="106"/>
      <c r="QZ338" s="106"/>
      <c r="RA338" s="106"/>
      <c r="RB338" s="106"/>
      <c r="RC338" s="106"/>
      <c r="RD338" s="106"/>
      <c r="RE338" s="106"/>
      <c r="RF338" s="106"/>
      <c r="RG338" s="106"/>
      <c r="RH338" s="106"/>
      <c r="RI338" s="106"/>
      <c r="RJ338" s="106"/>
      <c r="RK338" s="106"/>
      <c r="RL338" s="106"/>
    </row>
    <row r="339" spans="48:480" x14ac:dyDescent="0.3">
      <c r="AV339" s="103"/>
      <c r="CJ339" s="103"/>
      <c r="FP339" s="103"/>
      <c r="LL339" s="103"/>
      <c r="NM339" s="103"/>
      <c r="QT339" s="106"/>
      <c r="QU339" s="106"/>
      <c r="QV339" s="106"/>
      <c r="QW339" s="106"/>
      <c r="QX339" s="106"/>
      <c r="QY339" s="106"/>
      <c r="QZ339" s="106"/>
      <c r="RA339" s="106"/>
      <c r="RB339" s="106"/>
      <c r="RC339" s="106"/>
      <c r="RD339" s="106"/>
      <c r="RE339" s="106"/>
      <c r="RF339" s="106"/>
      <c r="RG339" s="106"/>
      <c r="RH339" s="106"/>
      <c r="RI339" s="106"/>
      <c r="RJ339" s="106"/>
      <c r="RK339" s="106"/>
      <c r="RL339" s="106"/>
    </row>
    <row r="340" spans="48:480" x14ac:dyDescent="0.3">
      <c r="AV340" s="103"/>
      <c r="CJ340" s="103"/>
      <c r="FP340" s="103"/>
      <c r="LL340" s="103"/>
      <c r="NM340" s="103"/>
      <c r="QT340" s="106"/>
      <c r="QU340" s="106"/>
      <c r="QV340" s="106"/>
      <c r="QW340" s="106"/>
      <c r="QX340" s="106"/>
      <c r="QY340" s="106"/>
      <c r="QZ340" s="106"/>
      <c r="RA340" s="106"/>
      <c r="RB340" s="106"/>
      <c r="RC340" s="106"/>
      <c r="RD340" s="106"/>
      <c r="RE340" s="106"/>
      <c r="RF340" s="106"/>
      <c r="RG340" s="106"/>
      <c r="RH340" s="106"/>
      <c r="RI340" s="106"/>
      <c r="RJ340" s="106"/>
      <c r="RK340" s="106"/>
      <c r="RL340" s="106"/>
    </row>
    <row r="341" spans="48:480" x14ac:dyDescent="0.3">
      <c r="AV341" s="103"/>
      <c r="CJ341" s="103"/>
      <c r="FP341" s="103"/>
      <c r="LL341" s="103"/>
      <c r="NM341" s="103"/>
      <c r="QT341" s="106"/>
      <c r="QU341" s="106"/>
      <c r="QV341" s="106"/>
      <c r="QW341" s="106"/>
      <c r="QX341" s="106"/>
      <c r="QY341" s="106"/>
      <c r="QZ341" s="106"/>
      <c r="RA341" s="106"/>
      <c r="RB341" s="106"/>
      <c r="RC341" s="106"/>
      <c r="RD341" s="106"/>
      <c r="RE341" s="106"/>
      <c r="RF341" s="106"/>
      <c r="RG341" s="106"/>
      <c r="RH341" s="106"/>
      <c r="RI341" s="106"/>
      <c r="RJ341" s="106"/>
      <c r="RK341" s="106"/>
      <c r="RL341" s="106"/>
    </row>
    <row r="342" spans="48:480" x14ac:dyDescent="0.3">
      <c r="AV342" s="103"/>
      <c r="CJ342" s="103"/>
      <c r="FP342" s="103"/>
      <c r="LL342" s="103"/>
      <c r="NM342" s="103"/>
      <c r="QT342" s="106"/>
      <c r="QU342" s="106"/>
      <c r="QV342" s="106"/>
      <c r="QW342" s="106"/>
      <c r="QX342" s="106"/>
      <c r="QY342" s="106"/>
      <c r="QZ342" s="106"/>
      <c r="RA342" s="106"/>
      <c r="RB342" s="106"/>
      <c r="RC342" s="106"/>
      <c r="RD342" s="106"/>
      <c r="RE342" s="106"/>
      <c r="RF342" s="106"/>
      <c r="RG342" s="106"/>
      <c r="RH342" s="106"/>
      <c r="RI342" s="106"/>
      <c r="RJ342" s="106"/>
      <c r="RK342" s="106"/>
      <c r="RL342" s="106"/>
    </row>
    <row r="343" spans="48:480" x14ac:dyDescent="0.3">
      <c r="AV343" s="103"/>
      <c r="CJ343" s="103"/>
      <c r="FP343" s="103"/>
      <c r="LL343" s="103"/>
      <c r="NM343" s="103"/>
      <c r="QT343" s="106"/>
      <c r="QU343" s="106"/>
      <c r="QV343" s="106"/>
      <c r="QW343" s="106"/>
      <c r="QX343" s="106"/>
      <c r="QY343" s="106"/>
      <c r="QZ343" s="106"/>
      <c r="RA343" s="106"/>
      <c r="RB343" s="106"/>
      <c r="RC343" s="106"/>
      <c r="RD343" s="106"/>
      <c r="RE343" s="106"/>
      <c r="RF343" s="106"/>
      <c r="RG343" s="106"/>
      <c r="RH343" s="106"/>
      <c r="RI343" s="106"/>
      <c r="RJ343" s="106"/>
      <c r="RK343" s="106"/>
      <c r="RL343" s="106"/>
    </row>
    <row r="344" spans="48:480" x14ac:dyDescent="0.3">
      <c r="AV344" s="103"/>
      <c r="CJ344" s="103"/>
      <c r="FP344" s="103"/>
      <c r="LL344" s="103"/>
      <c r="NM344" s="103"/>
      <c r="QT344" s="106"/>
      <c r="QU344" s="106"/>
      <c r="QV344" s="106"/>
      <c r="QW344" s="106"/>
      <c r="QX344" s="106"/>
      <c r="QY344" s="106"/>
      <c r="QZ344" s="106"/>
      <c r="RA344" s="106"/>
      <c r="RB344" s="106"/>
      <c r="RC344" s="106"/>
      <c r="RD344" s="106"/>
      <c r="RE344" s="106"/>
      <c r="RF344" s="106"/>
      <c r="RG344" s="106"/>
      <c r="RH344" s="106"/>
      <c r="RI344" s="106"/>
      <c r="RJ344" s="106"/>
      <c r="RK344" s="106"/>
      <c r="RL344" s="106"/>
    </row>
    <row r="345" spans="48:480" x14ac:dyDescent="0.3">
      <c r="AV345" s="103"/>
      <c r="CJ345" s="103"/>
      <c r="FP345" s="103"/>
      <c r="LL345" s="103"/>
      <c r="NM345" s="103"/>
      <c r="QT345" s="106"/>
      <c r="QU345" s="106"/>
      <c r="QV345" s="106"/>
      <c r="QW345" s="106"/>
      <c r="QX345" s="106"/>
      <c r="QY345" s="106"/>
      <c r="QZ345" s="106"/>
      <c r="RA345" s="106"/>
      <c r="RB345" s="106"/>
      <c r="RC345" s="106"/>
      <c r="RD345" s="106"/>
      <c r="RE345" s="106"/>
      <c r="RF345" s="106"/>
      <c r="RG345" s="106"/>
      <c r="RH345" s="106"/>
      <c r="RI345" s="106"/>
      <c r="RJ345" s="106"/>
      <c r="RK345" s="106"/>
      <c r="RL345" s="106"/>
    </row>
    <row r="346" spans="48:480" x14ac:dyDescent="0.3">
      <c r="CJ346" s="103"/>
      <c r="FP346" s="103"/>
      <c r="LL346" s="103"/>
      <c r="NM346" s="103"/>
      <c r="QT346" s="106"/>
      <c r="QU346" s="106"/>
      <c r="QV346" s="106"/>
      <c r="QW346" s="106"/>
      <c r="QX346" s="106"/>
      <c r="QY346" s="106"/>
      <c r="QZ346" s="106"/>
      <c r="RA346" s="106"/>
      <c r="RB346" s="106"/>
      <c r="RC346" s="106"/>
      <c r="RD346" s="106"/>
      <c r="RE346" s="106"/>
      <c r="RF346" s="106"/>
      <c r="RG346" s="106"/>
      <c r="RH346" s="106"/>
      <c r="RI346" s="106"/>
      <c r="RJ346" s="106"/>
      <c r="RK346" s="106"/>
      <c r="RL346" s="106"/>
    </row>
    <row r="347" spans="48:480" x14ac:dyDescent="0.3">
      <c r="AV347" s="103"/>
      <c r="CJ347" s="103"/>
      <c r="FP347" s="103"/>
      <c r="LL347" s="103"/>
      <c r="NM347" s="103"/>
      <c r="QT347" s="106"/>
      <c r="QU347" s="106"/>
      <c r="QV347" s="106"/>
      <c r="QW347" s="106"/>
      <c r="QX347" s="106"/>
      <c r="QY347" s="106"/>
      <c r="QZ347" s="106"/>
      <c r="RA347" s="106"/>
      <c r="RB347" s="106"/>
      <c r="RC347" s="106"/>
      <c r="RD347" s="106"/>
      <c r="RE347" s="106"/>
      <c r="RF347" s="106"/>
      <c r="RG347" s="106"/>
      <c r="RH347" s="106"/>
      <c r="RI347" s="106"/>
      <c r="RJ347" s="106"/>
      <c r="RK347" s="106"/>
      <c r="RL347" s="106"/>
    </row>
    <row r="348" spans="48:480" x14ac:dyDescent="0.3">
      <c r="AV348" s="103"/>
      <c r="CJ348" s="103"/>
      <c r="FP348" s="103"/>
      <c r="LL348" s="103"/>
      <c r="NM348" s="103"/>
      <c r="QT348" s="106"/>
      <c r="QU348" s="106"/>
      <c r="QV348" s="106"/>
      <c r="QW348" s="106"/>
      <c r="QX348" s="106"/>
      <c r="QY348" s="106"/>
      <c r="QZ348" s="106"/>
      <c r="RA348" s="106"/>
      <c r="RB348" s="106"/>
      <c r="RC348" s="106"/>
      <c r="RD348" s="106"/>
      <c r="RE348" s="106"/>
      <c r="RF348" s="106"/>
      <c r="RG348" s="106"/>
      <c r="RH348" s="106"/>
      <c r="RI348" s="106"/>
      <c r="RJ348" s="106"/>
      <c r="RK348" s="106"/>
      <c r="RL348" s="106"/>
    </row>
    <row r="349" spans="48:480" x14ac:dyDescent="0.3">
      <c r="AV349" s="103"/>
      <c r="CJ349" s="103"/>
      <c r="FP349" s="103"/>
      <c r="LL349" s="103"/>
      <c r="NM349" s="103"/>
      <c r="QT349" s="106"/>
      <c r="QU349" s="106"/>
      <c r="QV349" s="106"/>
      <c r="QW349" s="106"/>
      <c r="QX349" s="106"/>
      <c r="QY349" s="106"/>
      <c r="QZ349" s="106"/>
      <c r="RA349" s="106"/>
      <c r="RB349" s="106"/>
      <c r="RC349" s="106"/>
      <c r="RD349" s="106"/>
      <c r="RE349" s="106"/>
      <c r="RF349" s="106"/>
      <c r="RG349" s="106"/>
      <c r="RH349" s="106"/>
      <c r="RI349" s="106"/>
      <c r="RJ349" s="106"/>
      <c r="RK349" s="106"/>
      <c r="RL349" s="106"/>
    </row>
    <row r="350" spans="48:480" x14ac:dyDescent="0.3">
      <c r="AV350" s="103"/>
      <c r="CJ350" s="103"/>
      <c r="FP350" s="103"/>
      <c r="LL350" s="103"/>
      <c r="NM350" s="103"/>
      <c r="QT350" s="106"/>
      <c r="QU350" s="106"/>
      <c r="QV350" s="106"/>
      <c r="QW350" s="106"/>
      <c r="QX350" s="106"/>
      <c r="QY350" s="106"/>
      <c r="QZ350" s="106"/>
      <c r="RA350" s="106"/>
      <c r="RB350" s="106"/>
      <c r="RC350" s="106"/>
      <c r="RD350" s="106"/>
      <c r="RE350" s="106"/>
      <c r="RF350" s="106"/>
      <c r="RG350" s="106"/>
      <c r="RH350" s="106"/>
      <c r="RI350" s="106"/>
      <c r="RJ350" s="106"/>
      <c r="RK350" s="106"/>
      <c r="RL350" s="106"/>
    </row>
    <row r="351" spans="48:480" x14ac:dyDescent="0.3">
      <c r="AV351" s="103"/>
      <c r="CJ351" s="103"/>
      <c r="FP351" s="103"/>
      <c r="LL351" s="103"/>
      <c r="NM351" s="103"/>
      <c r="QT351" s="106"/>
      <c r="QU351" s="106"/>
      <c r="QV351" s="106"/>
      <c r="QW351" s="106"/>
      <c r="QX351" s="106"/>
      <c r="QY351" s="106"/>
      <c r="QZ351" s="106"/>
      <c r="RA351" s="106"/>
      <c r="RB351" s="106"/>
      <c r="RC351" s="106"/>
      <c r="RD351" s="106"/>
      <c r="RE351" s="106"/>
      <c r="RF351" s="106"/>
      <c r="RG351" s="106"/>
      <c r="RH351" s="106"/>
      <c r="RI351" s="106"/>
      <c r="RJ351" s="106"/>
      <c r="RK351" s="106"/>
      <c r="RL351" s="106"/>
    </row>
    <row r="352" spans="48:480" x14ac:dyDescent="0.3">
      <c r="AV352" s="103"/>
      <c r="CJ352" s="103"/>
      <c r="FP352" s="103"/>
      <c r="LL352" s="103"/>
      <c r="NM352" s="103"/>
      <c r="QT352" s="106"/>
      <c r="QU352" s="106"/>
      <c r="QV352" s="106"/>
      <c r="QW352" s="106"/>
      <c r="QX352" s="106"/>
      <c r="QY352" s="106"/>
      <c r="QZ352" s="106"/>
      <c r="RA352" s="106"/>
      <c r="RB352" s="106"/>
      <c r="RC352" s="106"/>
      <c r="RD352" s="106"/>
      <c r="RE352" s="106"/>
      <c r="RF352" s="106"/>
      <c r="RG352" s="106"/>
      <c r="RH352" s="106"/>
      <c r="RI352" s="106"/>
      <c r="RJ352" s="106"/>
      <c r="RK352" s="106"/>
      <c r="RL352" s="106"/>
    </row>
    <row r="353" spans="48:480" x14ac:dyDescent="0.3">
      <c r="AV353" s="103"/>
      <c r="CJ353" s="103"/>
      <c r="FP353" s="103"/>
      <c r="LL353" s="103"/>
      <c r="NM353" s="103"/>
      <c r="QT353" s="106"/>
      <c r="QU353" s="106"/>
      <c r="QV353" s="106"/>
      <c r="QW353" s="106"/>
      <c r="QX353" s="106"/>
      <c r="QY353" s="106"/>
      <c r="QZ353" s="106"/>
      <c r="RA353" s="106"/>
      <c r="RB353" s="106"/>
      <c r="RC353" s="106"/>
      <c r="RD353" s="106"/>
      <c r="RE353" s="106"/>
      <c r="RF353" s="106"/>
      <c r="RG353" s="106"/>
      <c r="RH353" s="106"/>
      <c r="RI353" s="106"/>
      <c r="RJ353" s="106"/>
      <c r="RK353" s="106"/>
      <c r="RL353" s="106"/>
    </row>
    <row r="354" spans="48:480" x14ac:dyDescent="0.3">
      <c r="AV354" s="103"/>
      <c r="CJ354" s="103"/>
      <c r="FP354" s="103"/>
      <c r="LL354" s="103"/>
      <c r="NM354" s="103"/>
      <c r="QT354" s="106"/>
      <c r="QU354" s="106"/>
      <c r="QV354" s="106"/>
      <c r="QW354" s="106"/>
      <c r="QX354" s="106"/>
      <c r="QY354" s="106"/>
      <c r="QZ354" s="106"/>
      <c r="RA354" s="106"/>
      <c r="RB354" s="106"/>
      <c r="RC354" s="106"/>
      <c r="RD354" s="106"/>
      <c r="RE354" s="106"/>
      <c r="RF354" s="106"/>
      <c r="RG354" s="106"/>
      <c r="RH354" s="106"/>
      <c r="RI354" s="106"/>
      <c r="RJ354" s="106"/>
      <c r="RK354" s="106"/>
      <c r="RL354" s="106"/>
    </row>
    <row r="355" spans="48:480" x14ac:dyDescent="0.3">
      <c r="AV355" s="103"/>
      <c r="CJ355" s="103"/>
      <c r="FP355" s="103"/>
      <c r="LL355" s="103"/>
      <c r="NM355" s="103"/>
      <c r="QT355" s="106"/>
      <c r="QU355" s="106"/>
      <c r="QV355" s="106"/>
      <c r="QW355" s="106"/>
      <c r="QX355" s="106"/>
      <c r="QY355" s="106"/>
      <c r="QZ355" s="106"/>
      <c r="RA355" s="106"/>
      <c r="RB355" s="106"/>
      <c r="RC355" s="106"/>
      <c r="RD355" s="106"/>
      <c r="RE355" s="106"/>
      <c r="RF355" s="106"/>
      <c r="RG355" s="106"/>
      <c r="RH355" s="106"/>
      <c r="RI355" s="106"/>
      <c r="RJ355" s="106"/>
      <c r="RK355" s="106"/>
      <c r="RL355" s="106"/>
    </row>
    <row r="356" spans="48:480" x14ac:dyDescent="0.3">
      <c r="AV356" s="103"/>
      <c r="CJ356" s="103"/>
      <c r="FP356" s="103"/>
      <c r="LL356" s="103"/>
      <c r="NM356" s="103"/>
      <c r="QT356" s="106"/>
      <c r="QU356" s="106"/>
      <c r="QV356" s="106"/>
      <c r="QW356" s="106"/>
      <c r="QX356" s="106"/>
      <c r="QY356" s="106"/>
      <c r="QZ356" s="106"/>
      <c r="RA356" s="106"/>
      <c r="RB356" s="106"/>
      <c r="RC356" s="106"/>
      <c r="RD356" s="106"/>
      <c r="RE356" s="106"/>
      <c r="RF356" s="106"/>
      <c r="RG356" s="106"/>
      <c r="RH356" s="106"/>
      <c r="RI356" s="106"/>
      <c r="RJ356" s="106"/>
      <c r="RK356" s="106"/>
      <c r="RL356" s="106"/>
    </row>
    <row r="357" spans="48:480" x14ac:dyDescent="0.3">
      <c r="CJ357" s="103"/>
      <c r="FP357" s="103"/>
      <c r="LL357" s="103"/>
      <c r="NM357" s="103"/>
      <c r="QT357" s="106"/>
      <c r="QU357" s="106"/>
      <c r="QV357" s="106"/>
      <c r="QW357" s="106"/>
      <c r="QX357" s="106"/>
      <c r="QY357" s="106"/>
      <c r="QZ357" s="106"/>
      <c r="RA357" s="106"/>
      <c r="RB357" s="106"/>
      <c r="RC357" s="106"/>
      <c r="RD357" s="106"/>
      <c r="RE357" s="106"/>
      <c r="RF357" s="106"/>
      <c r="RG357" s="106"/>
      <c r="RH357" s="106"/>
      <c r="RI357" s="106"/>
      <c r="RJ357" s="106"/>
      <c r="RK357" s="106"/>
      <c r="RL357" s="106"/>
    </row>
    <row r="358" spans="48:480" x14ac:dyDescent="0.3">
      <c r="CJ358" s="103"/>
      <c r="FP358" s="103"/>
      <c r="LL358" s="103"/>
      <c r="NM358" s="103"/>
      <c r="QT358" s="106"/>
      <c r="QU358" s="106"/>
      <c r="QV358" s="106"/>
      <c r="QW358" s="106"/>
      <c r="QX358" s="106"/>
      <c r="QY358" s="106"/>
      <c r="QZ358" s="106"/>
      <c r="RA358" s="106"/>
      <c r="RB358" s="106"/>
      <c r="RC358" s="106"/>
      <c r="RD358" s="106"/>
      <c r="RE358" s="106"/>
      <c r="RF358" s="106"/>
      <c r="RG358" s="106"/>
      <c r="RH358" s="106"/>
      <c r="RI358" s="106"/>
      <c r="RJ358" s="106"/>
      <c r="RK358" s="106"/>
      <c r="RL358" s="106"/>
    </row>
    <row r="359" spans="48:480" x14ac:dyDescent="0.3">
      <c r="CJ359" s="103"/>
      <c r="FP359" s="103"/>
      <c r="LL359" s="103"/>
      <c r="NM359" s="103"/>
      <c r="QT359" s="106"/>
      <c r="QU359" s="106"/>
      <c r="QV359" s="106"/>
      <c r="QW359" s="106"/>
      <c r="QX359" s="106"/>
      <c r="QY359" s="106"/>
      <c r="QZ359" s="106"/>
      <c r="RA359" s="106"/>
      <c r="RB359" s="106"/>
      <c r="RC359" s="106"/>
      <c r="RD359" s="106"/>
      <c r="RE359" s="106"/>
      <c r="RF359" s="106"/>
      <c r="RG359" s="106"/>
      <c r="RH359" s="106"/>
      <c r="RI359" s="106"/>
      <c r="RJ359" s="106"/>
      <c r="RK359" s="106"/>
      <c r="RL359" s="106"/>
    </row>
    <row r="360" spans="48:480" x14ac:dyDescent="0.3">
      <c r="AV360" s="103"/>
      <c r="CJ360" s="103"/>
      <c r="FP360" s="103"/>
      <c r="LL360" s="103"/>
      <c r="NM360" s="103"/>
      <c r="QT360" s="106"/>
      <c r="QU360" s="106"/>
      <c r="QV360" s="106"/>
      <c r="QW360" s="106"/>
      <c r="QX360" s="106"/>
      <c r="QY360" s="106"/>
      <c r="QZ360" s="106"/>
      <c r="RA360" s="106"/>
      <c r="RB360" s="106"/>
      <c r="RC360" s="106"/>
      <c r="RD360" s="106"/>
      <c r="RE360" s="106"/>
      <c r="RF360" s="106"/>
      <c r="RG360" s="106"/>
      <c r="RH360" s="106"/>
      <c r="RI360" s="106"/>
      <c r="RJ360" s="106"/>
      <c r="RK360" s="106"/>
      <c r="RL360" s="106"/>
    </row>
    <row r="361" spans="48:480" x14ac:dyDescent="0.3">
      <c r="AV361" s="103"/>
      <c r="CJ361" s="103"/>
      <c r="FP361" s="103"/>
      <c r="LL361" s="103"/>
      <c r="NM361" s="103"/>
      <c r="QT361" s="106"/>
      <c r="QU361" s="106"/>
      <c r="QV361" s="106"/>
      <c r="QW361" s="106"/>
      <c r="QX361" s="106"/>
      <c r="QY361" s="106"/>
      <c r="QZ361" s="106"/>
      <c r="RA361" s="106"/>
      <c r="RB361" s="106"/>
      <c r="RC361" s="106"/>
      <c r="RD361" s="106"/>
      <c r="RE361" s="106"/>
      <c r="RF361" s="106"/>
      <c r="RG361" s="106"/>
      <c r="RH361" s="106"/>
      <c r="RI361" s="106"/>
      <c r="RJ361" s="106"/>
      <c r="RK361" s="106"/>
      <c r="RL361" s="106"/>
    </row>
    <row r="362" spans="48:480" x14ac:dyDescent="0.3">
      <c r="AV362" s="103"/>
      <c r="CJ362" s="103"/>
      <c r="FP362" s="103"/>
      <c r="LL362" s="103"/>
      <c r="NM362" s="103"/>
      <c r="QT362" s="106"/>
      <c r="QU362" s="106"/>
      <c r="QV362" s="106"/>
      <c r="QW362" s="106"/>
      <c r="QX362" s="106"/>
      <c r="QY362" s="106"/>
      <c r="QZ362" s="106"/>
      <c r="RA362" s="106"/>
      <c r="RB362" s="106"/>
      <c r="RC362" s="106"/>
      <c r="RD362" s="106"/>
      <c r="RE362" s="106"/>
      <c r="RF362" s="106"/>
      <c r="RG362" s="106"/>
      <c r="RH362" s="106"/>
      <c r="RI362" s="106"/>
      <c r="RJ362" s="106"/>
      <c r="RK362" s="106"/>
      <c r="RL362" s="106"/>
    </row>
    <row r="363" spans="48:480" x14ac:dyDescent="0.3">
      <c r="AV363" s="103"/>
      <c r="CJ363" s="103"/>
      <c r="FP363" s="103"/>
      <c r="LL363" s="103"/>
      <c r="NM363" s="103"/>
      <c r="QT363" s="106"/>
      <c r="QU363" s="106"/>
      <c r="QV363" s="106"/>
      <c r="QW363" s="106"/>
      <c r="QX363" s="106"/>
      <c r="QY363" s="106"/>
      <c r="QZ363" s="106"/>
      <c r="RA363" s="106"/>
      <c r="RB363" s="106"/>
      <c r="RC363" s="106"/>
      <c r="RD363" s="106"/>
      <c r="RE363" s="106"/>
      <c r="RF363" s="106"/>
      <c r="RG363" s="106"/>
      <c r="RH363" s="106"/>
      <c r="RI363" s="106"/>
      <c r="RJ363" s="106"/>
      <c r="RK363" s="106"/>
      <c r="RL363" s="106"/>
    </row>
    <row r="364" spans="48:480" x14ac:dyDescent="0.3">
      <c r="AV364" s="103"/>
      <c r="CJ364" s="103"/>
      <c r="FP364" s="103"/>
      <c r="LL364" s="103"/>
      <c r="NM364" s="103"/>
      <c r="QT364" s="106"/>
      <c r="QU364" s="106"/>
      <c r="QV364" s="106"/>
      <c r="QW364" s="106"/>
      <c r="QX364" s="106"/>
      <c r="QY364" s="106"/>
      <c r="QZ364" s="106"/>
      <c r="RA364" s="106"/>
      <c r="RB364" s="106"/>
      <c r="RC364" s="106"/>
      <c r="RD364" s="106"/>
      <c r="RE364" s="106"/>
      <c r="RF364" s="106"/>
      <c r="RG364" s="106"/>
      <c r="RH364" s="106"/>
      <c r="RI364" s="106"/>
      <c r="RJ364" s="106"/>
      <c r="RK364" s="106"/>
      <c r="RL364" s="106"/>
    </row>
    <row r="365" spans="48:480" x14ac:dyDescent="0.3">
      <c r="AV365" s="103"/>
      <c r="CJ365" s="103"/>
      <c r="FP365" s="103"/>
      <c r="LL365" s="103"/>
      <c r="NM365" s="103"/>
      <c r="QT365" s="106"/>
      <c r="QU365" s="106"/>
      <c r="QV365" s="106"/>
      <c r="QW365" s="106"/>
      <c r="QX365" s="106"/>
      <c r="QY365" s="106"/>
      <c r="QZ365" s="106"/>
      <c r="RA365" s="106"/>
      <c r="RB365" s="106"/>
      <c r="RC365" s="106"/>
      <c r="RD365" s="106"/>
      <c r="RE365" s="106"/>
      <c r="RF365" s="106"/>
      <c r="RG365" s="106"/>
      <c r="RH365" s="106"/>
      <c r="RI365" s="106"/>
      <c r="RJ365" s="106"/>
      <c r="RK365" s="106"/>
      <c r="RL365" s="106"/>
    </row>
    <row r="366" spans="48:480" x14ac:dyDescent="0.3">
      <c r="AV366" s="103"/>
      <c r="CJ366" s="103"/>
      <c r="FP366" s="103"/>
      <c r="LL366" s="103"/>
      <c r="NM366" s="103"/>
      <c r="QT366" s="106"/>
      <c r="QU366" s="106"/>
      <c r="QV366" s="106"/>
      <c r="QW366" s="106"/>
      <c r="QX366" s="106"/>
      <c r="QY366" s="106"/>
      <c r="QZ366" s="106"/>
      <c r="RA366" s="106"/>
      <c r="RB366" s="106"/>
      <c r="RC366" s="106"/>
      <c r="RD366" s="106"/>
      <c r="RE366" s="106"/>
      <c r="RF366" s="106"/>
      <c r="RG366" s="106"/>
      <c r="RH366" s="106"/>
      <c r="RI366" s="106"/>
      <c r="RJ366" s="106"/>
      <c r="RK366" s="106"/>
      <c r="RL366" s="106"/>
    </row>
    <row r="367" spans="48:480" x14ac:dyDescent="0.3">
      <c r="AV367" s="103"/>
      <c r="CJ367" s="103"/>
      <c r="FP367" s="103"/>
      <c r="LL367" s="103"/>
      <c r="NM367" s="103"/>
      <c r="QT367" s="106"/>
      <c r="QU367" s="106"/>
      <c r="QV367" s="106"/>
      <c r="QW367" s="106"/>
      <c r="QX367" s="106"/>
      <c r="QY367" s="106"/>
      <c r="QZ367" s="106"/>
      <c r="RA367" s="106"/>
      <c r="RB367" s="106"/>
      <c r="RC367" s="106"/>
      <c r="RD367" s="106"/>
      <c r="RE367" s="106"/>
      <c r="RF367" s="106"/>
      <c r="RG367" s="106"/>
      <c r="RH367" s="106"/>
      <c r="RI367" s="106"/>
      <c r="RJ367" s="106"/>
      <c r="RK367" s="106"/>
      <c r="RL367" s="106"/>
    </row>
    <row r="368" spans="48:480" x14ac:dyDescent="0.3">
      <c r="AV368" s="103"/>
      <c r="CJ368" s="103"/>
      <c r="FP368" s="103"/>
      <c r="LL368" s="103"/>
      <c r="NM368" s="103"/>
      <c r="QT368" s="106"/>
      <c r="QU368" s="106"/>
      <c r="QV368" s="106"/>
      <c r="QW368" s="106"/>
      <c r="QX368" s="106"/>
      <c r="QY368" s="106"/>
      <c r="QZ368" s="106"/>
      <c r="RA368" s="106"/>
      <c r="RB368" s="106"/>
      <c r="RC368" s="106"/>
      <c r="RD368" s="106"/>
      <c r="RE368" s="106"/>
      <c r="RF368" s="106"/>
      <c r="RG368" s="106"/>
      <c r="RH368" s="106"/>
      <c r="RI368" s="106"/>
      <c r="RJ368" s="106"/>
      <c r="RK368" s="106"/>
      <c r="RL368" s="106"/>
    </row>
    <row r="369" spans="48:480" x14ac:dyDescent="0.3">
      <c r="AV369" s="103"/>
      <c r="CJ369" s="103"/>
      <c r="FP369" s="103"/>
      <c r="LL369" s="103"/>
      <c r="NM369" s="103"/>
      <c r="QT369" s="106"/>
      <c r="QU369" s="106"/>
      <c r="QV369" s="106"/>
      <c r="QW369" s="106"/>
      <c r="QX369" s="106"/>
      <c r="QY369" s="106"/>
      <c r="QZ369" s="106"/>
      <c r="RA369" s="106"/>
      <c r="RB369" s="106"/>
      <c r="RC369" s="106"/>
      <c r="RD369" s="106"/>
      <c r="RE369" s="106"/>
      <c r="RF369" s="106"/>
      <c r="RG369" s="106"/>
      <c r="RH369" s="106"/>
      <c r="RI369" s="106"/>
      <c r="RJ369" s="106"/>
      <c r="RK369" s="106"/>
      <c r="RL369" s="106"/>
    </row>
    <row r="370" spans="48:480" x14ac:dyDescent="0.3">
      <c r="AV370" s="103"/>
      <c r="CJ370" s="103"/>
      <c r="FP370" s="103"/>
      <c r="LL370" s="103"/>
      <c r="NM370" s="103"/>
      <c r="QT370" s="106"/>
      <c r="QU370" s="106"/>
      <c r="QV370" s="106"/>
      <c r="QW370" s="106"/>
      <c r="QX370" s="106"/>
      <c r="QY370" s="106"/>
      <c r="QZ370" s="106"/>
      <c r="RA370" s="106"/>
      <c r="RB370" s="106"/>
      <c r="RC370" s="106"/>
      <c r="RD370" s="106"/>
      <c r="RE370" s="106"/>
      <c r="RF370" s="106"/>
      <c r="RG370" s="106"/>
      <c r="RH370" s="106"/>
      <c r="RI370" s="106"/>
      <c r="RJ370" s="106"/>
      <c r="RK370" s="106"/>
      <c r="RL370" s="106"/>
    </row>
    <row r="371" spans="48:480" x14ac:dyDescent="0.3">
      <c r="AV371" s="103"/>
      <c r="CJ371" s="103"/>
      <c r="FP371" s="103"/>
      <c r="LL371" s="103"/>
      <c r="NM371" s="103"/>
      <c r="QT371" s="106"/>
      <c r="QU371" s="106"/>
      <c r="QV371" s="106"/>
      <c r="QW371" s="106"/>
      <c r="QX371" s="106"/>
      <c r="QY371" s="106"/>
      <c r="QZ371" s="106"/>
      <c r="RA371" s="106"/>
      <c r="RB371" s="106"/>
      <c r="RC371" s="106"/>
      <c r="RD371" s="106"/>
      <c r="RE371" s="106"/>
      <c r="RF371" s="106"/>
      <c r="RG371" s="106"/>
      <c r="RH371" s="106"/>
      <c r="RI371" s="106"/>
      <c r="RJ371" s="106"/>
      <c r="RK371" s="106"/>
      <c r="RL371" s="106"/>
    </row>
    <row r="372" spans="48:480" x14ac:dyDescent="0.3">
      <c r="AV372" s="103"/>
      <c r="CJ372" s="103"/>
      <c r="FP372" s="103"/>
      <c r="LL372" s="103"/>
      <c r="NM372" s="103"/>
      <c r="QT372" s="106"/>
      <c r="QU372" s="106"/>
      <c r="QV372" s="106"/>
      <c r="QW372" s="106"/>
      <c r="QX372" s="106"/>
      <c r="QY372" s="106"/>
      <c r="QZ372" s="106"/>
      <c r="RA372" s="106"/>
      <c r="RB372" s="106"/>
      <c r="RC372" s="106"/>
      <c r="RD372" s="106"/>
      <c r="RE372" s="106"/>
      <c r="RF372" s="106"/>
      <c r="RG372" s="106"/>
      <c r="RH372" s="106"/>
      <c r="RI372" s="106"/>
      <c r="RJ372" s="106"/>
      <c r="RK372" s="106"/>
      <c r="RL372" s="106"/>
    </row>
    <row r="373" spans="48:480" x14ac:dyDescent="0.3">
      <c r="AV373" s="103"/>
      <c r="CJ373" s="103"/>
      <c r="FP373" s="103"/>
      <c r="LL373" s="103"/>
      <c r="NM373" s="103"/>
      <c r="QT373" s="106"/>
      <c r="QU373" s="106"/>
      <c r="QV373" s="106"/>
      <c r="QW373" s="106"/>
      <c r="QX373" s="106"/>
      <c r="QY373" s="106"/>
      <c r="QZ373" s="106"/>
      <c r="RA373" s="106"/>
      <c r="RB373" s="106"/>
      <c r="RC373" s="106"/>
      <c r="RD373" s="106"/>
      <c r="RE373" s="106"/>
      <c r="RF373" s="106"/>
      <c r="RG373" s="106"/>
      <c r="RH373" s="106"/>
      <c r="RI373" s="106"/>
      <c r="RJ373" s="106"/>
      <c r="RK373" s="106"/>
      <c r="RL373" s="106"/>
    </row>
    <row r="374" spans="48:480" x14ac:dyDescent="0.3">
      <c r="AV374" s="103"/>
      <c r="CJ374" s="103"/>
      <c r="FP374" s="103"/>
      <c r="LL374" s="103"/>
      <c r="NM374" s="103"/>
      <c r="QT374" s="106"/>
      <c r="QU374" s="106"/>
      <c r="QV374" s="106"/>
      <c r="QW374" s="106"/>
      <c r="QX374" s="106"/>
      <c r="QY374" s="106"/>
      <c r="QZ374" s="106"/>
      <c r="RA374" s="106"/>
      <c r="RB374" s="106"/>
      <c r="RC374" s="106"/>
      <c r="RD374" s="106"/>
      <c r="RE374" s="106"/>
      <c r="RF374" s="106"/>
      <c r="RG374" s="106"/>
      <c r="RH374" s="106"/>
      <c r="RI374" s="106"/>
      <c r="RJ374" s="106"/>
      <c r="RK374" s="106"/>
      <c r="RL374" s="106"/>
    </row>
    <row r="375" spans="48:480" x14ac:dyDescent="0.3">
      <c r="AV375" s="103"/>
      <c r="CJ375" s="103"/>
      <c r="FP375" s="103"/>
      <c r="LL375" s="103"/>
      <c r="NM375" s="103"/>
      <c r="QT375" s="106"/>
      <c r="QU375" s="106"/>
      <c r="QV375" s="106"/>
      <c r="QW375" s="106"/>
      <c r="QX375" s="106"/>
      <c r="QY375" s="106"/>
      <c r="QZ375" s="106"/>
      <c r="RA375" s="106"/>
      <c r="RB375" s="106"/>
      <c r="RC375" s="106"/>
      <c r="RD375" s="106"/>
      <c r="RE375" s="106"/>
      <c r="RF375" s="106"/>
      <c r="RG375" s="106"/>
      <c r="RH375" s="106"/>
      <c r="RI375" s="106"/>
      <c r="RJ375" s="106"/>
      <c r="RK375" s="106"/>
      <c r="RL375" s="106"/>
    </row>
    <row r="376" spans="48:480" x14ac:dyDescent="0.3">
      <c r="AV376" s="103"/>
      <c r="CJ376" s="103"/>
      <c r="FP376" s="103"/>
      <c r="LL376" s="103"/>
      <c r="NM376" s="103"/>
      <c r="QT376" s="106"/>
      <c r="QU376" s="106"/>
      <c r="QV376" s="106"/>
      <c r="QW376" s="106"/>
      <c r="QX376" s="106"/>
      <c r="QY376" s="106"/>
      <c r="QZ376" s="106"/>
      <c r="RA376" s="106"/>
      <c r="RB376" s="106"/>
      <c r="RC376" s="106"/>
      <c r="RD376" s="106"/>
      <c r="RE376" s="106"/>
      <c r="RF376" s="106"/>
      <c r="RG376" s="106"/>
      <c r="RH376" s="106"/>
      <c r="RI376" s="106"/>
      <c r="RJ376" s="106"/>
      <c r="RK376" s="106"/>
      <c r="RL376" s="106"/>
    </row>
    <row r="377" spans="48:480" x14ac:dyDescent="0.3">
      <c r="AV377" s="103"/>
      <c r="CJ377" s="103"/>
      <c r="FP377" s="103"/>
      <c r="LL377" s="103"/>
      <c r="NM377" s="103"/>
      <c r="QT377" s="106"/>
      <c r="QU377" s="106"/>
      <c r="QV377" s="106"/>
      <c r="QW377" s="106"/>
      <c r="QX377" s="106"/>
      <c r="QY377" s="106"/>
      <c r="QZ377" s="106"/>
      <c r="RA377" s="106"/>
      <c r="RB377" s="106"/>
      <c r="RC377" s="106"/>
      <c r="RD377" s="106"/>
      <c r="RE377" s="106"/>
      <c r="RF377" s="106"/>
      <c r="RG377" s="106"/>
      <c r="RH377" s="106"/>
      <c r="RI377" s="106"/>
      <c r="RJ377" s="106"/>
      <c r="RK377" s="106"/>
      <c r="RL377" s="106"/>
    </row>
    <row r="378" spans="48:480" x14ac:dyDescent="0.3">
      <c r="AV378" s="103"/>
      <c r="CJ378" s="103"/>
      <c r="FP378" s="103"/>
      <c r="LL378" s="103"/>
      <c r="NM378" s="103"/>
      <c r="QT378" s="106"/>
      <c r="QU378" s="106"/>
      <c r="QV378" s="106"/>
      <c r="QW378" s="106"/>
      <c r="QX378" s="106"/>
      <c r="QY378" s="106"/>
      <c r="QZ378" s="106"/>
      <c r="RA378" s="106"/>
      <c r="RB378" s="106"/>
      <c r="RC378" s="106"/>
      <c r="RD378" s="106"/>
      <c r="RE378" s="106"/>
      <c r="RF378" s="106"/>
      <c r="RG378" s="106"/>
      <c r="RH378" s="106"/>
      <c r="RI378" s="106"/>
      <c r="RJ378" s="106"/>
      <c r="RK378" s="106"/>
      <c r="RL378" s="106"/>
    </row>
    <row r="379" spans="48:480" x14ac:dyDescent="0.3">
      <c r="AV379" s="103"/>
      <c r="CJ379" s="103"/>
      <c r="FP379" s="103"/>
      <c r="LL379" s="103"/>
      <c r="NM379" s="103"/>
      <c r="QT379" s="106"/>
      <c r="QU379" s="106"/>
      <c r="QV379" s="106"/>
      <c r="QW379" s="106"/>
      <c r="QX379" s="106"/>
      <c r="QY379" s="106"/>
      <c r="QZ379" s="106"/>
      <c r="RA379" s="106"/>
      <c r="RB379" s="106"/>
      <c r="RC379" s="106"/>
      <c r="RD379" s="106"/>
      <c r="RE379" s="106"/>
      <c r="RF379" s="106"/>
      <c r="RG379" s="106"/>
      <c r="RH379" s="106"/>
      <c r="RI379" s="106"/>
      <c r="RJ379" s="106"/>
      <c r="RK379" s="106"/>
      <c r="RL379" s="106"/>
    </row>
    <row r="380" spans="48:480" x14ac:dyDescent="0.3">
      <c r="AV380" s="103"/>
      <c r="CJ380" s="103"/>
      <c r="FP380" s="103"/>
      <c r="LL380" s="103"/>
      <c r="NM380" s="103"/>
      <c r="QT380" s="106"/>
      <c r="QU380" s="106"/>
      <c r="QV380" s="106"/>
      <c r="QW380" s="106"/>
      <c r="QX380" s="106"/>
      <c r="QY380" s="106"/>
      <c r="QZ380" s="106"/>
      <c r="RA380" s="106"/>
      <c r="RB380" s="106"/>
      <c r="RC380" s="106"/>
      <c r="RD380" s="106"/>
      <c r="RE380" s="106"/>
      <c r="RF380" s="106"/>
      <c r="RG380" s="106"/>
      <c r="RH380" s="106"/>
      <c r="RI380" s="106"/>
      <c r="RJ380" s="106"/>
      <c r="RK380" s="106"/>
      <c r="RL380" s="106"/>
    </row>
    <row r="381" spans="48:480" x14ac:dyDescent="0.3">
      <c r="AV381" s="103"/>
      <c r="CJ381" s="103"/>
      <c r="FP381" s="103"/>
      <c r="LL381" s="103"/>
      <c r="NM381" s="103"/>
      <c r="QT381" s="106"/>
      <c r="QU381" s="106"/>
      <c r="QV381" s="106"/>
      <c r="QW381" s="106"/>
      <c r="QX381" s="106"/>
      <c r="QY381" s="106"/>
      <c r="QZ381" s="106"/>
      <c r="RA381" s="106"/>
      <c r="RB381" s="106"/>
      <c r="RC381" s="106"/>
      <c r="RD381" s="106"/>
      <c r="RE381" s="106"/>
      <c r="RF381" s="106"/>
      <c r="RG381" s="106"/>
      <c r="RH381" s="106"/>
      <c r="RI381" s="106"/>
      <c r="RJ381" s="106"/>
      <c r="RK381" s="106"/>
      <c r="RL381" s="106"/>
    </row>
    <row r="382" spans="48:480" x14ac:dyDescent="0.3">
      <c r="AV382" s="103"/>
      <c r="CJ382" s="103"/>
      <c r="FP382" s="103"/>
      <c r="LL382" s="103"/>
      <c r="NM382" s="103"/>
      <c r="QT382" s="106"/>
      <c r="QU382" s="106"/>
      <c r="QV382" s="106"/>
      <c r="QW382" s="106"/>
      <c r="QX382" s="106"/>
      <c r="QY382" s="106"/>
      <c r="QZ382" s="106"/>
      <c r="RA382" s="106"/>
      <c r="RB382" s="106"/>
      <c r="RC382" s="106"/>
      <c r="RD382" s="106"/>
      <c r="RE382" s="106"/>
      <c r="RF382" s="106"/>
      <c r="RG382" s="106"/>
      <c r="RH382" s="106"/>
      <c r="RI382" s="106"/>
      <c r="RJ382" s="106"/>
      <c r="RK382" s="106"/>
      <c r="RL382" s="106"/>
    </row>
    <row r="383" spans="48:480" x14ac:dyDescent="0.3">
      <c r="AV383" s="103"/>
      <c r="CJ383" s="103"/>
      <c r="FP383" s="103"/>
      <c r="LL383" s="103"/>
      <c r="NM383" s="103"/>
      <c r="QT383" s="106"/>
      <c r="QU383" s="106"/>
      <c r="QV383" s="106"/>
      <c r="QW383" s="106"/>
      <c r="QX383" s="106"/>
      <c r="QY383" s="106"/>
      <c r="QZ383" s="106"/>
      <c r="RA383" s="106"/>
      <c r="RB383" s="106"/>
      <c r="RC383" s="106"/>
      <c r="RD383" s="106"/>
      <c r="RE383" s="106"/>
      <c r="RF383" s="106"/>
      <c r="RG383" s="106"/>
      <c r="RH383" s="106"/>
      <c r="RI383" s="106"/>
      <c r="RJ383" s="106"/>
      <c r="RK383" s="106"/>
      <c r="RL383" s="106"/>
    </row>
    <row r="384" spans="48:480" x14ac:dyDescent="0.3">
      <c r="AV384" s="103"/>
      <c r="CJ384" s="103"/>
      <c r="FP384" s="103"/>
      <c r="LL384" s="103"/>
      <c r="NM384" s="103"/>
      <c r="QT384" s="106"/>
      <c r="QU384" s="106"/>
      <c r="QV384" s="106"/>
      <c r="QW384" s="106"/>
      <c r="QX384" s="106"/>
      <c r="QY384" s="106"/>
      <c r="QZ384" s="106"/>
      <c r="RA384" s="106"/>
      <c r="RB384" s="106"/>
      <c r="RC384" s="106"/>
      <c r="RD384" s="106"/>
      <c r="RE384" s="106"/>
      <c r="RF384" s="106"/>
      <c r="RG384" s="106"/>
      <c r="RH384" s="106"/>
      <c r="RI384" s="106"/>
      <c r="RJ384" s="106"/>
      <c r="RK384" s="106"/>
      <c r="RL384" s="106"/>
    </row>
    <row r="385" spans="48:480" x14ac:dyDescent="0.3">
      <c r="AV385" s="103"/>
      <c r="CJ385" s="103"/>
      <c r="FP385" s="103"/>
      <c r="LL385" s="103"/>
      <c r="NM385" s="103"/>
      <c r="QT385" s="106"/>
      <c r="QU385" s="106"/>
      <c r="QV385" s="106"/>
      <c r="QW385" s="106"/>
      <c r="QX385" s="106"/>
      <c r="QY385" s="106"/>
      <c r="QZ385" s="106"/>
      <c r="RA385" s="106"/>
      <c r="RB385" s="106"/>
      <c r="RC385" s="106"/>
      <c r="RD385" s="106"/>
      <c r="RE385" s="106"/>
      <c r="RF385" s="106"/>
      <c r="RG385" s="106"/>
      <c r="RH385" s="106"/>
      <c r="RI385" s="106"/>
      <c r="RJ385" s="106"/>
      <c r="RK385" s="106"/>
      <c r="RL385" s="106"/>
    </row>
    <row r="386" spans="48:480" x14ac:dyDescent="0.3">
      <c r="AV386" s="103"/>
      <c r="CJ386" s="103"/>
      <c r="FP386" s="103"/>
      <c r="LL386" s="103"/>
      <c r="NM386" s="103"/>
      <c r="QT386" s="106"/>
      <c r="QU386" s="106"/>
      <c r="QV386" s="106"/>
      <c r="QW386" s="106"/>
      <c r="QX386" s="106"/>
      <c r="QY386" s="106"/>
      <c r="QZ386" s="106"/>
      <c r="RA386" s="106"/>
      <c r="RB386" s="106"/>
      <c r="RC386" s="106"/>
      <c r="RD386" s="106"/>
      <c r="RE386" s="106"/>
      <c r="RF386" s="106"/>
      <c r="RG386" s="106"/>
      <c r="RH386" s="106"/>
      <c r="RI386" s="106"/>
      <c r="RJ386" s="106"/>
      <c r="RK386" s="106"/>
      <c r="RL386" s="106"/>
    </row>
    <row r="387" spans="48:480" x14ac:dyDescent="0.3">
      <c r="AV387" s="103"/>
      <c r="CJ387" s="103"/>
      <c r="FP387" s="103"/>
      <c r="LL387" s="103"/>
      <c r="NM387" s="103"/>
      <c r="QT387" s="106"/>
      <c r="QU387" s="106"/>
      <c r="QV387" s="106"/>
      <c r="QW387" s="106"/>
      <c r="QX387" s="106"/>
      <c r="QY387" s="106"/>
      <c r="QZ387" s="106"/>
      <c r="RA387" s="106"/>
      <c r="RB387" s="106"/>
      <c r="RC387" s="106"/>
      <c r="RD387" s="106"/>
      <c r="RE387" s="106"/>
      <c r="RF387" s="106"/>
      <c r="RG387" s="106"/>
      <c r="RH387" s="106"/>
      <c r="RI387" s="106"/>
      <c r="RJ387" s="106"/>
      <c r="RK387" s="106"/>
      <c r="RL387" s="106"/>
    </row>
    <row r="388" spans="48:480" x14ac:dyDescent="0.3">
      <c r="AV388" s="103"/>
      <c r="CJ388" s="103"/>
      <c r="FP388" s="103"/>
      <c r="LL388" s="103"/>
      <c r="NM388" s="103"/>
      <c r="QT388" s="106"/>
      <c r="QU388" s="106"/>
      <c r="QV388" s="106"/>
      <c r="QW388" s="106"/>
      <c r="QX388" s="106"/>
      <c r="QY388" s="106"/>
      <c r="QZ388" s="106"/>
      <c r="RA388" s="106"/>
      <c r="RB388" s="106"/>
      <c r="RC388" s="106"/>
      <c r="RD388" s="106"/>
      <c r="RE388" s="106"/>
      <c r="RF388" s="106"/>
      <c r="RG388" s="106"/>
      <c r="RH388" s="106"/>
      <c r="RI388" s="106"/>
      <c r="RJ388" s="106"/>
      <c r="RK388" s="106"/>
      <c r="RL388" s="106"/>
    </row>
    <row r="389" spans="48:480" x14ac:dyDescent="0.3">
      <c r="AV389" s="103"/>
      <c r="CJ389" s="103"/>
      <c r="FP389" s="103"/>
      <c r="LL389" s="103"/>
      <c r="NM389" s="103"/>
      <c r="QT389" s="106"/>
      <c r="QU389" s="106"/>
      <c r="QV389" s="106"/>
      <c r="QW389" s="106"/>
      <c r="QX389" s="106"/>
      <c r="QY389" s="106"/>
      <c r="QZ389" s="106"/>
      <c r="RA389" s="106"/>
      <c r="RB389" s="106"/>
      <c r="RC389" s="106"/>
      <c r="RD389" s="106"/>
      <c r="RE389" s="106"/>
      <c r="RF389" s="106"/>
      <c r="RG389" s="106"/>
      <c r="RH389" s="106"/>
      <c r="RI389" s="106"/>
      <c r="RJ389" s="106"/>
      <c r="RK389" s="106"/>
      <c r="RL389" s="106"/>
    </row>
    <row r="390" spans="48:480" x14ac:dyDescent="0.3">
      <c r="AV390" s="103"/>
      <c r="CJ390" s="103"/>
      <c r="FP390" s="103"/>
      <c r="LL390" s="103"/>
      <c r="NM390" s="103"/>
      <c r="QT390" s="106"/>
      <c r="QU390" s="106"/>
      <c r="QV390" s="106"/>
      <c r="QW390" s="106"/>
      <c r="QX390" s="106"/>
      <c r="QY390" s="106"/>
      <c r="QZ390" s="106"/>
      <c r="RA390" s="106"/>
      <c r="RB390" s="106"/>
      <c r="RC390" s="106"/>
      <c r="RD390" s="106"/>
      <c r="RE390" s="106"/>
      <c r="RF390" s="106"/>
      <c r="RG390" s="106"/>
      <c r="RH390" s="106"/>
      <c r="RI390" s="106"/>
      <c r="RJ390" s="106"/>
      <c r="RK390" s="106"/>
      <c r="RL390" s="106"/>
    </row>
    <row r="391" spans="48:480" x14ac:dyDescent="0.3">
      <c r="AV391" s="103"/>
      <c r="CJ391" s="103"/>
      <c r="FP391" s="103"/>
      <c r="LL391" s="103"/>
      <c r="NM391" s="103"/>
      <c r="QT391" s="106"/>
      <c r="QU391" s="106"/>
      <c r="QV391" s="106"/>
      <c r="QW391" s="106"/>
      <c r="QX391" s="106"/>
      <c r="QY391" s="106"/>
      <c r="QZ391" s="106"/>
      <c r="RA391" s="106"/>
      <c r="RB391" s="106"/>
      <c r="RC391" s="106"/>
      <c r="RD391" s="106"/>
      <c r="RE391" s="106"/>
      <c r="RF391" s="106"/>
      <c r="RG391" s="106"/>
      <c r="RH391" s="106"/>
      <c r="RI391" s="106"/>
      <c r="RJ391" s="106"/>
      <c r="RK391" s="106"/>
      <c r="RL391" s="106"/>
    </row>
    <row r="392" spans="48:480" x14ac:dyDescent="0.3">
      <c r="AV392" s="103"/>
      <c r="CJ392" s="103"/>
      <c r="FP392" s="103"/>
      <c r="LL392" s="103"/>
      <c r="NM392" s="103"/>
      <c r="QT392" s="106"/>
      <c r="QU392" s="106"/>
      <c r="QV392" s="106"/>
      <c r="QW392" s="106"/>
      <c r="QX392" s="106"/>
      <c r="QY392" s="106"/>
      <c r="QZ392" s="106"/>
      <c r="RA392" s="106"/>
      <c r="RB392" s="106"/>
      <c r="RC392" s="106"/>
      <c r="RD392" s="106"/>
      <c r="RE392" s="106"/>
      <c r="RF392" s="106"/>
      <c r="RG392" s="106"/>
      <c r="RH392" s="106"/>
      <c r="RI392" s="106"/>
      <c r="RJ392" s="106"/>
      <c r="RK392" s="106"/>
      <c r="RL392" s="106"/>
    </row>
    <row r="393" spans="48:480" x14ac:dyDescent="0.3">
      <c r="AV393" s="103"/>
      <c r="CJ393" s="103"/>
      <c r="FP393" s="103"/>
      <c r="LL393" s="103"/>
      <c r="NM393" s="103"/>
      <c r="QT393" s="106"/>
      <c r="QU393" s="106"/>
      <c r="QV393" s="106"/>
      <c r="QW393" s="106"/>
      <c r="QX393" s="106"/>
      <c r="QY393" s="106"/>
      <c r="QZ393" s="106"/>
      <c r="RA393" s="106"/>
      <c r="RB393" s="106"/>
      <c r="RC393" s="106"/>
      <c r="RD393" s="106"/>
      <c r="RE393" s="106"/>
      <c r="RF393" s="106"/>
      <c r="RG393" s="106"/>
      <c r="RH393" s="106"/>
      <c r="RI393" s="106"/>
      <c r="RJ393" s="106"/>
      <c r="RK393" s="106"/>
      <c r="RL393" s="106"/>
    </row>
    <row r="394" spans="48:480" x14ac:dyDescent="0.3">
      <c r="AV394" s="103"/>
      <c r="CJ394" s="103"/>
      <c r="FP394" s="103"/>
      <c r="LL394" s="103"/>
      <c r="NM394" s="103"/>
      <c r="QT394" s="106"/>
      <c r="QU394" s="106"/>
      <c r="QV394" s="106"/>
      <c r="QW394" s="106"/>
      <c r="QX394" s="106"/>
      <c r="QY394" s="106"/>
      <c r="QZ394" s="106"/>
      <c r="RA394" s="106"/>
      <c r="RB394" s="106"/>
      <c r="RC394" s="106"/>
      <c r="RD394" s="106"/>
      <c r="RE394" s="106"/>
      <c r="RF394" s="106"/>
      <c r="RG394" s="106"/>
      <c r="RH394" s="106"/>
      <c r="RI394" s="106"/>
      <c r="RJ394" s="106"/>
      <c r="RK394" s="106"/>
      <c r="RL394" s="106"/>
    </row>
    <row r="395" spans="48:480" x14ac:dyDescent="0.3">
      <c r="AV395" s="103"/>
      <c r="CJ395" s="103"/>
      <c r="FP395" s="103"/>
      <c r="LL395" s="103"/>
      <c r="NM395" s="103"/>
      <c r="QT395" s="106"/>
      <c r="QU395" s="106"/>
      <c r="QV395" s="106"/>
      <c r="QW395" s="106"/>
      <c r="QX395" s="106"/>
      <c r="QY395" s="106"/>
      <c r="QZ395" s="106"/>
      <c r="RA395" s="106"/>
      <c r="RB395" s="106"/>
      <c r="RC395" s="106"/>
      <c r="RD395" s="106"/>
      <c r="RE395" s="106"/>
      <c r="RF395" s="106"/>
      <c r="RG395" s="106"/>
      <c r="RH395" s="106"/>
      <c r="RI395" s="106"/>
      <c r="RJ395" s="106"/>
      <c r="RK395" s="106"/>
      <c r="RL395" s="106"/>
    </row>
    <row r="396" spans="48:480" x14ac:dyDescent="0.3">
      <c r="AV396" s="103"/>
      <c r="CJ396" s="103"/>
      <c r="FP396" s="103"/>
      <c r="LL396" s="103"/>
      <c r="NM396" s="103"/>
      <c r="QT396" s="106"/>
      <c r="QU396" s="106"/>
      <c r="QV396" s="106"/>
      <c r="QW396" s="106"/>
      <c r="QX396" s="106"/>
      <c r="QY396" s="106"/>
      <c r="QZ396" s="106"/>
      <c r="RA396" s="106"/>
      <c r="RB396" s="106"/>
      <c r="RC396" s="106"/>
      <c r="RD396" s="106"/>
      <c r="RE396" s="106"/>
      <c r="RF396" s="106"/>
      <c r="RG396" s="106"/>
      <c r="RH396" s="106"/>
      <c r="RI396" s="106"/>
      <c r="RJ396" s="106"/>
      <c r="RK396" s="106"/>
      <c r="RL396" s="106"/>
    </row>
    <row r="397" spans="48:480" x14ac:dyDescent="0.3">
      <c r="AV397" s="103"/>
      <c r="CJ397" s="103"/>
      <c r="FP397" s="103"/>
      <c r="LL397" s="103"/>
      <c r="NM397" s="103"/>
      <c r="QT397" s="106"/>
      <c r="QU397" s="106"/>
      <c r="QV397" s="106"/>
      <c r="QW397" s="106"/>
      <c r="QX397" s="106"/>
      <c r="QY397" s="106"/>
      <c r="QZ397" s="106"/>
      <c r="RA397" s="106"/>
      <c r="RB397" s="106"/>
      <c r="RC397" s="106"/>
      <c r="RD397" s="106"/>
      <c r="RE397" s="106"/>
      <c r="RF397" s="106"/>
      <c r="RG397" s="106"/>
      <c r="RH397" s="106"/>
      <c r="RI397" s="106"/>
      <c r="RJ397" s="106"/>
      <c r="RK397" s="106"/>
      <c r="RL397" s="106"/>
    </row>
    <row r="398" spans="48:480" x14ac:dyDescent="0.3">
      <c r="AV398" s="103"/>
      <c r="CJ398" s="103"/>
      <c r="FP398" s="103"/>
      <c r="LL398" s="103"/>
      <c r="NM398" s="103"/>
      <c r="QT398" s="106"/>
      <c r="QU398" s="106"/>
      <c r="QV398" s="106"/>
      <c r="QW398" s="106"/>
      <c r="QX398" s="106"/>
      <c r="QY398" s="106"/>
      <c r="QZ398" s="106"/>
      <c r="RA398" s="106"/>
      <c r="RB398" s="106"/>
      <c r="RC398" s="106"/>
      <c r="RD398" s="106"/>
      <c r="RE398" s="106"/>
      <c r="RF398" s="106"/>
      <c r="RG398" s="106"/>
      <c r="RH398" s="106"/>
      <c r="RI398" s="106"/>
      <c r="RJ398" s="106"/>
      <c r="RK398" s="106"/>
      <c r="RL398" s="106"/>
    </row>
    <row r="399" spans="48:480" x14ac:dyDescent="0.3">
      <c r="AV399" s="103"/>
      <c r="CJ399" s="103"/>
      <c r="FP399" s="103"/>
      <c r="LL399" s="103"/>
      <c r="NM399" s="103"/>
      <c r="QT399" s="106"/>
      <c r="QU399" s="106"/>
      <c r="QV399" s="106"/>
      <c r="QW399" s="106"/>
      <c r="QX399" s="106"/>
      <c r="QY399" s="106"/>
      <c r="QZ399" s="106"/>
      <c r="RA399" s="106"/>
      <c r="RB399" s="106"/>
      <c r="RC399" s="106"/>
      <c r="RD399" s="106"/>
      <c r="RE399" s="106"/>
      <c r="RF399" s="106"/>
      <c r="RG399" s="106"/>
      <c r="RH399" s="106"/>
      <c r="RI399" s="106"/>
      <c r="RJ399" s="106"/>
      <c r="RK399" s="106"/>
      <c r="RL399" s="106"/>
    </row>
    <row r="400" spans="48:480" x14ac:dyDescent="0.3">
      <c r="AV400" s="103"/>
      <c r="CJ400" s="103"/>
      <c r="FP400" s="103"/>
      <c r="LL400" s="103"/>
      <c r="NM400" s="103"/>
      <c r="QT400" s="106"/>
      <c r="QU400" s="106"/>
      <c r="QV400" s="106"/>
      <c r="QW400" s="106"/>
      <c r="QX400" s="106"/>
      <c r="QY400" s="106"/>
      <c r="QZ400" s="106"/>
      <c r="RA400" s="106"/>
      <c r="RB400" s="106"/>
      <c r="RC400" s="106"/>
      <c r="RD400" s="106"/>
      <c r="RE400" s="106"/>
      <c r="RF400" s="106"/>
      <c r="RG400" s="106"/>
      <c r="RH400" s="106"/>
      <c r="RI400" s="106"/>
      <c r="RJ400" s="106"/>
      <c r="RK400" s="106"/>
      <c r="RL400" s="106"/>
    </row>
    <row r="401" spans="48:480" x14ac:dyDescent="0.3">
      <c r="AV401" s="103"/>
      <c r="CJ401" s="103"/>
      <c r="FP401" s="103"/>
      <c r="LL401" s="103"/>
      <c r="NM401" s="103"/>
      <c r="QT401" s="106"/>
      <c r="QU401" s="106"/>
      <c r="QV401" s="106"/>
      <c r="QW401" s="106"/>
      <c r="QX401" s="106"/>
      <c r="QY401" s="106"/>
      <c r="QZ401" s="106"/>
      <c r="RA401" s="106"/>
      <c r="RB401" s="106"/>
      <c r="RC401" s="106"/>
      <c r="RD401" s="106"/>
      <c r="RE401" s="106"/>
      <c r="RF401" s="106"/>
      <c r="RG401" s="106"/>
      <c r="RH401" s="106"/>
      <c r="RI401" s="106"/>
      <c r="RJ401" s="106"/>
      <c r="RK401" s="106"/>
      <c r="RL401" s="106"/>
    </row>
    <row r="402" spans="48:480" x14ac:dyDescent="0.3">
      <c r="AV402" s="103"/>
      <c r="CJ402" s="103"/>
      <c r="FP402" s="103"/>
      <c r="LL402" s="103"/>
      <c r="NM402" s="103"/>
      <c r="QT402" s="106"/>
      <c r="QU402" s="106"/>
      <c r="QV402" s="106"/>
      <c r="QW402" s="106"/>
      <c r="QX402" s="106"/>
      <c r="QY402" s="106"/>
      <c r="QZ402" s="106"/>
      <c r="RA402" s="106"/>
      <c r="RB402" s="106"/>
      <c r="RC402" s="106"/>
      <c r="RD402" s="106"/>
      <c r="RE402" s="106"/>
      <c r="RF402" s="106"/>
      <c r="RG402" s="106"/>
      <c r="RH402" s="106"/>
      <c r="RI402" s="106"/>
      <c r="RJ402" s="106"/>
      <c r="RK402" s="106"/>
      <c r="RL402" s="106"/>
    </row>
    <row r="403" spans="48:480" x14ac:dyDescent="0.3">
      <c r="AV403" s="103"/>
      <c r="CJ403" s="103"/>
      <c r="FP403" s="103"/>
      <c r="LL403" s="103"/>
      <c r="NM403" s="103"/>
      <c r="QT403" s="106"/>
      <c r="QU403" s="106"/>
      <c r="QV403" s="106"/>
      <c r="QW403" s="106"/>
      <c r="QX403" s="106"/>
      <c r="QY403" s="106"/>
      <c r="QZ403" s="106"/>
      <c r="RA403" s="106"/>
      <c r="RB403" s="106"/>
      <c r="RC403" s="106"/>
      <c r="RD403" s="106"/>
      <c r="RE403" s="106"/>
      <c r="RF403" s="106"/>
      <c r="RG403" s="106"/>
      <c r="RH403" s="106"/>
      <c r="RI403" s="106"/>
      <c r="RJ403" s="106"/>
      <c r="RK403" s="106"/>
      <c r="RL403" s="106"/>
    </row>
    <row r="404" spans="48:480" x14ac:dyDescent="0.3">
      <c r="AV404" s="103"/>
      <c r="CJ404" s="103"/>
      <c r="FP404" s="103"/>
      <c r="LL404" s="103"/>
      <c r="NM404" s="103"/>
      <c r="QT404" s="106"/>
      <c r="QU404" s="106"/>
      <c r="QV404" s="106"/>
      <c r="QW404" s="106"/>
      <c r="QX404" s="106"/>
      <c r="QY404" s="106"/>
      <c r="QZ404" s="106"/>
      <c r="RA404" s="106"/>
      <c r="RB404" s="106"/>
      <c r="RC404" s="106"/>
      <c r="RD404" s="106"/>
      <c r="RE404" s="106"/>
      <c r="RF404" s="106"/>
      <c r="RG404" s="106"/>
      <c r="RH404" s="106"/>
      <c r="RI404" s="106"/>
      <c r="RJ404" s="106"/>
      <c r="RK404" s="106"/>
      <c r="RL404" s="106"/>
    </row>
    <row r="405" spans="48:480" x14ac:dyDescent="0.3">
      <c r="AV405" s="103"/>
      <c r="CJ405" s="103"/>
      <c r="FP405" s="103"/>
      <c r="LL405" s="103"/>
      <c r="NM405" s="103"/>
      <c r="QT405" s="106"/>
      <c r="QU405" s="106"/>
      <c r="QV405" s="106"/>
      <c r="QW405" s="106"/>
      <c r="QX405" s="106"/>
      <c r="QY405" s="106"/>
      <c r="QZ405" s="106"/>
      <c r="RA405" s="106"/>
      <c r="RB405" s="106"/>
      <c r="RC405" s="106"/>
      <c r="RD405" s="106"/>
      <c r="RE405" s="106"/>
      <c r="RF405" s="106"/>
      <c r="RG405" s="106"/>
      <c r="RH405" s="106"/>
      <c r="RI405" s="106"/>
      <c r="RJ405" s="106"/>
      <c r="RK405" s="106"/>
      <c r="RL405" s="106"/>
    </row>
    <row r="406" spans="48:480" x14ac:dyDescent="0.3">
      <c r="AV406" s="103"/>
      <c r="CJ406" s="103"/>
      <c r="FP406" s="103"/>
      <c r="LL406" s="103"/>
      <c r="NM406" s="103"/>
      <c r="QT406" s="106"/>
      <c r="QU406" s="106"/>
      <c r="QV406" s="106"/>
      <c r="QW406" s="106"/>
      <c r="QX406" s="106"/>
      <c r="QY406" s="106"/>
      <c r="QZ406" s="106"/>
      <c r="RA406" s="106"/>
      <c r="RB406" s="106"/>
      <c r="RC406" s="106"/>
      <c r="RD406" s="106"/>
      <c r="RE406" s="106"/>
      <c r="RF406" s="106"/>
      <c r="RG406" s="106"/>
      <c r="RH406" s="106"/>
      <c r="RI406" s="106"/>
      <c r="RJ406" s="106"/>
      <c r="RK406" s="106"/>
      <c r="RL406" s="106"/>
    </row>
    <row r="407" spans="48:480" x14ac:dyDescent="0.3">
      <c r="AV407" s="103"/>
      <c r="CJ407" s="103"/>
      <c r="FP407" s="103"/>
      <c r="LL407" s="103"/>
      <c r="NM407" s="103"/>
      <c r="QT407" s="106"/>
      <c r="QU407" s="106"/>
      <c r="QV407" s="106"/>
      <c r="QW407" s="106"/>
      <c r="QX407" s="106"/>
      <c r="QY407" s="106"/>
      <c r="QZ407" s="106"/>
      <c r="RA407" s="106"/>
      <c r="RB407" s="106"/>
      <c r="RC407" s="106"/>
      <c r="RD407" s="106"/>
      <c r="RE407" s="106"/>
      <c r="RF407" s="106"/>
      <c r="RG407" s="106"/>
      <c r="RH407" s="106"/>
      <c r="RI407" s="106"/>
      <c r="RJ407" s="106"/>
      <c r="RK407" s="106"/>
      <c r="RL407" s="106"/>
    </row>
    <row r="408" spans="48:480" x14ac:dyDescent="0.3">
      <c r="AV408" s="103"/>
      <c r="CJ408" s="103"/>
      <c r="FP408" s="103"/>
      <c r="LL408" s="103"/>
      <c r="NM408" s="103"/>
      <c r="QT408" s="106"/>
      <c r="QU408" s="106"/>
      <c r="QV408" s="106"/>
      <c r="QW408" s="106"/>
      <c r="QX408" s="106"/>
      <c r="QY408" s="106"/>
      <c r="QZ408" s="106"/>
      <c r="RA408" s="106"/>
      <c r="RB408" s="106"/>
      <c r="RC408" s="106"/>
      <c r="RD408" s="106"/>
      <c r="RE408" s="106"/>
      <c r="RF408" s="106"/>
      <c r="RG408" s="106"/>
      <c r="RH408" s="106"/>
      <c r="RI408" s="106"/>
      <c r="RJ408" s="106"/>
      <c r="RK408" s="106"/>
      <c r="RL408" s="106"/>
    </row>
    <row r="409" spans="48:480" x14ac:dyDescent="0.3">
      <c r="AV409" s="103"/>
      <c r="CJ409" s="103"/>
      <c r="FP409" s="103"/>
      <c r="LL409" s="103"/>
      <c r="NM409" s="103"/>
      <c r="QT409" s="106"/>
      <c r="QU409" s="106"/>
      <c r="QV409" s="106"/>
      <c r="QW409" s="106"/>
      <c r="QX409" s="106"/>
      <c r="QY409" s="106"/>
      <c r="QZ409" s="106"/>
      <c r="RA409" s="106"/>
      <c r="RB409" s="106"/>
      <c r="RC409" s="106"/>
      <c r="RD409" s="106"/>
      <c r="RE409" s="106"/>
      <c r="RF409" s="106"/>
      <c r="RG409" s="106"/>
      <c r="RH409" s="106"/>
      <c r="RI409" s="106"/>
      <c r="RJ409" s="106"/>
      <c r="RK409" s="106"/>
      <c r="RL409" s="106"/>
    </row>
    <row r="410" spans="48:480" x14ac:dyDescent="0.3">
      <c r="AV410" s="103"/>
      <c r="CJ410" s="103"/>
      <c r="FP410" s="103"/>
      <c r="LL410" s="103"/>
      <c r="NM410" s="103"/>
      <c r="QT410" s="106"/>
      <c r="QU410" s="106"/>
      <c r="QV410" s="106"/>
      <c r="QW410" s="106"/>
      <c r="QX410" s="106"/>
      <c r="QY410" s="106"/>
      <c r="QZ410" s="106"/>
      <c r="RA410" s="106"/>
      <c r="RB410" s="106"/>
      <c r="RC410" s="106"/>
      <c r="RD410" s="106"/>
      <c r="RE410" s="106"/>
      <c r="RF410" s="106"/>
      <c r="RG410" s="106"/>
      <c r="RH410" s="106"/>
      <c r="RI410" s="106"/>
      <c r="RJ410" s="106"/>
      <c r="RK410" s="106"/>
      <c r="RL410" s="106"/>
    </row>
    <row r="411" spans="48:480" x14ac:dyDescent="0.3">
      <c r="AV411" s="103"/>
      <c r="CJ411" s="103"/>
      <c r="FP411" s="103"/>
      <c r="LL411" s="103"/>
      <c r="NM411" s="103"/>
      <c r="QT411" s="106"/>
      <c r="QU411" s="106"/>
      <c r="QV411" s="106"/>
      <c r="QW411" s="106"/>
      <c r="QX411" s="106"/>
      <c r="QY411" s="106"/>
      <c r="QZ411" s="106"/>
      <c r="RA411" s="106"/>
      <c r="RB411" s="106"/>
      <c r="RC411" s="106"/>
      <c r="RD411" s="106"/>
      <c r="RE411" s="106"/>
      <c r="RF411" s="106"/>
      <c r="RG411" s="106"/>
      <c r="RH411" s="106"/>
      <c r="RI411" s="106"/>
      <c r="RJ411" s="106"/>
      <c r="RK411" s="106"/>
      <c r="RL411" s="106"/>
    </row>
    <row r="412" spans="48:480" x14ac:dyDescent="0.3">
      <c r="AV412" s="103"/>
      <c r="CJ412" s="103"/>
      <c r="FP412" s="103"/>
      <c r="LL412" s="103"/>
      <c r="NM412" s="103"/>
      <c r="QT412" s="106"/>
      <c r="QU412" s="106"/>
      <c r="QV412" s="106"/>
      <c r="QW412" s="106"/>
      <c r="QX412" s="106"/>
      <c r="QY412" s="106"/>
      <c r="QZ412" s="106"/>
      <c r="RA412" s="106"/>
      <c r="RB412" s="106"/>
      <c r="RC412" s="106"/>
      <c r="RD412" s="106"/>
      <c r="RE412" s="106"/>
      <c r="RF412" s="106"/>
      <c r="RG412" s="106"/>
      <c r="RH412" s="106"/>
      <c r="RI412" s="106"/>
      <c r="RJ412" s="106"/>
      <c r="RK412" s="106"/>
      <c r="RL412" s="106"/>
    </row>
    <row r="413" spans="48:480" x14ac:dyDescent="0.3">
      <c r="AV413" s="103"/>
      <c r="CJ413" s="103"/>
      <c r="FP413" s="103"/>
      <c r="LL413" s="103"/>
      <c r="NM413" s="103"/>
      <c r="QT413" s="106"/>
      <c r="QU413" s="106"/>
      <c r="QV413" s="106"/>
      <c r="QW413" s="106"/>
      <c r="QX413" s="106"/>
      <c r="QY413" s="106"/>
      <c r="QZ413" s="106"/>
      <c r="RA413" s="106"/>
      <c r="RB413" s="106"/>
      <c r="RC413" s="106"/>
      <c r="RD413" s="106"/>
      <c r="RE413" s="106"/>
      <c r="RF413" s="106"/>
      <c r="RG413" s="106"/>
      <c r="RH413" s="106"/>
      <c r="RI413" s="106"/>
      <c r="RJ413" s="106"/>
      <c r="RK413" s="106"/>
      <c r="RL413" s="106"/>
    </row>
    <row r="414" spans="48:480" x14ac:dyDescent="0.3">
      <c r="AV414" s="103"/>
      <c r="CJ414" s="103"/>
      <c r="FP414" s="103"/>
      <c r="LL414" s="103"/>
      <c r="NM414" s="103"/>
      <c r="QT414" s="106"/>
      <c r="QU414" s="106"/>
      <c r="QV414" s="106"/>
      <c r="QW414" s="106"/>
      <c r="QX414" s="106"/>
      <c r="QY414" s="106"/>
      <c r="QZ414" s="106"/>
      <c r="RA414" s="106"/>
      <c r="RB414" s="106"/>
      <c r="RC414" s="106"/>
      <c r="RD414" s="106"/>
      <c r="RE414" s="106"/>
      <c r="RF414" s="106"/>
      <c r="RG414" s="106"/>
      <c r="RH414" s="106"/>
      <c r="RI414" s="106"/>
      <c r="RJ414" s="106"/>
      <c r="RK414" s="106"/>
      <c r="RL414" s="106"/>
    </row>
    <row r="415" spans="48:480" x14ac:dyDescent="0.3">
      <c r="AV415" s="103"/>
      <c r="CJ415" s="103"/>
      <c r="FP415" s="103"/>
      <c r="LL415" s="103"/>
      <c r="NM415" s="103"/>
      <c r="QT415" s="106"/>
      <c r="QU415" s="106"/>
      <c r="QV415" s="106"/>
      <c r="QW415" s="106"/>
      <c r="QX415" s="106"/>
      <c r="QY415" s="106"/>
      <c r="QZ415" s="106"/>
      <c r="RA415" s="106"/>
      <c r="RB415" s="106"/>
      <c r="RC415" s="106"/>
      <c r="RD415" s="106"/>
      <c r="RE415" s="106"/>
      <c r="RF415" s="106"/>
      <c r="RG415" s="106"/>
      <c r="RH415" s="106"/>
      <c r="RI415" s="106"/>
      <c r="RJ415" s="106"/>
      <c r="RK415" s="106"/>
      <c r="RL415" s="106"/>
    </row>
    <row r="416" spans="48:480" x14ac:dyDescent="0.3">
      <c r="AV416" s="103"/>
      <c r="CJ416" s="103"/>
      <c r="FP416" s="103"/>
      <c r="LL416" s="103"/>
      <c r="NM416" s="103"/>
      <c r="QT416" s="106"/>
      <c r="QU416" s="106"/>
      <c r="QV416" s="106"/>
      <c r="QW416" s="106"/>
      <c r="QX416" s="106"/>
      <c r="QY416" s="106"/>
      <c r="QZ416" s="106"/>
      <c r="RA416" s="106"/>
      <c r="RB416" s="106"/>
      <c r="RC416" s="106"/>
      <c r="RD416" s="106"/>
      <c r="RE416" s="106"/>
      <c r="RF416" s="106"/>
      <c r="RG416" s="106"/>
      <c r="RH416" s="106"/>
      <c r="RI416" s="106"/>
      <c r="RJ416" s="106"/>
      <c r="RK416" s="106"/>
      <c r="RL416" s="106"/>
    </row>
    <row r="417" spans="48:480" x14ac:dyDescent="0.3">
      <c r="AV417" s="103"/>
      <c r="CJ417" s="103"/>
      <c r="FP417" s="103"/>
      <c r="LL417" s="103"/>
      <c r="NM417" s="103"/>
      <c r="QT417" s="106"/>
      <c r="QU417" s="106"/>
      <c r="QV417" s="106"/>
      <c r="QW417" s="106"/>
      <c r="QX417" s="106"/>
      <c r="QY417" s="106"/>
      <c r="QZ417" s="106"/>
      <c r="RA417" s="106"/>
      <c r="RB417" s="106"/>
      <c r="RC417" s="106"/>
      <c r="RD417" s="106"/>
      <c r="RE417" s="106"/>
      <c r="RF417" s="106"/>
      <c r="RG417" s="106"/>
      <c r="RH417" s="106"/>
      <c r="RI417" s="106"/>
      <c r="RJ417" s="106"/>
      <c r="RK417" s="106"/>
      <c r="RL417" s="106"/>
    </row>
    <row r="418" spans="48:480" x14ac:dyDescent="0.3">
      <c r="AV418" s="103"/>
      <c r="CJ418" s="103"/>
      <c r="FP418" s="103"/>
      <c r="LL418" s="103"/>
      <c r="NM418" s="103"/>
      <c r="QT418" s="106"/>
      <c r="QU418" s="106"/>
      <c r="QV418" s="106"/>
      <c r="QW418" s="106"/>
      <c r="QX418" s="106"/>
      <c r="QY418" s="106"/>
      <c r="QZ418" s="106"/>
      <c r="RA418" s="106"/>
      <c r="RB418" s="106"/>
      <c r="RC418" s="106"/>
      <c r="RD418" s="106"/>
      <c r="RE418" s="106"/>
      <c r="RF418" s="106"/>
      <c r="RG418" s="106"/>
      <c r="RH418" s="106"/>
      <c r="RI418" s="106"/>
      <c r="RJ418" s="106"/>
      <c r="RK418" s="106"/>
      <c r="RL418" s="106"/>
    </row>
    <row r="419" spans="48:480" x14ac:dyDescent="0.3">
      <c r="AV419" s="103"/>
      <c r="CJ419" s="103"/>
      <c r="FP419" s="103"/>
      <c r="LL419" s="103"/>
      <c r="NM419" s="103"/>
      <c r="QT419" s="106"/>
      <c r="QU419" s="106"/>
      <c r="QV419" s="106"/>
      <c r="QW419" s="106"/>
      <c r="QX419" s="106"/>
      <c r="QY419" s="106"/>
      <c r="QZ419" s="106"/>
      <c r="RA419" s="106"/>
      <c r="RB419" s="106"/>
      <c r="RC419" s="106"/>
      <c r="RD419" s="106"/>
      <c r="RE419" s="106"/>
      <c r="RF419" s="106"/>
      <c r="RG419" s="106"/>
      <c r="RH419" s="106"/>
      <c r="RI419" s="106"/>
      <c r="RJ419" s="106"/>
      <c r="RK419" s="106"/>
      <c r="RL419" s="106"/>
    </row>
    <row r="420" spans="48:480" x14ac:dyDescent="0.3">
      <c r="AV420" s="103"/>
      <c r="CJ420" s="103"/>
      <c r="FP420" s="103"/>
      <c r="LL420" s="103"/>
      <c r="NM420" s="103"/>
      <c r="QT420" s="106"/>
      <c r="QU420" s="106"/>
      <c r="QV420" s="106"/>
      <c r="QW420" s="106"/>
      <c r="QX420" s="106"/>
      <c r="QY420" s="106"/>
      <c r="QZ420" s="106"/>
      <c r="RA420" s="106"/>
      <c r="RB420" s="106"/>
      <c r="RC420" s="106"/>
      <c r="RD420" s="106"/>
      <c r="RE420" s="106"/>
      <c r="RF420" s="106"/>
      <c r="RG420" s="106"/>
      <c r="RH420" s="106"/>
      <c r="RI420" s="106"/>
      <c r="RJ420" s="106"/>
      <c r="RK420" s="106"/>
      <c r="RL420" s="106"/>
    </row>
    <row r="421" spans="48:480" x14ac:dyDescent="0.3">
      <c r="AV421" s="103"/>
      <c r="CJ421" s="103"/>
      <c r="FP421" s="103"/>
      <c r="LL421" s="103"/>
      <c r="NM421" s="103"/>
      <c r="QT421" s="106"/>
      <c r="QU421" s="106"/>
      <c r="QV421" s="106"/>
      <c r="QW421" s="106"/>
      <c r="QX421" s="106"/>
      <c r="QY421" s="106"/>
      <c r="QZ421" s="106"/>
      <c r="RA421" s="106"/>
      <c r="RB421" s="106"/>
      <c r="RC421" s="106"/>
      <c r="RD421" s="106"/>
      <c r="RE421" s="106"/>
      <c r="RF421" s="106"/>
      <c r="RG421" s="106"/>
      <c r="RH421" s="106"/>
      <c r="RI421" s="106"/>
      <c r="RJ421" s="106"/>
      <c r="RK421" s="106"/>
      <c r="RL421" s="106"/>
    </row>
    <row r="422" spans="48:480" x14ac:dyDescent="0.3">
      <c r="AV422" s="103"/>
      <c r="CJ422" s="103"/>
      <c r="FP422" s="103"/>
      <c r="LL422" s="103"/>
      <c r="NM422" s="103"/>
      <c r="QT422" s="106"/>
      <c r="QU422" s="106"/>
      <c r="QV422" s="106"/>
      <c r="QW422" s="106"/>
      <c r="QX422" s="106"/>
      <c r="QY422" s="106"/>
      <c r="QZ422" s="106"/>
      <c r="RA422" s="106"/>
      <c r="RB422" s="106"/>
      <c r="RC422" s="106"/>
      <c r="RD422" s="106"/>
      <c r="RE422" s="106"/>
      <c r="RF422" s="106"/>
      <c r="RG422" s="106"/>
      <c r="RH422" s="106"/>
      <c r="RI422" s="106"/>
      <c r="RJ422" s="106"/>
      <c r="RK422" s="106"/>
      <c r="RL422" s="106"/>
    </row>
    <row r="423" spans="48:480" x14ac:dyDescent="0.3">
      <c r="AV423" s="103"/>
      <c r="CJ423" s="103"/>
      <c r="FP423" s="103"/>
      <c r="LL423" s="103"/>
      <c r="NM423" s="103"/>
      <c r="QT423" s="106"/>
      <c r="QU423" s="106"/>
      <c r="QV423" s="106"/>
      <c r="QW423" s="106"/>
      <c r="QX423" s="106"/>
      <c r="QY423" s="106"/>
      <c r="QZ423" s="106"/>
      <c r="RA423" s="106"/>
      <c r="RB423" s="106"/>
      <c r="RC423" s="106"/>
      <c r="RD423" s="106"/>
      <c r="RE423" s="106"/>
      <c r="RF423" s="106"/>
      <c r="RG423" s="106"/>
      <c r="RH423" s="106"/>
      <c r="RI423" s="106"/>
      <c r="RJ423" s="106"/>
      <c r="RK423" s="106"/>
      <c r="RL423" s="106"/>
    </row>
    <row r="424" spans="48:480" x14ac:dyDescent="0.3">
      <c r="AV424" s="103"/>
      <c r="CJ424" s="103"/>
      <c r="FP424" s="103"/>
      <c r="LL424" s="103"/>
      <c r="NM424" s="103"/>
      <c r="QT424" s="106"/>
      <c r="QU424" s="106"/>
      <c r="QV424" s="106"/>
      <c r="QW424" s="106"/>
      <c r="QX424" s="106"/>
      <c r="QY424" s="106"/>
      <c r="QZ424" s="106"/>
      <c r="RA424" s="106"/>
      <c r="RB424" s="106"/>
      <c r="RC424" s="106"/>
      <c r="RD424" s="106"/>
      <c r="RE424" s="106"/>
      <c r="RF424" s="106"/>
      <c r="RG424" s="106"/>
      <c r="RH424" s="106"/>
      <c r="RI424" s="106"/>
      <c r="RJ424" s="106"/>
      <c r="RK424" s="106"/>
      <c r="RL424" s="106"/>
    </row>
    <row r="425" spans="48:480" x14ac:dyDescent="0.3">
      <c r="AV425" s="103"/>
      <c r="CJ425" s="103"/>
      <c r="FP425" s="103"/>
      <c r="LL425" s="103"/>
      <c r="NM425" s="103"/>
      <c r="QT425" s="106"/>
      <c r="QU425" s="106"/>
      <c r="QV425" s="106"/>
      <c r="QW425" s="106"/>
      <c r="QX425" s="106"/>
      <c r="QY425" s="106"/>
      <c r="QZ425" s="106"/>
      <c r="RA425" s="106"/>
      <c r="RB425" s="106"/>
      <c r="RC425" s="106"/>
      <c r="RD425" s="106"/>
      <c r="RE425" s="106"/>
      <c r="RF425" s="106"/>
      <c r="RG425" s="106"/>
      <c r="RH425" s="106"/>
      <c r="RI425" s="106"/>
      <c r="RJ425" s="106"/>
      <c r="RK425" s="106"/>
      <c r="RL425" s="106"/>
    </row>
    <row r="426" spans="48:480" x14ac:dyDescent="0.3">
      <c r="AV426" s="103"/>
      <c r="CJ426" s="103"/>
      <c r="FP426" s="103"/>
      <c r="LL426" s="103"/>
      <c r="NM426" s="103"/>
      <c r="QT426" s="106"/>
      <c r="QU426" s="106"/>
      <c r="QV426" s="106"/>
      <c r="QW426" s="106"/>
      <c r="QX426" s="106"/>
      <c r="QY426" s="106"/>
      <c r="QZ426" s="106"/>
      <c r="RA426" s="106"/>
      <c r="RB426" s="106"/>
      <c r="RC426" s="106"/>
      <c r="RD426" s="106"/>
      <c r="RE426" s="106"/>
      <c r="RF426" s="106"/>
      <c r="RG426" s="106"/>
      <c r="RH426" s="106"/>
      <c r="RI426" s="106"/>
      <c r="RJ426" s="106"/>
      <c r="RK426" s="106"/>
      <c r="RL426" s="106"/>
    </row>
    <row r="427" spans="48:480" x14ac:dyDescent="0.3">
      <c r="AV427" s="103"/>
      <c r="CJ427" s="103"/>
      <c r="FP427" s="103"/>
      <c r="LL427" s="103"/>
      <c r="NM427" s="103"/>
      <c r="QT427" s="106"/>
      <c r="QU427" s="106"/>
      <c r="QV427" s="106"/>
      <c r="QW427" s="106"/>
      <c r="QX427" s="106"/>
      <c r="QY427" s="106"/>
      <c r="QZ427" s="106"/>
      <c r="RA427" s="106"/>
      <c r="RB427" s="106"/>
      <c r="RC427" s="106"/>
      <c r="RD427" s="106"/>
      <c r="RE427" s="106"/>
      <c r="RF427" s="106"/>
      <c r="RG427" s="106"/>
      <c r="RH427" s="106"/>
      <c r="RI427" s="106"/>
      <c r="RJ427" s="106"/>
      <c r="RK427" s="106"/>
      <c r="RL427" s="106"/>
    </row>
    <row r="428" spans="48:480" x14ac:dyDescent="0.3">
      <c r="AV428" s="103"/>
      <c r="CJ428" s="103"/>
      <c r="FP428" s="103"/>
      <c r="LL428" s="103"/>
      <c r="NM428" s="103"/>
      <c r="QT428" s="106"/>
      <c r="QU428" s="106"/>
      <c r="QV428" s="106"/>
      <c r="QW428" s="106"/>
      <c r="QX428" s="106"/>
      <c r="QY428" s="106"/>
      <c r="QZ428" s="106"/>
      <c r="RA428" s="106"/>
      <c r="RB428" s="106"/>
      <c r="RC428" s="106"/>
      <c r="RD428" s="106"/>
      <c r="RE428" s="106"/>
      <c r="RF428" s="106"/>
      <c r="RG428" s="106"/>
      <c r="RH428" s="106"/>
      <c r="RI428" s="106"/>
      <c r="RJ428" s="106"/>
      <c r="RK428" s="106"/>
      <c r="RL428" s="106"/>
    </row>
    <row r="429" spans="48:480" x14ac:dyDescent="0.3">
      <c r="AV429" s="103"/>
      <c r="CJ429" s="103"/>
      <c r="FP429" s="103"/>
      <c r="LL429" s="103"/>
      <c r="NM429" s="103"/>
      <c r="QT429" s="106"/>
      <c r="QU429" s="106"/>
      <c r="QV429" s="106"/>
      <c r="QW429" s="106"/>
      <c r="QX429" s="106"/>
      <c r="QY429" s="106"/>
      <c r="QZ429" s="106"/>
      <c r="RA429" s="106"/>
      <c r="RB429" s="106"/>
      <c r="RC429" s="106"/>
      <c r="RD429" s="106"/>
      <c r="RE429" s="106"/>
      <c r="RF429" s="106"/>
      <c r="RG429" s="106"/>
      <c r="RH429" s="106"/>
      <c r="RI429" s="106"/>
      <c r="RJ429" s="106"/>
      <c r="RK429" s="106"/>
      <c r="RL429" s="106"/>
    </row>
    <row r="430" spans="48:480" x14ac:dyDescent="0.3">
      <c r="AV430" s="103"/>
      <c r="CJ430" s="103"/>
      <c r="FP430" s="103"/>
      <c r="LL430" s="103"/>
      <c r="NM430" s="103"/>
      <c r="QT430" s="106"/>
      <c r="QU430" s="106"/>
      <c r="QV430" s="106"/>
      <c r="QW430" s="106"/>
      <c r="QX430" s="106"/>
      <c r="QY430" s="106"/>
      <c r="QZ430" s="106"/>
      <c r="RA430" s="106"/>
      <c r="RB430" s="106"/>
      <c r="RC430" s="106"/>
      <c r="RD430" s="106"/>
      <c r="RE430" s="106"/>
      <c r="RF430" s="106"/>
      <c r="RG430" s="106"/>
      <c r="RH430" s="106"/>
      <c r="RI430" s="106"/>
      <c r="RJ430" s="106"/>
      <c r="RK430" s="106"/>
      <c r="RL430" s="106"/>
    </row>
    <row r="431" spans="48:480" x14ac:dyDescent="0.3">
      <c r="AV431" s="103"/>
      <c r="CJ431" s="103"/>
      <c r="FP431" s="103"/>
      <c r="LL431" s="103"/>
      <c r="NM431" s="103"/>
      <c r="QT431" s="106"/>
      <c r="QU431" s="106"/>
      <c r="QV431" s="106"/>
      <c r="QW431" s="106"/>
      <c r="QX431" s="106"/>
      <c r="QY431" s="106"/>
      <c r="QZ431" s="106"/>
      <c r="RA431" s="106"/>
      <c r="RB431" s="106"/>
      <c r="RC431" s="106"/>
      <c r="RD431" s="106"/>
      <c r="RE431" s="106"/>
      <c r="RF431" s="106"/>
      <c r="RG431" s="106"/>
      <c r="RH431" s="106"/>
      <c r="RI431" s="106"/>
      <c r="RJ431" s="106"/>
      <c r="RK431" s="106"/>
      <c r="RL431" s="106"/>
    </row>
    <row r="432" spans="48:480" x14ac:dyDescent="0.3">
      <c r="AV432" s="103"/>
      <c r="CJ432" s="103"/>
      <c r="FP432" s="103"/>
      <c r="LL432" s="103"/>
      <c r="NM432" s="103"/>
      <c r="QT432" s="106"/>
      <c r="QU432" s="106"/>
      <c r="QV432" s="106"/>
      <c r="QW432" s="106"/>
      <c r="QX432" s="106"/>
      <c r="QY432" s="106"/>
      <c r="QZ432" s="106"/>
      <c r="RA432" s="106"/>
      <c r="RB432" s="106"/>
      <c r="RC432" s="106"/>
      <c r="RD432" s="106"/>
      <c r="RE432" s="106"/>
      <c r="RF432" s="106"/>
      <c r="RG432" s="106"/>
      <c r="RH432" s="106"/>
      <c r="RI432" s="106"/>
      <c r="RJ432" s="106"/>
      <c r="RK432" s="106"/>
      <c r="RL432" s="106"/>
    </row>
    <row r="433" spans="48:480" x14ac:dyDescent="0.3">
      <c r="AV433" s="103"/>
      <c r="CJ433" s="103"/>
      <c r="FP433" s="103"/>
      <c r="LL433" s="103"/>
      <c r="NM433" s="103"/>
      <c r="QT433" s="106"/>
      <c r="QU433" s="106"/>
      <c r="QV433" s="106"/>
      <c r="QW433" s="106"/>
      <c r="QX433" s="106"/>
      <c r="QY433" s="106"/>
      <c r="QZ433" s="106"/>
      <c r="RA433" s="106"/>
      <c r="RB433" s="106"/>
      <c r="RC433" s="106"/>
      <c r="RD433" s="106"/>
      <c r="RE433" s="106"/>
      <c r="RF433" s="106"/>
      <c r="RG433" s="106"/>
      <c r="RH433" s="106"/>
      <c r="RI433" s="106"/>
      <c r="RJ433" s="106"/>
      <c r="RK433" s="106"/>
      <c r="RL433" s="106"/>
    </row>
    <row r="434" spans="48:480" x14ac:dyDescent="0.3">
      <c r="AV434" s="103"/>
      <c r="CJ434" s="103"/>
      <c r="FP434" s="103"/>
      <c r="LL434" s="103"/>
      <c r="NM434" s="103"/>
      <c r="QT434" s="106"/>
      <c r="QU434" s="106"/>
      <c r="QV434" s="106"/>
      <c r="QW434" s="106"/>
      <c r="QX434" s="106"/>
      <c r="QY434" s="106"/>
      <c r="QZ434" s="106"/>
      <c r="RA434" s="106"/>
      <c r="RB434" s="106"/>
      <c r="RC434" s="106"/>
      <c r="RD434" s="106"/>
      <c r="RE434" s="106"/>
      <c r="RF434" s="106"/>
      <c r="RG434" s="106"/>
      <c r="RH434" s="106"/>
      <c r="RI434" s="106"/>
      <c r="RJ434" s="106"/>
      <c r="RK434" s="106"/>
      <c r="RL434" s="106"/>
    </row>
    <row r="435" spans="48:480" x14ac:dyDescent="0.3">
      <c r="AV435" s="103"/>
      <c r="CJ435" s="103"/>
      <c r="FP435" s="103"/>
      <c r="LL435" s="103"/>
      <c r="NM435" s="103"/>
      <c r="QT435" s="106"/>
      <c r="QU435" s="106"/>
      <c r="QV435" s="106"/>
      <c r="QW435" s="106"/>
      <c r="QX435" s="106"/>
      <c r="QY435" s="106"/>
      <c r="QZ435" s="106"/>
      <c r="RA435" s="106"/>
      <c r="RB435" s="106"/>
      <c r="RC435" s="106"/>
      <c r="RD435" s="106"/>
      <c r="RE435" s="106"/>
      <c r="RF435" s="106"/>
      <c r="RG435" s="106"/>
      <c r="RH435" s="106"/>
      <c r="RI435" s="106"/>
      <c r="RJ435" s="106"/>
      <c r="RK435" s="106"/>
      <c r="RL435" s="106"/>
    </row>
    <row r="436" spans="48:480" x14ac:dyDescent="0.3">
      <c r="AV436" s="103"/>
      <c r="CJ436" s="103"/>
      <c r="FP436" s="103"/>
      <c r="LL436" s="103"/>
      <c r="NM436" s="103"/>
      <c r="QT436" s="106"/>
      <c r="QU436" s="106"/>
      <c r="QV436" s="106"/>
      <c r="QW436" s="106"/>
      <c r="QX436" s="106"/>
      <c r="QY436" s="106"/>
      <c r="QZ436" s="106"/>
      <c r="RA436" s="106"/>
      <c r="RB436" s="106"/>
      <c r="RC436" s="106"/>
      <c r="RD436" s="106"/>
      <c r="RE436" s="106"/>
      <c r="RF436" s="106"/>
      <c r="RG436" s="106"/>
      <c r="RH436" s="106"/>
      <c r="RI436" s="106"/>
      <c r="RJ436" s="106"/>
      <c r="RK436" s="106"/>
      <c r="RL436" s="106"/>
    </row>
    <row r="437" spans="48:480" x14ac:dyDescent="0.3">
      <c r="AV437" s="103"/>
      <c r="CJ437" s="103"/>
      <c r="FP437" s="103"/>
      <c r="LL437" s="103"/>
      <c r="NM437" s="103"/>
      <c r="QT437" s="106"/>
      <c r="QU437" s="106"/>
      <c r="QV437" s="106"/>
      <c r="QW437" s="106"/>
      <c r="QX437" s="106"/>
      <c r="QY437" s="106"/>
      <c r="QZ437" s="106"/>
      <c r="RA437" s="106"/>
      <c r="RB437" s="106"/>
      <c r="RC437" s="106"/>
      <c r="RD437" s="106"/>
      <c r="RE437" s="106"/>
      <c r="RF437" s="106"/>
      <c r="RG437" s="106"/>
      <c r="RH437" s="106"/>
      <c r="RI437" s="106"/>
      <c r="RJ437" s="106"/>
      <c r="RK437" s="106"/>
      <c r="RL437" s="106"/>
    </row>
    <row r="438" spans="48:480" x14ac:dyDescent="0.3">
      <c r="AV438" s="103"/>
      <c r="CJ438" s="103"/>
      <c r="FP438" s="103"/>
      <c r="LL438" s="103"/>
      <c r="NM438" s="103"/>
      <c r="QT438" s="106"/>
      <c r="QU438" s="106"/>
      <c r="QV438" s="106"/>
      <c r="QW438" s="106"/>
      <c r="QX438" s="106"/>
      <c r="QY438" s="106"/>
      <c r="QZ438" s="106"/>
      <c r="RA438" s="106"/>
      <c r="RB438" s="106"/>
      <c r="RC438" s="106"/>
      <c r="RD438" s="106"/>
      <c r="RE438" s="106"/>
      <c r="RF438" s="106"/>
      <c r="RG438" s="106"/>
      <c r="RH438" s="106"/>
      <c r="RI438" s="106"/>
      <c r="RJ438" s="106"/>
      <c r="RK438" s="106"/>
      <c r="RL438" s="106"/>
    </row>
    <row r="439" spans="48:480" x14ac:dyDescent="0.3">
      <c r="AV439" s="103"/>
      <c r="CJ439" s="103"/>
      <c r="FP439" s="103"/>
      <c r="LL439" s="103"/>
      <c r="NM439" s="103"/>
      <c r="QT439" s="106"/>
      <c r="QU439" s="106"/>
      <c r="QV439" s="106"/>
      <c r="QW439" s="106"/>
      <c r="QX439" s="106"/>
      <c r="QY439" s="106"/>
      <c r="QZ439" s="106"/>
      <c r="RA439" s="106"/>
      <c r="RB439" s="106"/>
      <c r="RC439" s="106"/>
      <c r="RD439" s="106"/>
      <c r="RE439" s="106"/>
      <c r="RF439" s="106"/>
      <c r="RG439" s="106"/>
      <c r="RH439" s="106"/>
      <c r="RI439" s="106"/>
      <c r="RJ439" s="106"/>
      <c r="RK439" s="106"/>
      <c r="RL439" s="106"/>
    </row>
    <row r="440" spans="48:480" x14ac:dyDescent="0.3">
      <c r="AV440" s="103"/>
      <c r="CJ440" s="103"/>
      <c r="FP440" s="103"/>
      <c r="LL440" s="103"/>
      <c r="NM440" s="103"/>
      <c r="QT440" s="106"/>
      <c r="QU440" s="106"/>
      <c r="QV440" s="106"/>
      <c r="QW440" s="106"/>
      <c r="QX440" s="106"/>
      <c r="QY440" s="106"/>
      <c r="QZ440" s="106"/>
      <c r="RA440" s="106"/>
      <c r="RB440" s="106"/>
      <c r="RC440" s="106"/>
      <c r="RD440" s="106"/>
      <c r="RE440" s="106"/>
      <c r="RF440" s="106"/>
      <c r="RG440" s="106"/>
      <c r="RH440" s="106"/>
      <c r="RI440" s="106"/>
      <c r="RJ440" s="106"/>
      <c r="RK440" s="106"/>
      <c r="RL440" s="106"/>
    </row>
    <row r="441" spans="48:480" x14ac:dyDescent="0.3">
      <c r="CJ441" s="103"/>
      <c r="FP441" s="103"/>
      <c r="LL441" s="103"/>
      <c r="NM441" s="103"/>
      <c r="QT441" s="106"/>
      <c r="QU441" s="106"/>
      <c r="QV441" s="106"/>
      <c r="QW441" s="106"/>
      <c r="QX441" s="106"/>
      <c r="QY441" s="106"/>
      <c r="QZ441" s="106"/>
      <c r="RA441" s="106"/>
      <c r="RB441" s="106"/>
      <c r="RC441" s="106"/>
      <c r="RD441" s="106"/>
      <c r="RE441" s="106"/>
      <c r="RF441" s="106"/>
      <c r="RG441" s="106"/>
      <c r="RH441" s="106"/>
      <c r="RI441" s="106"/>
      <c r="RJ441" s="106"/>
      <c r="RK441" s="106"/>
      <c r="RL441" s="106"/>
    </row>
    <row r="442" spans="48:480" x14ac:dyDescent="0.3">
      <c r="AV442" s="103"/>
      <c r="CJ442" s="103"/>
      <c r="FP442" s="103"/>
      <c r="LL442" s="103"/>
      <c r="NM442" s="103"/>
      <c r="QT442" s="106"/>
      <c r="QU442" s="106"/>
      <c r="QV442" s="106"/>
      <c r="QW442" s="106"/>
      <c r="QX442" s="106"/>
      <c r="QY442" s="106"/>
      <c r="QZ442" s="106"/>
      <c r="RA442" s="106"/>
      <c r="RB442" s="106"/>
      <c r="RC442" s="106"/>
      <c r="RD442" s="106"/>
      <c r="RE442" s="106"/>
      <c r="RF442" s="106"/>
      <c r="RG442" s="106"/>
      <c r="RH442" s="106"/>
      <c r="RI442" s="106"/>
      <c r="RJ442" s="106"/>
      <c r="RK442" s="106"/>
      <c r="RL442" s="106"/>
    </row>
    <row r="443" spans="48:480" x14ac:dyDescent="0.3">
      <c r="AV443" s="103"/>
      <c r="CJ443" s="103"/>
      <c r="FP443" s="103"/>
      <c r="LL443" s="103"/>
      <c r="NM443" s="103"/>
      <c r="QT443" s="106"/>
      <c r="QU443" s="106"/>
      <c r="QV443" s="106"/>
      <c r="QW443" s="106"/>
      <c r="QX443" s="106"/>
      <c r="QY443" s="106"/>
      <c r="QZ443" s="106"/>
      <c r="RA443" s="106"/>
      <c r="RB443" s="106"/>
      <c r="RC443" s="106"/>
      <c r="RD443" s="106"/>
      <c r="RE443" s="106"/>
      <c r="RF443" s="106"/>
      <c r="RG443" s="106"/>
      <c r="RH443" s="106"/>
      <c r="RI443" s="106"/>
      <c r="RJ443" s="106"/>
      <c r="RK443" s="106"/>
      <c r="RL443" s="106"/>
    </row>
    <row r="444" spans="48:480" x14ac:dyDescent="0.3">
      <c r="CJ444" s="103"/>
      <c r="FP444" s="103"/>
      <c r="LL444" s="103"/>
      <c r="NM444" s="103"/>
      <c r="QT444" s="106"/>
      <c r="QU444" s="106"/>
      <c r="QV444" s="106"/>
      <c r="QW444" s="106"/>
      <c r="QX444" s="106"/>
      <c r="QY444" s="106"/>
      <c r="QZ444" s="106"/>
      <c r="RA444" s="106"/>
      <c r="RB444" s="106"/>
      <c r="RC444" s="106"/>
      <c r="RD444" s="106"/>
      <c r="RE444" s="106"/>
      <c r="RF444" s="106"/>
      <c r="RG444" s="106"/>
      <c r="RH444" s="106"/>
      <c r="RI444" s="106"/>
      <c r="RJ444" s="106"/>
      <c r="RK444" s="106"/>
      <c r="RL444" s="106"/>
    </row>
    <row r="445" spans="48:480" x14ac:dyDescent="0.3">
      <c r="AV445" s="103"/>
      <c r="CJ445" s="103"/>
      <c r="FP445" s="103"/>
      <c r="LL445" s="103"/>
      <c r="NM445" s="103"/>
      <c r="QT445" s="106"/>
      <c r="QU445" s="106"/>
      <c r="QV445" s="106"/>
      <c r="QW445" s="106"/>
      <c r="QX445" s="106"/>
      <c r="QY445" s="106"/>
      <c r="QZ445" s="106"/>
      <c r="RA445" s="106"/>
      <c r="RB445" s="106"/>
      <c r="RC445" s="106"/>
      <c r="RD445" s="106"/>
      <c r="RE445" s="106"/>
      <c r="RF445" s="106"/>
      <c r="RG445" s="106"/>
      <c r="RH445" s="106"/>
      <c r="RI445" s="106"/>
      <c r="RJ445" s="106"/>
      <c r="RK445" s="106"/>
      <c r="RL445" s="106"/>
    </row>
    <row r="446" spans="48:480" x14ac:dyDescent="0.3">
      <c r="AV446" s="103"/>
      <c r="CJ446" s="103"/>
      <c r="FP446" s="103"/>
      <c r="LL446" s="103"/>
      <c r="NM446" s="103"/>
      <c r="QT446" s="106"/>
      <c r="QU446" s="106"/>
      <c r="QV446" s="106"/>
      <c r="QW446" s="106"/>
      <c r="QX446" s="106"/>
      <c r="QY446" s="106"/>
      <c r="QZ446" s="106"/>
      <c r="RA446" s="106"/>
      <c r="RB446" s="106"/>
      <c r="RC446" s="106"/>
      <c r="RD446" s="106"/>
      <c r="RE446" s="106"/>
      <c r="RF446" s="106"/>
      <c r="RG446" s="106"/>
      <c r="RH446" s="106"/>
      <c r="RI446" s="106"/>
      <c r="RJ446" s="106"/>
      <c r="RK446" s="106"/>
      <c r="RL446" s="106"/>
    </row>
    <row r="447" spans="48:480" x14ac:dyDescent="0.3">
      <c r="AV447" s="103"/>
      <c r="CJ447" s="103"/>
      <c r="FP447" s="103"/>
      <c r="LL447" s="103"/>
      <c r="NM447" s="103"/>
      <c r="QT447" s="106"/>
      <c r="QU447" s="106"/>
      <c r="QV447" s="106"/>
      <c r="QW447" s="106"/>
      <c r="QX447" s="106"/>
      <c r="QY447" s="106"/>
      <c r="QZ447" s="106"/>
      <c r="RA447" s="106"/>
      <c r="RB447" s="106"/>
      <c r="RC447" s="106"/>
      <c r="RD447" s="106"/>
      <c r="RE447" s="106"/>
      <c r="RF447" s="106"/>
      <c r="RG447" s="106"/>
      <c r="RH447" s="106"/>
      <c r="RI447" s="106"/>
      <c r="RJ447" s="106"/>
      <c r="RK447" s="106"/>
      <c r="RL447" s="106"/>
    </row>
    <row r="448" spans="48:480" x14ac:dyDescent="0.3">
      <c r="AV448" s="103"/>
      <c r="CJ448" s="103"/>
      <c r="FP448" s="103"/>
      <c r="LL448" s="103"/>
      <c r="NM448" s="103"/>
      <c r="QT448" s="106"/>
      <c r="QU448" s="106"/>
      <c r="QV448" s="106"/>
      <c r="QW448" s="106"/>
      <c r="QX448" s="106"/>
      <c r="QY448" s="106"/>
      <c r="QZ448" s="106"/>
      <c r="RA448" s="106"/>
      <c r="RB448" s="106"/>
      <c r="RC448" s="106"/>
      <c r="RD448" s="106"/>
      <c r="RE448" s="106"/>
      <c r="RF448" s="106"/>
      <c r="RG448" s="106"/>
      <c r="RH448" s="106"/>
      <c r="RI448" s="106"/>
      <c r="RJ448" s="106"/>
      <c r="RK448" s="106"/>
      <c r="RL448" s="106"/>
    </row>
    <row r="449" spans="48:480" x14ac:dyDescent="0.3">
      <c r="AV449" s="103"/>
      <c r="CJ449" s="103"/>
      <c r="FP449" s="103"/>
      <c r="LL449" s="103"/>
      <c r="NM449" s="103"/>
      <c r="QT449" s="106"/>
      <c r="QU449" s="106"/>
      <c r="QV449" s="106"/>
      <c r="QW449" s="106"/>
      <c r="QX449" s="106"/>
      <c r="QY449" s="106"/>
      <c r="QZ449" s="106"/>
      <c r="RA449" s="106"/>
      <c r="RB449" s="106"/>
      <c r="RC449" s="106"/>
      <c r="RD449" s="106"/>
      <c r="RE449" s="106"/>
      <c r="RF449" s="106"/>
      <c r="RG449" s="106"/>
      <c r="RH449" s="106"/>
      <c r="RI449" s="106"/>
      <c r="RJ449" s="106"/>
      <c r="RK449" s="106"/>
      <c r="RL449" s="106"/>
    </row>
    <row r="450" spans="48:480" x14ac:dyDescent="0.3">
      <c r="AV450" s="103"/>
      <c r="CJ450" s="103"/>
      <c r="FP450" s="103"/>
      <c r="LL450" s="103"/>
      <c r="NM450" s="103"/>
      <c r="QT450" s="106"/>
      <c r="QU450" s="106"/>
      <c r="QV450" s="106"/>
      <c r="QW450" s="106"/>
      <c r="QX450" s="106"/>
      <c r="QY450" s="106"/>
      <c r="QZ450" s="106"/>
      <c r="RA450" s="106"/>
      <c r="RB450" s="106"/>
      <c r="RC450" s="106"/>
      <c r="RD450" s="106"/>
      <c r="RE450" s="106"/>
      <c r="RF450" s="106"/>
      <c r="RG450" s="106"/>
      <c r="RH450" s="106"/>
      <c r="RI450" s="106"/>
      <c r="RJ450" s="106"/>
      <c r="RK450" s="106"/>
      <c r="RL450" s="106"/>
    </row>
    <row r="451" spans="48:480" x14ac:dyDescent="0.3">
      <c r="AV451" s="103"/>
      <c r="CJ451" s="103"/>
      <c r="FP451" s="103"/>
      <c r="LL451" s="103"/>
      <c r="NM451" s="103"/>
      <c r="QT451" s="106"/>
      <c r="QU451" s="106"/>
      <c r="QV451" s="106"/>
      <c r="QW451" s="106"/>
      <c r="QX451" s="106"/>
      <c r="QY451" s="106"/>
      <c r="QZ451" s="106"/>
      <c r="RA451" s="106"/>
      <c r="RB451" s="106"/>
      <c r="RC451" s="106"/>
      <c r="RD451" s="106"/>
      <c r="RE451" s="106"/>
      <c r="RF451" s="106"/>
      <c r="RG451" s="106"/>
      <c r="RH451" s="106"/>
      <c r="RI451" s="106"/>
      <c r="RJ451" s="106"/>
      <c r="RK451" s="106"/>
      <c r="RL451" s="106"/>
    </row>
    <row r="452" spans="48:480" x14ac:dyDescent="0.3">
      <c r="AV452" s="103"/>
      <c r="CJ452" s="103"/>
      <c r="FP452" s="103"/>
      <c r="LL452" s="103"/>
      <c r="NM452" s="103"/>
      <c r="QT452" s="106"/>
      <c r="QU452" s="106"/>
      <c r="QV452" s="106"/>
      <c r="QW452" s="106"/>
      <c r="QX452" s="106"/>
      <c r="QY452" s="106"/>
      <c r="QZ452" s="106"/>
      <c r="RA452" s="106"/>
      <c r="RB452" s="106"/>
      <c r="RC452" s="106"/>
      <c r="RD452" s="106"/>
      <c r="RE452" s="106"/>
      <c r="RF452" s="106"/>
      <c r="RG452" s="106"/>
      <c r="RH452" s="106"/>
      <c r="RI452" s="106"/>
      <c r="RJ452" s="106"/>
      <c r="RK452" s="106"/>
      <c r="RL452" s="106"/>
    </row>
    <row r="453" spans="48:480" x14ac:dyDescent="0.3">
      <c r="AV453" s="103"/>
      <c r="CJ453" s="103"/>
      <c r="FP453" s="103"/>
      <c r="LL453" s="103"/>
      <c r="NM453" s="103"/>
      <c r="QT453" s="106"/>
      <c r="QU453" s="106"/>
      <c r="QV453" s="106"/>
      <c r="QW453" s="106"/>
      <c r="QX453" s="106"/>
      <c r="QY453" s="106"/>
      <c r="QZ453" s="106"/>
      <c r="RA453" s="106"/>
      <c r="RB453" s="106"/>
      <c r="RC453" s="106"/>
      <c r="RD453" s="106"/>
      <c r="RE453" s="106"/>
      <c r="RF453" s="106"/>
      <c r="RG453" s="106"/>
      <c r="RH453" s="106"/>
      <c r="RI453" s="106"/>
      <c r="RJ453" s="106"/>
      <c r="RK453" s="106"/>
      <c r="RL453" s="106"/>
    </row>
    <row r="454" spans="48:480" x14ac:dyDescent="0.3">
      <c r="AV454" s="103"/>
      <c r="CJ454" s="103"/>
      <c r="FP454" s="103"/>
      <c r="LL454" s="103"/>
      <c r="NM454" s="103"/>
      <c r="QT454" s="106"/>
      <c r="QU454" s="106"/>
      <c r="QV454" s="106"/>
      <c r="QW454" s="106"/>
      <c r="QX454" s="106"/>
      <c r="QY454" s="106"/>
      <c r="QZ454" s="106"/>
      <c r="RA454" s="106"/>
      <c r="RB454" s="106"/>
      <c r="RC454" s="106"/>
      <c r="RD454" s="106"/>
      <c r="RE454" s="106"/>
      <c r="RF454" s="106"/>
      <c r="RG454" s="106"/>
      <c r="RH454" s="106"/>
      <c r="RI454" s="106"/>
      <c r="RJ454" s="106"/>
      <c r="RK454" s="106"/>
      <c r="RL454" s="106"/>
    </row>
    <row r="455" spans="48:480" x14ac:dyDescent="0.3">
      <c r="AV455" s="103"/>
      <c r="CJ455" s="103"/>
      <c r="FP455" s="103"/>
      <c r="LL455" s="103"/>
      <c r="NM455" s="103"/>
      <c r="QT455" s="106"/>
      <c r="QU455" s="106"/>
      <c r="QV455" s="106"/>
      <c r="QW455" s="106"/>
      <c r="QX455" s="106"/>
      <c r="QY455" s="106"/>
      <c r="QZ455" s="106"/>
      <c r="RA455" s="106"/>
      <c r="RB455" s="106"/>
      <c r="RC455" s="106"/>
      <c r="RD455" s="106"/>
      <c r="RE455" s="106"/>
      <c r="RF455" s="106"/>
      <c r="RG455" s="106"/>
      <c r="RH455" s="106"/>
      <c r="RI455" s="106"/>
      <c r="RJ455" s="106"/>
      <c r="RK455" s="106"/>
      <c r="RL455" s="106"/>
    </row>
    <row r="456" spans="48:480" x14ac:dyDescent="0.3">
      <c r="AV456" s="103"/>
      <c r="CJ456" s="103"/>
      <c r="FP456" s="103"/>
      <c r="LL456" s="103"/>
      <c r="NM456" s="103"/>
      <c r="QT456" s="106"/>
      <c r="QU456" s="106"/>
      <c r="QV456" s="106"/>
      <c r="QW456" s="106"/>
      <c r="QX456" s="106"/>
      <c r="QY456" s="106"/>
      <c r="QZ456" s="106"/>
      <c r="RA456" s="106"/>
      <c r="RB456" s="106"/>
      <c r="RC456" s="106"/>
      <c r="RD456" s="106"/>
      <c r="RE456" s="106"/>
      <c r="RF456" s="106"/>
      <c r="RG456" s="106"/>
      <c r="RH456" s="106"/>
      <c r="RI456" s="106"/>
      <c r="RJ456" s="106"/>
      <c r="RK456" s="106"/>
      <c r="RL456" s="106"/>
    </row>
    <row r="457" spans="48:480" x14ac:dyDescent="0.3">
      <c r="AV457" s="103"/>
      <c r="CJ457" s="103"/>
      <c r="FP457" s="103"/>
      <c r="LL457" s="103"/>
      <c r="NM457" s="103"/>
      <c r="QT457" s="106"/>
      <c r="QU457" s="106"/>
      <c r="QV457" s="106"/>
      <c r="QW457" s="106"/>
      <c r="QX457" s="106"/>
      <c r="QY457" s="106"/>
      <c r="QZ457" s="106"/>
      <c r="RA457" s="106"/>
      <c r="RB457" s="106"/>
      <c r="RC457" s="106"/>
      <c r="RD457" s="106"/>
      <c r="RE457" s="106"/>
      <c r="RF457" s="106"/>
      <c r="RG457" s="106"/>
      <c r="RH457" s="106"/>
      <c r="RI457" s="106"/>
      <c r="RJ457" s="106"/>
      <c r="RK457" s="106"/>
      <c r="RL457" s="106"/>
    </row>
    <row r="458" spans="48:480" x14ac:dyDescent="0.3">
      <c r="AV458" s="103"/>
      <c r="CJ458" s="103"/>
      <c r="FP458" s="103"/>
      <c r="LL458" s="103"/>
      <c r="NM458" s="103"/>
      <c r="QT458" s="106"/>
      <c r="QU458" s="106"/>
      <c r="QV458" s="106"/>
      <c r="QW458" s="106"/>
      <c r="QX458" s="106"/>
      <c r="QY458" s="106"/>
      <c r="QZ458" s="106"/>
      <c r="RA458" s="106"/>
      <c r="RB458" s="106"/>
      <c r="RC458" s="106"/>
      <c r="RD458" s="106"/>
      <c r="RE458" s="106"/>
      <c r="RF458" s="106"/>
      <c r="RG458" s="106"/>
      <c r="RH458" s="106"/>
      <c r="RI458" s="106"/>
      <c r="RJ458" s="106"/>
      <c r="RK458" s="106"/>
      <c r="RL458" s="106"/>
    </row>
    <row r="459" spans="48:480" x14ac:dyDescent="0.3">
      <c r="AV459" s="103"/>
      <c r="CJ459" s="103"/>
      <c r="FP459" s="103"/>
      <c r="LL459" s="103"/>
      <c r="NM459" s="103"/>
      <c r="QT459" s="106"/>
      <c r="QU459" s="106"/>
      <c r="QV459" s="106"/>
      <c r="QW459" s="106"/>
      <c r="QX459" s="106"/>
      <c r="QY459" s="106"/>
      <c r="QZ459" s="106"/>
      <c r="RA459" s="106"/>
      <c r="RB459" s="106"/>
      <c r="RC459" s="106"/>
      <c r="RD459" s="106"/>
      <c r="RE459" s="106"/>
      <c r="RF459" s="106"/>
      <c r="RG459" s="106"/>
      <c r="RH459" s="106"/>
      <c r="RI459" s="106"/>
      <c r="RJ459" s="106"/>
      <c r="RK459" s="106"/>
      <c r="RL459" s="106"/>
    </row>
    <row r="460" spans="48:480" x14ac:dyDescent="0.3">
      <c r="AV460" s="103"/>
      <c r="CJ460" s="103"/>
      <c r="FP460" s="103"/>
      <c r="LL460" s="103"/>
      <c r="NM460" s="103"/>
      <c r="QT460" s="106"/>
      <c r="QU460" s="106"/>
      <c r="QV460" s="106"/>
      <c r="QW460" s="106"/>
      <c r="QX460" s="106"/>
      <c r="QY460" s="106"/>
      <c r="QZ460" s="106"/>
      <c r="RA460" s="106"/>
      <c r="RB460" s="106"/>
      <c r="RC460" s="106"/>
      <c r="RD460" s="106"/>
      <c r="RE460" s="106"/>
      <c r="RF460" s="106"/>
      <c r="RG460" s="106"/>
      <c r="RH460" s="106"/>
      <c r="RI460" s="106"/>
      <c r="RJ460" s="106"/>
      <c r="RK460" s="106"/>
      <c r="RL460" s="106"/>
    </row>
    <row r="461" spans="48:480" x14ac:dyDescent="0.3">
      <c r="AV461" s="103"/>
      <c r="CJ461" s="103"/>
      <c r="FP461" s="103"/>
      <c r="LL461" s="103"/>
      <c r="NM461" s="103"/>
      <c r="QT461" s="106"/>
      <c r="QU461" s="106"/>
      <c r="QV461" s="106"/>
      <c r="QW461" s="106"/>
      <c r="QX461" s="106"/>
      <c r="QY461" s="106"/>
      <c r="QZ461" s="106"/>
      <c r="RA461" s="106"/>
      <c r="RB461" s="106"/>
      <c r="RC461" s="106"/>
      <c r="RD461" s="106"/>
      <c r="RE461" s="106"/>
      <c r="RF461" s="106"/>
      <c r="RG461" s="106"/>
      <c r="RH461" s="106"/>
      <c r="RI461" s="106"/>
      <c r="RJ461" s="106"/>
      <c r="RK461" s="106"/>
      <c r="RL461" s="106"/>
    </row>
    <row r="462" spans="48:480" x14ac:dyDescent="0.3">
      <c r="AV462" s="103"/>
      <c r="CJ462" s="103"/>
      <c r="FP462" s="103"/>
      <c r="LL462" s="103"/>
      <c r="NM462" s="103"/>
      <c r="QT462" s="106"/>
      <c r="QU462" s="106"/>
      <c r="QV462" s="106"/>
      <c r="QW462" s="106"/>
      <c r="QX462" s="106"/>
      <c r="QY462" s="106"/>
      <c r="QZ462" s="106"/>
      <c r="RA462" s="106"/>
      <c r="RB462" s="106"/>
      <c r="RC462" s="106"/>
      <c r="RD462" s="106"/>
      <c r="RE462" s="106"/>
      <c r="RF462" s="106"/>
      <c r="RG462" s="106"/>
      <c r="RH462" s="106"/>
      <c r="RI462" s="106"/>
      <c r="RJ462" s="106"/>
      <c r="RK462" s="106"/>
      <c r="RL462" s="106"/>
    </row>
    <row r="463" spans="48:480" x14ac:dyDescent="0.3">
      <c r="AV463" s="103"/>
      <c r="CJ463" s="103"/>
      <c r="FP463" s="103"/>
      <c r="LL463" s="103"/>
      <c r="NM463" s="103"/>
      <c r="QT463" s="106"/>
      <c r="QU463" s="106"/>
      <c r="QV463" s="106"/>
      <c r="QW463" s="106"/>
      <c r="QX463" s="106"/>
      <c r="QY463" s="106"/>
      <c r="QZ463" s="106"/>
      <c r="RA463" s="106"/>
      <c r="RB463" s="106"/>
      <c r="RC463" s="106"/>
      <c r="RD463" s="106"/>
      <c r="RE463" s="106"/>
      <c r="RF463" s="106"/>
      <c r="RG463" s="106"/>
      <c r="RH463" s="106"/>
      <c r="RI463" s="106"/>
      <c r="RJ463" s="106"/>
      <c r="RK463" s="106"/>
      <c r="RL463" s="106"/>
    </row>
    <row r="464" spans="48:480" x14ac:dyDescent="0.3">
      <c r="AV464" s="103"/>
      <c r="CJ464" s="103"/>
      <c r="FP464" s="103"/>
      <c r="LL464" s="103"/>
      <c r="NM464" s="103"/>
      <c r="QT464" s="106"/>
      <c r="QU464" s="106"/>
      <c r="QV464" s="106"/>
      <c r="QW464" s="106"/>
      <c r="QX464" s="106"/>
      <c r="QY464" s="106"/>
      <c r="QZ464" s="106"/>
      <c r="RA464" s="106"/>
      <c r="RB464" s="106"/>
      <c r="RC464" s="106"/>
      <c r="RD464" s="106"/>
      <c r="RE464" s="106"/>
      <c r="RF464" s="106"/>
      <c r="RG464" s="106"/>
      <c r="RH464" s="106"/>
      <c r="RI464" s="106"/>
      <c r="RJ464" s="106"/>
      <c r="RK464" s="106"/>
      <c r="RL464" s="106"/>
    </row>
    <row r="465" spans="48:480" x14ac:dyDescent="0.3">
      <c r="AV465" s="103"/>
      <c r="CJ465" s="103"/>
      <c r="FP465" s="103"/>
      <c r="LL465" s="103"/>
      <c r="NM465" s="103"/>
      <c r="QT465" s="106"/>
      <c r="QU465" s="106"/>
      <c r="QV465" s="106"/>
      <c r="QW465" s="106"/>
      <c r="QX465" s="106"/>
      <c r="QY465" s="106"/>
      <c r="QZ465" s="106"/>
      <c r="RA465" s="106"/>
      <c r="RB465" s="106"/>
      <c r="RC465" s="106"/>
      <c r="RD465" s="106"/>
      <c r="RE465" s="106"/>
      <c r="RF465" s="106"/>
      <c r="RG465" s="106"/>
      <c r="RH465" s="106"/>
      <c r="RI465" s="106"/>
      <c r="RJ465" s="106"/>
      <c r="RK465" s="106"/>
      <c r="RL465" s="106"/>
    </row>
    <row r="466" spans="48:480" x14ac:dyDescent="0.3">
      <c r="AV466" s="103"/>
      <c r="CJ466" s="103"/>
      <c r="FP466" s="103"/>
      <c r="LL466" s="103"/>
      <c r="NM466" s="103"/>
      <c r="QT466" s="106"/>
      <c r="QU466" s="106"/>
      <c r="QV466" s="106"/>
      <c r="QW466" s="106"/>
      <c r="QX466" s="106"/>
      <c r="QY466" s="106"/>
      <c r="QZ466" s="106"/>
      <c r="RA466" s="106"/>
      <c r="RB466" s="106"/>
      <c r="RC466" s="106"/>
      <c r="RD466" s="106"/>
      <c r="RE466" s="106"/>
      <c r="RF466" s="106"/>
      <c r="RG466" s="106"/>
      <c r="RH466" s="106"/>
      <c r="RI466" s="106"/>
      <c r="RJ466" s="106"/>
      <c r="RK466" s="106"/>
      <c r="RL466" s="106"/>
    </row>
    <row r="467" spans="48:480" x14ac:dyDescent="0.3">
      <c r="AV467" s="103"/>
      <c r="CJ467" s="103"/>
      <c r="FP467" s="103"/>
      <c r="LL467" s="103"/>
      <c r="NM467" s="103"/>
      <c r="QT467" s="106"/>
      <c r="QU467" s="106"/>
      <c r="QV467" s="106"/>
      <c r="QW467" s="106"/>
      <c r="QX467" s="106"/>
      <c r="QY467" s="106"/>
      <c r="QZ467" s="106"/>
      <c r="RA467" s="106"/>
      <c r="RB467" s="106"/>
      <c r="RC467" s="106"/>
      <c r="RD467" s="106"/>
      <c r="RE467" s="106"/>
      <c r="RF467" s="106"/>
      <c r="RG467" s="106"/>
      <c r="RH467" s="106"/>
      <c r="RI467" s="106"/>
      <c r="RJ467" s="106"/>
      <c r="RK467" s="106"/>
      <c r="RL467" s="106"/>
    </row>
    <row r="468" spans="48:480" x14ac:dyDescent="0.3">
      <c r="AV468" s="103"/>
      <c r="CJ468" s="103"/>
      <c r="FP468" s="103"/>
      <c r="LL468" s="103"/>
      <c r="NM468" s="103"/>
      <c r="QT468" s="106"/>
      <c r="QU468" s="106"/>
      <c r="QV468" s="106"/>
      <c r="QW468" s="106"/>
      <c r="QX468" s="106"/>
      <c r="QY468" s="106"/>
      <c r="QZ468" s="106"/>
      <c r="RA468" s="106"/>
      <c r="RB468" s="106"/>
      <c r="RC468" s="106"/>
      <c r="RD468" s="106"/>
      <c r="RE468" s="106"/>
      <c r="RF468" s="106"/>
      <c r="RG468" s="106"/>
      <c r="RH468" s="106"/>
      <c r="RI468" s="106"/>
      <c r="RJ468" s="106"/>
      <c r="RK468" s="106"/>
      <c r="RL468" s="106"/>
    </row>
    <row r="469" spans="48:480" x14ac:dyDescent="0.3">
      <c r="CJ469" s="103"/>
      <c r="FP469" s="103"/>
      <c r="LL469" s="103"/>
      <c r="NM469" s="103"/>
      <c r="QT469" s="106"/>
      <c r="QU469" s="106"/>
      <c r="QV469" s="106"/>
      <c r="QW469" s="106"/>
      <c r="QX469" s="106"/>
      <c r="QY469" s="106"/>
      <c r="QZ469" s="106"/>
      <c r="RA469" s="106"/>
      <c r="RB469" s="106"/>
      <c r="RC469" s="106"/>
      <c r="RD469" s="106"/>
      <c r="RE469" s="106"/>
      <c r="RF469" s="106"/>
      <c r="RG469" s="106"/>
      <c r="RH469" s="106"/>
      <c r="RI469" s="106"/>
      <c r="RJ469" s="106"/>
      <c r="RK469" s="106"/>
      <c r="RL469" s="106"/>
    </row>
    <row r="470" spans="48:480" x14ac:dyDescent="0.3">
      <c r="CJ470" s="103"/>
      <c r="FP470" s="103"/>
      <c r="LL470" s="103"/>
      <c r="NM470" s="103"/>
      <c r="QT470" s="106"/>
      <c r="QU470" s="106"/>
      <c r="QV470" s="106"/>
      <c r="QW470" s="106"/>
      <c r="QX470" s="106"/>
      <c r="QY470" s="106"/>
      <c r="QZ470" s="106"/>
      <c r="RA470" s="106"/>
      <c r="RB470" s="106"/>
      <c r="RC470" s="106"/>
      <c r="RD470" s="106"/>
      <c r="RE470" s="106"/>
      <c r="RF470" s="106"/>
      <c r="RG470" s="106"/>
      <c r="RH470" s="106"/>
      <c r="RI470" s="106"/>
      <c r="RJ470" s="106"/>
      <c r="RK470" s="106"/>
      <c r="RL470" s="106"/>
    </row>
    <row r="471" spans="48:480" x14ac:dyDescent="0.3">
      <c r="AV471" s="103"/>
      <c r="CJ471" s="103"/>
      <c r="FP471" s="103"/>
      <c r="LL471" s="103"/>
      <c r="NM471" s="103"/>
      <c r="QT471" s="106"/>
      <c r="QU471" s="106"/>
      <c r="QV471" s="106"/>
      <c r="QW471" s="106"/>
      <c r="QX471" s="106"/>
      <c r="QY471" s="106"/>
      <c r="QZ471" s="106"/>
      <c r="RA471" s="106"/>
      <c r="RB471" s="106"/>
      <c r="RC471" s="106"/>
      <c r="RD471" s="106"/>
      <c r="RE471" s="106"/>
      <c r="RF471" s="106"/>
      <c r="RG471" s="106"/>
      <c r="RH471" s="106"/>
      <c r="RI471" s="106"/>
      <c r="RJ471" s="106"/>
      <c r="RK471" s="106"/>
      <c r="RL471" s="106"/>
    </row>
    <row r="472" spans="48:480" x14ac:dyDescent="0.3">
      <c r="AV472" s="103"/>
      <c r="CJ472" s="103"/>
      <c r="FP472" s="103"/>
      <c r="LL472" s="103"/>
      <c r="NM472" s="103"/>
      <c r="QT472" s="106"/>
      <c r="QU472" s="106"/>
      <c r="QV472" s="106"/>
      <c r="QW472" s="106"/>
      <c r="QX472" s="106"/>
      <c r="QY472" s="106"/>
      <c r="QZ472" s="106"/>
      <c r="RA472" s="106"/>
      <c r="RB472" s="106"/>
      <c r="RC472" s="106"/>
      <c r="RD472" s="106"/>
      <c r="RE472" s="106"/>
      <c r="RF472" s="106"/>
      <c r="RG472" s="106"/>
      <c r="RH472" s="106"/>
      <c r="RI472" s="106"/>
      <c r="RJ472" s="106"/>
      <c r="RK472" s="106"/>
      <c r="RL472" s="106"/>
    </row>
    <row r="473" spans="48:480" x14ac:dyDescent="0.3">
      <c r="AV473" s="103"/>
      <c r="CJ473" s="103"/>
      <c r="FP473" s="103"/>
      <c r="LL473" s="103"/>
      <c r="NM473" s="103"/>
      <c r="QT473" s="106"/>
      <c r="QU473" s="106"/>
      <c r="QV473" s="106"/>
      <c r="QW473" s="106"/>
      <c r="QX473" s="106"/>
      <c r="QY473" s="106"/>
      <c r="QZ473" s="106"/>
      <c r="RA473" s="106"/>
      <c r="RB473" s="106"/>
      <c r="RC473" s="106"/>
      <c r="RD473" s="106"/>
      <c r="RE473" s="106"/>
      <c r="RF473" s="106"/>
      <c r="RG473" s="106"/>
      <c r="RH473" s="106"/>
      <c r="RI473" s="106"/>
      <c r="RJ473" s="106"/>
      <c r="RK473" s="106"/>
      <c r="RL473" s="106"/>
    </row>
    <row r="474" spans="48:480" x14ac:dyDescent="0.3">
      <c r="AV474" s="103"/>
      <c r="CJ474" s="103"/>
      <c r="FP474" s="103"/>
      <c r="LL474" s="103"/>
      <c r="NM474" s="103"/>
      <c r="QT474" s="106"/>
      <c r="QU474" s="106"/>
      <c r="QV474" s="106"/>
      <c r="QW474" s="106"/>
      <c r="QX474" s="106"/>
      <c r="QY474" s="106"/>
      <c r="QZ474" s="106"/>
      <c r="RA474" s="106"/>
      <c r="RB474" s="106"/>
      <c r="RC474" s="106"/>
      <c r="RD474" s="106"/>
      <c r="RE474" s="106"/>
      <c r="RF474" s="106"/>
      <c r="RG474" s="106"/>
      <c r="RH474" s="106"/>
      <c r="RI474" s="106"/>
      <c r="RJ474" s="106"/>
      <c r="RK474" s="106"/>
      <c r="RL474" s="106"/>
    </row>
    <row r="475" spans="48:480" x14ac:dyDescent="0.3">
      <c r="AV475" s="103"/>
      <c r="CJ475" s="103"/>
      <c r="FP475" s="103"/>
      <c r="LL475" s="103"/>
      <c r="NM475" s="103"/>
      <c r="QT475" s="106"/>
      <c r="QU475" s="106"/>
      <c r="QV475" s="106"/>
      <c r="QW475" s="106"/>
      <c r="QX475" s="106"/>
      <c r="QY475" s="106"/>
      <c r="QZ475" s="106"/>
      <c r="RA475" s="106"/>
      <c r="RB475" s="106"/>
      <c r="RC475" s="106"/>
      <c r="RD475" s="106"/>
      <c r="RE475" s="106"/>
      <c r="RF475" s="106"/>
      <c r="RG475" s="106"/>
      <c r="RH475" s="106"/>
      <c r="RI475" s="106"/>
      <c r="RJ475" s="106"/>
      <c r="RK475" s="106"/>
      <c r="RL475" s="106"/>
    </row>
    <row r="476" spans="48:480" x14ac:dyDescent="0.3">
      <c r="AV476" s="103"/>
      <c r="CJ476" s="103"/>
      <c r="FP476" s="103"/>
      <c r="LL476" s="103"/>
      <c r="NM476" s="103"/>
      <c r="QT476" s="106"/>
      <c r="QU476" s="106"/>
      <c r="QV476" s="106"/>
      <c r="QW476" s="106"/>
      <c r="QX476" s="106"/>
      <c r="QY476" s="106"/>
      <c r="QZ476" s="106"/>
      <c r="RA476" s="106"/>
      <c r="RB476" s="106"/>
      <c r="RC476" s="106"/>
      <c r="RD476" s="106"/>
      <c r="RE476" s="106"/>
      <c r="RF476" s="106"/>
      <c r="RG476" s="106"/>
      <c r="RH476" s="106"/>
      <c r="RI476" s="106"/>
      <c r="RJ476" s="106"/>
      <c r="RK476" s="106"/>
      <c r="RL476" s="106"/>
    </row>
    <row r="477" spans="48:480" x14ac:dyDescent="0.3">
      <c r="AV477" s="103"/>
      <c r="CJ477" s="103"/>
      <c r="FP477" s="103"/>
      <c r="LL477" s="103"/>
      <c r="NM477" s="103"/>
      <c r="QT477" s="106"/>
      <c r="QU477" s="106"/>
      <c r="QV477" s="106"/>
      <c r="QW477" s="106"/>
      <c r="QX477" s="106"/>
      <c r="QY477" s="106"/>
      <c r="QZ477" s="106"/>
      <c r="RA477" s="106"/>
      <c r="RB477" s="106"/>
      <c r="RC477" s="106"/>
      <c r="RD477" s="106"/>
      <c r="RE477" s="106"/>
      <c r="RF477" s="106"/>
      <c r="RG477" s="106"/>
      <c r="RH477" s="106"/>
      <c r="RI477" s="106"/>
      <c r="RJ477" s="106"/>
      <c r="RK477" s="106"/>
      <c r="RL477" s="106"/>
    </row>
    <row r="478" spans="48:480" x14ac:dyDescent="0.3">
      <c r="AV478" s="103"/>
      <c r="CJ478" s="103"/>
      <c r="FP478" s="103"/>
      <c r="LL478" s="103"/>
      <c r="NM478" s="103"/>
      <c r="QT478" s="106"/>
      <c r="QU478" s="106"/>
      <c r="QV478" s="106"/>
      <c r="QW478" s="106"/>
      <c r="QX478" s="106"/>
      <c r="QY478" s="106"/>
      <c r="QZ478" s="106"/>
      <c r="RA478" s="106"/>
      <c r="RB478" s="106"/>
      <c r="RC478" s="106"/>
      <c r="RD478" s="106"/>
      <c r="RE478" s="106"/>
      <c r="RF478" s="106"/>
      <c r="RG478" s="106"/>
      <c r="RH478" s="106"/>
      <c r="RI478" s="106"/>
      <c r="RJ478" s="106"/>
      <c r="RK478" s="106"/>
      <c r="RL478" s="106"/>
    </row>
    <row r="479" spans="48:480" x14ac:dyDescent="0.3">
      <c r="AV479" s="103"/>
      <c r="CJ479" s="103"/>
      <c r="FP479" s="103"/>
      <c r="LL479" s="103"/>
      <c r="NM479" s="103"/>
      <c r="QT479" s="106"/>
      <c r="QU479" s="106"/>
      <c r="QV479" s="106"/>
      <c r="QW479" s="106"/>
      <c r="QX479" s="106"/>
      <c r="QY479" s="106"/>
      <c r="QZ479" s="106"/>
      <c r="RA479" s="106"/>
      <c r="RB479" s="106"/>
      <c r="RC479" s="106"/>
      <c r="RD479" s="106"/>
      <c r="RE479" s="106"/>
      <c r="RF479" s="106"/>
      <c r="RG479" s="106"/>
      <c r="RH479" s="106"/>
      <c r="RI479" s="106"/>
      <c r="RJ479" s="106"/>
      <c r="RK479" s="106"/>
      <c r="RL479" s="106"/>
    </row>
    <row r="480" spans="48:480" x14ac:dyDescent="0.3">
      <c r="AV480" s="103"/>
      <c r="CJ480" s="103"/>
      <c r="FP480" s="103"/>
      <c r="LL480" s="103"/>
      <c r="NM480" s="103"/>
      <c r="QT480" s="106"/>
      <c r="QU480" s="106"/>
      <c r="QV480" s="106"/>
      <c r="QW480" s="106"/>
      <c r="QX480" s="106"/>
      <c r="QY480" s="106"/>
      <c r="QZ480" s="106"/>
      <c r="RA480" s="106"/>
      <c r="RB480" s="106"/>
      <c r="RC480" s="106"/>
      <c r="RD480" s="106"/>
      <c r="RE480" s="106"/>
      <c r="RF480" s="106"/>
      <c r="RG480" s="106"/>
      <c r="RH480" s="106"/>
      <c r="RI480" s="106"/>
      <c r="RJ480" s="106"/>
      <c r="RK480" s="106"/>
      <c r="RL480" s="106"/>
    </row>
    <row r="481" spans="48:480" x14ac:dyDescent="0.3">
      <c r="AV481" s="103"/>
      <c r="CJ481" s="103"/>
      <c r="FP481" s="103"/>
      <c r="LL481" s="103"/>
      <c r="NM481" s="103"/>
      <c r="QT481" s="106"/>
      <c r="QU481" s="106"/>
      <c r="QV481" s="106"/>
      <c r="QW481" s="106"/>
      <c r="QX481" s="106"/>
      <c r="QY481" s="106"/>
      <c r="QZ481" s="106"/>
      <c r="RA481" s="106"/>
      <c r="RB481" s="106"/>
      <c r="RC481" s="106"/>
      <c r="RD481" s="106"/>
      <c r="RE481" s="106"/>
      <c r="RF481" s="106"/>
      <c r="RG481" s="106"/>
      <c r="RH481" s="106"/>
      <c r="RI481" s="106"/>
      <c r="RJ481" s="106"/>
      <c r="RK481" s="106"/>
      <c r="RL481" s="106"/>
    </row>
    <row r="482" spans="48:480" x14ac:dyDescent="0.3">
      <c r="AV482" s="103"/>
      <c r="CJ482" s="103"/>
      <c r="FP482" s="103"/>
      <c r="LL482" s="103"/>
      <c r="NM482" s="103"/>
      <c r="QT482" s="106"/>
      <c r="QU482" s="106"/>
      <c r="QV482" s="106"/>
      <c r="QW482" s="106"/>
      <c r="QX482" s="106"/>
      <c r="QY482" s="106"/>
      <c r="QZ482" s="106"/>
      <c r="RA482" s="106"/>
      <c r="RB482" s="106"/>
      <c r="RC482" s="106"/>
      <c r="RD482" s="106"/>
      <c r="RE482" s="106"/>
      <c r="RF482" s="106"/>
      <c r="RG482" s="106"/>
      <c r="RH482" s="106"/>
      <c r="RI482" s="106"/>
      <c r="RJ482" s="106"/>
      <c r="RK482" s="106"/>
      <c r="RL482" s="106"/>
    </row>
    <row r="483" spans="48:480" x14ac:dyDescent="0.3">
      <c r="AV483" s="103"/>
      <c r="CJ483" s="103"/>
      <c r="FP483" s="103"/>
      <c r="LL483" s="103"/>
      <c r="NM483" s="103"/>
      <c r="QT483" s="106"/>
      <c r="QU483" s="106"/>
      <c r="QV483" s="106"/>
      <c r="QW483" s="106"/>
      <c r="QX483" s="106"/>
      <c r="QY483" s="106"/>
      <c r="QZ483" s="106"/>
      <c r="RA483" s="106"/>
      <c r="RB483" s="106"/>
      <c r="RC483" s="106"/>
      <c r="RD483" s="106"/>
      <c r="RE483" s="106"/>
      <c r="RF483" s="106"/>
      <c r="RG483" s="106"/>
      <c r="RH483" s="106"/>
      <c r="RI483" s="106"/>
      <c r="RJ483" s="106"/>
      <c r="RK483" s="106"/>
      <c r="RL483" s="106"/>
    </row>
    <row r="484" spans="48:480" x14ac:dyDescent="0.3">
      <c r="AV484" s="103"/>
      <c r="CJ484" s="103"/>
      <c r="FP484" s="103"/>
      <c r="LL484" s="103"/>
      <c r="NM484" s="103"/>
      <c r="QT484" s="106"/>
      <c r="QU484" s="106"/>
      <c r="QV484" s="106"/>
      <c r="QW484" s="106"/>
      <c r="QX484" s="106"/>
      <c r="QY484" s="106"/>
      <c r="QZ484" s="106"/>
      <c r="RA484" s="106"/>
      <c r="RB484" s="106"/>
      <c r="RC484" s="106"/>
      <c r="RD484" s="106"/>
      <c r="RE484" s="106"/>
      <c r="RF484" s="106"/>
      <c r="RG484" s="106"/>
      <c r="RH484" s="106"/>
      <c r="RI484" s="106"/>
      <c r="RJ484" s="106"/>
      <c r="RK484" s="106"/>
      <c r="RL484" s="106"/>
    </row>
    <row r="485" spans="48:480" x14ac:dyDescent="0.3">
      <c r="AV485" s="103"/>
      <c r="CJ485" s="103"/>
      <c r="FP485" s="103"/>
      <c r="LL485" s="103"/>
      <c r="NM485" s="103"/>
      <c r="QT485" s="106"/>
      <c r="QU485" s="106"/>
      <c r="QV485" s="106"/>
      <c r="QW485" s="106"/>
      <c r="QX485" s="106"/>
      <c r="QY485" s="106"/>
      <c r="QZ485" s="106"/>
      <c r="RA485" s="106"/>
      <c r="RB485" s="106"/>
      <c r="RC485" s="106"/>
      <c r="RD485" s="106"/>
      <c r="RE485" s="106"/>
      <c r="RF485" s="106"/>
      <c r="RG485" s="106"/>
      <c r="RH485" s="106"/>
      <c r="RI485" s="106"/>
      <c r="RJ485" s="106"/>
      <c r="RK485" s="106"/>
      <c r="RL485" s="106"/>
    </row>
    <row r="486" spans="48:480" x14ac:dyDescent="0.3">
      <c r="CJ486" s="103"/>
      <c r="FP486" s="103"/>
      <c r="LL486" s="103"/>
      <c r="NM486" s="103"/>
      <c r="QT486" s="106"/>
      <c r="QU486" s="106"/>
      <c r="QV486" s="106"/>
      <c r="QW486" s="106"/>
      <c r="QX486" s="106"/>
      <c r="QY486" s="106"/>
      <c r="QZ486" s="106"/>
      <c r="RA486" s="106"/>
      <c r="RB486" s="106"/>
      <c r="RC486" s="106"/>
      <c r="RD486" s="106"/>
      <c r="RE486" s="106"/>
      <c r="RF486" s="106"/>
      <c r="RG486" s="106"/>
      <c r="RH486" s="106"/>
      <c r="RI486" s="106"/>
      <c r="RJ486" s="106"/>
      <c r="RK486" s="106"/>
      <c r="RL486" s="106"/>
    </row>
    <row r="487" spans="48:480" x14ac:dyDescent="0.3">
      <c r="AV487" s="103"/>
      <c r="CJ487" s="103"/>
      <c r="FP487" s="103"/>
      <c r="LL487" s="103"/>
      <c r="NM487" s="103"/>
      <c r="QT487" s="106"/>
      <c r="QU487" s="106"/>
      <c r="QV487" s="106"/>
      <c r="QW487" s="106"/>
      <c r="QX487" s="106"/>
      <c r="QY487" s="106"/>
      <c r="QZ487" s="106"/>
      <c r="RA487" s="106"/>
      <c r="RB487" s="106"/>
      <c r="RC487" s="106"/>
      <c r="RD487" s="106"/>
      <c r="RE487" s="106"/>
      <c r="RF487" s="106"/>
      <c r="RG487" s="106"/>
      <c r="RH487" s="106"/>
      <c r="RI487" s="106"/>
      <c r="RJ487" s="106"/>
      <c r="RK487" s="106"/>
      <c r="RL487" s="106"/>
    </row>
    <row r="488" spans="48:480" x14ac:dyDescent="0.3">
      <c r="AV488" s="103"/>
      <c r="CJ488" s="103"/>
      <c r="FP488" s="103"/>
      <c r="LL488" s="103"/>
      <c r="NM488" s="103"/>
      <c r="QT488" s="106"/>
      <c r="QU488" s="106"/>
      <c r="QV488" s="106"/>
      <c r="QW488" s="106"/>
      <c r="QX488" s="106"/>
      <c r="QY488" s="106"/>
      <c r="QZ488" s="106"/>
      <c r="RA488" s="106"/>
      <c r="RB488" s="106"/>
      <c r="RC488" s="106"/>
      <c r="RD488" s="106"/>
      <c r="RE488" s="106"/>
      <c r="RF488" s="106"/>
      <c r="RG488" s="106"/>
      <c r="RH488" s="106"/>
      <c r="RI488" s="106"/>
      <c r="RJ488" s="106"/>
      <c r="RK488" s="106"/>
      <c r="RL488" s="106"/>
    </row>
    <row r="489" spans="48:480" x14ac:dyDescent="0.3">
      <c r="AV489" s="103"/>
      <c r="CJ489" s="103"/>
      <c r="FP489" s="103"/>
      <c r="LL489" s="103"/>
      <c r="NM489" s="103"/>
      <c r="QT489" s="106"/>
      <c r="QU489" s="106"/>
      <c r="QV489" s="106"/>
      <c r="QW489" s="106"/>
      <c r="QX489" s="106"/>
      <c r="QY489" s="106"/>
      <c r="QZ489" s="106"/>
      <c r="RA489" s="106"/>
      <c r="RB489" s="106"/>
      <c r="RC489" s="106"/>
      <c r="RD489" s="106"/>
      <c r="RE489" s="106"/>
      <c r="RF489" s="106"/>
      <c r="RG489" s="106"/>
      <c r="RH489" s="106"/>
      <c r="RI489" s="106"/>
      <c r="RJ489" s="106"/>
      <c r="RK489" s="106"/>
      <c r="RL489" s="106"/>
    </row>
    <row r="490" spans="48:480" x14ac:dyDescent="0.3">
      <c r="AV490" s="103"/>
      <c r="CJ490" s="103"/>
      <c r="FP490" s="103"/>
      <c r="LL490" s="103"/>
      <c r="NM490" s="103"/>
      <c r="QT490" s="106"/>
      <c r="QU490" s="106"/>
      <c r="QV490" s="106"/>
      <c r="QW490" s="106"/>
      <c r="QX490" s="106"/>
      <c r="QY490" s="106"/>
      <c r="QZ490" s="106"/>
      <c r="RA490" s="106"/>
      <c r="RB490" s="106"/>
      <c r="RC490" s="106"/>
      <c r="RD490" s="106"/>
      <c r="RE490" s="106"/>
      <c r="RF490" s="106"/>
      <c r="RG490" s="106"/>
      <c r="RH490" s="106"/>
      <c r="RI490" s="106"/>
      <c r="RJ490" s="106"/>
      <c r="RK490" s="106"/>
      <c r="RL490" s="106"/>
    </row>
    <row r="491" spans="48:480" x14ac:dyDescent="0.3">
      <c r="AV491" s="103"/>
      <c r="CJ491" s="103"/>
      <c r="FP491" s="103"/>
      <c r="LL491" s="103"/>
      <c r="NM491" s="103"/>
      <c r="QT491" s="106"/>
      <c r="QU491" s="106"/>
      <c r="QV491" s="106"/>
      <c r="QW491" s="106"/>
      <c r="QX491" s="106"/>
      <c r="QY491" s="106"/>
      <c r="QZ491" s="106"/>
      <c r="RA491" s="106"/>
      <c r="RB491" s="106"/>
      <c r="RC491" s="106"/>
      <c r="RD491" s="106"/>
      <c r="RE491" s="106"/>
      <c r="RF491" s="106"/>
      <c r="RG491" s="106"/>
      <c r="RH491" s="106"/>
      <c r="RI491" s="106"/>
      <c r="RJ491" s="106"/>
      <c r="RK491" s="106"/>
      <c r="RL491" s="106"/>
    </row>
    <row r="492" spans="48:480" x14ac:dyDescent="0.3">
      <c r="AV492" s="103"/>
      <c r="CJ492" s="103"/>
      <c r="FP492" s="103"/>
      <c r="LL492" s="103"/>
      <c r="NM492" s="103"/>
      <c r="QT492" s="106"/>
      <c r="QU492" s="106"/>
      <c r="QV492" s="106"/>
      <c r="QW492" s="106"/>
      <c r="QX492" s="106"/>
      <c r="QY492" s="106"/>
      <c r="QZ492" s="106"/>
      <c r="RA492" s="106"/>
      <c r="RB492" s="106"/>
      <c r="RC492" s="106"/>
      <c r="RD492" s="106"/>
      <c r="RE492" s="106"/>
      <c r="RF492" s="106"/>
      <c r="RG492" s="106"/>
      <c r="RH492" s="106"/>
      <c r="RI492" s="106"/>
      <c r="RJ492" s="106"/>
      <c r="RK492" s="106"/>
      <c r="RL492" s="106"/>
    </row>
    <row r="493" spans="48:480" x14ac:dyDescent="0.3">
      <c r="AV493" s="103"/>
      <c r="CJ493" s="103"/>
      <c r="FP493" s="103"/>
      <c r="LL493" s="103"/>
      <c r="NM493" s="103"/>
      <c r="QT493" s="106"/>
      <c r="QU493" s="106"/>
      <c r="QV493" s="106"/>
      <c r="QW493" s="106"/>
      <c r="QX493" s="106"/>
      <c r="QY493" s="106"/>
      <c r="QZ493" s="106"/>
      <c r="RA493" s="106"/>
      <c r="RB493" s="106"/>
      <c r="RC493" s="106"/>
      <c r="RD493" s="106"/>
      <c r="RE493" s="106"/>
      <c r="RF493" s="106"/>
      <c r="RG493" s="106"/>
      <c r="RH493" s="106"/>
      <c r="RI493" s="106"/>
      <c r="RJ493" s="106"/>
      <c r="RK493" s="106"/>
      <c r="RL493" s="106"/>
    </row>
    <row r="494" spans="48:480" x14ac:dyDescent="0.3">
      <c r="AV494" s="103"/>
      <c r="CJ494" s="103"/>
      <c r="FP494" s="103"/>
      <c r="LL494" s="103"/>
      <c r="NM494" s="103"/>
      <c r="QT494" s="106"/>
      <c r="QU494" s="106"/>
      <c r="QV494" s="106"/>
      <c r="QW494" s="106"/>
      <c r="QX494" s="106"/>
      <c r="QY494" s="106"/>
      <c r="QZ494" s="106"/>
      <c r="RA494" s="106"/>
      <c r="RB494" s="106"/>
      <c r="RC494" s="106"/>
      <c r="RD494" s="106"/>
      <c r="RE494" s="106"/>
      <c r="RF494" s="106"/>
      <c r="RG494" s="106"/>
      <c r="RH494" s="106"/>
      <c r="RI494" s="106"/>
      <c r="RJ494" s="106"/>
      <c r="RK494" s="106"/>
      <c r="RL494" s="106"/>
    </row>
    <row r="495" spans="48:480" x14ac:dyDescent="0.3">
      <c r="AV495" s="103"/>
      <c r="CJ495" s="103"/>
      <c r="FP495" s="103"/>
      <c r="LL495" s="103"/>
      <c r="NM495" s="103"/>
      <c r="QT495" s="106"/>
      <c r="QU495" s="106"/>
      <c r="QV495" s="106"/>
      <c r="QW495" s="106"/>
      <c r="QX495" s="106"/>
      <c r="QY495" s="106"/>
      <c r="QZ495" s="106"/>
      <c r="RA495" s="106"/>
      <c r="RB495" s="106"/>
      <c r="RC495" s="106"/>
      <c r="RD495" s="106"/>
      <c r="RE495" s="106"/>
      <c r="RF495" s="106"/>
      <c r="RG495" s="106"/>
      <c r="RH495" s="106"/>
      <c r="RI495" s="106"/>
      <c r="RJ495" s="106"/>
      <c r="RK495" s="106"/>
      <c r="RL495" s="106"/>
    </row>
    <row r="496" spans="48:480" x14ac:dyDescent="0.3">
      <c r="AV496" s="103"/>
      <c r="CJ496" s="103"/>
      <c r="FP496" s="103"/>
      <c r="LL496" s="103"/>
      <c r="NM496" s="103"/>
      <c r="QT496" s="106"/>
      <c r="QU496" s="106"/>
      <c r="QV496" s="106"/>
      <c r="QW496" s="106"/>
      <c r="QX496" s="106"/>
      <c r="QY496" s="106"/>
      <c r="QZ496" s="106"/>
      <c r="RA496" s="106"/>
      <c r="RB496" s="106"/>
      <c r="RC496" s="106"/>
      <c r="RD496" s="106"/>
      <c r="RE496" s="106"/>
      <c r="RF496" s="106"/>
      <c r="RG496" s="106"/>
      <c r="RH496" s="106"/>
      <c r="RI496" s="106"/>
      <c r="RJ496" s="106"/>
      <c r="RK496" s="106"/>
      <c r="RL496" s="106"/>
    </row>
    <row r="497" spans="48:480" x14ac:dyDescent="0.3">
      <c r="AV497" s="103"/>
      <c r="CJ497" s="103"/>
      <c r="FP497" s="103"/>
      <c r="LL497" s="103"/>
      <c r="NM497" s="103"/>
      <c r="QT497" s="106"/>
      <c r="QU497" s="106"/>
      <c r="QV497" s="106"/>
      <c r="QW497" s="106"/>
      <c r="QX497" s="106"/>
      <c r="QY497" s="106"/>
      <c r="QZ497" s="106"/>
      <c r="RA497" s="106"/>
      <c r="RB497" s="106"/>
      <c r="RC497" s="106"/>
      <c r="RD497" s="106"/>
      <c r="RE497" s="106"/>
      <c r="RF497" s="106"/>
      <c r="RG497" s="106"/>
      <c r="RH497" s="106"/>
      <c r="RI497" s="106"/>
      <c r="RJ497" s="106"/>
      <c r="RK497" s="106"/>
      <c r="RL497" s="106"/>
    </row>
    <row r="498" spans="48:480" x14ac:dyDescent="0.3">
      <c r="AV498" s="103"/>
      <c r="CJ498" s="103"/>
      <c r="FP498" s="103"/>
      <c r="LL498" s="103"/>
      <c r="NM498" s="103"/>
      <c r="QT498" s="106"/>
      <c r="QU498" s="106"/>
      <c r="QV498" s="106"/>
      <c r="QW498" s="106"/>
      <c r="QX498" s="106"/>
      <c r="QY498" s="106"/>
      <c r="QZ498" s="106"/>
      <c r="RA498" s="106"/>
      <c r="RB498" s="106"/>
      <c r="RC498" s="106"/>
      <c r="RD498" s="106"/>
      <c r="RE498" s="106"/>
      <c r="RF498" s="106"/>
      <c r="RG498" s="106"/>
      <c r="RH498" s="106"/>
      <c r="RI498" s="106"/>
      <c r="RJ498" s="106"/>
      <c r="RK498" s="106"/>
      <c r="RL498" s="106"/>
    </row>
    <row r="499" spans="48:480" x14ac:dyDescent="0.3">
      <c r="AV499" s="103"/>
      <c r="CJ499" s="103"/>
      <c r="FP499" s="103"/>
      <c r="LL499" s="103"/>
      <c r="NM499" s="103"/>
      <c r="QT499" s="106"/>
      <c r="QU499" s="106"/>
      <c r="QV499" s="106"/>
      <c r="QW499" s="106"/>
      <c r="QX499" s="106"/>
      <c r="QY499" s="106"/>
      <c r="QZ499" s="106"/>
      <c r="RA499" s="106"/>
      <c r="RB499" s="106"/>
      <c r="RC499" s="106"/>
      <c r="RD499" s="106"/>
      <c r="RE499" s="106"/>
      <c r="RF499" s="106"/>
      <c r="RG499" s="106"/>
      <c r="RH499" s="106"/>
      <c r="RI499" s="106"/>
      <c r="RJ499" s="106"/>
      <c r="RK499" s="106"/>
      <c r="RL499" s="106"/>
    </row>
    <row r="500" spans="48:480" x14ac:dyDescent="0.3">
      <c r="AV500" s="103"/>
      <c r="CJ500" s="103"/>
      <c r="FP500" s="103"/>
      <c r="LL500" s="103"/>
      <c r="NM500" s="103"/>
      <c r="QT500" s="106"/>
      <c r="QU500" s="106"/>
      <c r="QV500" s="106"/>
      <c r="QW500" s="106"/>
      <c r="QX500" s="106"/>
      <c r="QY500" s="106"/>
      <c r="QZ500" s="106"/>
      <c r="RA500" s="106"/>
      <c r="RB500" s="106"/>
      <c r="RC500" s="106"/>
      <c r="RD500" s="106"/>
      <c r="RE500" s="106"/>
      <c r="RF500" s="106"/>
      <c r="RG500" s="106"/>
      <c r="RH500" s="106"/>
      <c r="RI500" s="106"/>
      <c r="RJ500" s="106"/>
      <c r="RK500" s="106"/>
      <c r="RL500" s="106"/>
    </row>
    <row r="501" spans="48:480" x14ac:dyDescent="0.3">
      <c r="CJ501" s="103"/>
      <c r="FP501" s="103"/>
      <c r="LL501" s="103"/>
      <c r="NM501" s="103"/>
      <c r="QT501" s="106"/>
      <c r="QU501" s="106"/>
      <c r="QV501" s="106"/>
      <c r="QW501" s="106"/>
      <c r="QX501" s="106"/>
      <c r="QY501" s="106"/>
      <c r="QZ501" s="106"/>
      <c r="RA501" s="106"/>
      <c r="RB501" s="106"/>
      <c r="RC501" s="106"/>
      <c r="RD501" s="106"/>
      <c r="RE501" s="106"/>
      <c r="RF501" s="106"/>
      <c r="RG501" s="106"/>
      <c r="RH501" s="106"/>
      <c r="RI501" s="106"/>
      <c r="RJ501" s="106"/>
      <c r="RK501" s="106"/>
      <c r="RL501" s="106"/>
    </row>
    <row r="502" spans="48:480" x14ac:dyDescent="0.3">
      <c r="CJ502" s="103"/>
      <c r="FP502" s="103"/>
      <c r="LL502" s="103"/>
      <c r="NM502" s="103"/>
      <c r="QT502" s="106"/>
      <c r="QU502" s="106"/>
      <c r="QV502" s="106"/>
      <c r="QW502" s="106"/>
      <c r="QX502" s="106"/>
      <c r="QY502" s="106"/>
      <c r="QZ502" s="106"/>
      <c r="RA502" s="106"/>
      <c r="RB502" s="106"/>
      <c r="RC502" s="106"/>
      <c r="RD502" s="106"/>
      <c r="RE502" s="106"/>
      <c r="RF502" s="106"/>
      <c r="RG502" s="106"/>
      <c r="RH502" s="106"/>
      <c r="RI502" s="106"/>
      <c r="RJ502" s="106"/>
      <c r="RK502" s="106"/>
      <c r="RL502" s="106"/>
    </row>
    <row r="503" spans="48:480" x14ac:dyDescent="0.3">
      <c r="AV503" s="103"/>
      <c r="CJ503" s="103"/>
      <c r="FP503" s="103"/>
      <c r="LL503" s="103"/>
      <c r="NM503" s="103"/>
      <c r="QT503" s="106"/>
      <c r="QU503" s="106"/>
      <c r="QV503" s="106"/>
      <c r="QW503" s="106"/>
      <c r="QX503" s="106"/>
      <c r="QY503" s="106"/>
      <c r="QZ503" s="106"/>
      <c r="RA503" s="106"/>
      <c r="RB503" s="106"/>
      <c r="RC503" s="106"/>
      <c r="RD503" s="106"/>
      <c r="RE503" s="106"/>
      <c r="RF503" s="106"/>
      <c r="RG503" s="106"/>
      <c r="RH503" s="106"/>
      <c r="RI503" s="106"/>
      <c r="RJ503" s="106"/>
      <c r="RK503" s="106"/>
      <c r="RL503" s="106"/>
    </row>
    <row r="504" spans="48:480" x14ac:dyDescent="0.3">
      <c r="AV504" s="103"/>
      <c r="CJ504" s="103"/>
      <c r="FP504" s="103"/>
      <c r="LL504" s="103"/>
      <c r="NM504" s="103"/>
      <c r="QT504" s="106"/>
      <c r="QU504" s="106"/>
      <c r="QV504" s="106"/>
      <c r="QW504" s="106"/>
      <c r="QX504" s="106"/>
      <c r="QY504" s="106"/>
      <c r="QZ504" s="106"/>
      <c r="RA504" s="106"/>
      <c r="RB504" s="106"/>
      <c r="RC504" s="106"/>
      <c r="RD504" s="106"/>
      <c r="RE504" s="106"/>
      <c r="RF504" s="106"/>
      <c r="RG504" s="106"/>
      <c r="RH504" s="106"/>
      <c r="RI504" s="106"/>
      <c r="RJ504" s="106"/>
      <c r="RK504" s="106"/>
      <c r="RL504" s="106"/>
    </row>
    <row r="505" spans="48:480" x14ac:dyDescent="0.3">
      <c r="AV505" s="103"/>
      <c r="CJ505" s="103"/>
      <c r="FP505" s="103"/>
      <c r="LL505" s="103"/>
      <c r="NM505" s="103"/>
      <c r="QT505" s="106"/>
      <c r="QU505" s="106"/>
      <c r="QV505" s="106"/>
      <c r="QW505" s="106"/>
      <c r="QX505" s="106"/>
      <c r="QY505" s="106"/>
      <c r="QZ505" s="106"/>
      <c r="RA505" s="106"/>
      <c r="RB505" s="106"/>
      <c r="RC505" s="106"/>
      <c r="RD505" s="106"/>
      <c r="RE505" s="106"/>
      <c r="RF505" s="106"/>
      <c r="RG505" s="106"/>
      <c r="RH505" s="106"/>
      <c r="RI505" s="106"/>
      <c r="RJ505" s="106"/>
      <c r="RK505" s="106"/>
      <c r="RL505" s="106"/>
    </row>
    <row r="506" spans="48:480" x14ac:dyDescent="0.3">
      <c r="AV506" s="103"/>
      <c r="CJ506" s="103"/>
      <c r="FP506" s="103"/>
      <c r="LL506" s="103"/>
      <c r="NM506" s="103"/>
      <c r="QT506" s="106"/>
      <c r="QU506" s="106"/>
      <c r="QV506" s="106"/>
      <c r="QW506" s="106"/>
      <c r="QX506" s="106"/>
      <c r="QY506" s="106"/>
      <c r="QZ506" s="106"/>
      <c r="RA506" s="106"/>
      <c r="RB506" s="106"/>
      <c r="RC506" s="106"/>
      <c r="RD506" s="106"/>
      <c r="RE506" s="106"/>
      <c r="RF506" s="106"/>
      <c r="RG506" s="106"/>
      <c r="RH506" s="106"/>
      <c r="RI506" s="106"/>
      <c r="RJ506" s="106"/>
      <c r="RK506" s="106"/>
      <c r="RL506" s="106"/>
    </row>
    <row r="507" spans="48:480" x14ac:dyDescent="0.3">
      <c r="AV507" s="103"/>
      <c r="CJ507" s="103"/>
      <c r="FP507" s="103"/>
      <c r="LL507" s="103"/>
      <c r="NM507" s="103"/>
      <c r="QT507" s="106"/>
      <c r="QU507" s="106"/>
      <c r="QV507" s="106"/>
      <c r="QW507" s="106"/>
      <c r="QX507" s="106"/>
      <c r="QY507" s="106"/>
      <c r="QZ507" s="106"/>
      <c r="RA507" s="106"/>
      <c r="RB507" s="106"/>
      <c r="RC507" s="106"/>
      <c r="RD507" s="106"/>
      <c r="RE507" s="106"/>
      <c r="RF507" s="106"/>
      <c r="RG507" s="106"/>
      <c r="RH507" s="106"/>
      <c r="RI507" s="106"/>
      <c r="RJ507" s="106"/>
      <c r="RK507" s="106"/>
      <c r="RL507" s="106"/>
    </row>
    <row r="508" spans="48:480" x14ac:dyDescent="0.3">
      <c r="AV508" s="103"/>
      <c r="CJ508" s="103"/>
      <c r="FP508" s="103"/>
      <c r="LL508" s="103"/>
      <c r="NM508" s="103"/>
      <c r="QT508" s="106"/>
      <c r="QU508" s="106"/>
      <c r="QV508" s="106"/>
      <c r="QW508" s="106"/>
      <c r="QX508" s="106"/>
      <c r="QY508" s="106"/>
      <c r="QZ508" s="106"/>
      <c r="RA508" s="106"/>
      <c r="RB508" s="106"/>
      <c r="RC508" s="106"/>
      <c r="RD508" s="106"/>
      <c r="RE508" s="106"/>
      <c r="RF508" s="106"/>
      <c r="RG508" s="106"/>
      <c r="RH508" s="106"/>
      <c r="RI508" s="106"/>
      <c r="RJ508" s="106"/>
      <c r="RK508" s="106"/>
      <c r="RL508" s="106"/>
    </row>
    <row r="509" spans="48:480" x14ac:dyDescent="0.3">
      <c r="AV509" s="103"/>
      <c r="CJ509" s="103"/>
      <c r="FP509" s="103"/>
      <c r="LL509" s="103"/>
      <c r="NM509" s="103"/>
      <c r="QT509" s="106"/>
      <c r="QU509" s="106"/>
      <c r="QV509" s="106"/>
      <c r="QW509" s="106"/>
      <c r="QX509" s="106"/>
      <c r="QY509" s="106"/>
      <c r="QZ509" s="106"/>
      <c r="RA509" s="106"/>
      <c r="RB509" s="106"/>
      <c r="RC509" s="106"/>
      <c r="RD509" s="106"/>
      <c r="RE509" s="106"/>
      <c r="RF509" s="106"/>
      <c r="RG509" s="106"/>
      <c r="RH509" s="106"/>
      <c r="RI509" s="106"/>
      <c r="RJ509" s="106"/>
      <c r="RK509" s="106"/>
      <c r="RL509" s="106"/>
    </row>
    <row r="510" spans="48:480" x14ac:dyDescent="0.3">
      <c r="AV510" s="103"/>
      <c r="CJ510" s="103"/>
      <c r="FP510" s="103"/>
      <c r="LL510" s="103"/>
      <c r="NM510" s="103"/>
      <c r="QT510" s="106"/>
      <c r="QU510" s="106"/>
      <c r="QV510" s="106"/>
      <c r="QW510" s="106"/>
      <c r="QX510" s="106"/>
      <c r="QY510" s="106"/>
      <c r="QZ510" s="106"/>
      <c r="RA510" s="106"/>
      <c r="RB510" s="106"/>
      <c r="RC510" s="106"/>
      <c r="RD510" s="106"/>
      <c r="RE510" s="106"/>
      <c r="RF510" s="106"/>
      <c r="RG510" s="106"/>
      <c r="RH510" s="106"/>
      <c r="RI510" s="106"/>
      <c r="RJ510" s="106"/>
      <c r="RK510" s="106"/>
      <c r="RL510" s="106"/>
    </row>
    <row r="511" spans="48:480" x14ac:dyDescent="0.3">
      <c r="AV511" s="103"/>
      <c r="CJ511" s="103"/>
      <c r="FP511" s="103"/>
      <c r="LL511" s="103"/>
      <c r="NM511" s="103"/>
      <c r="QT511" s="106"/>
      <c r="QU511" s="106"/>
      <c r="QV511" s="106"/>
      <c r="QW511" s="106"/>
      <c r="QX511" s="106"/>
      <c r="QY511" s="106"/>
      <c r="QZ511" s="106"/>
      <c r="RA511" s="106"/>
      <c r="RB511" s="106"/>
      <c r="RC511" s="106"/>
      <c r="RD511" s="106"/>
      <c r="RE511" s="106"/>
      <c r="RF511" s="106"/>
      <c r="RG511" s="106"/>
      <c r="RH511" s="106"/>
      <c r="RI511" s="106"/>
      <c r="RJ511" s="106"/>
      <c r="RK511" s="106"/>
      <c r="RL511" s="106"/>
    </row>
    <row r="512" spans="48:480" x14ac:dyDescent="0.3">
      <c r="AV512" s="103"/>
      <c r="CJ512" s="103"/>
      <c r="FP512" s="103"/>
      <c r="LL512" s="103"/>
      <c r="NM512" s="103"/>
      <c r="QT512" s="106"/>
      <c r="QU512" s="106"/>
      <c r="QV512" s="106"/>
      <c r="QW512" s="106"/>
      <c r="QX512" s="106"/>
      <c r="QY512" s="106"/>
      <c r="QZ512" s="106"/>
      <c r="RA512" s="106"/>
      <c r="RB512" s="106"/>
      <c r="RC512" s="106"/>
      <c r="RD512" s="106"/>
      <c r="RE512" s="106"/>
      <c r="RF512" s="106"/>
      <c r="RG512" s="106"/>
      <c r="RH512" s="106"/>
      <c r="RI512" s="106"/>
      <c r="RJ512" s="106"/>
      <c r="RK512" s="106"/>
      <c r="RL512" s="106"/>
    </row>
    <row r="513" spans="48:480" x14ac:dyDescent="0.3">
      <c r="AV513" s="103"/>
      <c r="CJ513" s="103"/>
      <c r="FP513" s="103"/>
      <c r="LL513" s="103"/>
      <c r="NM513" s="103"/>
      <c r="QT513" s="106"/>
      <c r="QU513" s="106"/>
      <c r="QV513" s="106"/>
      <c r="QW513" s="106"/>
      <c r="QX513" s="106"/>
      <c r="QY513" s="106"/>
      <c r="QZ513" s="106"/>
      <c r="RA513" s="106"/>
      <c r="RB513" s="106"/>
      <c r="RC513" s="106"/>
      <c r="RD513" s="106"/>
      <c r="RE513" s="106"/>
      <c r="RF513" s="106"/>
      <c r="RG513" s="106"/>
      <c r="RH513" s="106"/>
      <c r="RI513" s="106"/>
      <c r="RJ513" s="106"/>
      <c r="RK513" s="106"/>
      <c r="RL513" s="106"/>
    </row>
    <row r="514" spans="48:480" x14ac:dyDescent="0.3">
      <c r="AV514" s="103"/>
      <c r="CJ514" s="103"/>
      <c r="FP514" s="103"/>
      <c r="LL514" s="103"/>
      <c r="NM514" s="103"/>
      <c r="QT514" s="106"/>
      <c r="QU514" s="106"/>
      <c r="QV514" s="106"/>
      <c r="QW514" s="106"/>
      <c r="QX514" s="106"/>
      <c r="QY514" s="106"/>
      <c r="QZ514" s="106"/>
      <c r="RA514" s="106"/>
      <c r="RB514" s="106"/>
      <c r="RC514" s="106"/>
      <c r="RD514" s="106"/>
      <c r="RE514" s="106"/>
      <c r="RF514" s="106"/>
      <c r="RG514" s="106"/>
      <c r="RH514" s="106"/>
      <c r="RI514" s="106"/>
      <c r="RJ514" s="106"/>
      <c r="RK514" s="106"/>
      <c r="RL514" s="106"/>
    </row>
    <row r="515" spans="48:480" x14ac:dyDescent="0.3">
      <c r="AV515" s="103"/>
      <c r="CJ515" s="103"/>
      <c r="FP515" s="103"/>
      <c r="LL515" s="103"/>
      <c r="NM515" s="103"/>
      <c r="QT515" s="106"/>
      <c r="QU515" s="106"/>
      <c r="QV515" s="106"/>
      <c r="QW515" s="106"/>
      <c r="QX515" s="106"/>
      <c r="QY515" s="106"/>
      <c r="QZ515" s="106"/>
      <c r="RA515" s="106"/>
      <c r="RB515" s="106"/>
      <c r="RC515" s="106"/>
      <c r="RD515" s="106"/>
      <c r="RE515" s="106"/>
      <c r="RF515" s="106"/>
      <c r="RG515" s="106"/>
      <c r="RH515" s="106"/>
      <c r="RI515" s="106"/>
      <c r="RJ515" s="106"/>
      <c r="RK515" s="106"/>
      <c r="RL515" s="106"/>
    </row>
    <row r="516" spans="48:480" x14ac:dyDescent="0.3">
      <c r="AV516" s="103"/>
      <c r="CJ516" s="103"/>
      <c r="FP516" s="103"/>
      <c r="LL516" s="103"/>
      <c r="NM516" s="103"/>
      <c r="QT516" s="106"/>
      <c r="QU516" s="106"/>
      <c r="QV516" s="106"/>
      <c r="QW516" s="106"/>
      <c r="QX516" s="106"/>
      <c r="QY516" s="106"/>
      <c r="QZ516" s="106"/>
      <c r="RA516" s="106"/>
      <c r="RB516" s="106"/>
      <c r="RC516" s="106"/>
      <c r="RD516" s="106"/>
      <c r="RE516" s="106"/>
      <c r="RF516" s="106"/>
      <c r="RG516" s="106"/>
      <c r="RH516" s="106"/>
      <c r="RI516" s="106"/>
      <c r="RJ516" s="106"/>
      <c r="RK516" s="106"/>
      <c r="RL516" s="106"/>
    </row>
    <row r="517" spans="48:480" x14ac:dyDescent="0.3">
      <c r="AV517" s="103"/>
      <c r="CJ517" s="103"/>
      <c r="FP517" s="103"/>
      <c r="LL517" s="103"/>
      <c r="NM517" s="103"/>
      <c r="QT517" s="106"/>
      <c r="QU517" s="106"/>
      <c r="QV517" s="106"/>
      <c r="QW517" s="106"/>
      <c r="QX517" s="106"/>
      <c r="QY517" s="106"/>
      <c r="QZ517" s="106"/>
      <c r="RA517" s="106"/>
      <c r="RB517" s="106"/>
      <c r="RC517" s="106"/>
      <c r="RD517" s="106"/>
      <c r="RE517" s="106"/>
      <c r="RF517" s="106"/>
      <c r="RG517" s="106"/>
      <c r="RH517" s="106"/>
      <c r="RI517" s="106"/>
      <c r="RJ517" s="106"/>
      <c r="RK517" s="106"/>
      <c r="RL517" s="106"/>
    </row>
    <row r="518" spans="48:480" x14ac:dyDescent="0.3">
      <c r="AV518" s="103"/>
      <c r="CJ518" s="103"/>
      <c r="FP518" s="103"/>
      <c r="LL518" s="103"/>
      <c r="NM518" s="103"/>
      <c r="QT518" s="106"/>
      <c r="QU518" s="106"/>
      <c r="QV518" s="106"/>
      <c r="QW518" s="106"/>
      <c r="QX518" s="106"/>
      <c r="QY518" s="106"/>
      <c r="QZ518" s="106"/>
      <c r="RA518" s="106"/>
      <c r="RB518" s="106"/>
      <c r="RC518" s="106"/>
      <c r="RD518" s="106"/>
      <c r="RE518" s="106"/>
      <c r="RF518" s="106"/>
      <c r="RG518" s="106"/>
      <c r="RH518" s="106"/>
      <c r="RI518" s="106"/>
      <c r="RJ518" s="106"/>
      <c r="RK518" s="106"/>
      <c r="RL518" s="106"/>
    </row>
    <row r="519" spans="48:480" x14ac:dyDescent="0.3">
      <c r="AV519" s="103"/>
      <c r="CJ519" s="103"/>
      <c r="FP519" s="103"/>
      <c r="LL519" s="103"/>
      <c r="NM519" s="103"/>
      <c r="QT519" s="106"/>
      <c r="QU519" s="106"/>
      <c r="QV519" s="106"/>
      <c r="QW519" s="106"/>
      <c r="QX519" s="106"/>
      <c r="QY519" s="106"/>
      <c r="QZ519" s="106"/>
      <c r="RA519" s="106"/>
      <c r="RB519" s="106"/>
      <c r="RC519" s="106"/>
      <c r="RD519" s="106"/>
      <c r="RE519" s="106"/>
      <c r="RF519" s="106"/>
      <c r="RG519" s="106"/>
      <c r="RH519" s="106"/>
      <c r="RI519" s="106"/>
      <c r="RJ519" s="106"/>
      <c r="RK519" s="106"/>
      <c r="RL519" s="106"/>
    </row>
    <row r="520" spans="48:480" x14ac:dyDescent="0.3">
      <c r="AV520" s="103"/>
      <c r="CJ520" s="103"/>
      <c r="FP520" s="103"/>
      <c r="LL520" s="103"/>
      <c r="NM520" s="103"/>
      <c r="QT520" s="106"/>
      <c r="QU520" s="106"/>
      <c r="QV520" s="106"/>
      <c r="QW520" s="106"/>
      <c r="QX520" s="106"/>
      <c r="QY520" s="106"/>
      <c r="QZ520" s="106"/>
      <c r="RA520" s="106"/>
      <c r="RB520" s="106"/>
      <c r="RC520" s="106"/>
      <c r="RD520" s="106"/>
      <c r="RE520" s="106"/>
      <c r="RF520" s="106"/>
      <c r="RG520" s="106"/>
      <c r="RH520" s="106"/>
      <c r="RI520" s="106"/>
      <c r="RJ520" s="106"/>
      <c r="RK520" s="106"/>
      <c r="RL520" s="106"/>
    </row>
    <row r="521" spans="48:480" x14ac:dyDescent="0.3">
      <c r="AV521" s="103"/>
      <c r="CJ521" s="103"/>
      <c r="FP521" s="103"/>
      <c r="LL521" s="103"/>
      <c r="NM521" s="103"/>
      <c r="QT521" s="106"/>
      <c r="QU521" s="106"/>
      <c r="QV521" s="106"/>
      <c r="QW521" s="106"/>
      <c r="QX521" s="106"/>
      <c r="QY521" s="106"/>
      <c r="QZ521" s="106"/>
      <c r="RA521" s="106"/>
      <c r="RB521" s="106"/>
      <c r="RC521" s="106"/>
      <c r="RD521" s="106"/>
      <c r="RE521" s="106"/>
      <c r="RF521" s="106"/>
      <c r="RG521" s="106"/>
      <c r="RH521" s="106"/>
      <c r="RI521" s="106"/>
      <c r="RJ521" s="106"/>
      <c r="RK521" s="106"/>
      <c r="RL521" s="106"/>
    </row>
    <row r="522" spans="48:480" x14ac:dyDescent="0.3">
      <c r="AV522" s="103"/>
      <c r="CJ522" s="103"/>
      <c r="FP522" s="103"/>
      <c r="LL522" s="103"/>
      <c r="NM522" s="103"/>
      <c r="QT522" s="106"/>
      <c r="QU522" s="106"/>
      <c r="QV522" s="106"/>
      <c r="QW522" s="106"/>
      <c r="QX522" s="106"/>
      <c r="QY522" s="106"/>
      <c r="QZ522" s="106"/>
      <c r="RA522" s="106"/>
      <c r="RB522" s="106"/>
      <c r="RC522" s="106"/>
      <c r="RD522" s="106"/>
      <c r="RE522" s="106"/>
      <c r="RF522" s="106"/>
      <c r="RG522" s="106"/>
      <c r="RH522" s="106"/>
      <c r="RI522" s="106"/>
      <c r="RJ522" s="106"/>
      <c r="RK522" s="106"/>
      <c r="RL522" s="106"/>
    </row>
    <row r="523" spans="48:480" x14ac:dyDescent="0.3">
      <c r="AV523" s="103"/>
      <c r="CJ523" s="103"/>
      <c r="FP523" s="103"/>
      <c r="LL523" s="103"/>
      <c r="NM523" s="103"/>
      <c r="QT523" s="106"/>
      <c r="QU523" s="106"/>
      <c r="QV523" s="106"/>
      <c r="QW523" s="106"/>
      <c r="QX523" s="106"/>
      <c r="QY523" s="106"/>
      <c r="QZ523" s="106"/>
      <c r="RA523" s="106"/>
      <c r="RB523" s="106"/>
      <c r="RC523" s="106"/>
      <c r="RD523" s="106"/>
      <c r="RE523" s="106"/>
      <c r="RF523" s="106"/>
      <c r="RG523" s="106"/>
      <c r="RH523" s="106"/>
      <c r="RI523" s="106"/>
      <c r="RJ523" s="106"/>
      <c r="RK523" s="106"/>
      <c r="RL523" s="106"/>
    </row>
    <row r="524" spans="48:480" x14ac:dyDescent="0.3">
      <c r="AV524" s="103"/>
      <c r="CJ524" s="103"/>
      <c r="FP524" s="103"/>
      <c r="LL524" s="103"/>
      <c r="NM524" s="103"/>
      <c r="QT524" s="106"/>
      <c r="QU524" s="106"/>
      <c r="QV524" s="106"/>
      <c r="QW524" s="106"/>
      <c r="QX524" s="106"/>
      <c r="QY524" s="106"/>
      <c r="QZ524" s="106"/>
      <c r="RA524" s="106"/>
      <c r="RB524" s="106"/>
      <c r="RC524" s="106"/>
      <c r="RD524" s="106"/>
      <c r="RE524" s="106"/>
      <c r="RF524" s="106"/>
      <c r="RG524" s="106"/>
      <c r="RH524" s="106"/>
      <c r="RI524" s="106"/>
      <c r="RJ524" s="106"/>
      <c r="RK524" s="106"/>
      <c r="RL524" s="106"/>
    </row>
    <row r="525" spans="48:480" x14ac:dyDescent="0.3">
      <c r="AV525" s="103"/>
      <c r="CJ525" s="103"/>
      <c r="FP525" s="103"/>
      <c r="LL525" s="103"/>
      <c r="NM525" s="103"/>
      <c r="QT525" s="106"/>
      <c r="QU525" s="106"/>
      <c r="QV525" s="106"/>
      <c r="QW525" s="106"/>
      <c r="QX525" s="106"/>
      <c r="QY525" s="106"/>
      <c r="QZ525" s="106"/>
      <c r="RA525" s="106"/>
      <c r="RB525" s="106"/>
      <c r="RC525" s="106"/>
      <c r="RD525" s="106"/>
      <c r="RE525" s="106"/>
      <c r="RF525" s="106"/>
      <c r="RG525" s="106"/>
      <c r="RH525" s="106"/>
      <c r="RI525" s="106"/>
      <c r="RJ525" s="106"/>
      <c r="RK525" s="106"/>
      <c r="RL525" s="106"/>
    </row>
    <row r="526" spans="48:480" x14ac:dyDescent="0.3">
      <c r="CJ526" s="103"/>
      <c r="FP526" s="103"/>
      <c r="LL526" s="103"/>
      <c r="NM526" s="103"/>
      <c r="QT526" s="106"/>
      <c r="QU526" s="106"/>
      <c r="QV526" s="106"/>
      <c r="QW526" s="106"/>
      <c r="QX526" s="106"/>
      <c r="QY526" s="106"/>
      <c r="QZ526" s="106"/>
      <c r="RA526" s="106"/>
      <c r="RB526" s="106"/>
      <c r="RC526" s="106"/>
      <c r="RD526" s="106"/>
      <c r="RE526" s="106"/>
      <c r="RF526" s="106"/>
      <c r="RG526" s="106"/>
      <c r="RH526" s="106"/>
      <c r="RI526" s="106"/>
      <c r="RJ526" s="106"/>
      <c r="RK526" s="106"/>
      <c r="RL526" s="106"/>
    </row>
    <row r="527" spans="48:480" x14ac:dyDescent="0.3">
      <c r="AV527" s="103"/>
      <c r="CJ527" s="103"/>
      <c r="FP527" s="103"/>
      <c r="LL527" s="103"/>
      <c r="NM527" s="103"/>
      <c r="QT527" s="106"/>
      <c r="QU527" s="106"/>
      <c r="QV527" s="106"/>
      <c r="QW527" s="106"/>
      <c r="QX527" s="106"/>
      <c r="QY527" s="106"/>
      <c r="QZ527" s="106"/>
      <c r="RA527" s="106"/>
      <c r="RB527" s="106"/>
      <c r="RC527" s="106"/>
      <c r="RD527" s="106"/>
      <c r="RE527" s="106"/>
      <c r="RF527" s="106"/>
      <c r="RG527" s="106"/>
      <c r="RH527" s="106"/>
      <c r="RI527" s="106"/>
      <c r="RJ527" s="106"/>
      <c r="RK527" s="106"/>
      <c r="RL527" s="106"/>
    </row>
    <row r="528" spans="48:480" x14ac:dyDescent="0.3">
      <c r="AV528" s="103"/>
      <c r="CJ528" s="103"/>
      <c r="FP528" s="103"/>
      <c r="LL528" s="103"/>
      <c r="NM528" s="103"/>
      <c r="QT528" s="106"/>
      <c r="QU528" s="106"/>
      <c r="QV528" s="106"/>
      <c r="QW528" s="106"/>
      <c r="QX528" s="106"/>
      <c r="QY528" s="106"/>
      <c r="QZ528" s="106"/>
      <c r="RA528" s="106"/>
      <c r="RB528" s="106"/>
      <c r="RC528" s="106"/>
      <c r="RD528" s="106"/>
      <c r="RE528" s="106"/>
      <c r="RF528" s="106"/>
      <c r="RG528" s="106"/>
      <c r="RH528" s="106"/>
      <c r="RI528" s="106"/>
      <c r="RJ528" s="106"/>
      <c r="RK528" s="106"/>
      <c r="RL528" s="106"/>
    </row>
    <row r="529" spans="48:480" x14ac:dyDescent="0.3">
      <c r="AV529" s="103"/>
      <c r="CJ529" s="103"/>
      <c r="FP529" s="103"/>
      <c r="LL529" s="103"/>
      <c r="NM529" s="103"/>
      <c r="QT529" s="106"/>
      <c r="QU529" s="106"/>
      <c r="QV529" s="106"/>
      <c r="QW529" s="106"/>
      <c r="QX529" s="106"/>
      <c r="QY529" s="106"/>
      <c r="QZ529" s="106"/>
      <c r="RA529" s="106"/>
      <c r="RB529" s="106"/>
      <c r="RC529" s="106"/>
      <c r="RD529" s="106"/>
      <c r="RE529" s="106"/>
      <c r="RF529" s="106"/>
      <c r="RG529" s="106"/>
      <c r="RH529" s="106"/>
      <c r="RI529" s="106"/>
      <c r="RJ529" s="106"/>
      <c r="RK529" s="106"/>
      <c r="RL529" s="106"/>
    </row>
    <row r="530" spans="48:480" x14ac:dyDescent="0.3">
      <c r="AV530" s="103"/>
      <c r="CJ530" s="103"/>
      <c r="FP530" s="103"/>
      <c r="LL530" s="103"/>
      <c r="NM530" s="103"/>
      <c r="QT530" s="106"/>
      <c r="QU530" s="106"/>
      <c r="QV530" s="106"/>
      <c r="QW530" s="106"/>
      <c r="QX530" s="106"/>
      <c r="QY530" s="106"/>
      <c r="QZ530" s="106"/>
      <c r="RA530" s="106"/>
      <c r="RB530" s="106"/>
      <c r="RC530" s="106"/>
      <c r="RD530" s="106"/>
      <c r="RE530" s="106"/>
      <c r="RF530" s="106"/>
      <c r="RG530" s="106"/>
      <c r="RH530" s="106"/>
      <c r="RI530" s="106"/>
      <c r="RJ530" s="106"/>
      <c r="RK530" s="106"/>
      <c r="RL530" s="106"/>
    </row>
    <row r="531" spans="48:480" x14ac:dyDescent="0.3">
      <c r="AV531" s="103"/>
      <c r="CJ531" s="103"/>
      <c r="FP531" s="103"/>
      <c r="LL531" s="103"/>
      <c r="NM531" s="103"/>
      <c r="QT531" s="106"/>
      <c r="QU531" s="106"/>
      <c r="QV531" s="106"/>
      <c r="QW531" s="106"/>
      <c r="QX531" s="106"/>
      <c r="QY531" s="106"/>
      <c r="QZ531" s="106"/>
      <c r="RA531" s="106"/>
      <c r="RB531" s="106"/>
      <c r="RC531" s="106"/>
      <c r="RD531" s="106"/>
      <c r="RE531" s="106"/>
      <c r="RF531" s="106"/>
      <c r="RG531" s="106"/>
      <c r="RH531" s="106"/>
      <c r="RI531" s="106"/>
      <c r="RJ531" s="106"/>
      <c r="RK531" s="106"/>
      <c r="RL531" s="106"/>
    </row>
    <row r="532" spans="48:480" x14ac:dyDescent="0.3">
      <c r="AV532" s="103"/>
      <c r="CJ532" s="103"/>
      <c r="FP532" s="103"/>
      <c r="LL532" s="103"/>
      <c r="NM532" s="103"/>
      <c r="QT532" s="106"/>
      <c r="QU532" s="106"/>
      <c r="QV532" s="106"/>
      <c r="QW532" s="106"/>
      <c r="QX532" s="106"/>
      <c r="QY532" s="106"/>
      <c r="QZ532" s="106"/>
      <c r="RA532" s="106"/>
      <c r="RB532" s="106"/>
      <c r="RC532" s="106"/>
      <c r="RD532" s="106"/>
      <c r="RE532" s="106"/>
      <c r="RF532" s="106"/>
      <c r="RG532" s="106"/>
      <c r="RH532" s="106"/>
      <c r="RI532" s="106"/>
      <c r="RJ532" s="106"/>
      <c r="RK532" s="106"/>
      <c r="RL532" s="106"/>
    </row>
    <row r="533" spans="48:480" x14ac:dyDescent="0.3">
      <c r="AV533" s="103"/>
      <c r="CJ533" s="103"/>
      <c r="FP533" s="103"/>
      <c r="LL533" s="103"/>
      <c r="NM533" s="103"/>
      <c r="QT533" s="106"/>
      <c r="QU533" s="106"/>
      <c r="QV533" s="106"/>
      <c r="QW533" s="106"/>
      <c r="QX533" s="106"/>
      <c r="QY533" s="106"/>
      <c r="QZ533" s="106"/>
      <c r="RA533" s="106"/>
      <c r="RB533" s="106"/>
      <c r="RC533" s="106"/>
      <c r="RD533" s="106"/>
      <c r="RE533" s="106"/>
      <c r="RF533" s="106"/>
      <c r="RG533" s="106"/>
      <c r="RH533" s="106"/>
      <c r="RI533" s="106"/>
      <c r="RJ533" s="106"/>
      <c r="RK533" s="106"/>
      <c r="RL533" s="106"/>
    </row>
    <row r="534" spans="48:480" x14ac:dyDescent="0.3">
      <c r="AV534" s="103"/>
      <c r="CJ534" s="103"/>
      <c r="FP534" s="103"/>
      <c r="LL534" s="103"/>
      <c r="NM534" s="103"/>
      <c r="QT534" s="106"/>
      <c r="QU534" s="106"/>
      <c r="QV534" s="106"/>
      <c r="QW534" s="106"/>
      <c r="QX534" s="106"/>
      <c r="QY534" s="106"/>
      <c r="QZ534" s="106"/>
      <c r="RA534" s="106"/>
      <c r="RB534" s="106"/>
      <c r="RC534" s="106"/>
      <c r="RD534" s="106"/>
      <c r="RE534" s="106"/>
      <c r="RF534" s="106"/>
      <c r="RG534" s="106"/>
      <c r="RH534" s="106"/>
      <c r="RI534" s="106"/>
      <c r="RJ534" s="106"/>
      <c r="RK534" s="106"/>
      <c r="RL534" s="106"/>
    </row>
    <row r="535" spans="48:480" x14ac:dyDescent="0.3">
      <c r="AV535" s="103"/>
      <c r="CJ535" s="103"/>
      <c r="FP535" s="103"/>
      <c r="LL535" s="103"/>
      <c r="NM535" s="103"/>
      <c r="QT535" s="106"/>
      <c r="QU535" s="106"/>
      <c r="QV535" s="106"/>
      <c r="QW535" s="106"/>
      <c r="QX535" s="106"/>
      <c r="QY535" s="106"/>
      <c r="QZ535" s="106"/>
      <c r="RA535" s="106"/>
      <c r="RB535" s="106"/>
      <c r="RC535" s="106"/>
      <c r="RD535" s="106"/>
      <c r="RE535" s="106"/>
      <c r="RF535" s="106"/>
      <c r="RG535" s="106"/>
      <c r="RH535" s="106"/>
      <c r="RI535" s="106"/>
      <c r="RJ535" s="106"/>
      <c r="RK535" s="106"/>
      <c r="RL535" s="106"/>
    </row>
    <row r="536" spans="48:480" x14ac:dyDescent="0.3">
      <c r="AV536" s="103"/>
      <c r="CJ536" s="103"/>
      <c r="FP536" s="103"/>
      <c r="LL536" s="103"/>
      <c r="NM536" s="103"/>
      <c r="QT536" s="106"/>
      <c r="QU536" s="106"/>
      <c r="QV536" s="106"/>
      <c r="QW536" s="106"/>
      <c r="QX536" s="106"/>
      <c r="QY536" s="106"/>
      <c r="QZ536" s="106"/>
      <c r="RA536" s="106"/>
      <c r="RB536" s="106"/>
      <c r="RC536" s="106"/>
      <c r="RD536" s="106"/>
      <c r="RE536" s="106"/>
      <c r="RF536" s="106"/>
      <c r="RG536" s="106"/>
      <c r="RH536" s="106"/>
      <c r="RI536" s="106"/>
      <c r="RJ536" s="106"/>
      <c r="RK536" s="106"/>
      <c r="RL536" s="106"/>
    </row>
    <row r="537" spans="48:480" x14ac:dyDescent="0.3">
      <c r="AV537" s="103"/>
      <c r="CJ537" s="103"/>
      <c r="FP537" s="103"/>
      <c r="LL537" s="103"/>
      <c r="NM537" s="103"/>
      <c r="QT537" s="106"/>
      <c r="QU537" s="106"/>
      <c r="QV537" s="106"/>
      <c r="QW537" s="106"/>
      <c r="QX537" s="106"/>
      <c r="QY537" s="106"/>
      <c r="QZ537" s="106"/>
      <c r="RA537" s="106"/>
      <c r="RB537" s="106"/>
      <c r="RC537" s="106"/>
      <c r="RD537" s="106"/>
      <c r="RE537" s="106"/>
      <c r="RF537" s="106"/>
      <c r="RG537" s="106"/>
      <c r="RH537" s="106"/>
      <c r="RI537" s="106"/>
      <c r="RJ537" s="106"/>
      <c r="RK537" s="106"/>
      <c r="RL537" s="106"/>
    </row>
    <row r="538" spans="48:480" x14ac:dyDescent="0.3">
      <c r="AV538" s="103"/>
      <c r="CJ538" s="103"/>
      <c r="FP538" s="103"/>
      <c r="LL538" s="103"/>
      <c r="NM538" s="103"/>
      <c r="QT538" s="106"/>
      <c r="QU538" s="106"/>
      <c r="QV538" s="106"/>
      <c r="QW538" s="106"/>
      <c r="QX538" s="106"/>
      <c r="QY538" s="106"/>
      <c r="QZ538" s="106"/>
      <c r="RA538" s="106"/>
      <c r="RB538" s="106"/>
      <c r="RC538" s="106"/>
      <c r="RD538" s="106"/>
      <c r="RE538" s="106"/>
      <c r="RF538" s="106"/>
      <c r="RG538" s="106"/>
      <c r="RH538" s="106"/>
      <c r="RI538" s="106"/>
      <c r="RJ538" s="106"/>
      <c r="RK538" s="106"/>
      <c r="RL538" s="106"/>
    </row>
    <row r="539" spans="48:480" x14ac:dyDescent="0.3">
      <c r="AV539" s="103"/>
      <c r="CJ539" s="103"/>
      <c r="FP539" s="103"/>
      <c r="LL539" s="103"/>
      <c r="NM539" s="103"/>
      <c r="QT539" s="106"/>
      <c r="QU539" s="106"/>
      <c r="QV539" s="106"/>
      <c r="QW539" s="106"/>
      <c r="QX539" s="106"/>
      <c r="QY539" s="106"/>
      <c r="QZ539" s="106"/>
      <c r="RA539" s="106"/>
      <c r="RB539" s="106"/>
      <c r="RC539" s="106"/>
      <c r="RD539" s="106"/>
      <c r="RE539" s="106"/>
      <c r="RF539" s="106"/>
      <c r="RG539" s="106"/>
      <c r="RH539" s="106"/>
      <c r="RI539" s="106"/>
      <c r="RJ539" s="106"/>
      <c r="RK539" s="106"/>
      <c r="RL539" s="106"/>
    </row>
    <row r="540" spans="48:480" x14ac:dyDescent="0.3">
      <c r="AV540" s="103"/>
      <c r="CJ540" s="103"/>
      <c r="FP540" s="103"/>
      <c r="LL540" s="103"/>
      <c r="NM540" s="103"/>
      <c r="QT540" s="106"/>
      <c r="QU540" s="106"/>
      <c r="QV540" s="106"/>
      <c r="QW540" s="106"/>
      <c r="QX540" s="106"/>
      <c r="QY540" s="106"/>
      <c r="QZ540" s="106"/>
      <c r="RA540" s="106"/>
      <c r="RB540" s="106"/>
      <c r="RC540" s="106"/>
      <c r="RD540" s="106"/>
      <c r="RE540" s="106"/>
      <c r="RF540" s="106"/>
      <c r="RG540" s="106"/>
      <c r="RH540" s="106"/>
      <c r="RI540" s="106"/>
      <c r="RJ540" s="106"/>
      <c r="RK540" s="106"/>
      <c r="RL540" s="106"/>
    </row>
    <row r="541" spans="48:480" x14ac:dyDescent="0.3">
      <c r="AV541" s="103"/>
      <c r="CJ541" s="103"/>
      <c r="FP541" s="103"/>
      <c r="LL541" s="103"/>
      <c r="NM541" s="103"/>
      <c r="QT541" s="106"/>
      <c r="QU541" s="106"/>
      <c r="QV541" s="106"/>
      <c r="QW541" s="106"/>
      <c r="QX541" s="106"/>
      <c r="QY541" s="106"/>
      <c r="QZ541" s="106"/>
      <c r="RA541" s="106"/>
      <c r="RB541" s="106"/>
      <c r="RC541" s="106"/>
      <c r="RD541" s="106"/>
      <c r="RE541" s="106"/>
      <c r="RF541" s="106"/>
      <c r="RG541" s="106"/>
      <c r="RH541" s="106"/>
      <c r="RI541" s="106"/>
      <c r="RJ541" s="106"/>
      <c r="RK541" s="106"/>
      <c r="RL541" s="106"/>
    </row>
    <row r="542" spans="48:480" x14ac:dyDescent="0.3">
      <c r="AV542" s="103"/>
      <c r="CJ542" s="103"/>
      <c r="FP542" s="103"/>
      <c r="LL542" s="103"/>
      <c r="NM542" s="103"/>
      <c r="QT542" s="106"/>
      <c r="QU542" s="106"/>
      <c r="QV542" s="106"/>
      <c r="QW542" s="106"/>
      <c r="QX542" s="106"/>
      <c r="QY542" s="106"/>
      <c r="QZ542" s="106"/>
      <c r="RA542" s="106"/>
      <c r="RB542" s="106"/>
      <c r="RC542" s="106"/>
      <c r="RD542" s="106"/>
      <c r="RE542" s="106"/>
      <c r="RF542" s="106"/>
      <c r="RG542" s="106"/>
      <c r="RH542" s="106"/>
      <c r="RI542" s="106"/>
      <c r="RJ542" s="106"/>
      <c r="RK542" s="106"/>
      <c r="RL542" s="106"/>
    </row>
    <row r="543" spans="48:480" x14ac:dyDescent="0.3">
      <c r="CJ543" s="103"/>
      <c r="FP543" s="103"/>
      <c r="LL543" s="103"/>
      <c r="NM543" s="103"/>
      <c r="QT543" s="106"/>
      <c r="QU543" s="106"/>
      <c r="QV543" s="106"/>
      <c r="QW543" s="106"/>
      <c r="QX543" s="106"/>
      <c r="QY543" s="106"/>
      <c r="QZ543" s="106"/>
      <c r="RA543" s="106"/>
      <c r="RB543" s="106"/>
      <c r="RC543" s="106"/>
      <c r="RD543" s="106"/>
      <c r="RE543" s="106"/>
      <c r="RF543" s="106"/>
      <c r="RG543" s="106"/>
      <c r="RH543" s="106"/>
      <c r="RI543" s="106"/>
      <c r="RJ543" s="106"/>
      <c r="RK543" s="106"/>
      <c r="RL543" s="106"/>
    </row>
    <row r="544" spans="48:480" x14ac:dyDescent="0.3">
      <c r="AV544" s="103"/>
      <c r="CJ544" s="103"/>
      <c r="FP544" s="103"/>
      <c r="LL544" s="103"/>
      <c r="NM544" s="103"/>
      <c r="QT544" s="106"/>
      <c r="QU544" s="106"/>
      <c r="QV544" s="106"/>
      <c r="QW544" s="106"/>
      <c r="QX544" s="106"/>
      <c r="QY544" s="106"/>
      <c r="QZ544" s="106"/>
      <c r="RA544" s="106"/>
      <c r="RB544" s="106"/>
      <c r="RC544" s="106"/>
      <c r="RD544" s="106"/>
      <c r="RE544" s="106"/>
      <c r="RF544" s="106"/>
      <c r="RG544" s="106"/>
      <c r="RH544" s="106"/>
      <c r="RI544" s="106"/>
      <c r="RJ544" s="106"/>
      <c r="RK544" s="106"/>
      <c r="RL544" s="106"/>
    </row>
    <row r="545" spans="48:480" x14ac:dyDescent="0.3">
      <c r="AV545" s="103"/>
      <c r="CJ545" s="103"/>
      <c r="FP545" s="103"/>
      <c r="LL545" s="103"/>
      <c r="NM545" s="103"/>
      <c r="QT545" s="106"/>
      <c r="QU545" s="106"/>
      <c r="QV545" s="106"/>
      <c r="QW545" s="106"/>
      <c r="QX545" s="106"/>
      <c r="QY545" s="106"/>
      <c r="QZ545" s="106"/>
      <c r="RA545" s="106"/>
      <c r="RB545" s="106"/>
      <c r="RC545" s="106"/>
      <c r="RD545" s="106"/>
      <c r="RE545" s="106"/>
      <c r="RF545" s="106"/>
      <c r="RG545" s="106"/>
      <c r="RH545" s="106"/>
      <c r="RI545" s="106"/>
      <c r="RJ545" s="106"/>
      <c r="RK545" s="106"/>
      <c r="RL545" s="106"/>
    </row>
    <row r="546" spans="48:480" x14ac:dyDescent="0.3">
      <c r="AV546" s="103"/>
      <c r="CJ546" s="103"/>
      <c r="FP546" s="103"/>
      <c r="LL546" s="103"/>
      <c r="NM546" s="103"/>
      <c r="QT546" s="106"/>
      <c r="QU546" s="106"/>
      <c r="QV546" s="106"/>
      <c r="QW546" s="106"/>
      <c r="QX546" s="106"/>
      <c r="QY546" s="106"/>
      <c r="QZ546" s="106"/>
      <c r="RA546" s="106"/>
      <c r="RB546" s="106"/>
      <c r="RC546" s="106"/>
      <c r="RD546" s="106"/>
      <c r="RE546" s="106"/>
      <c r="RF546" s="106"/>
      <c r="RG546" s="106"/>
      <c r="RH546" s="106"/>
      <c r="RI546" s="106"/>
      <c r="RJ546" s="106"/>
      <c r="RK546" s="106"/>
      <c r="RL546" s="106"/>
    </row>
    <row r="547" spans="48:480" x14ac:dyDescent="0.3">
      <c r="AV547" s="103"/>
      <c r="CJ547" s="103"/>
      <c r="FP547" s="103"/>
      <c r="LL547" s="103"/>
      <c r="NM547" s="103"/>
      <c r="QT547" s="106"/>
      <c r="QU547" s="106"/>
      <c r="QV547" s="106"/>
      <c r="QW547" s="106"/>
      <c r="QX547" s="106"/>
      <c r="QY547" s="106"/>
      <c r="QZ547" s="106"/>
      <c r="RA547" s="106"/>
      <c r="RB547" s="106"/>
      <c r="RC547" s="106"/>
      <c r="RD547" s="106"/>
      <c r="RE547" s="106"/>
      <c r="RF547" s="106"/>
      <c r="RG547" s="106"/>
      <c r="RH547" s="106"/>
      <c r="RI547" s="106"/>
      <c r="RJ547" s="106"/>
      <c r="RK547" s="106"/>
      <c r="RL547" s="106"/>
    </row>
    <row r="548" spans="48:480" x14ac:dyDescent="0.3">
      <c r="AV548" s="103"/>
      <c r="CJ548" s="103"/>
      <c r="FP548" s="103"/>
      <c r="LL548" s="103"/>
      <c r="NM548" s="103"/>
      <c r="QT548" s="106"/>
      <c r="QU548" s="106"/>
      <c r="QV548" s="106"/>
      <c r="QW548" s="106"/>
      <c r="QX548" s="106"/>
      <c r="QY548" s="106"/>
      <c r="QZ548" s="106"/>
      <c r="RA548" s="106"/>
      <c r="RB548" s="106"/>
      <c r="RC548" s="106"/>
      <c r="RD548" s="106"/>
      <c r="RE548" s="106"/>
      <c r="RF548" s="106"/>
      <c r="RG548" s="106"/>
      <c r="RH548" s="106"/>
      <c r="RI548" s="106"/>
      <c r="RJ548" s="106"/>
      <c r="RK548" s="106"/>
      <c r="RL548" s="106"/>
    </row>
    <row r="549" spans="48:480" x14ac:dyDescent="0.3">
      <c r="AV549" s="103"/>
      <c r="CJ549" s="103"/>
      <c r="FP549" s="103"/>
      <c r="LL549" s="103"/>
      <c r="NM549" s="103"/>
      <c r="QT549" s="106"/>
      <c r="QU549" s="106"/>
      <c r="QV549" s="106"/>
      <c r="QW549" s="106"/>
      <c r="QX549" s="106"/>
      <c r="QY549" s="106"/>
      <c r="QZ549" s="106"/>
      <c r="RA549" s="106"/>
      <c r="RB549" s="106"/>
      <c r="RC549" s="106"/>
      <c r="RD549" s="106"/>
      <c r="RE549" s="106"/>
      <c r="RF549" s="106"/>
      <c r="RG549" s="106"/>
      <c r="RH549" s="106"/>
      <c r="RI549" s="106"/>
      <c r="RJ549" s="106"/>
      <c r="RK549" s="106"/>
      <c r="RL549" s="106"/>
    </row>
    <row r="550" spans="48:480" x14ac:dyDescent="0.3">
      <c r="AV550" s="103"/>
      <c r="CJ550" s="103"/>
      <c r="FP550" s="103"/>
      <c r="LL550" s="103"/>
      <c r="NM550" s="103"/>
      <c r="QT550" s="106"/>
      <c r="QU550" s="106"/>
      <c r="QV550" s="106"/>
      <c r="QW550" s="106"/>
      <c r="QX550" s="106"/>
      <c r="QY550" s="106"/>
      <c r="QZ550" s="106"/>
      <c r="RA550" s="106"/>
      <c r="RB550" s="106"/>
      <c r="RC550" s="106"/>
      <c r="RD550" s="106"/>
      <c r="RE550" s="106"/>
      <c r="RF550" s="106"/>
      <c r="RG550" s="106"/>
      <c r="RH550" s="106"/>
      <c r="RI550" s="106"/>
      <c r="RJ550" s="106"/>
      <c r="RK550" s="106"/>
      <c r="RL550" s="106"/>
    </row>
    <row r="551" spans="48:480" x14ac:dyDescent="0.3">
      <c r="AV551" s="103"/>
      <c r="CJ551" s="103"/>
      <c r="FP551" s="103"/>
      <c r="LL551" s="103"/>
      <c r="NM551" s="103"/>
      <c r="QT551" s="106"/>
      <c r="QU551" s="106"/>
      <c r="QV551" s="106"/>
      <c r="QW551" s="106"/>
      <c r="QX551" s="106"/>
      <c r="QY551" s="106"/>
      <c r="QZ551" s="106"/>
      <c r="RA551" s="106"/>
      <c r="RB551" s="106"/>
      <c r="RC551" s="106"/>
      <c r="RD551" s="106"/>
      <c r="RE551" s="106"/>
      <c r="RF551" s="106"/>
      <c r="RG551" s="106"/>
      <c r="RH551" s="106"/>
      <c r="RI551" s="106"/>
      <c r="RJ551" s="106"/>
      <c r="RK551" s="106"/>
      <c r="RL551" s="106"/>
    </row>
    <row r="552" spans="48:480" x14ac:dyDescent="0.3">
      <c r="AV552" s="103"/>
      <c r="CJ552" s="103"/>
      <c r="FP552" s="103"/>
      <c r="LL552" s="103"/>
      <c r="NM552" s="103"/>
      <c r="QT552" s="106"/>
      <c r="QU552" s="106"/>
      <c r="QV552" s="106"/>
      <c r="QW552" s="106"/>
      <c r="QX552" s="106"/>
      <c r="QY552" s="106"/>
      <c r="QZ552" s="106"/>
      <c r="RA552" s="106"/>
      <c r="RB552" s="106"/>
      <c r="RC552" s="106"/>
      <c r="RD552" s="106"/>
      <c r="RE552" s="106"/>
      <c r="RF552" s="106"/>
      <c r="RG552" s="106"/>
      <c r="RH552" s="106"/>
      <c r="RI552" s="106"/>
      <c r="RJ552" s="106"/>
      <c r="RK552" s="106"/>
      <c r="RL552" s="106"/>
    </row>
    <row r="553" spans="48:480" x14ac:dyDescent="0.3">
      <c r="AV553" s="103"/>
      <c r="CJ553" s="103"/>
      <c r="FP553" s="103"/>
      <c r="LL553" s="103"/>
      <c r="NM553" s="103"/>
      <c r="QT553" s="106"/>
      <c r="QU553" s="106"/>
      <c r="QV553" s="106"/>
      <c r="QW553" s="106"/>
      <c r="QX553" s="106"/>
      <c r="QY553" s="106"/>
      <c r="QZ553" s="106"/>
      <c r="RA553" s="106"/>
      <c r="RB553" s="106"/>
      <c r="RC553" s="106"/>
      <c r="RD553" s="106"/>
      <c r="RE553" s="106"/>
      <c r="RF553" s="106"/>
      <c r="RG553" s="106"/>
      <c r="RH553" s="106"/>
      <c r="RI553" s="106"/>
      <c r="RJ553" s="106"/>
      <c r="RK553" s="106"/>
      <c r="RL553" s="106"/>
    </row>
    <row r="554" spans="48:480" x14ac:dyDescent="0.3">
      <c r="AV554" s="103"/>
      <c r="CJ554" s="103"/>
      <c r="FP554" s="103"/>
      <c r="LL554" s="103"/>
      <c r="NM554" s="103"/>
      <c r="QT554" s="106"/>
      <c r="QU554" s="106"/>
      <c r="QV554" s="106"/>
      <c r="QW554" s="106"/>
      <c r="QX554" s="106"/>
      <c r="QY554" s="106"/>
      <c r="QZ554" s="106"/>
      <c r="RA554" s="106"/>
      <c r="RB554" s="106"/>
      <c r="RC554" s="106"/>
      <c r="RD554" s="106"/>
      <c r="RE554" s="106"/>
      <c r="RF554" s="106"/>
      <c r="RG554" s="106"/>
      <c r="RH554" s="106"/>
      <c r="RI554" s="106"/>
      <c r="RJ554" s="106"/>
      <c r="RK554" s="106"/>
      <c r="RL554" s="106"/>
    </row>
    <row r="555" spans="48:480" x14ac:dyDescent="0.3">
      <c r="AV555" s="103"/>
      <c r="CJ555" s="103"/>
      <c r="FP555" s="103"/>
      <c r="LL555" s="103"/>
      <c r="NM555" s="103"/>
      <c r="QT555" s="106"/>
      <c r="QU555" s="106"/>
      <c r="QV555" s="106"/>
      <c r="QW555" s="106"/>
      <c r="QX555" s="106"/>
      <c r="QY555" s="106"/>
      <c r="QZ555" s="106"/>
      <c r="RA555" s="106"/>
      <c r="RB555" s="106"/>
      <c r="RC555" s="106"/>
      <c r="RD555" s="106"/>
      <c r="RE555" s="106"/>
      <c r="RF555" s="106"/>
      <c r="RG555" s="106"/>
      <c r="RH555" s="106"/>
      <c r="RI555" s="106"/>
      <c r="RJ555" s="106"/>
      <c r="RK555" s="106"/>
      <c r="RL555" s="106"/>
    </row>
    <row r="556" spans="48:480" x14ac:dyDescent="0.3">
      <c r="AV556" s="103"/>
      <c r="CJ556" s="103"/>
      <c r="FP556" s="103"/>
      <c r="LL556" s="103"/>
      <c r="NM556" s="103"/>
      <c r="QT556" s="106"/>
      <c r="QU556" s="106"/>
      <c r="QV556" s="106"/>
      <c r="QW556" s="106"/>
      <c r="QX556" s="106"/>
      <c r="QY556" s="106"/>
      <c r="QZ556" s="106"/>
      <c r="RA556" s="106"/>
      <c r="RB556" s="106"/>
      <c r="RC556" s="106"/>
      <c r="RD556" s="106"/>
      <c r="RE556" s="106"/>
      <c r="RF556" s="106"/>
      <c r="RG556" s="106"/>
      <c r="RH556" s="106"/>
      <c r="RI556" s="106"/>
      <c r="RJ556" s="106"/>
      <c r="RK556" s="106"/>
      <c r="RL556" s="106"/>
    </row>
    <row r="557" spans="48:480" x14ac:dyDescent="0.3">
      <c r="AV557" s="103"/>
      <c r="CJ557" s="103"/>
      <c r="FP557" s="103"/>
      <c r="LL557" s="103"/>
      <c r="NM557" s="103"/>
      <c r="QT557" s="106"/>
      <c r="QU557" s="106"/>
      <c r="QV557" s="106"/>
      <c r="QW557" s="106"/>
      <c r="QX557" s="106"/>
      <c r="QY557" s="106"/>
      <c r="QZ557" s="106"/>
      <c r="RA557" s="106"/>
      <c r="RB557" s="106"/>
      <c r="RC557" s="106"/>
      <c r="RD557" s="106"/>
      <c r="RE557" s="106"/>
      <c r="RF557" s="106"/>
      <c r="RG557" s="106"/>
      <c r="RH557" s="106"/>
      <c r="RI557" s="106"/>
      <c r="RJ557" s="106"/>
      <c r="RK557" s="106"/>
      <c r="RL557" s="106"/>
    </row>
    <row r="558" spans="48:480" x14ac:dyDescent="0.3">
      <c r="AV558" s="103"/>
      <c r="CJ558" s="103"/>
      <c r="FP558" s="103"/>
      <c r="LL558" s="103"/>
      <c r="NM558" s="103"/>
      <c r="QT558" s="106"/>
      <c r="QU558" s="106"/>
      <c r="QV558" s="106"/>
      <c r="QW558" s="106"/>
      <c r="QX558" s="106"/>
      <c r="QY558" s="106"/>
      <c r="QZ558" s="106"/>
      <c r="RA558" s="106"/>
      <c r="RB558" s="106"/>
      <c r="RC558" s="106"/>
      <c r="RD558" s="106"/>
      <c r="RE558" s="106"/>
      <c r="RF558" s="106"/>
      <c r="RG558" s="106"/>
      <c r="RH558" s="106"/>
      <c r="RI558" s="106"/>
      <c r="RJ558" s="106"/>
      <c r="RK558" s="106"/>
      <c r="RL558" s="106"/>
    </row>
    <row r="559" spans="48:480" x14ac:dyDescent="0.3">
      <c r="AV559" s="103"/>
      <c r="CJ559" s="103"/>
      <c r="FP559" s="103"/>
      <c r="LL559" s="103"/>
      <c r="NM559" s="103"/>
      <c r="QT559" s="106"/>
      <c r="QU559" s="106"/>
      <c r="QV559" s="106"/>
      <c r="QW559" s="106"/>
      <c r="QX559" s="106"/>
      <c r="QY559" s="106"/>
      <c r="QZ559" s="106"/>
      <c r="RA559" s="106"/>
      <c r="RB559" s="106"/>
      <c r="RC559" s="106"/>
      <c r="RD559" s="106"/>
      <c r="RE559" s="106"/>
      <c r="RF559" s="106"/>
      <c r="RG559" s="106"/>
      <c r="RH559" s="106"/>
      <c r="RI559" s="106"/>
      <c r="RJ559" s="106"/>
      <c r="RK559" s="106"/>
      <c r="RL559" s="106"/>
    </row>
    <row r="560" spans="48:480" x14ac:dyDescent="0.3">
      <c r="AV560" s="103"/>
      <c r="CJ560" s="103"/>
      <c r="FP560" s="103"/>
      <c r="LL560" s="103"/>
      <c r="NM560" s="103"/>
      <c r="QT560" s="106"/>
      <c r="QU560" s="106"/>
      <c r="QV560" s="106"/>
      <c r="QW560" s="106"/>
      <c r="QX560" s="106"/>
      <c r="QY560" s="106"/>
      <c r="QZ560" s="106"/>
      <c r="RA560" s="106"/>
      <c r="RB560" s="106"/>
      <c r="RC560" s="106"/>
      <c r="RD560" s="106"/>
      <c r="RE560" s="106"/>
      <c r="RF560" s="106"/>
      <c r="RG560" s="106"/>
      <c r="RH560" s="106"/>
      <c r="RI560" s="106"/>
      <c r="RJ560" s="106"/>
      <c r="RK560" s="106"/>
      <c r="RL560" s="106"/>
    </row>
    <row r="561" spans="48:480" x14ac:dyDescent="0.3">
      <c r="AV561" s="103"/>
      <c r="CJ561" s="103"/>
      <c r="FP561" s="103"/>
      <c r="LL561" s="103"/>
      <c r="NM561" s="103"/>
      <c r="QT561" s="106"/>
      <c r="QU561" s="106"/>
      <c r="QV561" s="106"/>
      <c r="QW561" s="106"/>
      <c r="QX561" s="106"/>
      <c r="QY561" s="106"/>
      <c r="QZ561" s="106"/>
      <c r="RA561" s="106"/>
      <c r="RB561" s="106"/>
      <c r="RC561" s="106"/>
      <c r="RD561" s="106"/>
      <c r="RE561" s="106"/>
      <c r="RF561" s="106"/>
      <c r="RG561" s="106"/>
      <c r="RH561" s="106"/>
      <c r="RI561" s="106"/>
      <c r="RJ561" s="106"/>
      <c r="RK561" s="106"/>
      <c r="RL561" s="106"/>
    </row>
    <row r="562" spans="48:480" x14ac:dyDescent="0.3">
      <c r="AV562" s="103"/>
      <c r="CJ562" s="103"/>
      <c r="FP562" s="103"/>
      <c r="LL562" s="103"/>
      <c r="NM562" s="103"/>
      <c r="QT562" s="106"/>
      <c r="QU562" s="106"/>
      <c r="QV562" s="106"/>
      <c r="QW562" s="106"/>
      <c r="QX562" s="106"/>
      <c r="QY562" s="106"/>
      <c r="QZ562" s="106"/>
      <c r="RA562" s="106"/>
      <c r="RB562" s="106"/>
      <c r="RC562" s="106"/>
      <c r="RD562" s="106"/>
      <c r="RE562" s="106"/>
      <c r="RF562" s="106"/>
      <c r="RG562" s="106"/>
      <c r="RH562" s="106"/>
      <c r="RI562" s="106"/>
      <c r="RJ562" s="106"/>
      <c r="RK562" s="106"/>
      <c r="RL562" s="106"/>
    </row>
    <row r="563" spans="48:480" x14ac:dyDescent="0.3">
      <c r="AV563" s="103"/>
      <c r="CJ563" s="103"/>
      <c r="FP563" s="103"/>
      <c r="LL563" s="103"/>
      <c r="NM563" s="103"/>
      <c r="QT563" s="106"/>
      <c r="QU563" s="106"/>
      <c r="QV563" s="106"/>
      <c r="QW563" s="106"/>
      <c r="QX563" s="106"/>
      <c r="QY563" s="106"/>
      <c r="QZ563" s="106"/>
      <c r="RA563" s="106"/>
      <c r="RB563" s="106"/>
      <c r="RC563" s="106"/>
      <c r="RD563" s="106"/>
      <c r="RE563" s="106"/>
      <c r="RF563" s="106"/>
      <c r="RG563" s="106"/>
      <c r="RH563" s="106"/>
      <c r="RI563" s="106"/>
      <c r="RJ563" s="106"/>
      <c r="RK563" s="106"/>
      <c r="RL563" s="106"/>
    </row>
    <row r="564" spans="48:480" x14ac:dyDescent="0.3">
      <c r="AV564" s="103"/>
      <c r="CJ564" s="103"/>
      <c r="FP564" s="103"/>
      <c r="LL564" s="103"/>
      <c r="NM564" s="103"/>
      <c r="QT564" s="106"/>
      <c r="QU564" s="106"/>
      <c r="QV564" s="106"/>
      <c r="QW564" s="106"/>
      <c r="QX564" s="106"/>
      <c r="QY564" s="106"/>
      <c r="QZ564" s="106"/>
      <c r="RA564" s="106"/>
      <c r="RB564" s="106"/>
      <c r="RC564" s="106"/>
      <c r="RD564" s="106"/>
      <c r="RE564" s="106"/>
      <c r="RF564" s="106"/>
      <c r="RG564" s="106"/>
      <c r="RH564" s="106"/>
      <c r="RI564" s="106"/>
      <c r="RJ564" s="106"/>
      <c r="RK564" s="106"/>
      <c r="RL564" s="106"/>
    </row>
    <row r="565" spans="48:480" x14ac:dyDescent="0.3">
      <c r="AV565" s="103"/>
      <c r="CJ565" s="103"/>
      <c r="FP565" s="103"/>
      <c r="LL565" s="103"/>
      <c r="NM565" s="103"/>
      <c r="QT565" s="106"/>
      <c r="QU565" s="106"/>
      <c r="QV565" s="106"/>
      <c r="QW565" s="106"/>
      <c r="QX565" s="106"/>
      <c r="QY565" s="106"/>
      <c r="QZ565" s="106"/>
      <c r="RA565" s="106"/>
      <c r="RB565" s="106"/>
      <c r="RC565" s="106"/>
      <c r="RD565" s="106"/>
      <c r="RE565" s="106"/>
      <c r="RF565" s="106"/>
      <c r="RG565" s="106"/>
      <c r="RH565" s="106"/>
      <c r="RI565" s="106"/>
      <c r="RJ565" s="106"/>
      <c r="RK565" s="106"/>
      <c r="RL565" s="106"/>
    </row>
    <row r="566" spans="48:480" x14ac:dyDescent="0.3">
      <c r="CJ566" s="103"/>
      <c r="FP566" s="103"/>
      <c r="LL566" s="103"/>
      <c r="NM566" s="103"/>
      <c r="QT566" s="106"/>
      <c r="QU566" s="106"/>
      <c r="QV566" s="106"/>
      <c r="QW566" s="106"/>
      <c r="QX566" s="106"/>
      <c r="QY566" s="106"/>
      <c r="QZ566" s="106"/>
      <c r="RA566" s="106"/>
      <c r="RB566" s="106"/>
      <c r="RC566" s="106"/>
      <c r="RD566" s="106"/>
      <c r="RE566" s="106"/>
      <c r="RF566" s="106"/>
      <c r="RG566" s="106"/>
      <c r="RH566" s="106"/>
      <c r="RI566" s="106"/>
      <c r="RJ566" s="106"/>
      <c r="RK566" s="106"/>
      <c r="RL566" s="106"/>
    </row>
    <row r="567" spans="48:480" x14ac:dyDescent="0.3">
      <c r="CJ567" s="103"/>
      <c r="FP567" s="103"/>
      <c r="LL567" s="103"/>
      <c r="NM567" s="103"/>
      <c r="QT567" s="106"/>
      <c r="QU567" s="106"/>
      <c r="QV567" s="106"/>
      <c r="QW567" s="106"/>
      <c r="QX567" s="106"/>
      <c r="QY567" s="106"/>
      <c r="QZ567" s="106"/>
      <c r="RA567" s="106"/>
      <c r="RB567" s="106"/>
      <c r="RC567" s="106"/>
      <c r="RD567" s="106"/>
      <c r="RE567" s="106"/>
      <c r="RF567" s="106"/>
      <c r="RG567" s="106"/>
      <c r="RH567" s="106"/>
      <c r="RI567" s="106"/>
      <c r="RJ567" s="106"/>
      <c r="RK567" s="106"/>
      <c r="RL567" s="106"/>
    </row>
    <row r="568" spans="48:480" x14ac:dyDescent="0.3">
      <c r="CJ568" s="103"/>
      <c r="FP568" s="103"/>
      <c r="LL568" s="103"/>
      <c r="NM568" s="103"/>
      <c r="QT568" s="106"/>
      <c r="QU568" s="106"/>
      <c r="QV568" s="106"/>
      <c r="QW568" s="106"/>
      <c r="QX568" s="106"/>
      <c r="QY568" s="106"/>
      <c r="QZ568" s="106"/>
      <c r="RA568" s="106"/>
      <c r="RB568" s="106"/>
      <c r="RC568" s="106"/>
      <c r="RD568" s="106"/>
      <c r="RE568" s="106"/>
      <c r="RF568" s="106"/>
      <c r="RG568" s="106"/>
      <c r="RH568" s="106"/>
      <c r="RI568" s="106"/>
      <c r="RJ568" s="106"/>
      <c r="RK568" s="106"/>
      <c r="RL568" s="106"/>
    </row>
    <row r="569" spans="48:480" x14ac:dyDescent="0.3">
      <c r="AV569" s="103"/>
      <c r="CJ569" s="103"/>
      <c r="FP569" s="103"/>
      <c r="LL569" s="103"/>
      <c r="NM569" s="103"/>
      <c r="QT569" s="106"/>
      <c r="QU569" s="106"/>
      <c r="QV569" s="106"/>
      <c r="QW569" s="106"/>
      <c r="QX569" s="106"/>
      <c r="QY569" s="106"/>
      <c r="QZ569" s="106"/>
      <c r="RA569" s="106"/>
      <c r="RB569" s="106"/>
      <c r="RC569" s="106"/>
      <c r="RD569" s="106"/>
      <c r="RE569" s="106"/>
      <c r="RF569" s="106"/>
      <c r="RG569" s="106"/>
      <c r="RH569" s="106"/>
      <c r="RI569" s="106"/>
      <c r="RJ569" s="106"/>
      <c r="RK569" s="106"/>
      <c r="RL569" s="106"/>
    </row>
    <row r="570" spans="48:480" x14ac:dyDescent="0.3">
      <c r="AV570" s="103"/>
      <c r="CJ570" s="103"/>
      <c r="FP570" s="103"/>
      <c r="LL570" s="103"/>
      <c r="NM570" s="103"/>
      <c r="QT570" s="106"/>
      <c r="QU570" s="106"/>
      <c r="QV570" s="106"/>
      <c r="QW570" s="106"/>
      <c r="QX570" s="106"/>
      <c r="QY570" s="106"/>
      <c r="QZ570" s="106"/>
      <c r="RA570" s="106"/>
      <c r="RB570" s="106"/>
      <c r="RC570" s="106"/>
      <c r="RD570" s="106"/>
      <c r="RE570" s="106"/>
      <c r="RF570" s="106"/>
      <c r="RG570" s="106"/>
      <c r="RH570" s="106"/>
      <c r="RI570" s="106"/>
      <c r="RJ570" s="106"/>
      <c r="RK570" s="106"/>
      <c r="RL570" s="106"/>
    </row>
    <row r="571" spans="48:480" x14ac:dyDescent="0.3">
      <c r="AV571" s="103"/>
      <c r="CJ571" s="103"/>
      <c r="FP571" s="103"/>
      <c r="LL571" s="103"/>
      <c r="NM571" s="103"/>
      <c r="QT571" s="106"/>
      <c r="QU571" s="106"/>
      <c r="QV571" s="106"/>
      <c r="QW571" s="106"/>
      <c r="QX571" s="106"/>
      <c r="QY571" s="106"/>
      <c r="QZ571" s="106"/>
      <c r="RA571" s="106"/>
      <c r="RB571" s="106"/>
      <c r="RC571" s="106"/>
      <c r="RD571" s="106"/>
      <c r="RE571" s="106"/>
      <c r="RF571" s="106"/>
      <c r="RG571" s="106"/>
      <c r="RH571" s="106"/>
      <c r="RI571" s="106"/>
      <c r="RJ571" s="106"/>
      <c r="RK571" s="106"/>
      <c r="RL571" s="106"/>
    </row>
    <row r="572" spans="48:480" x14ac:dyDescent="0.3">
      <c r="AV572" s="103"/>
      <c r="CJ572" s="103"/>
      <c r="FP572" s="103"/>
      <c r="LL572" s="103"/>
      <c r="NM572" s="103"/>
      <c r="QT572" s="106"/>
      <c r="QU572" s="106"/>
      <c r="QV572" s="106"/>
      <c r="QW572" s="106"/>
      <c r="QX572" s="106"/>
      <c r="QY572" s="106"/>
      <c r="QZ572" s="106"/>
      <c r="RA572" s="106"/>
      <c r="RB572" s="106"/>
      <c r="RC572" s="106"/>
      <c r="RD572" s="106"/>
      <c r="RE572" s="106"/>
      <c r="RF572" s="106"/>
      <c r="RG572" s="106"/>
      <c r="RH572" s="106"/>
      <c r="RI572" s="106"/>
      <c r="RJ572" s="106"/>
      <c r="RK572" s="106"/>
      <c r="RL572" s="106"/>
    </row>
    <row r="573" spans="48:480" x14ac:dyDescent="0.3">
      <c r="AV573" s="103"/>
      <c r="CJ573" s="103"/>
      <c r="FP573" s="103"/>
      <c r="LL573" s="103"/>
      <c r="NM573" s="103"/>
      <c r="QT573" s="106"/>
      <c r="QU573" s="106"/>
      <c r="QV573" s="106"/>
      <c r="QW573" s="106"/>
      <c r="QX573" s="106"/>
      <c r="QY573" s="106"/>
      <c r="QZ573" s="106"/>
      <c r="RA573" s="106"/>
      <c r="RB573" s="106"/>
      <c r="RC573" s="106"/>
      <c r="RD573" s="106"/>
      <c r="RE573" s="106"/>
      <c r="RF573" s="106"/>
      <c r="RG573" s="106"/>
      <c r="RH573" s="106"/>
      <c r="RI573" s="106"/>
      <c r="RJ573" s="106"/>
      <c r="RK573" s="106"/>
      <c r="RL573" s="106"/>
    </row>
    <row r="574" spans="48:480" x14ac:dyDescent="0.3">
      <c r="AV574" s="103"/>
      <c r="CJ574" s="103"/>
      <c r="FP574" s="103"/>
      <c r="LL574" s="103"/>
      <c r="NM574" s="103"/>
      <c r="QT574" s="106"/>
      <c r="QU574" s="106"/>
      <c r="QV574" s="106"/>
      <c r="QW574" s="106"/>
      <c r="QX574" s="106"/>
      <c r="QY574" s="106"/>
      <c r="QZ574" s="106"/>
      <c r="RA574" s="106"/>
      <c r="RB574" s="106"/>
      <c r="RC574" s="106"/>
      <c r="RD574" s="106"/>
      <c r="RE574" s="106"/>
      <c r="RF574" s="106"/>
      <c r="RG574" s="106"/>
      <c r="RH574" s="106"/>
      <c r="RI574" s="106"/>
      <c r="RJ574" s="106"/>
      <c r="RK574" s="106"/>
      <c r="RL574" s="106"/>
    </row>
    <row r="575" spans="48:480" x14ac:dyDescent="0.3">
      <c r="AV575" s="103"/>
      <c r="CJ575" s="103"/>
      <c r="FP575" s="103"/>
      <c r="LL575" s="103"/>
      <c r="NM575" s="103"/>
      <c r="QT575" s="106"/>
      <c r="QU575" s="106"/>
      <c r="QV575" s="106"/>
      <c r="QW575" s="106"/>
      <c r="QX575" s="106"/>
      <c r="QY575" s="106"/>
      <c r="QZ575" s="106"/>
      <c r="RA575" s="106"/>
      <c r="RB575" s="106"/>
      <c r="RC575" s="106"/>
      <c r="RD575" s="106"/>
      <c r="RE575" s="106"/>
      <c r="RF575" s="106"/>
      <c r="RG575" s="106"/>
      <c r="RH575" s="106"/>
      <c r="RI575" s="106"/>
      <c r="RJ575" s="106"/>
      <c r="RK575" s="106"/>
      <c r="RL575" s="106"/>
    </row>
    <row r="576" spans="48:480" x14ac:dyDescent="0.3">
      <c r="AV576" s="103"/>
      <c r="CJ576" s="103"/>
      <c r="FP576" s="103"/>
      <c r="LL576" s="103"/>
      <c r="NM576" s="103"/>
      <c r="QT576" s="106"/>
      <c r="QU576" s="106"/>
      <c r="QV576" s="106"/>
      <c r="QW576" s="106"/>
      <c r="QX576" s="106"/>
      <c r="QY576" s="106"/>
      <c r="QZ576" s="106"/>
      <c r="RA576" s="106"/>
      <c r="RB576" s="106"/>
      <c r="RC576" s="106"/>
      <c r="RD576" s="106"/>
      <c r="RE576" s="106"/>
      <c r="RF576" s="106"/>
      <c r="RG576" s="106"/>
      <c r="RH576" s="106"/>
      <c r="RI576" s="106"/>
      <c r="RJ576" s="106"/>
      <c r="RK576" s="106"/>
      <c r="RL576" s="106"/>
    </row>
    <row r="577" spans="48:480" x14ac:dyDescent="0.3">
      <c r="AV577" s="103"/>
      <c r="CJ577" s="103"/>
      <c r="FP577" s="103"/>
      <c r="LL577" s="103"/>
      <c r="NM577" s="103"/>
      <c r="QT577" s="106"/>
      <c r="QU577" s="106"/>
      <c r="QV577" s="106"/>
      <c r="QW577" s="106"/>
      <c r="QX577" s="106"/>
      <c r="QY577" s="106"/>
      <c r="QZ577" s="106"/>
      <c r="RA577" s="106"/>
      <c r="RB577" s="106"/>
      <c r="RC577" s="106"/>
      <c r="RD577" s="106"/>
      <c r="RE577" s="106"/>
      <c r="RF577" s="106"/>
      <c r="RG577" s="106"/>
      <c r="RH577" s="106"/>
      <c r="RI577" s="106"/>
      <c r="RJ577" s="106"/>
      <c r="RK577" s="106"/>
      <c r="RL577" s="106"/>
    </row>
    <row r="578" spans="48:480" x14ac:dyDescent="0.3">
      <c r="AV578" s="103"/>
      <c r="CJ578" s="103"/>
      <c r="FP578" s="103"/>
      <c r="LL578" s="103"/>
      <c r="NM578" s="103"/>
      <c r="QT578" s="106"/>
      <c r="QU578" s="106"/>
      <c r="QV578" s="106"/>
      <c r="QW578" s="106"/>
      <c r="QX578" s="106"/>
      <c r="QY578" s="106"/>
      <c r="QZ578" s="106"/>
      <c r="RA578" s="106"/>
      <c r="RB578" s="106"/>
      <c r="RC578" s="106"/>
      <c r="RD578" s="106"/>
      <c r="RE578" s="106"/>
      <c r="RF578" s="106"/>
      <c r="RG578" s="106"/>
      <c r="RH578" s="106"/>
      <c r="RI578" s="106"/>
      <c r="RJ578" s="106"/>
      <c r="RK578" s="106"/>
      <c r="RL578" s="106"/>
    </row>
    <row r="579" spans="48:480" x14ac:dyDescent="0.3">
      <c r="CJ579" s="103"/>
      <c r="FP579" s="103"/>
      <c r="LL579" s="103"/>
      <c r="NM579" s="103"/>
      <c r="QT579" s="106"/>
      <c r="QU579" s="106"/>
      <c r="QV579" s="106"/>
      <c r="QW579" s="106"/>
      <c r="QX579" s="106"/>
      <c r="QY579" s="106"/>
      <c r="QZ579" s="106"/>
      <c r="RA579" s="106"/>
      <c r="RB579" s="106"/>
      <c r="RC579" s="106"/>
      <c r="RD579" s="106"/>
      <c r="RE579" s="106"/>
      <c r="RF579" s="106"/>
      <c r="RG579" s="106"/>
      <c r="RH579" s="106"/>
      <c r="RI579" s="106"/>
      <c r="RJ579" s="106"/>
      <c r="RK579" s="106"/>
      <c r="RL579" s="106"/>
    </row>
    <row r="580" spans="48:480" x14ac:dyDescent="0.3">
      <c r="AV580" s="103"/>
      <c r="CJ580" s="103"/>
      <c r="FP580" s="103"/>
      <c r="LL580" s="103"/>
      <c r="NM580" s="103"/>
      <c r="QT580" s="106"/>
      <c r="QU580" s="106"/>
      <c r="QV580" s="106"/>
      <c r="QW580" s="106"/>
      <c r="QX580" s="106"/>
      <c r="QY580" s="106"/>
      <c r="QZ580" s="106"/>
      <c r="RA580" s="106"/>
      <c r="RB580" s="106"/>
      <c r="RC580" s="106"/>
      <c r="RD580" s="106"/>
      <c r="RE580" s="106"/>
      <c r="RF580" s="106"/>
      <c r="RG580" s="106"/>
      <c r="RH580" s="106"/>
      <c r="RI580" s="106"/>
      <c r="RJ580" s="106"/>
      <c r="RK580" s="106"/>
      <c r="RL580" s="106"/>
    </row>
    <row r="581" spans="48:480" x14ac:dyDescent="0.3">
      <c r="AV581" s="103"/>
      <c r="CJ581" s="103"/>
      <c r="FP581" s="103"/>
      <c r="LL581" s="103"/>
      <c r="NM581" s="103"/>
      <c r="QT581" s="106"/>
      <c r="QU581" s="106"/>
      <c r="QV581" s="106"/>
      <c r="QW581" s="106"/>
      <c r="QX581" s="106"/>
      <c r="QY581" s="106"/>
      <c r="QZ581" s="106"/>
      <c r="RA581" s="106"/>
      <c r="RB581" s="106"/>
      <c r="RC581" s="106"/>
      <c r="RD581" s="106"/>
      <c r="RE581" s="106"/>
      <c r="RF581" s="106"/>
      <c r="RG581" s="106"/>
      <c r="RH581" s="106"/>
      <c r="RI581" s="106"/>
      <c r="RJ581" s="106"/>
      <c r="RK581" s="106"/>
      <c r="RL581" s="106"/>
    </row>
    <row r="582" spans="48:480" x14ac:dyDescent="0.3">
      <c r="AV582" s="103"/>
      <c r="CJ582" s="103"/>
      <c r="FP582" s="103"/>
      <c r="LL582" s="103"/>
      <c r="NM582" s="103"/>
      <c r="QT582" s="106"/>
      <c r="QU582" s="106"/>
      <c r="QV582" s="106"/>
      <c r="QW582" s="106"/>
      <c r="QX582" s="106"/>
      <c r="QY582" s="106"/>
      <c r="QZ582" s="106"/>
      <c r="RA582" s="106"/>
      <c r="RB582" s="106"/>
      <c r="RC582" s="106"/>
      <c r="RD582" s="106"/>
      <c r="RE582" s="106"/>
      <c r="RF582" s="106"/>
      <c r="RG582" s="106"/>
      <c r="RH582" s="106"/>
      <c r="RI582" s="106"/>
      <c r="RJ582" s="106"/>
      <c r="RK582" s="106"/>
      <c r="RL582" s="106"/>
    </row>
    <row r="583" spans="48:480" x14ac:dyDescent="0.3">
      <c r="AV583" s="103"/>
      <c r="CJ583" s="103"/>
      <c r="FP583" s="103"/>
      <c r="LL583" s="103"/>
      <c r="NM583" s="103"/>
      <c r="QT583" s="106"/>
      <c r="QU583" s="106"/>
      <c r="QV583" s="106"/>
      <c r="QW583" s="106"/>
      <c r="QX583" s="106"/>
      <c r="QY583" s="106"/>
      <c r="QZ583" s="106"/>
      <c r="RA583" s="106"/>
      <c r="RB583" s="106"/>
      <c r="RC583" s="106"/>
      <c r="RD583" s="106"/>
      <c r="RE583" s="106"/>
      <c r="RF583" s="106"/>
      <c r="RG583" s="106"/>
      <c r="RH583" s="106"/>
      <c r="RI583" s="106"/>
      <c r="RJ583" s="106"/>
      <c r="RK583" s="106"/>
      <c r="RL583" s="106"/>
    </row>
    <row r="584" spans="48:480" x14ac:dyDescent="0.3">
      <c r="AV584" s="103"/>
      <c r="CJ584" s="103"/>
      <c r="FP584" s="103"/>
      <c r="LL584" s="103"/>
      <c r="NM584" s="103"/>
      <c r="QT584" s="106"/>
      <c r="QU584" s="106"/>
      <c r="QV584" s="106"/>
      <c r="QW584" s="106"/>
      <c r="QX584" s="106"/>
      <c r="QY584" s="106"/>
      <c r="QZ584" s="106"/>
      <c r="RA584" s="106"/>
      <c r="RB584" s="106"/>
      <c r="RC584" s="106"/>
      <c r="RD584" s="106"/>
      <c r="RE584" s="106"/>
      <c r="RF584" s="106"/>
      <c r="RG584" s="106"/>
      <c r="RH584" s="106"/>
      <c r="RI584" s="106"/>
      <c r="RJ584" s="106"/>
      <c r="RK584" s="106"/>
      <c r="RL584" s="106"/>
    </row>
    <row r="585" spans="48:480" x14ac:dyDescent="0.3">
      <c r="AV585" s="103"/>
      <c r="CJ585" s="103"/>
      <c r="FP585" s="103"/>
      <c r="LL585" s="103"/>
      <c r="NM585" s="103"/>
      <c r="QT585" s="106"/>
      <c r="QU585" s="106"/>
      <c r="QV585" s="106"/>
      <c r="QW585" s="106"/>
      <c r="QX585" s="106"/>
      <c r="QY585" s="106"/>
      <c r="QZ585" s="106"/>
      <c r="RA585" s="106"/>
      <c r="RB585" s="106"/>
      <c r="RC585" s="106"/>
      <c r="RD585" s="106"/>
      <c r="RE585" s="106"/>
      <c r="RF585" s="106"/>
      <c r="RG585" s="106"/>
      <c r="RH585" s="106"/>
      <c r="RI585" s="106"/>
      <c r="RJ585" s="106"/>
      <c r="RK585" s="106"/>
      <c r="RL585" s="106"/>
    </row>
    <row r="586" spans="48:480" x14ac:dyDescent="0.3">
      <c r="AV586" s="103"/>
      <c r="CJ586" s="103"/>
      <c r="FP586" s="103"/>
      <c r="LL586" s="103"/>
      <c r="NM586" s="103"/>
      <c r="QT586" s="106"/>
      <c r="QU586" s="106"/>
      <c r="QV586" s="106"/>
      <c r="QW586" s="106"/>
      <c r="QX586" s="106"/>
      <c r="QY586" s="106"/>
      <c r="QZ586" s="106"/>
      <c r="RA586" s="106"/>
      <c r="RB586" s="106"/>
      <c r="RC586" s="106"/>
      <c r="RD586" s="106"/>
      <c r="RE586" s="106"/>
      <c r="RF586" s="106"/>
      <c r="RG586" s="106"/>
      <c r="RH586" s="106"/>
      <c r="RI586" s="106"/>
      <c r="RJ586" s="106"/>
      <c r="RK586" s="106"/>
      <c r="RL586" s="106"/>
    </row>
    <row r="587" spans="48:480" x14ac:dyDescent="0.3">
      <c r="AV587" s="103"/>
      <c r="CJ587" s="103"/>
      <c r="FP587" s="103"/>
      <c r="LL587" s="103"/>
      <c r="NM587" s="103"/>
      <c r="QT587" s="106"/>
      <c r="QU587" s="106"/>
      <c r="QV587" s="106"/>
      <c r="QW587" s="106"/>
      <c r="QX587" s="106"/>
      <c r="QY587" s="106"/>
      <c r="QZ587" s="106"/>
      <c r="RA587" s="106"/>
      <c r="RB587" s="106"/>
      <c r="RC587" s="106"/>
      <c r="RD587" s="106"/>
      <c r="RE587" s="106"/>
      <c r="RF587" s="106"/>
      <c r="RG587" s="106"/>
      <c r="RH587" s="106"/>
      <c r="RI587" s="106"/>
      <c r="RJ587" s="106"/>
      <c r="RK587" s="106"/>
      <c r="RL587" s="106"/>
    </row>
    <row r="588" spans="48:480" x14ac:dyDescent="0.3">
      <c r="AV588" s="103"/>
      <c r="CJ588" s="103"/>
      <c r="FP588" s="103"/>
      <c r="LL588" s="103"/>
      <c r="NM588" s="103"/>
      <c r="QT588" s="106"/>
      <c r="QU588" s="106"/>
      <c r="QV588" s="106"/>
      <c r="QW588" s="106"/>
      <c r="QX588" s="106"/>
      <c r="QY588" s="106"/>
      <c r="QZ588" s="106"/>
      <c r="RA588" s="106"/>
      <c r="RB588" s="106"/>
      <c r="RC588" s="106"/>
      <c r="RD588" s="106"/>
      <c r="RE588" s="106"/>
      <c r="RF588" s="106"/>
      <c r="RG588" s="106"/>
      <c r="RH588" s="106"/>
      <c r="RI588" s="106"/>
      <c r="RJ588" s="106"/>
      <c r="RK588" s="106"/>
      <c r="RL588" s="106"/>
    </row>
    <row r="589" spans="48:480" x14ac:dyDescent="0.3">
      <c r="AV589" s="103"/>
      <c r="CJ589" s="103"/>
      <c r="FP589" s="103"/>
      <c r="LL589" s="103"/>
      <c r="NM589" s="103"/>
      <c r="QT589" s="106"/>
      <c r="QU589" s="106"/>
      <c r="QV589" s="106"/>
      <c r="QW589" s="106"/>
      <c r="QX589" s="106"/>
      <c r="QY589" s="106"/>
      <c r="QZ589" s="106"/>
      <c r="RA589" s="106"/>
      <c r="RB589" s="106"/>
      <c r="RC589" s="106"/>
      <c r="RD589" s="106"/>
      <c r="RE589" s="106"/>
      <c r="RF589" s="106"/>
      <c r="RG589" s="106"/>
      <c r="RH589" s="106"/>
      <c r="RI589" s="106"/>
      <c r="RJ589" s="106"/>
      <c r="RK589" s="106"/>
      <c r="RL589" s="106"/>
    </row>
    <row r="590" spans="48:480" x14ac:dyDescent="0.3">
      <c r="AV590" s="103"/>
      <c r="CJ590" s="103"/>
      <c r="FP590" s="103"/>
      <c r="LL590" s="103"/>
      <c r="NM590" s="103"/>
      <c r="QT590" s="106"/>
      <c r="QU590" s="106"/>
      <c r="QV590" s="106"/>
      <c r="QW590" s="106"/>
      <c r="QX590" s="106"/>
      <c r="QY590" s="106"/>
      <c r="QZ590" s="106"/>
      <c r="RA590" s="106"/>
      <c r="RB590" s="106"/>
      <c r="RC590" s="106"/>
      <c r="RD590" s="106"/>
      <c r="RE590" s="106"/>
      <c r="RF590" s="106"/>
      <c r="RG590" s="106"/>
      <c r="RH590" s="106"/>
      <c r="RI590" s="106"/>
      <c r="RJ590" s="106"/>
      <c r="RK590" s="106"/>
      <c r="RL590" s="106"/>
    </row>
    <row r="591" spans="48:480" x14ac:dyDescent="0.3">
      <c r="AV591" s="103"/>
      <c r="CJ591" s="103"/>
      <c r="FP591" s="103"/>
      <c r="LL591" s="103"/>
      <c r="NM591" s="103"/>
      <c r="QT591" s="106"/>
      <c r="QU591" s="106"/>
      <c r="QV591" s="106"/>
      <c r="QW591" s="106"/>
      <c r="QX591" s="106"/>
      <c r="QY591" s="106"/>
      <c r="QZ591" s="106"/>
      <c r="RA591" s="106"/>
      <c r="RB591" s="106"/>
      <c r="RC591" s="106"/>
      <c r="RD591" s="106"/>
      <c r="RE591" s="106"/>
      <c r="RF591" s="106"/>
      <c r="RG591" s="106"/>
      <c r="RH591" s="106"/>
      <c r="RI591" s="106"/>
      <c r="RJ591" s="106"/>
      <c r="RK591" s="106"/>
      <c r="RL591" s="106"/>
    </row>
    <row r="592" spans="48:480" x14ac:dyDescent="0.3">
      <c r="AV592" s="103"/>
      <c r="CJ592" s="103"/>
      <c r="FP592" s="103"/>
      <c r="LL592" s="103"/>
      <c r="NM592" s="103"/>
      <c r="QT592" s="106"/>
      <c r="QU592" s="106"/>
      <c r="QV592" s="106"/>
      <c r="QW592" s="106"/>
      <c r="QX592" s="106"/>
      <c r="QY592" s="106"/>
      <c r="QZ592" s="106"/>
      <c r="RA592" s="106"/>
      <c r="RB592" s="106"/>
      <c r="RC592" s="106"/>
      <c r="RD592" s="106"/>
      <c r="RE592" s="106"/>
      <c r="RF592" s="106"/>
      <c r="RG592" s="106"/>
      <c r="RH592" s="106"/>
      <c r="RI592" s="106"/>
      <c r="RJ592" s="106"/>
      <c r="RK592" s="106"/>
      <c r="RL592" s="106"/>
    </row>
    <row r="593" spans="48:480" x14ac:dyDescent="0.3">
      <c r="AV593" s="103"/>
      <c r="CJ593" s="103"/>
      <c r="FP593" s="103"/>
      <c r="LL593" s="103"/>
      <c r="NM593" s="103"/>
      <c r="QT593" s="106"/>
      <c r="QU593" s="106"/>
      <c r="QV593" s="106"/>
      <c r="QW593" s="106"/>
      <c r="QX593" s="106"/>
      <c r="QY593" s="106"/>
      <c r="QZ593" s="106"/>
      <c r="RA593" s="106"/>
      <c r="RB593" s="106"/>
      <c r="RC593" s="106"/>
      <c r="RD593" s="106"/>
      <c r="RE593" s="106"/>
      <c r="RF593" s="106"/>
      <c r="RG593" s="106"/>
      <c r="RH593" s="106"/>
      <c r="RI593" s="106"/>
      <c r="RJ593" s="106"/>
      <c r="RK593" s="106"/>
      <c r="RL593" s="106"/>
    </row>
    <row r="594" spans="48:480" x14ac:dyDescent="0.3">
      <c r="AV594" s="103"/>
      <c r="CJ594" s="103"/>
      <c r="FP594" s="103"/>
      <c r="LL594" s="103"/>
      <c r="NM594" s="103"/>
      <c r="QT594" s="106"/>
      <c r="QU594" s="106"/>
      <c r="QV594" s="106"/>
      <c r="QW594" s="106"/>
      <c r="QX594" s="106"/>
      <c r="QY594" s="106"/>
      <c r="QZ594" s="106"/>
      <c r="RA594" s="106"/>
      <c r="RB594" s="106"/>
      <c r="RC594" s="106"/>
      <c r="RD594" s="106"/>
      <c r="RE594" s="106"/>
      <c r="RF594" s="106"/>
      <c r="RG594" s="106"/>
      <c r="RH594" s="106"/>
      <c r="RI594" s="106"/>
      <c r="RJ594" s="106"/>
      <c r="RK594" s="106"/>
      <c r="RL594" s="106"/>
    </row>
    <row r="595" spans="48:480" x14ac:dyDescent="0.3">
      <c r="AV595" s="103"/>
      <c r="CJ595" s="103"/>
      <c r="FP595" s="103"/>
      <c r="LL595" s="103"/>
      <c r="NM595" s="103"/>
      <c r="QT595" s="106"/>
      <c r="QU595" s="106"/>
      <c r="QV595" s="106"/>
      <c r="QW595" s="106"/>
      <c r="QX595" s="106"/>
      <c r="QY595" s="106"/>
      <c r="QZ595" s="106"/>
      <c r="RA595" s="106"/>
      <c r="RB595" s="106"/>
      <c r="RC595" s="106"/>
      <c r="RD595" s="106"/>
      <c r="RE595" s="106"/>
      <c r="RF595" s="106"/>
      <c r="RG595" s="106"/>
      <c r="RH595" s="106"/>
      <c r="RI595" s="106"/>
      <c r="RJ595" s="106"/>
      <c r="RK595" s="106"/>
      <c r="RL595" s="106"/>
    </row>
    <row r="596" spans="48:480" x14ac:dyDescent="0.3">
      <c r="AV596" s="103"/>
      <c r="CJ596" s="103"/>
      <c r="FP596" s="103"/>
      <c r="LL596" s="103"/>
      <c r="NM596" s="103"/>
      <c r="QT596" s="106"/>
      <c r="QU596" s="106"/>
      <c r="QV596" s="106"/>
      <c r="QW596" s="106"/>
      <c r="QX596" s="106"/>
      <c r="QY596" s="106"/>
      <c r="QZ596" s="106"/>
      <c r="RA596" s="106"/>
      <c r="RB596" s="106"/>
      <c r="RC596" s="106"/>
      <c r="RD596" s="106"/>
      <c r="RE596" s="106"/>
      <c r="RF596" s="106"/>
      <c r="RG596" s="106"/>
      <c r="RH596" s="106"/>
      <c r="RI596" s="106"/>
      <c r="RJ596" s="106"/>
      <c r="RK596" s="106"/>
      <c r="RL596" s="106"/>
    </row>
    <row r="597" spans="48:480" x14ac:dyDescent="0.3">
      <c r="AV597" s="103"/>
      <c r="CJ597" s="103"/>
      <c r="FP597" s="103"/>
      <c r="LL597" s="103"/>
      <c r="NM597" s="103"/>
      <c r="QT597" s="106"/>
      <c r="QU597" s="106"/>
      <c r="QV597" s="106"/>
      <c r="QW597" s="106"/>
      <c r="QX597" s="106"/>
      <c r="QY597" s="106"/>
      <c r="QZ597" s="106"/>
      <c r="RA597" s="106"/>
      <c r="RB597" s="106"/>
      <c r="RC597" s="106"/>
      <c r="RD597" s="106"/>
      <c r="RE597" s="106"/>
      <c r="RF597" s="106"/>
      <c r="RG597" s="106"/>
      <c r="RH597" s="106"/>
      <c r="RI597" s="106"/>
      <c r="RJ597" s="106"/>
      <c r="RK597" s="106"/>
      <c r="RL597" s="106"/>
    </row>
    <row r="598" spans="48:480" x14ac:dyDescent="0.3">
      <c r="AV598" s="103"/>
      <c r="CJ598" s="103"/>
      <c r="FP598" s="103"/>
      <c r="LL598" s="103"/>
      <c r="NM598" s="103"/>
      <c r="QT598" s="106"/>
      <c r="QU598" s="106"/>
      <c r="QV598" s="106"/>
      <c r="QW598" s="106"/>
      <c r="QX598" s="106"/>
      <c r="QY598" s="106"/>
      <c r="QZ598" s="106"/>
      <c r="RA598" s="106"/>
      <c r="RB598" s="106"/>
      <c r="RC598" s="106"/>
      <c r="RD598" s="106"/>
      <c r="RE598" s="106"/>
      <c r="RF598" s="106"/>
      <c r="RG598" s="106"/>
      <c r="RH598" s="106"/>
      <c r="RI598" s="106"/>
      <c r="RJ598" s="106"/>
      <c r="RK598" s="106"/>
      <c r="RL598" s="106"/>
    </row>
    <row r="599" spans="48:480" x14ac:dyDescent="0.3">
      <c r="AV599" s="103"/>
      <c r="CJ599" s="103"/>
      <c r="FP599" s="103"/>
      <c r="LL599" s="103"/>
      <c r="NM599" s="103"/>
      <c r="QT599" s="106"/>
      <c r="QU599" s="106"/>
      <c r="QV599" s="106"/>
      <c r="QW599" s="106"/>
      <c r="QX599" s="106"/>
      <c r="QY599" s="106"/>
      <c r="QZ599" s="106"/>
      <c r="RA599" s="106"/>
      <c r="RB599" s="106"/>
      <c r="RC599" s="106"/>
      <c r="RD599" s="106"/>
      <c r="RE599" s="106"/>
      <c r="RF599" s="106"/>
      <c r="RG599" s="106"/>
      <c r="RH599" s="106"/>
      <c r="RI599" s="106"/>
      <c r="RJ599" s="106"/>
      <c r="RK599" s="106"/>
      <c r="RL599" s="106"/>
    </row>
    <row r="600" spans="48:480" x14ac:dyDescent="0.3">
      <c r="AV600" s="103"/>
      <c r="CJ600" s="103"/>
      <c r="FP600" s="103"/>
      <c r="LL600" s="103"/>
      <c r="NM600" s="103"/>
      <c r="QT600" s="106"/>
      <c r="QU600" s="106"/>
      <c r="QV600" s="106"/>
      <c r="QW600" s="106"/>
      <c r="QX600" s="106"/>
      <c r="QY600" s="106"/>
      <c r="QZ600" s="106"/>
      <c r="RA600" s="106"/>
      <c r="RB600" s="106"/>
      <c r="RC600" s="106"/>
      <c r="RD600" s="106"/>
      <c r="RE600" s="106"/>
      <c r="RF600" s="106"/>
      <c r="RG600" s="106"/>
      <c r="RH600" s="106"/>
      <c r="RI600" s="106"/>
      <c r="RJ600" s="106"/>
      <c r="RK600" s="106"/>
      <c r="RL600" s="106"/>
    </row>
    <row r="601" spans="48:480" x14ac:dyDescent="0.3">
      <c r="CJ601" s="103"/>
      <c r="FP601" s="103"/>
      <c r="LL601" s="103"/>
      <c r="NM601" s="103"/>
      <c r="QT601" s="106"/>
      <c r="QU601" s="106"/>
      <c r="QV601" s="106"/>
      <c r="QW601" s="106"/>
      <c r="QX601" s="106"/>
      <c r="QY601" s="106"/>
      <c r="QZ601" s="106"/>
      <c r="RA601" s="106"/>
      <c r="RB601" s="106"/>
      <c r="RC601" s="106"/>
      <c r="RD601" s="106"/>
      <c r="RE601" s="106"/>
      <c r="RF601" s="106"/>
      <c r="RG601" s="106"/>
      <c r="RH601" s="106"/>
      <c r="RI601" s="106"/>
      <c r="RJ601" s="106"/>
      <c r="RK601" s="106"/>
      <c r="RL601" s="106"/>
    </row>
    <row r="602" spans="48:480" x14ac:dyDescent="0.3">
      <c r="CJ602" s="103"/>
      <c r="FP602" s="103"/>
      <c r="LL602" s="103"/>
      <c r="NM602" s="103"/>
      <c r="QT602" s="106"/>
      <c r="QU602" s="106"/>
      <c r="QV602" s="106"/>
      <c r="QW602" s="106"/>
      <c r="QX602" s="106"/>
      <c r="QY602" s="106"/>
      <c r="QZ602" s="106"/>
      <c r="RA602" s="106"/>
      <c r="RB602" s="106"/>
      <c r="RC602" s="106"/>
      <c r="RD602" s="106"/>
      <c r="RE602" s="106"/>
      <c r="RF602" s="106"/>
      <c r="RG602" s="106"/>
      <c r="RH602" s="106"/>
      <c r="RI602" s="106"/>
      <c r="RJ602" s="106"/>
      <c r="RK602" s="106"/>
      <c r="RL602" s="106"/>
    </row>
    <row r="603" spans="48:480" x14ac:dyDescent="0.3">
      <c r="CJ603" s="103"/>
      <c r="FP603" s="103"/>
      <c r="LL603" s="103"/>
      <c r="NM603" s="103"/>
      <c r="QT603" s="106"/>
      <c r="QU603" s="106"/>
      <c r="QV603" s="106"/>
      <c r="QW603" s="106"/>
      <c r="QX603" s="106"/>
      <c r="QY603" s="106"/>
      <c r="QZ603" s="106"/>
      <c r="RA603" s="106"/>
      <c r="RB603" s="106"/>
      <c r="RC603" s="106"/>
      <c r="RD603" s="106"/>
      <c r="RE603" s="106"/>
      <c r="RF603" s="106"/>
      <c r="RG603" s="106"/>
      <c r="RH603" s="106"/>
      <c r="RI603" s="106"/>
      <c r="RJ603" s="106"/>
      <c r="RK603" s="106"/>
      <c r="RL603" s="106"/>
    </row>
    <row r="604" spans="48:480" x14ac:dyDescent="0.3">
      <c r="AV604" s="103"/>
      <c r="CJ604" s="103"/>
      <c r="FP604" s="103"/>
      <c r="LL604" s="103"/>
      <c r="NM604" s="103"/>
      <c r="QT604" s="106"/>
      <c r="QU604" s="106"/>
      <c r="QV604" s="106"/>
      <c r="QW604" s="106"/>
      <c r="QX604" s="106"/>
      <c r="QY604" s="106"/>
      <c r="QZ604" s="106"/>
      <c r="RA604" s="106"/>
      <c r="RB604" s="106"/>
      <c r="RC604" s="106"/>
      <c r="RD604" s="106"/>
      <c r="RE604" s="106"/>
      <c r="RF604" s="106"/>
      <c r="RG604" s="106"/>
      <c r="RH604" s="106"/>
      <c r="RI604" s="106"/>
      <c r="RJ604" s="106"/>
      <c r="RK604" s="106"/>
      <c r="RL604" s="106"/>
    </row>
    <row r="605" spans="48:480" x14ac:dyDescent="0.3">
      <c r="AV605" s="103"/>
      <c r="CJ605" s="103"/>
      <c r="FP605" s="103"/>
      <c r="LL605" s="103"/>
      <c r="NM605" s="103"/>
      <c r="QT605" s="106"/>
      <c r="QU605" s="106"/>
      <c r="QV605" s="106"/>
      <c r="QW605" s="106"/>
      <c r="QX605" s="106"/>
      <c r="QY605" s="106"/>
      <c r="QZ605" s="106"/>
      <c r="RA605" s="106"/>
      <c r="RB605" s="106"/>
      <c r="RC605" s="106"/>
      <c r="RD605" s="106"/>
      <c r="RE605" s="106"/>
      <c r="RF605" s="106"/>
      <c r="RG605" s="106"/>
      <c r="RH605" s="106"/>
      <c r="RI605" s="106"/>
      <c r="RJ605" s="106"/>
      <c r="RK605" s="106"/>
      <c r="RL605" s="106"/>
    </row>
    <row r="606" spans="48:480" x14ac:dyDescent="0.3">
      <c r="AV606" s="103"/>
      <c r="CJ606" s="103"/>
      <c r="FP606" s="103"/>
      <c r="LL606" s="103"/>
      <c r="NM606" s="103"/>
      <c r="QT606" s="106"/>
      <c r="QU606" s="106"/>
      <c r="QV606" s="106"/>
      <c r="QW606" s="106"/>
      <c r="QX606" s="106"/>
      <c r="QY606" s="106"/>
      <c r="QZ606" s="106"/>
      <c r="RA606" s="106"/>
      <c r="RB606" s="106"/>
      <c r="RC606" s="106"/>
      <c r="RD606" s="106"/>
      <c r="RE606" s="106"/>
      <c r="RF606" s="106"/>
      <c r="RG606" s="106"/>
      <c r="RH606" s="106"/>
      <c r="RI606" s="106"/>
      <c r="RJ606" s="106"/>
      <c r="RK606" s="106"/>
      <c r="RL606" s="106"/>
    </row>
    <row r="607" spans="48:480" x14ac:dyDescent="0.3">
      <c r="AV607" s="103"/>
      <c r="CJ607" s="103"/>
      <c r="FP607" s="103"/>
      <c r="LL607" s="103"/>
      <c r="NM607" s="103"/>
      <c r="QT607" s="106"/>
      <c r="QU607" s="106"/>
      <c r="QV607" s="106"/>
      <c r="QW607" s="106"/>
      <c r="QX607" s="106"/>
      <c r="QY607" s="106"/>
      <c r="QZ607" s="106"/>
      <c r="RA607" s="106"/>
      <c r="RB607" s="106"/>
      <c r="RC607" s="106"/>
      <c r="RD607" s="106"/>
      <c r="RE607" s="106"/>
      <c r="RF607" s="106"/>
      <c r="RG607" s="106"/>
      <c r="RH607" s="106"/>
      <c r="RI607" s="106"/>
      <c r="RJ607" s="106"/>
      <c r="RK607" s="106"/>
      <c r="RL607" s="106"/>
    </row>
    <row r="608" spans="48:480" x14ac:dyDescent="0.3">
      <c r="AV608" s="103"/>
      <c r="CJ608" s="103"/>
      <c r="FP608" s="103"/>
      <c r="LL608" s="103"/>
      <c r="NM608" s="103"/>
      <c r="QT608" s="106"/>
      <c r="QU608" s="106"/>
      <c r="QV608" s="106"/>
      <c r="QW608" s="106"/>
      <c r="QX608" s="106"/>
      <c r="QY608" s="106"/>
      <c r="QZ608" s="106"/>
      <c r="RA608" s="106"/>
      <c r="RB608" s="106"/>
      <c r="RC608" s="106"/>
      <c r="RD608" s="106"/>
      <c r="RE608" s="106"/>
      <c r="RF608" s="106"/>
      <c r="RG608" s="106"/>
      <c r="RH608" s="106"/>
      <c r="RI608" s="106"/>
      <c r="RJ608" s="106"/>
      <c r="RK608" s="106"/>
      <c r="RL608" s="106"/>
    </row>
    <row r="609" spans="48:480" x14ac:dyDescent="0.3">
      <c r="AV609" s="103"/>
      <c r="CJ609" s="103"/>
      <c r="FP609" s="103"/>
      <c r="LL609" s="103"/>
      <c r="NM609" s="103"/>
      <c r="QT609" s="106"/>
      <c r="QU609" s="106"/>
      <c r="QV609" s="106"/>
      <c r="QW609" s="106"/>
      <c r="QX609" s="106"/>
      <c r="QY609" s="106"/>
      <c r="QZ609" s="106"/>
      <c r="RA609" s="106"/>
      <c r="RB609" s="106"/>
      <c r="RC609" s="106"/>
      <c r="RD609" s="106"/>
      <c r="RE609" s="106"/>
      <c r="RF609" s="106"/>
      <c r="RG609" s="106"/>
      <c r="RH609" s="106"/>
      <c r="RI609" s="106"/>
      <c r="RJ609" s="106"/>
      <c r="RK609" s="106"/>
      <c r="RL609" s="106"/>
    </row>
    <row r="610" spans="48:480" x14ac:dyDescent="0.3">
      <c r="AV610" s="103"/>
      <c r="CJ610" s="103"/>
      <c r="FP610" s="103"/>
      <c r="LL610" s="103"/>
      <c r="NM610" s="103"/>
      <c r="QT610" s="106"/>
      <c r="QU610" s="106"/>
      <c r="QV610" s="106"/>
      <c r="QW610" s="106"/>
      <c r="QX610" s="106"/>
      <c r="QY610" s="106"/>
      <c r="QZ610" s="106"/>
      <c r="RA610" s="106"/>
      <c r="RB610" s="106"/>
      <c r="RC610" s="106"/>
      <c r="RD610" s="106"/>
      <c r="RE610" s="106"/>
      <c r="RF610" s="106"/>
      <c r="RG610" s="106"/>
      <c r="RH610" s="106"/>
      <c r="RI610" s="106"/>
      <c r="RJ610" s="106"/>
      <c r="RK610" s="106"/>
      <c r="RL610" s="106"/>
    </row>
    <row r="611" spans="48:480" x14ac:dyDescent="0.3">
      <c r="AV611" s="103"/>
      <c r="CJ611" s="103"/>
      <c r="FP611" s="103"/>
      <c r="LL611" s="103"/>
      <c r="NM611" s="103"/>
      <c r="QT611" s="106"/>
      <c r="QU611" s="106"/>
      <c r="QV611" s="106"/>
      <c r="QW611" s="106"/>
      <c r="QX611" s="106"/>
      <c r="QY611" s="106"/>
      <c r="QZ611" s="106"/>
      <c r="RA611" s="106"/>
      <c r="RB611" s="106"/>
      <c r="RC611" s="106"/>
      <c r="RD611" s="106"/>
      <c r="RE611" s="106"/>
      <c r="RF611" s="106"/>
      <c r="RG611" s="106"/>
      <c r="RH611" s="106"/>
      <c r="RI611" s="106"/>
      <c r="RJ611" s="106"/>
      <c r="RK611" s="106"/>
      <c r="RL611" s="106"/>
    </row>
    <row r="612" spans="48:480" x14ac:dyDescent="0.3">
      <c r="AV612" s="103"/>
      <c r="CJ612" s="103"/>
      <c r="FP612" s="103"/>
      <c r="LL612" s="103"/>
      <c r="NM612" s="103"/>
      <c r="QT612" s="106"/>
      <c r="QU612" s="106"/>
      <c r="QV612" s="106"/>
      <c r="QW612" s="106"/>
      <c r="QX612" s="106"/>
      <c r="QY612" s="106"/>
      <c r="QZ612" s="106"/>
      <c r="RA612" s="106"/>
      <c r="RB612" s="106"/>
      <c r="RC612" s="106"/>
      <c r="RD612" s="106"/>
      <c r="RE612" s="106"/>
      <c r="RF612" s="106"/>
      <c r="RG612" s="106"/>
      <c r="RH612" s="106"/>
      <c r="RI612" s="106"/>
      <c r="RJ612" s="106"/>
      <c r="RK612" s="106"/>
      <c r="RL612" s="106"/>
    </row>
    <row r="613" spans="48:480" x14ac:dyDescent="0.3">
      <c r="AV613" s="103"/>
      <c r="CJ613" s="103"/>
      <c r="FP613" s="103"/>
      <c r="LL613" s="103"/>
      <c r="NM613" s="103"/>
      <c r="QT613" s="106"/>
      <c r="QU613" s="106"/>
      <c r="QV613" s="106"/>
      <c r="QW613" s="106"/>
      <c r="QX613" s="106"/>
      <c r="QY613" s="106"/>
      <c r="QZ613" s="106"/>
      <c r="RA613" s="106"/>
      <c r="RB613" s="106"/>
      <c r="RC613" s="106"/>
      <c r="RD613" s="106"/>
      <c r="RE613" s="106"/>
      <c r="RF613" s="106"/>
      <c r="RG613" s="106"/>
      <c r="RH613" s="106"/>
      <c r="RI613" s="106"/>
      <c r="RJ613" s="106"/>
      <c r="RK613" s="106"/>
      <c r="RL613" s="106"/>
    </row>
    <row r="614" spans="48:480" x14ac:dyDescent="0.3">
      <c r="CJ614" s="103"/>
      <c r="FP614" s="103"/>
      <c r="LL614" s="103"/>
      <c r="NM614" s="103"/>
      <c r="QT614" s="106"/>
      <c r="QU614" s="106"/>
      <c r="QV614" s="106"/>
      <c r="QW614" s="106"/>
      <c r="QX614" s="106"/>
      <c r="QY614" s="106"/>
      <c r="QZ614" s="106"/>
      <c r="RA614" s="106"/>
      <c r="RB614" s="106"/>
      <c r="RC614" s="106"/>
      <c r="RD614" s="106"/>
      <c r="RE614" s="106"/>
      <c r="RF614" s="106"/>
      <c r="RG614" s="106"/>
      <c r="RH614" s="106"/>
      <c r="RI614" s="106"/>
      <c r="RJ614" s="106"/>
      <c r="RK614" s="106"/>
      <c r="RL614" s="106"/>
    </row>
    <row r="615" spans="48:480" x14ac:dyDescent="0.3">
      <c r="CJ615" s="103"/>
      <c r="FP615" s="103"/>
      <c r="LL615" s="103"/>
      <c r="NM615" s="103"/>
      <c r="QT615" s="106"/>
      <c r="QU615" s="106"/>
      <c r="QV615" s="106"/>
      <c r="QW615" s="106"/>
      <c r="QX615" s="106"/>
      <c r="QY615" s="106"/>
      <c r="QZ615" s="106"/>
      <c r="RA615" s="106"/>
      <c r="RB615" s="106"/>
      <c r="RC615" s="106"/>
      <c r="RD615" s="106"/>
      <c r="RE615" s="106"/>
      <c r="RF615" s="106"/>
      <c r="RG615" s="106"/>
      <c r="RH615" s="106"/>
      <c r="RI615" s="106"/>
      <c r="RJ615" s="106"/>
      <c r="RK615" s="106"/>
      <c r="RL615" s="106"/>
    </row>
    <row r="616" spans="48:480" x14ac:dyDescent="0.3">
      <c r="CJ616" s="103"/>
      <c r="FP616" s="103"/>
      <c r="LL616" s="103"/>
      <c r="NM616" s="103"/>
      <c r="QT616" s="106"/>
      <c r="QU616" s="106"/>
      <c r="QV616" s="106"/>
      <c r="QW616" s="106"/>
      <c r="QX616" s="106"/>
      <c r="QY616" s="106"/>
      <c r="QZ616" s="106"/>
      <c r="RA616" s="106"/>
      <c r="RB616" s="106"/>
      <c r="RC616" s="106"/>
      <c r="RD616" s="106"/>
      <c r="RE616" s="106"/>
      <c r="RF616" s="106"/>
      <c r="RG616" s="106"/>
      <c r="RH616" s="106"/>
      <c r="RI616" s="106"/>
      <c r="RJ616" s="106"/>
      <c r="RK616" s="106"/>
      <c r="RL616" s="106"/>
    </row>
    <row r="617" spans="48:480" x14ac:dyDescent="0.3">
      <c r="AV617" s="103"/>
      <c r="CJ617" s="103"/>
      <c r="FP617" s="103"/>
      <c r="LL617" s="103"/>
      <c r="NM617" s="103"/>
      <c r="QT617" s="106"/>
      <c r="QU617" s="106"/>
      <c r="QV617" s="106"/>
      <c r="QW617" s="106"/>
      <c r="QX617" s="106"/>
      <c r="QY617" s="106"/>
      <c r="QZ617" s="106"/>
      <c r="RA617" s="106"/>
      <c r="RB617" s="106"/>
      <c r="RC617" s="106"/>
      <c r="RD617" s="106"/>
      <c r="RE617" s="106"/>
      <c r="RF617" s="106"/>
      <c r="RG617" s="106"/>
      <c r="RH617" s="106"/>
      <c r="RI617" s="106"/>
      <c r="RJ617" s="106"/>
      <c r="RK617" s="106"/>
      <c r="RL617" s="106"/>
    </row>
    <row r="618" spans="48:480" x14ac:dyDescent="0.3">
      <c r="AV618" s="103"/>
      <c r="CJ618" s="103"/>
      <c r="FP618" s="103"/>
      <c r="LL618" s="103"/>
      <c r="NM618" s="103"/>
      <c r="QT618" s="106"/>
      <c r="QU618" s="106"/>
      <c r="QV618" s="106"/>
      <c r="QW618" s="106"/>
      <c r="QX618" s="106"/>
      <c r="QY618" s="106"/>
      <c r="QZ618" s="106"/>
      <c r="RA618" s="106"/>
      <c r="RB618" s="106"/>
      <c r="RC618" s="106"/>
      <c r="RD618" s="106"/>
      <c r="RE618" s="106"/>
      <c r="RF618" s="106"/>
      <c r="RG618" s="106"/>
      <c r="RH618" s="106"/>
      <c r="RI618" s="106"/>
      <c r="RJ618" s="106"/>
      <c r="RK618" s="106"/>
      <c r="RL618" s="106"/>
    </row>
    <row r="619" spans="48:480" x14ac:dyDescent="0.3">
      <c r="AV619" s="103"/>
      <c r="CJ619" s="103"/>
      <c r="FP619" s="103"/>
      <c r="LL619" s="103"/>
      <c r="NM619" s="103"/>
      <c r="QT619" s="106"/>
      <c r="QU619" s="106"/>
      <c r="QV619" s="106"/>
      <c r="QW619" s="106"/>
      <c r="QX619" s="106"/>
      <c r="QY619" s="106"/>
      <c r="QZ619" s="106"/>
      <c r="RA619" s="106"/>
      <c r="RB619" s="106"/>
      <c r="RC619" s="106"/>
      <c r="RD619" s="106"/>
      <c r="RE619" s="106"/>
      <c r="RF619" s="106"/>
      <c r="RG619" s="106"/>
      <c r="RH619" s="106"/>
      <c r="RI619" s="106"/>
      <c r="RJ619" s="106"/>
      <c r="RK619" s="106"/>
      <c r="RL619" s="106"/>
    </row>
    <row r="620" spans="48:480" x14ac:dyDescent="0.3">
      <c r="AV620" s="103"/>
      <c r="CJ620" s="103"/>
      <c r="FP620" s="103"/>
      <c r="LL620" s="103"/>
      <c r="NM620" s="103"/>
      <c r="QT620" s="106"/>
      <c r="QU620" s="106"/>
      <c r="QV620" s="106"/>
      <c r="QW620" s="106"/>
      <c r="QX620" s="106"/>
      <c r="QY620" s="106"/>
      <c r="QZ620" s="106"/>
      <c r="RA620" s="106"/>
      <c r="RB620" s="106"/>
      <c r="RC620" s="106"/>
      <c r="RD620" s="106"/>
      <c r="RE620" s="106"/>
      <c r="RF620" s="106"/>
      <c r="RG620" s="106"/>
      <c r="RH620" s="106"/>
      <c r="RI620" s="106"/>
      <c r="RJ620" s="106"/>
      <c r="RK620" s="106"/>
      <c r="RL620" s="106"/>
    </row>
    <row r="621" spans="48:480" x14ac:dyDescent="0.3">
      <c r="AV621" s="103"/>
      <c r="CJ621" s="103"/>
      <c r="FP621" s="103"/>
      <c r="LL621" s="103"/>
      <c r="NM621" s="103"/>
      <c r="QT621" s="106"/>
      <c r="QU621" s="106"/>
      <c r="QV621" s="106"/>
      <c r="QW621" s="106"/>
      <c r="QX621" s="106"/>
      <c r="QY621" s="106"/>
      <c r="QZ621" s="106"/>
      <c r="RA621" s="106"/>
      <c r="RB621" s="106"/>
      <c r="RC621" s="106"/>
      <c r="RD621" s="106"/>
      <c r="RE621" s="106"/>
      <c r="RF621" s="106"/>
      <c r="RG621" s="106"/>
      <c r="RH621" s="106"/>
      <c r="RI621" s="106"/>
      <c r="RJ621" s="106"/>
      <c r="RK621" s="106"/>
      <c r="RL621" s="106"/>
    </row>
    <row r="622" spans="48:480" x14ac:dyDescent="0.3">
      <c r="AV622" s="103"/>
      <c r="CJ622" s="103"/>
      <c r="FP622" s="103"/>
      <c r="LL622" s="103"/>
      <c r="NM622" s="103"/>
      <c r="QT622" s="106"/>
      <c r="QU622" s="106"/>
      <c r="QV622" s="106"/>
      <c r="QW622" s="106"/>
      <c r="QX622" s="106"/>
      <c r="QY622" s="106"/>
      <c r="QZ622" s="106"/>
      <c r="RA622" s="106"/>
      <c r="RB622" s="106"/>
      <c r="RC622" s="106"/>
      <c r="RD622" s="106"/>
      <c r="RE622" s="106"/>
      <c r="RF622" s="106"/>
      <c r="RG622" s="106"/>
      <c r="RH622" s="106"/>
      <c r="RI622" s="106"/>
      <c r="RJ622" s="106"/>
      <c r="RK622" s="106"/>
      <c r="RL622" s="106"/>
    </row>
    <row r="623" spans="48:480" x14ac:dyDescent="0.3">
      <c r="AV623" s="103"/>
      <c r="CJ623" s="103"/>
      <c r="FP623" s="103"/>
      <c r="LL623" s="103"/>
      <c r="NM623" s="103"/>
      <c r="QT623" s="106"/>
      <c r="QU623" s="106"/>
      <c r="QV623" s="106"/>
      <c r="QW623" s="106"/>
      <c r="QX623" s="106"/>
      <c r="QY623" s="106"/>
      <c r="QZ623" s="106"/>
      <c r="RA623" s="106"/>
      <c r="RB623" s="106"/>
      <c r="RC623" s="106"/>
      <c r="RD623" s="106"/>
      <c r="RE623" s="106"/>
      <c r="RF623" s="106"/>
      <c r="RG623" s="106"/>
      <c r="RH623" s="106"/>
      <c r="RI623" s="106"/>
      <c r="RJ623" s="106"/>
      <c r="RK623" s="106"/>
      <c r="RL623" s="106"/>
    </row>
    <row r="624" spans="48:480" x14ac:dyDescent="0.3">
      <c r="AV624" s="103"/>
      <c r="CJ624" s="103"/>
      <c r="FP624" s="103"/>
      <c r="LL624" s="103"/>
      <c r="NM624" s="103"/>
      <c r="QT624" s="106"/>
      <c r="QU624" s="106"/>
      <c r="QV624" s="106"/>
      <c r="QW624" s="106"/>
      <c r="QX624" s="106"/>
      <c r="QY624" s="106"/>
      <c r="QZ624" s="106"/>
      <c r="RA624" s="106"/>
      <c r="RB624" s="106"/>
      <c r="RC624" s="106"/>
      <c r="RD624" s="106"/>
      <c r="RE624" s="106"/>
      <c r="RF624" s="106"/>
      <c r="RG624" s="106"/>
      <c r="RH624" s="106"/>
      <c r="RI624" s="106"/>
      <c r="RJ624" s="106"/>
      <c r="RK624" s="106"/>
      <c r="RL624" s="106"/>
    </row>
    <row r="625" spans="48:480" x14ac:dyDescent="0.3">
      <c r="AV625" s="103"/>
      <c r="CJ625" s="103"/>
      <c r="FP625" s="103"/>
      <c r="LL625" s="103"/>
      <c r="NM625" s="103"/>
      <c r="QT625" s="106"/>
      <c r="QU625" s="106"/>
      <c r="QV625" s="106"/>
      <c r="QW625" s="106"/>
      <c r="QX625" s="106"/>
      <c r="QY625" s="106"/>
      <c r="QZ625" s="106"/>
      <c r="RA625" s="106"/>
      <c r="RB625" s="106"/>
      <c r="RC625" s="106"/>
      <c r="RD625" s="106"/>
      <c r="RE625" s="106"/>
      <c r="RF625" s="106"/>
      <c r="RG625" s="106"/>
      <c r="RH625" s="106"/>
      <c r="RI625" s="106"/>
      <c r="RJ625" s="106"/>
      <c r="RK625" s="106"/>
      <c r="RL625" s="106"/>
    </row>
    <row r="626" spans="48:480" x14ac:dyDescent="0.3">
      <c r="AV626" s="103"/>
      <c r="CJ626" s="103"/>
      <c r="FP626" s="103"/>
      <c r="LL626" s="103"/>
      <c r="NM626" s="103"/>
      <c r="QT626" s="106"/>
      <c r="QU626" s="106"/>
      <c r="QV626" s="106"/>
      <c r="QW626" s="106"/>
      <c r="QX626" s="106"/>
      <c r="QY626" s="106"/>
      <c r="QZ626" s="106"/>
      <c r="RA626" s="106"/>
      <c r="RB626" s="106"/>
      <c r="RC626" s="106"/>
      <c r="RD626" s="106"/>
      <c r="RE626" s="106"/>
      <c r="RF626" s="106"/>
      <c r="RG626" s="106"/>
      <c r="RH626" s="106"/>
      <c r="RI626" s="106"/>
      <c r="RJ626" s="106"/>
      <c r="RK626" s="106"/>
      <c r="RL626" s="106"/>
    </row>
    <row r="627" spans="48:480" x14ac:dyDescent="0.3">
      <c r="AV627" s="103"/>
      <c r="CJ627" s="103"/>
      <c r="FP627" s="103"/>
      <c r="LL627" s="103"/>
      <c r="NM627" s="103"/>
      <c r="QT627" s="106"/>
      <c r="QU627" s="106"/>
      <c r="QV627" s="106"/>
      <c r="QW627" s="106"/>
      <c r="QX627" s="106"/>
      <c r="QY627" s="106"/>
      <c r="QZ627" s="106"/>
      <c r="RA627" s="106"/>
      <c r="RB627" s="106"/>
      <c r="RC627" s="106"/>
      <c r="RD627" s="106"/>
      <c r="RE627" s="106"/>
      <c r="RF627" s="106"/>
      <c r="RG627" s="106"/>
      <c r="RH627" s="106"/>
      <c r="RI627" s="106"/>
      <c r="RJ627" s="106"/>
      <c r="RK627" s="106"/>
      <c r="RL627" s="106"/>
    </row>
    <row r="628" spans="48:480" x14ac:dyDescent="0.3">
      <c r="AV628" s="103"/>
      <c r="CJ628" s="103"/>
      <c r="FP628" s="103"/>
      <c r="LL628" s="103"/>
      <c r="NM628" s="103"/>
      <c r="QT628" s="106"/>
      <c r="QU628" s="106"/>
      <c r="QV628" s="106"/>
      <c r="QW628" s="106"/>
      <c r="QX628" s="106"/>
      <c r="QY628" s="106"/>
      <c r="QZ628" s="106"/>
      <c r="RA628" s="106"/>
      <c r="RB628" s="106"/>
      <c r="RC628" s="106"/>
      <c r="RD628" s="106"/>
      <c r="RE628" s="106"/>
      <c r="RF628" s="106"/>
      <c r="RG628" s="106"/>
      <c r="RH628" s="106"/>
      <c r="RI628" s="106"/>
      <c r="RJ628" s="106"/>
      <c r="RK628" s="106"/>
      <c r="RL628" s="106"/>
    </row>
    <row r="629" spans="48:480" x14ac:dyDescent="0.3">
      <c r="AV629" s="103"/>
      <c r="CJ629" s="103"/>
      <c r="FP629" s="103"/>
      <c r="LL629" s="103"/>
      <c r="NM629" s="103"/>
      <c r="QT629" s="106"/>
      <c r="QU629" s="106"/>
      <c r="QV629" s="106"/>
      <c r="QW629" s="106"/>
      <c r="QX629" s="106"/>
      <c r="QY629" s="106"/>
      <c r="QZ629" s="106"/>
      <c r="RA629" s="106"/>
      <c r="RB629" s="106"/>
      <c r="RC629" s="106"/>
      <c r="RD629" s="106"/>
      <c r="RE629" s="106"/>
      <c r="RF629" s="106"/>
      <c r="RG629" s="106"/>
      <c r="RH629" s="106"/>
      <c r="RI629" s="106"/>
      <c r="RJ629" s="106"/>
      <c r="RK629" s="106"/>
      <c r="RL629" s="106"/>
    </row>
    <row r="630" spans="48:480" x14ac:dyDescent="0.3">
      <c r="AV630" s="103"/>
      <c r="CJ630" s="103"/>
      <c r="FP630" s="103"/>
      <c r="LL630" s="103"/>
      <c r="NM630" s="103"/>
      <c r="QT630" s="106"/>
      <c r="QU630" s="106"/>
      <c r="QV630" s="106"/>
      <c r="QW630" s="106"/>
      <c r="QX630" s="106"/>
      <c r="QY630" s="106"/>
      <c r="QZ630" s="106"/>
      <c r="RA630" s="106"/>
      <c r="RB630" s="106"/>
      <c r="RC630" s="106"/>
      <c r="RD630" s="106"/>
      <c r="RE630" s="106"/>
      <c r="RF630" s="106"/>
      <c r="RG630" s="106"/>
      <c r="RH630" s="106"/>
      <c r="RI630" s="106"/>
      <c r="RJ630" s="106"/>
      <c r="RK630" s="106"/>
      <c r="RL630" s="106"/>
    </row>
    <row r="631" spans="48:480" x14ac:dyDescent="0.3">
      <c r="AV631" s="103"/>
      <c r="CJ631" s="103"/>
      <c r="FP631" s="103"/>
      <c r="LL631" s="103"/>
      <c r="NM631" s="103"/>
      <c r="QT631" s="106"/>
      <c r="QU631" s="106"/>
      <c r="QV631" s="106"/>
      <c r="QW631" s="106"/>
      <c r="QX631" s="106"/>
      <c r="QY631" s="106"/>
      <c r="QZ631" s="106"/>
      <c r="RA631" s="106"/>
      <c r="RB631" s="106"/>
      <c r="RC631" s="106"/>
      <c r="RD631" s="106"/>
      <c r="RE631" s="106"/>
      <c r="RF631" s="106"/>
      <c r="RG631" s="106"/>
      <c r="RH631" s="106"/>
      <c r="RI631" s="106"/>
      <c r="RJ631" s="106"/>
      <c r="RK631" s="106"/>
      <c r="RL631" s="106"/>
    </row>
    <row r="632" spans="48:480" x14ac:dyDescent="0.3">
      <c r="AV632" s="103"/>
      <c r="CJ632" s="103"/>
      <c r="FP632" s="103"/>
      <c r="LL632" s="103"/>
      <c r="NM632" s="103"/>
      <c r="QT632" s="106"/>
      <c r="QU632" s="106"/>
      <c r="QV632" s="106"/>
      <c r="QW632" s="106"/>
      <c r="QX632" s="106"/>
      <c r="QY632" s="106"/>
      <c r="QZ632" s="106"/>
      <c r="RA632" s="106"/>
      <c r="RB632" s="106"/>
      <c r="RC632" s="106"/>
      <c r="RD632" s="106"/>
      <c r="RE632" s="106"/>
      <c r="RF632" s="106"/>
      <c r="RG632" s="106"/>
      <c r="RH632" s="106"/>
      <c r="RI632" s="106"/>
      <c r="RJ632" s="106"/>
      <c r="RK632" s="106"/>
      <c r="RL632" s="106"/>
    </row>
    <row r="633" spans="48:480" x14ac:dyDescent="0.3">
      <c r="AV633" s="103"/>
      <c r="CJ633" s="103"/>
      <c r="FP633" s="103"/>
      <c r="LL633" s="103"/>
      <c r="NM633" s="103"/>
      <c r="QT633" s="106"/>
      <c r="QU633" s="106"/>
      <c r="QV633" s="106"/>
      <c r="QW633" s="106"/>
      <c r="QX633" s="106"/>
      <c r="QY633" s="106"/>
      <c r="QZ633" s="106"/>
      <c r="RA633" s="106"/>
      <c r="RB633" s="106"/>
      <c r="RC633" s="106"/>
      <c r="RD633" s="106"/>
      <c r="RE633" s="106"/>
      <c r="RF633" s="106"/>
      <c r="RG633" s="106"/>
      <c r="RH633" s="106"/>
      <c r="RI633" s="106"/>
      <c r="RJ633" s="106"/>
      <c r="RK633" s="106"/>
      <c r="RL633" s="106"/>
    </row>
    <row r="634" spans="48:480" x14ac:dyDescent="0.3">
      <c r="AV634" s="103"/>
      <c r="CJ634" s="103"/>
      <c r="FP634" s="103"/>
      <c r="LL634" s="103"/>
      <c r="NM634" s="103"/>
      <c r="QT634" s="106"/>
      <c r="QU634" s="106"/>
      <c r="QV634" s="106"/>
      <c r="QW634" s="106"/>
      <c r="QX634" s="106"/>
      <c r="QY634" s="106"/>
      <c r="QZ634" s="106"/>
      <c r="RA634" s="106"/>
      <c r="RB634" s="106"/>
      <c r="RC634" s="106"/>
      <c r="RD634" s="106"/>
      <c r="RE634" s="106"/>
      <c r="RF634" s="106"/>
      <c r="RG634" s="106"/>
      <c r="RH634" s="106"/>
      <c r="RI634" s="106"/>
      <c r="RJ634" s="106"/>
      <c r="RK634" s="106"/>
      <c r="RL634" s="106"/>
    </row>
    <row r="635" spans="48:480" x14ac:dyDescent="0.3">
      <c r="AV635" s="103"/>
      <c r="CJ635" s="103"/>
      <c r="FP635" s="103"/>
      <c r="LL635" s="103"/>
      <c r="NM635" s="103"/>
      <c r="QT635" s="106"/>
      <c r="QU635" s="106"/>
      <c r="QV635" s="106"/>
      <c r="QW635" s="106"/>
      <c r="QX635" s="106"/>
      <c r="QY635" s="106"/>
      <c r="QZ635" s="106"/>
      <c r="RA635" s="106"/>
      <c r="RB635" s="106"/>
      <c r="RC635" s="106"/>
      <c r="RD635" s="106"/>
      <c r="RE635" s="106"/>
      <c r="RF635" s="106"/>
      <c r="RG635" s="106"/>
      <c r="RH635" s="106"/>
      <c r="RI635" s="106"/>
      <c r="RJ635" s="106"/>
      <c r="RK635" s="106"/>
      <c r="RL635" s="106"/>
    </row>
    <row r="636" spans="48:480" x14ac:dyDescent="0.3">
      <c r="AV636" s="103"/>
      <c r="CJ636" s="103"/>
      <c r="FP636" s="103"/>
      <c r="LL636" s="103"/>
      <c r="NM636" s="103"/>
      <c r="QT636" s="106"/>
      <c r="QU636" s="106"/>
      <c r="QV636" s="106"/>
      <c r="QW636" s="106"/>
      <c r="QX636" s="106"/>
      <c r="QY636" s="106"/>
      <c r="QZ636" s="106"/>
      <c r="RA636" s="106"/>
      <c r="RB636" s="106"/>
      <c r="RC636" s="106"/>
      <c r="RD636" s="106"/>
      <c r="RE636" s="106"/>
      <c r="RF636" s="106"/>
      <c r="RG636" s="106"/>
      <c r="RH636" s="106"/>
      <c r="RI636" s="106"/>
      <c r="RJ636" s="106"/>
      <c r="RK636" s="106"/>
      <c r="RL636" s="106"/>
    </row>
    <row r="637" spans="48:480" x14ac:dyDescent="0.3">
      <c r="AV637" s="103"/>
      <c r="CJ637" s="103"/>
      <c r="FP637" s="103"/>
      <c r="LL637" s="103"/>
      <c r="NM637" s="103"/>
      <c r="QT637" s="106"/>
      <c r="QU637" s="106"/>
      <c r="QV637" s="106"/>
      <c r="QW637" s="106"/>
      <c r="QX637" s="106"/>
      <c r="QY637" s="106"/>
      <c r="QZ637" s="106"/>
      <c r="RA637" s="106"/>
      <c r="RB637" s="106"/>
      <c r="RC637" s="106"/>
      <c r="RD637" s="106"/>
      <c r="RE637" s="106"/>
      <c r="RF637" s="106"/>
      <c r="RG637" s="106"/>
      <c r="RH637" s="106"/>
      <c r="RI637" s="106"/>
      <c r="RJ637" s="106"/>
      <c r="RK637" s="106"/>
      <c r="RL637" s="106"/>
    </row>
    <row r="638" spans="48:480" x14ac:dyDescent="0.3">
      <c r="AV638" s="103"/>
      <c r="CJ638" s="103"/>
      <c r="FP638" s="103"/>
      <c r="LL638" s="103"/>
      <c r="NM638" s="103"/>
      <c r="QT638" s="106"/>
      <c r="QU638" s="106"/>
      <c r="QV638" s="106"/>
      <c r="QW638" s="106"/>
      <c r="QX638" s="106"/>
      <c r="QY638" s="106"/>
      <c r="QZ638" s="106"/>
      <c r="RA638" s="106"/>
      <c r="RB638" s="106"/>
      <c r="RC638" s="106"/>
      <c r="RD638" s="106"/>
      <c r="RE638" s="106"/>
      <c r="RF638" s="106"/>
      <c r="RG638" s="106"/>
      <c r="RH638" s="106"/>
      <c r="RI638" s="106"/>
      <c r="RJ638" s="106"/>
      <c r="RK638" s="106"/>
      <c r="RL638" s="106"/>
    </row>
    <row r="639" spans="48:480" x14ac:dyDescent="0.3">
      <c r="AV639" s="103"/>
      <c r="CJ639" s="103"/>
      <c r="FP639" s="103"/>
      <c r="LL639" s="103"/>
      <c r="NM639" s="103"/>
      <c r="QT639" s="106"/>
      <c r="QU639" s="106"/>
      <c r="QV639" s="106"/>
      <c r="QW639" s="106"/>
      <c r="QX639" s="106"/>
      <c r="QY639" s="106"/>
      <c r="QZ639" s="106"/>
      <c r="RA639" s="106"/>
      <c r="RB639" s="106"/>
      <c r="RC639" s="106"/>
      <c r="RD639" s="106"/>
      <c r="RE639" s="106"/>
      <c r="RF639" s="106"/>
      <c r="RG639" s="106"/>
      <c r="RH639" s="106"/>
      <c r="RI639" s="106"/>
      <c r="RJ639" s="106"/>
      <c r="RK639" s="106"/>
      <c r="RL639" s="106"/>
    </row>
    <row r="640" spans="48:480" x14ac:dyDescent="0.3">
      <c r="AV640" s="103"/>
      <c r="CJ640" s="103"/>
      <c r="FP640" s="103"/>
      <c r="LL640" s="103"/>
      <c r="NM640" s="103"/>
      <c r="QT640" s="106"/>
      <c r="QU640" s="106"/>
      <c r="QV640" s="106"/>
      <c r="QW640" s="106"/>
      <c r="QX640" s="106"/>
      <c r="QY640" s="106"/>
      <c r="QZ640" s="106"/>
      <c r="RA640" s="106"/>
      <c r="RB640" s="106"/>
      <c r="RC640" s="106"/>
      <c r="RD640" s="106"/>
      <c r="RE640" s="106"/>
      <c r="RF640" s="106"/>
      <c r="RG640" s="106"/>
      <c r="RH640" s="106"/>
      <c r="RI640" s="106"/>
      <c r="RJ640" s="106"/>
      <c r="RK640" s="106"/>
      <c r="RL640" s="106"/>
    </row>
    <row r="641" spans="48:480" x14ac:dyDescent="0.3">
      <c r="AV641" s="103"/>
      <c r="CJ641" s="103"/>
      <c r="FP641" s="103"/>
      <c r="LL641" s="103"/>
      <c r="NM641" s="103"/>
      <c r="QT641" s="106"/>
      <c r="QU641" s="106"/>
      <c r="QV641" s="106"/>
      <c r="QW641" s="106"/>
      <c r="QX641" s="106"/>
      <c r="QY641" s="106"/>
      <c r="QZ641" s="106"/>
      <c r="RA641" s="106"/>
      <c r="RB641" s="106"/>
      <c r="RC641" s="106"/>
      <c r="RD641" s="106"/>
      <c r="RE641" s="106"/>
      <c r="RF641" s="106"/>
      <c r="RG641" s="106"/>
      <c r="RH641" s="106"/>
      <c r="RI641" s="106"/>
      <c r="RJ641" s="106"/>
      <c r="RK641" s="106"/>
      <c r="RL641" s="106"/>
    </row>
    <row r="642" spans="48:480" x14ac:dyDescent="0.3">
      <c r="AV642" s="103"/>
      <c r="CJ642" s="103"/>
      <c r="FP642" s="103"/>
      <c r="LL642" s="103"/>
      <c r="NM642" s="103"/>
      <c r="QT642" s="106"/>
      <c r="QU642" s="106"/>
      <c r="QV642" s="106"/>
      <c r="QW642" s="106"/>
      <c r="QX642" s="106"/>
      <c r="QY642" s="106"/>
      <c r="QZ642" s="106"/>
      <c r="RA642" s="106"/>
      <c r="RB642" s="106"/>
      <c r="RC642" s="106"/>
      <c r="RD642" s="106"/>
      <c r="RE642" s="106"/>
      <c r="RF642" s="106"/>
      <c r="RG642" s="106"/>
      <c r="RH642" s="106"/>
      <c r="RI642" s="106"/>
      <c r="RJ642" s="106"/>
      <c r="RK642" s="106"/>
      <c r="RL642" s="106"/>
    </row>
    <row r="643" spans="48:480" x14ac:dyDescent="0.3">
      <c r="AV643" s="103"/>
      <c r="CJ643" s="103"/>
      <c r="FP643" s="103"/>
      <c r="LL643" s="103"/>
      <c r="NM643" s="103"/>
      <c r="QT643" s="106"/>
      <c r="QU643" s="106"/>
      <c r="QV643" s="106"/>
      <c r="QW643" s="106"/>
      <c r="QX643" s="106"/>
      <c r="QY643" s="106"/>
      <c r="QZ643" s="106"/>
      <c r="RA643" s="106"/>
      <c r="RB643" s="106"/>
      <c r="RC643" s="106"/>
      <c r="RD643" s="106"/>
      <c r="RE643" s="106"/>
      <c r="RF643" s="106"/>
      <c r="RG643" s="106"/>
      <c r="RH643" s="106"/>
      <c r="RI643" s="106"/>
      <c r="RJ643" s="106"/>
      <c r="RK643" s="106"/>
      <c r="RL643" s="106"/>
    </row>
    <row r="644" spans="48:480" x14ac:dyDescent="0.3">
      <c r="AV644" s="103"/>
      <c r="CJ644" s="103"/>
      <c r="FP644" s="103"/>
      <c r="LL644" s="103"/>
      <c r="NM644" s="103"/>
      <c r="QT644" s="106"/>
      <c r="QU644" s="106"/>
      <c r="QV644" s="106"/>
      <c r="QW644" s="106"/>
      <c r="QX644" s="106"/>
      <c r="QY644" s="106"/>
      <c r="QZ644" s="106"/>
      <c r="RA644" s="106"/>
      <c r="RB644" s="106"/>
      <c r="RC644" s="106"/>
      <c r="RD644" s="106"/>
      <c r="RE644" s="106"/>
      <c r="RF644" s="106"/>
      <c r="RG644" s="106"/>
      <c r="RH644" s="106"/>
      <c r="RI644" s="106"/>
      <c r="RJ644" s="106"/>
      <c r="RK644" s="106"/>
      <c r="RL644" s="106"/>
    </row>
    <row r="645" spans="48:480" x14ac:dyDescent="0.3">
      <c r="AV645" s="103"/>
      <c r="CJ645" s="103"/>
      <c r="FP645" s="103"/>
      <c r="LL645" s="103"/>
      <c r="NM645" s="103"/>
      <c r="QT645" s="106"/>
      <c r="QU645" s="106"/>
      <c r="QV645" s="106"/>
      <c r="QW645" s="106"/>
      <c r="QX645" s="106"/>
      <c r="QY645" s="106"/>
      <c r="QZ645" s="106"/>
      <c r="RA645" s="106"/>
      <c r="RB645" s="106"/>
      <c r="RC645" s="106"/>
      <c r="RD645" s="106"/>
      <c r="RE645" s="106"/>
      <c r="RF645" s="106"/>
      <c r="RG645" s="106"/>
      <c r="RH645" s="106"/>
      <c r="RI645" s="106"/>
      <c r="RJ645" s="106"/>
      <c r="RK645" s="106"/>
      <c r="RL645" s="106"/>
    </row>
    <row r="646" spans="48:480" x14ac:dyDescent="0.3">
      <c r="AV646" s="103"/>
      <c r="CJ646" s="103"/>
      <c r="FP646" s="103"/>
      <c r="LL646" s="103"/>
      <c r="NM646" s="103"/>
      <c r="QT646" s="106"/>
      <c r="QU646" s="106"/>
      <c r="QV646" s="106"/>
      <c r="QW646" s="106"/>
      <c r="QX646" s="106"/>
      <c r="QY646" s="106"/>
      <c r="QZ646" s="106"/>
      <c r="RA646" s="106"/>
      <c r="RB646" s="106"/>
      <c r="RC646" s="106"/>
      <c r="RD646" s="106"/>
      <c r="RE646" s="106"/>
      <c r="RF646" s="106"/>
      <c r="RG646" s="106"/>
      <c r="RH646" s="106"/>
      <c r="RI646" s="106"/>
      <c r="RJ646" s="106"/>
      <c r="RK646" s="106"/>
      <c r="RL646" s="106"/>
    </row>
    <row r="647" spans="48:480" x14ac:dyDescent="0.3">
      <c r="AV647" s="103"/>
      <c r="CJ647" s="103"/>
      <c r="FP647" s="103"/>
      <c r="LL647" s="103"/>
      <c r="NM647" s="103"/>
      <c r="QT647" s="106"/>
      <c r="QU647" s="106"/>
      <c r="QV647" s="106"/>
      <c r="QW647" s="106"/>
      <c r="QX647" s="106"/>
      <c r="QY647" s="106"/>
      <c r="QZ647" s="106"/>
      <c r="RA647" s="106"/>
      <c r="RB647" s="106"/>
      <c r="RC647" s="106"/>
      <c r="RD647" s="106"/>
      <c r="RE647" s="106"/>
      <c r="RF647" s="106"/>
      <c r="RG647" s="106"/>
      <c r="RH647" s="106"/>
      <c r="RI647" s="106"/>
      <c r="RJ647" s="106"/>
      <c r="RK647" s="106"/>
      <c r="RL647" s="106"/>
    </row>
    <row r="648" spans="48:480" x14ac:dyDescent="0.3">
      <c r="AV648" s="103"/>
      <c r="CJ648" s="103"/>
      <c r="FP648" s="103"/>
      <c r="LL648" s="103"/>
      <c r="NM648" s="103"/>
      <c r="QT648" s="106"/>
      <c r="QU648" s="106"/>
      <c r="QV648" s="106"/>
      <c r="QW648" s="106"/>
      <c r="QX648" s="106"/>
      <c r="QY648" s="106"/>
      <c r="QZ648" s="106"/>
      <c r="RA648" s="106"/>
      <c r="RB648" s="106"/>
      <c r="RC648" s="106"/>
      <c r="RD648" s="106"/>
      <c r="RE648" s="106"/>
      <c r="RF648" s="106"/>
      <c r="RG648" s="106"/>
      <c r="RH648" s="106"/>
      <c r="RI648" s="106"/>
      <c r="RJ648" s="106"/>
      <c r="RK648" s="106"/>
      <c r="RL648" s="106"/>
    </row>
    <row r="649" spans="48:480" x14ac:dyDescent="0.3">
      <c r="AV649" s="103"/>
      <c r="CJ649" s="103"/>
      <c r="FP649" s="103"/>
      <c r="LL649" s="103"/>
      <c r="NM649" s="103"/>
      <c r="QT649" s="106"/>
      <c r="QU649" s="106"/>
      <c r="QV649" s="106"/>
      <c r="QW649" s="106"/>
      <c r="QX649" s="106"/>
      <c r="QY649" s="106"/>
      <c r="QZ649" s="106"/>
      <c r="RA649" s="106"/>
      <c r="RB649" s="106"/>
      <c r="RC649" s="106"/>
      <c r="RD649" s="106"/>
      <c r="RE649" s="106"/>
      <c r="RF649" s="106"/>
      <c r="RG649" s="106"/>
      <c r="RH649" s="106"/>
      <c r="RI649" s="106"/>
      <c r="RJ649" s="106"/>
      <c r="RK649" s="106"/>
      <c r="RL649" s="106"/>
    </row>
    <row r="650" spans="48:480" x14ac:dyDescent="0.3">
      <c r="AV650" s="103"/>
      <c r="CJ650" s="103"/>
      <c r="FP650" s="103"/>
      <c r="LL650" s="103"/>
      <c r="NM650" s="103"/>
      <c r="QT650" s="106"/>
      <c r="QU650" s="106"/>
      <c r="QV650" s="106"/>
      <c r="QW650" s="106"/>
      <c r="QX650" s="106"/>
      <c r="QY650" s="106"/>
      <c r="QZ650" s="106"/>
      <c r="RA650" s="106"/>
      <c r="RB650" s="106"/>
      <c r="RC650" s="106"/>
      <c r="RD650" s="106"/>
      <c r="RE650" s="106"/>
      <c r="RF650" s="106"/>
      <c r="RG650" s="106"/>
      <c r="RH650" s="106"/>
      <c r="RI650" s="106"/>
      <c r="RJ650" s="106"/>
      <c r="RK650" s="106"/>
      <c r="RL650" s="106"/>
    </row>
    <row r="651" spans="48:480" x14ac:dyDescent="0.3">
      <c r="AV651" s="103"/>
      <c r="CJ651" s="103"/>
      <c r="FP651" s="103"/>
      <c r="LL651" s="103"/>
      <c r="NM651" s="103"/>
      <c r="QT651" s="106"/>
      <c r="QU651" s="106"/>
      <c r="QV651" s="106"/>
      <c r="QW651" s="106"/>
      <c r="QX651" s="106"/>
      <c r="QY651" s="106"/>
      <c r="QZ651" s="106"/>
      <c r="RA651" s="106"/>
      <c r="RB651" s="106"/>
      <c r="RC651" s="106"/>
      <c r="RD651" s="106"/>
      <c r="RE651" s="106"/>
      <c r="RF651" s="106"/>
      <c r="RG651" s="106"/>
      <c r="RH651" s="106"/>
      <c r="RI651" s="106"/>
      <c r="RJ651" s="106"/>
      <c r="RK651" s="106"/>
      <c r="RL651" s="106"/>
    </row>
    <row r="652" spans="48:480" x14ac:dyDescent="0.3">
      <c r="AV652" s="103"/>
      <c r="CJ652" s="103"/>
      <c r="FP652" s="103"/>
      <c r="LL652" s="103"/>
      <c r="NM652" s="103"/>
      <c r="QT652" s="106"/>
      <c r="QU652" s="106"/>
      <c r="QV652" s="106"/>
      <c r="QW652" s="106"/>
      <c r="QX652" s="106"/>
      <c r="QY652" s="106"/>
      <c r="QZ652" s="106"/>
      <c r="RA652" s="106"/>
      <c r="RB652" s="106"/>
      <c r="RC652" s="106"/>
      <c r="RD652" s="106"/>
      <c r="RE652" s="106"/>
      <c r="RF652" s="106"/>
      <c r="RG652" s="106"/>
      <c r="RH652" s="106"/>
      <c r="RI652" s="106"/>
      <c r="RJ652" s="106"/>
      <c r="RK652" s="106"/>
      <c r="RL652" s="106"/>
    </row>
    <row r="653" spans="48:480" x14ac:dyDescent="0.3">
      <c r="AV653" s="103"/>
      <c r="CJ653" s="103"/>
      <c r="FP653" s="103"/>
      <c r="LL653" s="103"/>
      <c r="NM653" s="103"/>
      <c r="QT653" s="106"/>
      <c r="QU653" s="106"/>
      <c r="QV653" s="106"/>
      <c r="QW653" s="106"/>
      <c r="QX653" s="106"/>
      <c r="QY653" s="106"/>
      <c r="QZ653" s="106"/>
      <c r="RA653" s="106"/>
      <c r="RB653" s="106"/>
      <c r="RC653" s="106"/>
      <c r="RD653" s="106"/>
      <c r="RE653" s="106"/>
      <c r="RF653" s="106"/>
      <c r="RG653" s="106"/>
      <c r="RH653" s="106"/>
      <c r="RI653" s="106"/>
      <c r="RJ653" s="106"/>
      <c r="RK653" s="106"/>
      <c r="RL653" s="106"/>
    </row>
    <row r="654" spans="48:480" x14ac:dyDescent="0.3">
      <c r="AV654" s="103"/>
      <c r="CJ654" s="103"/>
      <c r="FP654" s="103"/>
      <c r="LL654" s="103"/>
      <c r="NM654" s="103"/>
      <c r="QT654" s="106"/>
      <c r="QU654" s="106"/>
      <c r="QV654" s="106"/>
      <c r="QW654" s="106"/>
      <c r="QX654" s="106"/>
      <c r="QY654" s="106"/>
      <c r="QZ654" s="106"/>
      <c r="RA654" s="106"/>
      <c r="RB654" s="106"/>
      <c r="RC654" s="106"/>
      <c r="RD654" s="106"/>
      <c r="RE654" s="106"/>
      <c r="RF654" s="106"/>
      <c r="RG654" s="106"/>
      <c r="RH654" s="106"/>
      <c r="RI654" s="106"/>
      <c r="RJ654" s="106"/>
      <c r="RK654" s="106"/>
      <c r="RL654" s="106"/>
    </row>
    <row r="655" spans="48:480" x14ac:dyDescent="0.3">
      <c r="AV655" s="103"/>
      <c r="CJ655" s="103"/>
      <c r="FP655" s="103"/>
      <c r="LL655" s="103"/>
      <c r="NM655" s="103"/>
      <c r="QT655" s="106"/>
      <c r="QU655" s="106"/>
      <c r="QV655" s="106"/>
      <c r="QW655" s="106"/>
      <c r="QX655" s="106"/>
      <c r="QY655" s="106"/>
      <c r="QZ655" s="106"/>
      <c r="RA655" s="106"/>
      <c r="RB655" s="106"/>
      <c r="RC655" s="106"/>
      <c r="RD655" s="106"/>
      <c r="RE655" s="106"/>
      <c r="RF655" s="106"/>
      <c r="RG655" s="106"/>
      <c r="RH655" s="106"/>
      <c r="RI655" s="106"/>
      <c r="RJ655" s="106"/>
      <c r="RK655" s="106"/>
      <c r="RL655" s="106"/>
    </row>
    <row r="656" spans="48:480" x14ac:dyDescent="0.3">
      <c r="AV656" s="103"/>
      <c r="CJ656" s="103"/>
      <c r="FP656" s="103"/>
      <c r="LL656" s="103"/>
      <c r="NM656" s="103"/>
      <c r="QT656" s="106"/>
      <c r="QU656" s="106"/>
      <c r="QV656" s="106"/>
      <c r="QW656" s="106"/>
      <c r="QX656" s="106"/>
      <c r="QY656" s="106"/>
      <c r="QZ656" s="106"/>
      <c r="RA656" s="106"/>
      <c r="RB656" s="106"/>
      <c r="RC656" s="106"/>
      <c r="RD656" s="106"/>
      <c r="RE656" s="106"/>
      <c r="RF656" s="106"/>
      <c r="RG656" s="106"/>
      <c r="RH656" s="106"/>
      <c r="RI656" s="106"/>
      <c r="RJ656" s="106"/>
      <c r="RK656" s="106"/>
      <c r="RL656" s="106"/>
    </row>
    <row r="657" spans="48:480" x14ac:dyDescent="0.3">
      <c r="AV657" s="103"/>
      <c r="CJ657" s="103"/>
      <c r="FP657" s="103"/>
      <c r="LL657" s="103"/>
      <c r="NM657" s="103"/>
      <c r="QT657" s="106"/>
      <c r="QU657" s="106"/>
      <c r="QV657" s="106"/>
      <c r="QW657" s="106"/>
      <c r="QX657" s="106"/>
      <c r="QY657" s="106"/>
      <c r="QZ657" s="106"/>
      <c r="RA657" s="106"/>
      <c r="RB657" s="106"/>
      <c r="RC657" s="106"/>
      <c r="RD657" s="106"/>
      <c r="RE657" s="106"/>
      <c r="RF657" s="106"/>
      <c r="RG657" s="106"/>
      <c r="RH657" s="106"/>
      <c r="RI657" s="106"/>
      <c r="RJ657" s="106"/>
      <c r="RK657" s="106"/>
      <c r="RL657" s="106"/>
    </row>
    <row r="658" spans="48:480" x14ac:dyDescent="0.3">
      <c r="AV658" s="103"/>
      <c r="CJ658" s="103"/>
      <c r="FP658" s="103"/>
      <c r="LL658" s="103"/>
      <c r="NM658" s="103"/>
      <c r="QT658" s="106"/>
      <c r="QU658" s="106"/>
      <c r="QV658" s="106"/>
      <c r="QW658" s="106"/>
      <c r="QX658" s="106"/>
      <c r="QY658" s="106"/>
      <c r="QZ658" s="106"/>
      <c r="RA658" s="106"/>
      <c r="RB658" s="106"/>
      <c r="RC658" s="106"/>
      <c r="RD658" s="106"/>
      <c r="RE658" s="106"/>
      <c r="RF658" s="106"/>
      <c r="RG658" s="106"/>
      <c r="RH658" s="106"/>
      <c r="RI658" s="106"/>
      <c r="RJ658" s="106"/>
      <c r="RK658" s="106"/>
      <c r="RL658" s="106"/>
    </row>
    <row r="659" spans="48:480" x14ac:dyDescent="0.3">
      <c r="AV659" s="103"/>
      <c r="CJ659" s="103"/>
      <c r="FP659" s="103"/>
      <c r="LL659" s="103"/>
      <c r="NM659" s="103"/>
      <c r="QT659" s="106"/>
      <c r="QU659" s="106"/>
      <c r="QV659" s="106"/>
      <c r="QW659" s="106"/>
      <c r="QX659" s="106"/>
      <c r="QY659" s="106"/>
      <c r="QZ659" s="106"/>
      <c r="RA659" s="106"/>
      <c r="RB659" s="106"/>
      <c r="RC659" s="106"/>
      <c r="RD659" s="106"/>
      <c r="RE659" s="106"/>
      <c r="RF659" s="106"/>
      <c r="RG659" s="106"/>
      <c r="RH659" s="106"/>
      <c r="RI659" s="106"/>
      <c r="RJ659" s="106"/>
      <c r="RK659" s="106"/>
      <c r="RL659" s="106"/>
    </row>
    <row r="660" spans="48:480" x14ac:dyDescent="0.3">
      <c r="AV660" s="103"/>
      <c r="CJ660" s="103"/>
      <c r="FP660" s="103"/>
      <c r="LL660" s="103"/>
      <c r="NM660" s="103"/>
      <c r="QT660" s="106"/>
      <c r="QU660" s="106"/>
      <c r="QV660" s="106"/>
      <c r="QW660" s="106"/>
      <c r="QX660" s="106"/>
      <c r="QY660" s="106"/>
      <c r="QZ660" s="106"/>
      <c r="RA660" s="106"/>
      <c r="RB660" s="106"/>
      <c r="RC660" s="106"/>
      <c r="RD660" s="106"/>
      <c r="RE660" s="106"/>
      <c r="RF660" s="106"/>
      <c r="RG660" s="106"/>
      <c r="RH660" s="106"/>
      <c r="RI660" s="106"/>
      <c r="RJ660" s="106"/>
      <c r="RK660" s="106"/>
      <c r="RL660" s="106"/>
    </row>
    <row r="661" spans="48:480" x14ac:dyDescent="0.3">
      <c r="AV661" s="103"/>
      <c r="CJ661" s="103"/>
      <c r="FP661" s="103"/>
      <c r="LL661" s="103"/>
      <c r="NM661" s="103"/>
      <c r="QT661" s="106"/>
      <c r="QU661" s="106"/>
      <c r="QV661" s="106"/>
      <c r="QW661" s="106"/>
      <c r="QX661" s="106"/>
      <c r="QY661" s="106"/>
      <c r="QZ661" s="106"/>
      <c r="RA661" s="106"/>
      <c r="RB661" s="106"/>
      <c r="RC661" s="106"/>
      <c r="RD661" s="106"/>
      <c r="RE661" s="106"/>
      <c r="RF661" s="106"/>
      <c r="RG661" s="106"/>
      <c r="RH661" s="106"/>
      <c r="RI661" s="106"/>
      <c r="RJ661" s="106"/>
      <c r="RK661" s="106"/>
      <c r="RL661" s="106"/>
    </row>
    <row r="662" spans="48:480" x14ac:dyDescent="0.3">
      <c r="AV662" s="103"/>
      <c r="CJ662" s="103"/>
      <c r="FP662" s="103"/>
      <c r="LL662" s="103"/>
      <c r="NM662" s="103"/>
      <c r="QT662" s="106"/>
      <c r="QU662" s="106"/>
      <c r="QV662" s="106"/>
      <c r="QW662" s="106"/>
      <c r="QX662" s="106"/>
      <c r="QY662" s="106"/>
      <c r="QZ662" s="106"/>
      <c r="RA662" s="106"/>
      <c r="RB662" s="106"/>
      <c r="RC662" s="106"/>
      <c r="RD662" s="106"/>
      <c r="RE662" s="106"/>
      <c r="RF662" s="106"/>
      <c r="RG662" s="106"/>
      <c r="RH662" s="106"/>
      <c r="RI662" s="106"/>
      <c r="RJ662" s="106"/>
      <c r="RK662" s="106"/>
      <c r="RL662" s="106"/>
    </row>
    <row r="663" spans="48:480" x14ac:dyDescent="0.3">
      <c r="AV663" s="103"/>
      <c r="CJ663" s="103"/>
      <c r="FP663" s="103"/>
      <c r="LL663" s="103"/>
      <c r="NM663" s="103"/>
      <c r="QT663" s="106"/>
      <c r="QU663" s="106"/>
      <c r="QV663" s="106"/>
      <c r="QW663" s="106"/>
      <c r="QX663" s="106"/>
      <c r="QY663" s="106"/>
      <c r="QZ663" s="106"/>
      <c r="RA663" s="106"/>
      <c r="RB663" s="106"/>
      <c r="RC663" s="106"/>
      <c r="RD663" s="106"/>
      <c r="RE663" s="106"/>
      <c r="RF663" s="106"/>
      <c r="RG663" s="106"/>
      <c r="RH663" s="106"/>
      <c r="RI663" s="106"/>
      <c r="RJ663" s="106"/>
      <c r="RK663" s="106"/>
      <c r="RL663" s="106"/>
    </row>
    <row r="664" spans="48:480" x14ac:dyDescent="0.3">
      <c r="AV664" s="103"/>
      <c r="CJ664" s="103"/>
      <c r="FP664" s="103"/>
      <c r="LL664" s="103"/>
      <c r="NM664" s="103"/>
      <c r="QT664" s="106"/>
      <c r="QU664" s="106"/>
      <c r="QV664" s="106"/>
      <c r="QW664" s="106"/>
      <c r="QX664" s="106"/>
      <c r="QY664" s="106"/>
      <c r="QZ664" s="106"/>
      <c r="RA664" s="106"/>
      <c r="RB664" s="106"/>
      <c r="RC664" s="106"/>
      <c r="RD664" s="106"/>
      <c r="RE664" s="106"/>
      <c r="RF664" s="106"/>
      <c r="RG664" s="106"/>
      <c r="RH664" s="106"/>
      <c r="RI664" s="106"/>
      <c r="RJ664" s="106"/>
      <c r="RK664" s="106"/>
      <c r="RL664" s="106"/>
    </row>
    <row r="665" spans="48:480" x14ac:dyDescent="0.3">
      <c r="AV665" s="103"/>
      <c r="CJ665" s="103"/>
      <c r="FP665" s="103"/>
      <c r="LL665" s="103"/>
      <c r="NM665" s="103"/>
      <c r="QT665" s="106"/>
      <c r="QU665" s="106"/>
      <c r="QV665" s="106"/>
      <c r="QW665" s="106"/>
      <c r="QX665" s="106"/>
      <c r="QY665" s="106"/>
      <c r="QZ665" s="106"/>
      <c r="RA665" s="106"/>
      <c r="RB665" s="106"/>
      <c r="RC665" s="106"/>
      <c r="RD665" s="106"/>
      <c r="RE665" s="106"/>
      <c r="RF665" s="106"/>
      <c r="RG665" s="106"/>
      <c r="RH665" s="106"/>
      <c r="RI665" s="106"/>
      <c r="RJ665" s="106"/>
      <c r="RK665" s="106"/>
      <c r="RL665" s="106"/>
    </row>
    <row r="666" spans="48:480" x14ac:dyDescent="0.3">
      <c r="AV666" s="103"/>
      <c r="CJ666" s="103"/>
      <c r="FP666" s="103"/>
      <c r="LL666" s="103"/>
      <c r="NM666" s="103"/>
      <c r="QT666" s="106"/>
      <c r="QU666" s="106"/>
      <c r="QV666" s="106"/>
      <c r="QW666" s="106"/>
      <c r="QX666" s="106"/>
      <c r="QY666" s="106"/>
      <c r="QZ666" s="106"/>
      <c r="RA666" s="106"/>
      <c r="RB666" s="106"/>
      <c r="RC666" s="106"/>
      <c r="RD666" s="106"/>
      <c r="RE666" s="106"/>
      <c r="RF666" s="106"/>
      <c r="RG666" s="106"/>
      <c r="RH666" s="106"/>
      <c r="RI666" s="106"/>
      <c r="RJ666" s="106"/>
      <c r="RK666" s="106"/>
      <c r="RL666" s="106"/>
    </row>
    <row r="667" spans="48:480" x14ac:dyDescent="0.3">
      <c r="AV667" s="103"/>
      <c r="CJ667" s="103"/>
      <c r="FP667" s="103"/>
      <c r="LL667" s="103"/>
      <c r="NM667" s="103"/>
      <c r="QT667" s="106"/>
      <c r="QU667" s="106"/>
      <c r="QV667" s="106"/>
      <c r="QW667" s="106"/>
      <c r="QX667" s="106"/>
      <c r="QY667" s="106"/>
      <c r="QZ667" s="106"/>
      <c r="RA667" s="106"/>
      <c r="RB667" s="106"/>
      <c r="RC667" s="106"/>
      <c r="RD667" s="106"/>
      <c r="RE667" s="106"/>
      <c r="RF667" s="106"/>
      <c r="RG667" s="106"/>
      <c r="RH667" s="106"/>
      <c r="RI667" s="106"/>
      <c r="RJ667" s="106"/>
      <c r="RK667" s="106"/>
      <c r="RL667" s="106"/>
    </row>
    <row r="668" spans="48:480" x14ac:dyDescent="0.3">
      <c r="AV668" s="103"/>
      <c r="CJ668" s="103"/>
      <c r="FP668" s="103"/>
      <c r="LL668" s="103"/>
      <c r="NM668" s="103"/>
      <c r="QT668" s="106"/>
      <c r="QU668" s="106"/>
      <c r="QV668" s="106"/>
      <c r="QW668" s="106"/>
      <c r="QX668" s="106"/>
      <c r="QY668" s="106"/>
      <c r="QZ668" s="106"/>
      <c r="RA668" s="106"/>
      <c r="RB668" s="106"/>
      <c r="RC668" s="106"/>
      <c r="RD668" s="106"/>
      <c r="RE668" s="106"/>
      <c r="RF668" s="106"/>
      <c r="RG668" s="106"/>
      <c r="RH668" s="106"/>
      <c r="RI668" s="106"/>
      <c r="RJ668" s="106"/>
      <c r="RK668" s="106"/>
      <c r="RL668" s="106"/>
    </row>
    <row r="669" spans="48:480" x14ac:dyDescent="0.3">
      <c r="AV669" s="103"/>
      <c r="CJ669" s="103"/>
      <c r="FP669" s="103"/>
      <c r="LL669" s="103"/>
      <c r="NM669" s="103"/>
      <c r="QT669" s="106"/>
      <c r="QU669" s="106"/>
      <c r="QV669" s="106"/>
      <c r="QW669" s="106"/>
      <c r="QX669" s="106"/>
      <c r="QY669" s="106"/>
      <c r="QZ669" s="106"/>
      <c r="RA669" s="106"/>
      <c r="RB669" s="106"/>
      <c r="RC669" s="106"/>
      <c r="RD669" s="106"/>
      <c r="RE669" s="106"/>
      <c r="RF669" s="106"/>
      <c r="RG669" s="106"/>
      <c r="RH669" s="106"/>
      <c r="RI669" s="106"/>
      <c r="RJ669" s="106"/>
      <c r="RK669" s="106"/>
      <c r="RL669" s="106"/>
    </row>
    <row r="670" spans="48:480" x14ac:dyDescent="0.3">
      <c r="AV670" s="103"/>
      <c r="CJ670" s="103"/>
      <c r="FP670" s="103"/>
      <c r="LL670" s="103"/>
      <c r="NM670" s="103"/>
      <c r="QT670" s="106"/>
      <c r="QU670" s="106"/>
      <c r="QV670" s="106"/>
      <c r="QW670" s="106"/>
      <c r="QX670" s="106"/>
      <c r="QY670" s="106"/>
      <c r="QZ670" s="106"/>
      <c r="RA670" s="106"/>
      <c r="RB670" s="106"/>
      <c r="RC670" s="106"/>
      <c r="RD670" s="106"/>
      <c r="RE670" s="106"/>
      <c r="RF670" s="106"/>
      <c r="RG670" s="106"/>
      <c r="RH670" s="106"/>
      <c r="RI670" s="106"/>
      <c r="RJ670" s="106"/>
      <c r="RK670" s="106"/>
      <c r="RL670" s="106"/>
    </row>
    <row r="671" spans="48:480" x14ac:dyDescent="0.3">
      <c r="AV671" s="103"/>
      <c r="CJ671" s="103"/>
      <c r="FP671" s="103"/>
      <c r="LL671" s="103"/>
      <c r="NM671" s="103"/>
      <c r="QT671" s="106"/>
      <c r="QU671" s="106"/>
      <c r="QV671" s="106"/>
      <c r="QW671" s="106"/>
      <c r="QX671" s="106"/>
      <c r="QY671" s="106"/>
      <c r="QZ671" s="106"/>
      <c r="RA671" s="106"/>
      <c r="RB671" s="106"/>
      <c r="RC671" s="106"/>
      <c r="RD671" s="106"/>
      <c r="RE671" s="106"/>
      <c r="RF671" s="106"/>
      <c r="RG671" s="106"/>
      <c r="RH671" s="106"/>
      <c r="RI671" s="106"/>
      <c r="RJ671" s="106"/>
      <c r="RK671" s="106"/>
      <c r="RL671" s="106"/>
    </row>
    <row r="672" spans="48:480" x14ac:dyDescent="0.3">
      <c r="AV672" s="103"/>
      <c r="CJ672" s="103"/>
      <c r="FP672" s="103"/>
      <c r="LL672" s="103"/>
      <c r="NM672" s="103"/>
      <c r="QT672" s="106"/>
      <c r="QU672" s="106"/>
      <c r="QV672" s="106"/>
      <c r="QW672" s="106"/>
      <c r="QX672" s="106"/>
      <c r="QY672" s="106"/>
      <c r="QZ672" s="106"/>
      <c r="RA672" s="106"/>
      <c r="RB672" s="106"/>
      <c r="RC672" s="106"/>
      <c r="RD672" s="106"/>
      <c r="RE672" s="106"/>
      <c r="RF672" s="106"/>
      <c r="RG672" s="106"/>
      <c r="RH672" s="106"/>
      <c r="RI672" s="106"/>
      <c r="RJ672" s="106"/>
      <c r="RK672" s="106"/>
      <c r="RL672" s="106"/>
    </row>
    <row r="673" spans="48:480" x14ac:dyDescent="0.3">
      <c r="AV673" s="103"/>
      <c r="CJ673" s="103"/>
      <c r="FP673" s="103"/>
      <c r="LL673" s="103"/>
      <c r="NM673" s="103"/>
      <c r="QT673" s="106"/>
      <c r="QU673" s="106"/>
      <c r="QV673" s="106"/>
      <c r="QW673" s="106"/>
      <c r="QX673" s="106"/>
      <c r="QY673" s="106"/>
      <c r="QZ673" s="106"/>
      <c r="RA673" s="106"/>
      <c r="RB673" s="106"/>
      <c r="RC673" s="106"/>
      <c r="RD673" s="106"/>
      <c r="RE673" s="106"/>
      <c r="RF673" s="106"/>
      <c r="RG673" s="106"/>
      <c r="RH673" s="106"/>
      <c r="RI673" s="106"/>
      <c r="RJ673" s="106"/>
      <c r="RK673" s="106"/>
      <c r="RL673" s="106"/>
    </row>
    <row r="674" spans="48:480" x14ac:dyDescent="0.3">
      <c r="AV674" s="103"/>
      <c r="CJ674" s="103"/>
      <c r="FP674" s="103"/>
      <c r="LL674" s="103"/>
      <c r="NM674" s="103"/>
      <c r="QT674" s="106"/>
      <c r="QU674" s="106"/>
      <c r="QV674" s="106"/>
      <c r="QW674" s="106"/>
      <c r="QX674" s="106"/>
      <c r="QY674" s="106"/>
      <c r="QZ674" s="106"/>
      <c r="RA674" s="106"/>
      <c r="RB674" s="106"/>
      <c r="RC674" s="106"/>
      <c r="RD674" s="106"/>
      <c r="RE674" s="106"/>
      <c r="RF674" s="106"/>
      <c r="RG674" s="106"/>
      <c r="RH674" s="106"/>
      <c r="RI674" s="106"/>
      <c r="RJ674" s="106"/>
      <c r="RK674" s="106"/>
      <c r="RL674" s="106"/>
    </row>
    <row r="675" spans="48:480" x14ac:dyDescent="0.3">
      <c r="AV675" s="103"/>
      <c r="CJ675" s="103"/>
      <c r="FP675" s="103"/>
      <c r="LL675" s="103"/>
      <c r="NM675" s="103"/>
      <c r="QT675" s="106"/>
      <c r="QU675" s="106"/>
      <c r="QV675" s="106"/>
      <c r="QW675" s="106"/>
      <c r="QX675" s="106"/>
      <c r="QY675" s="106"/>
      <c r="QZ675" s="106"/>
      <c r="RA675" s="106"/>
      <c r="RB675" s="106"/>
      <c r="RC675" s="106"/>
      <c r="RD675" s="106"/>
      <c r="RE675" s="106"/>
      <c r="RF675" s="106"/>
      <c r="RG675" s="106"/>
      <c r="RH675" s="106"/>
      <c r="RI675" s="106"/>
      <c r="RJ675" s="106"/>
      <c r="RK675" s="106"/>
      <c r="RL675" s="106"/>
    </row>
    <row r="676" spans="48:480" x14ac:dyDescent="0.3">
      <c r="AV676" s="103"/>
      <c r="CJ676" s="103"/>
      <c r="FP676" s="103"/>
      <c r="LL676" s="103"/>
      <c r="NM676" s="103"/>
      <c r="QT676" s="106"/>
      <c r="QU676" s="106"/>
      <c r="QV676" s="106"/>
      <c r="QW676" s="106"/>
      <c r="QX676" s="106"/>
      <c r="QY676" s="106"/>
      <c r="QZ676" s="106"/>
      <c r="RA676" s="106"/>
      <c r="RB676" s="106"/>
      <c r="RC676" s="106"/>
      <c r="RD676" s="106"/>
      <c r="RE676" s="106"/>
      <c r="RF676" s="106"/>
      <c r="RG676" s="106"/>
      <c r="RH676" s="106"/>
      <c r="RI676" s="106"/>
      <c r="RJ676" s="106"/>
      <c r="RK676" s="106"/>
      <c r="RL676" s="106"/>
    </row>
    <row r="677" spans="48:480" x14ac:dyDescent="0.3">
      <c r="AV677" s="103"/>
      <c r="CJ677" s="103"/>
      <c r="FP677" s="103"/>
      <c r="LL677" s="103"/>
      <c r="NM677" s="103"/>
      <c r="QT677" s="106"/>
      <c r="QU677" s="106"/>
      <c r="QV677" s="106"/>
      <c r="QW677" s="106"/>
      <c r="QX677" s="106"/>
      <c r="QY677" s="106"/>
      <c r="QZ677" s="106"/>
      <c r="RA677" s="106"/>
      <c r="RB677" s="106"/>
      <c r="RC677" s="106"/>
      <c r="RD677" s="106"/>
      <c r="RE677" s="106"/>
      <c r="RF677" s="106"/>
      <c r="RG677" s="106"/>
      <c r="RH677" s="106"/>
      <c r="RI677" s="106"/>
      <c r="RJ677" s="106"/>
      <c r="RK677" s="106"/>
      <c r="RL677" s="106"/>
    </row>
    <row r="678" spans="48:480" x14ac:dyDescent="0.3">
      <c r="AV678" s="103"/>
      <c r="CJ678" s="103"/>
      <c r="FP678" s="103"/>
      <c r="LL678" s="103"/>
      <c r="NM678" s="103"/>
      <c r="QT678" s="106"/>
      <c r="QU678" s="106"/>
      <c r="QV678" s="106"/>
      <c r="QW678" s="106"/>
      <c r="QX678" s="106"/>
      <c r="QY678" s="106"/>
      <c r="QZ678" s="106"/>
      <c r="RA678" s="106"/>
      <c r="RB678" s="106"/>
      <c r="RC678" s="106"/>
      <c r="RD678" s="106"/>
      <c r="RE678" s="106"/>
      <c r="RF678" s="106"/>
      <c r="RG678" s="106"/>
      <c r="RH678" s="106"/>
      <c r="RI678" s="106"/>
      <c r="RJ678" s="106"/>
      <c r="RK678" s="106"/>
      <c r="RL678" s="106"/>
    </row>
    <row r="679" spans="48:480" x14ac:dyDescent="0.3">
      <c r="AV679" s="103"/>
      <c r="CJ679" s="103"/>
      <c r="FP679" s="103"/>
      <c r="LL679" s="103"/>
      <c r="NM679" s="103"/>
      <c r="QT679" s="106"/>
      <c r="QU679" s="106"/>
      <c r="QV679" s="106"/>
      <c r="QW679" s="106"/>
      <c r="QX679" s="106"/>
      <c r="QY679" s="106"/>
      <c r="QZ679" s="106"/>
      <c r="RA679" s="106"/>
      <c r="RB679" s="106"/>
      <c r="RC679" s="106"/>
      <c r="RD679" s="106"/>
      <c r="RE679" s="106"/>
      <c r="RF679" s="106"/>
      <c r="RG679" s="106"/>
      <c r="RH679" s="106"/>
      <c r="RI679" s="106"/>
      <c r="RJ679" s="106"/>
      <c r="RK679" s="106"/>
      <c r="RL679" s="106"/>
    </row>
    <row r="680" spans="48:480" x14ac:dyDescent="0.3">
      <c r="AV680" s="103"/>
      <c r="CJ680" s="103"/>
      <c r="FP680" s="103"/>
      <c r="LL680" s="103"/>
      <c r="NM680" s="103"/>
      <c r="QT680" s="106"/>
      <c r="QU680" s="106"/>
      <c r="QV680" s="106"/>
      <c r="QW680" s="106"/>
      <c r="QX680" s="106"/>
      <c r="QY680" s="106"/>
      <c r="QZ680" s="106"/>
      <c r="RA680" s="106"/>
      <c r="RB680" s="106"/>
      <c r="RC680" s="106"/>
      <c r="RD680" s="106"/>
      <c r="RE680" s="106"/>
      <c r="RF680" s="106"/>
      <c r="RG680" s="106"/>
      <c r="RH680" s="106"/>
      <c r="RI680" s="106"/>
      <c r="RJ680" s="106"/>
      <c r="RK680" s="106"/>
      <c r="RL680" s="106"/>
    </row>
    <row r="681" spans="48:480" x14ac:dyDescent="0.3">
      <c r="AV681" s="103"/>
      <c r="CJ681" s="103"/>
      <c r="FP681" s="103"/>
      <c r="LL681" s="103"/>
      <c r="NM681" s="103"/>
      <c r="QT681" s="106"/>
      <c r="QU681" s="106"/>
      <c r="QV681" s="106"/>
      <c r="QW681" s="106"/>
      <c r="QX681" s="106"/>
      <c r="QY681" s="106"/>
      <c r="QZ681" s="106"/>
      <c r="RA681" s="106"/>
      <c r="RB681" s="106"/>
      <c r="RC681" s="106"/>
      <c r="RD681" s="106"/>
      <c r="RE681" s="106"/>
      <c r="RF681" s="106"/>
      <c r="RG681" s="106"/>
      <c r="RH681" s="106"/>
      <c r="RI681" s="106"/>
      <c r="RJ681" s="106"/>
      <c r="RK681" s="106"/>
      <c r="RL681" s="106"/>
    </row>
    <row r="682" spans="48:480" x14ac:dyDescent="0.3">
      <c r="AV682" s="103"/>
      <c r="CJ682" s="103"/>
      <c r="FP682" s="103"/>
      <c r="LL682" s="103"/>
      <c r="NM682" s="103"/>
      <c r="QT682" s="106"/>
      <c r="QU682" s="106"/>
      <c r="QV682" s="106"/>
      <c r="QW682" s="106"/>
      <c r="QX682" s="106"/>
      <c r="QY682" s="106"/>
      <c r="QZ682" s="106"/>
      <c r="RA682" s="106"/>
      <c r="RB682" s="106"/>
      <c r="RC682" s="106"/>
      <c r="RD682" s="106"/>
      <c r="RE682" s="106"/>
      <c r="RF682" s="106"/>
      <c r="RG682" s="106"/>
      <c r="RH682" s="106"/>
      <c r="RI682" s="106"/>
      <c r="RJ682" s="106"/>
      <c r="RK682" s="106"/>
      <c r="RL682" s="106"/>
    </row>
    <row r="683" spans="48:480" x14ac:dyDescent="0.3">
      <c r="AV683" s="103"/>
      <c r="CJ683" s="103"/>
      <c r="FP683" s="103"/>
      <c r="LL683" s="103"/>
      <c r="NM683" s="103"/>
      <c r="QT683" s="106"/>
      <c r="QU683" s="106"/>
      <c r="QV683" s="106"/>
      <c r="QW683" s="106"/>
      <c r="QX683" s="106"/>
      <c r="QY683" s="106"/>
      <c r="QZ683" s="106"/>
      <c r="RA683" s="106"/>
      <c r="RB683" s="106"/>
      <c r="RC683" s="106"/>
      <c r="RD683" s="106"/>
      <c r="RE683" s="106"/>
      <c r="RF683" s="106"/>
      <c r="RG683" s="106"/>
      <c r="RH683" s="106"/>
      <c r="RI683" s="106"/>
      <c r="RJ683" s="106"/>
      <c r="RK683" s="106"/>
      <c r="RL683" s="106"/>
    </row>
    <row r="684" spans="48:480" x14ac:dyDescent="0.3">
      <c r="AV684" s="103"/>
      <c r="CJ684" s="103"/>
      <c r="FP684" s="103"/>
      <c r="LL684" s="103"/>
      <c r="NM684" s="103"/>
      <c r="QT684" s="106"/>
      <c r="QU684" s="106"/>
      <c r="QV684" s="106"/>
      <c r="QW684" s="106"/>
      <c r="QX684" s="106"/>
      <c r="QY684" s="106"/>
      <c r="QZ684" s="106"/>
      <c r="RA684" s="106"/>
      <c r="RB684" s="106"/>
      <c r="RC684" s="106"/>
      <c r="RD684" s="106"/>
      <c r="RE684" s="106"/>
      <c r="RF684" s="106"/>
      <c r="RG684" s="106"/>
      <c r="RH684" s="106"/>
      <c r="RI684" s="106"/>
      <c r="RJ684" s="106"/>
      <c r="RK684" s="106"/>
      <c r="RL684" s="106"/>
    </row>
    <row r="685" spans="48:480" x14ac:dyDescent="0.3">
      <c r="AV685" s="103"/>
      <c r="CJ685" s="103"/>
      <c r="FP685" s="103"/>
      <c r="LL685" s="103"/>
      <c r="NM685" s="103"/>
      <c r="QT685" s="106"/>
      <c r="QU685" s="106"/>
      <c r="QV685" s="106"/>
      <c r="QW685" s="106"/>
      <c r="QX685" s="106"/>
      <c r="QY685" s="106"/>
      <c r="QZ685" s="106"/>
      <c r="RA685" s="106"/>
      <c r="RB685" s="106"/>
      <c r="RC685" s="106"/>
      <c r="RD685" s="106"/>
      <c r="RE685" s="106"/>
      <c r="RF685" s="106"/>
      <c r="RG685" s="106"/>
      <c r="RH685" s="106"/>
      <c r="RI685" s="106"/>
      <c r="RJ685" s="106"/>
      <c r="RK685" s="106"/>
      <c r="RL685" s="106"/>
    </row>
    <row r="686" spans="48:480" x14ac:dyDescent="0.3">
      <c r="AV686" s="103"/>
      <c r="CJ686" s="103"/>
      <c r="FP686" s="103"/>
      <c r="LL686" s="103"/>
      <c r="NM686" s="103"/>
      <c r="QT686" s="106"/>
      <c r="QU686" s="106"/>
      <c r="QV686" s="106"/>
      <c r="QW686" s="106"/>
      <c r="QX686" s="106"/>
      <c r="QY686" s="106"/>
      <c r="QZ686" s="106"/>
      <c r="RA686" s="106"/>
      <c r="RB686" s="106"/>
      <c r="RC686" s="106"/>
      <c r="RD686" s="106"/>
      <c r="RE686" s="106"/>
      <c r="RF686" s="106"/>
      <c r="RG686" s="106"/>
      <c r="RH686" s="106"/>
      <c r="RI686" s="106"/>
      <c r="RJ686" s="106"/>
      <c r="RK686" s="106"/>
      <c r="RL686" s="106"/>
    </row>
    <row r="687" spans="48:480" x14ac:dyDescent="0.3">
      <c r="AV687" s="103"/>
      <c r="CJ687" s="103"/>
      <c r="FP687" s="103"/>
      <c r="LL687" s="103"/>
      <c r="NM687" s="103"/>
      <c r="QT687" s="106"/>
      <c r="QU687" s="106"/>
      <c r="QV687" s="106"/>
      <c r="QW687" s="106"/>
      <c r="QX687" s="106"/>
      <c r="QY687" s="106"/>
      <c r="QZ687" s="106"/>
      <c r="RA687" s="106"/>
      <c r="RB687" s="106"/>
      <c r="RC687" s="106"/>
      <c r="RD687" s="106"/>
      <c r="RE687" s="106"/>
      <c r="RF687" s="106"/>
      <c r="RG687" s="106"/>
      <c r="RH687" s="106"/>
      <c r="RI687" s="106"/>
      <c r="RJ687" s="106"/>
      <c r="RK687" s="106"/>
      <c r="RL687" s="106"/>
    </row>
    <row r="688" spans="48:480" x14ac:dyDescent="0.3">
      <c r="AV688" s="103"/>
      <c r="CJ688" s="103"/>
      <c r="FP688" s="103"/>
      <c r="LL688" s="103"/>
      <c r="NM688" s="103"/>
      <c r="QT688" s="106"/>
      <c r="QU688" s="106"/>
      <c r="QV688" s="106"/>
      <c r="QW688" s="106"/>
      <c r="QX688" s="106"/>
      <c r="QY688" s="106"/>
      <c r="QZ688" s="106"/>
      <c r="RA688" s="106"/>
      <c r="RB688" s="106"/>
      <c r="RC688" s="106"/>
      <c r="RD688" s="106"/>
      <c r="RE688" s="106"/>
      <c r="RF688" s="106"/>
      <c r="RG688" s="106"/>
      <c r="RH688" s="106"/>
      <c r="RI688" s="106"/>
      <c r="RJ688" s="106"/>
      <c r="RK688" s="106"/>
      <c r="RL688" s="106"/>
    </row>
    <row r="689" spans="48:480" x14ac:dyDescent="0.3">
      <c r="AV689" s="103"/>
      <c r="CJ689" s="103"/>
      <c r="FP689" s="103"/>
      <c r="LL689" s="103"/>
      <c r="NM689" s="103"/>
      <c r="QT689" s="106"/>
      <c r="QU689" s="106"/>
      <c r="QV689" s="106"/>
      <c r="QW689" s="106"/>
      <c r="QX689" s="106"/>
      <c r="QY689" s="106"/>
      <c r="QZ689" s="106"/>
      <c r="RA689" s="106"/>
      <c r="RB689" s="106"/>
      <c r="RC689" s="106"/>
      <c r="RD689" s="106"/>
      <c r="RE689" s="106"/>
      <c r="RF689" s="106"/>
      <c r="RG689" s="106"/>
      <c r="RH689" s="106"/>
      <c r="RI689" s="106"/>
      <c r="RJ689" s="106"/>
      <c r="RK689" s="106"/>
      <c r="RL689" s="106"/>
    </row>
    <row r="690" spans="48:480" x14ac:dyDescent="0.3">
      <c r="AV690" s="103"/>
      <c r="CJ690" s="103"/>
      <c r="FP690" s="103"/>
      <c r="LL690" s="103"/>
      <c r="NM690" s="103"/>
      <c r="QT690" s="106"/>
      <c r="QU690" s="106"/>
      <c r="QV690" s="106"/>
      <c r="QW690" s="106"/>
      <c r="QX690" s="106"/>
      <c r="QY690" s="106"/>
      <c r="QZ690" s="106"/>
      <c r="RA690" s="106"/>
      <c r="RB690" s="106"/>
      <c r="RC690" s="106"/>
      <c r="RD690" s="106"/>
      <c r="RE690" s="106"/>
      <c r="RF690" s="106"/>
      <c r="RG690" s="106"/>
      <c r="RH690" s="106"/>
      <c r="RI690" s="106"/>
      <c r="RJ690" s="106"/>
      <c r="RK690" s="106"/>
      <c r="RL690" s="106"/>
    </row>
    <row r="691" spans="48:480" x14ac:dyDescent="0.3">
      <c r="AV691" s="103"/>
      <c r="CJ691" s="103"/>
      <c r="FP691" s="103"/>
      <c r="LL691" s="103"/>
      <c r="NM691" s="103"/>
      <c r="QT691" s="106"/>
      <c r="QU691" s="106"/>
      <c r="QV691" s="106"/>
      <c r="QW691" s="106"/>
      <c r="QX691" s="106"/>
      <c r="QY691" s="106"/>
      <c r="QZ691" s="106"/>
      <c r="RA691" s="106"/>
      <c r="RB691" s="106"/>
      <c r="RC691" s="106"/>
      <c r="RD691" s="106"/>
      <c r="RE691" s="106"/>
      <c r="RF691" s="106"/>
      <c r="RG691" s="106"/>
      <c r="RH691" s="106"/>
      <c r="RI691" s="106"/>
      <c r="RJ691" s="106"/>
      <c r="RK691" s="106"/>
      <c r="RL691" s="106"/>
    </row>
    <row r="692" spans="48:480" x14ac:dyDescent="0.3">
      <c r="AV692" s="103"/>
      <c r="CJ692" s="103"/>
      <c r="FP692" s="103"/>
      <c r="LL692" s="103"/>
      <c r="NM692" s="103"/>
      <c r="QT692" s="106"/>
      <c r="QU692" s="106"/>
      <c r="QV692" s="106"/>
      <c r="QW692" s="106"/>
      <c r="QX692" s="106"/>
      <c r="QY692" s="106"/>
      <c r="QZ692" s="106"/>
      <c r="RA692" s="106"/>
      <c r="RB692" s="106"/>
      <c r="RC692" s="106"/>
      <c r="RD692" s="106"/>
      <c r="RE692" s="106"/>
      <c r="RF692" s="106"/>
      <c r="RG692" s="106"/>
      <c r="RH692" s="106"/>
      <c r="RI692" s="106"/>
      <c r="RJ692" s="106"/>
      <c r="RK692" s="106"/>
      <c r="RL692" s="106"/>
    </row>
    <row r="693" spans="48:480" x14ac:dyDescent="0.3">
      <c r="AV693" s="103"/>
      <c r="CJ693" s="103"/>
      <c r="FP693" s="103"/>
      <c r="LL693" s="103"/>
      <c r="NM693" s="103"/>
      <c r="QT693" s="106"/>
      <c r="QU693" s="106"/>
      <c r="QV693" s="106"/>
      <c r="QW693" s="106"/>
      <c r="QX693" s="106"/>
      <c r="QY693" s="106"/>
      <c r="QZ693" s="106"/>
      <c r="RA693" s="106"/>
      <c r="RB693" s="106"/>
      <c r="RC693" s="106"/>
      <c r="RD693" s="106"/>
      <c r="RE693" s="106"/>
      <c r="RF693" s="106"/>
      <c r="RG693" s="106"/>
      <c r="RH693" s="106"/>
      <c r="RI693" s="106"/>
      <c r="RJ693" s="106"/>
      <c r="RK693" s="106"/>
      <c r="RL693" s="106"/>
    </row>
    <row r="694" spans="48:480" x14ac:dyDescent="0.3">
      <c r="AV694" s="103"/>
      <c r="CJ694" s="103"/>
      <c r="FP694" s="103"/>
      <c r="LL694" s="103"/>
      <c r="NM694" s="103"/>
      <c r="QT694" s="106"/>
      <c r="QU694" s="106"/>
      <c r="QV694" s="106"/>
      <c r="QW694" s="106"/>
      <c r="QX694" s="106"/>
      <c r="QY694" s="106"/>
      <c r="QZ694" s="106"/>
      <c r="RA694" s="106"/>
      <c r="RB694" s="106"/>
      <c r="RC694" s="106"/>
      <c r="RD694" s="106"/>
      <c r="RE694" s="106"/>
      <c r="RF694" s="106"/>
      <c r="RG694" s="106"/>
      <c r="RH694" s="106"/>
      <c r="RI694" s="106"/>
      <c r="RJ694" s="106"/>
      <c r="RK694" s="106"/>
      <c r="RL694" s="106"/>
    </row>
    <row r="695" spans="48:480" x14ac:dyDescent="0.3">
      <c r="AV695" s="103"/>
      <c r="CJ695" s="103"/>
      <c r="FP695" s="103"/>
      <c r="LL695" s="103"/>
      <c r="NM695" s="103"/>
      <c r="QT695" s="106"/>
      <c r="QU695" s="106"/>
      <c r="QV695" s="106"/>
      <c r="QW695" s="106"/>
      <c r="QX695" s="106"/>
      <c r="QY695" s="106"/>
      <c r="QZ695" s="106"/>
      <c r="RA695" s="106"/>
      <c r="RB695" s="106"/>
      <c r="RC695" s="106"/>
      <c r="RD695" s="106"/>
      <c r="RE695" s="106"/>
      <c r="RF695" s="106"/>
      <c r="RG695" s="106"/>
      <c r="RH695" s="106"/>
      <c r="RI695" s="106"/>
      <c r="RJ695" s="106"/>
      <c r="RK695" s="106"/>
      <c r="RL695" s="106"/>
    </row>
    <row r="696" spans="48:480" x14ac:dyDescent="0.3">
      <c r="AV696" s="103"/>
      <c r="CJ696" s="103"/>
      <c r="FP696" s="103"/>
      <c r="LL696" s="103"/>
      <c r="NM696" s="103"/>
      <c r="QT696" s="106"/>
      <c r="QU696" s="106"/>
      <c r="QV696" s="106"/>
      <c r="QW696" s="106"/>
      <c r="QX696" s="106"/>
      <c r="QY696" s="106"/>
      <c r="QZ696" s="106"/>
      <c r="RA696" s="106"/>
      <c r="RB696" s="106"/>
      <c r="RC696" s="106"/>
      <c r="RD696" s="106"/>
      <c r="RE696" s="106"/>
      <c r="RF696" s="106"/>
      <c r="RG696" s="106"/>
      <c r="RH696" s="106"/>
      <c r="RI696" s="106"/>
      <c r="RJ696" s="106"/>
      <c r="RK696" s="106"/>
      <c r="RL696" s="106"/>
    </row>
    <row r="697" spans="48:480" x14ac:dyDescent="0.3">
      <c r="AV697" s="103"/>
      <c r="CJ697" s="103"/>
      <c r="FP697" s="103"/>
      <c r="LL697" s="103"/>
      <c r="NM697" s="103"/>
      <c r="QT697" s="106"/>
      <c r="QU697" s="106"/>
      <c r="QV697" s="106"/>
      <c r="QW697" s="106"/>
      <c r="QX697" s="106"/>
      <c r="QY697" s="106"/>
      <c r="QZ697" s="106"/>
      <c r="RA697" s="106"/>
      <c r="RB697" s="106"/>
      <c r="RC697" s="106"/>
      <c r="RD697" s="106"/>
      <c r="RE697" s="106"/>
      <c r="RF697" s="106"/>
      <c r="RG697" s="106"/>
      <c r="RH697" s="106"/>
      <c r="RI697" s="106"/>
      <c r="RJ697" s="106"/>
      <c r="RK697" s="106"/>
      <c r="RL697" s="106"/>
    </row>
    <row r="698" spans="48:480" x14ac:dyDescent="0.3">
      <c r="AV698" s="103"/>
      <c r="CJ698" s="103"/>
      <c r="FP698" s="103"/>
      <c r="LL698" s="103"/>
      <c r="NM698" s="103"/>
      <c r="QT698" s="106"/>
      <c r="QU698" s="106"/>
      <c r="QV698" s="106"/>
      <c r="QW698" s="106"/>
      <c r="QX698" s="106"/>
      <c r="QY698" s="106"/>
      <c r="QZ698" s="106"/>
      <c r="RA698" s="106"/>
      <c r="RB698" s="106"/>
      <c r="RC698" s="106"/>
      <c r="RD698" s="106"/>
      <c r="RE698" s="106"/>
      <c r="RF698" s="106"/>
      <c r="RG698" s="106"/>
      <c r="RH698" s="106"/>
      <c r="RI698" s="106"/>
      <c r="RJ698" s="106"/>
      <c r="RK698" s="106"/>
      <c r="RL698" s="106"/>
    </row>
    <row r="699" spans="48:480" x14ac:dyDescent="0.3">
      <c r="AV699" s="103"/>
      <c r="CJ699" s="103"/>
      <c r="FP699" s="103"/>
      <c r="LL699" s="103"/>
      <c r="NM699" s="103"/>
      <c r="QT699" s="106"/>
      <c r="QU699" s="106"/>
      <c r="QV699" s="106"/>
      <c r="QW699" s="106"/>
      <c r="QX699" s="106"/>
      <c r="QY699" s="106"/>
      <c r="QZ699" s="106"/>
      <c r="RA699" s="106"/>
      <c r="RB699" s="106"/>
      <c r="RC699" s="106"/>
      <c r="RD699" s="106"/>
      <c r="RE699" s="106"/>
      <c r="RF699" s="106"/>
      <c r="RG699" s="106"/>
      <c r="RH699" s="106"/>
      <c r="RI699" s="106"/>
      <c r="RJ699" s="106"/>
      <c r="RK699" s="106"/>
      <c r="RL699" s="106"/>
    </row>
    <row r="700" spans="48:480" x14ac:dyDescent="0.3">
      <c r="AV700" s="103"/>
      <c r="CJ700" s="103"/>
      <c r="FP700" s="103"/>
      <c r="LL700" s="103"/>
      <c r="NM700" s="103"/>
      <c r="QT700" s="106"/>
      <c r="QU700" s="106"/>
      <c r="QV700" s="106"/>
      <c r="QW700" s="106"/>
      <c r="QX700" s="106"/>
      <c r="QY700" s="106"/>
      <c r="QZ700" s="106"/>
      <c r="RA700" s="106"/>
      <c r="RB700" s="106"/>
      <c r="RC700" s="106"/>
      <c r="RD700" s="106"/>
      <c r="RE700" s="106"/>
      <c r="RF700" s="106"/>
      <c r="RG700" s="106"/>
      <c r="RH700" s="106"/>
      <c r="RI700" s="106"/>
      <c r="RJ700" s="106"/>
      <c r="RK700" s="106"/>
      <c r="RL700" s="106"/>
    </row>
    <row r="701" spans="48:480" x14ac:dyDescent="0.3">
      <c r="AV701" s="103"/>
      <c r="CJ701" s="103"/>
      <c r="FP701" s="103"/>
      <c r="LL701" s="103"/>
      <c r="NM701" s="103"/>
      <c r="QT701" s="106"/>
      <c r="QU701" s="106"/>
      <c r="QV701" s="106"/>
      <c r="QW701" s="106"/>
      <c r="QX701" s="106"/>
      <c r="QY701" s="106"/>
      <c r="QZ701" s="106"/>
      <c r="RA701" s="106"/>
      <c r="RB701" s="106"/>
      <c r="RC701" s="106"/>
      <c r="RD701" s="106"/>
      <c r="RE701" s="106"/>
      <c r="RF701" s="106"/>
      <c r="RG701" s="106"/>
      <c r="RH701" s="106"/>
      <c r="RI701" s="106"/>
      <c r="RJ701" s="106"/>
      <c r="RK701" s="106"/>
      <c r="RL701" s="106"/>
    </row>
    <row r="702" spans="48:480" x14ac:dyDescent="0.3">
      <c r="AV702" s="103"/>
      <c r="CJ702" s="103"/>
      <c r="FP702" s="103"/>
      <c r="LL702" s="103"/>
      <c r="NM702" s="103"/>
      <c r="QT702" s="106"/>
      <c r="QU702" s="106"/>
      <c r="QV702" s="106"/>
      <c r="QW702" s="106"/>
      <c r="QX702" s="106"/>
      <c r="QY702" s="106"/>
      <c r="QZ702" s="106"/>
      <c r="RA702" s="106"/>
      <c r="RB702" s="106"/>
      <c r="RC702" s="106"/>
      <c r="RD702" s="106"/>
      <c r="RE702" s="106"/>
      <c r="RF702" s="106"/>
      <c r="RG702" s="106"/>
      <c r="RH702" s="106"/>
      <c r="RI702" s="106"/>
      <c r="RJ702" s="106"/>
      <c r="RK702" s="106"/>
      <c r="RL702" s="106"/>
    </row>
    <row r="703" spans="48:480" x14ac:dyDescent="0.3">
      <c r="AV703" s="103"/>
      <c r="CJ703" s="103"/>
      <c r="FP703" s="103"/>
      <c r="LL703" s="103"/>
      <c r="NM703" s="103"/>
      <c r="QT703" s="106"/>
      <c r="QU703" s="106"/>
      <c r="QV703" s="106"/>
      <c r="QW703" s="106"/>
      <c r="QX703" s="106"/>
      <c r="QY703" s="106"/>
      <c r="QZ703" s="106"/>
      <c r="RA703" s="106"/>
      <c r="RB703" s="106"/>
      <c r="RC703" s="106"/>
      <c r="RD703" s="106"/>
      <c r="RE703" s="106"/>
      <c r="RF703" s="106"/>
      <c r="RG703" s="106"/>
      <c r="RH703" s="106"/>
      <c r="RI703" s="106"/>
      <c r="RJ703" s="106"/>
      <c r="RK703" s="106"/>
      <c r="RL703" s="106"/>
    </row>
    <row r="704" spans="48:480" x14ac:dyDescent="0.3">
      <c r="AV704" s="103"/>
      <c r="CJ704" s="103"/>
      <c r="FP704" s="103"/>
      <c r="LL704" s="103"/>
      <c r="NM704" s="103"/>
      <c r="QT704" s="106"/>
      <c r="QU704" s="106"/>
      <c r="QV704" s="106"/>
      <c r="QW704" s="106"/>
      <c r="QX704" s="106"/>
      <c r="QY704" s="106"/>
      <c r="QZ704" s="106"/>
      <c r="RA704" s="106"/>
      <c r="RB704" s="106"/>
      <c r="RC704" s="106"/>
      <c r="RD704" s="106"/>
      <c r="RE704" s="106"/>
      <c r="RF704" s="106"/>
      <c r="RG704" s="106"/>
      <c r="RH704" s="106"/>
      <c r="RI704" s="106"/>
      <c r="RJ704" s="106"/>
      <c r="RK704" s="106"/>
      <c r="RL704" s="106"/>
    </row>
    <row r="705" spans="48:480" x14ac:dyDescent="0.3">
      <c r="AV705" s="103"/>
      <c r="CJ705" s="103"/>
      <c r="FP705" s="103"/>
      <c r="LL705" s="103"/>
      <c r="NM705" s="103"/>
      <c r="QT705" s="106"/>
      <c r="QU705" s="106"/>
      <c r="QV705" s="106"/>
      <c r="QW705" s="106"/>
      <c r="QX705" s="106"/>
      <c r="QY705" s="106"/>
      <c r="QZ705" s="106"/>
      <c r="RA705" s="106"/>
      <c r="RB705" s="106"/>
      <c r="RC705" s="106"/>
      <c r="RD705" s="106"/>
      <c r="RE705" s="106"/>
      <c r="RF705" s="106"/>
      <c r="RG705" s="106"/>
      <c r="RH705" s="106"/>
      <c r="RI705" s="106"/>
      <c r="RJ705" s="106"/>
      <c r="RK705" s="106"/>
      <c r="RL705" s="106"/>
    </row>
    <row r="706" spans="48:480" x14ac:dyDescent="0.3">
      <c r="AV706" s="103"/>
      <c r="CJ706" s="103"/>
      <c r="FP706" s="103"/>
      <c r="LL706" s="103"/>
      <c r="NM706" s="103"/>
      <c r="QT706" s="106"/>
      <c r="QU706" s="106"/>
      <c r="QV706" s="106"/>
      <c r="QW706" s="106"/>
      <c r="QX706" s="106"/>
      <c r="QY706" s="106"/>
      <c r="QZ706" s="106"/>
      <c r="RA706" s="106"/>
      <c r="RB706" s="106"/>
      <c r="RC706" s="106"/>
      <c r="RD706" s="106"/>
      <c r="RE706" s="106"/>
      <c r="RF706" s="106"/>
      <c r="RG706" s="106"/>
      <c r="RH706" s="106"/>
      <c r="RI706" s="106"/>
      <c r="RJ706" s="106"/>
      <c r="RK706" s="106"/>
      <c r="RL706" s="106"/>
    </row>
    <row r="707" spans="48:480" x14ac:dyDescent="0.3">
      <c r="AV707" s="103"/>
      <c r="CJ707" s="103"/>
      <c r="FP707" s="103"/>
      <c r="LL707" s="103"/>
      <c r="NM707" s="103"/>
      <c r="QT707" s="106"/>
      <c r="QU707" s="106"/>
      <c r="QV707" s="106"/>
      <c r="QW707" s="106"/>
      <c r="QX707" s="106"/>
      <c r="QY707" s="106"/>
      <c r="QZ707" s="106"/>
      <c r="RA707" s="106"/>
      <c r="RB707" s="106"/>
      <c r="RC707" s="106"/>
      <c r="RD707" s="106"/>
      <c r="RE707" s="106"/>
      <c r="RF707" s="106"/>
      <c r="RG707" s="106"/>
      <c r="RH707" s="106"/>
      <c r="RI707" s="106"/>
      <c r="RJ707" s="106"/>
      <c r="RK707" s="106"/>
      <c r="RL707" s="106"/>
    </row>
    <row r="708" spans="48:480" x14ac:dyDescent="0.3">
      <c r="AV708" s="103"/>
      <c r="CJ708" s="103"/>
      <c r="FP708" s="103"/>
      <c r="LL708" s="103"/>
      <c r="NM708" s="103"/>
      <c r="QT708" s="106"/>
      <c r="QU708" s="106"/>
      <c r="QV708" s="106"/>
      <c r="QW708" s="106"/>
      <c r="QX708" s="106"/>
      <c r="QY708" s="106"/>
      <c r="QZ708" s="106"/>
      <c r="RA708" s="106"/>
      <c r="RB708" s="106"/>
      <c r="RC708" s="106"/>
      <c r="RD708" s="106"/>
      <c r="RE708" s="106"/>
      <c r="RF708" s="106"/>
      <c r="RG708" s="106"/>
      <c r="RH708" s="106"/>
      <c r="RI708" s="106"/>
      <c r="RJ708" s="106"/>
      <c r="RK708" s="106"/>
      <c r="RL708" s="106"/>
    </row>
    <row r="709" spans="48:480" x14ac:dyDescent="0.3">
      <c r="AV709" s="103"/>
      <c r="CJ709" s="103"/>
      <c r="FP709" s="103"/>
      <c r="LL709" s="103"/>
      <c r="NM709" s="103"/>
      <c r="QT709" s="106"/>
      <c r="QU709" s="106"/>
      <c r="QV709" s="106"/>
      <c r="QW709" s="106"/>
      <c r="QX709" s="106"/>
      <c r="QY709" s="106"/>
      <c r="QZ709" s="106"/>
      <c r="RA709" s="106"/>
      <c r="RB709" s="106"/>
      <c r="RC709" s="106"/>
      <c r="RD709" s="106"/>
      <c r="RE709" s="106"/>
      <c r="RF709" s="106"/>
      <c r="RG709" s="106"/>
      <c r="RH709" s="106"/>
      <c r="RI709" s="106"/>
      <c r="RJ709" s="106"/>
      <c r="RK709" s="106"/>
      <c r="RL709" s="106"/>
    </row>
    <row r="710" spans="48:480" x14ac:dyDescent="0.3">
      <c r="AV710" s="103"/>
      <c r="CJ710" s="103"/>
      <c r="FP710" s="103"/>
      <c r="LL710" s="103"/>
      <c r="NM710" s="103"/>
      <c r="QT710" s="106"/>
      <c r="QU710" s="106"/>
      <c r="QV710" s="106"/>
      <c r="QW710" s="106"/>
      <c r="QX710" s="106"/>
      <c r="QY710" s="106"/>
      <c r="QZ710" s="106"/>
      <c r="RA710" s="106"/>
      <c r="RB710" s="106"/>
      <c r="RC710" s="106"/>
      <c r="RD710" s="106"/>
      <c r="RE710" s="106"/>
      <c r="RF710" s="106"/>
      <c r="RG710" s="106"/>
      <c r="RH710" s="106"/>
      <c r="RI710" s="106"/>
      <c r="RJ710" s="106"/>
      <c r="RK710" s="106"/>
      <c r="RL710" s="106"/>
    </row>
    <row r="711" spans="48:480" x14ac:dyDescent="0.3">
      <c r="AV711" s="103"/>
      <c r="CJ711" s="103"/>
      <c r="FP711" s="103"/>
      <c r="LL711" s="103"/>
      <c r="NM711" s="103"/>
      <c r="QT711" s="106"/>
      <c r="QU711" s="106"/>
      <c r="QV711" s="106"/>
      <c r="QW711" s="106"/>
      <c r="QX711" s="106"/>
      <c r="QY711" s="106"/>
      <c r="QZ711" s="106"/>
      <c r="RA711" s="106"/>
      <c r="RB711" s="106"/>
      <c r="RC711" s="106"/>
      <c r="RD711" s="106"/>
      <c r="RE711" s="106"/>
      <c r="RF711" s="106"/>
      <c r="RG711" s="106"/>
      <c r="RH711" s="106"/>
      <c r="RI711" s="106"/>
      <c r="RJ711" s="106"/>
      <c r="RK711" s="106"/>
      <c r="RL711" s="106"/>
    </row>
    <row r="712" spans="48:480" x14ac:dyDescent="0.3">
      <c r="AV712" s="103"/>
      <c r="CJ712" s="103"/>
      <c r="FP712" s="103"/>
      <c r="LL712" s="103"/>
      <c r="NM712" s="103"/>
      <c r="QT712" s="106"/>
      <c r="QU712" s="106"/>
      <c r="QV712" s="106"/>
      <c r="QW712" s="106"/>
      <c r="QX712" s="106"/>
      <c r="QY712" s="106"/>
      <c r="QZ712" s="106"/>
      <c r="RA712" s="106"/>
      <c r="RB712" s="106"/>
      <c r="RC712" s="106"/>
      <c r="RD712" s="106"/>
      <c r="RE712" s="106"/>
      <c r="RF712" s="106"/>
      <c r="RG712" s="106"/>
      <c r="RH712" s="106"/>
      <c r="RI712" s="106"/>
      <c r="RJ712" s="106"/>
      <c r="RK712" s="106"/>
      <c r="RL712" s="106"/>
    </row>
    <row r="713" spans="48:480" x14ac:dyDescent="0.3">
      <c r="AV713" s="103"/>
      <c r="CJ713" s="103"/>
      <c r="FP713" s="103"/>
      <c r="LL713" s="103"/>
      <c r="NM713" s="103"/>
      <c r="QT713" s="106"/>
      <c r="QU713" s="106"/>
      <c r="QV713" s="106"/>
      <c r="QW713" s="106"/>
      <c r="QX713" s="106"/>
      <c r="QY713" s="106"/>
      <c r="QZ713" s="106"/>
      <c r="RA713" s="106"/>
      <c r="RB713" s="106"/>
      <c r="RC713" s="106"/>
      <c r="RD713" s="106"/>
      <c r="RE713" s="106"/>
      <c r="RF713" s="106"/>
      <c r="RG713" s="106"/>
      <c r="RH713" s="106"/>
      <c r="RI713" s="106"/>
      <c r="RJ713" s="106"/>
      <c r="RK713" s="106"/>
      <c r="RL713" s="106"/>
    </row>
    <row r="714" spans="48:480" x14ac:dyDescent="0.3">
      <c r="AV714" s="103"/>
      <c r="CJ714" s="103"/>
      <c r="FP714" s="103"/>
      <c r="LL714" s="103"/>
      <c r="NM714" s="103"/>
      <c r="QT714" s="106"/>
      <c r="QU714" s="106"/>
      <c r="QV714" s="106"/>
      <c r="QW714" s="106"/>
      <c r="QX714" s="106"/>
      <c r="QY714" s="106"/>
      <c r="QZ714" s="106"/>
      <c r="RA714" s="106"/>
      <c r="RB714" s="106"/>
      <c r="RC714" s="106"/>
      <c r="RD714" s="106"/>
      <c r="RE714" s="106"/>
      <c r="RF714" s="106"/>
      <c r="RG714" s="106"/>
      <c r="RH714" s="106"/>
      <c r="RI714" s="106"/>
      <c r="RJ714" s="106"/>
      <c r="RK714" s="106"/>
      <c r="RL714" s="106"/>
    </row>
    <row r="715" spans="48:480" x14ac:dyDescent="0.3">
      <c r="AV715" s="103"/>
      <c r="CJ715" s="103"/>
      <c r="FP715" s="103"/>
      <c r="LL715" s="103"/>
      <c r="NM715" s="103"/>
      <c r="QT715" s="106"/>
      <c r="QU715" s="106"/>
      <c r="QV715" s="106"/>
      <c r="QW715" s="106"/>
      <c r="QX715" s="106"/>
      <c r="QY715" s="106"/>
      <c r="QZ715" s="106"/>
      <c r="RA715" s="106"/>
      <c r="RB715" s="106"/>
      <c r="RC715" s="106"/>
      <c r="RD715" s="106"/>
      <c r="RE715" s="106"/>
      <c r="RF715" s="106"/>
      <c r="RG715" s="106"/>
      <c r="RH715" s="106"/>
      <c r="RI715" s="106"/>
      <c r="RJ715" s="106"/>
      <c r="RK715" s="106"/>
      <c r="RL715" s="106"/>
    </row>
    <row r="716" spans="48:480" x14ac:dyDescent="0.3">
      <c r="AV716" s="103"/>
      <c r="CJ716" s="103"/>
      <c r="FP716" s="103"/>
      <c r="LL716" s="103"/>
      <c r="NM716" s="103"/>
      <c r="QT716" s="106"/>
      <c r="QU716" s="106"/>
      <c r="QV716" s="106"/>
      <c r="QW716" s="106"/>
      <c r="QX716" s="106"/>
      <c r="QY716" s="106"/>
      <c r="QZ716" s="106"/>
      <c r="RA716" s="106"/>
      <c r="RB716" s="106"/>
      <c r="RC716" s="106"/>
      <c r="RD716" s="106"/>
      <c r="RE716" s="106"/>
      <c r="RF716" s="106"/>
      <c r="RG716" s="106"/>
      <c r="RH716" s="106"/>
      <c r="RI716" s="106"/>
      <c r="RJ716" s="106"/>
      <c r="RK716" s="106"/>
      <c r="RL716" s="106"/>
    </row>
    <row r="717" spans="48:480" x14ac:dyDescent="0.3">
      <c r="AV717" s="103"/>
      <c r="CJ717" s="103"/>
      <c r="FP717" s="103"/>
      <c r="LL717" s="103"/>
      <c r="NM717" s="103"/>
      <c r="QT717" s="106"/>
      <c r="QU717" s="106"/>
      <c r="QV717" s="106"/>
      <c r="QW717" s="106"/>
      <c r="QX717" s="106"/>
      <c r="QY717" s="106"/>
      <c r="QZ717" s="106"/>
      <c r="RA717" s="106"/>
      <c r="RB717" s="106"/>
      <c r="RC717" s="106"/>
      <c r="RD717" s="106"/>
      <c r="RE717" s="106"/>
      <c r="RF717" s="106"/>
      <c r="RG717" s="106"/>
      <c r="RH717" s="106"/>
      <c r="RI717" s="106"/>
      <c r="RJ717" s="106"/>
      <c r="RK717" s="106"/>
      <c r="RL717" s="106"/>
    </row>
    <row r="718" spans="48:480" x14ac:dyDescent="0.3">
      <c r="AV718" s="103"/>
      <c r="CJ718" s="103"/>
      <c r="FP718" s="103"/>
      <c r="LL718" s="103"/>
      <c r="NM718" s="103"/>
      <c r="QT718" s="106"/>
      <c r="QU718" s="106"/>
      <c r="QV718" s="106"/>
      <c r="QW718" s="106"/>
      <c r="QX718" s="106"/>
      <c r="QY718" s="106"/>
      <c r="QZ718" s="106"/>
      <c r="RA718" s="106"/>
      <c r="RB718" s="106"/>
      <c r="RC718" s="106"/>
      <c r="RD718" s="106"/>
      <c r="RE718" s="106"/>
      <c r="RF718" s="106"/>
      <c r="RG718" s="106"/>
      <c r="RH718" s="106"/>
      <c r="RI718" s="106"/>
      <c r="RJ718" s="106"/>
      <c r="RK718" s="106"/>
      <c r="RL718" s="106"/>
    </row>
    <row r="719" spans="48:480" x14ac:dyDescent="0.3">
      <c r="AV719" s="103"/>
      <c r="CJ719" s="103"/>
      <c r="FP719" s="103"/>
      <c r="LL719" s="103"/>
      <c r="NM719" s="103"/>
      <c r="QT719" s="106"/>
      <c r="QU719" s="106"/>
      <c r="QV719" s="106"/>
      <c r="QW719" s="106"/>
      <c r="QX719" s="106"/>
      <c r="QY719" s="106"/>
      <c r="QZ719" s="106"/>
      <c r="RA719" s="106"/>
      <c r="RB719" s="106"/>
      <c r="RC719" s="106"/>
      <c r="RD719" s="106"/>
      <c r="RE719" s="106"/>
      <c r="RF719" s="106"/>
      <c r="RG719" s="106"/>
      <c r="RH719" s="106"/>
      <c r="RI719" s="106"/>
      <c r="RJ719" s="106"/>
      <c r="RK719" s="106"/>
      <c r="RL719" s="106"/>
    </row>
    <row r="720" spans="48:480" x14ac:dyDescent="0.3">
      <c r="AV720" s="103"/>
      <c r="CJ720" s="103"/>
      <c r="FP720" s="103"/>
      <c r="LL720" s="103"/>
      <c r="NM720" s="103"/>
      <c r="QT720" s="106"/>
      <c r="QU720" s="106"/>
      <c r="QV720" s="106"/>
      <c r="QW720" s="106"/>
      <c r="QX720" s="106"/>
      <c r="QY720" s="106"/>
      <c r="QZ720" s="106"/>
      <c r="RA720" s="106"/>
      <c r="RB720" s="106"/>
      <c r="RC720" s="106"/>
      <c r="RD720" s="106"/>
      <c r="RE720" s="106"/>
      <c r="RF720" s="106"/>
      <c r="RG720" s="106"/>
      <c r="RH720" s="106"/>
      <c r="RI720" s="106"/>
      <c r="RJ720" s="106"/>
      <c r="RK720" s="106"/>
      <c r="RL720" s="106"/>
    </row>
    <row r="721" spans="48:480" x14ac:dyDescent="0.3">
      <c r="AV721" s="103"/>
      <c r="CJ721" s="103"/>
      <c r="FP721" s="103"/>
      <c r="LL721" s="103"/>
      <c r="NM721" s="103"/>
      <c r="QT721" s="106"/>
      <c r="QU721" s="106"/>
      <c r="QV721" s="106"/>
      <c r="QW721" s="106"/>
      <c r="QX721" s="106"/>
      <c r="QY721" s="106"/>
      <c r="QZ721" s="106"/>
      <c r="RA721" s="106"/>
      <c r="RB721" s="106"/>
      <c r="RC721" s="106"/>
      <c r="RD721" s="106"/>
      <c r="RE721" s="106"/>
      <c r="RF721" s="106"/>
      <c r="RG721" s="106"/>
      <c r="RH721" s="106"/>
      <c r="RI721" s="106"/>
      <c r="RJ721" s="106"/>
      <c r="RK721" s="106"/>
      <c r="RL721" s="106"/>
    </row>
    <row r="722" spans="48:480" x14ac:dyDescent="0.3">
      <c r="AV722" s="103"/>
      <c r="CJ722" s="103"/>
      <c r="FP722" s="103"/>
      <c r="LL722" s="103"/>
      <c r="NM722" s="103"/>
      <c r="QT722" s="106"/>
      <c r="QU722" s="106"/>
      <c r="QV722" s="106"/>
      <c r="QW722" s="106"/>
      <c r="QX722" s="106"/>
      <c r="QY722" s="106"/>
      <c r="QZ722" s="106"/>
      <c r="RA722" s="106"/>
      <c r="RB722" s="106"/>
      <c r="RC722" s="106"/>
      <c r="RD722" s="106"/>
      <c r="RE722" s="106"/>
      <c r="RF722" s="106"/>
      <c r="RG722" s="106"/>
      <c r="RH722" s="106"/>
      <c r="RI722" s="106"/>
      <c r="RJ722" s="106"/>
      <c r="RK722" s="106"/>
      <c r="RL722" s="106"/>
    </row>
    <row r="723" spans="48:480" x14ac:dyDescent="0.3">
      <c r="AV723" s="103"/>
      <c r="CJ723" s="103"/>
      <c r="FP723" s="103"/>
      <c r="LL723" s="103"/>
      <c r="NM723" s="103"/>
      <c r="QT723" s="106"/>
      <c r="QU723" s="106"/>
      <c r="QV723" s="106"/>
      <c r="QW723" s="106"/>
      <c r="QX723" s="106"/>
      <c r="QY723" s="106"/>
      <c r="QZ723" s="106"/>
      <c r="RA723" s="106"/>
      <c r="RB723" s="106"/>
      <c r="RC723" s="106"/>
      <c r="RD723" s="106"/>
      <c r="RE723" s="106"/>
      <c r="RF723" s="106"/>
      <c r="RG723" s="106"/>
      <c r="RH723" s="106"/>
      <c r="RI723" s="106"/>
      <c r="RJ723" s="106"/>
      <c r="RK723" s="106"/>
      <c r="RL723" s="106"/>
    </row>
    <row r="724" spans="48:480" x14ac:dyDescent="0.3">
      <c r="AV724" s="103"/>
      <c r="CJ724" s="103"/>
      <c r="FP724" s="103"/>
      <c r="LL724" s="103"/>
      <c r="NM724" s="103"/>
      <c r="QT724" s="106"/>
      <c r="QU724" s="106"/>
      <c r="QV724" s="106"/>
      <c r="QW724" s="106"/>
      <c r="QX724" s="106"/>
      <c r="QY724" s="106"/>
      <c r="QZ724" s="106"/>
      <c r="RA724" s="106"/>
      <c r="RB724" s="106"/>
      <c r="RC724" s="106"/>
      <c r="RD724" s="106"/>
      <c r="RE724" s="106"/>
      <c r="RF724" s="106"/>
      <c r="RG724" s="106"/>
      <c r="RH724" s="106"/>
      <c r="RI724" s="106"/>
      <c r="RJ724" s="106"/>
      <c r="RK724" s="106"/>
      <c r="RL724" s="106"/>
    </row>
    <row r="725" spans="48:480" x14ac:dyDescent="0.3">
      <c r="AV725" s="103"/>
      <c r="CJ725" s="103"/>
      <c r="FP725" s="103"/>
      <c r="LL725" s="103"/>
      <c r="NM725" s="103"/>
      <c r="QT725" s="106"/>
      <c r="QU725" s="106"/>
      <c r="QV725" s="106"/>
      <c r="QW725" s="106"/>
      <c r="QX725" s="106"/>
      <c r="QY725" s="106"/>
      <c r="QZ725" s="106"/>
      <c r="RA725" s="106"/>
      <c r="RB725" s="106"/>
      <c r="RC725" s="106"/>
      <c r="RD725" s="106"/>
      <c r="RE725" s="106"/>
      <c r="RF725" s="106"/>
      <c r="RG725" s="106"/>
      <c r="RH725" s="106"/>
      <c r="RI725" s="106"/>
      <c r="RJ725" s="106"/>
      <c r="RK725" s="106"/>
      <c r="RL725" s="106"/>
    </row>
    <row r="726" spans="48:480" x14ac:dyDescent="0.3">
      <c r="AV726" s="103"/>
      <c r="CJ726" s="103"/>
      <c r="FP726" s="103"/>
      <c r="LL726" s="103"/>
      <c r="NM726" s="103"/>
      <c r="QT726" s="106"/>
      <c r="QU726" s="106"/>
      <c r="QV726" s="106"/>
      <c r="QW726" s="106"/>
      <c r="QX726" s="106"/>
      <c r="QY726" s="106"/>
      <c r="QZ726" s="106"/>
      <c r="RA726" s="106"/>
      <c r="RB726" s="106"/>
      <c r="RC726" s="106"/>
      <c r="RD726" s="106"/>
      <c r="RE726" s="106"/>
      <c r="RF726" s="106"/>
      <c r="RG726" s="106"/>
      <c r="RH726" s="106"/>
      <c r="RI726" s="106"/>
      <c r="RJ726" s="106"/>
      <c r="RK726" s="106"/>
      <c r="RL726" s="106"/>
    </row>
    <row r="727" spans="48:480" x14ac:dyDescent="0.3">
      <c r="AV727" s="103"/>
      <c r="CJ727" s="103"/>
      <c r="FP727" s="103"/>
      <c r="LL727" s="103"/>
      <c r="NM727" s="103"/>
      <c r="QT727" s="106"/>
      <c r="QU727" s="106"/>
      <c r="QV727" s="106"/>
      <c r="QW727" s="106"/>
      <c r="QX727" s="106"/>
      <c r="QY727" s="106"/>
      <c r="QZ727" s="106"/>
      <c r="RA727" s="106"/>
      <c r="RB727" s="106"/>
      <c r="RC727" s="106"/>
      <c r="RD727" s="106"/>
      <c r="RE727" s="106"/>
      <c r="RF727" s="106"/>
      <c r="RG727" s="106"/>
      <c r="RH727" s="106"/>
      <c r="RI727" s="106"/>
      <c r="RJ727" s="106"/>
      <c r="RK727" s="106"/>
      <c r="RL727" s="106"/>
    </row>
    <row r="728" spans="48:480" x14ac:dyDescent="0.3">
      <c r="AV728" s="103"/>
      <c r="CJ728" s="103"/>
      <c r="FP728" s="103"/>
      <c r="LL728" s="103"/>
      <c r="NM728" s="103"/>
      <c r="QT728" s="106"/>
      <c r="QU728" s="106"/>
      <c r="QV728" s="106"/>
      <c r="QW728" s="106"/>
      <c r="QX728" s="106"/>
      <c r="QY728" s="106"/>
      <c r="QZ728" s="106"/>
      <c r="RA728" s="106"/>
      <c r="RB728" s="106"/>
      <c r="RC728" s="106"/>
      <c r="RD728" s="106"/>
      <c r="RE728" s="106"/>
      <c r="RF728" s="106"/>
      <c r="RG728" s="106"/>
      <c r="RH728" s="106"/>
      <c r="RI728" s="106"/>
      <c r="RJ728" s="106"/>
      <c r="RK728" s="106"/>
      <c r="RL728" s="106"/>
    </row>
    <row r="729" spans="48:480" x14ac:dyDescent="0.3">
      <c r="AV729" s="103"/>
      <c r="CJ729" s="103"/>
      <c r="FP729" s="103"/>
      <c r="LL729" s="103"/>
      <c r="NM729" s="103"/>
      <c r="QT729" s="106"/>
      <c r="QU729" s="106"/>
      <c r="QV729" s="106"/>
      <c r="QW729" s="106"/>
      <c r="QX729" s="106"/>
      <c r="QY729" s="106"/>
      <c r="QZ729" s="106"/>
      <c r="RA729" s="106"/>
      <c r="RB729" s="106"/>
      <c r="RC729" s="106"/>
      <c r="RD729" s="106"/>
      <c r="RE729" s="106"/>
      <c r="RF729" s="106"/>
      <c r="RG729" s="106"/>
      <c r="RH729" s="106"/>
      <c r="RI729" s="106"/>
      <c r="RJ729" s="106"/>
      <c r="RK729" s="106"/>
      <c r="RL729" s="106"/>
    </row>
    <row r="730" spans="48:480" x14ac:dyDescent="0.3">
      <c r="AV730" s="103"/>
      <c r="CJ730" s="103"/>
      <c r="FP730" s="103"/>
      <c r="LL730" s="103"/>
      <c r="NM730" s="103"/>
      <c r="QT730" s="106"/>
      <c r="QU730" s="106"/>
      <c r="QV730" s="106"/>
      <c r="QW730" s="106"/>
      <c r="QX730" s="106"/>
      <c r="QY730" s="106"/>
      <c r="QZ730" s="106"/>
      <c r="RA730" s="106"/>
      <c r="RB730" s="106"/>
      <c r="RC730" s="106"/>
      <c r="RD730" s="106"/>
      <c r="RE730" s="106"/>
      <c r="RF730" s="106"/>
      <c r="RG730" s="106"/>
      <c r="RH730" s="106"/>
      <c r="RI730" s="106"/>
      <c r="RJ730" s="106"/>
      <c r="RK730" s="106"/>
      <c r="RL730" s="106"/>
    </row>
    <row r="731" spans="48:480" x14ac:dyDescent="0.3">
      <c r="AV731" s="103"/>
      <c r="CJ731" s="103"/>
      <c r="FP731" s="103"/>
      <c r="LL731" s="103"/>
      <c r="NM731" s="103"/>
      <c r="QT731" s="106"/>
      <c r="QU731" s="106"/>
      <c r="QV731" s="106"/>
      <c r="QW731" s="106"/>
      <c r="QX731" s="106"/>
      <c r="QY731" s="106"/>
      <c r="QZ731" s="106"/>
      <c r="RA731" s="106"/>
      <c r="RB731" s="106"/>
      <c r="RC731" s="106"/>
      <c r="RD731" s="106"/>
      <c r="RE731" s="106"/>
      <c r="RF731" s="106"/>
      <c r="RG731" s="106"/>
      <c r="RH731" s="106"/>
      <c r="RI731" s="106"/>
      <c r="RJ731" s="106"/>
      <c r="RK731" s="106"/>
      <c r="RL731" s="106"/>
    </row>
    <row r="732" spans="48:480" x14ac:dyDescent="0.3">
      <c r="AV732" s="103"/>
      <c r="CJ732" s="103"/>
      <c r="FP732" s="103"/>
      <c r="LL732" s="103"/>
      <c r="NM732" s="103"/>
      <c r="QT732" s="106"/>
      <c r="QU732" s="106"/>
      <c r="QV732" s="106"/>
      <c r="QW732" s="106"/>
      <c r="QX732" s="106"/>
      <c r="QY732" s="106"/>
      <c r="QZ732" s="106"/>
      <c r="RA732" s="106"/>
      <c r="RB732" s="106"/>
      <c r="RC732" s="106"/>
      <c r="RD732" s="106"/>
      <c r="RE732" s="106"/>
      <c r="RF732" s="106"/>
      <c r="RG732" s="106"/>
      <c r="RH732" s="106"/>
      <c r="RI732" s="106"/>
      <c r="RJ732" s="106"/>
      <c r="RK732" s="106"/>
      <c r="RL732" s="106"/>
    </row>
    <row r="733" spans="48:480" x14ac:dyDescent="0.3">
      <c r="AV733" s="103"/>
      <c r="CJ733" s="103"/>
      <c r="FP733" s="103"/>
      <c r="LL733" s="103"/>
      <c r="NM733" s="103"/>
      <c r="QT733" s="106"/>
      <c r="QU733" s="106"/>
      <c r="QV733" s="106"/>
      <c r="QW733" s="106"/>
      <c r="QX733" s="106"/>
      <c r="QY733" s="106"/>
      <c r="QZ733" s="106"/>
      <c r="RA733" s="106"/>
      <c r="RB733" s="106"/>
      <c r="RC733" s="106"/>
      <c r="RD733" s="106"/>
      <c r="RE733" s="106"/>
      <c r="RF733" s="106"/>
      <c r="RG733" s="106"/>
      <c r="RH733" s="106"/>
      <c r="RI733" s="106"/>
      <c r="RJ733" s="106"/>
      <c r="RK733" s="106"/>
      <c r="RL733" s="106"/>
    </row>
    <row r="734" spans="48:480" x14ac:dyDescent="0.3">
      <c r="AV734" s="103"/>
      <c r="CJ734" s="103"/>
      <c r="FP734" s="103"/>
      <c r="LL734" s="103"/>
      <c r="NM734" s="103"/>
      <c r="QT734" s="106"/>
      <c r="QU734" s="106"/>
      <c r="QV734" s="106"/>
      <c r="QW734" s="106"/>
      <c r="QX734" s="106"/>
      <c r="QY734" s="106"/>
      <c r="QZ734" s="106"/>
      <c r="RA734" s="106"/>
      <c r="RB734" s="106"/>
      <c r="RC734" s="106"/>
      <c r="RD734" s="106"/>
      <c r="RE734" s="106"/>
      <c r="RF734" s="106"/>
      <c r="RG734" s="106"/>
      <c r="RH734" s="106"/>
      <c r="RI734" s="106"/>
      <c r="RJ734" s="106"/>
      <c r="RK734" s="106"/>
      <c r="RL734" s="106"/>
    </row>
    <row r="735" spans="48:480" x14ac:dyDescent="0.3">
      <c r="AV735" s="103"/>
      <c r="CJ735" s="103"/>
      <c r="FP735" s="103"/>
      <c r="LL735" s="103"/>
      <c r="NM735" s="103"/>
      <c r="QT735" s="106"/>
      <c r="QU735" s="106"/>
      <c r="QV735" s="106"/>
      <c r="QW735" s="106"/>
      <c r="QX735" s="106"/>
      <c r="QY735" s="106"/>
      <c r="QZ735" s="106"/>
      <c r="RA735" s="106"/>
      <c r="RB735" s="106"/>
      <c r="RC735" s="106"/>
      <c r="RD735" s="106"/>
      <c r="RE735" s="106"/>
      <c r="RF735" s="106"/>
      <c r="RG735" s="106"/>
      <c r="RH735" s="106"/>
      <c r="RI735" s="106"/>
      <c r="RJ735" s="106"/>
      <c r="RK735" s="106"/>
      <c r="RL735" s="106"/>
    </row>
    <row r="736" spans="48:480" x14ac:dyDescent="0.3">
      <c r="AV736" s="103"/>
      <c r="CJ736" s="103"/>
      <c r="FP736" s="103"/>
      <c r="LL736" s="103"/>
      <c r="NM736" s="103"/>
      <c r="QT736" s="106"/>
      <c r="QU736" s="106"/>
      <c r="QV736" s="106"/>
      <c r="QW736" s="106"/>
      <c r="QX736" s="106"/>
      <c r="QY736" s="106"/>
      <c r="QZ736" s="106"/>
      <c r="RA736" s="106"/>
      <c r="RB736" s="106"/>
      <c r="RC736" s="106"/>
      <c r="RD736" s="106"/>
      <c r="RE736" s="106"/>
      <c r="RF736" s="106"/>
      <c r="RG736" s="106"/>
      <c r="RH736" s="106"/>
      <c r="RI736" s="106"/>
      <c r="RJ736" s="106"/>
      <c r="RK736" s="106"/>
      <c r="RL736" s="106"/>
    </row>
    <row r="737" spans="48:480" x14ac:dyDescent="0.3">
      <c r="AV737" s="103"/>
      <c r="CJ737" s="103"/>
      <c r="FP737" s="103"/>
      <c r="LL737" s="103"/>
      <c r="NM737" s="103"/>
      <c r="QT737" s="106"/>
      <c r="QU737" s="106"/>
      <c r="QV737" s="106"/>
      <c r="QW737" s="106"/>
      <c r="QX737" s="106"/>
      <c r="QY737" s="106"/>
      <c r="QZ737" s="106"/>
      <c r="RA737" s="106"/>
      <c r="RB737" s="106"/>
      <c r="RC737" s="106"/>
      <c r="RD737" s="106"/>
      <c r="RE737" s="106"/>
      <c r="RF737" s="106"/>
      <c r="RG737" s="106"/>
      <c r="RH737" s="106"/>
      <c r="RI737" s="106"/>
      <c r="RJ737" s="106"/>
      <c r="RK737" s="106"/>
      <c r="RL737" s="106"/>
    </row>
    <row r="738" spans="48:480" x14ac:dyDescent="0.3">
      <c r="AV738" s="103"/>
      <c r="CJ738" s="103"/>
      <c r="FP738" s="103"/>
      <c r="LL738" s="103"/>
      <c r="NM738" s="103"/>
      <c r="QT738" s="106"/>
      <c r="QU738" s="106"/>
      <c r="QV738" s="106"/>
      <c r="QW738" s="106"/>
      <c r="QX738" s="106"/>
      <c r="QY738" s="106"/>
      <c r="QZ738" s="106"/>
      <c r="RA738" s="106"/>
      <c r="RB738" s="106"/>
      <c r="RC738" s="106"/>
      <c r="RD738" s="106"/>
      <c r="RE738" s="106"/>
      <c r="RF738" s="106"/>
      <c r="RG738" s="106"/>
      <c r="RH738" s="106"/>
      <c r="RI738" s="106"/>
      <c r="RJ738" s="106"/>
      <c r="RK738" s="106"/>
      <c r="RL738" s="106"/>
    </row>
    <row r="739" spans="48:480" x14ac:dyDescent="0.3">
      <c r="AV739" s="103"/>
      <c r="CJ739" s="103"/>
      <c r="FP739" s="103"/>
      <c r="LL739" s="103"/>
      <c r="NM739" s="103"/>
      <c r="QT739" s="106"/>
      <c r="QU739" s="106"/>
      <c r="QV739" s="106"/>
      <c r="QW739" s="106"/>
      <c r="QX739" s="106"/>
      <c r="QY739" s="106"/>
      <c r="QZ739" s="106"/>
      <c r="RA739" s="106"/>
      <c r="RB739" s="106"/>
      <c r="RC739" s="106"/>
      <c r="RD739" s="106"/>
      <c r="RE739" s="106"/>
      <c r="RF739" s="106"/>
      <c r="RG739" s="106"/>
      <c r="RH739" s="106"/>
      <c r="RI739" s="106"/>
      <c r="RJ739" s="106"/>
      <c r="RK739" s="106"/>
      <c r="RL739" s="106"/>
    </row>
    <row r="740" spans="48:480" x14ac:dyDescent="0.3">
      <c r="AV740" s="103"/>
      <c r="CJ740" s="103"/>
      <c r="FP740" s="103"/>
      <c r="LL740" s="103"/>
      <c r="NM740" s="103"/>
      <c r="QT740" s="106"/>
      <c r="QU740" s="106"/>
      <c r="QV740" s="106"/>
      <c r="QW740" s="106"/>
      <c r="QX740" s="106"/>
      <c r="QY740" s="106"/>
      <c r="QZ740" s="106"/>
      <c r="RA740" s="106"/>
      <c r="RB740" s="106"/>
      <c r="RC740" s="106"/>
      <c r="RD740" s="106"/>
      <c r="RE740" s="106"/>
      <c r="RF740" s="106"/>
      <c r="RG740" s="106"/>
      <c r="RH740" s="106"/>
      <c r="RI740" s="106"/>
      <c r="RJ740" s="106"/>
      <c r="RK740" s="106"/>
      <c r="RL740" s="106"/>
    </row>
    <row r="741" spans="48:480" x14ac:dyDescent="0.3">
      <c r="AV741" s="103"/>
      <c r="CJ741" s="103"/>
      <c r="FP741" s="103"/>
      <c r="LL741" s="103"/>
      <c r="NM741" s="103"/>
      <c r="QT741" s="106"/>
      <c r="QU741" s="106"/>
      <c r="QV741" s="106"/>
      <c r="QW741" s="106"/>
      <c r="QX741" s="106"/>
      <c r="QY741" s="106"/>
      <c r="QZ741" s="106"/>
      <c r="RA741" s="106"/>
      <c r="RB741" s="106"/>
      <c r="RC741" s="106"/>
      <c r="RD741" s="106"/>
      <c r="RE741" s="106"/>
      <c r="RF741" s="106"/>
      <c r="RG741" s="106"/>
      <c r="RH741" s="106"/>
      <c r="RI741" s="106"/>
      <c r="RJ741" s="106"/>
      <c r="RK741" s="106"/>
      <c r="RL741" s="106"/>
    </row>
    <row r="742" spans="48:480" x14ac:dyDescent="0.3">
      <c r="AV742" s="103"/>
      <c r="CJ742" s="103"/>
      <c r="FP742" s="103"/>
      <c r="LL742" s="103"/>
      <c r="NM742" s="103"/>
      <c r="QT742" s="106"/>
      <c r="QU742" s="106"/>
      <c r="QV742" s="106"/>
      <c r="QW742" s="106"/>
      <c r="QX742" s="106"/>
      <c r="QY742" s="106"/>
      <c r="QZ742" s="106"/>
      <c r="RA742" s="106"/>
      <c r="RB742" s="106"/>
      <c r="RC742" s="106"/>
      <c r="RD742" s="106"/>
      <c r="RE742" s="106"/>
      <c r="RF742" s="106"/>
      <c r="RG742" s="106"/>
      <c r="RH742" s="106"/>
      <c r="RI742" s="106"/>
      <c r="RJ742" s="106"/>
      <c r="RK742" s="106"/>
      <c r="RL742" s="106"/>
    </row>
    <row r="743" spans="48:480" x14ac:dyDescent="0.3">
      <c r="AV743" s="103"/>
      <c r="CJ743" s="103"/>
      <c r="FP743" s="103"/>
      <c r="LL743" s="103"/>
      <c r="NM743" s="103"/>
      <c r="QT743" s="106"/>
      <c r="QU743" s="106"/>
      <c r="QV743" s="106"/>
      <c r="QW743" s="106"/>
      <c r="QX743" s="106"/>
      <c r="QY743" s="106"/>
      <c r="QZ743" s="106"/>
      <c r="RA743" s="106"/>
      <c r="RB743" s="106"/>
      <c r="RC743" s="106"/>
      <c r="RD743" s="106"/>
      <c r="RE743" s="106"/>
      <c r="RF743" s="106"/>
      <c r="RG743" s="106"/>
      <c r="RH743" s="106"/>
      <c r="RI743" s="106"/>
      <c r="RJ743" s="106"/>
      <c r="RK743" s="106"/>
      <c r="RL743" s="106"/>
    </row>
    <row r="744" spans="48:480" x14ac:dyDescent="0.3">
      <c r="AV744" s="103"/>
      <c r="CJ744" s="103"/>
      <c r="FP744" s="103"/>
      <c r="LL744" s="103"/>
      <c r="NM744" s="103"/>
      <c r="QT744" s="106"/>
      <c r="QU744" s="106"/>
      <c r="QV744" s="106"/>
      <c r="QW744" s="106"/>
      <c r="QX744" s="106"/>
      <c r="QY744" s="106"/>
      <c r="QZ744" s="106"/>
      <c r="RA744" s="106"/>
      <c r="RB744" s="106"/>
      <c r="RC744" s="106"/>
      <c r="RD744" s="106"/>
      <c r="RE744" s="106"/>
      <c r="RF744" s="106"/>
      <c r="RG744" s="106"/>
      <c r="RH744" s="106"/>
      <c r="RI744" s="106"/>
      <c r="RJ744" s="106"/>
      <c r="RK744" s="106"/>
      <c r="RL744" s="106"/>
    </row>
    <row r="745" spans="48:480" x14ac:dyDescent="0.3">
      <c r="AV745" s="103"/>
      <c r="CJ745" s="103"/>
      <c r="FP745" s="103"/>
      <c r="LL745" s="103"/>
      <c r="NM745" s="103"/>
      <c r="QT745" s="106"/>
      <c r="QU745" s="106"/>
      <c r="QV745" s="106"/>
      <c r="QW745" s="106"/>
      <c r="QX745" s="106"/>
      <c r="QY745" s="106"/>
      <c r="QZ745" s="106"/>
      <c r="RA745" s="106"/>
      <c r="RB745" s="106"/>
      <c r="RC745" s="106"/>
      <c r="RD745" s="106"/>
      <c r="RE745" s="106"/>
      <c r="RF745" s="106"/>
      <c r="RG745" s="106"/>
      <c r="RH745" s="106"/>
      <c r="RI745" s="106"/>
      <c r="RJ745" s="106"/>
      <c r="RK745" s="106"/>
      <c r="RL745" s="106"/>
    </row>
    <row r="746" spans="48:480" x14ac:dyDescent="0.3">
      <c r="AV746" s="103"/>
      <c r="CJ746" s="103"/>
      <c r="FP746" s="103"/>
      <c r="LL746" s="103"/>
      <c r="NM746" s="103"/>
      <c r="QT746" s="106"/>
      <c r="QU746" s="106"/>
      <c r="QV746" s="106"/>
      <c r="QW746" s="106"/>
      <c r="QX746" s="106"/>
      <c r="QY746" s="106"/>
      <c r="QZ746" s="106"/>
      <c r="RA746" s="106"/>
      <c r="RB746" s="106"/>
      <c r="RC746" s="106"/>
      <c r="RD746" s="106"/>
      <c r="RE746" s="106"/>
      <c r="RF746" s="106"/>
      <c r="RG746" s="106"/>
      <c r="RH746" s="106"/>
      <c r="RI746" s="106"/>
      <c r="RJ746" s="106"/>
      <c r="RK746" s="106"/>
      <c r="RL746" s="106"/>
    </row>
    <row r="747" spans="48:480" x14ac:dyDescent="0.3">
      <c r="AV747" s="103"/>
      <c r="CJ747" s="103"/>
      <c r="FP747" s="103"/>
      <c r="LL747" s="103"/>
      <c r="NM747" s="103"/>
      <c r="QT747" s="106"/>
      <c r="QU747" s="106"/>
      <c r="QV747" s="106"/>
      <c r="QW747" s="106"/>
      <c r="QX747" s="106"/>
      <c r="QY747" s="106"/>
      <c r="QZ747" s="106"/>
      <c r="RA747" s="106"/>
      <c r="RB747" s="106"/>
      <c r="RC747" s="106"/>
      <c r="RD747" s="106"/>
      <c r="RE747" s="106"/>
      <c r="RF747" s="106"/>
      <c r="RG747" s="106"/>
      <c r="RH747" s="106"/>
      <c r="RI747" s="106"/>
      <c r="RJ747" s="106"/>
      <c r="RK747" s="106"/>
      <c r="RL747" s="106"/>
    </row>
    <row r="748" spans="48:480" x14ac:dyDescent="0.3">
      <c r="AV748" s="103"/>
      <c r="CJ748" s="103"/>
      <c r="FP748" s="103"/>
      <c r="LL748" s="103"/>
      <c r="NM748" s="103"/>
      <c r="QT748" s="106"/>
      <c r="QU748" s="106"/>
      <c r="QV748" s="106"/>
      <c r="QW748" s="106"/>
      <c r="QX748" s="106"/>
      <c r="QY748" s="106"/>
      <c r="QZ748" s="106"/>
      <c r="RA748" s="106"/>
      <c r="RB748" s="106"/>
      <c r="RC748" s="106"/>
      <c r="RD748" s="106"/>
      <c r="RE748" s="106"/>
      <c r="RF748" s="106"/>
      <c r="RG748" s="106"/>
      <c r="RH748" s="106"/>
      <c r="RI748" s="106"/>
      <c r="RJ748" s="106"/>
      <c r="RK748" s="106"/>
      <c r="RL748" s="106"/>
    </row>
    <row r="749" spans="48:480" x14ac:dyDescent="0.3">
      <c r="AV749" s="103"/>
      <c r="CJ749" s="103"/>
      <c r="FP749" s="103"/>
      <c r="LL749" s="103"/>
      <c r="NM749" s="103"/>
      <c r="QT749" s="106"/>
      <c r="QU749" s="106"/>
      <c r="QV749" s="106"/>
      <c r="QW749" s="106"/>
      <c r="QX749" s="106"/>
      <c r="QY749" s="106"/>
      <c r="QZ749" s="106"/>
      <c r="RA749" s="106"/>
      <c r="RB749" s="106"/>
      <c r="RC749" s="106"/>
      <c r="RD749" s="106"/>
      <c r="RE749" s="106"/>
      <c r="RF749" s="106"/>
      <c r="RG749" s="106"/>
      <c r="RH749" s="106"/>
      <c r="RI749" s="106"/>
      <c r="RJ749" s="106"/>
      <c r="RK749" s="106"/>
      <c r="RL749" s="106"/>
    </row>
    <row r="750" spans="48:480" x14ac:dyDescent="0.3">
      <c r="AV750" s="103"/>
      <c r="CJ750" s="103"/>
      <c r="FP750" s="103"/>
      <c r="LL750" s="103"/>
      <c r="NM750" s="103"/>
      <c r="QT750" s="106"/>
      <c r="QU750" s="106"/>
      <c r="QV750" s="106"/>
      <c r="QW750" s="106"/>
      <c r="QX750" s="106"/>
      <c r="QY750" s="106"/>
      <c r="QZ750" s="106"/>
      <c r="RA750" s="106"/>
      <c r="RB750" s="106"/>
      <c r="RC750" s="106"/>
      <c r="RD750" s="106"/>
      <c r="RE750" s="106"/>
      <c r="RF750" s="106"/>
      <c r="RG750" s="106"/>
      <c r="RH750" s="106"/>
      <c r="RI750" s="106"/>
      <c r="RJ750" s="106"/>
      <c r="RK750" s="106"/>
      <c r="RL750" s="106"/>
    </row>
    <row r="751" spans="48:480" x14ac:dyDescent="0.3">
      <c r="AV751" s="103"/>
      <c r="CJ751" s="103"/>
      <c r="FP751" s="103"/>
      <c r="LL751" s="103"/>
      <c r="NM751" s="103"/>
      <c r="QT751" s="106"/>
      <c r="QU751" s="106"/>
      <c r="QV751" s="106"/>
      <c r="QW751" s="106"/>
      <c r="QX751" s="106"/>
      <c r="QY751" s="106"/>
      <c r="QZ751" s="106"/>
      <c r="RA751" s="106"/>
      <c r="RB751" s="106"/>
      <c r="RC751" s="106"/>
      <c r="RD751" s="106"/>
      <c r="RE751" s="106"/>
      <c r="RF751" s="106"/>
      <c r="RG751" s="106"/>
      <c r="RH751" s="106"/>
      <c r="RI751" s="106"/>
      <c r="RJ751" s="106"/>
      <c r="RK751" s="106"/>
      <c r="RL751" s="106"/>
    </row>
    <row r="752" spans="48:480" x14ac:dyDescent="0.3">
      <c r="AV752" s="103"/>
      <c r="CJ752" s="103"/>
      <c r="FP752" s="103"/>
      <c r="LL752" s="103"/>
      <c r="NM752" s="103"/>
      <c r="QT752" s="106"/>
      <c r="QU752" s="106"/>
      <c r="QV752" s="106"/>
      <c r="QW752" s="106"/>
      <c r="QX752" s="106"/>
      <c r="QY752" s="106"/>
      <c r="QZ752" s="106"/>
      <c r="RA752" s="106"/>
      <c r="RB752" s="106"/>
      <c r="RC752" s="106"/>
      <c r="RD752" s="106"/>
      <c r="RE752" s="106"/>
      <c r="RF752" s="106"/>
      <c r="RG752" s="106"/>
      <c r="RH752" s="106"/>
      <c r="RI752" s="106"/>
      <c r="RJ752" s="106"/>
      <c r="RK752" s="106"/>
      <c r="RL752" s="106"/>
    </row>
    <row r="753" spans="48:480" x14ac:dyDescent="0.3">
      <c r="AV753" s="103"/>
      <c r="CJ753" s="103"/>
      <c r="FP753" s="103"/>
      <c r="LL753" s="103"/>
      <c r="NM753" s="103"/>
      <c r="QT753" s="106"/>
      <c r="QU753" s="106"/>
      <c r="QV753" s="106"/>
      <c r="QW753" s="106"/>
      <c r="QX753" s="106"/>
      <c r="QY753" s="106"/>
      <c r="QZ753" s="106"/>
      <c r="RA753" s="106"/>
      <c r="RB753" s="106"/>
      <c r="RC753" s="106"/>
      <c r="RD753" s="106"/>
      <c r="RE753" s="106"/>
      <c r="RF753" s="106"/>
      <c r="RG753" s="106"/>
      <c r="RH753" s="106"/>
      <c r="RI753" s="106"/>
      <c r="RJ753" s="106"/>
      <c r="RK753" s="106"/>
      <c r="RL753" s="106"/>
    </row>
    <row r="754" spans="48:480" x14ac:dyDescent="0.3">
      <c r="AV754" s="103"/>
      <c r="CJ754" s="103"/>
      <c r="FP754" s="103"/>
      <c r="LL754" s="103"/>
      <c r="NM754" s="103"/>
      <c r="QT754" s="106"/>
      <c r="QU754" s="106"/>
      <c r="QV754" s="106"/>
      <c r="QW754" s="106"/>
      <c r="QX754" s="106"/>
      <c r="QY754" s="106"/>
      <c r="QZ754" s="106"/>
      <c r="RA754" s="106"/>
      <c r="RB754" s="106"/>
      <c r="RC754" s="106"/>
      <c r="RD754" s="106"/>
      <c r="RE754" s="106"/>
      <c r="RF754" s="106"/>
      <c r="RG754" s="106"/>
      <c r="RH754" s="106"/>
      <c r="RI754" s="106"/>
      <c r="RJ754" s="106"/>
      <c r="RK754" s="106"/>
      <c r="RL754" s="106"/>
    </row>
    <row r="755" spans="48:480" x14ac:dyDescent="0.3">
      <c r="CJ755" s="103"/>
      <c r="FP755" s="103"/>
      <c r="LL755" s="103"/>
      <c r="NM755" s="103"/>
      <c r="QT755" s="106"/>
      <c r="QU755" s="106"/>
      <c r="QV755" s="106"/>
      <c r="QW755" s="106"/>
      <c r="QX755" s="106"/>
      <c r="QY755" s="106"/>
      <c r="QZ755" s="106"/>
      <c r="RA755" s="106"/>
      <c r="RB755" s="106"/>
      <c r="RC755" s="106"/>
      <c r="RD755" s="106"/>
      <c r="RE755" s="106"/>
      <c r="RF755" s="106"/>
      <c r="RG755" s="106"/>
      <c r="RH755" s="106"/>
      <c r="RI755" s="106"/>
      <c r="RJ755" s="106"/>
      <c r="RK755" s="106"/>
      <c r="RL755" s="106"/>
    </row>
    <row r="756" spans="48:480" x14ac:dyDescent="0.3">
      <c r="CJ756" s="103"/>
      <c r="FP756" s="103"/>
      <c r="LL756" s="103"/>
      <c r="NM756" s="103"/>
      <c r="QT756" s="106"/>
      <c r="QU756" s="106"/>
      <c r="QV756" s="106"/>
      <c r="QW756" s="106"/>
      <c r="QX756" s="106"/>
      <c r="QY756" s="106"/>
      <c r="QZ756" s="106"/>
      <c r="RA756" s="106"/>
      <c r="RB756" s="106"/>
      <c r="RC756" s="106"/>
      <c r="RD756" s="106"/>
      <c r="RE756" s="106"/>
      <c r="RF756" s="106"/>
      <c r="RG756" s="106"/>
      <c r="RH756" s="106"/>
      <c r="RI756" s="106"/>
      <c r="RJ756" s="106"/>
      <c r="RK756" s="106"/>
      <c r="RL756" s="106"/>
    </row>
    <row r="757" spans="48:480" x14ac:dyDescent="0.3">
      <c r="CJ757" s="103"/>
      <c r="FP757" s="103"/>
      <c r="LL757" s="103"/>
      <c r="NM757" s="103"/>
      <c r="QT757" s="106"/>
      <c r="QU757" s="106"/>
      <c r="QV757" s="106"/>
      <c r="QW757" s="106"/>
      <c r="QX757" s="106"/>
      <c r="QY757" s="106"/>
      <c r="QZ757" s="106"/>
      <c r="RA757" s="106"/>
      <c r="RB757" s="106"/>
      <c r="RC757" s="106"/>
      <c r="RD757" s="106"/>
      <c r="RE757" s="106"/>
      <c r="RF757" s="106"/>
      <c r="RG757" s="106"/>
      <c r="RH757" s="106"/>
      <c r="RI757" s="106"/>
      <c r="RJ757" s="106"/>
      <c r="RK757" s="106"/>
      <c r="RL757" s="106"/>
    </row>
    <row r="758" spans="48:480" x14ac:dyDescent="0.3">
      <c r="CJ758" s="103"/>
      <c r="FP758" s="103"/>
      <c r="LL758" s="103"/>
      <c r="NM758" s="103"/>
      <c r="QT758" s="106"/>
      <c r="QU758" s="106"/>
      <c r="QV758" s="106"/>
      <c r="QW758" s="106"/>
      <c r="QX758" s="106"/>
      <c r="QY758" s="106"/>
      <c r="QZ758" s="106"/>
      <c r="RA758" s="106"/>
      <c r="RB758" s="106"/>
      <c r="RC758" s="106"/>
      <c r="RD758" s="106"/>
      <c r="RE758" s="106"/>
      <c r="RF758" s="106"/>
      <c r="RG758" s="106"/>
      <c r="RH758" s="106"/>
      <c r="RI758" s="106"/>
      <c r="RJ758" s="106"/>
      <c r="RK758" s="106"/>
      <c r="RL758" s="106"/>
    </row>
    <row r="759" spans="48:480" x14ac:dyDescent="0.3">
      <c r="CJ759" s="103"/>
      <c r="FP759" s="103"/>
      <c r="LL759" s="103"/>
      <c r="NM759" s="103"/>
      <c r="QT759" s="106"/>
      <c r="QU759" s="106"/>
      <c r="QV759" s="106"/>
      <c r="QW759" s="106"/>
      <c r="QX759" s="106"/>
      <c r="QY759" s="106"/>
      <c r="QZ759" s="106"/>
      <c r="RA759" s="106"/>
      <c r="RB759" s="106"/>
      <c r="RC759" s="106"/>
      <c r="RD759" s="106"/>
      <c r="RE759" s="106"/>
      <c r="RF759" s="106"/>
      <c r="RG759" s="106"/>
      <c r="RH759" s="106"/>
      <c r="RI759" s="106"/>
      <c r="RJ759" s="106"/>
      <c r="RK759" s="106"/>
      <c r="RL759" s="106"/>
    </row>
    <row r="760" spans="48:480" x14ac:dyDescent="0.3">
      <c r="CJ760" s="103"/>
      <c r="FP760" s="103"/>
      <c r="LL760" s="103"/>
      <c r="NM760" s="103"/>
      <c r="QT760" s="106"/>
      <c r="QU760" s="106"/>
      <c r="QV760" s="106"/>
      <c r="QW760" s="106"/>
      <c r="QX760" s="106"/>
      <c r="QY760" s="106"/>
      <c r="QZ760" s="106"/>
      <c r="RA760" s="106"/>
      <c r="RB760" s="106"/>
      <c r="RC760" s="106"/>
      <c r="RD760" s="106"/>
      <c r="RE760" s="106"/>
      <c r="RF760" s="106"/>
      <c r="RG760" s="106"/>
      <c r="RH760" s="106"/>
      <c r="RI760" s="106"/>
      <c r="RJ760" s="106"/>
      <c r="RK760" s="106"/>
      <c r="RL760" s="106"/>
    </row>
    <row r="761" spans="48:480" x14ac:dyDescent="0.3">
      <c r="CJ761" s="103"/>
      <c r="FP761" s="103"/>
      <c r="LL761" s="103"/>
      <c r="NM761" s="103"/>
      <c r="QT761" s="106"/>
      <c r="QU761" s="106"/>
      <c r="QV761" s="106"/>
      <c r="QW761" s="106"/>
      <c r="QX761" s="106"/>
      <c r="QY761" s="106"/>
      <c r="QZ761" s="106"/>
      <c r="RA761" s="106"/>
      <c r="RB761" s="106"/>
      <c r="RC761" s="106"/>
      <c r="RD761" s="106"/>
      <c r="RE761" s="106"/>
      <c r="RF761" s="106"/>
      <c r="RG761" s="106"/>
      <c r="RH761" s="106"/>
      <c r="RI761" s="106"/>
      <c r="RJ761" s="106"/>
      <c r="RK761" s="106"/>
      <c r="RL761" s="106"/>
    </row>
    <row r="762" spans="48:480" x14ac:dyDescent="0.3">
      <c r="CJ762" s="103"/>
      <c r="FP762" s="103"/>
      <c r="LL762" s="103"/>
      <c r="NM762" s="103"/>
      <c r="QT762" s="106"/>
      <c r="QU762" s="106"/>
      <c r="QV762" s="106"/>
      <c r="QW762" s="106"/>
      <c r="QX762" s="106"/>
      <c r="QY762" s="106"/>
      <c r="QZ762" s="106"/>
      <c r="RA762" s="106"/>
      <c r="RB762" s="106"/>
      <c r="RC762" s="106"/>
      <c r="RD762" s="106"/>
      <c r="RE762" s="106"/>
      <c r="RF762" s="106"/>
      <c r="RG762" s="106"/>
      <c r="RH762" s="106"/>
      <c r="RI762" s="106"/>
      <c r="RJ762" s="106"/>
      <c r="RK762" s="106"/>
      <c r="RL762" s="106"/>
    </row>
    <row r="763" spans="48:480" x14ac:dyDescent="0.3">
      <c r="CJ763" s="103"/>
      <c r="FP763" s="103"/>
      <c r="LL763" s="103"/>
      <c r="NM763" s="103"/>
      <c r="QT763" s="106"/>
      <c r="QU763" s="106"/>
      <c r="QV763" s="106"/>
      <c r="QW763" s="106"/>
      <c r="QX763" s="106"/>
      <c r="QY763" s="106"/>
      <c r="QZ763" s="106"/>
      <c r="RA763" s="106"/>
      <c r="RB763" s="106"/>
      <c r="RC763" s="106"/>
      <c r="RD763" s="106"/>
      <c r="RE763" s="106"/>
      <c r="RF763" s="106"/>
      <c r="RG763" s="106"/>
      <c r="RH763" s="106"/>
      <c r="RI763" s="106"/>
      <c r="RJ763" s="106"/>
      <c r="RK763" s="106"/>
      <c r="RL763" s="106"/>
    </row>
    <row r="764" spans="48:480" x14ac:dyDescent="0.3">
      <c r="CJ764" s="103"/>
      <c r="FP764" s="103"/>
      <c r="LL764" s="103"/>
      <c r="NM764" s="103"/>
      <c r="QT764" s="106"/>
      <c r="QU764" s="106"/>
      <c r="QV764" s="106"/>
      <c r="QW764" s="106"/>
      <c r="QX764" s="106"/>
      <c r="QY764" s="106"/>
      <c r="QZ764" s="106"/>
      <c r="RA764" s="106"/>
      <c r="RB764" s="106"/>
      <c r="RC764" s="106"/>
      <c r="RD764" s="106"/>
      <c r="RE764" s="106"/>
      <c r="RF764" s="106"/>
      <c r="RG764" s="106"/>
      <c r="RH764" s="106"/>
      <c r="RI764" s="106"/>
      <c r="RJ764" s="106"/>
      <c r="RK764" s="106"/>
      <c r="RL764" s="106"/>
    </row>
    <row r="765" spans="48:480" x14ac:dyDescent="0.3">
      <c r="CJ765" s="103"/>
      <c r="FP765" s="103"/>
      <c r="LL765" s="103"/>
      <c r="NM765" s="103"/>
      <c r="QT765" s="106"/>
      <c r="QU765" s="106"/>
      <c r="QV765" s="106"/>
      <c r="QW765" s="106"/>
      <c r="QX765" s="106"/>
      <c r="QY765" s="106"/>
      <c r="QZ765" s="106"/>
      <c r="RA765" s="106"/>
      <c r="RB765" s="106"/>
      <c r="RC765" s="106"/>
      <c r="RD765" s="106"/>
      <c r="RE765" s="106"/>
      <c r="RF765" s="106"/>
      <c r="RG765" s="106"/>
      <c r="RH765" s="106"/>
      <c r="RI765" s="106"/>
      <c r="RJ765" s="106"/>
      <c r="RK765" s="106"/>
      <c r="RL765" s="106"/>
    </row>
    <row r="766" spans="48:480" x14ac:dyDescent="0.3">
      <c r="CJ766" s="103"/>
      <c r="FP766" s="103"/>
      <c r="LL766" s="103"/>
      <c r="NM766" s="103"/>
      <c r="QT766" s="106"/>
      <c r="QU766" s="106"/>
      <c r="QV766" s="106"/>
      <c r="QW766" s="106"/>
      <c r="QX766" s="106"/>
      <c r="QY766" s="106"/>
      <c r="QZ766" s="106"/>
      <c r="RA766" s="106"/>
      <c r="RB766" s="106"/>
      <c r="RC766" s="106"/>
      <c r="RD766" s="106"/>
      <c r="RE766" s="106"/>
      <c r="RF766" s="106"/>
      <c r="RG766" s="106"/>
      <c r="RH766" s="106"/>
      <c r="RI766" s="106"/>
      <c r="RJ766" s="106"/>
      <c r="RK766" s="106"/>
      <c r="RL766" s="106"/>
    </row>
    <row r="767" spans="48:480" x14ac:dyDescent="0.3">
      <c r="CJ767" s="103"/>
      <c r="FP767" s="103"/>
      <c r="LL767" s="103"/>
      <c r="NM767" s="103"/>
      <c r="QT767" s="106"/>
      <c r="QU767" s="106"/>
      <c r="QV767" s="106"/>
      <c r="QW767" s="106"/>
      <c r="QX767" s="106"/>
      <c r="QY767" s="106"/>
      <c r="QZ767" s="106"/>
      <c r="RA767" s="106"/>
      <c r="RB767" s="106"/>
      <c r="RC767" s="106"/>
      <c r="RD767" s="106"/>
      <c r="RE767" s="106"/>
      <c r="RF767" s="106"/>
      <c r="RG767" s="106"/>
      <c r="RH767" s="106"/>
      <c r="RI767" s="106"/>
      <c r="RJ767" s="106"/>
      <c r="RK767" s="106"/>
      <c r="RL767" s="106"/>
    </row>
    <row r="768" spans="48:480" x14ac:dyDescent="0.3">
      <c r="CJ768" s="103"/>
      <c r="FP768" s="103"/>
      <c r="LL768" s="103"/>
      <c r="NM768" s="103"/>
      <c r="QT768" s="106"/>
      <c r="QU768" s="106"/>
      <c r="QV768" s="106"/>
      <c r="QW768" s="106"/>
      <c r="QX768" s="106"/>
      <c r="QY768" s="106"/>
      <c r="QZ768" s="106"/>
      <c r="RA768" s="106"/>
      <c r="RB768" s="106"/>
      <c r="RC768" s="106"/>
      <c r="RD768" s="106"/>
      <c r="RE768" s="106"/>
      <c r="RF768" s="106"/>
      <c r="RG768" s="106"/>
      <c r="RH768" s="106"/>
      <c r="RI768" s="106"/>
      <c r="RJ768" s="106"/>
      <c r="RK768" s="106"/>
      <c r="RL768" s="106"/>
    </row>
    <row r="769" spans="88:480" x14ac:dyDescent="0.3">
      <c r="CJ769" s="103"/>
      <c r="FP769" s="103"/>
      <c r="LL769" s="103"/>
      <c r="NM769" s="103"/>
      <c r="QT769" s="106"/>
      <c r="QU769" s="106"/>
      <c r="QV769" s="106"/>
      <c r="QW769" s="106"/>
      <c r="QX769" s="106"/>
      <c r="QY769" s="106"/>
      <c r="QZ769" s="106"/>
      <c r="RA769" s="106"/>
      <c r="RB769" s="106"/>
      <c r="RC769" s="106"/>
      <c r="RD769" s="106"/>
      <c r="RE769" s="106"/>
      <c r="RF769" s="106"/>
      <c r="RG769" s="106"/>
      <c r="RH769" s="106"/>
      <c r="RI769" s="106"/>
      <c r="RJ769" s="106"/>
      <c r="RK769" s="106"/>
      <c r="RL769" s="106"/>
    </row>
    <row r="770" spans="88:480" x14ac:dyDescent="0.3">
      <c r="CJ770" s="103"/>
      <c r="FP770" s="103"/>
      <c r="LL770" s="103"/>
      <c r="NM770" s="103"/>
      <c r="QT770" s="106"/>
      <c r="QU770" s="106"/>
      <c r="QV770" s="106"/>
      <c r="QW770" s="106"/>
      <c r="QX770" s="106"/>
      <c r="QY770" s="106"/>
      <c r="QZ770" s="106"/>
      <c r="RA770" s="106"/>
      <c r="RB770" s="106"/>
      <c r="RC770" s="106"/>
      <c r="RD770" s="106"/>
      <c r="RE770" s="106"/>
      <c r="RF770" s="106"/>
      <c r="RG770" s="106"/>
      <c r="RH770" s="106"/>
      <c r="RI770" s="106"/>
      <c r="RJ770" s="106"/>
      <c r="RK770" s="106"/>
      <c r="RL770" s="106"/>
    </row>
    <row r="771" spans="88:480" x14ac:dyDescent="0.3">
      <c r="CJ771" s="103"/>
      <c r="FP771" s="103"/>
      <c r="LL771" s="103"/>
      <c r="NM771" s="103"/>
      <c r="QT771" s="106"/>
      <c r="QU771" s="106"/>
      <c r="QV771" s="106"/>
      <c r="QW771" s="106"/>
      <c r="QX771" s="106"/>
      <c r="QY771" s="106"/>
      <c r="QZ771" s="106"/>
      <c r="RA771" s="106"/>
      <c r="RB771" s="106"/>
      <c r="RC771" s="106"/>
      <c r="RD771" s="106"/>
      <c r="RE771" s="106"/>
      <c r="RF771" s="106"/>
      <c r="RG771" s="106"/>
      <c r="RH771" s="106"/>
      <c r="RI771" s="106"/>
      <c r="RJ771" s="106"/>
      <c r="RK771" s="106"/>
      <c r="RL771" s="106"/>
    </row>
    <row r="772" spans="88:480" x14ac:dyDescent="0.3">
      <c r="CJ772" s="103"/>
      <c r="FP772" s="103"/>
      <c r="LL772" s="103"/>
      <c r="NM772" s="103"/>
      <c r="QT772" s="106"/>
      <c r="QU772" s="106"/>
      <c r="QV772" s="106"/>
      <c r="QW772" s="106"/>
      <c r="QX772" s="106"/>
      <c r="QY772" s="106"/>
      <c r="QZ772" s="106"/>
      <c r="RA772" s="106"/>
      <c r="RB772" s="106"/>
      <c r="RC772" s="106"/>
      <c r="RD772" s="106"/>
      <c r="RE772" s="106"/>
      <c r="RF772" s="106"/>
      <c r="RG772" s="106"/>
      <c r="RH772" s="106"/>
      <c r="RI772" s="106"/>
      <c r="RJ772" s="106"/>
      <c r="RK772" s="106"/>
      <c r="RL772" s="106"/>
    </row>
    <row r="773" spans="88:480" x14ac:dyDescent="0.3">
      <c r="CJ773" s="103"/>
      <c r="FP773" s="103"/>
      <c r="LL773" s="103"/>
      <c r="NM773" s="103"/>
      <c r="QT773" s="106"/>
      <c r="QU773" s="106"/>
      <c r="QV773" s="106"/>
      <c r="QW773" s="106"/>
      <c r="QX773" s="106"/>
      <c r="QY773" s="106"/>
      <c r="QZ773" s="106"/>
      <c r="RA773" s="106"/>
      <c r="RB773" s="106"/>
      <c r="RC773" s="106"/>
      <c r="RD773" s="106"/>
      <c r="RE773" s="106"/>
      <c r="RF773" s="106"/>
      <c r="RG773" s="106"/>
      <c r="RH773" s="106"/>
      <c r="RI773" s="106"/>
      <c r="RJ773" s="106"/>
      <c r="RK773" s="106"/>
      <c r="RL773" s="106"/>
    </row>
    <row r="774" spans="88:480" x14ac:dyDescent="0.3">
      <c r="CJ774" s="103"/>
      <c r="FP774" s="103"/>
      <c r="LL774" s="103"/>
      <c r="NM774" s="103"/>
      <c r="QT774" s="106"/>
      <c r="QU774" s="106"/>
      <c r="QV774" s="106"/>
      <c r="QW774" s="106"/>
      <c r="QX774" s="106"/>
      <c r="QY774" s="106"/>
      <c r="QZ774" s="106"/>
      <c r="RA774" s="106"/>
      <c r="RB774" s="106"/>
      <c r="RC774" s="106"/>
      <c r="RD774" s="106"/>
      <c r="RE774" s="106"/>
      <c r="RF774" s="106"/>
      <c r="RG774" s="106"/>
      <c r="RH774" s="106"/>
      <c r="RI774" s="106"/>
      <c r="RJ774" s="106"/>
      <c r="RK774" s="106"/>
      <c r="RL774" s="106"/>
    </row>
    <row r="775" spans="88:480" x14ac:dyDescent="0.3">
      <c r="CJ775" s="103"/>
      <c r="FP775" s="103"/>
      <c r="LL775" s="103"/>
      <c r="NM775" s="103"/>
      <c r="QT775" s="106"/>
      <c r="QU775" s="106"/>
      <c r="QV775" s="106"/>
      <c r="QW775" s="106"/>
      <c r="QX775" s="106"/>
      <c r="QY775" s="106"/>
      <c r="QZ775" s="106"/>
      <c r="RA775" s="106"/>
      <c r="RB775" s="106"/>
      <c r="RC775" s="106"/>
      <c r="RD775" s="106"/>
      <c r="RE775" s="106"/>
      <c r="RF775" s="106"/>
      <c r="RG775" s="106"/>
      <c r="RH775" s="106"/>
      <c r="RI775" s="106"/>
      <c r="RJ775" s="106"/>
      <c r="RK775" s="106"/>
      <c r="RL775" s="106"/>
    </row>
    <row r="776" spans="88:480" x14ac:dyDescent="0.3">
      <c r="CJ776" s="103"/>
      <c r="FP776" s="103"/>
      <c r="LL776" s="103"/>
      <c r="NM776" s="103"/>
      <c r="QT776" s="106"/>
      <c r="QU776" s="106"/>
      <c r="QV776" s="106"/>
      <c r="QW776" s="106"/>
      <c r="QX776" s="106"/>
      <c r="QY776" s="106"/>
      <c r="QZ776" s="106"/>
      <c r="RA776" s="106"/>
      <c r="RB776" s="106"/>
      <c r="RC776" s="106"/>
      <c r="RD776" s="106"/>
      <c r="RE776" s="106"/>
      <c r="RF776" s="106"/>
      <c r="RG776" s="106"/>
      <c r="RH776" s="106"/>
      <c r="RI776" s="106"/>
      <c r="RJ776" s="106"/>
      <c r="RK776" s="106"/>
      <c r="RL776" s="106"/>
    </row>
    <row r="777" spans="88:480" x14ac:dyDescent="0.3">
      <c r="CJ777" s="103"/>
      <c r="FP777" s="103"/>
      <c r="LL777" s="103"/>
      <c r="NM777" s="103"/>
      <c r="QT777" s="106"/>
      <c r="QU777" s="106"/>
      <c r="QV777" s="106"/>
      <c r="QW777" s="106"/>
      <c r="QX777" s="106"/>
      <c r="QY777" s="106"/>
      <c r="QZ777" s="106"/>
      <c r="RA777" s="106"/>
      <c r="RB777" s="106"/>
      <c r="RC777" s="106"/>
      <c r="RD777" s="106"/>
      <c r="RE777" s="106"/>
      <c r="RF777" s="106"/>
      <c r="RG777" s="106"/>
      <c r="RH777" s="106"/>
      <c r="RI777" s="106"/>
      <c r="RJ777" s="106"/>
      <c r="RK777" s="106"/>
      <c r="RL777" s="106"/>
    </row>
    <row r="778" spans="88:480" x14ac:dyDescent="0.3">
      <c r="CJ778" s="103"/>
      <c r="FP778" s="103"/>
      <c r="LL778" s="103"/>
      <c r="NM778" s="103"/>
      <c r="QT778" s="106"/>
      <c r="QU778" s="106"/>
      <c r="QV778" s="106"/>
      <c r="QW778" s="106"/>
      <c r="QX778" s="106"/>
      <c r="QY778" s="106"/>
      <c r="QZ778" s="106"/>
      <c r="RA778" s="106"/>
      <c r="RB778" s="106"/>
      <c r="RC778" s="106"/>
      <c r="RD778" s="106"/>
      <c r="RE778" s="106"/>
      <c r="RF778" s="106"/>
      <c r="RG778" s="106"/>
      <c r="RH778" s="106"/>
      <c r="RI778" s="106"/>
      <c r="RJ778" s="106"/>
      <c r="RK778" s="106"/>
      <c r="RL778" s="106"/>
    </row>
    <row r="779" spans="88:480" x14ac:dyDescent="0.3">
      <c r="CJ779" s="103"/>
      <c r="FP779" s="103"/>
      <c r="LL779" s="103"/>
      <c r="NM779" s="103"/>
      <c r="QT779" s="106"/>
      <c r="QU779" s="106"/>
      <c r="QV779" s="106"/>
      <c r="QW779" s="106"/>
      <c r="QX779" s="106"/>
      <c r="QY779" s="106"/>
      <c r="QZ779" s="106"/>
      <c r="RA779" s="106"/>
      <c r="RB779" s="106"/>
      <c r="RC779" s="106"/>
      <c r="RD779" s="106"/>
      <c r="RE779" s="106"/>
      <c r="RF779" s="106"/>
      <c r="RG779" s="106"/>
      <c r="RH779" s="106"/>
      <c r="RI779" s="106"/>
      <c r="RJ779" s="106"/>
      <c r="RK779" s="106"/>
      <c r="RL779" s="106"/>
    </row>
    <row r="780" spans="88:480" x14ac:dyDescent="0.3">
      <c r="CJ780" s="103"/>
      <c r="FP780" s="103"/>
      <c r="LL780" s="103"/>
      <c r="NM780" s="103"/>
      <c r="QT780" s="106"/>
      <c r="QU780" s="106"/>
      <c r="QV780" s="106"/>
      <c r="QW780" s="106"/>
      <c r="QX780" s="106"/>
      <c r="QY780" s="106"/>
      <c r="QZ780" s="106"/>
      <c r="RA780" s="106"/>
      <c r="RB780" s="106"/>
      <c r="RC780" s="106"/>
      <c r="RD780" s="106"/>
      <c r="RE780" s="106"/>
      <c r="RF780" s="106"/>
      <c r="RG780" s="106"/>
      <c r="RH780" s="106"/>
      <c r="RI780" s="106"/>
      <c r="RJ780" s="106"/>
      <c r="RK780" s="106"/>
      <c r="RL780" s="106"/>
    </row>
    <row r="781" spans="88:480" x14ac:dyDescent="0.3">
      <c r="CJ781" s="103"/>
      <c r="FP781" s="103"/>
      <c r="LL781" s="103"/>
      <c r="NM781" s="103"/>
      <c r="QT781" s="106"/>
      <c r="QU781" s="106"/>
      <c r="QV781" s="106"/>
      <c r="QW781" s="106"/>
      <c r="QX781" s="106"/>
      <c r="QY781" s="106"/>
      <c r="QZ781" s="106"/>
      <c r="RA781" s="106"/>
      <c r="RB781" s="106"/>
      <c r="RC781" s="106"/>
      <c r="RD781" s="106"/>
      <c r="RE781" s="106"/>
      <c r="RF781" s="106"/>
      <c r="RG781" s="106"/>
      <c r="RH781" s="106"/>
      <c r="RI781" s="106"/>
      <c r="RJ781" s="106"/>
      <c r="RK781" s="106"/>
      <c r="RL781" s="106"/>
    </row>
    <row r="782" spans="88:480" x14ac:dyDescent="0.3">
      <c r="CJ782" s="103"/>
      <c r="FP782" s="103"/>
      <c r="LL782" s="103"/>
      <c r="NM782" s="103"/>
      <c r="QT782" s="106"/>
      <c r="QU782" s="106"/>
      <c r="QV782" s="106"/>
      <c r="QW782" s="106"/>
      <c r="QX782" s="106"/>
      <c r="QY782" s="106"/>
      <c r="QZ782" s="106"/>
      <c r="RA782" s="106"/>
      <c r="RB782" s="106"/>
      <c r="RC782" s="106"/>
      <c r="RD782" s="106"/>
      <c r="RE782" s="106"/>
      <c r="RF782" s="106"/>
      <c r="RG782" s="106"/>
      <c r="RH782" s="106"/>
      <c r="RI782" s="106"/>
      <c r="RJ782" s="106"/>
      <c r="RK782" s="106"/>
      <c r="RL782" s="106"/>
    </row>
    <row r="783" spans="88:480" x14ac:dyDescent="0.3">
      <c r="CJ783" s="103"/>
      <c r="FP783" s="103"/>
      <c r="LL783" s="103"/>
      <c r="NM783" s="103"/>
      <c r="QT783" s="106"/>
      <c r="QU783" s="106"/>
      <c r="QV783" s="106"/>
      <c r="QW783" s="106"/>
      <c r="QX783" s="106"/>
      <c r="QY783" s="106"/>
      <c r="QZ783" s="106"/>
      <c r="RA783" s="106"/>
      <c r="RB783" s="106"/>
      <c r="RC783" s="106"/>
      <c r="RD783" s="106"/>
      <c r="RE783" s="106"/>
      <c r="RF783" s="106"/>
      <c r="RG783" s="106"/>
      <c r="RH783" s="106"/>
      <c r="RI783" s="106"/>
      <c r="RJ783" s="106"/>
      <c r="RK783" s="106"/>
      <c r="RL783" s="106"/>
    </row>
    <row r="784" spans="88:480" x14ac:dyDescent="0.3">
      <c r="CJ784" s="103"/>
      <c r="FP784" s="103"/>
      <c r="LL784" s="103"/>
      <c r="NM784" s="103"/>
      <c r="QT784" s="106"/>
      <c r="QU784" s="106"/>
      <c r="QV784" s="106"/>
      <c r="QW784" s="106"/>
      <c r="QX784" s="106"/>
      <c r="QY784" s="106"/>
      <c r="QZ784" s="106"/>
      <c r="RA784" s="106"/>
      <c r="RB784" s="106"/>
      <c r="RC784" s="106"/>
      <c r="RD784" s="106"/>
      <c r="RE784" s="106"/>
      <c r="RF784" s="106"/>
      <c r="RG784" s="106"/>
      <c r="RH784" s="106"/>
      <c r="RI784" s="106"/>
      <c r="RJ784" s="106"/>
      <c r="RK784" s="106"/>
      <c r="RL784" s="106"/>
    </row>
    <row r="785" spans="88:480" x14ac:dyDescent="0.3">
      <c r="CJ785" s="103"/>
      <c r="FP785" s="103"/>
      <c r="LL785" s="103"/>
      <c r="NM785" s="103"/>
      <c r="QT785" s="106"/>
      <c r="QU785" s="106"/>
      <c r="QV785" s="106"/>
      <c r="QW785" s="106"/>
      <c r="QX785" s="106"/>
      <c r="QY785" s="106"/>
      <c r="QZ785" s="106"/>
      <c r="RA785" s="106"/>
      <c r="RB785" s="106"/>
      <c r="RC785" s="106"/>
      <c r="RD785" s="106"/>
      <c r="RE785" s="106"/>
      <c r="RF785" s="106"/>
      <c r="RG785" s="106"/>
      <c r="RH785" s="106"/>
      <c r="RI785" s="106"/>
      <c r="RJ785" s="106"/>
      <c r="RK785" s="106"/>
      <c r="RL785" s="106"/>
    </row>
    <row r="786" spans="88:480" x14ac:dyDescent="0.3">
      <c r="CJ786" s="103"/>
      <c r="FP786" s="103"/>
      <c r="LL786" s="103"/>
      <c r="NM786" s="103"/>
      <c r="QT786" s="106"/>
      <c r="QU786" s="106"/>
      <c r="QV786" s="106"/>
      <c r="QW786" s="106"/>
      <c r="QX786" s="106"/>
      <c r="QY786" s="106"/>
      <c r="QZ786" s="106"/>
      <c r="RA786" s="106"/>
      <c r="RB786" s="106"/>
      <c r="RC786" s="106"/>
      <c r="RD786" s="106"/>
      <c r="RE786" s="106"/>
      <c r="RF786" s="106"/>
      <c r="RG786" s="106"/>
      <c r="RH786" s="106"/>
      <c r="RI786" s="106"/>
      <c r="RJ786" s="106"/>
      <c r="RK786" s="106"/>
      <c r="RL786" s="106"/>
    </row>
    <row r="787" spans="88:480" x14ac:dyDescent="0.3">
      <c r="CJ787" s="103"/>
      <c r="FP787" s="103"/>
      <c r="LL787" s="103"/>
      <c r="NM787" s="103"/>
      <c r="QT787" s="106"/>
      <c r="QU787" s="106"/>
      <c r="QV787" s="106"/>
      <c r="QW787" s="106"/>
      <c r="QX787" s="106"/>
      <c r="QY787" s="106"/>
      <c r="QZ787" s="106"/>
      <c r="RA787" s="106"/>
      <c r="RB787" s="106"/>
      <c r="RC787" s="106"/>
      <c r="RD787" s="106"/>
      <c r="RE787" s="106"/>
      <c r="RF787" s="106"/>
      <c r="RG787" s="106"/>
      <c r="RH787" s="106"/>
      <c r="RI787" s="106"/>
      <c r="RJ787" s="106"/>
      <c r="RK787" s="106"/>
      <c r="RL787" s="106"/>
    </row>
    <row r="788" spans="88:480" x14ac:dyDescent="0.3">
      <c r="CJ788" s="103"/>
      <c r="FP788" s="103"/>
      <c r="LL788" s="103"/>
      <c r="NM788" s="103"/>
      <c r="QT788" s="106"/>
      <c r="QU788" s="106"/>
      <c r="QV788" s="106"/>
      <c r="QW788" s="106"/>
      <c r="QX788" s="106"/>
      <c r="QY788" s="106"/>
      <c r="QZ788" s="106"/>
      <c r="RA788" s="106"/>
      <c r="RB788" s="106"/>
      <c r="RC788" s="106"/>
      <c r="RD788" s="106"/>
      <c r="RE788" s="106"/>
      <c r="RF788" s="106"/>
      <c r="RG788" s="106"/>
      <c r="RH788" s="106"/>
      <c r="RI788" s="106"/>
      <c r="RJ788" s="106"/>
      <c r="RK788" s="106"/>
      <c r="RL788" s="106"/>
    </row>
    <row r="789" spans="88:480" x14ac:dyDescent="0.3">
      <c r="CJ789" s="103"/>
      <c r="FP789" s="103"/>
      <c r="LL789" s="103"/>
      <c r="NM789" s="103"/>
      <c r="QT789" s="106"/>
      <c r="QU789" s="106"/>
      <c r="QV789" s="106"/>
      <c r="QW789" s="106"/>
      <c r="QX789" s="106"/>
      <c r="QY789" s="106"/>
      <c r="QZ789" s="106"/>
      <c r="RA789" s="106"/>
      <c r="RB789" s="106"/>
      <c r="RC789" s="106"/>
      <c r="RD789" s="106"/>
      <c r="RE789" s="106"/>
      <c r="RF789" s="106"/>
      <c r="RG789" s="106"/>
      <c r="RH789" s="106"/>
      <c r="RI789" s="106"/>
      <c r="RJ789" s="106"/>
      <c r="RK789" s="106"/>
      <c r="RL789" s="106"/>
    </row>
    <row r="790" spans="88:480" x14ac:dyDescent="0.3">
      <c r="CJ790" s="103"/>
      <c r="FP790" s="103"/>
      <c r="LL790" s="103"/>
      <c r="NM790" s="103"/>
      <c r="QT790" s="106"/>
      <c r="QU790" s="106"/>
      <c r="QV790" s="106"/>
      <c r="QW790" s="106"/>
      <c r="QX790" s="106"/>
      <c r="QY790" s="106"/>
      <c r="QZ790" s="106"/>
      <c r="RA790" s="106"/>
      <c r="RB790" s="106"/>
      <c r="RC790" s="106"/>
      <c r="RD790" s="106"/>
      <c r="RE790" s="106"/>
      <c r="RF790" s="106"/>
      <c r="RG790" s="106"/>
      <c r="RH790" s="106"/>
      <c r="RI790" s="106"/>
      <c r="RJ790" s="106"/>
      <c r="RK790" s="106"/>
      <c r="RL790" s="106"/>
    </row>
    <row r="791" spans="88:480" x14ac:dyDescent="0.3">
      <c r="CJ791" s="103"/>
      <c r="FP791" s="103"/>
      <c r="LL791" s="103"/>
      <c r="NM791" s="103"/>
      <c r="QT791" s="106"/>
      <c r="QU791" s="106"/>
      <c r="QV791" s="106"/>
      <c r="QW791" s="106"/>
      <c r="QX791" s="106"/>
      <c r="QY791" s="106"/>
      <c r="QZ791" s="106"/>
      <c r="RA791" s="106"/>
      <c r="RB791" s="106"/>
      <c r="RC791" s="106"/>
      <c r="RD791" s="106"/>
      <c r="RE791" s="106"/>
      <c r="RF791" s="106"/>
      <c r="RG791" s="106"/>
      <c r="RH791" s="106"/>
      <c r="RI791" s="106"/>
      <c r="RJ791" s="106"/>
      <c r="RK791" s="106"/>
      <c r="RL791" s="106"/>
    </row>
    <row r="792" spans="88:480" x14ac:dyDescent="0.3">
      <c r="CJ792" s="103"/>
      <c r="FP792" s="103"/>
      <c r="LL792" s="103"/>
      <c r="NM792" s="103"/>
      <c r="QT792" s="106"/>
      <c r="QU792" s="106"/>
      <c r="QV792" s="106"/>
      <c r="QW792" s="106"/>
      <c r="QX792" s="106"/>
      <c r="QY792" s="106"/>
      <c r="QZ792" s="106"/>
      <c r="RA792" s="106"/>
      <c r="RB792" s="106"/>
      <c r="RC792" s="106"/>
      <c r="RD792" s="106"/>
      <c r="RE792" s="106"/>
      <c r="RF792" s="106"/>
      <c r="RG792" s="106"/>
      <c r="RH792" s="106"/>
      <c r="RI792" s="106"/>
      <c r="RJ792" s="106"/>
      <c r="RK792" s="106"/>
      <c r="RL792" s="106"/>
    </row>
    <row r="793" spans="88:480" x14ac:dyDescent="0.3">
      <c r="CJ793" s="103"/>
      <c r="FP793" s="103"/>
      <c r="LL793" s="103"/>
      <c r="NM793" s="103"/>
      <c r="QT793" s="106"/>
      <c r="QU793" s="106"/>
      <c r="QV793" s="106"/>
      <c r="QW793" s="106"/>
      <c r="QX793" s="106"/>
      <c r="QY793" s="106"/>
      <c r="QZ793" s="106"/>
      <c r="RA793" s="106"/>
      <c r="RB793" s="106"/>
      <c r="RC793" s="106"/>
      <c r="RD793" s="106"/>
      <c r="RE793" s="106"/>
      <c r="RF793" s="106"/>
      <c r="RG793" s="106"/>
      <c r="RH793" s="106"/>
      <c r="RI793" s="106"/>
      <c r="RJ793" s="106"/>
      <c r="RK793" s="106"/>
      <c r="RL793" s="106"/>
    </row>
    <row r="794" spans="88:480" x14ac:dyDescent="0.3">
      <c r="CJ794" s="103"/>
      <c r="FP794" s="103"/>
      <c r="LL794" s="103"/>
      <c r="NM794" s="103"/>
      <c r="QT794" s="106"/>
      <c r="QU794" s="106"/>
      <c r="QV794" s="106"/>
      <c r="QW794" s="106"/>
      <c r="QX794" s="106"/>
      <c r="QY794" s="106"/>
      <c r="QZ794" s="106"/>
      <c r="RA794" s="106"/>
      <c r="RB794" s="106"/>
      <c r="RC794" s="106"/>
      <c r="RD794" s="106"/>
      <c r="RE794" s="106"/>
      <c r="RF794" s="106"/>
      <c r="RG794" s="106"/>
      <c r="RH794" s="106"/>
      <c r="RI794" s="106"/>
      <c r="RJ794" s="106"/>
      <c r="RK794" s="106"/>
      <c r="RL794" s="106"/>
    </row>
    <row r="795" spans="88:480" x14ac:dyDescent="0.3">
      <c r="CJ795" s="103"/>
      <c r="FP795" s="103"/>
      <c r="LL795" s="103"/>
      <c r="NM795" s="103"/>
      <c r="QT795" s="106"/>
      <c r="QU795" s="106"/>
      <c r="QV795" s="106"/>
      <c r="QW795" s="106"/>
      <c r="QX795" s="106"/>
      <c r="QY795" s="106"/>
      <c r="QZ795" s="106"/>
      <c r="RA795" s="106"/>
      <c r="RB795" s="106"/>
      <c r="RC795" s="106"/>
      <c r="RD795" s="106"/>
      <c r="RE795" s="106"/>
      <c r="RF795" s="106"/>
      <c r="RG795" s="106"/>
      <c r="RH795" s="106"/>
      <c r="RI795" s="106"/>
      <c r="RJ795" s="106"/>
      <c r="RK795" s="106"/>
      <c r="RL795" s="106"/>
    </row>
    <row r="796" spans="88:480" x14ac:dyDescent="0.3">
      <c r="CJ796" s="103"/>
      <c r="FP796" s="103"/>
      <c r="LL796" s="103"/>
      <c r="NM796" s="103"/>
      <c r="QT796" s="106"/>
      <c r="QU796" s="106"/>
      <c r="QV796" s="106"/>
      <c r="QW796" s="106"/>
      <c r="QX796" s="106"/>
      <c r="QY796" s="106"/>
      <c r="QZ796" s="106"/>
      <c r="RA796" s="106"/>
      <c r="RB796" s="106"/>
      <c r="RC796" s="106"/>
      <c r="RD796" s="106"/>
      <c r="RE796" s="106"/>
      <c r="RF796" s="106"/>
      <c r="RG796" s="106"/>
      <c r="RH796" s="106"/>
      <c r="RI796" s="106"/>
      <c r="RJ796" s="106"/>
      <c r="RK796" s="106"/>
      <c r="RL796" s="106"/>
    </row>
    <row r="797" spans="88:480" x14ac:dyDescent="0.3">
      <c r="CJ797" s="103"/>
      <c r="FP797" s="103"/>
      <c r="LL797" s="103"/>
      <c r="NM797" s="103"/>
      <c r="QT797" s="106"/>
      <c r="QU797" s="106"/>
      <c r="QV797" s="106"/>
      <c r="QW797" s="106"/>
      <c r="QX797" s="106"/>
      <c r="QY797" s="106"/>
      <c r="QZ797" s="106"/>
      <c r="RA797" s="106"/>
      <c r="RB797" s="106"/>
      <c r="RC797" s="106"/>
      <c r="RD797" s="106"/>
      <c r="RE797" s="106"/>
      <c r="RF797" s="106"/>
      <c r="RG797" s="106"/>
      <c r="RH797" s="106"/>
      <c r="RI797" s="106"/>
      <c r="RJ797" s="106"/>
      <c r="RK797" s="106"/>
      <c r="RL797" s="106"/>
    </row>
    <row r="798" spans="88:480" x14ac:dyDescent="0.3">
      <c r="CJ798" s="103"/>
      <c r="FP798" s="103"/>
      <c r="LL798" s="103"/>
      <c r="NM798" s="103"/>
      <c r="QT798" s="106"/>
      <c r="QU798" s="106"/>
      <c r="QV798" s="106"/>
      <c r="QW798" s="106"/>
      <c r="QX798" s="106"/>
      <c r="QY798" s="106"/>
      <c r="QZ798" s="106"/>
      <c r="RA798" s="106"/>
      <c r="RB798" s="106"/>
      <c r="RC798" s="106"/>
      <c r="RD798" s="106"/>
      <c r="RE798" s="106"/>
      <c r="RF798" s="106"/>
      <c r="RG798" s="106"/>
      <c r="RH798" s="106"/>
      <c r="RI798" s="106"/>
      <c r="RJ798" s="106"/>
      <c r="RK798" s="106"/>
      <c r="RL798" s="106"/>
    </row>
    <row r="799" spans="88:480" x14ac:dyDescent="0.3">
      <c r="CJ799" s="103"/>
      <c r="FP799" s="103"/>
      <c r="LL799" s="103"/>
      <c r="NM799" s="103"/>
      <c r="QT799" s="106"/>
      <c r="QU799" s="106"/>
      <c r="QV799" s="106"/>
      <c r="QW799" s="106"/>
      <c r="QX799" s="106"/>
      <c r="QY799" s="106"/>
      <c r="QZ799" s="106"/>
      <c r="RA799" s="106"/>
      <c r="RB799" s="106"/>
      <c r="RC799" s="106"/>
      <c r="RD799" s="106"/>
      <c r="RE799" s="106"/>
      <c r="RF799" s="106"/>
      <c r="RG799" s="106"/>
      <c r="RH799" s="106"/>
      <c r="RI799" s="106"/>
      <c r="RJ799" s="106"/>
      <c r="RK799" s="106"/>
      <c r="RL799" s="106"/>
    </row>
    <row r="800" spans="88:480" x14ac:dyDescent="0.3">
      <c r="CJ800" s="103"/>
      <c r="FP800" s="103"/>
      <c r="LL800" s="103"/>
      <c r="NM800" s="103"/>
      <c r="QT800" s="106"/>
      <c r="QU800" s="106"/>
      <c r="QV800" s="106"/>
      <c r="QW800" s="106"/>
      <c r="QX800" s="106"/>
      <c r="QY800" s="106"/>
      <c r="QZ800" s="106"/>
      <c r="RA800" s="106"/>
      <c r="RB800" s="106"/>
      <c r="RC800" s="106"/>
      <c r="RD800" s="106"/>
      <c r="RE800" s="106"/>
      <c r="RF800" s="106"/>
      <c r="RG800" s="106"/>
      <c r="RH800" s="106"/>
      <c r="RI800" s="106"/>
      <c r="RJ800" s="106"/>
      <c r="RK800" s="106"/>
      <c r="RL800" s="106"/>
    </row>
    <row r="801" spans="88:480" x14ac:dyDescent="0.3">
      <c r="CJ801" s="103"/>
      <c r="FP801" s="103"/>
      <c r="LL801" s="103"/>
      <c r="NM801" s="103"/>
      <c r="QT801" s="106"/>
      <c r="QU801" s="106"/>
      <c r="QV801" s="106"/>
      <c r="QW801" s="106"/>
      <c r="QX801" s="106"/>
      <c r="QY801" s="106"/>
      <c r="QZ801" s="106"/>
      <c r="RA801" s="106"/>
      <c r="RB801" s="106"/>
      <c r="RC801" s="106"/>
      <c r="RD801" s="106"/>
      <c r="RE801" s="106"/>
      <c r="RF801" s="106"/>
      <c r="RG801" s="106"/>
      <c r="RH801" s="106"/>
      <c r="RI801" s="106"/>
      <c r="RJ801" s="106"/>
      <c r="RK801" s="106"/>
      <c r="RL801" s="106"/>
    </row>
    <row r="802" spans="88:480" x14ac:dyDescent="0.3">
      <c r="CJ802" s="103"/>
      <c r="FP802" s="103"/>
      <c r="LL802" s="103"/>
      <c r="NM802" s="103"/>
      <c r="QT802" s="106"/>
      <c r="QU802" s="106"/>
      <c r="QV802" s="106"/>
      <c r="QW802" s="106"/>
      <c r="QX802" s="106"/>
      <c r="QY802" s="106"/>
      <c r="QZ802" s="106"/>
      <c r="RA802" s="106"/>
      <c r="RB802" s="106"/>
      <c r="RC802" s="106"/>
      <c r="RD802" s="106"/>
      <c r="RE802" s="106"/>
      <c r="RF802" s="106"/>
      <c r="RG802" s="106"/>
      <c r="RH802" s="106"/>
      <c r="RI802" s="106"/>
      <c r="RJ802" s="106"/>
      <c r="RK802" s="106"/>
      <c r="RL802" s="106"/>
    </row>
    <row r="803" spans="88:480" x14ac:dyDescent="0.3">
      <c r="CJ803" s="103"/>
      <c r="FP803" s="103"/>
      <c r="LL803" s="103"/>
      <c r="NM803" s="103"/>
      <c r="QT803" s="106"/>
      <c r="QU803" s="106"/>
      <c r="QV803" s="106"/>
      <c r="QW803" s="106"/>
      <c r="QX803" s="106"/>
      <c r="QY803" s="106"/>
      <c r="QZ803" s="106"/>
      <c r="RA803" s="106"/>
      <c r="RB803" s="106"/>
      <c r="RC803" s="106"/>
      <c r="RD803" s="106"/>
      <c r="RE803" s="106"/>
      <c r="RF803" s="106"/>
      <c r="RG803" s="106"/>
      <c r="RH803" s="106"/>
      <c r="RI803" s="106"/>
      <c r="RJ803" s="106"/>
      <c r="RK803" s="106"/>
      <c r="RL803" s="106"/>
    </row>
    <row r="804" spans="88:480" x14ac:dyDescent="0.3">
      <c r="CJ804" s="103"/>
      <c r="FP804" s="103"/>
      <c r="LL804" s="103"/>
      <c r="NM804" s="103"/>
      <c r="QT804" s="106"/>
      <c r="QU804" s="106"/>
      <c r="QV804" s="106"/>
      <c r="QW804" s="106"/>
      <c r="QX804" s="106"/>
      <c r="QY804" s="106"/>
      <c r="QZ804" s="106"/>
      <c r="RA804" s="106"/>
      <c r="RB804" s="106"/>
      <c r="RC804" s="106"/>
      <c r="RD804" s="106"/>
      <c r="RE804" s="106"/>
      <c r="RF804" s="106"/>
      <c r="RG804" s="106"/>
      <c r="RH804" s="106"/>
      <c r="RI804" s="106"/>
      <c r="RJ804" s="106"/>
      <c r="RK804" s="106"/>
      <c r="RL804" s="106"/>
    </row>
    <row r="805" spans="88:480" x14ac:dyDescent="0.3">
      <c r="CJ805" s="103"/>
      <c r="FP805" s="103"/>
      <c r="LL805" s="103"/>
      <c r="NM805" s="103"/>
      <c r="QT805" s="106"/>
      <c r="QU805" s="106"/>
      <c r="QV805" s="106"/>
      <c r="QW805" s="106"/>
      <c r="QX805" s="106"/>
      <c r="QY805" s="106"/>
      <c r="QZ805" s="106"/>
      <c r="RA805" s="106"/>
      <c r="RB805" s="106"/>
      <c r="RC805" s="106"/>
      <c r="RD805" s="106"/>
      <c r="RE805" s="106"/>
      <c r="RF805" s="106"/>
      <c r="RG805" s="106"/>
      <c r="RH805" s="106"/>
      <c r="RI805" s="106"/>
      <c r="RJ805" s="106"/>
      <c r="RK805" s="106"/>
      <c r="RL805" s="106"/>
    </row>
    <row r="806" spans="88:480" x14ac:dyDescent="0.3">
      <c r="CJ806" s="103"/>
      <c r="FP806" s="103"/>
      <c r="LL806" s="103"/>
      <c r="NM806" s="103"/>
      <c r="QT806" s="106"/>
      <c r="QU806" s="106"/>
      <c r="QV806" s="106"/>
      <c r="QW806" s="106"/>
      <c r="QX806" s="106"/>
      <c r="QY806" s="106"/>
      <c r="QZ806" s="106"/>
      <c r="RA806" s="106"/>
      <c r="RB806" s="106"/>
      <c r="RC806" s="106"/>
      <c r="RD806" s="106"/>
      <c r="RE806" s="106"/>
      <c r="RF806" s="106"/>
      <c r="RG806" s="106"/>
      <c r="RH806" s="106"/>
      <c r="RI806" s="106"/>
      <c r="RJ806" s="106"/>
      <c r="RK806" s="106"/>
      <c r="RL806" s="106"/>
    </row>
    <row r="807" spans="88:480" x14ac:dyDescent="0.3">
      <c r="CJ807" s="103"/>
      <c r="FP807" s="103"/>
      <c r="LL807" s="103"/>
      <c r="NM807" s="103"/>
      <c r="QT807" s="106"/>
      <c r="QU807" s="106"/>
      <c r="QV807" s="106"/>
      <c r="QW807" s="106"/>
      <c r="QX807" s="106"/>
      <c r="QY807" s="106"/>
      <c r="QZ807" s="106"/>
      <c r="RA807" s="106"/>
      <c r="RB807" s="106"/>
      <c r="RC807" s="106"/>
      <c r="RD807" s="106"/>
      <c r="RE807" s="106"/>
      <c r="RF807" s="106"/>
      <c r="RG807" s="106"/>
      <c r="RH807" s="106"/>
      <c r="RI807" s="106"/>
      <c r="RJ807" s="106"/>
      <c r="RK807" s="106"/>
      <c r="RL807" s="106"/>
    </row>
    <row r="808" spans="88:480" x14ac:dyDescent="0.3">
      <c r="CJ808" s="103"/>
      <c r="FP808" s="103"/>
      <c r="LL808" s="103"/>
      <c r="NM808" s="103"/>
      <c r="QT808" s="106"/>
      <c r="QU808" s="106"/>
      <c r="QV808" s="106"/>
      <c r="QW808" s="106"/>
      <c r="QX808" s="106"/>
      <c r="QY808" s="106"/>
      <c r="QZ808" s="106"/>
      <c r="RA808" s="106"/>
      <c r="RB808" s="106"/>
      <c r="RC808" s="106"/>
      <c r="RD808" s="106"/>
      <c r="RE808" s="106"/>
      <c r="RF808" s="106"/>
      <c r="RG808" s="106"/>
      <c r="RH808" s="106"/>
      <c r="RI808" s="106"/>
      <c r="RJ808" s="106"/>
      <c r="RK808" s="106"/>
      <c r="RL808" s="106"/>
    </row>
    <row r="809" spans="88:480" x14ac:dyDescent="0.3">
      <c r="CJ809" s="103"/>
      <c r="FP809" s="103"/>
      <c r="LL809" s="103"/>
      <c r="NM809" s="103"/>
      <c r="QT809" s="106"/>
      <c r="QU809" s="106"/>
      <c r="QV809" s="106"/>
      <c r="QW809" s="106"/>
      <c r="QX809" s="106"/>
      <c r="QY809" s="106"/>
      <c r="QZ809" s="106"/>
      <c r="RA809" s="106"/>
      <c r="RB809" s="106"/>
      <c r="RC809" s="106"/>
      <c r="RD809" s="106"/>
      <c r="RE809" s="106"/>
      <c r="RF809" s="106"/>
      <c r="RG809" s="106"/>
      <c r="RH809" s="106"/>
      <c r="RI809" s="106"/>
      <c r="RJ809" s="106"/>
      <c r="RK809" s="106"/>
      <c r="RL809" s="106"/>
    </row>
    <row r="810" spans="88:480" x14ac:dyDescent="0.3">
      <c r="CJ810" s="103"/>
      <c r="FP810" s="103"/>
      <c r="LL810" s="103"/>
      <c r="NM810" s="103"/>
      <c r="QT810" s="106"/>
      <c r="QU810" s="106"/>
      <c r="QV810" s="106"/>
      <c r="QW810" s="106"/>
      <c r="QX810" s="106"/>
      <c r="QY810" s="106"/>
      <c r="QZ810" s="106"/>
      <c r="RA810" s="106"/>
      <c r="RB810" s="106"/>
      <c r="RC810" s="106"/>
      <c r="RD810" s="106"/>
      <c r="RE810" s="106"/>
      <c r="RF810" s="106"/>
      <c r="RG810" s="106"/>
      <c r="RH810" s="106"/>
      <c r="RI810" s="106"/>
      <c r="RJ810" s="106"/>
      <c r="RK810" s="106"/>
      <c r="RL810" s="106"/>
    </row>
    <row r="811" spans="88:480" x14ac:dyDescent="0.3">
      <c r="CJ811" s="103"/>
      <c r="FP811" s="103"/>
      <c r="LL811" s="103"/>
      <c r="NM811" s="103"/>
      <c r="QT811" s="106"/>
      <c r="QU811" s="106"/>
      <c r="QV811" s="106"/>
      <c r="QW811" s="106"/>
      <c r="QX811" s="106"/>
      <c r="QY811" s="106"/>
      <c r="QZ811" s="106"/>
      <c r="RA811" s="106"/>
      <c r="RB811" s="106"/>
      <c r="RC811" s="106"/>
      <c r="RD811" s="106"/>
      <c r="RE811" s="106"/>
      <c r="RF811" s="106"/>
      <c r="RG811" s="106"/>
      <c r="RH811" s="106"/>
      <c r="RI811" s="106"/>
      <c r="RJ811" s="106"/>
      <c r="RK811" s="106"/>
      <c r="RL811" s="106"/>
    </row>
    <row r="812" spans="88:480" x14ac:dyDescent="0.3">
      <c r="CJ812" s="103"/>
      <c r="FP812" s="103"/>
      <c r="LL812" s="103"/>
      <c r="NM812" s="103"/>
      <c r="QT812" s="106"/>
      <c r="QU812" s="106"/>
      <c r="QV812" s="106"/>
      <c r="QW812" s="106"/>
      <c r="QX812" s="106"/>
      <c r="QY812" s="106"/>
      <c r="QZ812" s="106"/>
      <c r="RA812" s="106"/>
      <c r="RB812" s="106"/>
      <c r="RC812" s="106"/>
      <c r="RD812" s="106"/>
      <c r="RE812" s="106"/>
      <c r="RF812" s="106"/>
      <c r="RG812" s="106"/>
      <c r="RH812" s="106"/>
      <c r="RI812" s="106"/>
      <c r="RJ812" s="106"/>
      <c r="RK812" s="106"/>
      <c r="RL812" s="106"/>
    </row>
    <row r="813" spans="88:480" x14ac:dyDescent="0.3">
      <c r="CJ813" s="103"/>
      <c r="FP813" s="103"/>
      <c r="LL813" s="103"/>
      <c r="NM813" s="103"/>
      <c r="QT813" s="106"/>
      <c r="QU813" s="106"/>
      <c r="QV813" s="106"/>
      <c r="QW813" s="106"/>
      <c r="QX813" s="106"/>
      <c r="QY813" s="106"/>
      <c r="QZ813" s="106"/>
      <c r="RA813" s="106"/>
      <c r="RB813" s="106"/>
      <c r="RC813" s="106"/>
      <c r="RD813" s="106"/>
      <c r="RE813" s="106"/>
      <c r="RF813" s="106"/>
      <c r="RG813" s="106"/>
      <c r="RH813" s="106"/>
      <c r="RI813" s="106"/>
      <c r="RJ813" s="106"/>
      <c r="RK813" s="106"/>
      <c r="RL813" s="106"/>
    </row>
    <row r="814" spans="88:480" x14ac:dyDescent="0.3">
      <c r="CJ814" s="103"/>
      <c r="FP814" s="103"/>
      <c r="LL814" s="103"/>
      <c r="NM814" s="103"/>
      <c r="QT814" s="106"/>
      <c r="QU814" s="106"/>
      <c r="QV814" s="106"/>
      <c r="QW814" s="106"/>
      <c r="QX814" s="106"/>
      <c r="QY814" s="106"/>
      <c r="QZ814" s="106"/>
      <c r="RA814" s="106"/>
      <c r="RB814" s="106"/>
      <c r="RC814" s="106"/>
      <c r="RD814" s="106"/>
      <c r="RE814" s="106"/>
      <c r="RF814" s="106"/>
      <c r="RG814" s="106"/>
      <c r="RH814" s="106"/>
      <c r="RI814" s="106"/>
      <c r="RJ814" s="106"/>
      <c r="RK814" s="106"/>
      <c r="RL814" s="106"/>
    </row>
    <row r="815" spans="88:480" x14ac:dyDescent="0.3">
      <c r="CJ815" s="103"/>
      <c r="FP815" s="103"/>
      <c r="LL815" s="103"/>
      <c r="NM815" s="103"/>
      <c r="QT815" s="106"/>
      <c r="QU815" s="106"/>
      <c r="QV815" s="106"/>
      <c r="QW815" s="106"/>
      <c r="QX815" s="106"/>
      <c r="QY815" s="106"/>
      <c r="QZ815" s="106"/>
      <c r="RA815" s="106"/>
      <c r="RB815" s="106"/>
      <c r="RC815" s="106"/>
      <c r="RD815" s="106"/>
      <c r="RE815" s="106"/>
      <c r="RF815" s="106"/>
      <c r="RG815" s="106"/>
      <c r="RH815" s="106"/>
      <c r="RI815" s="106"/>
      <c r="RJ815" s="106"/>
      <c r="RK815" s="106"/>
      <c r="RL815" s="106"/>
    </row>
    <row r="816" spans="88:480" x14ac:dyDescent="0.3">
      <c r="CJ816" s="103"/>
      <c r="FP816" s="103"/>
      <c r="LL816" s="103"/>
      <c r="NM816" s="103"/>
      <c r="QT816" s="106"/>
      <c r="QU816" s="106"/>
      <c r="QV816" s="106"/>
      <c r="QW816" s="106"/>
      <c r="QX816" s="106"/>
      <c r="QY816" s="106"/>
      <c r="QZ816" s="106"/>
      <c r="RA816" s="106"/>
      <c r="RB816" s="106"/>
      <c r="RC816" s="106"/>
      <c r="RD816" s="106"/>
      <c r="RE816" s="106"/>
      <c r="RF816" s="106"/>
      <c r="RG816" s="106"/>
      <c r="RH816" s="106"/>
      <c r="RI816" s="106"/>
      <c r="RJ816" s="106"/>
      <c r="RK816" s="106"/>
      <c r="RL816" s="106"/>
    </row>
    <row r="817" spans="88:480" x14ac:dyDescent="0.3">
      <c r="CJ817" s="103"/>
      <c r="FP817" s="103"/>
      <c r="LL817" s="103"/>
      <c r="NM817" s="103"/>
      <c r="QT817" s="106"/>
      <c r="QU817" s="106"/>
      <c r="QV817" s="106"/>
      <c r="QW817" s="106"/>
      <c r="QX817" s="106"/>
      <c r="QY817" s="106"/>
      <c r="QZ817" s="106"/>
      <c r="RA817" s="106"/>
      <c r="RB817" s="106"/>
      <c r="RC817" s="106"/>
      <c r="RD817" s="106"/>
      <c r="RE817" s="106"/>
      <c r="RF817" s="106"/>
      <c r="RG817" s="106"/>
      <c r="RH817" s="106"/>
      <c r="RI817" s="106"/>
      <c r="RJ817" s="106"/>
      <c r="RK817" s="106"/>
      <c r="RL817" s="106"/>
    </row>
    <row r="818" spans="88:480" x14ac:dyDescent="0.3">
      <c r="CJ818" s="103"/>
      <c r="FP818" s="103"/>
      <c r="LL818" s="103"/>
      <c r="NM818" s="103"/>
      <c r="QT818" s="106"/>
      <c r="QU818" s="106"/>
      <c r="QV818" s="106"/>
      <c r="QW818" s="106"/>
      <c r="QX818" s="106"/>
      <c r="QY818" s="106"/>
      <c r="QZ818" s="106"/>
      <c r="RA818" s="106"/>
      <c r="RB818" s="106"/>
      <c r="RC818" s="106"/>
      <c r="RD818" s="106"/>
      <c r="RE818" s="106"/>
      <c r="RF818" s="106"/>
      <c r="RG818" s="106"/>
      <c r="RH818" s="106"/>
      <c r="RI818" s="106"/>
      <c r="RJ818" s="106"/>
      <c r="RK818" s="106"/>
      <c r="RL818" s="106"/>
    </row>
    <row r="819" spans="88:480" x14ac:dyDescent="0.3">
      <c r="CJ819" s="103"/>
      <c r="FP819" s="103"/>
      <c r="LL819" s="103"/>
      <c r="NM819" s="103"/>
      <c r="QT819" s="106"/>
      <c r="QU819" s="106"/>
      <c r="QV819" s="106"/>
      <c r="QW819" s="106"/>
      <c r="QX819" s="106"/>
      <c r="QY819" s="106"/>
      <c r="QZ819" s="106"/>
      <c r="RA819" s="106"/>
      <c r="RB819" s="106"/>
      <c r="RC819" s="106"/>
      <c r="RD819" s="106"/>
      <c r="RE819" s="106"/>
      <c r="RF819" s="106"/>
      <c r="RG819" s="106"/>
      <c r="RH819" s="106"/>
      <c r="RI819" s="106"/>
      <c r="RJ819" s="106"/>
      <c r="RK819" s="106"/>
      <c r="RL819" s="106"/>
    </row>
    <row r="820" spans="88:480" x14ac:dyDescent="0.3">
      <c r="CJ820" s="103"/>
      <c r="FP820" s="103"/>
      <c r="LL820" s="103"/>
      <c r="NM820" s="103"/>
      <c r="QT820" s="106"/>
      <c r="QU820" s="106"/>
      <c r="QV820" s="106"/>
      <c r="QW820" s="106"/>
      <c r="QX820" s="106"/>
      <c r="QY820" s="106"/>
      <c r="QZ820" s="106"/>
      <c r="RA820" s="106"/>
      <c r="RB820" s="106"/>
      <c r="RC820" s="106"/>
      <c r="RD820" s="106"/>
      <c r="RE820" s="106"/>
      <c r="RF820" s="106"/>
      <c r="RG820" s="106"/>
      <c r="RH820" s="106"/>
      <c r="RI820" s="106"/>
      <c r="RJ820" s="106"/>
      <c r="RK820" s="106"/>
      <c r="RL820" s="106"/>
    </row>
    <row r="821" spans="88:480" x14ac:dyDescent="0.3">
      <c r="CJ821" s="103"/>
      <c r="FP821" s="103"/>
      <c r="LL821" s="103"/>
      <c r="NM821" s="103"/>
      <c r="QT821" s="106"/>
      <c r="QU821" s="106"/>
      <c r="QV821" s="106"/>
      <c r="QW821" s="106"/>
      <c r="QX821" s="106"/>
      <c r="QY821" s="106"/>
      <c r="QZ821" s="106"/>
      <c r="RA821" s="106"/>
      <c r="RB821" s="106"/>
      <c r="RC821" s="106"/>
      <c r="RD821" s="106"/>
      <c r="RE821" s="106"/>
      <c r="RF821" s="106"/>
      <c r="RG821" s="106"/>
      <c r="RH821" s="106"/>
      <c r="RI821" s="106"/>
      <c r="RJ821" s="106"/>
      <c r="RK821" s="106"/>
      <c r="RL821" s="106"/>
    </row>
    <row r="822" spans="88:480" x14ac:dyDescent="0.3">
      <c r="CJ822" s="103"/>
      <c r="FP822" s="103"/>
      <c r="LL822" s="103"/>
      <c r="NM822" s="103"/>
      <c r="QT822" s="106"/>
      <c r="QU822" s="106"/>
      <c r="QV822" s="106"/>
      <c r="QW822" s="106"/>
      <c r="QX822" s="106"/>
      <c r="QY822" s="106"/>
      <c r="QZ822" s="106"/>
      <c r="RA822" s="106"/>
      <c r="RB822" s="106"/>
      <c r="RC822" s="106"/>
      <c r="RD822" s="106"/>
      <c r="RE822" s="106"/>
      <c r="RF822" s="106"/>
      <c r="RG822" s="106"/>
      <c r="RH822" s="106"/>
      <c r="RI822" s="106"/>
      <c r="RJ822" s="106"/>
      <c r="RK822" s="106"/>
      <c r="RL822" s="106"/>
    </row>
    <row r="823" spans="88:480" x14ac:dyDescent="0.3">
      <c r="CJ823" s="103"/>
      <c r="FP823" s="103"/>
      <c r="LL823" s="103"/>
      <c r="NM823" s="103"/>
      <c r="QT823" s="106"/>
      <c r="QU823" s="106"/>
      <c r="QV823" s="106"/>
      <c r="QW823" s="106"/>
      <c r="QX823" s="106"/>
      <c r="QY823" s="106"/>
      <c r="QZ823" s="106"/>
      <c r="RA823" s="106"/>
      <c r="RB823" s="106"/>
      <c r="RC823" s="106"/>
      <c r="RD823" s="106"/>
      <c r="RE823" s="106"/>
      <c r="RF823" s="106"/>
      <c r="RG823" s="106"/>
      <c r="RH823" s="106"/>
      <c r="RI823" s="106"/>
      <c r="RJ823" s="106"/>
      <c r="RK823" s="106"/>
      <c r="RL823" s="106"/>
    </row>
    <row r="824" spans="88:480" x14ac:dyDescent="0.3">
      <c r="CJ824" s="103"/>
      <c r="FP824" s="103"/>
      <c r="LL824" s="103"/>
      <c r="NM824" s="103"/>
      <c r="QT824" s="106"/>
      <c r="QU824" s="106"/>
      <c r="QV824" s="106"/>
      <c r="QW824" s="106"/>
      <c r="QX824" s="106"/>
      <c r="QY824" s="106"/>
      <c r="QZ824" s="106"/>
      <c r="RA824" s="106"/>
      <c r="RB824" s="106"/>
      <c r="RC824" s="106"/>
      <c r="RD824" s="106"/>
      <c r="RE824" s="106"/>
      <c r="RF824" s="106"/>
      <c r="RG824" s="106"/>
      <c r="RH824" s="106"/>
      <c r="RI824" s="106"/>
      <c r="RJ824" s="106"/>
      <c r="RK824" s="106"/>
      <c r="RL824" s="106"/>
    </row>
    <row r="825" spans="88:480" x14ac:dyDescent="0.3">
      <c r="CJ825" s="103"/>
      <c r="FP825" s="103"/>
      <c r="LL825" s="103"/>
      <c r="NM825" s="103"/>
      <c r="QT825" s="106"/>
      <c r="QU825" s="106"/>
      <c r="QV825" s="106"/>
      <c r="QW825" s="106"/>
      <c r="QX825" s="106"/>
      <c r="QY825" s="106"/>
      <c r="QZ825" s="106"/>
      <c r="RA825" s="106"/>
      <c r="RB825" s="106"/>
      <c r="RC825" s="106"/>
      <c r="RD825" s="106"/>
      <c r="RE825" s="106"/>
      <c r="RF825" s="106"/>
      <c r="RG825" s="106"/>
      <c r="RH825" s="106"/>
      <c r="RI825" s="106"/>
      <c r="RJ825" s="106"/>
      <c r="RK825" s="106"/>
      <c r="RL825" s="106"/>
    </row>
    <row r="826" spans="88:480" x14ac:dyDescent="0.3">
      <c r="CJ826" s="103"/>
      <c r="FP826" s="103"/>
      <c r="LL826" s="103"/>
      <c r="NM826" s="103"/>
      <c r="QT826" s="106"/>
      <c r="QU826" s="106"/>
      <c r="QV826" s="106"/>
      <c r="QW826" s="106"/>
      <c r="QX826" s="106"/>
      <c r="QY826" s="106"/>
      <c r="QZ826" s="106"/>
      <c r="RA826" s="106"/>
      <c r="RB826" s="106"/>
      <c r="RC826" s="106"/>
      <c r="RD826" s="106"/>
      <c r="RE826" s="106"/>
      <c r="RF826" s="106"/>
      <c r="RG826" s="106"/>
      <c r="RH826" s="106"/>
      <c r="RI826" s="106"/>
      <c r="RJ826" s="106"/>
      <c r="RK826" s="106"/>
      <c r="RL826" s="106"/>
    </row>
    <row r="827" spans="88:480" x14ac:dyDescent="0.3">
      <c r="CJ827" s="103"/>
      <c r="FP827" s="103"/>
      <c r="LL827" s="103"/>
      <c r="NM827" s="103"/>
      <c r="QT827" s="106"/>
      <c r="QU827" s="106"/>
      <c r="QV827" s="106"/>
      <c r="QW827" s="106"/>
      <c r="QX827" s="106"/>
      <c r="QY827" s="106"/>
      <c r="QZ827" s="106"/>
      <c r="RA827" s="106"/>
      <c r="RB827" s="106"/>
      <c r="RC827" s="106"/>
      <c r="RD827" s="106"/>
      <c r="RE827" s="106"/>
      <c r="RF827" s="106"/>
      <c r="RG827" s="106"/>
      <c r="RH827" s="106"/>
      <c r="RI827" s="106"/>
      <c r="RJ827" s="106"/>
      <c r="RK827" s="106"/>
      <c r="RL827" s="106"/>
    </row>
    <row r="828" spans="88:480" x14ac:dyDescent="0.3">
      <c r="CJ828" s="103"/>
      <c r="FP828" s="103"/>
      <c r="LL828" s="103"/>
      <c r="NM828" s="103"/>
      <c r="QT828" s="106"/>
      <c r="QU828" s="106"/>
      <c r="QV828" s="106"/>
      <c r="QW828" s="106"/>
      <c r="QX828" s="106"/>
      <c r="QY828" s="106"/>
      <c r="QZ828" s="106"/>
      <c r="RA828" s="106"/>
      <c r="RB828" s="106"/>
      <c r="RC828" s="106"/>
      <c r="RD828" s="106"/>
      <c r="RE828" s="106"/>
      <c r="RF828" s="106"/>
      <c r="RG828" s="106"/>
      <c r="RH828" s="106"/>
      <c r="RI828" s="106"/>
      <c r="RJ828" s="106"/>
      <c r="RK828" s="106"/>
      <c r="RL828" s="106"/>
    </row>
    <row r="829" spans="88:480" x14ac:dyDescent="0.3">
      <c r="CJ829" s="103"/>
      <c r="FP829" s="103"/>
      <c r="LL829" s="103"/>
      <c r="NM829" s="103"/>
      <c r="QT829" s="106"/>
      <c r="QU829" s="106"/>
      <c r="QV829" s="106"/>
      <c r="QW829" s="106"/>
      <c r="QX829" s="106"/>
      <c r="QY829" s="106"/>
      <c r="QZ829" s="106"/>
      <c r="RA829" s="106"/>
      <c r="RB829" s="106"/>
      <c r="RC829" s="106"/>
      <c r="RD829" s="106"/>
      <c r="RE829" s="106"/>
      <c r="RF829" s="106"/>
      <c r="RG829" s="106"/>
      <c r="RH829" s="106"/>
      <c r="RI829" s="106"/>
      <c r="RJ829" s="106"/>
      <c r="RK829" s="106"/>
      <c r="RL829" s="106"/>
    </row>
    <row r="830" spans="88:480" x14ac:dyDescent="0.3">
      <c r="CJ830" s="103"/>
      <c r="FP830" s="103"/>
      <c r="LL830" s="103"/>
      <c r="NM830" s="103"/>
      <c r="QT830" s="106"/>
      <c r="QU830" s="106"/>
      <c r="QV830" s="106"/>
      <c r="QW830" s="106"/>
      <c r="QX830" s="106"/>
      <c r="QY830" s="106"/>
      <c r="QZ830" s="106"/>
      <c r="RA830" s="106"/>
      <c r="RB830" s="106"/>
      <c r="RC830" s="106"/>
      <c r="RD830" s="106"/>
      <c r="RE830" s="106"/>
      <c r="RF830" s="106"/>
      <c r="RG830" s="106"/>
      <c r="RH830" s="106"/>
      <c r="RI830" s="106"/>
      <c r="RJ830" s="106"/>
      <c r="RK830" s="106"/>
      <c r="RL830" s="106"/>
    </row>
    <row r="831" spans="88:480" x14ac:dyDescent="0.3">
      <c r="CJ831" s="103"/>
      <c r="FP831" s="103"/>
      <c r="LL831" s="103"/>
      <c r="NM831" s="103"/>
      <c r="QT831" s="106"/>
      <c r="QU831" s="106"/>
      <c r="QV831" s="106"/>
      <c r="QW831" s="106"/>
      <c r="QX831" s="106"/>
      <c r="QY831" s="106"/>
      <c r="QZ831" s="106"/>
      <c r="RA831" s="106"/>
      <c r="RB831" s="106"/>
      <c r="RC831" s="106"/>
      <c r="RD831" s="106"/>
      <c r="RE831" s="106"/>
      <c r="RF831" s="106"/>
      <c r="RG831" s="106"/>
      <c r="RH831" s="106"/>
      <c r="RI831" s="106"/>
      <c r="RJ831" s="106"/>
      <c r="RK831" s="106"/>
      <c r="RL831" s="106"/>
    </row>
    <row r="832" spans="88:480" x14ac:dyDescent="0.3">
      <c r="CJ832" s="103"/>
      <c r="FP832" s="103"/>
      <c r="LL832" s="103"/>
      <c r="NM832" s="103"/>
      <c r="QT832" s="106"/>
      <c r="QU832" s="106"/>
      <c r="QV832" s="106"/>
      <c r="QW832" s="106"/>
      <c r="QX832" s="106"/>
      <c r="QY832" s="106"/>
      <c r="QZ832" s="106"/>
      <c r="RA832" s="106"/>
      <c r="RB832" s="106"/>
      <c r="RC832" s="106"/>
      <c r="RD832" s="106"/>
      <c r="RE832" s="106"/>
      <c r="RF832" s="106"/>
      <c r="RG832" s="106"/>
      <c r="RH832" s="106"/>
      <c r="RI832" s="106"/>
      <c r="RJ832" s="106"/>
      <c r="RK832" s="106"/>
      <c r="RL832" s="106"/>
    </row>
    <row r="833" spans="88:480" x14ac:dyDescent="0.3">
      <c r="CJ833" s="103"/>
      <c r="FP833" s="103"/>
      <c r="LL833" s="103"/>
      <c r="NM833" s="103"/>
      <c r="QT833" s="106"/>
      <c r="QU833" s="106"/>
      <c r="QV833" s="106"/>
      <c r="QW833" s="106"/>
      <c r="QX833" s="106"/>
      <c r="QY833" s="106"/>
      <c r="QZ833" s="106"/>
      <c r="RA833" s="106"/>
      <c r="RB833" s="106"/>
      <c r="RC833" s="106"/>
      <c r="RD833" s="106"/>
      <c r="RE833" s="106"/>
      <c r="RF833" s="106"/>
      <c r="RG833" s="106"/>
      <c r="RH833" s="106"/>
      <c r="RI833" s="106"/>
      <c r="RJ833" s="106"/>
      <c r="RK833" s="106"/>
      <c r="RL833" s="106"/>
    </row>
    <row r="834" spans="88:480" x14ac:dyDescent="0.3">
      <c r="CJ834" s="103"/>
      <c r="FP834" s="103"/>
      <c r="LL834" s="103"/>
      <c r="NM834" s="103"/>
      <c r="QT834" s="106"/>
      <c r="QU834" s="106"/>
      <c r="QV834" s="106"/>
      <c r="QW834" s="106"/>
      <c r="QX834" s="106"/>
      <c r="QY834" s="106"/>
      <c r="QZ834" s="106"/>
      <c r="RA834" s="106"/>
      <c r="RB834" s="106"/>
      <c r="RC834" s="106"/>
      <c r="RD834" s="106"/>
      <c r="RE834" s="106"/>
      <c r="RF834" s="106"/>
      <c r="RG834" s="106"/>
      <c r="RH834" s="106"/>
      <c r="RI834" s="106"/>
      <c r="RJ834" s="106"/>
      <c r="RK834" s="106"/>
      <c r="RL834" s="106"/>
    </row>
    <row r="835" spans="88:480" x14ac:dyDescent="0.3">
      <c r="CJ835" s="103"/>
      <c r="FP835" s="103"/>
      <c r="LL835" s="103"/>
      <c r="NM835" s="103"/>
      <c r="QT835" s="106"/>
      <c r="QU835" s="106"/>
      <c r="QV835" s="106"/>
      <c r="QW835" s="106"/>
      <c r="QX835" s="106"/>
      <c r="QY835" s="106"/>
      <c r="QZ835" s="106"/>
      <c r="RA835" s="106"/>
      <c r="RB835" s="106"/>
      <c r="RC835" s="106"/>
      <c r="RD835" s="106"/>
      <c r="RE835" s="106"/>
      <c r="RF835" s="106"/>
      <c r="RG835" s="106"/>
      <c r="RH835" s="106"/>
      <c r="RI835" s="106"/>
      <c r="RJ835" s="106"/>
      <c r="RK835" s="106"/>
      <c r="RL835" s="106"/>
    </row>
    <row r="836" spans="88:480" x14ac:dyDescent="0.3">
      <c r="CJ836" s="103"/>
      <c r="FP836" s="103"/>
      <c r="LL836" s="103"/>
      <c r="NM836" s="103"/>
      <c r="QT836" s="106"/>
      <c r="QU836" s="106"/>
      <c r="QV836" s="106"/>
      <c r="QW836" s="106"/>
      <c r="QX836" s="106"/>
      <c r="QY836" s="106"/>
      <c r="QZ836" s="106"/>
      <c r="RA836" s="106"/>
      <c r="RB836" s="106"/>
      <c r="RC836" s="106"/>
      <c r="RD836" s="106"/>
      <c r="RE836" s="106"/>
      <c r="RF836" s="106"/>
      <c r="RG836" s="106"/>
      <c r="RH836" s="106"/>
      <c r="RI836" s="106"/>
      <c r="RJ836" s="106"/>
      <c r="RK836" s="106"/>
      <c r="RL836" s="106"/>
    </row>
    <row r="837" spans="88:480" x14ac:dyDescent="0.3">
      <c r="CJ837" s="103"/>
      <c r="FP837" s="103"/>
      <c r="LL837" s="103"/>
      <c r="NM837" s="103"/>
      <c r="QT837" s="106"/>
      <c r="QU837" s="106"/>
      <c r="QV837" s="106"/>
      <c r="QW837" s="106"/>
      <c r="QX837" s="106"/>
      <c r="QY837" s="106"/>
      <c r="QZ837" s="106"/>
      <c r="RA837" s="106"/>
      <c r="RB837" s="106"/>
      <c r="RC837" s="106"/>
      <c r="RD837" s="106"/>
      <c r="RE837" s="106"/>
      <c r="RF837" s="106"/>
      <c r="RG837" s="106"/>
      <c r="RH837" s="106"/>
      <c r="RI837" s="106"/>
      <c r="RJ837" s="106"/>
      <c r="RK837" s="106"/>
      <c r="RL837" s="106"/>
    </row>
    <row r="838" spans="88:480" x14ac:dyDescent="0.3">
      <c r="CJ838" s="103"/>
      <c r="FP838" s="103"/>
      <c r="LL838" s="103"/>
      <c r="NM838" s="103"/>
      <c r="QT838" s="106"/>
      <c r="QU838" s="106"/>
      <c r="QV838" s="106"/>
      <c r="QW838" s="106"/>
      <c r="QX838" s="106"/>
      <c r="QY838" s="106"/>
      <c r="QZ838" s="106"/>
      <c r="RA838" s="106"/>
      <c r="RB838" s="106"/>
      <c r="RC838" s="106"/>
      <c r="RD838" s="106"/>
      <c r="RE838" s="106"/>
      <c r="RF838" s="106"/>
      <c r="RG838" s="106"/>
      <c r="RH838" s="106"/>
      <c r="RI838" s="106"/>
      <c r="RJ838" s="106"/>
      <c r="RK838" s="106"/>
      <c r="RL838" s="106"/>
    </row>
    <row r="839" spans="88:480" x14ac:dyDescent="0.3">
      <c r="CJ839" s="103"/>
      <c r="FP839" s="103"/>
      <c r="LL839" s="103"/>
      <c r="NM839" s="103"/>
      <c r="QT839" s="106"/>
      <c r="QU839" s="106"/>
      <c r="QV839" s="106"/>
      <c r="QW839" s="106"/>
      <c r="QX839" s="106"/>
      <c r="QY839" s="106"/>
      <c r="QZ839" s="106"/>
      <c r="RA839" s="106"/>
      <c r="RB839" s="106"/>
      <c r="RC839" s="106"/>
      <c r="RD839" s="106"/>
      <c r="RE839" s="106"/>
      <c r="RF839" s="106"/>
      <c r="RG839" s="106"/>
      <c r="RH839" s="106"/>
      <c r="RI839" s="106"/>
      <c r="RJ839" s="106"/>
      <c r="RK839" s="106"/>
      <c r="RL839" s="106"/>
    </row>
    <row r="840" spans="88:480" x14ac:dyDescent="0.3">
      <c r="CJ840" s="103"/>
      <c r="FP840" s="103"/>
      <c r="LL840" s="103"/>
      <c r="NM840" s="103"/>
      <c r="QT840" s="106"/>
      <c r="QU840" s="106"/>
      <c r="QV840" s="106"/>
      <c r="QW840" s="106"/>
      <c r="QX840" s="106"/>
      <c r="QY840" s="106"/>
      <c r="QZ840" s="106"/>
      <c r="RA840" s="106"/>
      <c r="RB840" s="106"/>
      <c r="RC840" s="106"/>
      <c r="RD840" s="106"/>
      <c r="RE840" s="106"/>
      <c r="RF840" s="106"/>
      <c r="RG840" s="106"/>
      <c r="RH840" s="106"/>
      <c r="RI840" s="106"/>
      <c r="RJ840" s="106"/>
      <c r="RK840" s="106"/>
      <c r="RL840" s="106"/>
    </row>
    <row r="841" spans="88:480" x14ac:dyDescent="0.3">
      <c r="CJ841" s="103"/>
      <c r="FP841" s="103"/>
      <c r="LL841" s="103"/>
      <c r="NM841" s="103"/>
      <c r="QT841" s="106"/>
      <c r="QU841" s="106"/>
      <c r="QV841" s="106"/>
      <c r="QW841" s="106"/>
      <c r="QX841" s="106"/>
      <c r="QY841" s="106"/>
      <c r="QZ841" s="106"/>
      <c r="RA841" s="106"/>
      <c r="RB841" s="106"/>
      <c r="RC841" s="106"/>
      <c r="RD841" s="106"/>
      <c r="RE841" s="106"/>
      <c r="RF841" s="106"/>
      <c r="RG841" s="106"/>
      <c r="RH841" s="106"/>
      <c r="RI841" s="106"/>
      <c r="RJ841" s="106"/>
      <c r="RK841" s="106"/>
      <c r="RL841" s="106"/>
    </row>
    <row r="842" spans="88:480" x14ac:dyDescent="0.3">
      <c r="CJ842" s="103"/>
      <c r="FP842" s="103"/>
      <c r="LL842" s="103"/>
      <c r="NM842" s="103"/>
      <c r="QT842" s="106"/>
      <c r="QU842" s="106"/>
      <c r="QV842" s="106"/>
      <c r="QW842" s="106"/>
      <c r="QX842" s="106"/>
      <c r="QY842" s="106"/>
      <c r="QZ842" s="106"/>
      <c r="RA842" s="106"/>
      <c r="RB842" s="106"/>
      <c r="RC842" s="106"/>
      <c r="RD842" s="106"/>
      <c r="RE842" s="106"/>
      <c r="RF842" s="106"/>
      <c r="RG842" s="106"/>
      <c r="RH842" s="106"/>
      <c r="RI842" s="106"/>
      <c r="RJ842" s="106"/>
      <c r="RK842" s="106"/>
      <c r="RL842" s="106"/>
    </row>
    <row r="843" spans="88:480" x14ac:dyDescent="0.3">
      <c r="CJ843" s="103"/>
      <c r="FP843" s="103"/>
      <c r="LL843" s="103"/>
      <c r="NM843" s="103"/>
      <c r="QT843" s="106"/>
      <c r="QU843" s="106"/>
      <c r="QV843" s="106"/>
      <c r="QW843" s="106"/>
      <c r="QX843" s="106"/>
      <c r="QY843" s="106"/>
      <c r="QZ843" s="106"/>
      <c r="RA843" s="106"/>
      <c r="RB843" s="106"/>
      <c r="RC843" s="106"/>
      <c r="RD843" s="106"/>
      <c r="RE843" s="106"/>
      <c r="RF843" s="106"/>
      <c r="RG843" s="106"/>
      <c r="RH843" s="106"/>
      <c r="RI843" s="106"/>
      <c r="RJ843" s="106"/>
      <c r="RK843" s="106"/>
      <c r="RL843" s="106"/>
    </row>
    <row r="844" spans="88:480" x14ac:dyDescent="0.3">
      <c r="CJ844" s="103"/>
      <c r="FP844" s="103"/>
      <c r="LL844" s="103"/>
      <c r="NM844" s="103"/>
      <c r="QT844" s="106"/>
      <c r="QU844" s="106"/>
      <c r="QV844" s="106"/>
      <c r="QW844" s="106"/>
      <c r="QX844" s="106"/>
      <c r="QY844" s="106"/>
      <c r="QZ844" s="106"/>
      <c r="RA844" s="106"/>
      <c r="RB844" s="106"/>
      <c r="RC844" s="106"/>
      <c r="RD844" s="106"/>
      <c r="RE844" s="106"/>
      <c r="RF844" s="106"/>
      <c r="RG844" s="106"/>
      <c r="RH844" s="106"/>
      <c r="RI844" s="106"/>
      <c r="RJ844" s="106"/>
      <c r="RK844" s="106"/>
      <c r="RL844" s="106"/>
    </row>
    <row r="845" spans="88:480" x14ac:dyDescent="0.3">
      <c r="CJ845" s="103"/>
      <c r="FP845" s="103"/>
      <c r="LL845" s="103"/>
      <c r="NM845" s="103"/>
      <c r="QT845" s="106"/>
      <c r="QU845" s="106"/>
      <c r="QV845" s="106"/>
      <c r="QW845" s="106"/>
      <c r="QX845" s="106"/>
      <c r="QY845" s="106"/>
      <c r="QZ845" s="106"/>
      <c r="RA845" s="106"/>
      <c r="RB845" s="106"/>
      <c r="RC845" s="106"/>
      <c r="RD845" s="106"/>
      <c r="RE845" s="106"/>
      <c r="RF845" s="106"/>
      <c r="RG845" s="106"/>
      <c r="RH845" s="106"/>
      <c r="RI845" s="106"/>
      <c r="RJ845" s="106"/>
      <c r="RK845" s="106"/>
      <c r="RL845" s="106"/>
    </row>
    <row r="846" spans="88:480" x14ac:dyDescent="0.3">
      <c r="CJ846" s="103"/>
      <c r="FP846" s="103"/>
      <c r="LL846" s="103"/>
      <c r="NM846" s="103"/>
      <c r="QT846" s="106"/>
      <c r="QU846" s="106"/>
      <c r="QV846" s="106"/>
      <c r="QW846" s="106"/>
      <c r="QX846" s="106"/>
      <c r="QY846" s="106"/>
      <c r="QZ846" s="106"/>
      <c r="RA846" s="106"/>
      <c r="RB846" s="106"/>
      <c r="RC846" s="106"/>
      <c r="RD846" s="106"/>
      <c r="RE846" s="106"/>
      <c r="RF846" s="106"/>
      <c r="RG846" s="106"/>
      <c r="RH846" s="106"/>
      <c r="RI846" s="106"/>
      <c r="RJ846" s="106"/>
      <c r="RK846" s="106"/>
      <c r="RL846" s="106"/>
    </row>
    <row r="847" spans="88:480" x14ac:dyDescent="0.3">
      <c r="CJ847" s="103"/>
      <c r="FP847" s="103"/>
      <c r="LL847" s="103"/>
      <c r="NM847" s="103"/>
      <c r="QT847" s="106"/>
      <c r="QU847" s="106"/>
      <c r="QV847" s="106"/>
      <c r="QW847" s="106"/>
      <c r="QX847" s="106"/>
      <c r="QY847" s="106"/>
      <c r="QZ847" s="106"/>
      <c r="RA847" s="106"/>
      <c r="RB847" s="106"/>
      <c r="RC847" s="106"/>
      <c r="RD847" s="106"/>
      <c r="RE847" s="106"/>
      <c r="RF847" s="106"/>
      <c r="RG847" s="106"/>
      <c r="RH847" s="106"/>
      <c r="RI847" s="106"/>
      <c r="RJ847" s="106"/>
      <c r="RK847" s="106"/>
      <c r="RL847" s="106"/>
    </row>
    <row r="848" spans="88:480" x14ac:dyDescent="0.3">
      <c r="CJ848" s="103"/>
      <c r="FP848" s="103"/>
      <c r="LL848" s="103"/>
      <c r="NM848" s="103"/>
      <c r="QT848" s="106"/>
      <c r="QU848" s="106"/>
      <c r="QV848" s="106"/>
      <c r="QW848" s="106"/>
      <c r="QX848" s="106"/>
      <c r="QY848" s="106"/>
      <c r="QZ848" s="106"/>
      <c r="RA848" s="106"/>
      <c r="RB848" s="106"/>
      <c r="RC848" s="106"/>
      <c r="RD848" s="106"/>
      <c r="RE848" s="106"/>
      <c r="RF848" s="106"/>
      <c r="RG848" s="106"/>
      <c r="RH848" s="106"/>
      <c r="RI848" s="106"/>
      <c r="RJ848" s="106"/>
      <c r="RK848" s="106"/>
      <c r="RL848" s="106"/>
    </row>
    <row r="849" spans="88:480" x14ac:dyDescent="0.3">
      <c r="CJ849" s="103"/>
      <c r="FP849" s="103"/>
      <c r="LL849" s="103"/>
      <c r="NM849" s="103"/>
      <c r="QT849" s="106"/>
      <c r="QU849" s="106"/>
      <c r="QV849" s="106"/>
      <c r="QW849" s="106"/>
      <c r="QX849" s="106"/>
      <c r="QY849" s="106"/>
      <c r="QZ849" s="106"/>
      <c r="RA849" s="106"/>
      <c r="RB849" s="106"/>
      <c r="RC849" s="106"/>
      <c r="RD849" s="106"/>
      <c r="RE849" s="106"/>
      <c r="RF849" s="106"/>
      <c r="RG849" s="106"/>
      <c r="RH849" s="106"/>
      <c r="RI849" s="106"/>
      <c r="RJ849" s="106"/>
      <c r="RK849" s="106"/>
      <c r="RL849" s="106"/>
    </row>
    <row r="850" spans="88:480" x14ac:dyDescent="0.3">
      <c r="CJ850" s="103"/>
      <c r="FP850" s="103"/>
      <c r="LL850" s="103"/>
      <c r="NM850" s="103"/>
      <c r="QT850" s="106"/>
      <c r="QU850" s="106"/>
      <c r="QV850" s="106"/>
      <c r="QW850" s="106"/>
      <c r="QX850" s="106"/>
      <c r="QY850" s="106"/>
      <c r="QZ850" s="106"/>
      <c r="RA850" s="106"/>
      <c r="RB850" s="106"/>
      <c r="RC850" s="106"/>
      <c r="RD850" s="106"/>
      <c r="RE850" s="106"/>
      <c r="RF850" s="106"/>
      <c r="RG850" s="106"/>
      <c r="RH850" s="106"/>
      <c r="RI850" s="106"/>
      <c r="RJ850" s="106"/>
      <c r="RK850" s="106"/>
      <c r="RL850" s="106"/>
    </row>
    <row r="851" spans="88:480" x14ac:dyDescent="0.3">
      <c r="CJ851" s="103"/>
      <c r="FP851" s="103"/>
      <c r="LL851" s="103"/>
      <c r="NM851" s="103"/>
      <c r="QT851" s="106"/>
      <c r="QU851" s="106"/>
      <c r="QV851" s="106"/>
      <c r="QW851" s="106"/>
      <c r="QX851" s="106"/>
      <c r="QY851" s="106"/>
      <c r="QZ851" s="106"/>
      <c r="RA851" s="106"/>
      <c r="RB851" s="106"/>
      <c r="RC851" s="106"/>
      <c r="RD851" s="106"/>
      <c r="RE851" s="106"/>
      <c r="RF851" s="106"/>
      <c r="RG851" s="106"/>
      <c r="RH851" s="106"/>
      <c r="RI851" s="106"/>
      <c r="RJ851" s="106"/>
      <c r="RK851" s="106"/>
      <c r="RL851" s="106"/>
    </row>
    <row r="852" spans="88:480" x14ac:dyDescent="0.3">
      <c r="CJ852" s="103"/>
      <c r="FP852" s="103"/>
      <c r="LL852" s="103"/>
      <c r="NM852" s="103"/>
      <c r="QT852" s="106"/>
      <c r="QU852" s="106"/>
      <c r="QV852" s="106"/>
      <c r="QW852" s="106"/>
      <c r="QX852" s="106"/>
      <c r="QY852" s="106"/>
      <c r="QZ852" s="106"/>
      <c r="RA852" s="106"/>
      <c r="RB852" s="106"/>
      <c r="RC852" s="106"/>
      <c r="RD852" s="106"/>
      <c r="RE852" s="106"/>
      <c r="RF852" s="106"/>
      <c r="RG852" s="106"/>
      <c r="RH852" s="106"/>
      <c r="RI852" s="106"/>
      <c r="RJ852" s="106"/>
      <c r="RK852" s="106"/>
      <c r="RL852" s="106"/>
    </row>
    <row r="853" spans="88:480" x14ac:dyDescent="0.3">
      <c r="CJ853" s="103"/>
      <c r="FP853" s="103"/>
      <c r="LL853" s="103"/>
      <c r="NM853" s="103"/>
      <c r="QT853" s="106"/>
      <c r="QU853" s="106"/>
      <c r="QV853" s="106"/>
      <c r="QW853" s="106"/>
      <c r="QX853" s="106"/>
      <c r="QY853" s="106"/>
      <c r="QZ853" s="106"/>
      <c r="RA853" s="106"/>
      <c r="RB853" s="106"/>
      <c r="RC853" s="106"/>
      <c r="RD853" s="106"/>
      <c r="RE853" s="106"/>
      <c r="RF853" s="106"/>
      <c r="RG853" s="106"/>
      <c r="RH853" s="106"/>
      <c r="RI853" s="106"/>
      <c r="RJ853" s="106"/>
      <c r="RK853" s="106"/>
      <c r="RL853" s="106"/>
    </row>
    <row r="854" spans="88:480" x14ac:dyDescent="0.3">
      <c r="CJ854" s="103"/>
      <c r="FP854" s="103"/>
      <c r="LL854" s="103"/>
      <c r="NM854" s="103"/>
      <c r="QT854" s="106"/>
      <c r="QU854" s="106"/>
      <c r="QV854" s="106"/>
      <c r="QW854" s="106"/>
      <c r="QX854" s="106"/>
      <c r="QY854" s="106"/>
      <c r="QZ854" s="106"/>
      <c r="RA854" s="106"/>
      <c r="RB854" s="106"/>
      <c r="RC854" s="106"/>
      <c r="RD854" s="106"/>
      <c r="RE854" s="106"/>
      <c r="RF854" s="106"/>
      <c r="RG854" s="106"/>
      <c r="RH854" s="106"/>
      <c r="RI854" s="106"/>
      <c r="RJ854" s="106"/>
      <c r="RK854" s="106"/>
      <c r="RL854" s="106"/>
    </row>
    <row r="855" spans="88:480" x14ac:dyDescent="0.3">
      <c r="CJ855" s="103"/>
      <c r="FP855" s="103"/>
      <c r="LL855" s="103"/>
      <c r="NM855" s="103"/>
      <c r="QT855" s="106"/>
      <c r="QU855" s="106"/>
      <c r="QV855" s="106"/>
      <c r="QW855" s="106"/>
      <c r="QX855" s="106"/>
      <c r="QY855" s="106"/>
      <c r="QZ855" s="106"/>
      <c r="RA855" s="106"/>
      <c r="RB855" s="106"/>
      <c r="RC855" s="106"/>
      <c r="RD855" s="106"/>
      <c r="RE855" s="106"/>
      <c r="RF855" s="106"/>
      <c r="RG855" s="106"/>
      <c r="RH855" s="106"/>
      <c r="RI855" s="106"/>
      <c r="RJ855" s="106"/>
      <c r="RK855" s="106"/>
      <c r="RL855" s="106"/>
    </row>
    <row r="856" spans="88:480" x14ac:dyDescent="0.3">
      <c r="CJ856" s="103"/>
      <c r="FP856" s="103"/>
      <c r="LL856" s="103"/>
      <c r="NM856" s="103"/>
      <c r="QT856" s="106"/>
      <c r="QU856" s="106"/>
      <c r="QV856" s="106"/>
      <c r="QW856" s="106"/>
      <c r="QX856" s="106"/>
      <c r="QY856" s="106"/>
      <c r="QZ856" s="106"/>
      <c r="RA856" s="106"/>
      <c r="RB856" s="106"/>
      <c r="RC856" s="106"/>
      <c r="RD856" s="106"/>
      <c r="RE856" s="106"/>
      <c r="RF856" s="106"/>
      <c r="RG856" s="106"/>
      <c r="RH856" s="106"/>
      <c r="RI856" s="106"/>
      <c r="RJ856" s="106"/>
      <c r="RK856" s="106"/>
      <c r="RL856" s="106"/>
    </row>
    <row r="857" spans="88:480" x14ac:dyDescent="0.3">
      <c r="CJ857" s="103"/>
      <c r="FP857" s="103"/>
      <c r="LL857" s="103"/>
      <c r="NM857" s="103"/>
      <c r="QT857" s="106"/>
      <c r="QU857" s="106"/>
      <c r="QV857" s="106"/>
      <c r="QW857" s="106"/>
      <c r="QX857" s="106"/>
      <c r="QY857" s="106"/>
      <c r="QZ857" s="106"/>
      <c r="RA857" s="106"/>
      <c r="RB857" s="106"/>
      <c r="RC857" s="106"/>
      <c r="RD857" s="106"/>
      <c r="RE857" s="106"/>
      <c r="RF857" s="106"/>
      <c r="RG857" s="106"/>
      <c r="RH857" s="106"/>
      <c r="RI857" s="106"/>
      <c r="RJ857" s="106"/>
      <c r="RK857" s="106"/>
      <c r="RL857" s="106"/>
    </row>
    <row r="858" spans="88:480" x14ac:dyDescent="0.3">
      <c r="CJ858" s="103"/>
      <c r="FP858" s="103"/>
      <c r="LL858" s="103"/>
      <c r="NM858" s="103"/>
      <c r="QT858" s="106"/>
      <c r="QU858" s="106"/>
      <c r="QV858" s="106"/>
      <c r="QW858" s="106"/>
      <c r="QX858" s="106"/>
      <c r="QY858" s="106"/>
      <c r="QZ858" s="106"/>
      <c r="RA858" s="106"/>
      <c r="RB858" s="106"/>
      <c r="RC858" s="106"/>
      <c r="RD858" s="106"/>
      <c r="RE858" s="106"/>
      <c r="RF858" s="106"/>
      <c r="RG858" s="106"/>
      <c r="RH858" s="106"/>
      <c r="RI858" s="106"/>
      <c r="RJ858" s="106"/>
      <c r="RK858" s="106"/>
      <c r="RL858" s="106"/>
    </row>
    <row r="859" spans="88:480" x14ac:dyDescent="0.3">
      <c r="CJ859" s="103"/>
      <c r="FP859" s="103"/>
      <c r="LL859" s="103"/>
      <c r="NM859" s="103"/>
      <c r="QT859" s="106"/>
      <c r="QU859" s="106"/>
      <c r="QV859" s="106"/>
      <c r="QW859" s="106"/>
      <c r="QX859" s="106"/>
      <c r="QY859" s="106"/>
      <c r="QZ859" s="106"/>
      <c r="RA859" s="106"/>
      <c r="RB859" s="106"/>
      <c r="RC859" s="106"/>
      <c r="RD859" s="106"/>
      <c r="RE859" s="106"/>
      <c r="RF859" s="106"/>
      <c r="RG859" s="106"/>
      <c r="RH859" s="106"/>
      <c r="RI859" s="106"/>
      <c r="RJ859" s="106"/>
      <c r="RK859" s="106"/>
      <c r="RL859" s="106"/>
    </row>
    <row r="860" spans="88:480" x14ac:dyDescent="0.3">
      <c r="CJ860" s="103"/>
      <c r="FP860" s="103"/>
      <c r="LL860" s="103"/>
      <c r="NM860" s="103"/>
      <c r="QT860" s="106"/>
      <c r="QU860" s="106"/>
      <c r="QV860" s="106"/>
      <c r="QW860" s="106"/>
      <c r="QX860" s="106"/>
      <c r="QY860" s="106"/>
      <c r="QZ860" s="106"/>
      <c r="RA860" s="106"/>
      <c r="RB860" s="106"/>
      <c r="RC860" s="106"/>
      <c r="RD860" s="106"/>
      <c r="RE860" s="106"/>
      <c r="RF860" s="106"/>
      <c r="RG860" s="106"/>
      <c r="RH860" s="106"/>
      <c r="RI860" s="106"/>
      <c r="RJ860" s="106"/>
      <c r="RK860" s="106"/>
      <c r="RL860" s="106"/>
    </row>
    <row r="861" spans="88:480" x14ac:dyDescent="0.3">
      <c r="CJ861" s="103"/>
      <c r="FP861" s="103"/>
      <c r="LL861" s="103"/>
      <c r="NM861" s="103"/>
      <c r="QT861" s="106"/>
      <c r="QU861" s="106"/>
      <c r="QV861" s="106"/>
      <c r="QW861" s="106"/>
      <c r="QX861" s="106"/>
      <c r="QY861" s="106"/>
      <c r="QZ861" s="106"/>
      <c r="RA861" s="106"/>
      <c r="RB861" s="106"/>
      <c r="RC861" s="106"/>
      <c r="RD861" s="106"/>
      <c r="RE861" s="106"/>
      <c r="RF861" s="106"/>
      <c r="RG861" s="106"/>
      <c r="RH861" s="106"/>
      <c r="RI861" s="106"/>
      <c r="RJ861" s="106"/>
      <c r="RK861" s="106"/>
      <c r="RL861" s="106"/>
    </row>
    <row r="862" spans="88:480" x14ac:dyDescent="0.3">
      <c r="CJ862" s="103"/>
      <c r="FP862" s="103"/>
      <c r="LL862" s="103"/>
      <c r="NM862" s="103"/>
      <c r="QT862" s="106"/>
      <c r="QU862" s="106"/>
      <c r="QV862" s="106"/>
      <c r="QW862" s="106"/>
      <c r="QX862" s="106"/>
      <c r="QY862" s="106"/>
      <c r="QZ862" s="106"/>
      <c r="RA862" s="106"/>
      <c r="RB862" s="106"/>
      <c r="RC862" s="106"/>
      <c r="RD862" s="106"/>
      <c r="RE862" s="106"/>
      <c r="RF862" s="106"/>
      <c r="RG862" s="106"/>
      <c r="RH862" s="106"/>
      <c r="RI862" s="106"/>
      <c r="RJ862" s="106"/>
      <c r="RK862" s="106"/>
      <c r="RL862" s="106"/>
    </row>
    <row r="863" spans="88:480" x14ac:dyDescent="0.3">
      <c r="CJ863" s="103"/>
      <c r="FP863" s="103"/>
      <c r="LL863" s="103"/>
      <c r="NM863" s="103"/>
      <c r="QT863" s="106"/>
      <c r="QU863" s="106"/>
      <c r="QV863" s="106"/>
      <c r="QW863" s="106"/>
      <c r="QX863" s="106"/>
      <c r="QY863" s="106"/>
      <c r="QZ863" s="106"/>
      <c r="RA863" s="106"/>
      <c r="RB863" s="106"/>
      <c r="RC863" s="106"/>
      <c r="RD863" s="106"/>
      <c r="RE863" s="106"/>
      <c r="RF863" s="106"/>
      <c r="RG863" s="106"/>
      <c r="RH863" s="106"/>
      <c r="RI863" s="106"/>
      <c r="RJ863" s="106"/>
      <c r="RK863" s="106"/>
      <c r="RL863" s="106"/>
    </row>
    <row r="864" spans="88:480" x14ac:dyDescent="0.3">
      <c r="CJ864" s="103"/>
      <c r="FP864" s="103"/>
      <c r="LL864" s="103"/>
      <c r="NM864" s="103"/>
      <c r="QT864" s="106"/>
      <c r="QU864" s="106"/>
      <c r="QV864" s="106"/>
      <c r="QW864" s="106"/>
      <c r="QX864" s="106"/>
      <c r="QY864" s="106"/>
      <c r="QZ864" s="106"/>
      <c r="RA864" s="106"/>
      <c r="RB864" s="106"/>
      <c r="RC864" s="106"/>
      <c r="RD864" s="106"/>
      <c r="RE864" s="106"/>
      <c r="RF864" s="106"/>
      <c r="RG864" s="106"/>
      <c r="RH864" s="106"/>
      <c r="RI864" s="106"/>
      <c r="RJ864" s="106"/>
      <c r="RK864" s="106"/>
      <c r="RL864" s="106"/>
    </row>
    <row r="865" spans="88:480" x14ac:dyDescent="0.3">
      <c r="CJ865" s="103"/>
      <c r="FP865" s="103"/>
      <c r="LL865" s="103"/>
      <c r="NM865" s="103"/>
      <c r="QT865" s="106"/>
      <c r="QU865" s="106"/>
      <c r="QV865" s="106"/>
      <c r="QW865" s="106"/>
      <c r="QX865" s="106"/>
      <c r="QY865" s="106"/>
      <c r="QZ865" s="106"/>
      <c r="RA865" s="106"/>
      <c r="RB865" s="106"/>
      <c r="RC865" s="106"/>
      <c r="RD865" s="106"/>
      <c r="RE865" s="106"/>
      <c r="RF865" s="106"/>
      <c r="RG865" s="106"/>
      <c r="RH865" s="106"/>
      <c r="RI865" s="106"/>
      <c r="RJ865" s="106"/>
      <c r="RK865" s="106"/>
      <c r="RL865" s="106"/>
    </row>
    <row r="866" spans="88:480" x14ac:dyDescent="0.3">
      <c r="CJ866" s="103"/>
      <c r="FP866" s="103"/>
      <c r="LL866" s="103"/>
      <c r="NM866" s="103"/>
      <c r="QT866" s="106"/>
      <c r="QU866" s="106"/>
      <c r="QV866" s="106"/>
      <c r="QW866" s="106"/>
      <c r="QX866" s="106"/>
      <c r="QY866" s="106"/>
      <c r="QZ866" s="106"/>
      <c r="RA866" s="106"/>
      <c r="RB866" s="106"/>
      <c r="RC866" s="106"/>
      <c r="RD866" s="106"/>
      <c r="RE866" s="106"/>
      <c r="RF866" s="106"/>
      <c r="RG866" s="106"/>
      <c r="RH866" s="106"/>
      <c r="RI866" s="106"/>
      <c r="RJ866" s="106"/>
      <c r="RK866" s="106"/>
      <c r="RL866" s="106"/>
    </row>
    <row r="867" spans="88:480" x14ac:dyDescent="0.3">
      <c r="CJ867" s="103"/>
      <c r="FP867" s="103"/>
      <c r="LL867" s="103"/>
      <c r="NM867" s="103"/>
      <c r="QT867" s="106"/>
      <c r="QU867" s="106"/>
      <c r="QV867" s="106"/>
      <c r="QW867" s="106"/>
      <c r="QX867" s="106"/>
      <c r="QY867" s="106"/>
      <c r="QZ867" s="106"/>
      <c r="RA867" s="106"/>
      <c r="RB867" s="106"/>
      <c r="RC867" s="106"/>
      <c r="RD867" s="106"/>
      <c r="RE867" s="106"/>
      <c r="RF867" s="106"/>
      <c r="RG867" s="106"/>
      <c r="RH867" s="106"/>
      <c r="RI867" s="106"/>
      <c r="RJ867" s="106"/>
      <c r="RK867" s="106"/>
      <c r="RL867" s="106"/>
    </row>
    <row r="868" spans="88:480" x14ac:dyDescent="0.3">
      <c r="CJ868" s="103"/>
      <c r="FP868" s="103"/>
      <c r="LL868" s="103"/>
      <c r="NM868" s="103"/>
      <c r="QT868" s="106"/>
      <c r="QU868" s="106"/>
      <c r="QV868" s="106"/>
      <c r="QW868" s="106"/>
      <c r="QX868" s="106"/>
      <c r="QY868" s="106"/>
      <c r="QZ868" s="106"/>
      <c r="RA868" s="106"/>
      <c r="RB868" s="106"/>
      <c r="RC868" s="106"/>
      <c r="RD868" s="106"/>
      <c r="RE868" s="106"/>
      <c r="RF868" s="106"/>
      <c r="RG868" s="106"/>
      <c r="RH868" s="106"/>
      <c r="RI868" s="106"/>
      <c r="RJ868" s="106"/>
      <c r="RK868" s="106"/>
      <c r="RL868" s="106"/>
    </row>
    <row r="869" spans="88:480" x14ac:dyDescent="0.3">
      <c r="CJ869" s="103"/>
      <c r="FP869" s="103"/>
      <c r="LL869" s="103"/>
      <c r="NM869" s="103"/>
      <c r="QT869" s="106"/>
      <c r="QU869" s="106"/>
      <c r="QV869" s="106"/>
      <c r="QW869" s="106"/>
      <c r="QX869" s="106"/>
      <c r="QY869" s="106"/>
      <c r="QZ869" s="106"/>
      <c r="RA869" s="106"/>
      <c r="RB869" s="106"/>
      <c r="RC869" s="106"/>
      <c r="RD869" s="106"/>
      <c r="RE869" s="106"/>
      <c r="RF869" s="106"/>
      <c r="RG869" s="106"/>
      <c r="RH869" s="106"/>
      <c r="RI869" s="106"/>
      <c r="RJ869" s="106"/>
      <c r="RK869" s="106"/>
      <c r="RL869" s="106"/>
    </row>
    <row r="870" spans="88:480" x14ac:dyDescent="0.3">
      <c r="CJ870" s="103"/>
      <c r="FP870" s="103"/>
      <c r="LL870" s="103"/>
      <c r="NM870" s="103"/>
      <c r="QT870" s="106"/>
      <c r="QU870" s="106"/>
      <c r="QV870" s="106"/>
      <c r="QW870" s="106"/>
      <c r="QX870" s="106"/>
      <c r="QY870" s="106"/>
      <c r="QZ870" s="106"/>
      <c r="RA870" s="106"/>
      <c r="RB870" s="106"/>
      <c r="RC870" s="106"/>
      <c r="RD870" s="106"/>
      <c r="RE870" s="106"/>
      <c r="RF870" s="106"/>
      <c r="RG870" s="106"/>
      <c r="RH870" s="106"/>
      <c r="RI870" s="106"/>
      <c r="RJ870" s="106"/>
      <c r="RK870" s="106"/>
      <c r="RL870" s="106"/>
    </row>
    <row r="871" spans="88:480" x14ac:dyDescent="0.3">
      <c r="CJ871" s="103"/>
      <c r="FP871" s="103"/>
      <c r="LL871" s="103"/>
      <c r="NM871" s="103"/>
      <c r="QT871" s="106"/>
      <c r="QU871" s="106"/>
      <c r="QV871" s="106"/>
      <c r="QW871" s="106"/>
      <c r="QX871" s="106"/>
      <c r="QY871" s="106"/>
      <c r="QZ871" s="106"/>
      <c r="RA871" s="106"/>
      <c r="RB871" s="106"/>
      <c r="RC871" s="106"/>
      <c r="RD871" s="106"/>
      <c r="RE871" s="106"/>
      <c r="RF871" s="106"/>
      <c r="RG871" s="106"/>
      <c r="RH871" s="106"/>
      <c r="RI871" s="106"/>
      <c r="RJ871" s="106"/>
      <c r="RK871" s="106"/>
      <c r="RL871" s="106"/>
    </row>
    <row r="872" spans="88:480" x14ac:dyDescent="0.3">
      <c r="CJ872" s="103"/>
      <c r="FP872" s="103"/>
      <c r="LL872" s="103"/>
      <c r="NM872" s="103"/>
      <c r="QT872" s="106"/>
      <c r="QU872" s="106"/>
      <c r="QV872" s="106"/>
      <c r="QW872" s="106"/>
      <c r="QX872" s="106"/>
      <c r="QY872" s="106"/>
      <c r="QZ872" s="106"/>
      <c r="RA872" s="106"/>
      <c r="RB872" s="106"/>
      <c r="RC872" s="106"/>
      <c r="RD872" s="106"/>
      <c r="RE872" s="106"/>
      <c r="RF872" s="106"/>
      <c r="RG872" s="106"/>
      <c r="RH872" s="106"/>
      <c r="RI872" s="106"/>
      <c r="RJ872" s="106"/>
      <c r="RK872" s="106"/>
      <c r="RL872" s="106"/>
    </row>
    <row r="873" spans="88:480" x14ac:dyDescent="0.3">
      <c r="CJ873" s="103"/>
      <c r="FP873" s="103"/>
      <c r="LL873" s="103"/>
      <c r="NM873" s="103"/>
      <c r="QT873" s="106"/>
      <c r="QU873" s="106"/>
      <c r="QV873" s="106"/>
      <c r="QW873" s="106"/>
      <c r="QX873" s="106"/>
      <c r="QY873" s="106"/>
      <c r="QZ873" s="106"/>
      <c r="RA873" s="106"/>
      <c r="RB873" s="106"/>
      <c r="RC873" s="106"/>
      <c r="RD873" s="106"/>
      <c r="RE873" s="106"/>
      <c r="RF873" s="106"/>
      <c r="RG873" s="106"/>
      <c r="RH873" s="106"/>
      <c r="RI873" s="106"/>
      <c r="RJ873" s="106"/>
      <c r="RK873" s="106"/>
      <c r="RL873" s="106"/>
    </row>
    <row r="874" spans="88:480" x14ac:dyDescent="0.3">
      <c r="CJ874" s="103"/>
      <c r="FP874" s="103"/>
      <c r="LL874" s="103"/>
      <c r="NM874" s="103"/>
      <c r="QT874" s="106"/>
      <c r="QU874" s="106"/>
      <c r="QV874" s="106"/>
      <c r="QW874" s="106"/>
      <c r="QX874" s="106"/>
      <c r="QY874" s="106"/>
      <c r="QZ874" s="106"/>
      <c r="RA874" s="106"/>
      <c r="RB874" s="106"/>
      <c r="RC874" s="106"/>
      <c r="RD874" s="106"/>
      <c r="RE874" s="106"/>
      <c r="RF874" s="106"/>
      <c r="RG874" s="106"/>
      <c r="RH874" s="106"/>
      <c r="RI874" s="106"/>
      <c r="RJ874" s="106"/>
      <c r="RK874" s="106"/>
      <c r="RL874" s="106"/>
    </row>
    <row r="875" spans="88:480" x14ac:dyDescent="0.3">
      <c r="CJ875" s="103"/>
      <c r="FP875" s="103"/>
      <c r="LL875" s="103"/>
      <c r="NM875" s="103"/>
      <c r="QT875" s="106"/>
      <c r="QU875" s="106"/>
      <c r="QV875" s="106"/>
      <c r="QW875" s="106"/>
      <c r="QX875" s="106"/>
      <c r="QY875" s="106"/>
      <c r="QZ875" s="106"/>
      <c r="RA875" s="106"/>
      <c r="RB875" s="106"/>
      <c r="RC875" s="106"/>
      <c r="RD875" s="106"/>
      <c r="RE875" s="106"/>
      <c r="RF875" s="106"/>
      <c r="RG875" s="106"/>
      <c r="RH875" s="106"/>
      <c r="RI875" s="106"/>
      <c r="RJ875" s="106"/>
      <c r="RK875" s="106"/>
      <c r="RL875" s="106"/>
    </row>
    <row r="876" spans="88:480" x14ac:dyDescent="0.3">
      <c r="CJ876" s="103"/>
      <c r="FP876" s="103"/>
      <c r="LL876" s="103"/>
      <c r="NM876" s="103"/>
      <c r="QT876" s="106"/>
      <c r="QU876" s="106"/>
      <c r="QV876" s="106"/>
      <c r="QW876" s="106"/>
      <c r="QX876" s="106"/>
      <c r="QY876" s="106"/>
      <c r="QZ876" s="106"/>
      <c r="RA876" s="106"/>
      <c r="RB876" s="106"/>
      <c r="RC876" s="106"/>
      <c r="RD876" s="106"/>
      <c r="RE876" s="106"/>
      <c r="RF876" s="106"/>
      <c r="RG876" s="106"/>
      <c r="RH876" s="106"/>
      <c r="RI876" s="106"/>
      <c r="RJ876" s="106"/>
      <c r="RK876" s="106"/>
      <c r="RL876" s="106"/>
    </row>
    <row r="877" spans="88:480" x14ac:dyDescent="0.3">
      <c r="CJ877" s="103"/>
      <c r="FP877" s="103"/>
      <c r="LL877" s="103"/>
      <c r="NM877" s="103"/>
      <c r="QT877" s="106"/>
      <c r="QU877" s="106"/>
      <c r="QV877" s="106"/>
      <c r="QW877" s="106"/>
      <c r="QX877" s="106"/>
      <c r="QY877" s="106"/>
      <c r="QZ877" s="106"/>
      <c r="RA877" s="106"/>
      <c r="RB877" s="106"/>
      <c r="RC877" s="106"/>
      <c r="RD877" s="106"/>
      <c r="RE877" s="106"/>
      <c r="RF877" s="106"/>
      <c r="RG877" s="106"/>
      <c r="RH877" s="106"/>
      <c r="RI877" s="106"/>
      <c r="RJ877" s="106"/>
      <c r="RK877" s="106"/>
      <c r="RL877" s="106"/>
    </row>
    <row r="878" spans="88:480" x14ac:dyDescent="0.3">
      <c r="CJ878" s="103"/>
      <c r="FP878" s="103"/>
      <c r="LL878" s="103"/>
      <c r="NM878" s="103"/>
      <c r="QT878" s="106"/>
      <c r="QU878" s="106"/>
      <c r="QV878" s="106"/>
      <c r="QW878" s="106"/>
      <c r="QX878" s="106"/>
      <c r="QY878" s="106"/>
      <c r="QZ878" s="106"/>
      <c r="RA878" s="106"/>
      <c r="RB878" s="106"/>
      <c r="RC878" s="106"/>
      <c r="RD878" s="106"/>
      <c r="RE878" s="106"/>
      <c r="RF878" s="106"/>
      <c r="RG878" s="106"/>
      <c r="RH878" s="106"/>
      <c r="RI878" s="106"/>
      <c r="RJ878" s="106"/>
      <c r="RK878" s="106"/>
      <c r="RL878" s="106"/>
    </row>
    <row r="879" spans="88:480" x14ac:dyDescent="0.3">
      <c r="CJ879" s="103"/>
      <c r="FP879" s="103"/>
      <c r="LL879" s="103"/>
      <c r="NM879" s="103"/>
      <c r="QT879" s="106"/>
      <c r="QU879" s="106"/>
      <c r="QV879" s="106"/>
      <c r="QW879" s="106"/>
      <c r="QX879" s="106"/>
      <c r="QY879" s="106"/>
      <c r="QZ879" s="106"/>
      <c r="RA879" s="106"/>
      <c r="RB879" s="106"/>
      <c r="RC879" s="106"/>
      <c r="RD879" s="106"/>
      <c r="RE879" s="106"/>
      <c r="RF879" s="106"/>
      <c r="RG879" s="106"/>
      <c r="RH879" s="106"/>
      <c r="RI879" s="106"/>
      <c r="RJ879" s="106"/>
      <c r="RK879" s="106"/>
      <c r="RL879" s="106"/>
    </row>
    <row r="880" spans="88:480" x14ac:dyDescent="0.3">
      <c r="CJ880" s="103"/>
      <c r="FP880" s="103"/>
      <c r="LL880" s="103"/>
      <c r="NM880" s="103"/>
      <c r="QT880" s="106"/>
      <c r="QU880" s="106"/>
      <c r="QV880" s="106"/>
      <c r="QW880" s="106"/>
      <c r="QX880" s="106"/>
      <c r="QY880" s="106"/>
      <c r="QZ880" s="106"/>
      <c r="RA880" s="106"/>
      <c r="RB880" s="106"/>
      <c r="RC880" s="106"/>
      <c r="RD880" s="106"/>
      <c r="RE880" s="106"/>
      <c r="RF880" s="106"/>
      <c r="RG880" s="106"/>
      <c r="RH880" s="106"/>
      <c r="RI880" s="106"/>
      <c r="RJ880" s="106"/>
      <c r="RK880" s="106"/>
      <c r="RL880" s="106"/>
    </row>
    <row r="881" spans="88:480" x14ac:dyDescent="0.3">
      <c r="CJ881" s="103"/>
      <c r="FP881" s="103"/>
      <c r="LL881" s="103"/>
      <c r="NM881" s="103"/>
      <c r="QT881" s="106"/>
      <c r="QU881" s="106"/>
      <c r="QV881" s="106"/>
      <c r="QW881" s="106"/>
      <c r="QX881" s="106"/>
      <c r="QY881" s="106"/>
      <c r="QZ881" s="106"/>
      <c r="RA881" s="106"/>
      <c r="RB881" s="106"/>
      <c r="RC881" s="106"/>
      <c r="RD881" s="106"/>
      <c r="RE881" s="106"/>
      <c r="RF881" s="106"/>
      <c r="RG881" s="106"/>
      <c r="RH881" s="106"/>
      <c r="RI881" s="106"/>
      <c r="RJ881" s="106"/>
      <c r="RK881" s="106"/>
      <c r="RL881" s="106"/>
    </row>
    <row r="882" spans="88:480" x14ac:dyDescent="0.3">
      <c r="CJ882" s="103"/>
      <c r="FP882" s="103"/>
      <c r="LL882" s="103"/>
      <c r="NM882" s="103"/>
      <c r="QT882" s="106"/>
      <c r="QU882" s="106"/>
      <c r="QV882" s="106"/>
      <c r="QW882" s="106"/>
      <c r="QX882" s="106"/>
      <c r="QY882" s="106"/>
      <c r="QZ882" s="106"/>
      <c r="RA882" s="106"/>
      <c r="RB882" s="106"/>
      <c r="RC882" s="106"/>
      <c r="RD882" s="106"/>
      <c r="RE882" s="106"/>
      <c r="RF882" s="106"/>
      <c r="RG882" s="106"/>
      <c r="RH882" s="106"/>
      <c r="RI882" s="106"/>
      <c r="RJ882" s="106"/>
      <c r="RK882" s="106"/>
      <c r="RL882" s="106"/>
    </row>
    <row r="883" spans="88:480" x14ac:dyDescent="0.3">
      <c r="CJ883" s="103"/>
      <c r="FP883" s="103"/>
      <c r="LL883" s="103"/>
      <c r="NM883" s="103"/>
      <c r="QT883" s="106"/>
      <c r="QU883" s="106"/>
      <c r="QV883" s="106"/>
      <c r="QW883" s="106"/>
      <c r="QX883" s="106"/>
      <c r="QY883" s="106"/>
      <c r="QZ883" s="106"/>
      <c r="RA883" s="106"/>
      <c r="RB883" s="106"/>
      <c r="RC883" s="106"/>
      <c r="RD883" s="106"/>
      <c r="RE883" s="106"/>
      <c r="RF883" s="106"/>
      <c r="RG883" s="106"/>
      <c r="RH883" s="106"/>
      <c r="RI883" s="106"/>
      <c r="RJ883" s="106"/>
      <c r="RK883" s="106"/>
      <c r="RL883" s="106"/>
    </row>
    <row r="884" spans="88:480" x14ac:dyDescent="0.3">
      <c r="CJ884" s="103"/>
      <c r="FP884" s="103"/>
      <c r="LL884" s="103"/>
      <c r="NM884" s="103"/>
      <c r="QT884" s="106"/>
      <c r="QU884" s="106"/>
      <c r="QV884" s="106"/>
      <c r="QW884" s="106"/>
      <c r="QX884" s="106"/>
      <c r="QY884" s="106"/>
      <c r="QZ884" s="106"/>
      <c r="RA884" s="106"/>
      <c r="RB884" s="106"/>
      <c r="RC884" s="106"/>
      <c r="RD884" s="106"/>
      <c r="RE884" s="106"/>
      <c r="RF884" s="106"/>
      <c r="RG884" s="106"/>
      <c r="RH884" s="106"/>
      <c r="RI884" s="106"/>
      <c r="RJ884" s="106"/>
      <c r="RK884" s="106"/>
      <c r="RL884" s="106"/>
    </row>
    <row r="885" spans="88:480" x14ac:dyDescent="0.3">
      <c r="CJ885" s="103"/>
      <c r="FP885" s="103"/>
      <c r="LL885" s="103"/>
      <c r="NM885" s="103"/>
      <c r="QT885" s="106"/>
      <c r="QU885" s="106"/>
      <c r="QV885" s="106"/>
      <c r="QW885" s="106"/>
      <c r="QX885" s="106"/>
      <c r="QY885" s="106"/>
      <c r="QZ885" s="106"/>
      <c r="RA885" s="106"/>
      <c r="RB885" s="106"/>
      <c r="RC885" s="106"/>
      <c r="RD885" s="106"/>
      <c r="RE885" s="106"/>
      <c r="RF885" s="106"/>
      <c r="RG885" s="106"/>
      <c r="RH885" s="106"/>
      <c r="RI885" s="106"/>
      <c r="RJ885" s="106"/>
      <c r="RK885" s="106"/>
      <c r="RL885" s="106"/>
    </row>
    <row r="886" spans="88:480" x14ac:dyDescent="0.3">
      <c r="CJ886" s="103"/>
      <c r="FP886" s="103"/>
      <c r="LL886" s="103"/>
      <c r="NM886" s="103"/>
      <c r="QT886" s="106"/>
      <c r="QU886" s="106"/>
      <c r="QV886" s="106"/>
      <c r="QW886" s="106"/>
      <c r="QX886" s="106"/>
      <c r="QY886" s="106"/>
      <c r="QZ886" s="106"/>
      <c r="RA886" s="106"/>
      <c r="RB886" s="106"/>
      <c r="RC886" s="106"/>
      <c r="RD886" s="106"/>
      <c r="RE886" s="106"/>
      <c r="RF886" s="106"/>
      <c r="RG886" s="106"/>
      <c r="RH886" s="106"/>
      <c r="RI886" s="106"/>
      <c r="RJ886" s="106"/>
      <c r="RK886" s="106"/>
      <c r="RL886" s="106"/>
    </row>
    <row r="887" spans="88:480" x14ac:dyDescent="0.3">
      <c r="CJ887" s="103"/>
      <c r="FP887" s="103"/>
      <c r="LL887" s="103"/>
      <c r="NM887" s="103"/>
      <c r="QT887" s="106"/>
      <c r="QU887" s="106"/>
      <c r="QV887" s="106"/>
      <c r="QW887" s="106"/>
      <c r="QX887" s="106"/>
      <c r="QY887" s="106"/>
      <c r="QZ887" s="106"/>
      <c r="RA887" s="106"/>
      <c r="RB887" s="106"/>
      <c r="RC887" s="106"/>
      <c r="RD887" s="106"/>
      <c r="RE887" s="106"/>
      <c r="RF887" s="106"/>
      <c r="RG887" s="106"/>
      <c r="RH887" s="106"/>
      <c r="RI887" s="106"/>
      <c r="RJ887" s="106"/>
      <c r="RK887" s="106"/>
      <c r="RL887" s="106"/>
    </row>
    <row r="888" spans="88:480" x14ac:dyDescent="0.3">
      <c r="CJ888" s="103"/>
      <c r="FP888" s="103"/>
      <c r="LL888" s="103"/>
      <c r="NM888" s="103"/>
      <c r="QT888" s="106"/>
      <c r="QU888" s="106"/>
      <c r="QV888" s="106"/>
      <c r="QW888" s="106"/>
      <c r="QX888" s="106"/>
      <c r="QY888" s="106"/>
      <c r="QZ888" s="106"/>
      <c r="RA888" s="106"/>
      <c r="RB888" s="106"/>
      <c r="RC888" s="106"/>
      <c r="RD888" s="106"/>
      <c r="RE888" s="106"/>
      <c r="RF888" s="106"/>
      <c r="RG888" s="106"/>
      <c r="RH888" s="106"/>
      <c r="RI888" s="106"/>
      <c r="RJ888" s="106"/>
      <c r="RK888" s="106"/>
      <c r="RL888" s="106"/>
    </row>
    <row r="889" spans="88:480" x14ac:dyDescent="0.3">
      <c r="CJ889" s="103"/>
      <c r="FP889" s="103"/>
      <c r="LL889" s="103"/>
      <c r="NM889" s="103"/>
      <c r="QT889" s="106"/>
      <c r="QU889" s="106"/>
      <c r="QV889" s="106"/>
      <c r="QW889" s="106"/>
      <c r="QX889" s="106"/>
      <c r="QY889" s="106"/>
      <c r="QZ889" s="106"/>
      <c r="RA889" s="106"/>
      <c r="RB889" s="106"/>
      <c r="RC889" s="106"/>
      <c r="RD889" s="106"/>
      <c r="RE889" s="106"/>
      <c r="RF889" s="106"/>
      <c r="RG889" s="106"/>
      <c r="RH889" s="106"/>
      <c r="RI889" s="106"/>
      <c r="RJ889" s="106"/>
      <c r="RK889" s="106"/>
      <c r="RL889" s="106"/>
    </row>
    <row r="890" spans="88:480" x14ac:dyDescent="0.3">
      <c r="CJ890" s="103"/>
      <c r="FP890" s="103"/>
      <c r="LL890" s="103"/>
      <c r="NM890" s="103"/>
      <c r="QT890" s="106"/>
      <c r="QU890" s="106"/>
      <c r="QV890" s="106"/>
      <c r="QW890" s="106"/>
      <c r="QX890" s="106"/>
      <c r="QY890" s="106"/>
      <c r="QZ890" s="106"/>
      <c r="RA890" s="106"/>
      <c r="RB890" s="106"/>
      <c r="RC890" s="106"/>
      <c r="RD890" s="106"/>
      <c r="RE890" s="106"/>
      <c r="RF890" s="106"/>
      <c r="RG890" s="106"/>
      <c r="RH890" s="106"/>
      <c r="RI890" s="106"/>
      <c r="RJ890" s="106"/>
      <c r="RK890" s="106"/>
      <c r="RL890" s="106"/>
    </row>
    <row r="891" spans="88:480" x14ac:dyDescent="0.3">
      <c r="CJ891" s="103"/>
      <c r="FP891" s="103"/>
      <c r="LL891" s="103"/>
      <c r="NM891" s="103"/>
      <c r="QT891" s="106"/>
      <c r="QU891" s="106"/>
      <c r="QV891" s="106"/>
      <c r="QW891" s="106"/>
      <c r="QX891" s="106"/>
      <c r="QY891" s="106"/>
      <c r="QZ891" s="106"/>
      <c r="RA891" s="106"/>
      <c r="RB891" s="106"/>
      <c r="RC891" s="106"/>
      <c r="RD891" s="106"/>
      <c r="RE891" s="106"/>
      <c r="RF891" s="106"/>
      <c r="RG891" s="106"/>
      <c r="RH891" s="106"/>
      <c r="RI891" s="106"/>
      <c r="RJ891" s="106"/>
      <c r="RK891" s="106"/>
      <c r="RL891" s="106"/>
    </row>
    <row r="892" spans="88:480" x14ac:dyDescent="0.3">
      <c r="CJ892" s="103"/>
      <c r="FP892" s="103"/>
      <c r="LL892" s="103"/>
      <c r="NM892" s="103"/>
      <c r="QT892" s="106"/>
      <c r="QU892" s="106"/>
      <c r="QV892" s="106"/>
      <c r="QW892" s="106"/>
      <c r="QX892" s="106"/>
      <c r="QY892" s="106"/>
      <c r="QZ892" s="106"/>
      <c r="RA892" s="106"/>
      <c r="RB892" s="106"/>
      <c r="RC892" s="106"/>
      <c r="RD892" s="106"/>
      <c r="RE892" s="106"/>
      <c r="RF892" s="106"/>
      <c r="RG892" s="106"/>
      <c r="RH892" s="106"/>
      <c r="RI892" s="106"/>
      <c r="RJ892" s="106"/>
      <c r="RK892" s="106"/>
      <c r="RL892" s="106"/>
    </row>
    <row r="893" spans="88:480" x14ac:dyDescent="0.3">
      <c r="CJ893" s="103"/>
      <c r="FP893" s="103"/>
      <c r="LL893" s="103"/>
      <c r="NM893" s="103"/>
      <c r="QT893" s="106"/>
      <c r="QU893" s="106"/>
      <c r="QV893" s="106"/>
      <c r="QW893" s="106"/>
      <c r="QX893" s="106"/>
      <c r="QY893" s="106"/>
      <c r="QZ893" s="106"/>
      <c r="RA893" s="106"/>
      <c r="RB893" s="106"/>
      <c r="RC893" s="106"/>
      <c r="RD893" s="106"/>
      <c r="RE893" s="106"/>
      <c r="RF893" s="106"/>
      <c r="RG893" s="106"/>
      <c r="RH893" s="106"/>
      <c r="RI893" s="106"/>
      <c r="RJ893" s="106"/>
      <c r="RK893" s="106"/>
      <c r="RL893" s="106"/>
    </row>
    <row r="894" spans="88:480" x14ac:dyDescent="0.3">
      <c r="CJ894" s="103"/>
      <c r="FP894" s="103"/>
      <c r="LL894" s="103"/>
      <c r="NM894" s="103"/>
      <c r="QT894" s="106"/>
      <c r="QU894" s="106"/>
      <c r="QV894" s="106"/>
      <c r="QW894" s="106"/>
      <c r="QX894" s="106"/>
      <c r="QY894" s="106"/>
      <c r="QZ894" s="106"/>
      <c r="RA894" s="106"/>
      <c r="RB894" s="106"/>
      <c r="RC894" s="106"/>
      <c r="RD894" s="106"/>
      <c r="RE894" s="106"/>
      <c r="RF894" s="106"/>
      <c r="RG894" s="106"/>
      <c r="RH894" s="106"/>
      <c r="RI894" s="106"/>
      <c r="RJ894" s="106"/>
      <c r="RK894" s="106"/>
      <c r="RL894" s="106"/>
    </row>
    <row r="895" spans="88:480" x14ac:dyDescent="0.3">
      <c r="CJ895" s="103"/>
      <c r="FP895" s="103"/>
      <c r="LL895" s="103"/>
      <c r="NM895" s="103"/>
      <c r="QT895" s="106"/>
      <c r="QU895" s="106"/>
      <c r="QV895" s="106"/>
      <c r="QW895" s="106"/>
      <c r="QX895" s="106"/>
      <c r="QY895" s="106"/>
      <c r="QZ895" s="106"/>
      <c r="RA895" s="106"/>
      <c r="RB895" s="106"/>
      <c r="RC895" s="106"/>
      <c r="RD895" s="106"/>
      <c r="RE895" s="106"/>
      <c r="RF895" s="106"/>
      <c r="RG895" s="106"/>
      <c r="RH895" s="106"/>
      <c r="RI895" s="106"/>
      <c r="RJ895" s="106"/>
      <c r="RK895" s="106"/>
      <c r="RL895" s="106"/>
    </row>
    <row r="896" spans="88:480" x14ac:dyDescent="0.3">
      <c r="CJ896" s="103"/>
      <c r="FP896" s="103"/>
      <c r="LL896" s="103"/>
      <c r="NM896" s="103"/>
      <c r="QT896" s="106"/>
      <c r="QU896" s="106"/>
      <c r="QV896" s="106"/>
      <c r="QW896" s="106"/>
      <c r="QX896" s="106"/>
      <c r="QY896" s="106"/>
      <c r="QZ896" s="106"/>
      <c r="RA896" s="106"/>
      <c r="RB896" s="106"/>
      <c r="RC896" s="106"/>
      <c r="RD896" s="106"/>
      <c r="RE896" s="106"/>
      <c r="RF896" s="106"/>
      <c r="RG896" s="106"/>
      <c r="RH896" s="106"/>
      <c r="RI896" s="106"/>
      <c r="RJ896" s="106"/>
      <c r="RK896" s="106"/>
      <c r="RL896" s="106"/>
    </row>
    <row r="897" spans="88:480" x14ac:dyDescent="0.3">
      <c r="CJ897" s="103"/>
      <c r="FP897" s="103"/>
      <c r="LL897" s="103"/>
      <c r="NM897" s="103"/>
      <c r="QT897" s="106"/>
      <c r="QU897" s="106"/>
      <c r="QV897" s="106"/>
      <c r="QW897" s="106"/>
      <c r="QX897" s="106"/>
      <c r="QY897" s="106"/>
      <c r="QZ897" s="106"/>
      <c r="RA897" s="106"/>
      <c r="RB897" s="106"/>
      <c r="RC897" s="106"/>
      <c r="RD897" s="106"/>
      <c r="RE897" s="106"/>
      <c r="RF897" s="106"/>
      <c r="RG897" s="106"/>
      <c r="RH897" s="106"/>
      <c r="RI897" s="106"/>
      <c r="RJ897" s="106"/>
      <c r="RK897" s="106"/>
      <c r="RL897" s="106"/>
    </row>
    <row r="898" spans="88:480" x14ac:dyDescent="0.3">
      <c r="CJ898" s="103"/>
      <c r="FP898" s="103"/>
      <c r="LL898" s="103"/>
      <c r="NM898" s="103"/>
      <c r="QT898" s="106"/>
      <c r="QU898" s="106"/>
      <c r="QV898" s="106"/>
      <c r="QW898" s="106"/>
      <c r="QX898" s="106"/>
      <c r="QY898" s="106"/>
      <c r="QZ898" s="106"/>
      <c r="RA898" s="106"/>
      <c r="RB898" s="106"/>
      <c r="RC898" s="106"/>
      <c r="RD898" s="106"/>
      <c r="RE898" s="106"/>
      <c r="RF898" s="106"/>
      <c r="RG898" s="106"/>
      <c r="RH898" s="106"/>
      <c r="RI898" s="106"/>
      <c r="RJ898" s="106"/>
      <c r="RK898" s="106"/>
      <c r="RL898" s="106"/>
    </row>
    <row r="899" spans="88:480" x14ac:dyDescent="0.3">
      <c r="CJ899" s="103"/>
      <c r="FP899" s="103"/>
      <c r="LL899" s="103"/>
      <c r="NM899" s="103"/>
      <c r="QT899" s="106"/>
      <c r="QU899" s="106"/>
      <c r="QV899" s="106"/>
      <c r="QW899" s="106"/>
      <c r="QX899" s="106"/>
      <c r="QY899" s="106"/>
      <c r="QZ899" s="106"/>
      <c r="RA899" s="106"/>
      <c r="RB899" s="106"/>
      <c r="RC899" s="106"/>
      <c r="RD899" s="106"/>
      <c r="RE899" s="106"/>
      <c r="RF899" s="106"/>
      <c r="RG899" s="106"/>
      <c r="RH899" s="106"/>
      <c r="RI899" s="106"/>
      <c r="RJ899" s="106"/>
      <c r="RK899" s="106"/>
      <c r="RL899" s="106"/>
    </row>
    <row r="900" spans="88:480" x14ac:dyDescent="0.3">
      <c r="CJ900" s="103"/>
      <c r="FP900" s="103"/>
      <c r="LL900" s="103"/>
      <c r="NM900" s="103"/>
      <c r="QT900" s="106"/>
      <c r="QU900" s="106"/>
      <c r="QV900" s="106"/>
      <c r="QW900" s="106"/>
      <c r="QX900" s="106"/>
      <c r="QY900" s="106"/>
      <c r="QZ900" s="106"/>
      <c r="RA900" s="106"/>
      <c r="RB900" s="106"/>
      <c r="RC900" s="106"/>
      <c r="RD900" s="106"/>
      <c r="RE900" s="106"/>
      <c r="RF900" s="106"/>
      <c r="RG900" s="106"/>
      <c r="RH900" s="106"/>
      <c r="RI900" s="106"/>
      <c r="RJ900" s="106"/>
      <c r="RK900" s="106"/>
      <c r="RL900" s="106"/>
    </row>
    <row r="901" spans="88:480" x14ac:dyDescent="0.3">
      <c r="CJ901" s="103"/>
      <c r="FP901" s="103"/>
      <c r="LL901" s="103"/>
      <c r="NM901" s="103"/>
      <c r="QT901" s="106"/>
      <c r="QU901" s="106"/>
      <c r="QV901" s="106"/>
      <c r="QW901" s="106"/>
      <c r="QX901" s="106"/>
      <c r="QY901" s="106"/>
      <c r="QZ901" s="106"/>
      <c r="RA901" s="106"/>
      <c r="RB901" s="106"/>
      <c r="RC901" s="106"/>
      <c r="RD901" s="106"/>
      <c r="RE901" s="106"/>
      <c r="RF901" s="106"/>
      <c r="RG901" s="106"/>
      <c r="RH901" s="106"/>
      <c r="RI901" s="106"/>
      <c r="RJ901" s="106"/>
      <c r="RK901" s="106"/>
      <c r="RL901" s="106"/>
    </row>
    <row r="902" spans="88:480" x14ac:dyDescent="0.3">
      <c r="CJ902" s="103"/>
      <c r="FP902" s="103"/>
      <c r="LL902" s="103"/>
      <c r="NM902" s="103"/>
      <c r="QT902" s="106"/>
      <c r="QU902" s="106"/>
      <c r="QV902" s="106"/>
      <c r="QW902" s="106"/>
      <c r="QX902" s="106"/>
      <c r="QY902" s="106"/>
      <c r="QZ902" s="106"/>
      <c r="RA902" s="106"/>
      <c r="RB902" s="106"/>
      <c r="RC902" s="106"/>
      <c r="RD902" s="106"/>
      <c r="RE902" s="106"/>
      <c r="RF902" s="106"/>
      <c r="RG902" s="106"/>
      <c r="RH902" s="106"/>
      <c r="RI902" s="106"/>
      <c r="RJ902" s="106"/>
      <c r="RK902" s="106"/>
      <c r="RL902" s="106"/>
    </row>
    <row r="903" spans="88:480" x14ac:dyDescent="0.3">
      <c r="CJ903" s="103"/>
      <c r="FP903" s="103"/>
      <c r="LL903" s="103"/>
      <c r="NM903" s="103"/>
      <c r="QT903" s="106"/>
      <c r="QU903" s="106"/>
      <c r="QV903" s="106"/>
      <c r="QW903" s="106"/>
      <c r="QX903" s="106"/>
      <c r="QY903" s="106"/>
      <c r="QZ903" s="106"/>
      <c r="RA903" s="106"/>
      <c r="RB903" s="106"/>
      <c r="RC903" s="106"/>
      <c r="RD903" s="106"/>
      <c r="RE903" s="106"/>
      <c r="RF903" s="106"/>
      <c r="RG903" s="106"/>
      <c r="RH903" s="106"/>
      <c r="RI903" s="106"/>
      <c r="RJ903" s="106"/>
      <c r="RK903" s="106"/>
      <c r="RL903" s="106"/>
    </row>
    <row r="904" spans="88:480" x14ac:dyDescent="0.3">
      <c r="CJ904" s="103"/>
      <c r="FP904" s="103"/>
      <c r="LL904" s="103"/>
      <c r="NM904" s="103"/>
      <c r="QT904" s="106"/>
      <c r="QU904" s="106"/>
      <c r="QV904" s="106"/>
      <c r="QW904" s="106"/>
      <c r="QX904" s="106"/>
      <c r="QY904" s="106"/>
      <c r="QZ904" s="106"/>
      <c r="RA904" s="106"/>
      <c r="RB904" s="106"/>
      <c r="RC904" s="106"/>
      <c r="RD904" s="106"/>
      <c r="RE904" s="106"/>
      <c r="RF904" s="106"/>
      <c r="RG904" s="106"/>
      <c r="RH904" s="106"/>
      <c r="RI904" s="106"/>
      <c r="RJ904" s="106"/>
      <c r="RK904" s="106"/>
      <c r="RL904" s="106"/>
    </row>
    <row r="905" spans="88:480" x14ac:dyDescent="0.3">
      <c r="CJ905" s="103"/>
      <c r="FP905" s="103"/>
      <c r="LL905" s="103"/>
      <c r="NM905" s="103"/>
      <c r="QT905" s="106"/>
      <c r="QU905" s="106"/>
      <c r="QV905" s="106"/>
      <c r="QW905" s="106"/>
      <c r="QX905" s="106"/>
      <c r="QY905" s="106"/>
      <c r="QZ905" s="106"/>
      <c r="RA905" s="106"/>
      <c r="RB905" s="106"/>
      <c r="RC905" s="106"/>
      <c r="RD905" s="106"/>
      <c r="RE905" s="106"/>
      <c r="RF905" s="106"/>
      <c r="RG905" s="106"/>
      <c r="RH905" s="106"/>
      <c r="RI905" s="106"/>
      <c r="RJ905" s="106"/>
      <c r="RK905" s="106"/>
      <c r="RL905" s="106"/>
    </row>
    <row r="906" spans="88:480" x14ac:dyDescent="0.3">
      <c r="CJ906" s="103"/>
      <c r="FP906" s="103"/>
      <c r="LL906" s="103"/>
      <c r="NM906" s="103"/>
      <c r="QT906" s="106"/>
      <c r="QU906" s="106"/>
      <c r="QV906" s="106"/>
      <c r="QW906" s="106"/>
      <c r="QX906" s="106"/>
      <c r="QY906" s="106"/>
      <c r="QZ906" s="106"/>
      <c r="RA906" s="106"/>
      <c r="RB906" s="106"/>
      <c r="RC906" s="106"/>
      <c r="RD906" s="106"/>
      <c r="RE906" s="106"/>
      <c r="RF906" s="106"/>
      <c r="RG906" s="106"/>
      <c r="RH906" s="106"/>
      <c r="RI906" s="106"/>
      <c r="RJ906" s="106"/>
      <c r="RK906" s="106"/>
      <c r="RL906" s="106"/>
    </row>
    <row r="907" spans="88:480" x14ac:dyDescent="0.3">
      <c r="CJ907" s="103"/>
      <c r="FP907" s="103"/>
      <c r="LL907" s="103"/>
      <c r="NM907" s="103"/>
      <c r="QT907" s="106"/>
      <c r="QU907" s="106"/>
      <c r="QV907" s="106"/>
      <c r="QW907" s="106"/>
      <c r="QX907" s="106"/>
      <c r="QY907" s="106"/>
      <c r="QZ907" s="106"/>
      <c r="RA907" s="106"/>
      <c r="RB907" s="106"/>
      <c r="RC907" s="106"/>
      <c r="RD907" s="106"/>
      <c r="RE907" s="106"/>
      <c r="RF907" s="106"/>
      <c r="RG907" s="106"/>
      <c r="RH907" s="106"/>
      <c r="RI907" s="106"/>
      <c r="RJ907" s="106"/>
      <c r="RK907" s="106"/>
      <c r="RL907" s="106"/>
    </row>
    <row r="908" spans="88:480" x14ac:dyDescent="0.3">
      <c r="CJ908" s="103"/>
      <c r="FP908" s="103"/>
      <c r="LL908" s="103"/>
      <c r="NM908" s="103"/>
      <c r="QT908" s="106"/>
      <c r="QU908" s="106"/>
      <c r="QV908" s="106"/>
      <c r="QW908" s="106"/>
      <c r="QX908" s="106"/>
      <c r="QY908" s="106"/>
      <c r="QZ908" s="106"/>
      <c r="RA908" s="106"/>
      <c r="RB908" s="106"/>
      <c r="RC908" s="106"/>
      <c r="RD908" s="106"/>
      <c r="RE908" s="106"/>
      <c r="RF908" s="106"/>
      <c r="RG908" s="106"/>
      <c r="RH908" s="106"/>
      <c r="RI908" s="106"/>
      <c r="RJ908" s="106"/>
      <c r="RK908" s="106"/>
      <c r="RL908" s="106"/>
    </row>
    <row r="909" spans="88:480" x14ac:dyDescent="0.3">
      <c r="CJ909" s="103"/>
      <c r="FP909" s="103"/>
      <c r="LL909" s="103"/>
      <c r="NM909" s="103"/>
      <c r="QT909" s="106"/>
      <c r="QU909" s="106"/>
      <c r="QV909" s="106"/>
      <c r="QW909" s="106"/>
      <c r="QX909" s="106"/>
      <c r="QY909" s="106"/>
      <c r="QZ909" s="106"/>
      <c r="RA909" s="106"/>
      <c r="RB909" s="106"/>
      <c r="RC909" s="106"/>
      <c r="RD909" s="106"/>
      <c r="RE909" s="106"/>
      <c r="RF909" s="106"/>
      <c r="RG909" s="106"/>
      <c r="RH909" s="106"/>
      <c r="RI909" s="106"/>
      <c r="RJ909" s="106"/>
      <c r="RK909" s="106"/>
      <c r="RL909" s="106"/>
    </row>
    <row r="910" spans="88:480" x14ac:dyDescent="0.3">
      <c r="CJ910" s="103"/>
      <c r="FP910" s="103"/>
      <c r="LL910" s="103"/>
      <c r="NM910" s="103"/>
      <c r="QT910" s="106"/>
      <c r="QU910" s="106"/>
      <c r="QV910" s="106"/>
      <c r="QW910" s="106"/>
      <c r="QX910" s="106"/>
      <c r="QY910" s="106"/>
      <c r="QZ910" s="106"/>
      <c r="RA910" s="106"/>
      <c r="RB910" s="106"/>
      <c r="RC910" s="106"/>
      <c r="RD910" s="106"/>
      <c r="RE910" s="106"/>
      <c r="RF910" s="106"/>
      <c r="RG910" s="106"/>
      <c r="RH910" s="106"/>
      <c r="RI910" s="106"/>
      <c r="RJ910" s="106"/>
      <c r="RK910" s="106"/>
      <c r="RL910" s="106"/>
    </row>
    <row r="911" spans="88:480" x14ac:dyDescent="0.3">
      <c r="CJ911" s="103"/>
      <c r="FP911" s="103"/>
      <c r="LL911" s="103"/>
      <c r="NM911" s="103"/>
      <c r="QT911" s="106"/>
      <c r="QU911" s="106"/>
      <c r="QV911" s="106"/>
      <c r="QW911" s="106"/>
      <c r="QX911" s="106"/>
      <c r="QY911" s="106"/>
      <c r="QZ911" s="106"/>
      <c r="RA911" s="106"/>
      <c r="RB911" s="106"/>
      <c r="RC911" s="106"/>
      <c r="RD911" s="106"/>
      <c r="RE911" s="106"/>
      <c r="RF911" s="106"/>
      <c r="RG911" s="106"/>
      <c r="RH911" s="106"/>
      <c r="RI911" s="106"/>
      <c r="RJ911" s="106"/>
      <c r="RK911" s="106"/>
      <c r="RL911" s="106"/>
    </row>
    <row r="912" spans="88:480" x14ac:dyDescent="0.3">
      <c r="CJ912" s="103"/>
      <c r="FP912" s="103"/>
      <c r="LL912" s="103"/>
      <c r="NM912" s="103"/>
      <c r="QT912" s="106"/>
      <c r="QU912" s="106"/>
      <c r="QV912" s="106"/>
      <c r="QW912" s="106"/>
      <c r="QX912" s="106"/>
      <c r="QY912" s="106"/>
      <c r="QZ912" s="106"/>
      <c r="RA912" s="106"/>
      <c r="RB912" s="106"/>
      <c r="RC912" s="106"/>
      <c r="RD912" s="106"/>
      <c r="RE912" s="106"/>
      <c r="RF912" s="106"/>
      <c r="RG912" s="106"/>
      <c r="RH912" s="106"/>
      <c r="RI912" s="106"/>
      <c r="RJ912" s="106"/>
      <c r="RK912" s="106"/>
      <c r="RL912" s="106"/>
    </row>
    <row r="913" spans="88:480" x14ac:dyDescent="0.3">
      <c r="CJ913" s="103"/>
      <c r="FP913" s="103"/>
      <c r="LL913" s="103"/>
      <c r="NM913" s="103"/>
      <c r="QT913" s="106"/>
      <c r="QU913" s="106"/>
      <c r="QV913" s="106"/>
      <c r="QW913" s="106"/>
      <c r="QX913" s="106"/>
      <c r="QY913" s="106"/>
      <c r="QZ913" s="106"/>
      <c r="RA913" s="106"/>
      <c r="RB913" s="106"/>
      <c r="RC913" s="106"/>
      <c r="RD913" s="106"/>
      <c r="RE913" s="106"/>
      <c r="RF913" s="106"/>
      <c r="RG913" s="106"/>
      <c r="RH913" s="106"/>
      <c r="RI913" s="106"/>
      <c r="RJ913" s="106"/>
      <c r="RK913" s="106"/>
      <c r="RL913" s="106"/>
    </row>
    <row r="914" spans="88:480" x14ac:dyDescent="0.3">
      <c r="CJ914" s="103"/>
      <c r="FP914" s="103"/>
      <c r="LL914" s="103"/>
      <c r="NM914" s="103"/>
      <c r="QT914" s="106"/>
      <c r="QU914" s="106"/>
      <c r="QV914" s="106"/>
      <c r="QW914" s="106"/>
      <c r="QX914" s="106"/>
      <c r="QY914" s="106"/>
      <c r="QZ914" s="106"/>
      <c r="RA914" s="106"/>
      <c r="RB914" s="106"/>
      <c r="RC914" s="106"/>
      <c r="RD914" s="106"/>
      <c r="RE914" s="106"/>
      <c r="RF914" s="106"/>
      <c r="RG914" s="106"/>
      <c r="RH914" s="106"/>
      <c r="RI914" s="106"/>
      <c r="RJ914" s="106"/>
      <c r="RK914" s="106"/>
      <c r="RL914" s="106"/>
    </row>
    <row r="915" spans="88:480" x14ac:dyDescent="0.3">
      <c r="CJ915" s="103"/>
      <c r="FP915" s="103"/>
      <c r="LL915" s="103"/>
      <c r="NM915" s="103"/>
      <c r="QT915" s="106"/>
      <c r="QU915" s="106"/>
      <c r="QV915" s="106"/>
      <c r="QW915" s="106"/>
      <c r="QX915" s="106"/>
      <c r="QY915" s="106"/>
      <c r="QZ915" s="106"/>
      <c r="RA915" s="106"/>
      <c r="RB915" s="106"/>
      <c r="RC915" s="106"/>
      <c r="RD915" s="106"/>
      <c r="RE915" s="106"/>
      <c r="RF915" s="106"/>
      <c r="RG915" s="106"/>
      <c r="RH915" s="106"/>
      <c r="RI915" s="106"/>
      <c r="RJ915" s="106"/>
      <c r="RK915" s="106"/>
      <c r="RL915" s="106"/>
    </row>
    <row r="916" spans="88:480" x14ac:dyDescent="0.3">
      <c r="CJ916" s="103"/>
      <c r="FP916" s="103"/>
      <c r="LL916" s="103"/>
      <c r="NM916" s="103"/>
      <c r="QT916" s="106"/>
      <c r="QU916" s="106"/>
      <c r="QV916" s="106"/>
      <c r="QW916" s="106"/>
      <c r="QX916" s="106"/>
      <c r="QY916" s="106"/>
      <c r="QZ916" s="106"/>
      <c r="RA916" s="106"/>
      <c r="RB916" s="106"/>
      <c r="RC916" s="106"/>
      <c r="RD916" s="106"/>
      <c r="RE916" s="106"/>
      <c r="RF916" s="106"/>
      <c r="RG916" s="106"/>
      <c r="RH916" s="106"/>
      <c r="RI916" s="106"/>
      <c r="RJ916" s="106"/>
      <c r="RK916" s="106"/>
      <c r="RL916" s="106"/>
    </row>
    <row r="917" spans="88:480" x14ac:dyDescent="0.3">
      <c r="CJ917" s="103"/>
      <c r="FP917" s="103"/>
      <c r="LL917" s="103"/>
      <c r="NM917" s="103"/>
      <c r="QT917" s="106"/>
      <c r="QU917" s="106"/>
      <c r="QV917" s="106"/>
      <c r="QW917" s="106"/>
      <c r="QX917" s="106"/>
      <c r="QY917" s="106"/>
      <c r="QZ917" s="106"/>
      <c r="RA917" s="106"/>
      <c r="RB917" s="106"/>
      <c r="RC917" s="106"/>
      <c r="RD917" s="106"/>
      <c r="RE917" s="106"/>
      <c r="RF917" s="106"/>
      <c r="RG917" s="106"/>
      <c r="RH917" s="106"/>
      <c r="RI917" s="106"/>
      <c r="RJ917" s="106"/>
      <c r="RK917" s="106"/>
      <c r="RL917" s="106"/>
    </row>
    <row r="918" spans="88:480" x14ac:dyDescent="0.3">
      <c r="CJ918" s="103"/>
      <c r="FP918" s="103"/>
      <c r="LL918" s="103"/>
      <c r="NM918" s="103"/>
      <c r="QT918" s="106"/>
      <c r="QU918" s="106"/>
      <c r="QV918" s="106"/>
      <c r="QW918" s="106"/>
      <c r="QX918" s="106"/>
      <c r="QY918" s="106"/>
      <c r="QZ918" s="106"/>
      <c r="RA918" s="106"/>
      <c r="RB918" s="106"/>
      <c r="RC918" s="106"/>
      <c r="RD918" s="106"/>
      <c r="RE918" s="106"/>
      <c r="RF918" s="106"/>
      <c r="RG918" s="106"/>
      <c r="RH918" s="106"/>
      <c r="RI918" s="106"/>
      <c r="RJ918" s="106"/>
      <c r="RK918" s="106"/>
      <c r="RL918" s="106"/>
    </row>
    <row r="919" spans="88:480" x14ac:dyDescent="0.3">
      <c r="CJ919" s="103"/>
      <c r="FP919" s="103"/>
      <c r="LL919" s="103"/>
      <c r="NM919" s="103"/>
      <c r="QT919" s="106"/>
      <c r="QU919" s="106"/>
      <c r="QV919" s="106"/>
      <c r="QW919" s="106"/>
      <c r="QX919" s="106"/>
      <c r="QY919" s="106"/>
      <c r="QZ919" s="106"/>
      <c r="RA919" s="106"/>
      <c r="RB919" s="106"/>
      <c r="RC919" s="106"/>
      <c r="RD919" s="106"/>
      <c r="RE919" s="106"/>
      <c r="RF919" s="106"/>
      <c r="RG919" s="106"/>
      <c r="RH919" s="106"/>
      <c r="RI919" s="106"/>
      <c r="RJ919" s="106"/>
      <c r="RK919" s="106"/>
      <c r="RL919" s="106"/>
    </row>
    <row r="920" spans="88:480" x14ac:dyDescent="0.3">
      <c r="CJ920" s="103"/>
      <c r="FP920" s="103"/>
      <c r="LL920" s="103"/>
      <c r="NM920" s="103"/>
      <c r="QT920" s="106"/>
      <c r="QU920" s="106"/>
      <c r="QV920" s="106"/>
      <c r="QW920" s="106"/>
      <c r="QX920" s="106"/>
      <c r="QY920" s="106"/>
      <c r="QZ920" s="106"/>
      <c r="RA920" s="106"/>
      <c r="RB920" s="106"/>
      <c r="RC920" s="106"/>
      <c r="RD920" s="106"/>
      <c r="RE920" s="106"/>
      <c r="RF920" s="106"/>
      <c r="RG920" s="106"/>
      <c r="RH920" s="106"/>
      <c r="RI920" s="106"/>
      <c r="RJ920" s="106"/>
      <c r="RK920" s="106"/>
      <c r="RL920" s="106"/>
    </row>
    <row r="921" spans="88:480" x14ac:dyDescent="0.3">
      <c r="CJ921" s="103"/>
      <c r="FP921" s="103"/>
      <c r="LL921" s="103"/>
      <c r="NM921" s="103"/>
      <c r="QT921" s="106"/>
      <c r="QU921" s="106"/>
      <c r="QV921" s="106"/>
      <c r="QW921" s="106"/>
      <c r="QX921" s="106"/>
      <c r="QY921" s="106"/>
      <c r="QZ921" s="106"/>
      <c r="RA921" s="106"/>
      <c r="RB921" s="106"/>
      <c r="RC921" s="106"/>
      <c r="RD921" s="106"/>
      <c r="RE921" s="106"/>
      <c r="RF921" s="106"/>
      <c r="RG921" s="106"/>
      <c r="RH921" s="106"/>
      <c r="RI921" s="106"/>
      <c r="RJ921" s="106"/>
      <c r="RK921" s="106"/>
      <c r="RL921" s="106"/>
    </row>
    <row r="922" spans="88:480" x14ac:dyDescent="0.3">
      <c r="CJ922" s="103"/>
      <c r="FP922" s="103"/>
      <c r="LL922" s="103"/>
      <c r="NM922" s="103"/>
      <c r="QT922" s="106"/>
      <c r="QU922" s="106"/>
      <c r="QV922" s="106"/>
      <c r="QW922" s="106"/>
      <c r="QX922" s="106"/>
      <c r="QY922" s="106"/>
      <c r="QZ922" s="106"/>
      <c r="RA922" s="106"/>
      <c r="RB922" s="106"/>
      <c r="RC922" s="106"/>
      <c r="RD922" s="106"/>
      <c r="RE922" s="106"/>
      <c r="RF922" s="106"/>
      <c r="RG922" s="106"/>
      <c r="RH922" s="106"/>
      <c r="RI922" s="106"/>
      <c r="RJ922" s="106"/>
      <c r="RK922" s="106"/>
      <c r="RL922" s="106"/>
    </row>
    <row r="923" spans="88:480" x14ac:dyDescent="0.3">
      <c r="CJ923" s="103"/>
      <c r="FP923" s="103"/>
      <c r="LL923" s="103"/>
      <c r="NM923" s="103"/>
      <c r="QT923" s="106"/>
      <c r="QU923" s="106"/>
      <c r="QV923" s="106"/>
      <c r="QW923" s="106"/>
      <c r="QX923" s="106"/>
      <c r="QY923" s="106"/>
      <c r="QZ923" s="106"/>
      <c r="RA923" s="106"/>
      <c r="RB923" s="106"/>
      <c r="RC923" s="106"/>
      <c r="RD923" s="106"/>
      <c r="RE923" s="106"/>
      <c r="RF923" s="106"/>
      <c r="RG923" s="106"/>
      <c r="RH923" s="106"/>
      <c r="RI923" s="106"/>
      <c r="RJ923" s="106"/>
      <c r="RK923" s="106"/>
      <c r="RL923" s="106"/>
    </row>
    <row r="924" spans="88:480" x14ac:dyDescent="0.3">
      <c r="CJ924" s="103"/>
      <c r="FP924" s="103"/>
      <c r="LL924" s="103"/>
      <c r="NM924" s="103"/>
      <c r="QT924" s="106"/>
      <c r="QU924" s="106"/>
      <c r="QV924" s="106"/>
      <c r="QW924" s="106"/>
      <c r="QX924" s="106"/>
      <c r="QY924" s="106"/>
      <c r="QZ924" s="106"/>
      <c r="RA924" s="106"/>
      <c r="RB924" s="106"/>
      <c r="RC924" s="106"/>
      <c r="RD924" s="106"/>
      <c r="RE924" s="106"/>
      <c r="RF924" s="106"/>
      <c r="RG924" s="106"/>
      <c r="RH924" s="106"/>
      <c r="RI924" s="106"/>
      <c r="RJ924" s="106"/>
      <c r="RK924" s="106"/>
      <c r="RL924" s="106"/>
    </row>
    <row r="925" spans="88:480" x14ac:dyDescent="0.3">
      <c r="CJ925" s="103"/>
      <c r="FP925" s="103"/>
      <c r="LL925" s="103"/>
      <c r="NM925" s="103"/>
      <c r="QT925" s="106"/>
      <c r="QU925" s="106"/>
      <c r="QV925" s="106"/>
      <c r="QW925" s="106"/>
      <c r="QX925" s="106"/>
      <c r="QY925" s="106"/>
      <c r="QZ925" s="106"/>
      <c r="RA925" s="106"/>
      <c r="RB925" s="106"/>
      <c r="RC925" s="106"/>
      <c r="RD925" s="106"/>
      <c r="RE925" s="106"/>
      <c r="RF925" s="106"/>
      <c r="RG925" s="106"/>
      <c r="RH925" s="106"/>
      <c r="RI925" s="106"/>
      <c r="RJ925" s="106"/>
      <c r="RK925" s="106"/>
      <c r="RL925" s="106"/>
    </row>
    <row r="926" spans="88:480" x14ac:dyDescent="0.3">
      <c r="CJ926" s="103"/>
      <c r="FP926" s="103"/>
      <c r="LL926" s="103"/>
      <c r="NM926" s="103"/>
      <c r="QT926" s="106"/>
      <c r="QU926" s="106"/>
      <c r="QV926" s="106"/>
      <c r="QW926" s="106"/>
      <c r="QX926" s="106"/>
      <c r="QY926" s="106"/>
      <c r="QZ926" s="106"/>
      <c r="RA926" s="106"/>
      <c r="RB926" s="106"/>
      <c r="RC926" s="106"/>
      <c r="RD926" s="106"/>
      <c r="RE926" s="106"/>
      <c r="RF926" s="106"/>
      <c r="RG926" s="106"/>
      <c r="RH926" s="106"/>
      <c r="RI926" s="106"/>
      <c r="RJ926" s="106"/>
      <c r="RK926" s="106"/>
      <c r="RL926" s="106"/>
    </row>
    <row r="927" spans="88:480" x14ac:dyDescent="0.3">
      <c r="CJ927" s="103"/>
      <c r="FP927" s="103"/>
      <c r="LL927" s="103"/>
      <c r="NM927" s="103"/>
      <c r="QT927" s="106"/>
      <c r="QU927" s="106"/>
      <c r="QV927" s="106"/>
      <c r="QW927" s="106"/>
      <c r="QX927" s="106"/>
      <c r="QY927" s="106"/>
      <c r="QZ927" s="106"/>
      <c r="RA927" s="106"/>
      <c r="RB927" s="106"/>
      <c r="RC927" s="106"/>
      <c r="RD927" s="106"/>
      <c r="RE927" s="106"/>
      <c r="RF927" s="106"/>
      <c r="RG927" s="106"/>
      <c r="RH927" s="106"/>
      <c r="RI927" s="106"/>
      <c r="RJ927" s="106"/>
      <c r="RK927" s="106"/>
      <c r="RL927" s="106"/>
    </row>
    <row r="928" spans="88:480" x14ac:dyDescent="0.3">
      <c r="CJ928" s="103"/>
      <c r="FP928" s="103"/>
      <c r="LL928" s="103"/>
      <c r="NM928" s="103"/>
      <c r="QT928" s="106"/>
      <c r="QU928" s="106"/>
      <c r="QV928" s="106"/>
      <c r="QW928" s="106"/>
      <c r="QX928" s="106"/>
      <c r="QY928" s="106"/>
      <c r="QZ928" s="106"/>
      <c r="RA928" s="106"/>
      <c r="RB928" s="106"/>
      <c r="RC928" s="106"/>
      <c r="RD928" s="106"/>
      <c r="RE928" s="106"/>
      <c r="RF928" s="106"/>
      <c r="RG928" s="106"/>
      <c r="RH928" s="106"/>
      <c r="RI928" s="106"/>
      <c r="RJ928" s="106"/>
      <c r="RK928" s="106"/>
      <c r="RL928" s="106"/>
    </row>
    <row r="929" spans="88:480" x14ac:dyDescent="0.3">
      <c r="CJ929" s="103"/>
      <c r="FP929" s="103"/>
      <c r="LL929" s="103"/>
      <c r="NM929" s="103"/>
      <c r="QT929" s="106"/>
      <c r="QU929" s="106"/>
      <c r="QV929" s="106"/>
      <c r="QW929" s="106"/>
      <c r="QX929" s="106"/>
      <c r="QY929" s="106"/>
      <c r="QZ929" s="106"/>
      <c r="RA929" s="106"/>
      <c r="RB929" s="106"/>
      <c r="RC929" s="106"/>
      <c r="RD929" s="106"/>
      <c r="RE929" s="106"/>
      <c r="RF929" s="106"/>
      <c r="RG929" s="106"/>
      <c r="RH929" s="106"/>
      <c r="RI929" s="106"/>
      <c r="RJ929" s="106"/>
      <c r="RK929" s="106"/>
      <c r="RL929" s="106"/>
    </row>
    <row r="930" spans="88:480" x14ac:dyDescent="0.3">
      <c r="CJ930" s="103"/>
      <c r="FP930" s="103"/>
      <c r="LL930" s="103"/>
      <c r="NM930" s="103"/>
      <c r="QT930" s="106"/>
      <c r="QU930" s="106"/>
      <c r="QV930" s="106"/>
      <c r="QW930" s="106"/>
      <c r="QX930" s="106"/>
      <c r="QY930" s="106"/>
      <c r="QZ930" s="106"/>
      <c r="RA930" s="106"/>
      <c r="RB930" s="106"/>
      <c r="RC930" s="106"/>
      <c r="RD930" s="106"/>
      <c r="RE930" s="106"/>
      <c r="RF930" s="106"/>
      <c r="RG930" s="106"/>
      <c r="RH930" s="106"/>
      <c r="RI930" s="106"/>
      <c r="RJ930" s="106"/>
      <c r="RK930" s="106"/>
      <c r="RL930" s="106"/>
    </row>
    <row r="931" spans="88:480" x14ac:dyDescent="0.3">
      <c r="CJ931" s="103"/>
      <c r="FP931" s="103"/>
      <c r="LL931" s="103"/>
      <c r="NM931" s="103"/>
      <c r="QT931" s="106"/>
      <c r="QU931" s="106"/>
      <c r="QV931" s="106"/>
      <c r="QW931" s="106"/>
      <c r="QX931" s="106"/>
      <c r="QY931" s="106"/>
      <c r="QZ931" s="106"/>
      <c r="RA931" s="106"/>
      <c r="RB931" s="106"/>
      <c r="RC931" s="106"/>
      <c r="RD931" s="106"/>
      <c r="RE931" s="106"/>
      <c r="RF931" s="106"/>
      <c r="RG931" s="106"/>
      <c r="RH931" s="106"/>
      <c r="RI931" s="106"/>
      <c r="RJ931" s="106"/>
      <c r="RK931" s="106"/>
      <c r="RL931" s="106"/>
    </row>
    <row r="932" spans="88:480" x14ac:dyDescent="0.3">
      <c r="CJ932" s="103"/>
      <c r="FP932" s="103"/>
      <c r="LL932" s="103"/>
      <c r="NM932" s="103"/>
      <c r="QT932" s="106"/>
      <c r="QU932" s="106"/>
      <c r="QV932" s="106"/>
      <c r="QW932" s="106"/>
      <c r="QX932" s="106"/>
      <c r="QY932" s="106"/>
      <c r="QZ932" s="106"/>
      <c r="RA932" s="106"/>
      <c r="RB932" s="106"/>
      <c r="RC932" s="106"/>
      <c r="RD932" s="106"/>
      <c r="RE932" s="106"/>
      <c r="RF932" s="106"/>
      <c r="RG932" s="106"/>
      <c r="RH932" s="106"/>
      <c r="RI932" s="106"/>
      <c r="RJ932" s="106"/>
      <c r="RK932" s="106"/>
      <c r="RL932" s="106"/>
    </row>
    <row r="933" spans="88:480" x14ac:dyDescent="0.3">
      <c r="CJ933" s="103"/>
      <c r="FP933" s="103"/>
      <c r="LL933" s="103"/>
      <c r="NM933" s="103"/>
      <c r="QT933" s="106"/>
      <c r="QU933" s="106"/>
      <c r="QV933" s="106"/>
      <c r="QW933" s="106"/>
      <c r="QX933" s="106"/>
      <c r="QY933" s="106"/>
      <c r="QZ933" s="106"/>
      <c r="RA933" s="106"/>
      <c r="RB933" s="106"/>
      <c r="RC933" s="106"/>
      <c r="RD933" s="106"/>
      <c r="RE933" s="106"/>
      <c r="RF933" s="106"/>
      <c r="RG933" s="106"/>
      <c r="RH933" s="106"/>
      <c r="RI933" s="106"/>
      <c r="RJ933" s="106"/>
      <c r="RK933" s="106"/>
      <c r="RL933" s="106"/>
    </row>
    <row r="934" spans="88:480" x14ac:dyDescent="0.3">
      <c r="CJ934" s="103"/>
      <c r="FP934" s="103"/>
      <c r="LL934" s="103"/>
      <c r="NM934" s="103"/>
      <c r="QT934" s="106"/>
      <c r="QU934" s="106"/>
      <c r="QV934" s="106"/>
      <c r="QW934" s="106"/>
      <c r="QX934" s="106"/>
      <c r="QY934" s="106"/>
      <c r="QZ934" s="106"/>
      <c r="RA934" s="106"/>
      <c r="RB934" s="106"/>
      <c r="RC934" s="106"/>
      <c r="RD934" s="106"/>
      <c r="RE934" s="106"/>
      <c r="RF934" s="106"/>
      <c r="RG934" s="106"/>
      <c r="RH934" s="106"/>
      <c r="RI934" s="106"/>
      <c r="RJ934" s="106"/>
      <c r="RK934" s="106"/>
      <c r="RL934" s="106"/>
    </row>
    <row r="935" spans="88:480" x14ac:dyDescent="0.3">
      <c r="CJ935" s="103"/>
      <c r="FP935" s="103"/>
      <c r="LL935" s="103"/>
      <c r="NM935" s="103"/>
      <c r="QT935" s="106"/>
      <c r="QU935" s="106"/>
      <c r="QV935" s="106"/>
      <c r="QW935" s="106"/>
      <c r="QX935" s="106"/>
      <c r="QY935" s="106"/>
      <c r="QZ935" s="106"/>
      <c r="RA935" s="106"/>
      <c r="RB935" s="106"/>
      <c r="RC935" s="106"/>
      <c r="RD935" s="106"/>
      <c r="RE935" s="106"/>
      <c r="RF935" s="106"/>
      <c r="RG935" s="106"/>
      <c r="RH935" s="106"/>
      <c r="RI935" s="106"/>
      <c r="RJ935" s="106"/>
      <c r="RK935" s="106"/>
      <c r="RL935" s="106"/>
    </row>
    <row r="936" spans="88:480" x14ac:dyDescent="0.3">
      <c r="CJ936" s="103"/>
      <c r="FP936" s="103"/>
      <c r="LL936" s="103"/>
      <c r="NM936" s="103"/>
      <c r="QT936" s="106"/>
      <c r="QU936" s="106"/>
      <c r="QV936" s="106"/>
      <c r="QW936" s="106"/>
      <c r="QX936" s="106"/>
      <c r="QY936" s="106"/>
      <c r="QZ936" s="106"/>
      <c r="RA936" s="106"/>
      <c r="RB936" s="106"/>
      <c r="RC936" s="106"/>
      <c r="RD936" s="106"/>
      <c r="RE936" s="106"/>
      <c r="RF936" s="106"/>
      <c r="RG936" s="106"/>
      <c r="RH936" s="106"/>
      <c r="RI936" s="106"/>
      <c r="RJ936" s="106"/>
      <c r="RK936" s="106"/>
      <c r="RL936" s="106"/>
    </row>
    <row r="937" spans="88:480" x14ac:dyDescent="0.3">
      <c r="CJ937" s="103"/>
      <c r="FP937" s="103"/>
      <c r="LL937" s="103"/>
      <c r="NM937" s="103"/>
      <c r="QT937" s="106"/>
      <c r="QU937" s="106"/>
      <c r="QV937" s="106"/>
      <c r="QW937" s="106"/>
      <c r="QX937" s="106"/>
      <c r="QY937" s="106"/>
      <c r="QZ937" s="106"/>
      <c r="RA937" s="106"/>
      <c r="RB937" s="106"/>
      <c r="RC937" s="106"/>
      <c r="RD937" s="106"/>
      <c r="RE937" s="106"/>
      <c r="RF937" s="106"/>
      <c r="RG937" s="106"/>
      <c r="RH937" s="106"/>
      <c r="RI937" s="106"/>
      <c r="RJ937" s="106"/>
      <c r="RK937" s="106"/>
      <c r="RL937" s="106"/>
    </row>
    <row r="938" spans="88:480" x14ac:dyDescent="0.3">
      <c r="CJ938" s="103"/>
      <c r="FP938" s="103"/>
      <c r="LL938" s="103"/>
      <c r="NM938" s="103"/>
      <c r="QT938" s="106"/>
      <c r="QU938" s="106"/>
      <c r="QV938" s="106"/>
      <c r="QW938" s="106"/>
      <c r="QX938" s="106"/>
      <c r="QY938" s="106"/>
      <c r="QZ938" s="106"/>
      <c r="RA938" s="106"/>
      <c r="RB938" s="106"/>
      <c r="RC938" s="106"/>
      <c r="RD938" s="106"/>
      <c r="RE938" s="106"/>
      <c r="RF938" s="106"/>
      <c r="RG938" s="106"/>
      <c r="RH938" s="106"/>
      <c r="RI938" s="106"/>
      <c r="RJ938" s="106"/>
      <c r="RK938" s="106"/>
      <c r="RL938" s="106"/>
    </row>
    <row r="939" spans="88:480" x14ac:dyDescent="0.3">
      <c r="CJ939" s="103"/>
      <c r="FP939" s="103"/>
      <c r="LL939" s="103"/>
      <c r="NM939" s="103"/>
      <c r="QT939" s="106"/>
      <c r="QU939" s="106"/>
      <c r="QV939" s="106"/>
      <c r="QW939" s="106"/>
      <c r="QX939" s="106"/>
      <c r="QY939" s="106"/>
      <c r="QZ939" s="106"/>
      <c r="RA939" s="106"/>
      <c r="RB939" s="106"/>
      <c r="RC939" s="106"/>
      <c r="RD939" s="106"/>
      <c r="RE939" s="106"/>
      <c r="RF939" s="106"/>
      <c r="RG939" s="106"/>
      <c r="RH939" s="106"/>
      <c r="RI939" s="106"/>
      <c r="RJ939" s="106"/>
      <c r="RK939" s="106"/>
      <c r="RL939" s="106"/>
    </row>
    <row r="940" spans="88:480" x14ac:dyDescent="0.3">
      <c r="CJ940" s="103"/>
      <c r="FP940" s="103"/>
      <c r="LL940" s="103"/>
      <c r="NM940" s="103"/>
      <c r="QT940" s="106"/>
      <c r="QU940" s="106"/>
      <c r="QV940" s="106"/>
      <c r="QW940" s="106"/>
      <c r="QX940" s="106"/>
      <c r="QY940" s="106"/>
      <c r="QZ940" s="106"/>
      <c r="RA940" s="106"/>
      <c r="RB940" s="106"/>
      <c r="RC940" s="106"/>
      <c r="RD940" s="106"/>
      <c r="RE940" s="106"/>
      <c r="RF940" s="106"/>
      <c r="RG940" s="106"/>
      <c r="RH940" s="106"/>
      <c r="RI940" s="106"/>
      <c r="RJ940" s="106"/>
      <c r="RK940" s="106"/>
      <c r="RL940" s="106"/>
    </row>
    <row r="941" spans="88:480" x14ac:dyDescent="0.3">
      <c r="CJ941" s="103"/>
      <c r="FP941" s="103"/>
      <c r="LL941" s="103"/>
      <c r="NM941" s="103"/>
      <c r="QT941" s="106"/>
      <c r="QU941" s="106"/>
      <c r="QV941" s="106"/>
      <c r="QW941" s="106"/>
      <c r="QX941" s="106"/>
      <c r="QY941" s="106"/>
      <c r="QZ941" s="106"/>
      <c r="RA941" s="106"/>
      <c r="RB941" s="106"/>
      <c r="RC941" s="106"/>
      <c r="RD941" s="106"/>
      <c r="RE941" s="106"/>
      <c r="RF941" s="106"/>
      <c r="RG941" s="106"/>
      <c r="RH941" s="106"/>
      <c r="RI941" s="106"/>
      <c r="RJ941" s="106"/>
      <c r="RK941" s="106"/>
      <c r="RL941" s="106"/>
    </row>
    <row r="942" spans="88:480" x14ac:dyDescent="0.3">
      <c r="CJ942" s="103"/>
      <c r="FP942" s="103"/>
      <c r="LL942" s="103"/>
      <c r="NM942" s="103"/>
      <c r="QT942" s="106"/>
      <c r="QU942" s="106"/>
      <c r="QV942" s="106"/>
      <c r="QW942" s="106"/>
      <c r="QX942" s="106"/>
      <c r="QY942" s="106"/>
      <c r="QZ942" s="106"/>
      <c r="RA942" s="106"/>
      <c r="RB942" s="106"/>
      <c r="RC942" s="106"/>
      <c r="RD942" s="106"/>
      <c r="RE942" s="106"/>
      <c r="RF942" s="106"/>
      <c r="RG942" s="106"/>
      <c r="RH942" s="106"/>
      <c r="RI942" s="106"/>
      <c r="RJ942" s="106"/>
      <c r="RK942" s="106"/>
      <c r="RL942" s="106"/>
    </row>
    <row r="943" spans="88:480" x14ac:dyDescent="0.3">
      <c r="CJ943" s="103"/>
      <c r="FP943" s="103"/>
      <c r="LL943" s="103"/>
      <c r="NM943" s="103"/>
      <c r="QT943" s="106"/>
      <c r="QU943" s="106"/>
      <c r="QV943" s="106"/>
      <c r="QW943" s="106"/>
      <c r="QX943" s="106"/>
      <c r="QY943" s="106"/>
      <c r="QZ943" s="106"/>
      <c r="RA943" s="106"/>
      <c r="RB943" s="106"/>
      <c r="RC943" s="106"/>
      <c r="RD943" s="106"/>
      <c r="RE943" s="106"/>
      <c r="RF943" s="106"/>
      <c r="RG943" s="106"/>
      <c r="RH943" s="106"/>
      <c r="RI943" s="106"/>
      <c r="RJ943" s="106"/>
      <c r="RK943" s="106"/>
      <c r="RL943" s="106"/>
    </row>
    <row r="944" spans="88:480" x14ac:dyDescent="0.3">
      <c r="CJ944" s="103"/>
      <c r="FP944" s="103"/>
      <c r="LL944" s="103"/>
      <c r="NM944" s="103"/>
      <c r="QT944" s="106"/>
      <c r="QU944" s="106"/>
      <c r="QV944" s="106"/>
      <c r="QW944" s="106"/>
      <c r="QX944" s="106"/>
      <c r="QY944" s="106"/>
      <c r="QZ944" s="106"/>
      <c r="RA944" s="106"/>
      <c r="RB944" s="106"/>
      <c r="RC944" s="106"/>
      <c r="RD944" s="106"/>
      <c r="RE944" s="106"/>
      <c r="RF944" s="106"/>
      <c r="RG944" s="106"/>
      <c r="RH944" s="106"/>
      <c r="RI944" s="106"/>
      <c r="RJ944" s="106"/>
      <c r="RK944" s="106"/>
      <c r="RL944" s="106"/>
    </row>
    <row r="945" spans="88:480" x14ac:dyDescent="0.3">
      <c r="CJ945" s="103"/>
      <c r="FP945" s="103"/>
      <c r="LL945" s="103"/>
      <c r="NM945" s="103"/>
      <c r="QT945" s="106"/>
      <c r="QU945" s="106"/>
      <c r="QV945" s="106"/>
      <c r="QW945" s="106"/>
      <c r="QX945" s="106"/>
      <c r="QY945" s="106"/>
      <c r="QZ945" s="106"/>
      <c r="RA945" s="106"/>
      <c r="RB945" s="106"/>
      <c r="RC945" s="106"/>
      <c r="RD945" s="106"/>
      <c r="RE945" s="106"/>
      <c r="RF945" s="106"/>
      <c r="RG945" s="106"/>
      <c r="RH945" s="106"/>
      <c r="RI945" s="106"/>
      <c r="RJ945" s="106"/>
      <c r="RK945" s="106"/>
      <c r="RL945" s="106"/>
    </row>
    <row r="946" spans="88:480" x14ac:dyDescent="0.3">
      <c r="CJ946" s="103"/>
      <c r="FP946" s="103"/>
      <c r="LL946" s="103"/>
      <c r="NM946" s="103"/>
      <c r="QT946" s="106"/>
      <c r="QU946" s="106"/>
      <c r="QV946" s="106"/>
      <c r="QW946" s="106"/>
      <c r="QX946" s="106"/>
      <c r="QY946" s="106"/>
      <c r="QZ946" s="106"/>
      <c r="RA946" s="106"/>
      <c r="RB946" s="106"/>
      <c r="RC946" s="106"/>
      <c r="RD946" s="106"/>
      <c r="RE946" s="106"/>
      <c r="RF946" s="106"/>
      <c r="RG946" s="106"/>
      <c r="RH946" s="106"/>
      <c r="RI946" s="106"/>
      <c r="RJ946" s="106"/>
      <c r="RK946" s="106"/>
      <c r="RL946" s="106"/>
    </row>
    <row r="947" spans="88:480" x14ac:dyDescent="0.3">
      <c r="CJ947" s="103"/>
      <c r="FP947" s="103"/>
      <c r="LL947" s="103"/>
      <c r="NM947" s="103"/>
      <c r="QT947" s="106"/>
      <c r="QU947" s="106"/>
      <c r="QV947" s="106"/>
      <c r="QW947" s="106"/>
      <c r="QX947" s="106"/>
      <c r="QY947" s="106"/>
      <c r="QZ947" s="106"/>
      <c r="RA947" s="106"/>
      <c r="RB947" s="106"/>
      <c r="RC947" s="106"/>
      <c r="RD947" s="106"/>
      <c r="RE947" s="106"/>
      <c r="RF947" s="106"/>
      <c r="RG947" s="106"/>
      <c r="RH947" s="106"/>
      <c r="RI947" s="106"/>
      <c r="RJ947" s="106"/>
      <c r="RK947" s="106"/>
      <c r="RL947" s="106"/>
    </row>
    <row r="948" spans="88:480" x14ac:dyDescent="0.3">
      <c r="CJ948" s="103"/>
      <c r="FP948" s="103"/>
      <c r="LL948" s="103"/>
      <c r="NM948" s="103"/>
      <c r="QT948" s="106"/>
      <c r="QU948" s="106"/>
      <c r="QV948" s="106"/>
      <c r="QW948" s="106"/>
      <c r="QX948" s="106"/>
      <c r="QY948" s="106"/>
      <c r="QZ948" s="106"/>
      <c r="RA948" s="106"/>
      <c r="RB948" s="106"/>
      <c r="RC948" s="106"/>
      <c r="RD948" s="106"/>
      <c r="RE948" s="106"/>
      <c r="RF948" s="106"/>
      <c r="RG948" s="106"/>
      <c r="RH948" s="106"/>
      <c r="RI948" s="106"/>
      <c r="RJ948" s="106"/>
      <c r="RK948" s="106"/>
      <c r="RL948" s="106"/>
    </row>
    <row r="949" spans="88:480" x14ac:dyDescent="0.3">
      <c r="CJ949" s="103"/>
      <c r="FP949" s="103"/>
      <c r="LL949" s="103"/>
      <c r="NM949" s="103"/>
      <c r="QT949" s="106"/>
      <c r="QU949" s="106"/>
      <c r="QV949" s="106"/>
      <c r="QW949" s="106"/>
      <c r="QX949" s="106"/>
      <c r="QY949" s="106"/>
      <c r="QZ949" s="106"/>
      <c r="RA949" s="106"/>
      <c r="RB949" s="106"/>
      <c r="RC949" s="106"/>
      <c r="RD949" s="106"/>
      <c r="RE949" s="106"/>
      <c r="RF949" s="106"/>
      <c r="RG949" s="106"/>
      <c r="RH949" s="106"/>
      <c r="RI949" s="106"/>
      <c r="RJ949" s="106"/>
      <c r="RK949" s="106"/>
      <c r="RL949" s="106"/>
    </row>
    <row r="950" spans="88:480" x14ac:dyDescent="0.3">
      <c r="CJ950" s="103"/>
      <c r="FP950" s="103"/>
      <c r="LL950" s="103"/>
      <c r="NM950" s="103"/>
      <c r="QT950" s="106"/>
      <c r="QU950" s="106"/>
      <c r="QV950" s="106"/>
      <c r="QW950" s="106"/>
      <c r="QX950" s="106"/>
      <c r="QY950" s="106"/>
      <c r="QZ950" s="106"/>
      <c r="RA950" s="106"/>
      <c r="RB950" s="106"/>
      <c r="RC950" s="106"/>
      <c r="RD950" s="106"/>
      <c r="RE950" s="106"/>
      <c r="RF950" s="106"/>
      <c r="RG950" s="106"/>
      <c r="RH950" s="106"/>
      <c r="RI950" s="106"/>
      <c r="RJ950" s="106"/>
      <c r="RK950" s="106"/>
      <c r="RL950" s="106"/>
    </row>
    <row r="951" spans="88:480" x14ac:dyDescent="0.3">
      <c r="CJ951" s="103"/>
      <c r="FP951" s="103"/>
      <c r="LL951" s="103"/>
      <c r="NM951" s="103"/>
      <c r="QT951" s="106"/>
      <c r="QU951" s="106"/>
      <c r="QV951" s="106"/>
      <c r="QW951" s="106"/>
      <c r="QX951" s="106"/>
      <c r="QY951" s="106"/>
      <c r="QZ951" s="106"/>
      <c r="RA951" s="106"/>
      <c r="RB951" s="106"/>
      <c r="RC951" s="106"/>
      <c r="RD951" s="106"/>
      <c r="RE951" s="106"/>
      <c r="RF951" s="106"/>
      <c r="RG951" s="106"/>
      <c r="RH951" s="106"/>
      <c r="RI951" s="106"/>
      <c r="RJ951" s="106"/>
      <c r="RK951" s="106"/>
      <c r="RL951" s="106"/>
    </row>
    <row r="952" spans="88:480" x14ac:dyDescent="0.3">
      <c r="CJ952" s="103"/>
      <c r="FP952" s="103"/>
      <c r="LL952" s="103"/>
      <c r="NM952" s="103"/>
      <c r="QT952" s="106"/>
      <c r="QU952" s="106"/>
      <c r="QV952" s="106"/>
      <c r="QW952" s="106"/>
      <c r="QX952" s="106"/>
      <c r="QY952" s="106"/>
      <c r="QZ952" s="106"/>
      <c r="RA952" s="106"/>
      <c r="RB952" s="106"/>
      <c r="RC952" s="106"/>
      <c r="RD952" s="106"/>
      <c r="RE952" s="106"/>
      <c r="RF952" s="106"/>
      <c r="RG952" s="106"/>
      <c r="RH952" s="106"/>
      <c r="RI952" s="106"/>
      <c r="RJ952" s="106"/>
      <c r="RK952" s="106"/>
      <c r="RL952" s="106"/>
    </row>
    <row r="953" spans="88:480" x14ac:dyDescent="0.3">
      <c r="CJ953" s="103"/>
      <c r="FP953" s="103"/>
      <c r="LL953" s="103"/>
      <c r="NM953" s="103"/>
      <c r="QT953" s="106"/>
      <c r="QU953" s="106"/>
      <c r="QV953" s="106"/>
      <c r="QW953" s="106"/>
      <c r="QX953" s="106"/>
      <c r="QY953" s="106"/>
      <c r="QZ953" s="106"/>
      <c r="RA953" s="106"/>
      <c r="RB953" s="106"/>
      <c r="RC953" s="106"/>
      <c r="RD953" s="106"/>
      <c r="RE953" s="106"/>
      <c r="RF953" s="106"/>
      <c r="RG953" s="106"/>
      <c r="RH953" s="106"/>
      <c r="RI953" s="106"/>
      <c r="RJ953" s="106"/>
      <c r="RK953" s="106"/>
      <c r="RL953" s="106"/>
    </row>
    <row r="954" spans="88:480" x14ac:dyDescent="0.3">
      <c r="CJ954" s="103"/>
      <c r="FP954" s="103"/>
      <c r="LL954" s="103"/>
      <c r="NM954" s="103"/>
      <c r="QT954" s="106"/>
      <c r="QU954" s="106"/>
      <c r="QV954" s="106"/>
      <c r="QW954" s="106"/>
      <c r="QX954" s="106"/>
      <c r="QY954" s="106"/>
      <c r="QZ954" s="106"/>
      <c r="RA954" s="106"/>
      <c r="RB954" s="106"/>
      <c r="RC954" s="106"/>
      <c r="RD954" s="106"/>
      <c r="RE954" s="106"/>
      <c r="RF954" s="106"/>
      <c r="RG954" s="106"/>
      <c r="RH954" s="106"/>
      <c r="RI954" s="106"/>
      <c r="RJ954" s="106"/>
      <c r="RK954" s="106"/>
      <c r="RL954" s="106"/>
    </row>
    <row r="955" spans="88:480" x14ac:dyDescent="0.3">
      <c r="CJ955" s="103"/>
      <c r="FP955" s="103"/>
      <c r="LL955" s="103"/>
      <c r="NM955" s="103"/>
      <c r="QT955" s="106"/>
      <c r="QU955" s="106"/>
      <c r="QV955" s="106"/>
      <c r="QW955" s="106"/>
      <c r="QX955" s="106"/>
      <c r="QY955" s="106"/>
      <c r="QZ955" s="106"/>
      <c r="RA955" s="106"/>
      <c r="RB955" s="106"/>
      <c r="RC955" s="106"/>
      <c r="RD955" s="106"/>
      <c r="RE955" s="106"/>
      <c r="RF955" s="106"/>
      <c r="RG955" s="106"/>
      <c r="RH955" s="106"/>
      <c r="RI955" s="106"/>
      <c r="RJ955" s="106"/>
      <c r="RK955" s="106"/>
      <c r="RL955" s="106"/>
    </row>
    <row r="956" spans="88:480" x14ac:dyDescent="0.3">
      <c r="CJ956" s="103"/>
      <c r="FP956" s="103"/>
      <c r="LL956" s="103"/>
      <c r="NM956" s="103"/>
      <c r="QT956" s="106"/>
      <c r="QU956" s="106"/>
      <c r="QV956" s="106"/>
      <c r="QW956" s="106"/>
      <c r="QX956" s="106"/>
      <c r="QY956" s="106"/>
      <c r="QZ956" s="106"/>
      <c r="RA956" s="106"/>
      <c r="RB956" s="106"/>
      <c r="RC956" s="106"/>
      <c r="RD956" s="106"/>
      <c r="RE956" s="106"/>
      <c r="RF956" s="106"/>
      <c r="RG956" s="106"/>
      <c r="RH956" s="106"/>
      <c r="RI956" s="106"/>
      <c r="RJ956" s="106"/>
      <c r="RK956" s="106"/>
      <c r="RL956" s="106"/>
    </row>
    <row r="957" spans="88:480" x14ac:dyDescent="0.3">
      <c r="CJ957" s="103"/>
      <c r="FP957" s="103"/>
      <c r="LL957" s="103"/>
      <c r="NM957" s="103"/>
      <c r="QT957" s="106"/>
      <c r="QU957" s="106"/>
      <c r="QV957" s="106"/>
      <c r="QW957" s="106"/>
      <c r="QX957" s="106"/>
      <c r="QY957" s="106"/>
      <c r="QZ957" s="106"/>
      <c r="RA957" s="106"/>
      <c r="RB957" s="106"/>
      <c r="RC957" s="106"/>
      <c r="RD957" s="106"/>
      <c r="RE957" s="106"/>
      <c r="RF957" s="106"/>
      <c r="RG957" s="106"/>
      <c r="RH957" s="106"/>
      <c r="RI957" s="106"/>
      <c r="RJ957" s="106"/>
      <c r="RK957" s="106"/>
      <c r="RL957" s="106"/>
    </row>
    <row r="958" spans="88:480" x14ac:dyDescent="0.3">
      <c r="CJ958" s="103"/>
      <c r="FP958" s="103"/>
      <c r="LL958" s="103"/>
      <c r="NM958" s="103"/>
      <c r="QT958" s="106"/>
      <c r="QU958" s="106"/>
      <c r="QV958" s="106"/>
      <c r="QW958" s="106"/>
      <c r="QX958" s="106"/>
      <c r="QY958" s="106"/>
      <c r="QZ958" s="106"/>
      <c r="RA958" s="106"/>
      <c r="RB958" s="106"/>
      <c r="RC958" s="106"/>
      <c r="RD958" s="106"/>
      <c r="RE958" s="106"/>
      <c r="RF958" s="106"/>
      <c r="RG958" s="106"/>
      <c r="RH958" s="106"/>
      <c r="RI958" s="106"/>
      <c r="RJ958" s="106"/>
      <c r="RK958" s="106"/>
      <c r="RL958" s="106"/>
    </row>
    <row r="959" spans="88:480" x14ac:dyDescent="0.3">
      <c r="CJ959" s="103"/>
      <c r="FP959" s="103"/>
      <c r="LL959" s="103"/>
      <c r="NM959" s="103"/>
      <c r="QT959" s="106"/>
      <c r="QU959" s="106"/>
      <c r="QV959" s="106"/>
      <c r="QW959" s="106"/>
      <c r="QX959" s="106"/>
      <c r="QY959" s="106"/>
      <c r="QZ959" s="106"/>
      <c r="RA959" s="106"/>
      <c r="RB959" s="106"/>
      <c r="RC959" s="106"/>
      <c r="RD959" s="106"/>
      <c r="RE959" s="106"/>
      <c r="RF959" s="106"/>
      <c r="RG959" s="106"/>
      <c r="RH959" s="106"/>
      <c r="RI959" s="106"/>
      <c r="RJ959" s="106"/>
      <c r="RK959" s="106"/>
      <c r="RL959" s="106"/>
    </row>
    <row r="960" spans="88:480" x14ac:dyDescent="0.3">
      <c r="CJ960" s="103"/>
      <c r="FP960" s="103"/>
      <c r="LL960" s="103"/>
      <c r="NM960" s="103"/>
      <c r="QT960" s="106"/>
      <c r="QU960" s="106"/>
      <c r="QV960" s="106"/>
      <c r="QW960" s="106"/>
      <c r="QX960" s="106"/>
      <c r="QY960" s="106"/>
      <c r="QZ960" s="106"/>
      <c r="RA960" s="106"/>
      <c r="RB960" s="106"/>
      <c r="RC960" s="106"/>
      <c r="RD960" s="106"/>
      <c r="RE960" s="106"/>
      <c r="RF960" s="106"/>
      <c r="RG960" s="106"/>
      <c r="RH960" s="106"/>
      <c r="RI960" s="106"/>
      <c r="RJ960" s="106"/>
      <c r="RK960" s="106"/>
      <c r="RL960" s="106"/>
    </row>
    <row r="961" spans="88:480" x14ac:dyDescent="0.3">
      <c r="CJ961" s="103"/>
      <c r="FP961" s="103"/>
      <c r="LL961" s="103"/>
      <c r="NM961" s="103"/>
      <c r="QT961" s="106"/>
      <c r="QU961" s="106"/>
      <c r="QV961" s="106"/>
      <c r="QW961" s="106"/>
      <c r="QX961" s="106"/>
      <c r="QY961" s="106"/>
      <c r="QZ961" s="106"/>
      <c r="RA961" s="106"/>
      <c r="RB961" s="106"/>
      <c r="RC961" s="106"/>
      <c r="RD961" s="106"/>
      <c r="RE961" s="106"/>
      <c r="RF961" s="106"/>
      <c r="RG961" s="106"/>
      <c r="RH961" s="106"/>
      <c r="RI961" s="106"/>
      <c r="RJ961" s="106"/>
      <c r="RK961" s="106"/>
      <c r="RL961" s="106"/>
    </row>
    <row r="962" spans="88:480" x14ac:dyDescent="0.3">
      <c r="CJ962" s="103"/>
      <c r="FP962" s="103"/>
      <c r="LL962" s="103"/>
      <c r="NM962" s="103"/>
      <c r="QT962" s="106"/>
      <c r="QU962" s="106"/>
      <c r="QV962" s="106"/>
      <c r="QW962" s="106"/>
      <c r="QX962" s="106"/>
      <c r="QY962" s="106"/>
      <c r="QZ962" s="106"/>
      <c r="RA962" s="106"/>
      <c r="RB962" s="106"/>
      <c r="RC962" s="106"/>
      <c r="RD962" s="106"/>
      <c r="RE962" s="106"/>
      <c r="RF962" s="106"/>
      <c r="RG962" s="106"/>
      <c r="RH962" s="106"/>
      <c r="RI962" s="106"/>
      <c r="RJ962" s="106"/>
      <c r="RK962" s="106"/>
      <c r="RL962" s="106"/>
    </row>
    <row r="963" spans="88:480" x14ac:dyDescent="0.3">
      <c r="CJ963" s="103"/>
      <c r="FP963" s="103"/>
      <c r="LL963" s="103"/>
      <c r="NM963" s="103"/>
      <c r="QT963" s="106"/>
      <c r="QU963" s="106"/>
      <c r="QV963" s="106"/>
      <c r="QW963" s="106"/>
      <c r="QX963" s="106"/>
      <c r="QY963" s="106"/>
      <c r="QZ963" s="106"/>
      <c r="RA963" s="106"/>
      <c r="RB963" s="106"/>
      <c r="RC963" s="106"/>
      <c r="RD963" s="106"/>
      <c r="RE963" s="106"/>
      <c r="RF963" s="106"/>
      <c r="RG963" s="106"/>
      <c r="RH963" s="106"/>
      <c r="RI963" s="106"/>
      <c r="RJ963" s="106"/>
      <c r="RK963" s="106"/>
      <c r="RL963" s="106"/>
    </row>
    <row r="964" spans="88:480" x14ac:dyDescent="0.3">
      <c r="CJ964" s="103"/>
      <c r="FP964" s="103"/>
      <c r="LL964" s="103"/>
      <c r="NM964" s="103"/>
      <c r="QT964" s="106"/>
      <c r="QU964" s="106"/>
      <c r="QV964" s="106"/>
      <c r="QW964" s="106"/>
      <c r="QX964" s="106"/>
      <c r="QY964" s="106"/>
      <c r="QZ964" s="106"/>
      <c r="RA964" s="106"/>
      <c r="RB964" s="106"/>
      <c r="RC964" s="106"/>
      <c r="RD964" s="106"/>
      <c r="RE964" s="106"/>
      <c r="RF964" s="106"/>
      <c r="RG964" s="106"/>
      <c r="RH964" s="106"/>
      <c r="RI964" s="106"/>
      <c r="RJ964" s="106"/>
      <c r="RK964" s="106"/>
      <c r="RL964" s="106"/>
    </row>
    <row r="965" spans="88:480" x14ac:dyDescent="0.3">
      <c r="CJ965" s="103"/>
      <c r="FP965" s="103"/>
      <c r="LL965" s="103"/>
      <c r="NM965" s="103"/>
      <c r="QT965" s="106"/>
      <c r="QU965" s="106"/>
      <c r="QV965" s="106"/>
      <c r="QW965" s="106"/>
      <c r="QX965" s="106"/>
      <c r="QY965" s="106"/>
      <c r="QZ965" s="106"/>
      <c r="RA965" s="106"/>
      <c r="RB965" s="106"/>
      <c r="RC965" s="106"/>
      <c r="RD965" s="106"/>
      <c r="RE965" s="106"/>
      <c r="RF965" s="106"/>
      <c r="RG965" s="106"/>
      <c r="RH965" s="106"/>
      <c r="RI965" s="106"/>
      <c r="RJ965" s="106"/>
      <c r="RK965" s="106"/>
      <c r="RL965" s="106"/>
    </row>
    <row r="966" spans="88:480" x14ac:dyDescent="0.3">
      <c r="CJ966" s="103"/>
      <c r="FP966" s="103"/>
      <c r="LL966" s="103"/>
      <c r="NM966" s="103"/>
      <c r="QT966" s="106"/>
      <c r="QU966" s="106"/>
      <c r="QV966" s="106"/>
      <c r="QW966" s="106"/>
      <c r="QX966" s="106"/>
      <c r="QY966" s="106"/>
      <c r="QZ966" s="106"/>
      <c r="RA966" s="106"/>
      <c r="RB966" s="106"/>
      <c r="RC966" s="106"/>
      <c r="RD966" s="106"/>
      <c r="RE966" s="106"/>
      <c r="RF966" s="106"/>
      <c r="RG966" s="106"/>
      <c r="RH966" s="106"/>
      <c r="RI966" s="106"/>
      <c r="RJ966" s="106"/>
      <c r="RK966" s="106"/>
      <c r="RL966" s="106"/>
    </row>
    <row r="967" spans="88:480" x14ac:dyDescent="0.3">
      <c r="CJ967" s="103"/>
      <c r="FP967" s="103"/>
      <c r="LL967" s="103"/>
      <c r="NM967" s="103"/>
      <c r="QT967" s="106"/>
      <c r="QU967" s="106"/>
      <c r="QV967" s="106"/>
      <c r="QW967" s="106"/>
      <c r="QX967" s="106"/>
      <c r="QY967" s="106"/>
      <c r="QZ967" s="106"/>
      <c r="RA967" s="106"/>
      <c r="RB967" s="106"/>
      <c r="RC967" s="106"/>
      <c r="RD967" s="106"/>
      <c r="RE967" s="106"/>
      <c r="RF967" s="106"/>
      <c r="RG967" s="106"/>
      <c r="RH967" s="106"/>
      <c r="RI967" s="106"/>
      <c r="RJ967" s="106"/>
      <c r="RK967" s="106"/>
      <c r="RL967" s="106"/>
    </row>
    <row r="968" spans="88:480" x14ac:dyDescent="0.3">
      <c r="CJ968" s="103"/>
      <c r="FP968" s="103"/>
      <c r="LL968" s="103"/>
      <c r="NM968" s="103"/>
      <c r="QT968" s="106"/>
      <c r="QU968" s="106"/>
      <c r="QV968" s="106"/>
      <c r="QW968" s="106"/>
      <c r="QX968" s="106"/>
      <c r="QY968" s="106"/>
      <c r="QZ968" s="106"/>
      <c r="RA968" s="106"/>
      <c r="RB968" s="106"/>
      <c r="RC968" s="106"/>
      <c r="RD968" s="106"/>
      <c r="RE968" s="106"/>
      <c r="RF968" s="106"/>
      <c r="RG968" s="106"/>
      <c r="RH968" s="106"/>
      <c r="RI968" s="106"/>
      <c r="RJ968" s="106"/>
      <c r="RK968" s="106"/>
      <c r="RL968" s="106"/>
    </row>
    <row r="969" spans="88:480" x14ac:dyDescent="0.3">
      <c r="CJ969" s="103"/>
      <c r="FP969" s="103"/>
      <c r="LL969" s="103"/>
      <c r="NM969" s="103"/>
      <c r="QT969" s="106"/>
      <c r="QU969" s="106"/>
      <c r="QV969" s="106"/>
      <c r="QW969" s="106"/>
      <c r="QX969" s="106"/>
      <c r="QY969" s="106"/>
      <c r="QZ969" s="106"/>
      <c r="RA969" s="106"/>
      <c r="RB969" s="106"/>
      <c r="RC969" s="106"/>
      <c r="RD969" s="106"/>
      <c r="RE969" s="106"/>
      <c r="RF969" s="106"/>
      <c r="RG969" s="106"/>
      <c r="RH969" s="106"/>
      <c r="RI969" s="106"/>
      <c r="RJ969" s="106"/>
      <c r="RK969" s="106"/>
      <c r="RL969" s="106"/>
    </row>
    <row r="970" spans="88:480" x14ac:dyDescent="0.3">
      <c r="CJ970" s="103"/>
      <c r="FP970" s="103"/>
      <c r="LL970" s="103"/>
      <c r="NM970" s="103"/>
      <c r="QT970" s="106"/>
      <c r="QU970" s="106"/>
      <c r="QV970" s="106"/>
      <c r="QW970" s="106"/>
      <c r="QX970" s="106"/>
      <c r="QY970" s="106"/>
      <c r="QZ970" s="106"/>
      <c r="RA970" s="106"/>
      <c r="RB970" s="106"/>
      <c r="RC970" s="106"/>
      <c r="RD970" s="106"/>
      <c r="RE970" s="106"/>
      <c r="RF970" s="106"/>
      <c r="RG970" s="106"/>
      <c r="RH970" s="106"/>
      <c r="RI970" s="106"/>
      <c r="RJ970" s="106"/>
      <c r="RK970" s="106"/>
      <c r="RL970" s="106"/>
    </row>
    <row r="971" spans="88:480" x14ac:dyDescent="0.3">
      <c r="CJ971" s="103"/>
      <c r="FP971" s="103"/>
      <c r="LL971" s="103"/>
      <c r="NM971" s="103"/>
      <c r="QT971" s="106"/>
      <c r="QU971" s="106"/>
      <c r="QV971" s="106"/>
      <c r="QW971" s="106"/>
      <c r="QX971" s="106"/>
      <c r="QY971" s="106"/>
      <c r="QZ971" s="106"/>
      <c r="RA971" s="106"/>
      <c r="RB971" s="106"/>
      <c r="RC971" s="106"/>
      <c r="RD971" s="106"/>
      <c r="RE971" s="106"/>
      <c r="RF971" s="106"/>
      <c r="RG971" s="106"/>
      <c r="RH971" s="106"/>
      <c r="RI971" s="106"/>
      <c r="RJ971" s="106"/>
      <c r="RK971" s="106"/>
      <c r="RL971" s="106"/>
    </row>
    <row r="972" spans="88:480" x14ac:dyDescent="0.3">
      <c r="CJ972" s="103"/>
      <c r="FP972" s="103"/>
      <c r="LL972" s="103"/>
      <c r="NM972" s="103"/>
      <c r="QT972" s="106"/>
      <c r="QU972" s="106"/>
      <c r="QV972" s="106"/>
      <c r="QW972" s="106"/>
      <c r="QX972" s="106"/>
      <c r="QY972" s="106"/>
      <c r="QZ972" s="106"/>
      <c r="RA972" s="106"/>
      <c r="RB972" s="106"/>
      <c r="RC972" s="106"/>
      <c r="RD972" s="106"/>
      <c r="RE972" s="106"/>
      <c r="RF972" s="106"/>
      <c r="RG972" s="106"/>
      <c r="RH972" s="106"/>
      <c r="RI972" s="106"/>
      <c r="RJ972" s="106"/>
      <c r="RK972" s="106"/>
      <c r="RL972" s="106"/>
    </row>
    <row r="973" spans="88:480" x14ac:dyDescent="0.3">
      <c r="CJ973" s="103"/>
      <c r="FP973" s="103"/>
      <c r="LL973" s="103"/>
      <c r="NM973" s="103"/>
      <c r="QT973" s="106"/>
      <c r="QU973" s="106"/>
      <c r="QV973" s="106"/>
      <c r="QW973" s="106"/>
      <c r="QX973" s="106"/>
      <c r="QY973" s="106"/>
      <c r="QZ973" s="106"/>
      <c r="RA973" s="106"/>
      <c r="RB973" s="106"/>
      <c r="RC973" s="106"/>
      <c r="RD973" s="106"/>
      <c r="RE973" s="106"/>
      <c r="RF973" s="106"/>
      <c r="RG973" s="106"/>
      <c r="RH973" s="106"/>
      <c r="RI973" s="106"/>
      <c r="RJ973" s="106"/>
      <c r="RK973" s="106"/>
      <c r="RL973" s="106"/>
    </row>
    <row r="974" spans="88:480" x14ac:dyDescent="0.3">
      <c r="CJ974" s="103"/>
      <c r="FP974" s="103"/>
      <c r="LL974" s="103"/>
      <c r="NM974" s="103"/>
      <c r="QT974" s="106"/>
      <c r="QU974" s="106"/>
      <c r="QV974" s="106"/>
      <c r="QW974" s="106"/>
      <c r="QX974" s="106"/>
      <c r="QY974" s="106"/>
      <c r="QZ974" s="106"/>
      <c r="RA974" s="106"/>
      <c r="RB974" s="106"/>
      <c r="RC974" s="106"/>
      <c r="RD974" s="106"/>
      <c r="RE974" s="106"/>
      <c r="RF974" s="106"/>
      <c r="RG974" s="106"/>
      <c r="RH974" s="106"/>
      <c r="RI974" s="106"/>
      <c r="RJ974" s="106"/>
      <c r="RK974" s="106"/>
      <c r="RL974" s="106"/>
    </row>
    <row r="975" spans="88:480" x14ac:dyDescent="0.3">
      <c r="CJ975" s="103"/>
      <c r="FP975" s="103"/>
      <c r="LL975" s="103"/>
      <c r="NM975" s="103"/>
      <c r="QT975" s="106"/>
      <c r="QU975" s="106"/>
      <c r="QV975" s="106"/>
      <c r="QW975" s="106"/>
      <c r="QX975" s="106"/>
      <c r="QY975" s="106"/>
      <c r="QZ975" s="106"/>
      <c r="RA975" s="106"/>
      <c r="RB975" s="106"/>
      <c r="RC975" s="106"/>
      <c r="RD975" s="106"/>
      <c r="RE975" s="106"/>
      <c r="RF975" s="106"/>
      <c r="RG975" s="106"/>
      <c r="RH975" s="106"/>
      <c r="RI975" s="106"/>
      <c r="RJ975" s="106"/>
      <c r="RK975" s="106"/>
      <c r="RL975" s="106"/>
    </row>
    <row r="976" spans="88:480" x14ac:dyDescent="0.3">
      <c r="CJ976" s="103"/>
      <c r="FP976" s="103"/>
      <c r="LL976" s="103"/>
      <c r="NM976" s="103"/>
      <c r="QT976" s="106"/>
      <c r="QU976" s="106"/>
      <c r="QV976" s="106"/>
      <c r="QW976" s="106"/>
      <c r="QX976" s="106"/>
      <c r="QY976" s="106"/>
      <c r="QZ976" s="106"/>
      <c r="RA976" s="106"/>
      <c r="RB976" s="106"/>
      <c r="RC976" s="106"/>
      <c r="RD976" s="106"/>
      <c r="RE976" s="106"/>
      <c r="RF976" s="106"/>
      <c r="RG976" s="106"/>
      <c r="RH976" s="106"/>
      <c r="RI976" s="106"/>
      <c r="RJ976" s="106"/>
      <c r="RK976" s="106"/>
      <c r="RL976" s="106"/>
    </row>
    <row r="977" spans="88:480" x14ac:dyDescent="0.3">
      <c r="CJ977" s="103"/>
      <c r="FP977" s="103"/>
      <c r="LL977" s="103"/>
      <c r="NM977" s="103"/>
      <c r="QT977" s="106"/>
      <c r="QU977" s="106"/>
      <c r="QV977" s="106"/>
      <c r="QW977" s="106"/>
      <c r="QX977" s="106"/>
      <c r="QY977" s="106"/>
      <c r="QZ977" s="106"/>
      <c r="RA977" s="106"/>
      <c r="RB977" s="106"/>
      <c r="RC977" s="106"/>
      <c r="RD977" s="106"/>
      <c r="RE977" s="106"/>
      <c r="RF977" s="106"/>
      <c r="RG977" s="106"/>
      <c r="RH977" s="106"/>
      <c r="RI977" s="106"/>
      <c r="RJ977" s="106"/>
      <c r="RK977" s="106"/>
      <c r="RL977" s="106"/>
    </row>
    <row r="978" spans="88:480" x14ac:dyDescent="0.3">
      <c r="CJ978" s="103"/>
      <c r="FP978" s="103"/>
      <c r="LL978" s="103"/>
      <c r="NM978" s="103"/>
      <c r="QT978" s="106"/>
      <c r="QU978" s="106"/>
      <c r="QV978" s="106"/>
      <c r="QW978" s="106"/>
      <c r="QX978" s="106"/>
      <c r="QY978" s="106"/>
      <c r="QZ978" s="106"/>
      <c r="RA978" s="106"/>
      <c r="RB978" s="106"/>
      <c r="RC978" s="106"/>
      <c r="RD978" s="106"/>
      <c r="RE978" s="106"/>
      <c r="RF978" s="106"/>
      <c r="RG978" s="106"/>
      <c r="RH978" s="106"/>
      <c r="RI978" s="106"/>
      <c r="RJ978" s="106"/>
      <c r="RK978" s="106"/>
      <c r="RL978" s="106"/>
    </row>
    <row r="979" spans="88:480" x14ac:dyDescent="0.3">
      <c r="CJ979" s="103"/>
      <c r="FP979" s="103"/>
      <c r="LL979" s="103"/>
      <c r="NM979" s="103"/>
      <c r="QT979" s="106"/>
      <c r="QU979" s="106"/>
      <c r="QV979" s="106"/>
      <c r="QW979" s="106"/>
      <c r="QX979" s="106"/>
      <c r="QY979" s="106"/>
      <c r="QZ979" s="106"/>
      <c r="RA979" s="106"/>
      <c r="RB979" s="106"/>
      <c r="RC979" s="106"/>
      <c r="RD979" s="106"/>
      <c r="RE979" s="106"/>
      <c r="RF979" s="106"/>
      <c r="RG979" s="106"/>
      <c r="RH979" s="106"/>
      <c r="RI979" s="106"/>
      <c r="RJ979" s="106"/>
      <c r="RK979" s="106"/>
      <c r="RL979" s="106"/>
    </row>
    <row r="980" spans="88:480" x14ac:dyDescent="0.3">
      <c r="CJ980" s="103"/>
      <c r="FP980" s="103"/>
      <c r="LL980" s="103"/>
      <c r="NM980" s="103"/>
      <c r="QT980" s="106"/>
      <c r="QU980" s="106"/>
      <c r="QV980" s="106"/>
      <c r="QW980" s="106"/>
      <c r="QX980" s="106"/>
      <c r="QY980" s="106"/>
      <c r="QZ980" s="106"/>
      <c r="RA980" s="106"/>
      <c r="RB980" s="106"/>
      <c r="RC980" s="106"/>
      <c r="RD980" s="106"/>
      <c r="RE980" s="106"/>
      <c r="RF980" s="106"/>
      <c r="RG980" s="106"/>
      <c r="RH980" s="106"/>
      <c r="RI980" s="106"/>
      <c r="RJ980" s="106"/>
      <c r="RK980" s="106"/>
      <c r="RL980" s="106"/>
    </row>
    <row r="981" spans="88:480" x14ac:dyDescent="0.3">
      <c r="CJ981" s="103"/>
      <c r="FP981" s="103"/>
      <c r="LL981" s="103"/>
      <c r="NM981" s="103"/>
      <c r="QT981" s="106"/>
      <c r="QU981" s="106"/>
      <c r="QV981" s="106"/>
      <c r="QW981" s="106"/>
      <c r="QX981" s="106"/>
      <c r="QY981" s="106"/>
      <c r="QZ981" s="106"/>
      <c r="RA981" s="106"/>
      <c r="RB981" s="106"/>
      <c r="RC981" s="106"/>
      <c r="RD981" s="106"/>
      <c r="RE981" s="106"/>
      <c r="RF981" s="106"/>
      <c r="RG981" s="106"/>
      <c r="RH981" s="106"/>
      <c r="RI981" s="106"/>
      <c r="RJ981" s="106"/>
      <c r="RK981" s="106"/>
      <c r="RL981" s="106"/>
    </row>
    <row r="982" spans="88:480" x14ac:dyDescent="0.3">
      <c r="CJ982" s="103"/>
      <c r="FP982" s="103"/>
      <c r="LL982" s="103"/>
      <c r="NM982" s="103"/>
      <c r="QT982" s="106"/>
      <c r="QU982" s="106"/>
      <c r="QV982" s="106"/>
      <c r="QW982" s="106"/>
      <c r="QX982" s="106"/>
      <c r="QY982" s="106"/>
      <c r="QZ982" s="106"/>
      <c r="RA982" s="106"/>
      <c r="RB982" s="106"/>
      <c r="RC982" s="106"/>
      <c r="RD982" s="106"/>
      <c r="RE982" s="106"/>
      <c r="RF982" s="106"/>
      <c r="RG982" s="106"/>
      <c r="RH982" s="106"/>
      <c r="RI982" s="106"/>
      <c r="RJ982" s="106"/>
      <c r="RK982" s="106"/>
      <c r="RL982" s="106"/>
    </row>
    <row r="983" spans="88:480" x14ac:dyDescent="0.3">
      <c r="CJ983" s="103"/>
      <c r="FP983" s="103"/>
      <c r="LL983" s="103"/>
      <c r="NM983" s="103"/>
      <c r="QT983" s="106"/>
      <c r="QU983" s="106"/>
      <c r="QV983" s="106"/>
      <c r="QW983" s="106"/>
      <c r="QX983" s="106"/>
      <c r="QY983" s="106"/>
      <c r="QZ983" s="106"/>
      <c r="RA983" s="106"/>
      <c r="RB983" s="106"/>
      <c r="RC983" s="106"/>
      <c r="RD983" s="106"/>
      <c r="RE983" s="106"/>
      <c r="RF983" s="106"/>
      <c r="RG983" s="106"/>
      <c r="RH983" s="106"/>
      <c r="RI983" s="106"/>
      <c r="RJ983" s="106"/>
      <c r="RK983" s="106"/>
      <c r="RL983" s="106"/>
    </row>
    <row r="984" spans="88:480" x14ac:dyDescent="0.3">
      <c r="CJ984" s="103"/>
      <c r="FP984" s="103"/>
      <c r="LL984" s="103"/>
      <c r="NM984" s="103"/>
      <c r="QT984" s="106"/>
      <c r="QU984" s="106"/>
      <c r="QV984" s="106"/>
      <c r="QW984" s="106"/>
      <c r="QX984" s="106"/>
      <c r="QY984" s="106"/>
      <c r="QZ984" s="106"/>
      <c r="RA984" s="106"/>
      <c r="RB984" s="106"/>
      <c r="RC984" s="106"/>
      <c r="RD984" s="106"/>
      <c r="RE984" s="106"/>
      <c r="RF984" s="106"/>
      <c r="RG984" s="106"/>
      <c r="RH984" s="106"/>
      <c r="RI984" s="106"/>
      <c r="RJ984" s="106"/>
      <c r="RK984" s="106"/>
      <c r="RL984" s="106"/>
    </row>
    <row r="985" spans="88:480" x14ac:dyDescent="0.3">
      <c r="CJ985" s="103"/>
      <c r="FP985" s="103"/>
      <c r="LL985" s="103"/>
      <c r="NM985" s="103"/>
      <c r="QT985" s="106"/>
      <c r="QU985" s="106"/>
      <c r="QV985" s="106"/>
      <c r="QW985" s="106"/>
      <c r="QX985" s="106"/>
      <c r="QY985" s="106"/>
      <c r="QZ985" s="106"/>
      <c r="RA985" s="106"/>
      <c r="RB985" s="106"/>
      <c r="RC985" s="106"/>
      <c r="RD985" s="106"/>
      <c r="RE985" s="106"/>
      <c r="RF985" s="106"/>
      <c r="RG985" s="106"/>
      <c r="RH985" s="106"/>
      <c r="RI985" s="106"/>
      <c r="RJ985" s="106"/>
      <c r="RK985" s="106"/>
      <c r="RL985" s="106"/>
    </row>
    <row r="986" spans="88:480" x14ac:dyDescent="0.3">
      <c r="CJ986" s="103"/>
      <c r="FP986" s="103"/>
      <c r="LL986" s="103"/>
      <c r="NM986" s="103"/>
      <c r="QT986" s="106"/>
      <c r="QU986" s="106"/>
      <c r="QV986" s="106"/>
      <c r="QW986" s="106"/>
      <c r="QX986" s="106"/>
      <c r="QY986" s="106"/>
      <c r="QZ986" s="106"/>
      <c r="RA986" s="106"/>
      <c r="RB986" s="106"/>
      <c r="RC986" s="106"/>
      <c r="RD986" s="106"/>
      <c r="RE986" s="106"/>
      <c r="RF986" s="106"/>
      <c r="RG986" s="106"/>
      <c r="RH986" s="106"/>
      <c r="RI986" s="106"/>
      <c r="RJ986" s="106"/>
      <c r="RK986" s="106"/>
      <c r="RL986" s="106"/>
    </row>
    <row r="987" spans="88:480" x14ac:dyDescent="0.3">
      <c r="CJ987" s="103"/>
      <c r="FP987" s="103"/>
      <c r="LL987" s="103"/>
      <c r="NM987" s="103"/>
      <c r="QT987" s="106"/>
      <c r="QU987" s="106"/>
      <c r="QV987" s="106"/>
      <c r="QW987" s="106"/>
      <c r="QX987" s="106"/>
      <c r="QY987" s="106"/>
      <c r="QZ987" s="106"/>
      <c r="RA987" s="106"/>
      <c r="RB987" s="106"/>
      <c r="RC987" s="106"/>
      <c r="RD987" s="106"/>
      <c r="RE987" s="106"/>
      <c r="RF987" s="106"/>
      <c r="RG987" s="106"/>
      <c r="RH987" s="106"/>
      <c r="RI987" s="106"/>
      <c r="RJ987" s="106"/>
      <c r="RK987" s="106"/>
      <c r="RL987" s="106"/>
    </row>
    <row r="988" spans="88:480" x14ac:dyDescent="0.3">
      <c r="CJ988" s="103"/>
      <c r="FP988" s="103"/>
      <c r="LL988" s="103"/>
      <c r="NM988" s="103"/>
      <c r="QT988" s="106"/>
      <c r="QU988" s="106"/>
      <c r="QV988" s="106"/>
      <c r="QW988" s="106"/>
      <c r="QX988" s="106"/>
      <c r="QY988" s="106"/>
      <c r="QZ988" s="106"/>
      <c r="RA988" s="106"/>
      <c r="RB988" s="106"/>
      <c r="RC988" s="106"/>
      <c r="RD988" s="106"/>
      <c r="RE988" s="106"/>
      <c r="RF988" s="106"/>
      <c r="RG988" s="106"/>
      <c r="RH988" s="106"/>
      <c r="RI988" s="106"/>
      <c r="RJ988" s="106"/>
      <c r="RK988" s="106"/>
      <c r="RL988" s="106"/>
    </row>
    <row r="989" spans="88:480" x14ac:dyDescent="0.3">
      <c r="CJ989" s="103"/>
      <c r="FP989" s="103"/>
      <c r="LL989" s="103"/>
      <c r="NM989" s="103"/>
      <c r="QT989" s="106"/>
      <c r="QU989" s="106"/>
      <c r="QV989" s="106"/>
      <c r="QW989" s="106"/>
      <c r="QX989" s="106"/>
      <c r="QY989" s="106"/>
      <c r="QZ989" s="106"/>
      <c r="RA989" s="106"/>
      <c r="RB989" s="106"/>
      <c r="RC989" s="106"/>
      <c r="RD989" s="106"/>
      <c r="RE989" s="106"/>
      <c r="RF989" s="106"/>
      <c r="RG989" s="106"/>
      <c r="RH989" s="106"/>
      <c r="RI989" s="106"/>
      <c r="RJ989" s="106"/>
      <c r="RK989" s="106"/>
      <c r="RL989" s="106"/>
    </row>
    <row r="990" spans="88:480" x14ac:dyDescent="0.3">
      <c r="CJ990" s="103"/>
      <c r="FP990" s="103"/>
      <c r="LL990" s="103"/>
      <c r="NM990" s="103"/>
      <c r="QT990" s="106"/>
      <c r="QU990" s="106"/>
      <c r="QV990" s="106"/>
      <c r="QW990" s="106"/>
      <c r="QX990" s="106"/>
      <c r="QY990" s="106"/>
      <c r="QZ990" s="106"/>
      <c r="RA990" s="106"/>
      <c r="RB990" s="106"/>
      <c r="RC990" s="106"/>
      <c r="RD990" s="106"/>
      <c r="RE990" s="106"/>
      <c r="RF990" s="106"/>
      <c r="RG990" s="106"/>
      <c r="RH990" s="106"/>
      <c r="RI990" s="106"/>
      <c r="RJ990" s="106"/>
      <c r="RK990" s="106"/>
      <c r="RL990" s="106"/>
    </row>
    <row r="991" spans="88:480" x14ac:dyDescent="0.3">
      <c r="CJ991" s="103"/>
      <c r="FP991" s="103"/>
      <c r="LL991" s="103"/>
      <c r="NM991" s="103"/>
      <c r="QT991" s="106"/>
      <c r="QU991" s="106"/>
      <c r="QV991" s="106"/>
      <c r="QW991" s="106"/>
      <c r="QX991" s="106"/>
      <c r="QY991" s="106"/>
      <c r="QZ991" s="106"/>
      <c r="RA991" s="106"/>
      <c r="RB991" s="106"/>
      <c r="RC991" s="106"/>
      <c r="RD991" s="106"/>
      <c r="RE991" s="106"/>
      <c r="RF991" s="106"/>
      <c r="RG991" s="106"/>
      <c r="RH991" s="106"/>
      <c r="RI991" s="106"/>
      <c r="RJ991" s="106"/>
      <c r="RK991" s="106"/>
      <c r="RL991" s="106"/>
    </row>
    <row r="992" spans="88:480" x14ac:dyDescent="0.3">
      <c r="CJ992" s="103"/>
      <c r="FP992" s="103"/>
      <c r="LL992" s="103"/>
      <c r="NM992" s="103"/>
      <c r="QT992" s="106"/>
      <c r="QU992" s="106"/>
      <c r="QV992" s="106"/>
      <c r="QW992" s="106"/>
      <c r="QX992" s="106"/>
      <c r="QY992" s="106"/>
      <c r="QZ992" s="106"/>
      <c r="RA992" s="106"/>
      <c r="RB992" s="106"/>
      <c r="RC992" s="106"/>
      <c r="RD992" s="106"/>
      <c r="RE992" s="106"/>
      <c r="RF992" s="106"/>
      <c r="RG992" s="106"/>
      <c r="RH992" s="106"/>
      <c r="RI992" s="106"/>
      <c r="RJ992" s="106"/>
      <c r="RK992" s="106"/>
      <c r="RL992" s="106"/>
    </row>
    <row r="993" spans="88:480" x14ac:dyDescent="0.3">
      <c r="CJ993" s="103"/>
      <c r="FP993" s="103"/>
      <c r="LL993" s="103"/>
      <c r="NM993" s="103"/>
      <c r="QT993" s="106"/>
      <c r="QU993" s="106"/>
      <c r="QV993" s="106"/>
      <c r="QW993" s="106"/>
      <c r="QX993" s="106"/>
      <c r="QY993" s="106"/>
      <c r="QZ993" s="106"/>
      <c r="RA993" s="106"/>
      <c r="RB993" s="106"/>
      <c r="RC993" s="106"/>
      <c r="RD993" s="106"/>
      <c r="RE993" s="106"/>
      <c r="RF993" s="106"/>
      <c r="RG993" s="106"/>
      <c r="RH993" s="106"/>
      <c r="RI993" s="106"/>
      <c r="RJ993" s="106"/>
      <c r="RK993" s="106"/>
      <c r="RL993" s="106"/>
    </row>
    <row r="994" spans="88:480" x14ac:dyDescent="0.3">
      <c r="CJ994" s="103"/>
      <c r="FP994" s="103"/>
      <c r="LL994" s="103"/>
      <c r="NM994" s="103"/>
      <c r="QT994" s="106"/>
      <c r="QU994" s="106"/>
      <c r="QV994" s="106"/>
      <c r="QW994" s="106"/>
      <c r="QX994" s="106"/>
      <c r="QY994" s="106"/>
      <c r="QZ994" s="106"/>
      <c r="RA994" s="106"/>
      <c r="RB994" s="106"/>
      <c r="RC994" s="106"/>
      <c r="RD994" s="106"/>
      <c r="RE994" s="106"/>
      <c r="RF994" s="106"/>
      <c r="RG994" s="106"/>
      <c r="RH994" s="106"/>
      <c r="RI994" s="106"/>
      <c r="RJ994" s="106"/>
      <c r="RK994" s="106"/>
      <c r="RL994" s="106"/>
    </row>
    <row r="995" spans="88:480" x14ac:dyDescent="0.3">
      <c r="CJ995" s="103"/>
      <c r="FP995" s="103"/>
      <c r="LL995" s="103"/>
      <c r="NM995" s="103"/>
      <c r="QT995" s="106"/>
      <c r="QU995" s="106"/>
      <c r="QV995" s="106"/>
      <c r="QW995" s="106"/>
      <c r="QX995" s="106"/>
      <c r="QY995" s="106"/>
      <c r="QZ995" s="106"/>
      <c r="RA995" s="106"/>
      <c r="RB995" s="106"/>
      <c r="RC995" s="106"/>
      <c r="RD995" s="106"/>
      <c r="RE995" s="106"/>
      <c r="RF995" s="106"/>
      <c r="RG995" s="106"/>
      <c r="RH995" s="106"/>
      <c r="RI995" s="106"/>
      <c r="RJ995" s="106"/>
      <c r="RK995" s="106"/>
      <c r="RL995" s="106"/>
    </row>
    <row r="996" spans="88:480" x14ac:dyDescent="0.3">
      <c r="CJ996" s="103"/>
      <c r="FP996" s="103"/>
      <c r="LL996" s="103"/>
      <c r="NM996" s="103"/>
      <c r="QT996" s="106"/>
      <c r="QU996" s="106"/>
      <c r="QV996" s="106"/>
      <c r="QW996" s="106"/>
      <c r="QX996" s="106"/>
      <c r="QY996" s="106"/>
      <c r="QZ996" s="106"/>
      <c r="RA996" s="106"/>
      <c r="RB996" s="106"/>
      <c r="RC996" s="106"/>
      <c r="RD996" s="106"/>
      <c r="RE996" s="106"/>
      <c r="RF996" s="106"/>
      <c r="RG996" s="106"/>
      <c r="RH996" s="106"/>
      <c r="RI996" s="106"/>
      <c r="RJ996" s="106"/>
      <c r="RK996" s="106"/>
      <c r="RL996" s="106"/>
    </row>
    <row r="997" spans="88:480" x14ac:dyDescent="0.3">
      <c r="CJ997" s="103"/>
      <c r="FP997" s="103"/>
      <c r="LL997" s="103"/>
      <c r="NM997" s="103"/>
      <c r="QT997" s="106"/>
      <c r="QU997" s="106"/>
      <c r="QV997" s="106"/>
      <c r="QW997" s="106"/>
      <c r="QX997" s="106"/>
      <c r="QY997" s="106"/>
      <c r="QZ997" s="106"/>
      <c r="RA997" s="106"/>
      <c r="RB997" s="106"/>
      <c r="RC997" s="106"/>
      <c r="RD997" s="106"/>
      <c r="RE997" s="106"/>
      <c r="RF997" s="106"/>
      <c r="RG997" s="106"/>
      <c r="RH997" s="106"/>
      <c r="RI997" s="106"/>
      <c r="RJ997" s="106"/>
      <c r="RK997" s="106"/>
      <c r="RL997" s="106"/>
    </row>
    <row r="998" spans="88:480" x14ac:dyDescent="0.3">
      <c r="CJ998" s="103"/>
      <c r="FP998" s="103"/>
      <c r="LL998" s="103"/>
      <c r="NM998" s="103"/>
      <c r="QT998" s="106"/>
      <c r="QU998" s="106"/>
      <c r="QV998" s="106"/>
      <c r="QW998" s="106"/>
      <c r="QX998" s="106"/>
      <c r="QY998" s="106"/>
      <c r="QZ998" s="106"/>
      <c r="RA998" s="106"/>
      <c r="RB998" s="106"/>
      <c r="RC998" s="106"/>
      <c r="RD998" s="106"/>
      <c r="RE998" s="106"/>
      <c r="RF998" s="106"/>
      <c r="RG998" s="106"/>
      <c r="RH998" s="106"/>
      <c r="RI998" s="106"/>
      <c r="RJ998" s="106"/>
      <c r="RK998" s="106"/>
      <c r="RL998" s="106"/>
    </row>
    <row r="999" spans="88:480" x14ac:dyDescent="0.3">
      <c r="CJ999" s="103"/>
      <c r="FP999" s="103"/>
      <c r="LL999" s="103"/>
      <c r="NM999" s="103"/>
      <c r="QT999" s="106"/>
      <c r="QU999" s="106"/>
      <c r="QV999" s="106"/>
      <c r="QW999" s="106"/>
      <c r="QX999" s="106"/>
      <c r="QY999" s="106"/>
      <c r="QZ999" s="106"/>
      <c r="RA999" s="106"/>
      <c r="RB999" s="106"/>
      <c r="RC999" s="106"/>
      <c r="RD999" s="106"/>
      <c r="RE999" s="106"/>
      <c r="RF999" s="106"/>
      <c r="RG999" s="106"/>
      <c r="RH999" s="106"/>
      <c r="RI999" s="106"/>
      <c r="RJ999" s="106"/>
      <c r="RK999" s="106"/>
      <c r="RL999" s="106"/>
    </row>
    <row r="1000" spans="88:480" x14ac:dyDescent="0.3">
      <c r="CJ1000" s="103"/>
      <c r="FP1000" s="103"/>
      <c r="LL1000" s="103"/>
      <c r="NM1000" s="103"/>
      <c r="QT1000" s="106"/>
      <c r="QU1000" s="106"/>
      <c r="QV1000" s="106"/>
      <c r="QW1000" s="106"/>
      <c r="QX1000" s="106"/>
      <c r="QY1000" s="106"/>
      <c r="QZ1000" s="106"/>
      <c r="RA1000" s="106"/>
      <c r="RB1000" s="106"/>
      <c r="RC1000" s="106"/>
      <c r="RD1000" s="106"/>
      <c r="RE1000" s="106"/>
      <c r="RF1000" s="106"/>
      <c r="RG1000" s="106"/>
      <c r="RH1000" s="106"/>
      <c r="RI1000" s="106"/>
      <c r="RJ1000" s="106"/>
      <c r="RK1000" s="106"/>
      <c r="RL1000" s="106"/>
    </row>
    <row r="1001" spans="88:480" x14ac:dyDescent="0.3">
      <c r="CJ1001" s="103"/>
      <c r="FP1001" s="103"/>
      <c r="LL1001" s="103"/>
      <c r="NM1001" s="103"/>
      <c r="QT1001" s="106"/>
      <c r="QU1001" s="106"/>
      <c r="QV1001" s="106"/>
      <c r="QW1001" s="106"/>
      <c r="QX1001" s="106"/>
      <c r="QY1001" s="106"/>
      <c r="QZ1001" s="106"/>
      <c r="RA1001" s="106"/>
      <c r="RB1001" s="106"/>
      <c r="RC1001" s="106"/>
      <c r="RD1001" s="106"/>
      <c r="RE1001" s="106"/>
      <c r="RF1001" s="106"/>
      <c r="RG1001" s="106"/>
      <c r="RH1001" s="106"/>
      <c r="RI1001" s="106"/>
      <c r="RJ1001" s="106"/>
      <c r="RK1001" s="106"/>
      <c r="RL1001" s="106"/>
    </row>
    <row r="1002" spans="88:480" x14ac:dyDescent="0.3">
      <c r="CJ1002" s="103"/>
      <c r="FP1002" s="103"/>
      <c r="LL1002" s="103"/>
      <c r="NM1002" s="103"/>
      <c r="QT1002" s="106"/>
      <c r="QU1002" s="106"/>
      <c r="QV1002" s="106"/>
      <c r="QW1002" s="106"/>
      <c r="QX1002" s="106"/>
      <c r="QY1002" s="106"/>
      <c r="QZ1002" s="106"/>
      <c r="RA1002" s="106"/>
      <c r="RB1002" s="106"/>
      <c r="RC1002" s="106"/>
      <c r="RD1002" s="106"/>
      <c r="RE1002" s="106"/>
      <c r="RF1002" s="106"/>
      <c r="RG1002" s="106"/>
      <c r="RH1002" s="106"/>
      <c r="RI1002" s="106"/>
      <c r="RJ1002" s="106"/>
      <c r="RK1002" s="106"/>
      <c r="RL1002" s="106"/>
    </row>
    <row r="1003" spans="88:480" x14ac:dyDescent="0.3">
      <c r="CJ1003" s="103"/>
      <c r="FP1003" s="103"/>
      <c r="LL1003" s="103"/>
      <c r="NM1003" s="103"/>
      <c r="QT1003" s="106"/>
      <c r="QU1003" s="106"/>
      <c r="QV1003" s="106"/>
      <c r="QW1003" s="106"/>
      <c r="QX1003" s="106"/>
      <c r="QY1003" s="106"/>
      <c r="QZ1003" s="106"/>
      <c r="RA1003" s="106"/>
      <c r="RB1003" s="106"/>
      <c r="RC1003" s="106"/>
      <c r="RD1003" s="106"/>
      <c r="RE1003" s="106"/>
      <c r="RF1003" s="106"/>
      <c r="RG1003" s="106"/>
      <c r="RH1003" s="106"/>
      <c r="RI1003" s="106"/>
      <c r="RJ1003" s="106"/>
      <c r="RK1003" s="106"/>
      <c r="RL1003" s="106"/>
    </row>
    <row r="1004" spans="88:480" x14ac:dyDescent="0.3">
      <c r="CJ1004" s="103"/>
      <c r="FP1004" s="103"/>
      <c r="LL1004" s="103"/>
      <c r="NM1004" s="103"/>
      <c r="QT1004" s="106"/>
      <c r="QU1004" s="106"/>
      <c r="QV1004" s="106"/>
      <c r="QW1004" s="106"/>
      <c r="QX1004" s="106"/>
      <c r="QY1004" s="106"/>
      <c r="QZ1004" s="106"/>
      <c r="RA1004" s="106"/>
      <c r="RB1004" s="106"/>
      <c r="RC1004" s="106"/>
      <c r="RD1004" s="106"/>
      <c r="RE1004" s="106"/>
      <c r="RF1004" s="106"/>
      <c r="RG1004" s="106"/>
      <c r="RH1004" s="106"/>
      <c r="RI1004" s="106"/>
      <c r="RJ1004" s="106"/>
      <c r="RK1004" s="106"/>
      <c r="RL1004" s="106"/>
    </row>
    <row r="1005" spans="88:480" x14ac:dyDescent="0.3">
      <c r="CJ1005" s="103"/>
      <c r="FP1005" s="103"/>
      <c r="LL1005" s="103"/>
      <c r="NM1005" s="103"/>
      <c r="QT1005" s="106"/>
      <c r="QU1005" s="106"/>
      <c r="QV1005" s="106"/>
      <c r="QW1005" s="106"/>
      <c r="QX1005" s="106"/>
      <c r="QY1005" s="106"/>
      <c r="QZ1005" s="106"/>
      <c r="RA1005" s="106"/>
      <c r="RB1005" s="106"/>
      <c r="RC1005" s="106"/>
      <c r="RD1005" s="106"/>
      <c r="RE1005" s="106"/>
      <c r="RF1005" s="106"/>
      <c r="RG1005" s="106"/>
      <c r="RH1005" s="106"/>
      <c r="RI1005" s="106"/>
      <c r="RJ1005" s="106"/>
      <c r="RK1005" s="106"/>
      <c r="RL1005" s="106"/>
    </row>
    <row r="1006" spans="88:480" x14ac:dyDescent="0.3">
      <c r="CJ1006" s="103"/>
      <c r="FP1006" s="103"/>
      <c r="LL1006" s="103"/>
      <c r="NM1006" s="103"/>
      <c r="QT1006" s="106"/>
      <c r="QU1006" s="106"/>
      <c r="QV1006" s="106"/>
      <c r="QW1006" s="106"/>
      <c r="QX1006" s="106"/>
      <c r="QY1006" s="106"/>
      <c r="QZ1006" s="106"/>
      <c r="RA1006" s="106"/>
      <c r="RB1006" s="106"/>
      <c r="RC1006" s="106"/>
      <c r="RD1006" s="106"/>
      <c r="RE1006" s="106"/>
      <c r="RF1006" s="106"/>
      <c r="RG1006" s="106"/>
      <c r="RH1006" s="106"/>
      <c r="RI1006" s="106"/>
      <c r="RJ1006" s="106"/>
      <c r="RK1006" s="106"/>
      <c r="RL1006" s="106"/>
    </row>
    <row r="1007" spans="88:480" x14ac:dyDescent="0.3">
      <c r="CJ1007" s="103"/>
      <c r="FP1007" s="103"/>
      <c r="LL1007" s="103"/>
      <c r="NM1007" s="103"/>
      <c r="QT1007" s="106"/>
      <c r="QU1007" s="106"/>
      <c r="QV1007" s="106"/>
      <c r="QW1007" s="106"/>
      <c r="QX1007" s="106"/>
      <c r="QY1007" s="106"/>
      <c r="QZ1007" s="106"/>
      <c r="RA1007" s="106"/>
      <c r="RB1007" s="106"/>
      <c r="RC1007" s="106"/>
      <c r="RD1007" s="106"/>
      <c r="RE1007" s="106"/>
      <c r="RF1007" s="106"/>
      <c r="RG1007" s="106"/>
      <c r="RH1007" s="106"/>
      <c r="RI1007" s="106"/>
      <c r="RJ1007" s="106"/>
      <c r="RK1007" s="106"/>
      <c r="RL1007" s="106"/>
    </row>
    <row r="1008" spans="88:480" x14ac:dyDescent="0.3">
      <c r="CJ1008" s="103"/>
      <c r="FP1008" s="103"/>
      <c r="LL1008" s="103"/>
      <c r="NM1008" s="103"/>
      <c r="QT1008" s="106"/>
      <c r="QU1008" s="106"/>
      <c r="QV1008" s="106"/>
      <c r="QW1008" s="106"/>
      <c r="QX1008" s="106"/>
      <c r="QY1008" s="106"/>
      <c r="QZ1008" s="106"/>
      <c r="RA1008" s="106"/>
      <c r="RB1008" s="106"/>
      <c r="RC1008" s="106"/>
      <c r="RD1008" s="106"/>
      <c r="RE1008" s="106"/>
      <c r="RF1008" s="106"/>
      <c r="RG1008" s="106"/>
      <c r="RH1008" s="106"/>
      <c r="RI1008" s="106"/>
      <c r="RJ1008" s="106"/>
      <c r="RK1008" s="106"/>
      <c r="RL1008" s="106"/>
    </row>
    <row r="1009" spans="88:480" x14ac:dyDescent="0.3">
      <c r="CJ1009" s="103"/>
      <c r="FP1009" s="103"/>
      <c r="LL1009" s="103"/>
      <c r="NM1009" s="103"/>
      <c r="QT1009" s="106"/>
      <c r="QU1009" s="106"/>
      <c r="QV1009" s="106"/>
      <c r="QW1009" s="106"/>
      <c r="QX1009" s="106"/>
      <c r="QY1009" s="106"/>
      <c r="QZ1009" s="106"/>
      <c r="RA1009" s="106"/>
      <c r="RB1009" s="106"/>
      <c r="RC1009" s="106"/>
      <c r="RD1009" s="106"/>
      <c r="RE1009" s="106"/>
      <c r="RF1009" s="106"/>
      <c r="RG1009" s="106"/>
      <c r="RH1009" s="106"/>
      <c r="RI1009" s="106"/>
      <c r="RJ1009" s="106"/>
      <c r="RK1009" s="106"/>
      <c r="RL1009" s="106"/>
    </row>
    <row r="1010" spans="88:480" x14ac:dyDescent="0.3">
      <c r="CJ1010" s="103"/>
      <c r="FP1010" s="103"/>
      <c r="LL1010" s="103"/>
      <c r="NM1010" s="103"/>
      <c r="QT1010" s="106"/>
      <c r="QU1010" s="106"/>
      <c r="QV1010" s="106"/>
      <c r="QW1010" s="106"/>
      <c r="QX1010" s="106"/>
      <c r="QY1010" s="106"/>
      <c r="QZ1010" s="106"/>
      <c r="RA1010" s="106"/>
      <c r="RB1010" s="106"/>
      <c r="RC1010" s="106"/>
      <c r="RD1010" s="106"/>
      <c r="RE1010" s="106"/>
      <c r="RF1010" s="106"/>
      <c r="RG1010" s="106"/>
      <c r="RH1010" s="106"/>
      <c r="RI1010" s="106"/>
      <c r="RJ1010" s="106"/>
      <c r="RK1010" s="106"/>
      <c r="RL1010" s="106"/>
    </row>
    <row r="1011" spans="88:480" x14ac:dyDescent="0.3">
      <c r="CJ1011" s="103"/>
      <c r="FP1011" s="103"/>
      <c r="LL1011" s="103"/>
      <c r="NM1011" s="103"/>
      <c r="QT1011" s="106"/>
      <c r="QU1011" s="106"/>
      <c r="QV1011" s="106"/>
      <c r="QW1011" s="106"/>
      <c r="QX1011" s="106"/>
      <c r="QY1011" s="106"/>
      <c r="QZ1011" s="106"/>
      <c r="RA1011" s="106"/>
      <c r="RB1011" s="106"/>
      <c r="RC1011" s="106"/>
      <c r="RD1011" s="106"/>
      <c r="RE1011" s="106"/>
      <c r="RF1011" s="106"/>
      <c r="RG1011" s="106"/>
      <c r="RH1011" s="106"/>
      <c r="RI1011" s="106"/>
      <c r="RJ1011" s="106"/>
      <c r="RK1011" s="106"/>
      <c r="RL1011" s="106"/>
    </row>
    <row r="1012" spans="88:480" x14ac:dyDescent="0.3">
      <c r="CJ1012" s="103"/>
      <c r="FP1012" s="103"/>
      <c r="LL1012" s="103"/>
      <c r="NM1012" s="103"/>
      <c r="QT1012" s="106"/>
      <c r="QU1012" s="106"/>
      <c r="QV1012" s="106"/>
      <c r="QW1012" s="106"/>
      <c r="QX1012" s="106"/>
      <c r="QY1012" s="106"/>
      <c r="QZ1012" s="106"/>
      <c r="RA1012" s="106"/>
      <c r="RB1012" s="106"/>
      <c r="RC1012" s="106"/>
      <c r="RD1012" s="106"/>
      <c r="RE1012" s="106"/>
      <c r="RF1012" s="106"/>
      <c r="RG1012" s="106"/>
      <c r="RH1012" s="106"/>
      <c r="RI1012" s="106"/>
      <c r="RJ1012" s="106"/>
      <c r="RK1012" s="106"/>
      <c r="RL1012" s="106"/>
    </row>
    <row r="1013" spans="88:480" x14ac:dyDescent="0.3">
      <c r="CJ1013" s="103"/>
      <c r="FP1013" s="103"/>
      <c r="LL1013" s="103"/>
      <c r="NM1013" s="103"/>
      <c r="QT1013" s="106"/>
      <c r="QU1013" s="106"/>
      <c r="QV1013" s="106"/>
      <c r="QW1013" s="106"/>
      <c r="QX1013" s="106"/>
      <c r="QY1013" s="106"/>
      <c r="QZ1013" s="106"/>
      <c r="RA1013" s="106"/>
      <c r="RB1013" s="106"/>
      <c r="RC1013" s="106"/>
      <c r="RD1013" s="106"/>
      <c r="RE1013" s="106"/>
      <c r="RF1013" s="106"/>
      <c r="RG1013" s="106"/>
      <c r="RH1013" s="106"/>
      <c r="RI1013" s="106"/>
      <c r="RJ1013" s="106"/>
      <c r="RK1013" s="106"/>
      <c r="RL1013" s="106"/>
    </row>
    <row r="1014" spans="88:480" x14ac:dyDescent="0.3">
      <c r="CJ1014" s="103"/>
      <c r="FP1014" s="103"/>
      <c r="LL1014" s="103"/>
      <c r="NM1014" s="103"/>
      <c r="QT1014" s="106"/>
      <c r="QU1014" s="106"/>
      <c r="QV1014" s="106"/>
      <c r="QW1014" s="106"/>
      <c r="QX1014" s="106"/>
      <c r="QY1014" s="106"/>
      <c r="QZ1014" s="106"/>
      <c r="RA1014" s="106"/>
      <c r="RB1014" s="106"/>
      <c r="RC1014" s="106"/>
      <c r="RD1014" s="106"/>
      <c r="RE1014" s="106"/>
      <c r="RF1014" s="106"/>
      <c r="RG1014" s="106"/>
      <c r="RH1014" s="106"/>
      <c r="RI1014" s="106"/>
      <c r="RJ1014" s="106"/>
      <c r="RK1014" s="106"/>
      <c r="RL1014" s="106"/>
    </row>
    <row r="1015" spans="88:480" x14ac:dyDescent="0.3">
      <c r="CJ1015" s="103"/>
      <c r="FP1015" s="103"/>
      <c r="LL1015" s="103"/>
      <c r="NM1015" s="103"/>
      <c r="QT1015" s="106"/>
      <c r="QU1015" s="106"/>
      <c r="QV1015" s="106"/>
      <c r="QW1015" s="106"/>
      <c r="QX1015" s="106"/>
      <c r="QY1015" s="106"/>
      <c r="QZ1015" s="106"/>
      <c r="RA1015" s="106"/>
      <c r="RB1015" s="106"/>
      <c r="RC1015" s="106"/>
      <c r="RD1015" s="106"/>
      <c r="RE1015" s="106"/>
      <c r="RF1015" s="106"/>
      <c r="RG1015" s="106"/>
      <c r="RH1015" s="106"/>
      <c r="RI1015" s="106"/>
      <c r="RJ1015" s="106"/>
      <c r="RK1015" s="106"/>
      <c r="RL1015" s="106"/>
    </row>
    <row r="1016" spans="88:480" x14ac:dyDescent="0.3">
      <c r="CJ1016" s="103"/>
      <c r="FP1016" s="103"/>
      <c r="LL1016" s="103"/>
      <c r="NM1016" s="103"/>
      <c r="QT1016" s="106"/>
      <c r="QU1016" s="106"/>
      <c r="QV1016" s="106"/>
      <c r="QW1016" s="106"/>
      <c r="QX1016" s="106"/>
      <c r="QY1016" s="106"/>
      <c r="QZ1016" s="106"/>
      <c r="RA1016" s="106"/>
      <c r="RB1016" s="106"/>
      <c r="RC1016" s="106"/>
      <c r="RD1016" s="106"/>
      <c r="RE1016" s="106"/>
      <c r="RF1016" s="106"/>
      <c r="RG1016" s="106"/>
      <c r="RH1016" s="106"/>
      <c r="RI1016" s="106"/>
      <c r="RJ1016" s="106"/>
      <c r="RK1016" s="106"/>
      <c r="RL1016" s="106"/>
    </row>
    <row r="1017" spans="88:480" x14ac:dyDescent="0.3">
      <c r="CJ1017" s="103"/>
      <c r="FP1017" s="103"/>
      <c r="LL1017" s="103"/>
      <c r="NM1017" s="103"/>
      <c r="QT1017" s="106"/>
      <c r="QU1017" s="106"/>
      <c r="QV1017" s="106"/>
      <c r="QW1017" s="106"/>
      <c r="QX1017" s="106"/>
      <c r="QY1017" s="106"/>
      <c r="QZ1017" s="106"/>
      <c r="RA1017" s="106"/>
      <c r="RB1017" s="106"/>
      <c r="RC1017" s="106"/>
      <c r="RD1017" s="106"/>
      <c r="RE1017" s="106"/>
      <c r="RF1017" s="106"/>
      <c r="RG1017" s="106"/>
      <c r="RH1017" s="106"/>
      <c r="RI1017" s="106"/>
      <c r="RJ1017" s="106"/>
      <c r="RK1017" s="106"/>
      <c r="RL1017" s="106"/>
    </row>
    <row r="1018" spans="88:480" x14ac:dyDescent="0.3">
      <c r="CJ1018" s="103"/>
      <c r="FP1018" s="103"/>
      <c r="LL1018" s="103"/>
      <c r="NM1018" s="103"/>
      <c r="QT1018" s="106"/>
      <c r="QU1018" s="106"/>
      <c r="QV1018" s="106"/>
      <c r="QW1018" s="106"/>
      <c r="QX1018" s="106"/>
      <c r="QY1018" s="106"/>
      <c r="QZ1018" s="106"/>
      <c r="RA1018" s="106"/>
      <c r="RB1018" s="106"/>
      <c r="RC1018" s="106"/>
      <c r="RD1018" s="106"/>
      <c r="RE1018" s="106"/>
      <c r="RF1018" s="106"/>
      <c r="RG1018" s="106"/>
      <c r="RH1018" s="106"/>
      <c r="RI1018" s="106"/>
      <c r="RJ1018" s="106"/>
      <c r="RK1018" s="106"/>
      <c r="RL1018" s="106"/>
    </row>
    <row r="1019" spans="88:480" x14ac:dyDescent="0.3">
      <c r="CJ1019" s="103"/>
      <c r="FP1019" s="103"/>
      <c r="LL1019" s="103"/>
      <c r="NM1019" s="103"/>
      <c r="QT1019" s="106"/>
      <c r="QU1019" s="106"/>
      <c r="QV1019" s="106"/>
      <c r="QW1019" s="106"/>
      <c r="QX1019" s="106"/>
      <c r="QY1019" s="106"/>
      <c r="QZ1019" s="106"/>
      <c r="RA1019" s="106"/>
      <c r="RB1019" s="106"/>
      <c r="RC1019" s="106"/>
      <c r="RD1019" s="106"/>
      <c r="RE1019" s="106"/>
      <c r="RF1019" s="106"/>
      <c r="RG1019" s="106"/>
      <c r="RH1019" s="106"/>
      <c r="RI1019" s="106"/>
      <c r="RJ1019" s="106"/>
      <c r="RK1019" s="106"/>
      <c r="RL1019" s="106"/>
    </row>
    <row r="1020" spans="88:480" x14ac:dyDescent="0.3">
      <c r="CJ1020" s="103"/>
      <c r="FP1020" s="103"/>
      <c r="LL1020" s="103"/>
      <c r="NM1020" s="103"/>
      <c r="QT1020" s="106"/>
      <c r="QU1020" s="106"/>
      <c r="QV1020" s="106"/>
      <c r="QW1020" s="106"/>
      <c r="QX1020" s="106"/>
      <c r="QY1020" s="106"/>
      <c r="QZ1020" s="106"/>
      <c r="RA1020" s="106"/>
      <c r="RB1020" s="106"/>
      <c r="RC1020" s="106"/>
      <c r="RD1020" s="106"/>
      <c r="RE1020" s="106"/>
      <c r="RF1020" s="106"/>
      <c r="RG1020" s="106"/>
      <c r="RH1020" s="106"/>
      <c r="RI1020" s="106"/>
      <c r="RJ1020" s="106"/>
      <c r="RK1020" s="106"/>
      <c r="RL1020" s="106"/>
    </row>
    <row r="1021" spans="88:480" x14ac:dyDescent="0.3">
      <c r="CJ1021" s="103"/>
      <c r="FP1021" s="103"/>
      <c r="LL1021" s="103"/>
      <c r="NM1021" s="103"/>
      <c r="QT1021" s="106"/>
      <c r="QU1021" s="106"/>
      <c r="QV1021" s="106"/>
      <c r="QW1021" s="106"/>
      <c r="QX1021" s="106"/>
      <c r="QY1021" s="106"/>
      <c r="QZ1021" s="106"/>
      <c r="RA1021" s="106"/>
      <c r="RB1021" s="106"/>
      <c r="RC1021" s="106"/>
      <c r="RD1021" s="106"/>
      <c r="RE1021" s="106"/>
      <c r="RF1021" s="106"/>
      <c r="RG1021" s="106"/>
      <c r="RH1021" s="106"/>
      <c r="RI1021" s="106"/>
      <c r="RJ1021" s="106"/>
      <c r="RK1021" s="106"/>
      <c r="RL1021" s="106"/>
    </row>
    <row r="1022" spans="88:480" x14ac:dyDescent="0.3">
      <c r="CJ1022" s="103"/>
      <c r="FP1022" s="103"/>
      <c r="LL1022" s="103"/>
      <c r="NM1022" s="103"/>
      <c r="QT1022" s="106"/>
      <c r="QU1022" s="106"/>
      <c r="QV1022" s="106"/>
      <c r="QW1022" s="106"/>
      <c r="QX1022" s="106"/>
      <c r="QY1022" s="106"/>
      <c r="QZ1022" s="106"/>
      <c r="RA1022" s="106"/>
      <c r="RB1022" s="106"/>
      <c r="RC1022" s="106"/>
      <c r="RD1022" s="106"/>
      <c r="RE1022" s="106"/>
      <c r="RF1022" s="106"/>
      <c r="RG1022" s="106"/>
      <c r="RH1022" s="106"/>
      <c r="RI1022" s="106"/>
      <c r="RJ1022" s="106"/>
      <c r="RK1022" s="106"/>
      <c r="RL1022" s="106"/>
    </row>
    <row r="1023" spans="88:480" x14ac:dyDescent="0.3">
      <c r="CJ1023" s="103"/>
      <c r="FP1023" s="103"/>
      <c r="LL1023" s="103"/>
      <c r="NM1023" s="103"/>
      <c r="QT1023" s="106"/>
      <c r="QU1023" s="106"/>
      <c r="QV1023" s="106"/>
      <c r="QW1023" s="106"/>
      <c r="QX1023" s="106"/>
      <c r="QY1023" s="106"/>
      <c r="QZ1023" s="106"/>
      <c r="RA1023" s="106"/>
      <c r="RB1023" s="106"/>
      <c r="RC1023" s="106"/>
      <c r="RD1023" s="106"/>
      <c r="RE1023" s="106"/>
      <c r="RF1023" s="106"/>
      <c r="RG1023" s="106"/>
      <c r="RH1023" s="106"/>
      <c r="RI1023" s="106"/>
      <c r="RJ1023" s="106"/>
      <c r="RK1023" s="106"/>
      <c r="RL1023" s="106"/>
    </row>
    <row r="1024" spans="88:480" x14ac:dyDescent="0.3">
      <c r="CJ1024" s="103"/>
      <c r="FP1024" s="103"/>
      <c r="LL1024" s="103"/>
      <c r="NM1024" s="103"/>
      <c r="QT1024" s="106"/>
      <c r="QU1024" s="106"/>
      <c r="QV1024" s="106"/>
      <c r="QW1024" s="106"/>
      <c r="QX1024" s="106"/>
      <c r="QY1024" s="106"/>
      <c r="QZ1024" s="106"/>
      <c r="RA1024" s="106"/>
      <c r="RB1024" s="106"/>
      <c r="RC1024" s="106"/>
      <c r="RD1024" s="106"/>
      <c r="RE1024" s="106"/>
      <c r="RF1024" s="106"/>
      <c r="RG1024" s="106"/>
      <c r="RH1024" s="106"/>
      <c r="RI1024" s="106"/>
      <c r="RJ1024" s="106"/>
      <c r="RK1024" s="106"/>
      <c r="RL1024" s="106"/>
    </row>
    <row r="1025" spans="88:480" x14ac:dyDescent="0.3">
      <c r="CJ1025" s="103"/>
      <c r="FP1025" s="103"/>
      <c r="LL1025" s="103"/>
      <c r="NM1025" s="103"/>
      <c r="QT1025" s="106"/>
      <c r="QU1025" s="106"/>
      <c r="QV1025" s="106"/>
      <c r="QW1025" s="106"/>
      <c r="QX1025" s="106"/>
      <c r="QY1025" s="106"/>
      <c r="QZ1025" s="106"/>
      <c r="RA1025" s="106"/>
      <c r="RB1025" s="106"/>
      <c r="RC1025" s="106"/>
      <c r="RD1025" s="106"/>
      <c r="RE1025" s="106"/>
      <c r="RF1025" s="106"/>
      <c r="RG1025" s="106"/>
      <c r="RH1025" s="106"/>
      <c r="RI1025" s="106"/>
      <c r="RJ1025" s="106"/>
      <c r="RK1025" s="106"/>
      <c r="RL1025" s="106"/>
    </row>
    <row r="1026" spans="88:480" x14ac:dyDescent="0.3">
      <c r="CJ1026" s="103"/>
      <c r="FP1026" s="103"/>
      <c r="LL1026" s="103"/>
      <c r="NM1026" s="103"/>
      <c r="QT1026" s="106"/>
      <c r="QU1026" s="106"/>
      <c r="QV1026" s="106"/>
      <c r="QW1026" s="106"/>
      <c r="QX1026" s="106"/>
      <c r="QY1026" s="106"/>
      <c r="QZ1026" s="106"/>
      <c r="RA1026" s="106"/>
      <c r="RB1026" s="106"/>
      <c r="RC1026" s="106"/>
      <c r="RD1026" s="106"/>
      <c r="RE1026" s="106"/>
      <c r="RF1026" s="106"/>
      <c r="RG1026" s="106"/>
      <c r="RH1026" s="106"/>
      <c r="RI1026" s="106"/>
      <c r="RJ1026" s="106"/>
      <c r="RK1026" s="106"/>
      <c r="RL1026" s="106"/>
    </row>
    <row r="1027" spans="88:480" x14ac:dyDescent="0.3">
      <c r="CJ1027" s="103"/>
      <c r="FP1027" s="103"/>
      <c r="LL1027" s="103"/>
      <c r="NM1027" s="103"/>
      <c r="QT1027" s="106"/>
      <c r="QU1027" s="106"/>
      <c r="QV1027" s="106"/>
      <c r="QW1027" s="106"/>
      <c r="QX1027" s="106"/>
      <c r="QY1027" s="106"/>
      <c r="QZ1027" s="106"/>
      <c r="RA1027" s="106"/>
      <c r="RB1027" s="106"/>
      <c r="RC1027" s="106"/>
      <c r="RD1027" s="106"/>
      <c r="RE1027" s="106"/>
      <c r="RF1027" s="106"/>
      <c r="RG1027" s="106"/>
      <c r="RH1027" s="106"/>
      <c r="RI1027" s="106"/>
      <c r="RJ1027" s="106"/>
      <c r="RK1027" s="106"/>
      <c r="RL1027" s="106"/>
    </row>
    <row r="1028" spans="88:480" x14ac:dyDescent="0.3">
      <c r="CJ1028" s="103"/>
      <c r="FP1028" s="103"/>
      <c r="LL1028" s="103"/>
      <c r="NM1028" s="103"/>
      <c r="QT1028" s="106"/>
      <c r="QU1028" s="106"/>
      <c r="QV1028" s="106"/>
      <c r="QW1028" s="106"/>
      <c r="QX1028" s="106"/>
      <c r="QY1028" s="106"/>
      <c r="QZ1028" s="106"/>
      <c r="RA1028" s="106"/>
      <c r="RB1028" s="106"/>
      <c r="RC1028" s="106"/>
      <c r="RD1028" s="106"/>
      <c r="RE1028" s="106"/>
      <c r="RF1028" s="106"/>
      <c r="RG1028" s="106"/>
      <c r="RH1028" s="106"/>
      <c r="RI1028" s="106"/>
      <c r="RJ1028" s="106"/>
      <c r="RK1028" s="106"/>
      <c r="RL1028" s="106"/>
    </row>
    <row r="1029" spans="88:480" x14ac:dyDescent="0.3">
      <c r="CJ1029" s="103"/>
      <c r="FP1029" s="103"/>
      <c r="LL1029" s="103"/>
      <c r="NM1029" s="103"/>
      <c r="QT1029" s="106"/>
      <c r="QU1029" s="106"/>
      <c r="QV1029" s="106"/>
      <c r="QW1029" s="106"/>
      <c r="QX1029" s="106"/>
      <c r="QY1029" s="106"/>
      <c r="QZ1029" s="106"/>
      <c r="RA1029" s="106"/>
      <c r="RB1029" s="106"/>
      <c r="RC1029" s="106"/>
      <c r="RD1029" s="106"/>
      <c r="RE1029" s="106"/>
      <c r="RF1029" s="106"/>
      <c r="RG1029" s="106"/>
      <c r="RH1029" s="106"/>
      <c r="RI1029" s="106"/>
      <c r="RJ1029" s="106"/>
      <c r="RK1029" s="106"/>
      <c r="RL1029" s="106"/>
    </row>
    <row r="1030" spans="88:480" x14ac:dyDescent="0.3">
      <c r="CJ1030" s="103"/>
      <c r="FP1030" s="103"/>
      <c r="LL1030" s="103"/>
      <c r="NM1030" s="103"/>
      <c r="QT1030" s="106"/>
      <c r="QU1030" s="106"/>
      <c r="QV1030" s="106"/>
      <c r="QW1030" s="106"/>
      <c r="QX1030" s="106"/>
      <c r="QY1030" s="106"/>
      <c r="QZ1030" s="106"/>
      <c r="RA1030" s="106"/>
      <c r="RB1030" s="106"/>
      <c r="RC1030" s="106"/>
      <c r="RD1030" s="106"/>
      <c r="RE1030" s="106"/>
      <c r="RF1030" s="106"/>
      <c r="RG1030" s="106"/>
      <c r="RH1030" s="106"/>
      <c r="RI1030" s="106"/>
      <c r="RJ1030" s="106"/>
      <c r="RK1030" s="106"/>
      <c r="RL1030" s="106"/>
    </row>
    <row r="1031" spans="88:480" x14ac:dyDescent="0.3">
      <c r="CJ1031" s="103"/>
      <c r="FP1031" s="103"/>
      <c r="LL1031" s="103"/>
      <c r="NM1031" s="103"/>
      <c r="QT1031" s="106"/>
      <c r="QU1031" s="106"/>
      <c r="QV1031" s="106"/>
      <c r="QW1031" s="106"/>
      <c r="QX1031" s="106"/>
      <c r="QY1031" s="106"/>
      <c r="QZ1031" s="106"/>
      <c r="RA1031" s="106"/>
      <c r="RB1031" s="106"/>
      <c r="RC1031" s="106"/>
      <c r="RD1031" s="106"/>
      <c r="RE1031" s="106"/>
      <c r="RF1031" s="106"/>
      <c r="RG1031" s="106"/>
      <c r="RH1031" s="106"/>
      <c r="RI1031" s="106"/>
      <c r="RJ1031" s="106"/>
      <c r="RK1031" s="106"/>
      <c r="RL1031" s="106"/>
    </row>
    <row r="1032" spans="88:480" x14ac:dyDescent="0.3">
      <c r="CJ1032" s="103"/>
      <c r="FP1032" s="103"/>
      <c r="LL1032" s="103"/>
      <c r="NM1032" s="103"/>
      <c r="QT1032" s="106"/>
      <c r="QU1032" s="106"/>
      <c r="QV1032" s="106"/>
      <c r="QW1032" s="106"/>
      <c r="QX1032" s="106"/>
      <c r="QY1032" s="106"/>
      <c r="QZ1032" s="106"/>
      <c r="RA1032" s="106"/>
      <c r="RB1032" s="106"/>
      <c r="RC1032" s="106"/>
      <c r="RD1032" s="106"/>
      <c r="RE1032" s="106"/>
      <c r="RF1032" s="106"/>
      <c r="RG1032" s="106"/>
      <c r="RH1032" s="106"/>
      <c r="RI1032" s="106"/>
      <c r="RJ1032" s="106"/>
      <c r="RK1032" s="106"/>
      <c r="RL1032" s="106"/>
    </row>
    <row r="1033" spans="88:480" x14ac:dyDescent="0.3">
      <c r="CJ1033" s="103"/>
      <c r="FP1033" s="103"/>
      <c r="LL1033" s="103"/>
      <c r="NM1033" s="103"/>
      <c r="QT1033" s="106"/>
      <c r="QU1033" s="106"/>
      <c r="QV1033" s="106"/>
      <c r="QW1033" s="106"/>
      <c r="QX1033" s="106"/>
      <c r="QY1033" s="106"/>
      <c r="QZ1033" s="106"/>
      <c r="RA1033" s="106"/>
      <c r="RB1033" s="106"/>
      <c r="RC1033" s="106"/>
      <c r="RD1033" s="106"/>
      <c r="RE1033" s="106"/>
      <c r="RF1033" s="106"/>
      <c r="RG1033" s="106"/>
      <c r="RH1033" s="106"/>
      <c r="RI1033" s="106"/>
      <c r="RJ1033" s="106"/>
      <c r="RK1033" s="106"/>
      <c r="RL1033" s="106"/>
    </row>
    <row r="1034" spans="88:480" x14ac:dyDescent="0.3">
      <c r="CJ1034" s="103"/>
      <c r="FP1034" s="103"/>
      <c r="LL1034" s="103"/>
      <c r="NM1034" s="103"/>
      <c r="QT1034" s="106"/>
      <c r="QU1034" s="106"/>
      <c r="QV1034" s="106"/>
      <c r="QW1034" s="106"/>
      <c r="QX1034" s="106"/>
      <c r="QY1034" s="106"/>
      <c r="QZ1034" s="106"/>
      <c r="RA1034" s="106"/>
      <c r="RB1034" s="106"/>
      <c r="RC1034" s="106"/>
      <c r="RD1034" s="106"/>
      <c r="RE1034" s="106"/>
      <c r="RF1034" s="106"/>
      <c r="RG1034" s="106"/>
      <c r="RH1034" s="106"/>
      <c r="RI1034" s="106"/>
      <c r="RJ1034" s="106"/>
      <c r="RK1034" s="106"/>
      <c r="RL1034" s="106"/>
    </row>
    <row r="1035" spans="88:480" x14ac:dyDescent="0.3">
      <c r="CJ1035" s="103"/>
      <c r="FP1035" s="103"/>
      <c r="LL1035" s="103"/>
      <c r="NM1035" s="103"/>
      <c r="QT1035" s="106"/>
      <c r="QU1035" s="106"/>
      <c r="QV1035" s="106"/>
      <c r="QW1035" s="106"/>
      <c r="QX1035" s="106"/>
      <c r="QY1035" s="106"/>
      <c r="QZ1035" s="106"/>
      <c r="RA1035" s="106"/>
      <c r="RB1035" s="106"/>
      <c r="RC1035" s="106"/>
      <c r="RD1035" s="106"/>
      <c r="RE1035" s="106"/>
      <c r="RF1035" s="106"/>
      <c r="RG1035" s="106"/>
      <c r="RH1035" s="106"/>
      <c r="RI1035" s="106"/>
      <c r="RJ1035" s="106"/>
      <c r="RK1035" s="106"/>
      <c r="RL1035" s="106"/>
    </row>
    <row r="1036" spans="88:480" x14ac:dyDescent="0.3">
      <c r="CJ1036" s="103"/>
      <c r="FP1036" s="103"/>
      <c r="LL1036" s="103"/>
      <c r="NM1036" s="103"/>
      <c r="QT1036" s="106"/>
      <c r="QU1036" s="106"/>
      <c r="QV1036" s="106"/>
      <c r="QW1036" s="106"/>
      <c r="QX1036" s="106"/>
      <c r="QY1036" s="106"/>
      <c r="QZ1036" s="106"/>
      <c r="RA1036" s="106"/>
      <c r="RB1036" s="106"/>
      <c r="RC1036" s="106"/>
      <c r="RD1036" s="106"/>
      <c r="RE1036" s="106"/>
      <c r="RF1036" s="106"/>
      <c r="RG1036" s="106"/>
      <c r="RH1036" s="106"/>
      <c r="RI1036" s="106"/>
      <c r="RJ1036" s="106"/>
      <c r="RK1036" s="106"/>
      <c r="RL1036" s="106"/>
    </row>
    <row r="1037" spans="88:480" x14ac:dyDescent="0.3">
      <c r="CJ1037" s="103"/>
      <c r="FP1037" s="103"/>
      <c r="LL1037" s="103"/>
      <c r="NM1037" s="103"/>
      <c r="QT1037" s="106"/>
      <c r="QU1037" s="106"/>
      <c r="QV1037" s="106"/>
      <c r="QW1037" s="106"/>
      <c r="QX1037" s="106"/>
      <c r="QY1037" s="106"/>
      <c r="QZ1037" s="106"/>
      <c r="RA1037" s="106"/>
      <c r="RB1037" s="106"/>
      <c r="RC1037" s="106"/>
      <c r="RD1037" s="106"/>
      <c r="RE1037" s="106"/>
      <c r="RF1037" s="106"/>
      <c r="RG1037" s="106"/>
      <c r="RH1037" s="106"/>
      <c r="RI1037" s="106"/>
      <c r="RJ1037" s="106"/>
      <c r="RK1037" s="106"/>
      <c r="RL1037" s="106"/>
    </row>
    <row r="1038" spans="88:480" x14ac:dyDescent="0.3">
      <c r="CJ1038" s="103"/>
      <c r="FP1038" s="103"/>
      <c r="LL1038" s="103"/>
      <c r="NM1038" s="103"/>
      <c r="QT1038" s="106"/>
      <c r="QU1038" s="106"/>
      <c r="QV1038" s="106"/>
      <c r="QW1038" s="106"/>
      <c r="QX1038" s="106"/>
      <c r="QY1038" s="106"/>
      <c r="QZ1038" s="106"/>
      <c r="RA1038" s="106"/>
      <c r="RB1038" s="106"/>
      <c r="RC1038" s="106"/>
      <c r="RD1038" s="106"/>
      <c r="RE1038" s="106"/>
      <c r="RF1038" s="106"/>
      <c r="RG1038" s="106"/>
      <c r="RH1038" s="106"/>
      <c r="RI1038" s="106"/>
      <c r="RJ1038" s="106"/>
      <c r="RK1038" s="106"/>
      <c r="RL1038" s="106"/>
    </row>
    <row r="1039" spans="88:480" x14ac:dyDescent="0.3">
      <c r="CJ1039" s="103"/>
      <c r="FP1039" s="103"/>
      <c r="LL1039" s="103"/>
      <c r="NM1039" s="103"/>
      <c r="QT1039" s="106"/>
      <c r="QU1039" s="106"/>
      <c r="QV1039" s="106"/>
      <c r="QW1039" s="106"/>
      <c r="QX1039" s="106"/>
      <c r="QY1039" s="106"/>
      <c r="QZ1039" s="106"/>
      <c r="RA1039" s="106"/>
      <c r="RB1039" s="106"/>
      <c r="RC1039" s="106"/>
      <c r="RD1039" s="106"/>
      <c r="RE1039" s="106"/>
      <c r="RF1039" s="106"/>
      <c r="RG1039" s="106"/>
      <c r="RH1039" s="106"/>
      <c r="RI1039" s="106"/>
      <c r="RJ1039" s="106"/>
      <c r="RK1039" s="106"/>
      <c r="RL1039" s="106"/>
    </row>
    <row r="1040" spans="88:480" x14ac:dyDescent="0.3">
      <c r="CJ1040" s="103"/>
      <c r="FP1040" s="103"/>
      <c r="LL1040" s="103"/>
      <c r="NM1040" s="103"/>
      <c r="QT1040" s="106"/>
      <c r="QU1040" s="106"/>
      <c r="QV1040" s="106"/>
      <c r="QW1040" s="106"/>
      <c r="QX1040" s="106"/>
      <c r="QY1040" s="106"/>
      <c r="QZ1040" s="106"/>
      <c r="RA1040" s="106"/>
      <c r="RB1040" s="106"/>
      <c r="RC1040" s="106"/>
      <c r="RD1040" s="106"/>
      <c r="RE1040" s="106"/>
      <c r="RF1040" s="106"/>
      <c r="RG1040" s="106"/>
      <c r="RH1040" s="106"/>
      <c r="RI1040" s="106"/>
      <c r="RJ1040" s="106"/>
      <c r="RK1040" s="106"/>
      <c r="RL1040" s="106"/>
    </row>
    <row r="1041" spans="88:480" x14ac:dyDescent="0.3">
      <c r="CJ1041" s="103"/>
      <c r="FP1041" s="103"/>
      <c r="LL1041" s="103"/>
      <c r="NM1041" s="103"/>
      <c r="QT1041" s="106"/>
      <c r="QU1041" s="106"/>
      <c r="QV1041" s="106"/>
      <c r="QW1041" s="106"/>
      <c r="QX1041" s="106"/>
      <c r="QY1041" s="106"/>
      <c r="QZ1041" s="106"/>
      <c r="RA1041" s="106"/>
      <c r="RB1041" s="106"/>
      <c r="RC1041" s="106"/>
      <c r="RD1041" s="106"/>
      <c r="RE1041" s="106"/>
      <c r="RF1041" s="106"/>
      <c r="RG1041" s="106"/>
      <c r="RH1041" s="106"/>
      <c r="RI1041" s="106"/>
      <c r="RJ1041" s="106"/>
      <c r="RK1041" s="106"/>
      <c r="RL1041" s="106"/>
    </row>
    <row r="1042" spans="88:480" x14ac:dyDescent="0.3">
      <c r="CJ1042" s="103"/>
      <c r="FP1042" s="103"/>
      <c r="LL1042" s="103"/>
      <c r="NM1042" s="103"/>
      <c r="QT1042" s="106"/>
      <c r="QU1042" s="106"/>
      <c r="QV1042" s="106"/>
      <c r="QW1042" s="106"/>
      <c r="QX1042" s="106"/>
      <c r="QY1042" s="106"/>
      <c r="QZ1042" s="106"/>
      <c r="RA1042" s="106"/>
      <c r="RB1042" s="106"/>
      <c r="RC1042" s="106"/>
      <c r="RD1042" s="106"/>
      <c r="RE1042" s="106"/>
      <c r="RF1042" s="106"/>
      <c r="RG1042" s="106"/>
      <c r="RH1042" s="106"/>
      <c r="RI1042" s="106"/>
      <c r="RJ1042" s="106"/>
      <c r="RK1042" s="106"/>
      <c r="RL1042" s="106"/>
    </row>
    <row r="1043" spans="88:480" x14ac:dyDescent="0.3">
      <c r="CJ1043" s="103"/>
      <c r="FP1043" s="103"/>
      <c r="LL1043" s="103"/>
      <c r="NM1043" s="103"/>
      <c r="QT1043" s="106"/>
      <c r="QU1043" s="106"/>
      <c r="QV1043" s="106"/>
      <c r="QW1043" s="106"/>
      <c r="QX1043" s="106"/>
      <c r="QY1043" s="106"/>
      <c r="QZ1043" s="106"/>
      <c r="RA1043" s="106"/>
      <c r="RB1043" s="106"/>
      <c r="RC1043" s="106"/>
      <c r="RD1043" s="106"/>
      <c r="RE1043" s="106"/>
      <c r="RF1043" s="106"/>
      <c r="RG1043" s="106"/>
      <c r="RH1043" s="106"/>
      <c r="RI1043" s="106"/>
      <c r="RJ1043" s="106"/>
      <c r="RK1043" s="106"/>
      <c r="RL1043" s="106"/>
    </row>
    <row r="1044" spans="88:480" x14ac:dyDescent="0.3">
      <c r="CJ1044" s="103"/>
      <c r="FP1044" s="103"/>
      <c r="LL1044" s="103"/>
      <c r="NM1044" s="103"/>
      <c r="QT1044" s="106"/>
      <c r="QU1044" s="106"/>
      <c r="QV1044" s="106"/>
      <c r="QW1044" s="106"/>
      <c r="QX1044" s="106"/>
      <c r="QY1044" s="106"/>
      <c r="QZ1044" s="106"/>
      <c r="RA1044" s="106"/>
      <c r="RB1044" s="106"/>
      <c r="RC1044" s="106"/>
      <c r="RD1044" s="106"/>
      <c r="RE1044" s="106"/>
      <c r="RF1044" s="106"/>
      <c r="RG1044" s="106"/>
      <c r="RH1044" s="106"/>
      <c r="RI1044" s="106"/>
      <c r="RJ1044" s="106"/>
      <c r="RK1044" s="106"/>
      <c r="RL1044" s="106"/>
    </row>
    <row r="1045" spans="88:480" x14ac:dyDescent="0.3">
      <c r="CJ1045" s="103"/>
      <c r="FP1045" s="103"/>
      <c r="LL1045" s="103"/>
      <c r="NM1045" s="103"/>
      <c r="QT1045" s="106"/>
      <c r="QU1045" s="106"/>
      <c r="QV1045" s="106"/>
      <c r="QW1045" s="106"/>
      <c r="QX1045" s="106"/>
      <c r="QY1045" s="106"/>
      <c r="QZ1045" s="106"/>
      <c r="RA1045" s="106"/>
      <c r="RB1045" s="106"/>
      <c r="RC1045" s="106"/>
      <c r="RD1045" s="106"/>
      <c r="RE1045" s="106"/>
      <c r="RF1045" s="106"/>
      <c r="RG1045" s="106"/>
      <c r="RH1045" s="106"/>
      <c r="RI1045" s="106"/>
      <c r="RJ1045" s="106"/>
      <c r="RK1045" s="106"/>
      <c r="RL1045" s="106"/>
    </row>
    <row r="1046" spans="88:480" x14ac:dyDescent="0.3">
      <c r="CJ1046" s="103"/>
      <c r="FP1046" s="103"/>
      <c r="LL1046" s="103"/>
      <c r="NM1046" s="103"/>
      <c r="QT1046" s="106"/>
      <c r="QU1046" s="106"/>
      <c r="QV1046" s="106"/>
      <c r="QW1046" s="106"/>
      <c r="QX1046" s="106"/>
      <c r="QY1046" s="106"/>
      <c r="QZ1046" s="106"/>
      <c r="RA1046" s="106"/>
      <c r="RB1046" s="106"/>
      <c r="RC1046" s="106"/>
      <c r="RD1046" s="106"/>
      <c r="RE1046" s="106"/>
      <c r="RF1046" s="106"/>
      <c r="RG1046" s="106"/>
      <c r="RH1046" s="106"/>
      <c r="RI1046" s="106"/>
      <c r="RJ1046" s="106"/>
      <c r="RK1046" s="106"/>
      <c r="RL1046" s="106"/>
    </row>
    <row r="1047" spans="88:480" x14ac:dyDescent="0.3">
      <c r="CJ1047" s="103"/>
      <c r="FP1047" s="103"/>
      <c r="LL1047" s="103"/>
      <c r="NM1047" s="103"/>
      <c r="QT1047" s="106"/>
      <c r="QU1047" s="106"/>
      <c r="QV1047" s="106"/>
      <c r="QW1047" s="106"/>
      <c r="QX1047" s="106"/>
      <c r="QY1047" s="106"/>
      <c r="QZ1047" s="106"/>
      <c r="RA1047" s="106"/>
      <c r="RB1047" s="106"/>
      <c r="RC1047" s="106"/>
      <c r="RD1047" s="106"/>
      <c r="RE1047" s="106"/>
      <c r="RF1047" s="106"/>
      <c r="RG1047" s="106"/>
      <c r="RH1047" s="106"/>
      <c r="RI1047" s="106"/>
      <c r="RJ1047" s="106"/>
      <c r="RK1047" s="106"/>
      <c r="RL1047" s="106"/>
    </row>
    <row r="1048" spans="88:480" x14ac:dyDescent="0.3">
      <c r="CJ1048" s="103"/>
      <c r="FP1048" s="103"/>
      <c r="LL1048" s="103"/>
      <c r="NM1048" s="103"/>
      <c r="QT1048" s="106"/>
      <c r="QU1048" s="106"/>
      <c r="QV1048" s="106"/>
      <c r="QW1048" s="106"/>
      <c r="QX1048" s="106"/>
      <c r="QY1048" s="106"/>
      <c r="QZ1048" s="106"/>
      <c r="RA1048" s="106"/>
      <c r="RB1048" s="106"/>
      <c r="RC1048" s="106"/>
      <c r="RD1048" s="106"/>
      <c r="RE1048" s="106"/>
      <c r="RF1048" s="106"/>
      <c r="RG1048" s="106"/>
      <c r="RH1048" s="106"/>
      <c r="RI1048" s="106"/>
      <c r="RJ1048" s="106"/>
      <c r="RK1048" s="106"/>
      <c r="RL1048" s="106"/>
    </row>
    <row r="1049" spans="88:480" x14ac:dyDescent="0.3">
      <c r="CJ1049" s="103"/>
      <c r="FP1049" s="103"/>
      <c r="LL1049" s="103"/>
      <c r="NM1049" s="103"/>
      <c r="QT1049" s="106"/>
      <c r="QU1049" s="106"/>
      <c r="QV1049" s="106"/>
      <c r="QW1049" s="106"/>
      <c r="QX1049" s="106"/>
      <c r="QY1049" s="106"/>
      <c r="QZ1049" s="106"/>
      <c r="RA1049" s="106"/>
      <c r="RB1049" s="106"/>
      <c r="RC1049" s="106"/>
      <c r="RD1049" s="106"/>
      <c r="RE1049" s="106"/>
      <c r="RF1049" s="106"/>
      <c r="RG1049" s="106"/>
      <c r="RH1049" s="106"/>
      <c r="RI1049" s="106"/>
      <c r="RJ1049" s="106"/>
      <c r="RK1049" s="106"/>
      <c r="RL1049" s="106"/>
    </row>
    <row r="1050" spans="88:480" x14ac:dyDescent="0.3">
      <c r="CJ1050" s="103"/>
      <c r="FP1050" s="103"/>
      <c r="LL1050" s="103"/>
      <c r="NM1050" s="103"/>
      <c r="QT1050" s="106"/>
      <c r="QU1050" s="106"/>
      <c r="QV1050" s="106"/>
      <c r="QW1050" s="106"/>
      <c r="QX1050" s="106"/>
      <c r="QY1050" s="106"/>
      <c r="QZ1050" s="106"/>
      <c r="RA1050" s="106"/>
      <c r="RB1050" s="106"/>
      <c r="RC1050" s="106"/>
      <c r="RD1050" s="106"/>
      <c r="RE1050" s="106"/>
      <c r="RF1050" s="106"/>
      <c r="RG1050" s="106"/>
      <c r="RH1050" s="106"/>
      <c r="RI1050" s="106"/>
      <c r="RJ1050" s="106"/>
      <c r="RK1050" s="106"/>
      <c r="RL1050" s="106"/>
    </row>
    <row r="1051" spans="88:480" x14ac:dyDescent="0.3">
      <c r="CJ1051" s="103"/>
      <c r="FP1051" s="103"/>
      <c r="LL1051" s="103"/>
      <c r="NM1051" s="103"/>
      <c r="QT1051" s="106"/>
      <c r="QU1051" s="106"/>
      <c r="QV1051" s="106"/>
      <c r="QW1051" s="106"/>
      <c r="QX1051" s="106"/>
      <c r="QY1051" s="106"/>
      <c r="QZ1051" s="106"/>
      <c r="RA1051" s="106"/>
      <c r="RB1051" s="106"/>
      <c r="RC1051" s="106"/>
      <c r="RD1051" s="106"/>
      <c r="RE1051" s="106"/>
      <c r="RF1051" s="106"/>
      <c r="RG1051" s="106"/>
      <c r="RH1051" s="106"/>
      <c r="RI1051" s="106"/>
      <c r="RJ1051" s="106"/>
      <c r="RK1051" s="106"/>
      <c r="RL1051" s="106"/>
    </row>
    <row r="1052" spans="88:480" x14ac:dyDescent="0.3">
      <c r="CJ1052" s="103"/>
      <c r="FP1052" s="103"/>
      <c r="LL1052" s="103"/>
      <c r="NM1052" s="103"/>
      <c r="QT1052" s="106"/>
      <c r="QU1052" s="106"/>
      <c r="QV1052" s="106"/>
      <c r="QW1052" s="106"/>
      <c r="QX1052" s="106"/>
      <c r="QY1052" s="106"/>
      <c r="QZ1052" s="106"/>
      <c r="RA1052" s="106"/>
      <c r="RB1052" s="106"/>
      <c r="RC1052" s="106"/>
      <c r="RD1052" s="106"/>
      <c r="RE1052" s="106"/>
      <c r="RF1052" s="106"/>
      <c r="RG1052" s="106"/>
      <c r="RH1052" s="106"/>
      <c r="RI1052" s="106"/>
      <c r="RJ1052" s="106"/>
      <c r="RK1052" s="106"/>
      <c r="RL1052" s="106"/>
    </row>
    <row r="1053" spans="88:480" x14ac:dyDescent="0.3">
      <c r="CJ1053" s="103"/>
      <c r="FP1053" s="103"/>
      <c r="LL1053" s="103"/>
      <c r="NM1053" s="103"/>
      <c r="QT1053" s="106"/>
      <c r="QU1053" s="106"/>
      <c r="QV1053" s="106"/>
      <c r="QW1053" s="106"/>
      <c r="QX1053" s="106"/>
      <c r="QY1053" s="106"/>
      <c r="QZ1053" s="106"/>
      <c r="RA1053" s="106"/>
      <c r="RB1053" s="106"/>
      <c r="RC1053" s="106"/>
      <c r="RD1053" s="106"/>
      <c r="RE1053" s="106"/>
      <c r="RF1053" s="106"/>
      <c r="RG1053" s="106"/>
      <c r="RH1053" s="106"/>
      <c r="RI1053" s="106"/>
      <c r="RJ1053" s="106"/>
      <c r="RK1053" s="106"/>
      <c r="RL1053" s="106"/>
    </row>
    <row r="1054" spans="88:480" x14ac:dyDescent="0.3">
      <c r="CJ1054" s="103"/>
      <c r="FP1054" s="103"/>
      <c r="LL1054" s="103"/>
      <c r="NM1054" s="103"/>
      <c r="QT1054" s="106"/>
      <c r="QU1054" s="106"/>
      <c r="QV1054" s="106"/>
      <c r="QW1054" s="106"/>
      <c r="QX1054" s="106"/>
      <c r="QY1054" s="106"/>
      <c r="QZ1054" s="106"/>
      <c r="RA1054" s="106"/>
      <c r="RB1054" s="106"/>
      <c r="RC1054" s="106"/>
      <c r="RD1054" s="106"/>
      <c r="RE1054" s="106"/>
      <c r="RF1054" s="106"/>
      <c r="RG1054" s="106"/>
      <c r="RH1054" s="106"/>
      <c r="RI1054" s="106"/>
      <c r="RJ1054" s="106"/>
      <c r="RK1054" s="106"/>
      <c r="RL1054" s="106"/>
    </row>
    <row r="1055" spans="88:480" x14ac:dyDescent="0.3">
      <c r="CJ1055" s="103"/>
      <c r="FP1055" s="103"/>
      <c r="LL1055" s="103"/>
      <c r="NM1055" s="103"/>
      <c r="QT1055" s="106"/>
      <c r="QU1055" s="106"/>
      <c r="QV1055" s="106"/>
      <c r="QW1055" s="106"/>
      <c r="QX1055" s="106"/>
      <c r="QY1055" s="106"/>
      <c r="QZ1055" s="106"/>
      <c r="RA1055" s="106"/>
      <c r="RB1055" s="106"/>
      <c r="RC1055" s="106"/>
      <c r="RD1055" s="106"/>
      <c r="RE1055" s="106"/>
      <c r="RF1055" s="106"/>
      <c r="RG1055" s="106"/>
      <c r="RH1055" s="106"/>
      <c r="RI1055" s="106"/>
      <c r="RJ1055" s="106"/>
      <c r="RK1055" s="106"/>
      <c r="RL1055" s="106"/>
    </row>
    <row r="1056" spans="88:480" x14ac:dyDescent="0.3">
      <c r="CJ1056" s="103"/>
      <c r="FP1056" s="103"/>
      <c r="LL1056" s="103"/>
      <c r="NM1056" s="103"/>
      <c r="QT1056" s="106"/>
      <c r="QU1056" s="106"/>
      <c r="QV1056" s="106"/>
      <c r="QW1056" s="106"/>
      <c r="QX1056" s="106"/>
      <c r="QY1056" s="106"/>
      <c r="QZ1056" s="106"/>
      <c r="RA1056" s="106"/>
      <c r="RB1056" s="106"/>
      <c r="RC1056" s="106"/>
      <c r="RD1056" s="106"/>
      <c r="RE1056" s="106"/>
      <c r="RF1056" s="106"/>
      <c r="RG1056" s="106"/>
      <c r="RH1056" s="106"/>
      <c r="RI1056" s="106"/>
      <c r="RJ1056" s="106"/>
      <c r="RK1056" s="106"/>
      <c r="RL1056" s="106"/>
    </row>
    <row r="1057" spans="88:480" x14ac:dyDescent="0.3">
      <c r="CJ1057" s="103"/>
      <c r="FP1057" s="103"/>
      <c r="LL1057" s="103"/>
      <c r="NM1057" s="103"/>
      <c r="QT1057" s="106"/>
      <c r="QU1057" s="106"/>
      <c r="QV1057" s="106"/>
      <c r="QW1057" s="106"/>
      <c r="QX1057" s="106"/>
      <c r="QY1057" s="106"/>
      <c r="QZ1057" s="106"/>
      <c r="RA1057" s="106"/>
      <c r="RB1057" s="106"/>
      <c r="RC1057" s="106"/>
      <c r="RD1057" s="106"/>
      <c r="RE1057" s="106"/>
      <c r="RF1057" s="106"/>
      <c r="RG1057" s="106"/>
      <c r="RH1057" s="106"/>
      <c r="RI1057" s="106"/>
      <c r="RJ1057" s="106"/>
      <c r="RK1057" s="106"/>
      <c r="RL1057" s="106"/>
    </row>
    <row r="1058" spans="88:480" x14ac:dyDescent="0.3">
      <c r="CJ1058" s="103"/>
      <c r="FP1058" s="103"/>
      <c r="LL1058" s="103"/>
      <c r="NM1058" s="103"/>
      <c r="QT1058" s="106"/>
      <c r="QU1058" s="106"/>
      <c r="QV1058" s="106"/>
      <c r="QW1058" s="106"/>
      <c r="QX1058" s="106"/>
      <c r="QY1058" s="106"/>
      <c r="QZ1058" s="106"/>
      <c r="RA1058" s="106"/>
      <c r="RB1058" s="106"/>
      <c r="RC1058" s="106"/>
      <c r="RD1058" s="106"/>
      <c r="RE1058" s="106"/>
      <c r="RF1058" s="106"/>
      <c r="RG1058" s="106"/>
      <c r="RH1058" s="106"/>
      <c r="RI1058" s="106"/>
      <c r="RJ1058" s="106"/>
      <c r="RK1058" s="106"/>
      <c r="RL1058" s="106"/>
    </row>
    <row r="1059" spans="88:480" x14ac:dyDescent="0.3">
      <c r="CJ1059" s="103"/>
      <c r="FP1059" s="103"/>
      <c r="LL1059" s="103"/>
      <c r="NM1059" s="103"/>
      <c r="QT1059" s="106"/>
      <c r="QU1059" s="106"/>
      <c r="QV1059" s="106"/>
      <c r="QW1059" s="106"/>
      <c r="QX1059" s="106"/>
      <c r="QY1059" s="106"/>
      <c r="QZ1059" s="106"/>
      <c r="RA1059" s="106"/>
      <c r="RB1059" s="106"/>
      <c r="RC1059" s="106"/>
      <c r="RD1059" s="106"/>
      <c r="RE1059" s="106"/>
      <c r="RF1059" s="106"/>
      <c r="RG1059" s="106"/>
      <c r="RH1059" s="106"/>
      <c r="RI1059" s="106"/>
      <c r="RJ1059" s="106"/>
      <c r="RK1059" s="106"/>
      <c r="RL1059" s="106"/>
    </row>
    <row r="1060" spans="88:480" x14ac:dyDescent="0.3">
      <c r="CJ1060" s="103"/>
      <c r="FP1060" s="103"/>
      <c r="LL1060" s="103"/>
      <c r="NM1060" s="103"/>
      <c r="QT1060" s="106"/>
      <c r="QU1060" s="106"/>
      <c r="QV1060" s="106"/>
      <c r="QW1060" s="106"/>
      <c r="QX1060" s="106"/>
      <c r="QY1060" s="106"/>
      <c r="QZ1060" s="106"/>
      <c r="RA1060" s="106"/>
      <c r="RB1060" s="106"/>
      <c r="RC1060" s="106"/>
      <c r="RD1060" s="106"/>
      <c r="RE1060" s="106"/>
      <c r="RF1060" s="106"/>
      <c r="RG1060" s="106"/>
      <c r="RH1060" s="106"/>
      <c r="RI1060" s="106"/>
      <c r="RJ1060" s="106"/>
      <c r="RK1060" s="106"/>
      <c r="RL1060" s="106"/>
    </row>
    <row r="1061" spans="88:480" x14ac:dyDescent="0.3">
      <c r="CJ1061" s="103"/>
      <c r="FP1061" s="103"/>
      <c r="LL1061" s="103"/>
      <c r="NM1061" s="103"/>
      <c r="QT1061" s="106"/>
      <c r="QU1061" s="106"/>
      <c r="QV1061" s="106"/>
      <c r="QW1061" s="106"/>
      <c r="QX1061" s="106"/>
      <c r="QY1061" s="106"/>
      <c r="QZ1061" s="106"/>
      <c r="RA1061" s="106"/>
      <c r="RB1061" s="106"/>
      <c r="RC1061" s="106"/>
      <c r="RD1061" s="106"/>
      <c r="RE1061" s="106"/>
      <c r="RF1061" s="106"/>
      <c r="RG1061" s="106"/>
      <c r="RH1061" s="106"/>
      <c r="RI1061" s="106"/>
      <c r="RJ1061" s="106"/>
      <c r="RK1061" s="106"/>
      <c r="RL1061" s="106"/>
    </row>
    <row r="1062" spans="88:480" x14ac:dyDescent="0.3">
      <c r="CJ1062" s="103"/>
      <c r="FP1062" s="103"/>
      <c r="LL1062" s="103"/>
      <c r="NM1062" s="103"/>
      <c r="QT1062" s="106"/>
      <c r="QU1062" s="106"/>
      <c r="QV1062" s="106"/>
      <c r="QW1062" s="106"/>
      <c r="QX1062" s="106"/>
      <c r="QY1062" s="106"/>
      <c r="QZ1062" s="106"/>
      <c r="RA1062" s="106"/>
      <c r="RB1062" s="106"/>
      <c r="RC1062" s="106"/>
      <c r="RD1062" s="106"/>
      <c r="RE1062" s="106"/>
      <c r="RF1062" s="106"/>
      <c r="RG1062" s="106"/>
      <c r="RH1062" s="106"/>
      <c r="RI1062" s="106"/>
      <c r="RJ1062" s="106"/>
      <c r="RK1062" s="106"/>
      <c r="RL1062" s="106"/>
    </row>
    <row r="1063" spans="88:480" x14ac:dyDescent="0.3">
      <c r="CJ1063" s="103"/>
      <c r="FP1063" s="103"/>
      <c r="LL1063" s="103"/>
      <c r="NM1063" s="103"/>
      <c r="QT1063" s="106"/>
      <c r="QU1063" s="106"/>
      <c r="QV1063" s="106"/>
      <c r="QW1063" s="106"/>
      <c r="QX1063" s="106"/>
      <c r="QY1063" s="106"/>
      <c r="QZ1063" s="106"/>
      <c r="RA1063" s="106"/>
      <c r="RB1063" s="106"/>
      <c r="RC1063" s="106"/>
      <c r="RD1063" s="106"/>
      <c r="RE1063" s="106"/>
      <c r="RF1063" s="106"/>
      <c r="RG1063" s="106"/>
      <c r="RH1063" s="106"/>
      <c r="RI1063" s="106"/>
      <c r="RJ1063" s="106"/>
      <c r="RK1063" s="106"/>
      <c r="RL1063" s="106"/>
    </row>
    <row r="1064" spans="88:480" x14ac:dyDescent="0.3">
      <c r="CJ1064" s="103"/>
      <c r="FP1064" s="103"/>
      <c r="LL1064" s="103"/>
      <c r="NM1064" s="103"/>
      <c r="QT1064" s="106"/>
      <c r="QU1064" s="106"/>
      <c r="QV1064" s="106"/>
      <c r="QW1064" s="106"/>
      <c r="QX1064" s="106"/>
      <c r="QY1064" s="106"/>
      <c r="QZ1064" s="106"/>
      <c r="RA1064" s="106"/>
      <c r="RB1064" s="106"/>
      <c r="RC1064" s="106"/>
      <c r="RD1064" s="106"/>
      <c r="RE1064" s="106"/>
      <c r="RF1064" s="106"/>
      <c r="RG1064" s="106"/>
      <c r="RH1064" s="106"/>
      <c r="RI1064" s="106"/>
      <c r="RJ1064" s="106"/>
      <c r="RK1064" s="106"/>
      <c r="RL1064" s="106"/>
    </row>
    <row r="1065" spans="88:480" x14ac:dyDescent="0.3">
      <c r="CJ1065" s="103"/>
      <c r="FP1065" s="103"/>
      <c r="LL1065" s="103"/>
      <c r="NM1065" s="103"/>
      <c r="QT1065" s="106"/>
      <c r="QU1065" s="106"/>
      <c r="QV1065" s="106"/>
      <c r="QW1065" s="106"/>
      <c r="QX1065" s="106"/>
      <c r="QY1065" s="106"/>
      <c r="QZ1065" s="106"/>
      <c r="RA1065" s="106"/>
      <c r="RB1065" s="106"/>
      <c r="RC1065" s="106"/>
      <c r="RD1065" s="106"/>
      <c r="RE1065" s="106"/>
      <c r="RF1065" s="106"/>
      <c r="RG1065" s="106"/>
      <c r="RH1065" s="106"/>
      <c r="RI1065" s="106"/>
      <c r="RJ1065" s="106"/>
      <c r="RK1065" s="106"/>
      <c r="RL1065" s="106"/>
    </row>
    <row r="1066" spans="88:480" x14ac:dyDescent="0.3">
      <c r="CJ1066" s="103"/>
      <c r="FP1066" s="103"/>
      <c r="LL1066" s="103"/>
      <c r="NM1066" s="103"/>
      <c r="QT1066" s="106"/>
      <c r="QU1066" s="106"/>
      <c r="QV1066" s="106"/>
      <c r="QW1066" s="106"/>
      <c r="QX1066" s="106"/>
      <c r="QY1066" s="106"/>
      <c r="QZ1066" s="106"/>
      <c r="RA1066" s="106"/>
      <c r="RB1066" s="106"/>
      <c r="RC1066" s="106"/>
      <c r="RD1066" s="106"/>
      <c r="RE1066" s="106"/>
      <c r="RF1066" s="106"/>
      <c r="RG1066" s="106"/>
      <c r="RH1066" s="106"/>
      <c r="RI1066" s="106"/>
      <c r="RJ1066" s="106"/>
      <c r="RK1066" s="106"/>
      <c r="RL1066" s="106"/>
    </row>
    <row r="1067" spans="88:480" x14ac:dyDescent="0.3">
      <c r="CJ1067" s="103"/>
      <c r="FP1067" s="103"/>
      <c r="LL1067" s="103"/>
      <c r="NM1067" s="103"/>
      <c r="QT1067" s="106"/>
      <c r="QU1067" s="106"/>
      <c r="QV1067" s="106"/>
      <c r="QW1067" s="106"/>
      <c r="QX1067" s="106"/>
      <c r="QY1067" s="106"/>
      <c r="QZ1067" s="106"/>
      <c r="RA1067" s="106"/>
      <c r="RB1067" s="106"/>
      <c r="RC1067" s="106"/>
      <c r="RD1067" s="106"/>
      <c r="RE1067" s="106"/>
      <c r="RF1067" s="106"/>
      <c r="RG1067" s="106"/>
      <c r="RH1067" s="106"/>
      <c r="RI1067" s="106"/>
      <c r="RJ1067" s="106"/>
      <c r="RK1067" s="106"/>
      <c r="RL1067" s="106"/>
    </row>
    <row r="1068" spans="88:480" x14ac:dyDescent="0.3">
      <c r="CJ1068" s="103"/>
      <c r="FP1068" s="103"/>
      <c r="LL1068" s="103"/>
      <c r="NM1068" s="103"/>
      <c r="QT1068" s="106"/>
      <c r="QU1068" s="106"/>
      <c r="QV1068" s="106"/>
      <c r="QW1068" s="106"/>
      <c r="QX1068" s="106"/>
      <c r="QY1068" s="106"/>
      <c r="QZ1068" s="106"/>
      <c r="RA1068" s="106"/>
      <c r="RB1068" s="106"/>
      <c r="RC1068" s="106"/>
      <c r="RD1068" s="106"/>
      <c r="RE1068" s="106"/>
      <c r="RF1068" s="106"/>
      <c r="RG1068" s="106"/>
      <c r="RH1068" s="106"/>
      <c r="RI1068" s="106"/>
      <c r="RJ1068" s="106"/>
      <c r="RK1068" s="106"/>
      <c r="RL1068" s="106"/>
    </row>
    <row r="1069" spans="88:480" x14ac:dyDescent="0.3">
      <c r="CJ1069" s="103"/>
      <c r="FP1069" s="103"/>
      <c r="LL1069" s="103"/>
      <c r="NM1069" s="103"/>
      <c r="QT1069" s="106"/>
      <c r="QU1069" s="106"/>
      <c r="QV1069" s="106"/>
      <c r="QW1069" s="106"/>
      <c r="QX1069" s="106"/>
      <c r="QY1069" s="106"/>
      <c r="QZ1069" s="106"/>
      <c r="RA1069" s="106"/>
      <c r="RB1069" s="106"/>
      <c r="RC1069" s="106"/>
      <c r="RD1069" s="106"/>
      <c r="RE1069" s="106"/>
      <c r="RF1069" s="106"/>
      <c r="RG1069" s="106"/>
      <c r="RH1069" s="106"/>
      <c r="RI1069" s="106"/>
      <c r="RJ1069" s="106"/>
      <c r="RK1069" s="106"/>
      <c r="RL1069" s="106"/>
    </row>
    <row r="1070" spans="88:480" x14ac:dyDescent="0.3">
      <c r="CJ1070" s="103"/>
      <c r="FP1070" s="103"/>
      <c r="LL1070" s="103"/>
      <c r="NM1070" s="103"/>
      <c r="QT1070" s="106"/>
      <c r="QU1070" s="106"/>
      <c r="QV1070" s="106"/>
      <c r="QW1070" s="106"/>
      <c r="QX1070" s="106"/>
      <c r="QY1070" s="106"/>
      <c r="QZ1070" s="106"/>
      <c r="RA1070" s="106"/>
      <c r="RB1070" s="106"/>
      <c r="RC1070" s="106"/>
      <c r="RD1070" s="106"/>
      <c r="RE1070" s="106"/>
      <c r="RF1070" s="106"/>
      <c r="RG1070" s="106"/>
      <c r="RH1070" s="106"/>
      <c r="RI1070" s="106"/>
      <c r="RJ1070" s="106"/>
      <c r="RK1070" s="106"/>
      <c r="RL1070" s="106"/>
    </row>
    <row r="1071" spans="88:480" x14ac:dyDescent="0.3">
      <c r="CJ1071" s="103"/>
      <c r="FP1071" s="103"/>
      <c r="LL1071" s="103"/>
      <c r="NM1071" s="103"/>
      <c r="QT1071" s="106"/>
      <c r="QU1071" s="106"/>
      <c r="QV1071" s="106"/>
      <c r="QW1071" s="106"/>
      <c r="QX1071" s="106"/>
      <c r="QY1071" s="106"/>
      <c r="QZ1071" s="106"/>
      <c r="RA1071" s="106"/>
      <c r="RB1071" s="106"/>
      <c r="RC1071" s="106"/>
      <c r="RD1071" s="106"/>
      <c r="RE1071" s="106"/>
      <c r="RF1071" s="106"/>
      <c r="RG1071" s="106"/>
      <c r="RH1071" s="106"/>
      <c r="RI1071" s="106"/>
      <c r="RJ1071" s="106"/>
      <c r="RK1071" s="106"/>
      <c r="RL1071" s="106"/>
    </row>
    <row r="1072" spans="88:480" x14ac:dyDescent="0.3">
      <c r="CJ1072" s="103"/>
      <c r="FP1072" s="103"/>
      <c r="LL1072" s="103"/>
      <c r="NM1072" s="103"/>
      <c r="QT1072" s="106"/>
      <c r="QU1072" s="106"/>
      <c r="QV1072" s="106"/>
      <c r="QW1072" s="106"/>
      <c r="QX1072" s="106"/>
      <c r="QY1072" s="106"/>
      <c r="QZ1072" s="106"/>
      <c r="RA1072" s="106"/>
      <c r="RB1072" s="106"/>
      <c r="RC1072" s="106"/>
      <c r="RD1072" s="106"/>
      <c r="RE1072" s="106"/>
      <c r="RF1072" s="106"/>
      <c r="RG1072" s="106"/>
      <c r="RH1072" s="106"/>
      <c r="RI1072" s="106"/>
      <c r="RJ1072" s="106"/>
      <c r="RK1072" s="106"/>
      <c r="RL1072" s="106"/>
    </row>
    <row r="1073" spans="88:480" x14ac:dyDescent="0.3">
      <c r="CJ1073" s="103"/>
      <c r="FP1073" s="103"/>
      <c r="LL1073" s="103"/>
      <c r="NM1073" s="103"/>
      <c r="QT1073" s="106"/>
      <c r="QU1073" s="106"/>
      <c r="QV1073" s="106"/>
      <c r="QW1073" s="106"/>
      <c r="QX1073" s="106"/>
      <c r="QY1073" s="106"/>
      <c r="QZ1073" s="106"/>
      <c r="RA1073" s="106"/>
      <c r="RB1073" s="106"/>
      <c r="RC1073" s="106"/>
      <c r="RD1073" s="106"/>
      <c r="RE1073" s="106"/>
      <c r="RF1073" s="106"/>
      <c r="RG1073" s="106"/>
      <c r="RH1073" s="106"/>
      <c r="RI1073" s="106"/>
      <c r="RJ1073" s="106"/>
      <c r="RK1073" s="106"/>
      <c r="RL1073" s="106"/>
    </row>
    <row r="1074" spans="88:480" x14ac:dyDescent="0.3">
      <c r="CJ1074" s="103"/>
      <c r="FP1074" s="103"/>
      <c r="LL1074" s="103"/>
      <c r="NM1074" s="103"/>
      <c r="QT1074" s="106"/>
      <c r="QU1074" s="106"/>
      <c r="QV1074" s="106"/>
      <c r="QW1074" s="106"/>
      <c r="QX1074" s="106"/>
      <c r="QY1074" s="106"/>
      <c r="QZ1074" s="106"/>
      <c r="RA1074" s="106"/>
      <c r="RB1074" s="106"/>
      <c r="RC1074" s="106"/>
      <c r="RD1074" s="106"/>
      <c r="RE1074" s="106"/>
      <c r="RF1074" s="106"/>
      <c r="RG1074" s="106"/>
      <c r="RH1074" s="106"/>
      <c r="RI1074" s="106"/>
      <c r="RJ1074" s="106"/>
      <c r="RK1074" s="106"/>
      <c r="RL1074" s="106"/>
    </row>
    <row r="1075" spans="88:480" x14ac:dyDescent="0.3">
      <c r="CJ1075" s="103"/>
      <c r="FP1075" s="103"/>
      <c r="LL1075" s="103"/>
      <c r="NM1075" s="103"/>
      <c r="QT1075" s="106"/>
      <c r="QU1075" s="106"/>
      <c r="QV1075" s="106"/>
      <c r="QW1075" s="106"/>
      <c r="QX1075" s="106"/>
      <c r="QY1075" s="106"/>
      <c r="QZ1075" s="106"/>
      <c r="RA1075" s="106"/>
      <c r="RB1075" s="106"/>
      <c r="RC1075" s="106"/>
      <c r="RD1075" s="106"/>
      <c r="RE1075" s="106"/>
      <c r="RF1075" s="106"/>
      <c r="RG1075" s="106"/>
      <c r="RH1075" s="106"/>
      <c r="RI1075" s="106"/>
      <c r="RJ1075" s="106"/>
      <c r="RK1075" s="106"/>
      <c r="RL1075" s="106"/>
    </row>
    <row r="1076" spans="88:480" x14ac:dyDescent="0.3">
      <c r="CJ1076" s="103"/>
      <c r="FP1076" s="103"/>
      <c r="LL1076" s="103"/>
      <c r="NM1076" s="103"/>
      <c r="QT1076" s="106"/>
      <c r="QU1076" s="106"/>
      <c r="QV1076" s="106"/>
      <c r="QW1076" s="106"/>
      <c r="QX1076" s="106"/>
      <c r="QY1076" s="106"/>
      <c r="QZ1076" s="106"/>
      <c r="RA1076" s="106"/>
      <c r="RB1076" s="106"/>
      <c r="RC1076" s="106"/>
      <c r="RD1076" s="106"/>
      <c r="RE1076" s="106"/>
      <c r="RF1076" s="106"/>
      <c r="RG1076" s="106"/>
      <c r="RH1076" s="106"/>
      <c r="RI1076" s="106"/>
      <c r="RJ1076" s="106"/>
      <c r="RK1076" s="106"/>
      <c r="RL1076" s="106"/>
    </row>
    <row r="1077" spans="88:480" x14ac:dyDescent="0.3">
      <c r="CJ1077" s="103"/>
      <c r="FP1077" s="103"/>
      <c r="LL1077" s="103"/>
      <c r="NM1077" s="103"/>
      <c r="QT1077" s="106"/>
      <c r="QU1077" s="106"/>
      <c r="QV1077" s="106"/>
      <c r="QW1077" s="106"/>
      <c r="QX1077" s="106"/>
      <c r="QY1077" s="106"/>
      <c r="QZ1077" s="106"/>
      <c r="RA1077" s="106"/>
      <c r="RB1077" s="106"/>
      <c r="RC1077" s="106"/>
      <c r="RD1077" s="106"/>
      <c r="RE1077" s="106"/>
      <c r="RF1077" s="106"/>
      <c r="RG1077" s="106"/>
      <c r="RH1077" s="106"/>
      <c r="RI1077" s="106"/>
      <c r="RJ1077" s="106"/>
      <c r="RK1077" s="106"/>
      <c r="RL1077" s="106"/>
    </row>
    <row r="1078" spans="88:480" x14ac:dyDescent="0.3">
      <c r="CJ1078" s="103"/>
      <c r="FP1078" s="103"/>
      <c r="LL1078" s="103"/>
      <c r="NM1078" s="103"/>
      <c r="QT1078" s="106"/>
      <c r="QU1078" s="106"/>
      <c r="QV1078" s="106"/>
      <c r="QW1078" s="106"/>
      <c r="QX1078" s="106"/>
      <c r="QY1078" s="106"/>
      <c r="QZ1078" s="106"/>
      <c r="RA1078" s="106"/>
      <c r="RB1078" s="106"/>
      <c r="RC1078" s="106"/>
      <c r="RD1078" s="106"/>
      <c r="RE1078" s="106"/>
      <c r="RF1078" s="106"/>
      <c r="RG1078" s="106"/>
      <c r="RH1078" s="106"/>
      <c r="RI1078" s="106"/>
      <c r="RJ1078" s="106"/>
      <c r="RK1078" s="106"/>
      <c r="RL1078" s="106"/>
    </row>
    <row r="1079" spans="88:480" x14ac:dyDescent="0.3">
      <c r="CJ1079" s="103"/>
      <c r="FP1079" s="103"/>
      <c r="LL1079" s="103"/>
      <c r="NM1079" s="103"/>
      <c r="QT1079" s="106"/>
      <c r="QU1079" s="106"/>
      <c r="QV1079" s="106"/>
      <c r="QW1079" s="106"/>
      <c r="QX1079" s="106"/>
      <c r="QY1079" s="106"/>
      <c r="QZ1079" s="106"/>
      <c r="RA1079" s="106"/>
      <c r="RB1079" s="106"/>
      <c r="RC1079" s="106"/>
      <c r="RD1079" s="106"/>
      <c r="RE1079" s="106"/>
      <c r="RF1079" s="106"/>
      <c r="RG1079" s="106"/>
      <c r="RH1079" s="106"/>
      <c r="RI1079" s="106"/>
      <c r="RJ1079" s="106"/>
      <c r="RK1079" s="106"/>
      <c r="RL1079" s="106"/>
    </row>
    <row r="1080" spans="88:480" x14ac:dyDescent="0.3">
      <c r="CJ1080" s="103"/>
      <c r="FP1080" s="103"/>
      <c r="LL1080" s="103"/>
      <c r="NM1080" s="103"/>
      <c r="QT1080" s="106"/>
      <c r="QU1080" s="106"/>
      <c r="QV1080" s="106"/>
      <c r="QW1080" s="106"/>
      <c r="QX1080" s="106"/>
      <c r="QY1080" s="106"/>
      <c r="QZ1080" s="106"/>
      <c r="RA1080" s="106"/>
      <c r="RB1080" s="106"/>
      <c r="RC1080" s="106"/>
      <c r="RD1080" s="106"/>
      <c r="RE1080" s="106"/>
      <c r="RF1080" s="106"/>
      <c r="RG1080" s="106"/>
      <c r="RH1080" s="106"/>
      <c r="RI1080" s="106"/>
      <c r="RJ1080" s="106"/>
      <c r="RK1080" s="106"/>
      <c r="RL1080" s="106"/>
    </row>
    <row r="1081" spans="88:480" x14ac:dyDescent="0.3">
      <c r="CJ1081" s="103"/>
      <c r="FP1081" s="103"/>
      <c r="LL1081" s="103"/>
      <c r="NM1081" s="103"/>
      <c r="QT1081" s="106"/>
      <c r="QU1081" s="106"/>
      <c r="QV1081" s="106"/>
      <c r="QW1081" s="106"/>
      <c r="QX1081" s="106"/>
      <c r="QY1081" s="106"/>
      <c r="QZ1081" s="106"/>
      <c r="RA1081" s="106"/>
      <c r="RB1081" s="106"/>
      <c r="RC1081" s="106"/>
      <c r="RD1081" s="106"/>
      <c r="RE1081" s="106"/>
      <c r="RF1081" s="106"/>
      <c r="RG1081" s="106"/>
      <c r="RH1081" s="106"/>
      <c r="RI1081" s="106"/>
      <c r="RJ1081" s="106"/>
      <c r="RK1081" s="106"/>
      <c r="RL1081" s="106"/>
    </row>
    <row r="1082" spans="88:480" x14ac:dyDescent="0.3">
      <c r="CJ1082" s="103"/>
      <c r="FP1082" s="103"/>
      <c r="LL1082" s="103"/>
      <c r="NM1082" s="103"/>
      <c r="QT1082" s="106"/>
      <c r="QU1082" s="106"/>
      <c r="QV1082" s="106"/>
      <c r="QW1082" s="106"/>
      <c r="QX1082" s="106"/>
      <c r="QY1082" s="106"/>
      <c r="QZ1082" s="106"/>
      <c r="RA1082" s="106"/>
      <c r="RB1082" s="106"/>
      <c r="RC1082" s="106"/>
      <c r="RD1082" s="106"/>
      <c r="RE1082" s="106"/>
      <c r="RF1082" s="106"/>
      <c r="RG1082" s="106"/>
      <c r="RH1082" s="106"/>
      <c r="RI1082" s="106"/>
      <c r="RJ1082" s="106"/>
      <c r="RK1082" s="106"/>
      <c r="RL1082" s="106"/>
    </row>
    <row r="1083" spans="88:480" x14ac:dyDescent="0.3">
      <c r="CJ1083" s="103"/>
      <c r="FP1083" s="103"/>
      <c r="LL1083" s="103"/>
      <c r="NM1083" s="103"/>
      <c r="QT1083" s="106"/>
      <c r="QU1083" s="106"/>
      <c r="QV1083" s="106"/>
      <c r="QW1083" s="106"/>
      <c r="QX1083" s="106"/>
      <c r="QY1083" s="106"/>
      <c r="QZ1083" s="106"/>
      <c r="RA1083" s="106"/>
      <c r="RB1083" s="106"/>
      <c r="RC1083" s="106"/>
      <c r="RD1083" s="106"/>
      <c r="RE1083" s="106"/>
      <c r="RF1083" s="106"/>
      <c r="RG1083" s="106"/>
      <c r="RH1083" s="106"/>
      <c r="RI1083" s="106"/>
      <c r="RJ1083" s="106"/>
      <c r="RK1083" s="106"/>
      <c r="RL1083" s="106"/>
    </row>
    <row r="1084" spans="88:480" x14ac:dyDescent="0.3">
      <c r="CJ1084" s="103"/>
      <c r="FP1084" s="103"/>
      <c r="LL1084" s="103"/>
      <c r="NM1084" s="103"/>
      <c r="QT1084" s="106"/>
      <c r="QU1084" s="106"/>
      <c r="QV1084" s="106"/>
      <c r="QW1084" s="106"/>
      <c r="QX1084" s="106"/>
      <c r="QY1084" s="106"/>
      <c r="QZ1084" s="106"/>
      <c r="RA1084" s="106"/>
      <c r="RB1084" s="106"/>
      <c r="RC1084" s="106"/>
      <c r="RD1084" s="106"/>
      <c r="RE1084" s="106"/>
      <c r="RF1084" s="106"/>
      <c r="RG1084" s="106"/>
      <c r="RH1084" s="106"/>
      <c r="RI1084" s="106"/>
      <c r="RJ1084" s="106"/>
      <c r="RK1084" s="106"/>
      <c r="RL1084" s="106"/>
    </row>
    <row r="1085" spans="88:480" x14ac:dyDescent="0.3">
      <c r="CJ1085" s="103"/>
      <c r="FP1085" s="103"/>
      <c r="LL1085" s="103"/>
      <c r="NM1085" s="103"/>
      <c r="QT1085" s="106"/>
      <c r="QU1085" s="106"/>
      <c r="QV1085" s="106"/>
      <c r="QW1085" s="106"/>
      <c r="QX1085" s="106"/>
      <c r="QY1085" s="106"/>
      <c r="QZ1085" s="106"/>
      <c r="RA1085" s="106"/>
      <c r="RB1085" s="106"/>
      <c r="RC1085" s="106"/>
      <c r="RD1085" s="106"/>
      <c r="RE1085" s="106"/>
      <c r="RF1085" s="106"/>
      <c r="RG1085" s="106"/>
      <c r="RH1085" s="106"/>
      <c r="RI1085" s="106"/>
      <c r="RJ1085" s="106"/>
      <c r="RK1085" s="106"/>
      <c r="RL1085" s="106"/>
    </row>
    <row r="1086" spans="88:480" x14ac:dyDescent="0.3">
      <c r="CJ1086" s="103"/>
      <c r="FP1086" s="103"/>
      <c r="LL1086" s="103"/>
      <c r="NM1086" s="103"/>
      <c r="QT1086" s="106"/>
      <c r="QU1086" s="106"/>
      <c r="QV1086" s="106"/>
      <c r="QW1086" s="106"/>
      <c r="QX1086" s="106"/>
      <c r="QY1086" s="106"/>
      <c r="QZ1086" s="106"/>
      <c r="RA1086" s="106"/>
      <c r="RB1086" s="106"/>
      <c r="RC1086" s="106"/>
      <c r="RD1086" s="106"/>
      <c r="RE1086" s="106"/>
      <c r="RF1086" s="106"/>
      <c r="RG1086" s="106"/>
      <c r="RH1086" s="106"/>
      <c r="RI1086" s="106"/>
      <c r="RJ1086" s="106"/>
      <c r="RK1086" s="106"/>
      <c r="RL1086" s="106"/>
    </row>
    <row r="1087" spans="88:480" x14ac:dyDescent="0.3">
      <c r="CJ1087" s="103"/>
      <c r="FP1087" s="103"/>
      <c r="LL1087" s="103"/>
      <c r="NM1087" s="103"/>
      <c r="QT1087" s="106"/>
      <c r="QU1087" s="106"/>
      <c r="QV1087" s="106"/>
      <c r="QW1087" s="106"/>
      <c r="QX1087" s="106"/>
      <c r="QY1087" s="106"/>
      <c r="QZ1087" s="106"/>
      <c r="RA1087" s="106"/>
      <c r="RB1087" s="106"/>
      <c r="RC1087" s="106"/>
      <c r="RD1087" s="106"/>
      <c r="RE1087" s="106"/>
      <c r="RF1087" s="106"/>
      <c r="RG1087" s="106"/>
      <c r="RH1087" s="106"/>
      <c r="RI1087" s="106"/>
      <c r="RJ1087" s="106"/>
      <c r="RK1087" s="106"/>
      <c r="RL1087" s="106"/>
    </row>
    <row r="1088" spans="88:480" x14ac:dyDescent="0.3">
      <c r="CJ1088" s="103"/>
      <c r="FP1088" s="103"/>
      <c r="LL1088" s="103"/>
      <c r="NM1088" s="103"/>
      <c r="QT1088" s="106"/>
      <c r="QU1088" s="106"/>
      <c r="QV1088" s="106"/>
      <c r="QW1088" s="106"/>
      <c r="QX1088" s="106"/>
      <c r="QY1088" s="106"/>
      <c r="QZ1088" s="106"/>
      <c r="RA1088" s="106"/>
      <c r="RB1088" s="106"/>
      <c r="RC1088" s="106"/>
      <c r="RD1088" s="106"/>
      <c r="RE1088" s="106"/>
      <c r="RF1088" s="106"/>
      <c r="RG1088" s="106"/>
      <c r="RH1088" s="106"/>
      <c r="RI1088" s="106"/>
      <c r="RJ1088" s="106"/>
      <c r="RK1088" s="106"/>
      <c r="RL1088" s="106"/>
    </row>
    <row r="1089" spans="48:480" x14ac:dyDescent="0.3">
      <c r="CJ1089" s="103"/>
      <c r="FP1089" s="103"/>
      <c r="LL1089" s="103"/>
      <c r="NM1089" s="103"/>
      <c r="QT1089" s="106"/>
      <c r="QU1089" s="106"/>
      <c r="QV1089" s="106"/>
      <c r="QW1089" s="106"/>
      <c r="QX1089" s="106"/>
      <c r="QY1089" s="106"/>
      <c r="QZ1089" s="106"/>
      <c r="RA1089" s="106"/>
      <c r="RB1089" s="106"/>
      <c r="RC1089" s="106"/>
      <c r="RD1089" s="106"/>
      <c r="RE1089" s="106"/>
      <c r="RF1089" s="106"/>
      <c r="RG1089" s="106"/>
      <c r="RH1089" s="106"/>
      <c r="RI1089" s="106"/>
      <c r="RJ1089" s="106"/>
      <c r="RK1089" s="106"/>
      <c r="RL1089" s="106"/>
    </row>
    <row r="1090" spans="48:480" x14ac:dyDescent="0.3">
      <c r="CJ1090" s="103"/>
      <c r="FP1090" s="103"/>
      <c r="LL1090" s="103"/>
      <c r="NM1090" s="103"/>
      <c r="QT1090" s="106"/>
      <c r="QU1090" s="106"/>
      <c r="QV1090" s="106"/>
      <c r="QW1090" s="106"/>
      <c r="QX1090" s="106"/>
      <c r="QY1090" s="106"/>
      <c r="QZ1090" s="106"/>
      <c r="RA1090" s="106"/>
      <c r="RB1090" s="106"/>
      <c r="RC1090" s="106"/>
      <c r="RD1090" s="106"/>
      <c r="RE1090" s="106"/>
      <c r="RF1090" s="106"/>
      <c r="RG1090" s="106"/>
      <c r="RH1090" s="106"/>
      <c r="RI1090" s="106"/>
      <c r="RJ1090" s="106"/>
      <c r="RK1090" s="106"/>
      <c r="RL1090" s="106"/>
    </row>
    <row r="1091" spans="48:480" x14ac:dyDescent="0.3">
      <c r="CJ1091" s="103"/>
      <c r="FP1091" s="103"/>
      <c r="LL1091" s="103"/>
      <c r="NM1091" s="103"/>
      <c r="QT1091" s="106"/>
      <c r="QU1091" s="106"/>
      <c r="QV1091" s="106"/>
      <c r="QW1091" s="106"/>
      <c r="QX1091" s="106"/>
      <c r="QY1091" s="106"/>
      <c r="QZ1091" s="106"/>
      <c r="RA1091" s="106"/>
      <c r="RB1091" s="106"/>
      <c r="RC1091" s="106"/>
      <c r="RD1091" s="106"/>
      <c r="RE1091" s="106"/>
      <c r="RF1091" s="106"/>
      <c r="RG1091" s="106"/>
      <c r="RH1091" s="106"/>
      <c r="RI1091" s="106"/>
      <c r="RJ1091" s="106"/>
      <c r="RK1091" s="106"/>
      <c r="RL1091" s="106"/>
    </row>
    <row r="1092" spans="48:480" x14ac:dyDescent="0.3">
      <c r="CJ1092" s="103"/>
      <c r="FP1092" s="103"/>
      <c r="LL1092" s="103"/>
      <c r="NM1092" s="103"/>
      <c r="QT1092" s="106"/>
      <c r="QU1092" s="106"/>
      <c r="QV1092" s="106"/>
      <c r="QW1092" s="106"/>
      <c r="QX1092" s="106"/>
      <c r="QY1092" s="106"/>
      <c r="QZ1092" s="106"/>
      <c r="RA1092" s="106"/>
      <c r="RB1092" s="106"/>
      <c r="RC1092" s="106"/>
      <c r="RD1092" s="106"/>
      <c r="RE1092" s="106"/>
      <c r="RF1092" s="106"/>
      <c r="RG1092" s="106"/>
      <c r="RH1092" s="106"/>
      <c r="RI1092" s="106"/>
      <c r="RJ1092" s="106"/>
      <c r="RK1092" s="106"/>
      <c r="RL1092" s="106"/>
    </row>
    <row r="1093" spans="48:480" x14ac:dyDescent="0.3">
      <c r="CJ1093" s="103"/>
      <c r="FP1093" s="103"/>
      <c r="LL1093" s="103"/>
      <c r="NM1093" s="103"/>
      <c r="QT1093" s="106"/>
      <c r="QU1093" s="106"/>
      <c r="QV1093" s="106"/>
      <c r="QW1093" s="106"/>
      <c r="QX1093" s="106"/>
      <c r="QY1093" s="106"/>
      <c r="QZ1093" s="106"/>
      <c r="RA1093" s="106"/>
      <c r="RB1093" s="106"/>
      <c r="RC1093" s="106"/>
      <c r="RD1093" s="106"/>
      <c r="RE1093" s="106"/>
      <c r="RF1093" s="106"/>
      <c r="RG1093" s="106"/>
      <c r="RH1093" s="106"/>
      <c r="RI1093" s="106"/>
      <c r="RJ1093" s="106"/>
      <c r="RK1093" s="106"/>
      <c r="RL1093" s="106"/>
    </row>
    <row r="1094" spans="48:480" x14ac:dyDescent="0.3">
      <c r="CJ1094" s="103"/>
      <c r="FP1094" s="103"/>
      <c r="LL1094" s="103"/>
      <c r="NM1094" s="103"/>
      <c r="QT1094" s="106"/>
      <c r="QU1094" s="106"/>
      <c r="QV1094" s="106"/>
      <c r="QW1094" s="106"/>
      <c r="QX1094" s="106"/>
      <c r="QY1094" s="106"/>
      <c r="QZ1094" s="106"/>
      <c r="RA1094" s="106"/>
      <c r="RB1094" s="106"/>
      <c r="RC1094" s="106"/>
      <c r="RD1094" s="106"/>
      <c r="RE1094" s="106"/>
      <c r="RF1094" s="106"/>
      <c r="RG1094" s="106"/>
      <c r="RH1094" s="106"/>
      <c r="RI1094" s="106"/>
      <c r="RJ1094" s="106"/>
      <c r="RK1094" s="106"/>
      <c r="RL1094" s="106"/>
    </row>
    <row r="1095" spans="48:480" x14ac:dyDescent="0.3">
      <c r="AV1095" s="103"/>
      <c r="CJ1095" s="103"/>
      <c r="FP1095" s="103"/>
      <c r="LL1095" s="103"/>
      <c r="NM1095" s="103"/>
      <c r="QT1095" s="106"/>
      <c r="QU1095" s="106"/>
      <c r="QV1095" s="106"/>
      <c r="QW1095" s="106"/>
      <c r="QX1095" s="106"/>
      <c r="QY1095" s="106"/>
      <c r="QZ1095" s="106"/>
      <c r="RA1095" s="106"/>
      <c r="RB1095" s="106"/>
      <c r="RC1095" s="106"/>
      <c r="RD1095" s="106"/>
      <c r="RE1095" s="106"/>
      <c r="RF1095" s="106"/>
      <c r="RG1095" s="106"/>
      <c r="RH1095" s="106"/>
      <c r="RI1095" s="106"/>
      <c r="RJ1095" s="106"/>
      <c r="RK1095" s="106"/>
      <c r="RL1095" s="106"/>
    </row>
    <row r="1096" spans="48:480" x14ac:dyDescent="0.3">
      <c r="CJ1096" s="103"/>
      <c r="FP1096" s="103"/>
      <c r="LL1096" s="103"/>
      <c r="NM1096" s="103"/>
      <c r="QT1096" s="106"/>
      <c r="QU1096" s="106"/>
      <c r="QV1096" s="106"/>
      <c r="QW1096" s="106"/>
      <c r="QX1096" s="106"/>
      <c r="QY1096" s="106"/>
      <c r="QZ1096" s="106"/>
      <c r="RA1096" s="106"/>
      <c r="RB1096" s="106"/>
      <c r="RC1096" s="106"/>
      <c r="RD1096" s="106"/>
      <c r="RE1096" s="106"/>
      <c r="RF1096" s="106"/>
      <c r="RG1096" s="106"/>
      <c r="RH1096" s="106"/>
      <c r="RI1096" s="106"/>
      <c r="RJ1096" s="106"/>
      <c r="RK1096" s="106"/>
      <c r="RL1096" s="106"/>
    </row>
    <row r="1097" spans="48:480" x14ac:dyDescent="0.3">
      <c r="CJ1097" s="103"/>
      <c r="FP1097" s="103"/>
      <c r="LL1097" s="103"/>
      <c r="NM1097" s="103"/>
      <c r="QT1097" s="106"/>
      <c r="QU1097" s="106"/>
      <c r="QV1097" s="106"/>
      <c r="QW1097" s="106"/>
      <c r="QX1097" s="106"/>
      <c r="QY1097" s="106"/>
      <c r="QZ1097" s="106"/>
      <c r="RA1097" s="106"/>
      <c r="RB1097" s="106"/>
      <c r="RC1097" s="106"/>
      <c r="RD1097" s="106"/>
      <c r="RE1097" s="106"/>
      <c r="RF1097" s="106"/>
      <c r="RG1097" s="106"/>
      <c r="RH1097" s="106"/>
      <c r="RI1097" s="106"/>
      <c r="RJ1097" s="106"/>
      <c r="RK1097" s="106"/>
      <c r="RL1097" s="106"/>
    </row>
    <row r="1098" spans="48:480" x14ac:dyDescent="0.3">
      <c r="CJ1098" s="103"/>
      <c r="FP1098" s="103"/>
      <c r="LL1098" s="103"/>
      <c r="NM1098" s="103"/>
      <c r="QT1098" s="106"/>
      <c r="QU1098" s="106"/>
      <c r="QV1098" s="106"/>
      <c r="QW1098" s="106"/>
      <c r="QX1098" s="106"/>
      <c r="QY1098" s="106"/>
      <c r="QZ1098" s="106"/>
      <c r="RA1098" s="106"/>
      <c r="RB1098" s="106"/>
      <c r="RC1098" s="106"/>
      <c r="RD1098" s="106"/>
      <c r="RE1098" s="106"/>
      <c r="RF1098" s="106"/>
      <c r="RG1098" s="106"/>
      <c r="RH1098" s="106"/>
      <c r="RI1098" s="106"/>
      <c r="RJ1098" s="106"/>
      <c r="RK1098" s="106"/>
      <c r="RL1098" s="106"/>
    </row>
    <row r="1099" spans="48:480" x14ac:dyDescent="0.3">
      <c r="AV1099" s="103"/>
      <c r="CJ1099" s="103"/>
      <c r="FP1099" s="103"/>
      <c r="LL1099" s="103"/>
      <c r="NM1099" s="103"/>
      <c r="QT1099" s="106"/>
      <c r="QU1099" s="106"/>
      <c r="QV1099" s="106"/>
      <c r="QW1099" s="106"/>
      <c r="QX1099" s="106"/>
      <c r="QY1099" s="106"/>
      <c r="QZ1099" s="106"/>
      <c r="RA1099" s="106"/>
      <c r="RB1099" s="106"/>
      <c r="RC1099" s="106"/>
      <c r="RD1099" s="106"/>
      <c r="RE1099" s="106"/>
      <c r="RF1099" s="106"/>
      <c r="RG1099" s="106"/>
      <c r="RH1099" s="106"/>
      <c r="RI1099" s="106"/>
      <c r="RJ1099" s="106"/>
      <c r="RK1099" s="106"/>
      <c r="RL1099" s="106"/>
    </row>
    <row r="1100" spans="48:480" x14ac:dyDescent="0.3">
      <c r="CJ1100" s="103"/>
      <c r="FP1100" s="103"/>
      <c r="LL1100" s="103"/>
      <c r="NM1100" s="103"/>
      <c r="QT1100" s="106"/>
      <c r="QU1100" s="106"/>
      <c r="QV1100" s="106"/>
      <c r="QW1100" s="106"/>
      <c r="QX1100" s="106"/>
      <c r="QY1100" s="106"/>
      <c r="QZ1100" s="106"/>
      <c r="RA1100" s="106"/>
      <c r="RB1100" s="106"/>
      <c r="RC1100" s="106"/>
      <c r="RD1100" s="106"/>
      <c r="RE1100" s="106"/>
      <c r="RF1100" s="106"/>
      <c r="RG1100" s="106"/>
      <c r="RH1100" s="106"/>
      <c r="RI1100" s="106"/>
      <c r="RJ1100" s="106"/>
      <c r="RK1100" s="106"/>
      <c r="RL1100" s="106"/>
    </row>
    <row r="1101" spans="48:480" x14ac:dyDescent="0.3">
      <c r="CJ1101" s="103"/>
      <c r="FP1101" s="103"/>
      <c r="LL1101" s="103"/>
      <c r="NM1101" s="103"/>
      <c r="QT1101" s="106"/>
      <c r="QU1101" s="106"/>
      <c r="QV1101" s="106"/>
      <c r="QW1101" s="106"/>
      <c r="QX1101" s="106"/>
      <c r="QY1101" s="106"/>
      <c r="QZ1101" s="106"/>
      <c r="RA1101" s="106"/>
      <c r="RB1101" s="106"/>
      <c r="RC1101" s="106"/>
      <c r="RD1101" s="106"/>
      <c r="RE1101" s="106"/>
      <c r="RF1101" s="106"/>
      <c r="RG1101" s="106"/>
      <c r="RH1101" s="106"/>
      <c r="RI1101" s="106"/>
      <c r="RJ1101" s="106"/>
      <c r="RK1101" s="106"/>
      <c r="RL1101" s="106"/>
    </row>
    <row r="1102" spans="48:480" x14ac:dyDescent="0.3">
      <c r="CJ1102" s="103"/>
      <c r="FP1102" s="103"/>
      <c r="LL1102" s="103"/>
      <c r="NM1102" s="103"/>
      <c r="QT1102" s="106"/>
      <c r="QU1102" s="106"/>
      <c r="QV1102" s="106"/>
      <c r="QW1102" s="106"/>
      <c r="QX1102" s="106"/>
      <c r="QY1102" s="106"/>
      <c r="QZ1102" s="106"/>
      <c r="RA1102" s="106"/>
      <c r="RB1102" s="106"/>
      <c r="RC1102" s="106"/>
      <c r="RD1102" s="106"/>
      <c r="RE1102" s="106"/>
      <c r="RF1102" s="106"/>
      <c r="RG1102" s="106"/>
      <c r="RH1102" s="106"/>
      <c r="RI1102" s="106"/>
      <c r="RJ1102" s="106"/>
      <c r="RK1102" s="106"/>
      <c r="RL1102" s="106"/>
    </row>
    <row r="1103" spans="48:480" x14ac:dyDescent="0.3">
      <c r="CJ1103" s="103"/>
      <c r="FP1103" s="103"/>
      <c r="LL1103" s="103"/>
      <c r="NM1103" s="103"/>
      <c r="QT1103" s="106"/>
      <c r="QU1103" s="106"/>
      <c r="QV1103" s="106"/>
      <c r="QW1103" s="106"/>
      <c r="QX1103" s="106"/>
      <c r="QY1103" s="106"/>
      <c r="QZ1103" s="106"/>
      <c r="RA1103" s="106"/>
      <c r="RB1103" s="106"/>
      <c r="RC1103" s="106"/>
      <c r="RD1103" s="106"/>
      <c r="RE1103" s="106"/>
      <c r="RF1103" s="106"/>
      <c r="RG1103" s="106"/>
      <c r="RH1103" s="106"/>
      <c r="RI1103" s="106"/>
      <c r="RJ1103" s="106"/>
      <c r="RK1103" s="106"/>
      <c r="RL1103" s="106"/>
    </row>
    <row r="1104" spans="48:480" x14ac:dyDescent="0.3">
      <c r="CJ1104" s="103"/>
      <c r="FP1104" s="103"/>
      <c r="LL1104" s="103"/>
      <c r="NM1104" s="103"/>
      <c r="QT1104" s="106"/>
      <c r="QU1104" s="106"/>
      <c r="QV1104" s="106"/>
      <c r="QW1104" s="106"/>
      <c r="QX1104" s="106"/>
      <c r="QY1104" s="106"/>
      <c r="QZ1104" s="106"/>
      <c r="RA1104" s="106"/>
      <c r="RB1104" s="106"/>
      <c r="RC1104" s="106"/>
      <c r="RD1104" s="106"/>
      <c r="RE1104" s="106"/>
      <c r="RF1104" s="106"/>
      <c r="RG1104" s="106"/>
      <c r="RH1104" s="106"/>
      <c r="RI1104" s="106"/>
      <c r="RJ1104" s="106"/>
      <c r="RK1104" s="106"/>
      <c r="RL1104" s="106"/>
    </row>
    <row r="1105" spans="48:480" x14ac:dyDescent="0.3">
      <c r="AV1105" s="103"/>
      <c r="CJ1105" s="103"/>
      <c r="FP1105" s="103"/>
      <c r="LL1105" s="103"/>
      <c r="NM1105" s="103"/>
      <c r="QT1105" s="106"/>
      <c r="QU1105" s="106"/>
      <c r="QV1105" s="106"/>
      <c r="QW1105" s="106"/>
      <c r="QX1105" s="106"/>
      <c r="QY1105" s="106"/>
      <c r="QZ1105" s="106"/>
      <c r="RA1105" s="106"/>
      <c r="RB1105" s="106"/>
      <c r="RC1105" s="106"/>
      <c r="RD1105" s="106"/>
      <c r="RE1105" s="106"/>
      <c r="RF1105" s="106"/>
      <c r="RG1105" s="106"/>
      <c r="RH1105" s="106"/>
      <c r="RI1105" s="106"/>
      <c r="RJ1105" s="106"/>
      <c r="RK1105" s="106"/>
      <c r="RL1105" s="106"/>
    </row>
    <row r="1106" spans="48:480" x14ac:dyDescent="0.3">
      <c r="CJ1106" s="103"/>
      <c r="FP1106" s="103"/>
      <c r="LL1106" s="103"/>
      <c r="NM1106" s="103"/>
      <c r="QT1106" s="106"/>
      <c r="QU1106" s="106"/>
      <c r="QV1106" s="106"/>
      <c r="QW1106" s="106"/>
      <c r="QX1106" s="106"/>
      <c r="QY1106" s="106"/>
      <c r="QZ1106" s="106"/>
      <c r="RA1106" s="106"/>
      <c r="RB1106" s="106"/>
      <c r="RC1106" s="106"/>
      <c r="RD1106" s="106"/>
      <c r="RE1106" s="106"/>
      <c r="RF1106" s="106"/>
      <c r="RG1106" s="106"/>
      <c r="RH1106" s="106"/>
      <c r="RI1106" s="106"/>
      <c r="RJ1106" s="106"/>
      <c r="RK1106" s="106"/>
      <c r="RL1106" s="106"/>
    </row>
    <row r="1107" spans="48:480" x14ac:dyDescent="0.3">
      <c r="CJ1107" s="103"/>
      <c r="FP1107" s="103"/>
      <c r="LL1107" s="103"/>
      <c r="NM1107" s="103"/>
      <c r="QT1107" s="106"/>
      <c r="QU1107" s="106"/>
      <c r="QV1107" s="106"/>
      <c r="QW1107" s="106"/>
      <c r="QX1107" s="106"/>
      <c r="QY1107" s="106"/>
      <c r="QZ1107" s="106"/>
      <c r="RA1107" s="106"/>
      <c r="RB1107" s="106"/>
      <c r="RC1107" s="106"/>
      <c r="RD1107" s="106"/>
      <c r="RE1107" s="106"/>
      <c r="RF1107" s="106"/>
      <c r="RG1107" s="106"/>
      <c r="RH1107" s="106"/>
      <c r="RI1107" s="106"/>
      <c r="RJ1107" s="106"/>
      <c r="RK1107" s="106"/>
      <c r="RL1107" s="106"/>
    </row>
    <row r="1108" spans="48:480" x14ac:dyDescent="0.3">
      <c r="CJ1108" s="103"/>
      <c r="FP1108" s="103"/>
      <c r="LL1108" s="103"/>
      <c r="NM1108" s="103"/>
      <c r="QT1108" s="106"/>
      <c r="QU1108" s="106"/>
      <c r="QV1108" s="106"/>
      <c r="QW1108" s="106"/>
      <c r="QX1108" s="106"/>
      <c r="QY1108" s="106"/>
      <c r="QZ1108" s="106"/>
      <c r="RA1108" s="106"/>
      <c r="RB1108" s="106"/>
      <c r="RC1108" s="106"/>
      <c r="RD1108" s="106"/>
      <c r="RE1108" s="106"/>
      <c r="RF1108" s="106"/>
      <c r="RG1108" s="106"/>
      <c r="RH1108" s="106"/>
      <c r="RI1108" s="106"/>
      <c r="RJ1108" s="106"/>
      <c r="RK1108" s="106"/>
      <c r="RL1108" s="106"/>
    </row>
    <row r="1109" spans="48:480" x14ac:dyDescent="0.3">
      <c r="CJ1109" s="103"/>
      <c r="FP1109" s="103"/>
      <c r="LL1109" s="103"/>
      <c r="NM1109" s="103"/>
      <c r="QT1109" s="106"/>
      <c r="QU1109" s="106"/>
      <c r="QV1109" s="106"/>
      <c r="QW1109" s="106"/>
      <c r="QX1109" s="106"/>
      <c r="QY1109" s="106"/>
      <c r="QZ1109" s="106"/>
      <c r="RA1109" s="106"/>
      <c r="RB1109" s="106"/>
      <c r="RC1109" s="106"/>
      <c r="RD1109" s="106"/>
      <c r="RE1109" s="106"/>
      <c r="RF1109" s="106"/>
      <c r="RG1109" s="106"/>
      <c r="RH1109" s="106"/>
      <c r="RI1109" s="106"/>
      <c r="RJ1109" s="106"/>
      <c r="RK1109" s="106"/>
      <c r="RL1109" s="106"/>
    </row>
    <row r="1110" spans="48:480" x14ac:dyDescent="0.3">
      <c r="CJ1110" s="103"/>
      <c r="FP1110" s="103"/>
      <c r="LL1110" s="103"/>
      <c r="NM1110" s="103"/>
      <c r="QT1110" s="106"/>
      <c r="QU1110" s="106"/>
      <c r="QV1110" s="106"/>
      <c r="QW1110" s="106"/>
      <c r="QX1110" s="106"/>
      <c r="QY1110" s="106"/>
      <c r="QZ1110" s="106"/>
      <c r="RA1110" s="106"/>
      <c r="RB1110" s="106"/>
      <c r="RC1110" s="106"/>
      <c r="RD1110" s="106"/>
      <c r="RE1110" s="106"/>
      <c r="RF1110" s="106"/>
      <c r="RG1110" s="106"/>
      <c r="RH1110" s="106"/>
      <c r="RI1110" s="106"/>
      <c r="RJ1110" s="106"/>
      <c r="RK1110" s="106"/>
      <c r="RL1110" s="106"/>
    </row>
    <row r="1111" spans="48:480" x14ac:dyDescent="0.3">
      <c r="CJ1111" s="103"/>
      <c r="FP1111" s="103"/>
      <c r="LL1111" s="103"/>
      <c r="NM1111" s="103"/>
      <c r="QT1111" s="106"/>
      <c r="QU1111" s="106"/>
      <c r="QV1111" s="106"/>
      <c r="QW1111" s="106"/>
      <c r="QX1111" s="106"/>
      <c r="QY1111" s="106"/>
      <c r="QZ1111" s="106"/>
      <c r="RA1111" s="106"/>
      <c r="RB1111" s="106"/>
      <c r="RC1111" s="106"/>
      <c r="RD1111" s="106"/>
      <c r="RE1111" s="106"/>
      <c r="RF1111" s="106"/>
      <c r="RG1111" s="106"/>
      <c r="RH1111" s="106"/>
      <c r="RI1111" s="106"/>
      <c r="RJ1111" s="106"/>
      <c r="RK1111" s="106"/>
      <c r="RL1111" s="106"/>
    </row>
    <row r="1112" spans="48:480" x14ac:dyDescent="0.3">
      <c r="CJ1112" s="103"/>
      <c r="FP1112" s="103"/>
      <c r="LL1112" s="103"/>
      <c r="NM1112" s="103"/>
      <c r="QT1112" s="106"/>
      <c r="QU1112" s="106"/>
      <c r="QV1112" s="106"/>
      <c r="QW1112" s="106"/>
      <c r="QX1112" s="106"/>
      <c r="QY1112" s="106"/>
      <c r="QZ1112" s="106"/>
      <c r="RA1112" s="106"/>
      <c r="RB1112" s="106"/>
      <c r="RC1112" s="106"/>
      <c r="RD1112" s="106"/>
      <c r="RE1112" s="106"/>
      <c r="RF1112" s="106"/>
      <c r="RG1112" s="106"/>
      <c r="RH1112" s="106"/>
      <c r="RI1112" s="106"/>
      <c r="RJ1112" s="106"/>
      <c r="RK1112" s="106"/>
      <c r="RL1112" s="106"/>
    </row>
    <row r="1113" spans="48:480" x14ac:dyDescent="0.3">
      <c r="CJ1113" s="103"/>
      <c r="FP1113" s="103"/>
      <c r="LL1113" s="103"/>
      <c r="NM1113" s="103"/>
      <c r="QT1113" s="106"/>
      <c r="QU1113" s="106"/>
      <c r="QV1113" s="106"/>
      <c r="QW1113" s="106"/>
      <c r="QX1113" s="106"/>
      <c r="QY1113" s="106"/>
      <c r="QZ1113" s="106"/>
      <c r="RA1113" s="106"/>
      <c r="RB1113" s="106"/>
      <c r="RC1113" s="106"/>
      <c r="RD1113" s="106"/>
      <c r="RE1113" s="106"/>
      <c r="RF1113" s="106"/>
      <c r="RG1113" s="106"/>
      <c r="RH1113" s="106"/>
      <c r="RI1113" s="106"/>
      <c r="RJ1113" s="106"/>
      <c r="RK1113" s="106"/>
      <c r="RL1113" s="106"/>
    </row>
    <row r="1114" spans="48:480" x14ac:dyDescent="0.3">
      <c r="CJ1114" s="103"/>
      <c r="FP1114" s="103"/>
      <c r="LL1114" s="103"/>
      <c r="NM1114" s="103"/>
      <c r="QT1114" s="106"/>
      <c r="QU1114" s="106"/>
      <c r="QV1114" s="106"/>
      <c r="QW1114" s="106"/>
      <c r="QX1114" s="106"/>
      <c r="QY1114" s="106"/>
      <c r="QZ1114" s="106"/>
      <c r="RA1114" s="106"/>
      <c r="RB1114" s="106"/>
      <c r="RC1114" s="106"/>
      <c r="RD1114" s="106"/>
      <c r="RE1114" s="106"/>
      <c r="RF1114" s="106"/>
      <c r="RG1114" s="106"/>
      <c r="RH1114" s="106"/>
      <c r="RI1114" s="106"/>
      <c r="RJ1114" s="106"/>
      <c r="RK1114" s="106"/>
      <c r="RL1114" s="106"/>
    </row>
    <row r="1115" spans="48:480" x14ac:dyDescent="0.3">
      <c r="CJ1115" s="103"/>
      <c r="FP1115" s="103"/>
      <c r="LL1115" s="103"/>
      <c r="NM1115" s="103"/>
      <c r="QT1115" s="106"/>
      <c r="QU1115" s="106"/>
      <c r="QV1115" s="106"/>
      <c r="QW1115" s="106"/>
      <c r="QX1115" s="106"/>
      <c r="QY1115" s="106"/>
      <c r="QZ1115" s="106"/>
      <c r="RA1115" s="106"/>
      <c r="RB1115" s="106"/>
      <c r="RC1115" s="106"/>
      <c r="RD1115" s="106"/>
      <c r="RE1115" s="106"/>
      <c r="RF1115" s="106"/>
      <c r="RG1115" s="106"/>
      <c r="RH1115" s="106"/>
      <c r="RI1115" s="106"/>
      <c r="RJ1115" s="106"/>
      <c r="RK1115" s="106"/>
      <c r="RL1115" s="106"/>
    </row>
    <row r="1116" spans="48:480" x14ac:dyDescent="0.3">
      <c r="CJ1116" s="103"/>
      <c r="FP1116" s="103"/>
      <c r="LL1116" s="103"/>
      <c r="NM1116" s="103"/>
      <c r="QT1116" s="106"/>
      <c r="QU1116" s="106"/>
      <c r="QV1116" s="106"/>
      <c r="QW1116" s="106"/>
      <c r="QX1116" s="106"/>
      <c r="QY1116" s="106"/>
      <c r="QZ1116" s="106"/>
      <c r="RA1116" s="106"/>
      <c r="RB1116" s="106"/>
      <c r="RC1116" s="106"/>
      <c r="RD1116" s="106"/>
      <c r="RE1116" s="106"/>
      <c r="RF1116" s="106"/>
      <c r="RG1116" s="106"/>
      <c r="RH1116" s="106"/>
      <c r="RI1116" s="106"/>
      <c r="RJ1116" s="106"/>
      <c r="RK1116" s="106"/>
      <c r="RL1116" s="106"/>
    </row>
    <row r="1117" spans="48:480" x14ac:dyDescent="0.3">
      <c r="CJ1117" s="103"/>
      <c r="FP1117" s="103"/>
      <c r="LL1117" s="103"/>
      <c r="NM1117" s="103"/>
      <c r="QT1117" s="106"/>
      <c r="QU1117" s="106"/>
      <c r="QV1117" s="106"/>
      <c r="QW1117" s="106"/>
      <c r="QX1117" s="106"/>
      <c r="QY1117" s="106"/>
      <c r="QZ1117" s="106"/>
      <c r="RA1117" s="106"/>
      <c r="RB1117" s="106"/>
      <c r="RC1117" s="106"/>
      <c r="RD1117" s="106"/>
      <c r="RE1117" s="106"/>
      <c r="RF1117" s="106"/>
      <c r="RG1117" s="106"/>
      <c r="RH1117" s="106"/>
      <c r="RI1117" s="106"/>
      <c r="RJ1117" s="106"/>
      <c r="RK1117" s="106"/>
      <c r="RL1117" s="106"/>
    </row>
    <row r="1118" spans="48:480" x14ac:dyDescent="0.3">
      <c r="CJ1118" s="103"/>
      <c r="FP1118" s="103"/>
      <c r="LL1118" s="103"/>
      <c r="NM1118" s="103"/>
      <c r="QT1118" s="106"/>
      <c r="QU1118" s="106"/>
      <c r="QV1118" s="106"/>
      <c r="QW1118" s="106"/>
      <c r="QX1118" s="106"/>
      <c r="QY1118" s="106"/>
      <c r="QZ1118" s="106"/>
      <c r="RA1118" s="106"/>
      <c r="RB1118" s="106"/>
      <c r="RC1118" s="106"/>
      <c r="RD1118" s="106"/>
      <c r="RE1118" s="106"/>
      <c r="RF1118" s="106"/>
      <c r="RG1118" s="106"/>
      <c r="RH1118" s="106"/>
      <c r="RI1118" s="106"/>
      <c r="RJ1118" s="106"/>
      <c r="RK1118" s="106"/>
      <c r="RL1118" s="106"/>
    </row>
    <row r="1119" spans="48:480" x14ac:dyDescent="0.3">
      <c r="CJ1119" s="103"/>
      <c r="FP1119" s="103"/>
      <c r="LL1119" s="103"/>
      <c r="NM1119" s="103"/>
      <c r="QT1119" s="106"/>
      <c r="QU1119" s="106"/>
      <c r="QV1119" s="106"/>
      <c r="QW1119" s="106"/>
      <c r="QX1119" s="106"/>
      <c r="QY1119" s="106"/>
      <c r="QZ1119" s="106"/>
      <c r="RA1119" s="106"/>
      <c r="RB1119" s="106"/>
      <c r="RC1119" s="106"/>
      <c r="RD1119" s="106"/>
      <c r="RE1119" s="106"/>
      <c r="RF1119" s="106"/>
      <c r="RG1119" s="106"/>
      <c r="RH1119" s="106"/>
      <c r="RI1119" s="106"/>
      <c r="RJ1119" s="106"/>
      <c r="RK1119" s="106"/>
      <c r="RL1119" s="106"/>
    </row>
    <row r="1120" spans="48:480" x14ac:dyDescent="0.3">
      <c r="CJ1120" s="103"/>
      <c r="FP1120" s="103"/>
      <c r="LL1120" s="103"/>
      <c r="NM1120" s="103"/>
      <c r="QT1120" s="106"/>
      <c r="QU1120" s="106"/>
      <c r="QV1120" s="106"/>
      <c r="QW1120" s="106"/>
      <c r="QX1120" s="106"/>
      <c r="QY1120" s="106"/>
      <c r="QZ1120" s="106"/>
      <c r="RA1120" s="106"/>
      <c r="RB1120" s="106"/>
      <c r="RC1120" s="106"/>
      <c r="RD1120" s="106"/>
      <c r="RE1120" s="106"/>
      <c r="RF1120" s="106"/>
      <c r="RG1120" s="106"/>
      <c r="RH1120" s="106"/>
      <c r="RI1120" s="106"/>
      <c r="RJ1120" s="106"/>
      <c r="RK1120" s="106"/>
      <c r="RL1120" s="106"/>
    </row>
    <row r="1121" spans="48:480" x14ac:dyDescent="0.3">
      <c r="CJ1121" s="103"/>
      <c r="FP1121" s="103"/>
      <c r="LL1121" s="103"/>
      <c r="NM1121" s="103"/>
      <c r="QT1121" s="106"/>
      <c r="QU1121" s="106"/>
      <c r="QV1121" s="106"/>
      <c r="QW1121" s="106"/>
      <c r="QX1121" s="106"/>
      <c r="QY1121" s="106"/>
      <c r="QZ1121" s="106"/>
      <c r="RA1121" s="106"/>
      <c r="RB1121" s="106"/>
      <c r="RC1121" s="106"/>
      <c r="RD1121" s="106"/>
      <c r="RE1121" s="106"/>
      <c r="RF1121" s="106"/>
      <c r="RG1121" s="106"/>
      <c r="RH1121" s="106"/>
      <c r="RI1121" s="106"/>
      <c r="RJ1121" s="106"/>
      <c r="RK1121" s="106"/>
      <c r="RL1121" s="106"/>
    </row>
    <row r="1122" spans="48:480" x14ac:dyDescent="0.3">
      <c r="CJ1122" s="103"/>
      <c r="FP1122" s="103"/>
      <c r="LL1122" s="103"/>
      <c r="NM1122" s="103"/>
      <c r="QT1122" s="106"/>
      <c r="QU1122" s="106"/>
      <c r="QV1122" s="106"/>
      <c r="QW1122" s="106"/>
      <c r="QX1122" s="106"/>
      <c r="QY1122" s="106"/>
      <c r="QZ1122" s="106"/>
      <c r="RA1122" s="106"/>
      <c r="RB1122" s="106"/>
      <c r="RC1122" s="106"/>
      <c r="RD1122" s="106"/>
      <c r="RE1122" s="106"/>
      <c r="RF1122" s="106"/>
      <c r="RG1122" s="106"/>
      <c r="RH1122" s="106"/>
      <c r="RI1122" s="106"/>
      <c r="RJ1122" s="106"/>
      <c r="RK1122" s="106"/>
      <c r="RL1122" s="106"/>
    </row>
    <row r="1123" spans="48:480" x14ac:dyDescent="0.3">
      <c r="CJ1123" s="103"/>
      <c r="FP1123" s="103"/>
      <c r="LL1123" s="103"/>
      <c r="NM1123" s="103"/>
      <c r="QT1123" s="106"/>
      <c r="QU1123" s="106"/>
      <c r="QV1123" s="106"/>
      <c r="QW1123" s="106"/>
      <c r="QX1123" s="106"/>
      <c r="QY1123" s="106"/>
      <c r="QZ1123" s="106"/>
      <c r="RA1123" s="106"/>
      <c r="RB1123" s="106"/>
      <c r="RC1123" s="106"/>
      <c r="RD1123" s="106"/>
      <c r="RE1123" s="106"/>
      <c r="RF1123" s="106"/>
      <c r="RG1123" s="106"/>
      <c r="RH1123" s="106"/>
      <c r="RI1123" s="106"/>
      <c r="RJ1123" s="106"/>
      <c r="RK1123" s="106"/>
      <c r="RL1123" s="106"/>
    </row>
    <row r="1124" spans="48:480" x14ac:dyDescent="0.3">
      <c r="CJ1124" s="103"/>
      <c r="FP1124" s="103"/>
      <c r="LL1124" s="103"/>
      <c r="NM1124" s="103"/>
      <c r="QT1124" s="106"/>
      <c r="QU1124" s="106"/>
      <c r="QV1124" s="106"/>
      <c r="QW1124" s="106"/>
      <c r="QX1124" s="106"/>
      <c r="QY1124" s="106"/>
      <c r="QZ1124" s="106"/>
      <c r="RA1124" s="106"/>
      <c r="RB1124" s="106"/>
      <c r="RC1124" s="106"/>
      <c r="RD1124" s="106"/>
      <c r="RE1124" s="106"/>
      <c r="RF1124" s="106"/>
      <c r="RG1124" s="106"/>
      <c r="RH1124" s="106"/>
      <c r="RI1124" s="106"/>
      <c r="RJ1124" s="106"/>
      <c r="RK1124" s="106"/>
      <c r="RL1124" s="106"/>
    </row>
    <row r="1125" spans="48:480" x14ac:dyDescent="0.3">
      <c r="CJ1125" s="103"/>
      <c r="FP1125" s="103"/>
      <c r="LL1125" s="103"/>
      <c r="NM1125" s="103"/>
      <c r="QT1125" s="106"/>
      <c r="QU1125" s="106"/>
      <c r="QV1125" s="106"/>
      <c r="QW1125" s="106"/>
      <c r="QX1125" s="106"/>
      <c r="QY1125" s="106"/>
      <c r="QZ1125" s="106"/>
      <c r="RA1125" s="106"/>
      <c r="RB1125" s="106"/>
      <c r="RC1125" s="106"/>
      <c r="RD1125" s="106"/>
      <c r="RE1125" s="106"/>
      <c r="RF1125" s="106"/>
      <c r="RG1125" s="106"/>
      <c r="RH1125" s="106"/>
      <c r="RI1125" s="106"/>
      <c r="RJ1125" s="106"/>
      <c r="RK1125" s="106"/>
      <c r="RL1125" s="106"/>
    </row>
    <row r="1126" spans="48:480" x14ac:dyDescent="0.3">
      <c r="CJ1126" s="103"/>
      <c r="FP1126" s="103"/>
      <c r="LL1126" s="103"/>
      <c r="NM1126" s="103"/>
      <c r="QT1126" s="106"/>
      <c r="QU1126" s="106"/>
      <c r="QV1126" s="106"/>
      <c r="QW1126" s="106"/>
      <c r="QX1126" s="106"/>
      <c r="QY1126" s="106"/>
      <c r="QZ1126" s="106"/>
      <c r="RA1126" s="106"/>
      <c r="RB1126" s="106"/>
      <c r="RC1126" s="106"/>
      <c r="RD1126" s="106"/>
      <c r="RE1126" s="106"/>
      <c r="RF1126" s="106"/>
      <c r="RG1126" s="106"/>
      <c r="RH1126" s="106"/>
      <c r="RI1126" s="106"/>
      <c r="RJ1126" s="106"/>
      <c r="RK1126" s="106"/>
      <c r="RL1126" s="106"/>
    </row>
    <row r="1127" spans="48:480" x14ac:dyDescent="0.3">
      <c r="CJ1127" s="103"/>
      <c r="FP1127" s="103"/>
      <c r="LL1127" s="103"/>
      <c r="NM1127" s="103"/>
      <c r="QT1127" s="106"/>
      <c r="QU1127" s="106"/>
      <c r="QV1127" s="106"/>
      <c r="QW1127" s="106"/>
      <c r="QX1127" s="106"/>
      <c r="QY1127" s="106"/>
      <c r="QZ1127" s="106"/>
      <c r="RA1127" s="106"/>
      <c r="RB1127" s="106"/>
      <c r="RC1127" s="106"/>
      <c r="RD1127" s="106"/>
      <c r="RE1127" s="106"/>
      <c r="RF1127" s="106"/>
      <c r="RG1127" s="106"/>
      <c r="RH1127" s="106"/>
      <c r="RI1127" s="106"/>
      <c r="RJ1127" s="106"/>
      <c r="RK1127" s="106"/>
      <c r="RL1127" s="106"/>
    </row>
    <row r="1128" spans="48:480" x14ac:dyDescent="0.3">
      <c r="CJ1128" s="103"/>
      <c r="FP1128" s="103"/>
      <c r="LL1128" s="103"/>
      <c r="NM1128" s="103"/>
      <c r="QT1128" s="106"/>
      <c r="QU1128" s="106"/>
      <c r="QV1128" s="106"/>
      <c r="QW1128" s="106"/>
      <c r="QX1128" s="106"/>
      <c r="QY1128" s="106"/>
      <c r="QZ1128" s="106"/>
      <c r="RA1128" s="106"/>
      <c r="RB1128" s="106"/>
      <c r="RC1128" s="106"/>
      <c r="RD1128" s="106"/>
      <c r="RE1128" s="106"/>
      <c r="RF1128" s="106"/>
      <c r="RG1128" s="106"/>
      <c r="RH1128" s="106"/>
      <c r="RI1128" s="106"/>
      <c r="RJ1128" s="106"/>
      <c r="RK1128" s="106"/>
      <c r="RL1128" s="106"/>
    </row>
    <row r="1129" spans="48:480" x14ac:dyDescent="0.3">
      <c r="CJ1129" s="103"/>
      <c r="FP1129" s="103"/>
      <c r="LL1129" s="103"/>
      <c r="NM1129" s="103"/>
      <c r="QT1129" s="106"/>
      <c r="QU1129" s="106"/>
      <c r="QV1129" s="106"/>
      <c r="QW1129" s="106"/>
      <c r="QX1129" s="106"/>
      <c r="QY1129" s="106"/>
      <c r="QZ1129" s="106"/>
      <c r="RA1129" s="106"/>
      <c r="RB1129" s="106"/>
      <c r="RC1129" s="106"/>
      <c r="RD1129" s="106"/>
      <c r="RE1129" s="106"/>
      <c r="RF1129" s="106"/>
      <c r="RG1129" s="106"/>
      <c r="RH1129" s="106"/>
      <c r="RI1129" s="106"/>
      <c r="RJ1129" s="106"/>
      <c r="RK1129" s="106"/>
      <c r="RL1129" s="106"/>
    </row>
    <row r="1130" spans="48:480" x14ac:dyDescent="0.3">
      <c r="CJ1130" s="103"/>
      <c r="FP1130" s="103"/>
      <c r="LL1130" s="103"/>
      <c r="NM1130" s="103"/>
      <c r="QT1130" s="106"/>
      <c r="QU1130" s="106"/>
      <c r="QV1130" s="106"/>
      <c r="QW1130" s="106"/>
      <c r="QX1130" s="106"/>
      <c r="QY1130" s="106"/>
      <c r="QZ1130" s="106"/>
      <c r="RA1130" s="106"/>
      <c r="RB1130" s="106"/>
      <c r="RC1130" s="106"/>
      <c r="RD1130" s="106"/>
      <c r="RE1130" s="106"/>
      <c r="RF1130" s="106"/>
      <c r="RG1130" s="106"/>
      <c r="RH1130" s="106"/>
      <c r="RI1130" s="106"/>
      <c r="RJ1130" s="106"/>
      <c r="RK1130" s="106"/>
      <c r="RL1130" s="106"/>
    </row>
    <row r="1131" spans="48:480" x14ac:dyDescent="0.3">
      <c r="CJ1131" s="103"/>
      <c r="FP1131" s="103"/>
      <c r="LL1131" s="103"/>
      <c r="NM1131" s="103"/>
      <c r="QT1131" s="106"/>
      <c r="QU1131" s="106"/>
      <c r="QV1131" s="106"/>
      <c r="QW1131" s="106"/>
      <c r="QX1131" s="106"/>
      <c r="QY1131" s="106"/>
      <c r="QZ1131" s="106"/>
      <c r="RA1131" s="106"/>
      <c r="RB1131" s="106"/>
      <c r="RC1131" s="106"/>
      <c r="RD1131" s="106"/>
      <c r="RE1131" s="106"/>
      <c r="RF1131" s="106"/>
      <c r="RG1131" s="106"/>
      <c r="RH1131" s="106"/>
      <c r="RI1131" s="106"/>
      <c r="RJ1131" s="106"/>
      <c r="RK1131" s="106"/>
      <c r="RL1131" s="106"/>
    </row>
    <row r="1132" spans="48:480" x14ac:dyDescent="0.3">
      <c r="CJ1132" s="103"/>
      <c r="FP1132" s="103"/>
      <c r="LL1132" s="103"/>
      <c r="NM1132" s="103"/>
      <c r="QT1132" s="106"/>
      <c r="QU1132" s="106"/>
      <c r="QV1132" s="106"/>
      <c r="QW1132" s="106"/>
      <c r="QX1132" s="106"/>
      <c r="QY1132" s="106"/>
      <c r="QZ1132" s="106"/>
      <c r="RA1132" s="106"/>
      <c r="RB1132" s="106"/>
      <c r="RC1132" s="106"/>
      <c r="RD1132" s="106"/>
      <c r="RE1132" s="106"/>
      <c r="RF1132" s="106"/>
      <c r="RG1132" s="106"/>
      <c r="RH1132" s="106"/>
      <c r="RI1132" s="106"/>
      <c r="RJ1132" s="106"/>
      <c r="RK1132" s="106"/>
      <c r="RL1132" s="106"/>
    </row>
    <row r="1133" spans="48:480" x14ac:dyDescent="0.3">
      <c r="CJ1133" s="103"/>
      <c r="FP1133" s="103"/>
      <c r="LL1133" s="103"/>
      <c r="NM1133" s="103"/>
      <c r="QT1133" s="106"/>
      <c r="QU1133" s="106"/>
      <c r="QV1133" s="106"/>
      <c r="QW1133" s="106"/>
      <c r="QX1133" s="106"/>
      <c r="QY1133" s="106"/>
      <c r="QZ1133" s="106"/>
      <c r="RA1133" s="106"/>
      <c r="RB1133" s="106"/>
      <c r="RC1133" s="106"/>
      <c r="RD1133" s="106"/>
      <c r="RE1133" s="106"/>
      <c r="RF1133" s="106"/>
      <c r="RG1133" s="106"/>
      <c r="RH1133" s="106"/>
      <c r="RI1133" s="106"/>
      <c r="RJ1133" s="106"/>
      <c r="RK1133" s="106"/>
      <c r="RL1133" s="106"/>
    </row>
    <row r="1134" spans="48:480" x14ac:dyDescent="0.3">
      <c r="AV1134" s="103"/>
      <c r="CJ1134" s="103"/>
      <c r="FP1134" s="103"/>
      <c r="LL1134" s="103"/>
      <c r="NM1134" s="103"/>
      <c r="QT1134" s="106"/>
      <c r="QU1134" s="106"/>
      <c r="QV1134" s="106"/>
      <c r="QW1134" s="106"/>
      <c r="QX1134" s="106"/>
      <c r="QY1134" s="106"/>
      <c r="QZ1134" s="106"/>
      <c r="RA1134" s="106"/>
      <c r="RB1134" s="106"/>
      <c r="RC1134" s="106"/>
      <c r="RD1134" s="106"/>
      <c r="RE1134" s="106"/>
      <c r="RF1134" s="106"/>
      <c r="RG1134" s="106"/>
      <c r="RH1134" s="106"/>
      <c r="RI1134" s="106"/>
      <c r="RJ1134" s="106"/>
      <c r="RK1134" s="106"/>
      <c r="RL1134" s="106"/>
    </row>
    <row r="1135" spans="48:480" x14ac:dyDescent="0.3">
      <c r="AV1135" s="103"/>
      <c r="CJ1135" s="103"/>
      <c r="FP1135" s="103"/>
      <c r="LL1135" s="103"/>
      <c r="NM1135" s="103"/>
      <c r="QT1135" s="106"/>
      <c r="QU1135" s="106"/>
      <c r="QV1135" s="106"/>
      <c r="QW1135" s="106"/>
      <c r="QX1135" s="106"/>
      <c r="QY1135" s="106"/>
      <c r="QZ1135" s="106"/>
      <c r="RA1135" s="106"/>
      <c r="RB1135" s="106"/>
      <c r="RC1135" s="106"/>
      <c r="RD1135" s="106"/>
      <c r="RE1135" s="106"/>
      <c r="RF1135" s="106"/>
      <c r="RG1135" s="106"/>
      <c r="RH1135" s="106"/>
      <c r="RI1135" s="106"/>
      <c r="RJ1135" s="106"/>
      <c r="RK1135" s="106"/>
      <c r="RL1135" s="106"/>
    </row>
    <row r="1136" spans="48:480" x14ac:dyDescent="0.3">
      <c r="AV1136" s="103"/>
      <c r="CJ1136" s="103"/>
      <c r="FP1136" s="103"/>
      <c r="LL1136" s="103"/>
      <c r="NM1136" s="103"/>
      <c r="QT1136" s="106"/>
      <c r="QU1136" s="106"/>
      <c r="QV1136" s="106"/>
      <c r="QW1136" s="106"/>
      <c r="QX1136" s="106"/>
      <c r="QY1136" s="106"/>
      <c r="QZ1136" s="106"/>
      <c r="RA1136" s="106"/>
      <c r="RB1136" s="106"/>
      <c r="RC1136" s="106"/>
      <c r="RD1136" s="106"/>
      <c r="RE1136" s="106"/>
      <c r="RF1136" s="106"/>
      <c r="RG1136" s="106"/>
      <c r="RH1136" s="106"/>
      <c r="RI1136" s="106"/>
      <c r="RJ1136" s="106"/>
      <c r="RK1136" s="106"/>
      <c r="RL1136" s="106"/>
    </row>
    <row r="1137" spans="48:480" x14ac:dyDescent="0.3">
      <c r="AV1137" s="103"/>
      <c r="CJ1137" s="103"/>
      <c r="FP1137" s="103"/>
      <c r="LL1137" s="103"/>
      <c r="NM1137" s="103"/>
      <c r="QT1137" s="106"/>
      <c r="QU1137" s="106"/>
      <c r="QV1137" s="106"/>
      <c r="QW1137" s="106"/>
      <c r="QX1137" s="106"/>
      <c r="QY1137" s="106"/>
      <c r="QZ1137" s="106"/>
      <c r="RA1137" s="106"/>
      <c r="RB1137" s="106"/>
      <c r="RC1137" s="106"/>
      <c r="RD1137" s="106"/>
      <c r="RE1137" s="106"/>
      <c r="RF1137" s="106"/>
      <c r="RG1137" s="106"/>
      <c r="RH1137" s="106"/>
      <c r="RI1137" s="106"/>
      <c r="RJ1137" s="106"/>
      <c r="RK1137" s="106"/>
      <c r="RL1137" s="106"/>
    </row>
    <row r="1138" spans="48:480" x14ac:dyDescent="0.3">
      <c r="AV1138" s="103"/>
      <c r="CJ1138" s="103"/>
      <c r="FP1138" s="103"/>
      <c r="LL1138" s="103"/>
      <c r="NM1138" s="103"/>
      <c r="QT1138" s="106"/>
      <c r="QU1138" s="106"/>
      <c r="QV1138" s="106"/>
      <c r="QW1138" s="106"/>
      <c r="QX1138" s="106"/>
      <c r="QY1138" s="106"/>
      <c r="QZ1138" s="106"/>
      <c r="RA1138" s="106"/>
      <c r="RB1138" s="106"/>
      <c r="RC1138" s="106"/>
      <c r="RD1138" s="106"/>
      <c r="RE1138" s="106"/>
      <c r="RF1138" s="106"/>
      <c r="RG1138" s="106"/>
      <c r="RH1138" s="106"/>
      <c r="RI1138" s="106"/>
      <c r="RJ1138" s="106"/>
      <c r="RK1138" s="106"/>
      <c r="RL1138" s="106"/>
    </row>
    <row r="1139" spans="48:480" x14ac:dyDescent="0.3">
      <c r="AV1139" s="103"/>
      <c r="CJ1139" s="103"/>
      <c r="FP1139" s="103"/>
      <c r="LL1139" s="103"/>
      <c r="NM1139" s="103"/>
      <c r="QT1139" s="106"/>
      <c r="QU1139" s="106"/>
      <c r="QV1139" s="106"/>
      <c r="QW1139" s="106"/>
      <c r="QX1139" s="106"/>
      <c r="QY1139" s="106"/>
      <c r="QZ1139" s="106"/>
      <c r="RA1139" s="106"/>
      <c r="RB1139" s="106"/>
      <c r="RC1139" s="106"/>
      <c r="RD1139" s="106"/>
      <c r="RE1139" s="106"/>
      <c r="RF1139" s="106"/>
      <c r="RG1139" s="106"/>
      <c r="RH1139" s="106"/>
      <c r="RI1139" s="106"/>
      <c r="RJ1139" s="106"/>
      <c r="RK1139" s="106"/>
      <c r="RL1139" s="106"/>
    </row>
    <row r="1140" spans="48:480" x14ac:dyDescent="0.3">
      <c r="AV1140" s="103"/>
      <c r="CJ1140" s="103"/>
      <c r="FP1140" s="103"/>
      <c r="LL1140" s="103"/>
      <c r="NM1140" s="103"/>
      <c r="QT1140" s="106"/>
      <c r="QU1140" s="106"/>
      <c r="QV1140" s="106"/>
      <c r="QW1140" s="106"/>
      <c r="QX1140" s="106"/>
      <c r="QY1140" s="106"/>
      <c r="QZ1140" s="106"/>
      <c r="RA1140" s="106"/>
      <c r="RB1140" s="106"/>
      <c r="RC1140" s="106"/>
      <c r="RD1140" s="106"/>
      <c r="RE1140" s="106"/>
      <c r="RF1140" s="106"/>
      <c r="RG1140" s="106"/>
      <c r="RH1140" s="106"/>
      <c r="RI1140" s="106"/>
      <c r="RJ1140" s="106"/>
      <c r="RK1140" s="106"/>
      <c r="RL1140" s="106"/>
    </row>
    <row r="1141" spans="48:480" x14ac:dyDescent="0.3">
      <c r="AV1141" s="103"/>
      <c r="CJ1141" s="103"/>
      <c r="FP1141" s="103"/>
      <c r="LL1141" s="103"/>
      <c r="NM1141" s="103"/>
      <c r="QT1141" s="106"/>
      <c r="QU1141" s="106"/>
      <c r="QV1141" s="106"/>
      <c r="QW1141" s="106"/>
      <c r="QX1141" s="106"/>
      <c r="QY1141" s="106"/>
      <c r="QZ1141" s="106"/>
      <c r="RA1141" s="106"/>
      <c r="RB1141" s="106"/>
      <c r="RC1141" s="106"/>
      <c r="RD1141" s="106"/>
      <c r="RE1141" s="106"/>
      <c r="RF1141" s="106"/>
      <c r="RG1141" s="106"/>
      <c r="RH1141" s="106"/>
      <c r="RI1141" s="106"/>
      <c r="RJ1141" s="106"/>
      <c r="RK1141" s="106"/>
      <c r="RL1141" s="106"/>
    </row>
    <row r="1142" spans="48:480" x14ac:dyDescent="0.3">
      <c r="CJ1142" s="103"/>
      <c r="FP1142" s="103"/>
      <c r="LL1142" s="103"/>
      <c r="NM1142" s="103"/>
      <c r="QT1142" s="106"/>
      <c r="QU1142" s="106"/>
      <c r="QV1142" s="106"/>
      <c r="QW1142" s="106"/>
      <c r="QX1142" s="106"/>
      <c r="QY1142" s="106"/>
      <c r="QZ1142" s="106"/>
      <c r="RA1142" s="106"/>
      <c r="RB1142" s="106"/>
      <c r="RC1142" s="106"/>
      <c r="RD1142" s="106"/>
      <c r="RE1142" s="106"/>
      <c r="RF1142" s="106"/>
      <c r="RG1142" s="106"/>
      <c r="RH1142" s="106"/>
      <c r="RI1142" s="106"/>
      <c r="RJ1142" s="106"/>
      <c r="RK1142" s="106"/>
      <c r="RL1142" s="106"/>
    </row>
    <row r="1143" spans="48:480" x14ac:dyDescent="0.3">
      <c r="CJ1143" s="103"/>
      <c r="FP1143" s="103"/>
      <c r="LL1143" s="103"/>
      <c r="NM1143" s="103"/>
      <c r="QT1143" s="106"/>
      <c r="QU1143" s="106"/>
      <c r="QV1143" s="106"/>
      <c r="QW1143" s="106"/>
      <c r="QX1143" s="106"/>
      <c r="QY1143" s="106"/>
      <c r="QZ1143" s="106"/>
      <c r="RA1143" s="106"/>
      <c r="RB1143" s="106"/>
      <c r="RC1143" s="106"/>
      <c r="RD1143" s="106"/>
      <c r="RE1143" s="106"/>
      <c r="RF1143" s="106"/>
      <c r="RG1143" s="106"/>
      <c r="RH1143" s="106"/>
      <c r="RI1143" s="106"/>
      <c r="RJ1143" s="106"/>
      <c r="RK1143" s="106"/>
      <c r="RL1143" s="106"/>
    </row>
    <row r="1144" spans="48:480" x14ac:dyDescent="0.3">
      <c r="AV1144" s="103"/>
      <c r="CJ1144" s="103"/>
      <c r="FP1144" s="103"/>
      <c r="LL1144" s="103"/>
      <c r="NM1144" s="103"/>
      <c r="QT1144" s="106"/>
      <c r="QU1144" s="106"/>
      <c r="QV1144" s="106"/>
      <c r="QW1144" s="106"/>
      <c r="QX1144" s="106"/>
      <c r="QY1144" s="106"/>
      <c r="QZ1144" s="106"/>
      <c r="RA1144" s="106"/>
      <c r="RB1144" s="106"/>
      <c r="RC1144" s="106"/>
      <c r="RD1144" s="106"/>
      <c r="RE1144" s="106"/>
      <c r="RF1144" s="106"/>
      <c r="RG1144" s="106"/>
      <c r="RH1144" s="106"/>
      <c r="RI1144" s="106"/>
      <c r="RJ1144" s="106"/>
      <c r="RK1144" s="106"/>
      <c r="RL1144" s="106"/>
    </row>
    <row r="1145" spans="48:480" x14ac:dyDescent="0.3">
      <c r="CJ1145" s="103"/>
      <c r="FP1145" s="103"/>
      <c r="LL1145" s="103"/>
      <c r="NM1145" s="103"/>
      <c r="QT1145" s="106"/>
      <c r="QU1145" s="106"/>
      <c r="QV1145" s="106"/>
      <c r="QW1145" s="106"/>
      <c r="QX1145" s="106"/>
      <c r="QY1145" s="106"/>
      <c r="QZ1145" s="106"/>
      <c r="RA1145" s="106"/>
      <c r="RB1145" s="106"/>
      <c r="RC1145" s="106"/>
      <c r="RD1145" s="106"/>
      <c r="RE1145" s="106"/>
      <c r="RF1145" s="106"/>
      <c r="RG1145" s="106"/>
      <c r="RH1145" s="106"/>
      <c r="RI1145" s="106"/>
      <c r="RJ1145" s="106"/>
      <c r="RK1145" s="106"/>
      <c r="RL1145" s="106"/>
    </row>
    <row r="1146" spans="48:480" x14ac:dyDescent="0.3">
      <c r="CJ1146" s="103"/>
      <c r="FP1146" s="103"/>
      <c r="LL1146" s="103"/>
      <c r="NM1146" s="103"/>
      <c r="QT1146" s="106"/>
      <c r="QU1146" s="106"/>
      <c r="QV1146" s="106"/>
      <c r="QW1146" s="106"/>
      <c r="QX1146" s="106"/>
      <c r="QY1146" s="106"/>
      <c r="QZ1146" s="106"/>
      <c r="RA1146" s="106"/>
      <c r="RB1146" s="106"/>
      <c r="RC1146" s="106"/>
      <c r="RD1146" s="106"/>
      <c r="RE1146" s="106"/>
      <c r="RF1146" s="106"/>
      <c r="RG1146" s="106"/>
      <c r="RH1146" s="106"/>
      <c r="RI1146" s="106"/>
      <c r="RJ1146" s="106"/>
      <c r="RK1146" s="106"/>
      <c r="RL1146" s="106"/>
    </row>
    <row r="1147" spans="48:480" x14ac:dyDescent="0.3">
      <c r="CJ1147" s="103"/>
      <c r="FP1147" s="103"/>
      <c r="LL1147" s="103"/>
      <c r="NM1147" s="103"/>
      <c r="QT1147" s="106"/>
      <c r="QU1147" s="106"/>
      <c r="QV1147" s="106"/>
      <c r="QW1147" s="106"/>
      <c r="QX1147" s="106"/>
      <c r="QY1147" s="106"/>
      <c r="QZ1147" s="106"/>
      <c r="RA1147" s="106"/>
      <c r="RB1147" s="106"/>
      <c r="RC1147" s="106"/>
      <c r="RD1147" s="106"/>
      <c r="RE1147" s="106"/>
      <c r="RF1147" s="106"/>
      <c r="RG1147" s="106"/>
      <c r="RH1147" s="106"/>
      <c r="RI1147" s="106"/>
      <c r="RJ1147" s="106"/>
      <c r="RK1147" s="106"/>
      <c r="RL1147" s="106"/>
    </row>
    <row r="1148" spans="48:480" x14ac:dyDescent="0.3">
      <c r="CJ1148" s="103"/>
      <c r="FP1148" s="103"/>
      <c r="LL1148" s="103"/>
      <c r="NM1148" s="103"/>
      <c r="QT1148" s="106"/>
      <c r="QU1148" s="106"/>
      <c r="QV1148" s="106"/>
      <c r="QW1148" s="106"/>
      <c r="QX1148" s="106"/>
      <c r="QY1148" s="106"/>
      <c r="QZ1148" s="106"/>
      <c r="RA1148" s="106"/>
      <c r="RB1148" s="106"/>
      <c r="RC1148" s="106"/>
      <c r="RD1148" s="106"/>
      <c r="RE1148" s="106"/>
      <c r="RF1148" s="106"/>
      <c r="RG1148" s="106"/>
      <c r="RH1148" s="106"/>
      <c r="RI1148" s="106"/>
      <c r="RJ1148" s="106"/>
      <c r="RK1148" s="106"/>
      <c r="RL1148" s="106"/>
    </row>
    <row r="1149" spans="48:480" x14ac:dyDescent="0.3">
      <c r="CJ1149" s="103"/>
      <c r="FP1149" s="103"/>
      <c r="LL1149" s="103"/>
      <c r="NM1149" s="103"/>
      <c r="QT1149" s="106"/>
      <c r="QU1149" s="106"/>
      <c r="QV1149" s="106"/>
      <c r="QW1149" s="106"/>
      <c r="QX1149" s="106"/>
      <c r="QY1149" s="106"/>
      <c r="QZ1149" s="106"/>
      <c r="RA1149" s="106"/>
      <c r="RB1149" s="106"/>
      <c r="RC1149" s="106"/>
      <c r="RD1149" s="106"/>
      <c r="RE1149" s="106"/>
      <c r="RF1149" s="106"/>
      <c r="RG1149" s="106"/>
      <c r="RH1149" s="106"/>
      <c r="RI1149" s="106"/>
      <c r="RJ1149" s="106"/>
      <c r="RK1149" s="106"/>
      <c r="RL1149" s="106"/>
    </row>
    <row r="1150" spans="48:480" x14ac:dyDescent="0.3">
      <c r="CJ1150" s="103"/>
      <c r="FP1150" s="103"/>
      <c r="LL1150" s="103"/>
      <c r="NM1150" s="103"/>
      <c r="QT1150" s="106"/>
      <c r="QU1150" s="106"/>
      <c r="QV1150" s="106"/>
      <c r="QW1150" s="106"/>
      <c r="QX1150" s="106"/>
      <c r="QY1150" s="106"/>
      <c r="QZ1150" s="106"/>
      <c r="RA1150" s="106"/>
      <c r="RB1150" s="106"/>
      <c r="RC1150" s="106"/>
      <c r="RD1150" s="106"/>
      <c r="RE1150" s="106"/>
      <c r="RF1150" s="106"/>
      <c r="RG1150" s="106"/>
      <c r="RH1150" s="106"/>
      <c r="RI1150" s="106"/>
      <c r="RJ1150" s="106"/>
      <c r="RK1150" s="106"/>
      <c r="RL1150" s="106"/>
    </row>
    <row r="1151" spans="48:480" x14ac:dyDescent="0.3">
      <c r="CJ1151" s="103"/>
      <c r="FP1151" s="103"/>
      <c r="LL1151" s="103"/>
      <c r="NM1151" s="103"/>
      <c r="QT1151" s="106"/>
      <c r="QU1151" s="106"/>
      <c r="QV1151" s="106"/>
      <c r="QW1151" s="106"/>
      <c r="QX1151" s="106"/>
      <c r="QY1151" s="106"/>
      <c r="QZ1151" s="106"/>
      <c r="RA1151" s="106"/>
      <c r="RB1151" s="106"/>
      <c r="RC1151" s="106"/>
      <c r="RD1151" s="106"/>
      <c r="RE1151" s="106"/>
      <c r="RF1151" s="106"/>
      <c r="RG1151" s="106"/>
      <c r="RH1151" s="106"/>
      <c r="RI1151" s="106"/>
      <c r="RJ1151" s="106"/>
      <c r="RK1151" s="106"/>
      <c r="RL1151" s="106"/>
    </row>
    <row r="1152" spans="48:480" x14ac:dyDescent="0.3">
      <c r="CJ1152" s="103"/>
      <c r="FP1152" s="103"/>
      <c r="LL1152" s="103"/>
      <c r="NM1152" s="103"/>
      <c r="QT1152" s="106"/>
      <c r="QU1152" s="106"/>
      <c r="QV1152" s="106"/>
      <c r="QW1152" s="106"/>
      <c r="QX1152" s="106"/>
      <c r="QY1152" s="106"/>
      <c r="QZ1152" s="106"/>
      <c r="RA1152" s="106"/>
      <c r="RB1152" s="106"/>
      <c r="RC1152" s="106"/>
      <c r="RD1152" s="106"/>
      <c r="RE1152" s="106"/>
      <c r="RF1152" s="106"/>
      <c r="RG1152" s="106"/>
      <c r="RH1152" s="106"/>
      <c r="RI1152" s="106"/>
      <c r="RJ1152" s="106"/>
      <c r="RK1152" s="106"/>
      <c r="RL1152" s="106"/>
    </row>
    <row r="1153" spans="88:480" x14ac:dyDescent="0.3">
      <c r="CJ1153" s="103"/>
      <c r="FP1153" s="103"/>
      <c r="LL1153" s="103"/>
      <c r="NM1153" s="103"/>
      <c r="QT1153" s="106"/>
      <c r="QU1153" s="106"/>
      <c r="QV1153" s="106"/>
      <c r="QW1153" s="106"/>
      <c r="QX1153" s="106"/>
      <c r="QY1153" s="106"/>
      <c r="QZ1153" s="106"/>
      <c r="RA1153" s="106"/>
      <c r="RB1153" s="106"/>
      <c r="RC1153" s="106"/>
      <c r="RD1153" s="106"/>
      <c r="RE1153" s="106"/>
      <c r="RF1153" s="106"/>
      <c r="RG1153" s="106"/>
      <c r="RH1153" s="106"/>
      <c r="RI1153" s="106"/>
      <c r="RJ1153" s="106"/>
      <c r="RK1153" s="106"/>
      <c r="RL1153" s="106"/>
    </row>
    <row r="1154" spans="88:480" x14ac:dyDescent="0.3">
      <c r="CJ1154" s="103"/>
      <c r="FP1154" s="103"/>
      <c r="LL1154" s="103"/>
      <c r="NM1154" s="103"/>
      <c r="QT1154" s="106"/>
      <c r="QU1154" s="106"/>
      <c r="QV1154" s="106"/>
      <c r="QW1154" s="106"/>
      <c r="QX1154" s="106"/>
      <c r="QY1154" s="106"/>
      <c r="QZ1154" s="106"/>
      <c r="RA1154" s="106"/>
      <c r="RB1154" s="106"/>
      <c r="RC1154" s="106"/>
      <c r="RD1154" s="106"/>
      <c r="RE1154" s="106"/>
      <c r="RF1154" s="106"/>
      <c r="RG1154" s="106"/>
      <c r="RH1154" s="106"/>
      <c r="RI1154" s="106"/>
      <c r="RJ1154" s="106"/>
      <c r="RK1154" s="106"/>
      <c r="RL1154" s="106"/>
    </row>
    <row r="1155" spans="88:480" x14ac:dyDescent="0.3">
      <c r="CJ1155" s="103"/>
      <c r="FP1155" s="103"/>
      <c r="LL1155" s="103"/>
      <c r="NM1155" s="103"/>
      <c r="QT1155" s="106"/>
      <c r="QU1155" s="106"/>
      <c r="QV1155" s="106"/>
      <c r="QW1155" s="106"/>
      <c r="QX1155" s="106"/>
      <c r="QY1155" s="106"/>
      <c r="QZ1155" s="106"/>
      <c r="RA1155" s="106"/>
      <c r="RB1155" s="106"/>
      <c r="RC1155" s="106"/>
      <c r="RD1155" s="106"/>
      <c r="RE1155" s="106"/>
      <c r="RF1155" s="106"/>
      <c r="RG1155" s="106"/>
      <c r="RH1155" s="106"/>
      <c r="RI1155" s="106"/>
      <c r="RJ1155" s="106"/>
      <c r="RK1155" s="106"/>
      <c r="RL1155" s="106"/>
    </row>
    <row r="1156" spans="88:480" x14ac:dyDescent="0.3">
      <c r="CJ1156" s="103"/>
      <c r="FP1156" s="103"/>
      <c r="LL1156" s="103"/>
      <c r="NM1156" s="103"/>
      <c r="QT1156" s="106"/>
      <c r="QU1156" s="106"/>
      <c r="QV1156" s="106"/>
      <c r="QW1156" s="106"/>
      <c r="QX1156" s="106"/>
      <c r="QY1156" s="106"/>
      <c r="QZ1156" s="106"/>
      <c r="RA1156" s="106"/>
      <c r="RB1156" s="106"/>
      <c r="RC1156" s="106"/>
      <c r="RD1156" s="106"/>
      <c r="RE1156" s="106"/>
      <c r="RF1156" s="106"/>
      <c r="RG1156" s="106"/>
      <c r="RH1156" s="106"/>
      <c r="RI1156" s="106"/>
      <c r="RJ1156" s="106"/>
      <c r="RK1156" s="106"/>
      <c r="RL1156" s="106"/>
    </row>
    <row r="1157" spans="88:480" x14ac:dyDescent="0.3">
      <c r="CJ1157" s="103"/>
      <c r="FP1157" s="103"/>
      <c r="LL1157" s="103"/>
      <c r="NM1157" s="103"/>
      <c r="QT1157" s="106"/>
      <c r="QU1157" s="106"/>
      <c r="QV1157" s="106"/>
      <c r="QW1157" s="106"/>
      <c r="QX1157" s="106"/>
      <c r="QY1157" s="106"/>
      <c r="QZ1157" s="106"/>
      <c r="RA1157" s="106"/>
      <c r="RB1157" s="106"/>
      <c r="RC1157" s="106"/>
      <c r="RD1157" s="106"/>
      <c r="RE1157" s="106"/>
      <c r="RF1157" s="106"/>
      <c r="RG1157" s="106"/>
      <c r="RH1157" s="106"/>
      <c r="RI1157" s="106"/>
      <c r="RJ1157" s="106"/>
      <c r="RK1157" s="106"/>
      <c r="RL1157" s="106"/>
    </row>
    <row r="1158" spans="88:480" x14ac:dyDescent="0.3">
      <c r="CJ1158" s="103"/>
      <c r="FP1158" s="103"/>
      <c r="LL1158" s="103"/>
      <c r="NM1158" s="103"/>
      <c r="QT1158" s="106"/>
      <c r="QU1158" s="106"/>
      <c r="QV1158" s="106"/>
      <c r="QW1158" s="106"/>
      <c r="QX1158" s="106"/>
      <c r="QY1158" s="106"/>
      <c r="QZ1158" s="106"/>
      <c r="RA1158" s="106"/>
      <c r="RB1158" s="106"/>
      <c r="RC1158" s="106"/>
      <c r="RD1158" s="106"/>
      <c r="RE1158" s="106"/>
      <c r="RF1158" s="106"/>
      <c r="RG1158" s="106"/>
      <c r="RH1158" s="106"/>
      <c r="RI1158" s="106"/>
      <c r="RJ1158" s="106"/>
      <c r="RK1158" s="106"/>
      <c r="RL1158" s="106"/>
    </row>
    <row r="1159" spans="88:480" x14ac:dyDescent="0.3">
      <c r="CJ1159" s="103"/>
      <c r="FP1159" s="103"/>
      <c r="LL1159" s="103"/>
      <c r="NM1159" s="103"/>
      <c r="QT1159" s="106"/>
      <c r="QU1159" s="106"/>
      <c r="QV1159" s="106"/>
      <c r="QW1159" s="106"/>
      <c r="QX1159" s="106"/>
      <c r="QY1159" s="106"/>
      <c r="QZ1159" s="106"/>
      <c r="RA1159" s="106"/>
      <c r="RB1159" s="106"/>
      <c r="RC1159" s="106"/>
      <c r="RD1159" s="106"/>
      <c r="RE1159" s="106"/>
      <c r="RF1159" s="106"/>
      <c r="RG1159" s="106"/>
      <c r="RH1159" s="106"/>
      <c r="RI1159" s="106"/>
      <c r="RJ1159" s="106"/>
      <c r="RK1159" s="106"/>
      <c r="RL1159" s="106"/>
    </row>
    <row r="1160" spans="88:480" x14ac:dyDescent="0.3">
      <c r="CJ1160" s="103"/>
      <c r="FP1160" s="103"/>
      <c r="LL1160" s="103"/>
      <c r="NM1160" s="103"/>
      <c r="QT1160" s="106"/>
      <c r="QU1160" s="106"/>
      <c r="QV1160" s="106"/>
      <c r="QW1160" s="106"/>
      <c r="QX1160" s="106"/>
      <c r="QY1160" s="106"/>
      <c r="QZ1160" s="106"/>
      <c r="RA1160" s="106"/>
      <c r="RB1160" s="106"/>
      <c r="RC1160" s="106"/>
      <c r="RD1160" s="106"/>
      <c r="RE1160" s="106"/>
      <c r="RF1160" s="106"/>
      <c r="RG1160" s="106"/>
      <c r="RH1160" s="106"/>
      <c r="RI1160" s="106"/>
      <c r="RJ1160" s="106"/>
      <c r="RK1160" s="106"/>
      <c r="RL1160" s="106"/>
    </row>
    <row r="1161" spans="88:480" x14ac:dyDescent="0.3">
      <c r="CJ1161" s="103"/>
      <c r="FP1161" s="103"/>
      <c r="LL1161" s="103"/>
      <c r="NM1161" s="103"/>
      <c r="QT1161" s="106"/>
      <c r="QU1161" s="106"/>
      <c r="QV1161" s="106"/>
      <c r="QW1161" s="106"/>
      <c r="QX1161" s="106"/>
      <c r="QY1161" s="106"/>
      <c r="QZ1161" s="106"/>
      <c r="RA1161" s="106"/>
      <c r="RB1161" s="106"/>
      <c r="RC1161" s="106"/>
      <c r="RD1161" s="106"/>
      <c r="RE1161" s="106"/>
      <c r="RF1161" s="106"/>
      <c r="RG1161" s="106"/>
      <c r="RH1161" s="106"/>
      <c r="RI1161" s="106"/>
      <c r="RJ1161" s="106"/>
      <c r="RK1161" s="106"/>
      <c r="RL1161" s="106"/>
    </row>
    <row r="1162" spans="88:480" x14ac:dyDescent="0.3">
      <c r="CJ1162" s="103"/>
      <c r="FP1162" s="103"/>
      <c r="LL1162" s="103"/>
      <c r="NM1162" s="103"/>
      <c r="QT1162" s="106"/>
      <c r="QU1162" s="106"/>
      <c r="QV1162" s="106"/>
      <c r="QW1162" s="106"/>
      <c r="QX1162" s="106"/>
      <c r="QY1162" s="106"/>
      <c r="QZ1162" s="106"/>
      <c r="RA1162" s="106"/>
      <c r="RB1162" s="106"/>
      <c r="RC1162" s="106"/>
      <c r="RD1162" s="106"/>
      <c r="RE1162" s="106"/>
      <c r="RF1162" s="106"/>
      <c r="RG1162" s="106"/>
      <c r="RH1162" s="106"/>
      <c r="RI1162" s="106"/>
      <c r="RJ1162" s="106"/>
      <c r="RK1162" s="106"/>
      <c r="RL1162" s="106"/>
    </row>
    <row r="1163" spans="88:480" x14ac:dyDescent="0.3">
      <c r="CJ1163" s="103"/>
      <c r="FP1163" s="103"/>
      <c r="LL1163" s="103"/>
      <c r="NM1163" s="103"/>
      <c r="QT1163" s="106"/>
      <c r="QU1163" s="106"/>
      <c r="QV1163" s="106"/>
      <c r="QW1163" s="106"/>
      <c r="QX1163" s="106"/>
      <c r="QY1163" s="106"/>
      <c r="QZ1163" s="106"/>
      <c r="RA1163" s="106"/>
      <c r="RB1163" s="106"/>
      <c r="RC1163" s="106"/>
      <c r="RD1163" s="106"/>
      <c r="RE1163" s="106"/>
      <c r="RF1163" s="106"/>
      <c r="RG1163" s="106"/>
      <c r="RH1163" s="106"/>
      <c r="RI1163" s="106"/>
      <c r="RJ1163" s="106"/>
      <c r="RK1163" s="106"/>
      <c r="RL1163" s="106"/>
    </row>
    <row r="1164" spans="88:480" x14ac:dyDescent="0.3">
      <c r="CJ1164" s="103"/>
      <c r="FP1164" s="103"/>
      <c r="LL1164" s="103"/>
      <c r="NM1164" s="103"/>
      <c r="QT1164" s="106"/>
      <c r="QU1164" s="106"/>
      <c r="QV1164" s="106"/>
      <c r="QW1164" s="106"/>
      <c r="QX1164" s="106"/>
      <c r="QY1164" s="106"/>
      <c r="QZ1164" s="106"/>
      <c r="RA1164" s="106"/>
      <c r="RB1164" s="106"/>
      <c r="RC1164" s="106"/>
      <c r="RD1164" s="106"/>
      <c r="RE1164" s="106"/>
      <c r="RF1164" s="106"/>
      <c r="RG1164" s="106"/>
      <c r="RH1164" s="106"/>
      <c r="RI1164" s="106"/>
      <c r="RJ1164" s="106"/>
      <c r="RK1164" s="106"/>
      <c r="RL1164" s="106"/>
    </row>
    <row r="1165" spans="88:480" x14ac:dyDescent="0.3">
      <c r="CJ1165" s="103"/>
      <c r="FP1165" s="103"/>
      <c r="LL1165" s="103"/>
      <c r="NM1165" s="103"/>
      <c r="QT1165" s="106"/>
      <c r="QU1165" s="106"/>
      <c r="QV1165" s="106"/>
      <c r="QW1165" s="106"/>
      <c r="QX1165" s="106"/>
      <c r="QY1165" s="106"/>
      <c r="QZ1165" s="106"/>
      <c r="RA1165" s="106"/>
      <c r="RB1165" s="106"/>
      <c r="RC1165" s="106"/>
      <c r="RD1165" s="106"/>
      <c r="RE1165" s="106"/>
      <c r="RF1165" s="106"/>
      <c r="RG1165" s="106"/>
      <c r="RH1165" s="106"/>
      <c r="RI1165" s="106"/>
      <c r="RJ1165" s="106"/>
      <c r="RK1165" s="106"/>
      <c r="RL1165" s="106"/>
    </row>
    <row r="1166" spans="88:480" x14ac:dyDescent="0.3">
      <c r="CJ1166" s="103"/>
      <c r="FP1166" s="103"/>
      <c r="LL1166" s="103"/>
      <c r="NM1166" s="103"/>
      <c r="QT1166" s="106"/>
      <c r="QU1166" s="106"/>
      <c r="QV1166" s="106"/>
      <c r="QW1166" s="106"/>
      <c r="QX1166" s="106"/>
      <c r="QY1166" s="106"/>
      <c r="QZ1166" s="106"/>
      <c r="RA1166" s="106"/>
      <c r="RB1166" s="106"/>
      <c r="RC1166" s="106"/>
      <c r="RD1166" s="106"/>
      <c r="RE1166" s="106"/>
      <c r="RF1166" s="106"/>
      <c r="RG1166" s="106"/>
      <c r="RH1166" s="106"/>
      <c r="RI1166" s="106"/>
      <c r="RJ1166" s="106"/>
      <c r="RK1166" s="106"/>
      <c r="RL1166" s="106"/>
    </row>
    <row r="1167" spans="88:480" x14ac:dyDescent="0.3">
      <c r="CJ1167" s="103"/>
      <c r="FP1167" s="103"/>
      <c r="LL1167" s="103"/>
      <c r="NM1167" s="103"/>
      <c r="QT1167" s="106"/>
      <c r="QU1167" s="106"/>
      <c r="QV1167" s="106"/>
      <c r="QW1167" s="106"/>
      <c r="QX1167" s="106"/>
      <c r="QY1167" s="106"/>
      <c r="QZ1167" s="106"/>
      <c r="RA1167" s="106"/>
      <c r="RB1167" s="106"/>
      <c r="RC1167" s="106"/>
      <c r="RD1167" s="106"/>
      <c r="RE1167" s="106"/>
      <c r="RF1167" s="106"/>
      <c r="RG1167" s="106"/>
      <c r="RH1167" s="106"/>
      <c r="RI1167" s="106"/>
      <c r="RJ1167" s="106"/>
      <c r="RK1167" s="106"/>
      <c r="RL1167" s="106"/>
    </row>
    <row r="1168" spans="88:480" x14ac:dyDescent="0.3">
      <c r="CJ1168" s="103"/>
      <c r="FP1168" s="103"/>
      <c r="LL1168" s="103"/>
      <c r="NM1168" s="103"/>
      <c r="QT1168" s="106"/>
      <c r="QU1168" s="106"/>
      <c r="QV1168" s="106"/>
      <c r="QW1168" s="106"/>
      <c r="QX1168" s="106"/>
      <c r="QY1168" s="106"/>
      <c r="QZ1168" s="106"/>
      <c r="RA1168" s="106"/>
      <c r="RB1168" s="106"/>
      <c r="RC1168" s="106"/>
      <c r="RD1168" s="106"/>
      <c r="RE1168" s="106"/>
      <c r="RF1168" s="106"/>
      <c r="RG1168" s="106"/>
      <c r="RH1168" s="106"/>
      <c r="RI1168" s="106"/>
      <c r="RJ1168" s="106"/>
      <c r="RK1168" s="106"/>
      <c r="RL1168" s="106"/>
    </row>
    <row r="1169" spans="48:480" x14ac:dyDescent="0.3">
      <c r="AV1169" s="103"/>
      <c r="CJ1169" s="103"/>
      <c r="FP1169" s="103"/>
      <c r="LL1169" s="103"/>
      <c r="NM1169" s="103"/>
      <c r="QT1169" s="106"/>
      <c r="QU1169" s="106"/>
      <c r="QV1169" s="106"/>
      <c r="QW1169" s="106"/>
      <c r="QX1169" s="106"/>
      <c r="QY1169" s="106"/>
      <c r="QZ1169" s="106"/>
      <c r="RA1169" s="106"/>
      <c r="RB1169" s="106"/>
      <c r="RC1169" s="106"/>
      <c r="RD1169" s="106"/>
      <c r="RE1169" s="106"/>
      <c r="RF1169" s="106"/>
      <c r="RG1169" s="106"/>
      <c r="RH1169" s="106"/>
      <c r="RI1169" s="106"/>
      <c r="RJ1169" s="106"/>
      <c r="RK1169" s="106"/>
      <c r="RL1169" s="106"/>
    </row>
    <row r="1170" spans="48:480" x14ac:dyDescent="0.3">
      <c r="CJ1170" s="103"/>
      <c r="FP1170" s="103"/>
      <c r="LL1170" s="103"/>
      <c r="NM1170" s="103"/>
      <c r="QT1170" s="106"/>
      <c r="QU1170" s="106"/>
      <c r="QV1170" s="106"/>
      <c r="QW1170" s="106"/>
      <c r="QX1170" s="106"/>
      <c r="QY1170" s="106"/>
      <c r="QZ1170" s="106"/>
      <c r="RA1170" s="106"/>
      <c r="RB1170" s="106"/>
      <c r="RC1170" s="106"/>
      <c r="RD1170" s="106"/>
      <c r="RE1170" s="106"/>
      <c r="RF1170" s="106"/>
      <c r="RG1170" s="106"/>
      <c r="RH1170" s="106"/>
      <c r="RI1170" s="106"/>
      <c r="RJ1170" s="106"/>
      <c r="RK1170" s="106"/>
      <c r="RL1170" s="106"/>
    </row>
    <row r="1171" spans="48:480" x14ac:dyDescent="0.3">
      <c r="CJ1171" s="103"/>
      <c r="FP1171" s="103"/>
      <c r="LL1171" s="103"/>
      <c r="NM1171" s="103"/>
      <c r="QT1171" s="106"/>
      <c r="QU1171" s="106"/>
      <c r="QV1171" s="106"/>
      <c r="QW1171" s="106"/>
      <c r="QX1171" s="106"/>
      <c r="QY1171" s="106"/>
      <c r="QZ1171" s="106"/>
      <c r="RA1171" s="106"/>
      <c r="RB1171" s="106"/>
      <c r="RC1171" s="106"/>
      <c r="RD1171" s="106"/>
      <c r="RE1171" s="106"/>
      <c r="RF1171" s="106"/>
      <c r="RG1171" s="106"/>
      <c r="RH1171" s="106"/>
      <c r="RI1171" s="106"/>
      <c r="RJ1171" s="106"/>
      <c r="RK1171" s="106"/>
      <c r="RL1171" s="106"/>
    </row>
    <row r="1172" spans="48:480" x14ac:dyDescent="0.3">
      <c r="CJ1172" s="103"/>
      <c r="FP1172" s="103"/>
      <c r="LL1172" s="103"/>
      <c r="NM1172" s="103"/>
      <c r="QT1172" s="106"/>
      <c r="QU1172" s="106"/>
      <c r="QV1172" s="106"/>
      <c r="QW1172" s="106"/>
      <c r="QX1172" s="106"/>
      <c r="QY1172" s="106"/>
      <c r="QZ1172" s="106"/>
      <c r="RA1172" s="106"/>
      <c r="RB1172" s="106"/>
      <c r="RC1172" s="106"/>
      <c r="RD1172" s="106"/>
      <c r="RE1172" s="106"/>
      <c r="RF1172" s="106"/>
      <c r="RG1172" s="106"/>
      <c r="RH1172" s="106"/>
      <c r="RI1172" s="106"/>
      <c r="RJ1172" s="106"/>
      <c r="RK1172" s="106"/>
      <c r="RL1172" s="106"/>
    </row>
    <row r="1173" spans="48:480" x14ac:dyDescent="0.3">
      <c r="CJ1173" s="103"/>
      <c r="FP1173" s="103"/>
      <c r="LL1173" s="103"/>
      <c r="NM1173" s="103"/>
      <c r="QT1173" s="106"/>
      <c r="QU1173" s="106"/>
      <c r="QV1173" s="106"/>
      <c r="QW1173" s="106"/>
      <c r="QX1173" s="106"/>
      <c r="QY1173" s="106"/>
      <c r="QZ1173" s="106"/>
      <c r="RA1173" s="106"/>
      <c r="RB1173" s="106"/>
      <c r="RC1173" s="106"/>
      <c r="RD1173" s="106"/>
      <c r="RE1173" s="106"/>
      <c r="RF1173" s="106"/>
      <c r="RG1173" s="106"/>
      <c r="RH1173" s="106"/>
      <c r="RI1173" s="106"/>
      <c r="RJ1173" s="106"/>
      <c r="RK1173" s="106"/>
      <c r="RL1173" s="106"/>
    </row>
    <row r="1174" spans="48:480" x14ac:dyDescent="0.3">
      <c r="CJ1174" s="103"/>
      <c r="FP1174" s="103"/>
      <c r="LL1174" s="103"/>
      <c r="NM1174" s="103"/>
      <c r="QT1174" s="106"/>
      <c r="QU1174" s="106"/>
      <c r="QV1174" s="106"/>
      <c r="QW1174" s="106"/>
      <c r="QX1174" s="106"/>
      <c r="QY1174" s="106"/>
      <c r="QZ1174" s="106"/>
      <c r="RA1174" s="106"/>
      <c r="RB1174" s="106"/>
      <c r="RC1174" s="106"/>
      <c r="RD1174" s="106"/>
      <c r="RE1174" s="106"/>
      <c r="RF1174" s="106"/>
      <c r="RG1174" s="106"/>
      <c r="RH1174" s="106"/>
      <c r="RI1174" s="106"/>
      <c r="RJ1174" s="106"/>
      <c r="RK1174" s="106"/>
      <c r="RL1174" s="106"/>
    </row>
    <row r="1175" spans="48:480" x14ac:dyDescent="0.3">
      <c r="CJ1175" s="103"/>
      <c r="FP1175" s="103"/>
      <c r="LL1175" s="103"/>
      <c r="NM1175" s="103"/>
      <c r="QT1175" s="106"/>
      <c r="QU1175" s="106"/>
      <c r="QV1175" s="106"/>
      <c r="QW1175" s="106"/>
      <c r="QX1175" s="106"/>
      <c r="QY1175" s="106"/>
      <c r="QZ1175" s="106"/>
      <c r="RA1175" s="106"/>
      <c r="RB1175" s="106"/>
      <c r="RC1175" s="106"/>
      <c r="RD1175" s="106"/>
      <c r="RE1175" s="106"/>
      <c r="RF1175" s="106"/>
      <c r="RG1175" s="106"/>
      <c r="RH1175" s="106"/>
      <c r="RI1175" s="106"/>
      <c r="RJ1175" s="106"/>
      <c r="RK1175" s="106"/>
      <c r="RL1175" s="106"/>
    </row>
    <row r="1176" spans="48:480" x14ac:dyDescent="0.3">
      <c r="CJ1176" s="103"/>
      <c r="FP1176" s="103"/>
      <c r="LL1176" s="103"/>
      <c r="NM1176" s="103"/>
      <c r="QT1176" s="106"/>
      <c r="QU1176" s="106"/>
      <c r="QV1176" s="106"/>
      <c r="QW1176" s="106"/>
      <c r="QX1176" s="106"/>
      <c r="QY1176" s="106"/>
      <c r="QZ1176" s="106"/>
      <c r="RA1176" s="106"/>
      <c r="RB1176" s="106"/>
      <c r="RC1176" s="106"/>
      <c r="RD1176" s="106"/>
      <c r="RE1176" s="106"/>
      <c r="RF1176" s="106"/>
      <c r="RG1176" s="106"/>
      <c r="RH1176" s="106"/>
      <c r="RI1176" s="106"/>
      <c r="RJ1176" s="106"/>
      <c r="RK1176" s="106"/>
      <c r="RL1176" s="106"/>
    </row>
    <row r="1177" spans="48:480" x14ac:dyDescent="0.3">
      <c r="CJ1177" s="103"/>
      <c r="FP1177" s="103"/>
      <c r="LL1177" s="103"/>
      <c r="NM1177" s="103"/>
      <c r="QT1177" s="106"/>
      <c r="QU1177" s="106"/>
      <c r="QV1177" s="106"/>
      <c r="QW1177" s="106"/>
      <c r="QX1177" s="106"/>
      <c r="QY1177" s="106"/>
      <c r="QZ1177" s="106"/>
      <c r="RA1177" s="106"/>
      <c r="RB1177" s="106"/>
      <c r="RC1177" s="106"/>
      <c r="RD1177" s="106"/>
      <c r="RE1177" s="106"/>
      <c r="RF1177" s="106"/>
      <c r="RG1177" s="106"/>
      <c r="RH1177" s="106"/>
      <c r="RI1177" s="106"/>
      <c r="RJ1177" s="106"/>
      <c r="RK1177" s="106"/>
      <c r="RL1177" s="106"/>
    </row>
    <row r="1178" spans="48:480" x14ac:dyDescent="0.3">
      <c r="CJ1178" s="103"/>
      <c r="FP1178" s="103"/>
      <c r="LL1178" s="103"/>
      <c r="NM1178" s="103"/>
      <c r="QT1178" s="106"/>
      <c r="QU1178" s="106"/>
      <c r="QV1178" s="106"/>
      <c r="QW1178" s="106"/>
      <c r="QX1178" s="106"/>
      <c r="QY1178" s="106"/>
      <c r="QZ1178" s="106"/>
      <c r="RA1178" s="106"/>
      <c r="RB1178" s="106"/>
      <c r="RC1178" s="106"/>
      <c r="RD1178" s="106"/>
      <c r="RE1178" s="106"/>
      <c r="RF1178" s="106"/>
      <c r="RG1178" s="106"/>
      <c r="RH1178" s="106"/>
      <c r="RI1178" s="106"/>
      <c r="RJ1178" s="106"/>
      <c r="RK1178" s="106"/>
      <c r="RL1178" s="106"/>
    </row>
    <row r="1179" spans="48:480" x14ac:dyDescent="0.3">
      <c r="CJ1179" s="103"/>
      <c r="FP1179" s="103"/>
      <c r="LL1179" s="103"/>
      <c r="NM1179" s="103"/>
      <c r="QT1179" s="106"/>
      <c r="QU1179" s="106"/>
      <c r="QV1179" s="106"/>
      <c r="QW1179" s="106"/>
      <c r="QX1179" s="106"/>
      <c r="QY1179" s="106"/>
      <c r="QZ1179" s="106"/>
      <c r="RA1179" s="106"/>
      <c r="RB1179" s="106"/>
      <c r="RC1179" s="106"/>
      <c r="RD1179" s="106"/>
      <c r="RE1179" s="106"/>
      <c r="RF1179" s="106"/>
      <c r="RG1179" s="106"/>
      <c r="RH1179" s="106"/>
      <c r="RI1179" s="106"/>
      <c r="RJ1179" s="106"/>
      <c r="RK1179" s="106"/>
      <c r="RL1179" s="106"/>
    </row>
    <row r="1180" spans="48:480" x14ac:dyDescent="0.3">
      <c r="AV1180" s="103"/>
      <c r="CJ1180" s="103"/>
      <c r="FP1180" s="103"/>
      <c r="LL1180" s="103"/>
      <c r="NM1180" s="103"/>
      <c r="QT1180" s="106"/>
      <c r="QU1180" s="106"/>
      <c r="QV1180" s="106"/>
      <c r="QW1180" s="106"/>
      <c r="QX1180" s="106"/>
      <c r="QY1180" s="106"/>
      <c r="QZ1180" s="106"/>
      <c r="RA1180" s="106"/>
      <c r="RB1180" s="106"/>
      <c r="RC1180" s="106"/>
      <c r="RD1180" s="106"/>
      <c r="RE1180" s="106"/>
      <c r="RF1180" s="106"/>
      <c r="RG1180" s="106"/>
      <c r="RH1180" s="106"/>
      <c r="RI1180" s="106"/>
      <c r="RJ1180" s="106"/>
      <c r="RK1180" s="106"/>
      <c r="RL1180" s="106"/>
    </row>
    <row r="1181" spans="48:480" x14ac:dyDescent="0.3">
      <c r="AV1181" s="103"/>
      <c r="CJ1181" s="103"/>
      <c r="FP1181" s="103"/>
      <c r="LL1181" s="103"/>
      <c r="NM1181" s="103"/>
      <c r="QT1181" s="106"/>
      <c r="QU1181" s="106"/>
      <c r="QV1181" s="106"/>
      <c r="QW1181" s="106"/>
      <c r="QX1181" s="106"/>
      <c r="QY1181" s="106"/>
      <c r="QZ1181" s="106"/>
      <c r="RA1181" s="106"/>
      <c r="RB1181" s="106"/>
      <c r="RC1181" s="106"/>
      <c r="RD1181" s="106"/>
      <c r="RE1181" s="106"/>
      <c r="RF1181" s="106"/>
      <c r="RG1181" s="106"/>
      <c r="RH1181" s="106"/>
      <c r="RI1181" s="106"/>
      <c r="RJ1181" s="106"/>
      <c r="RK1181" s="106"/>
      <c r="RL1181" s="106"/>
    </row>
    <row r="1182" spans="48:480" x14ac:dyDescent="0.3">
      <c r="AV1182" s="103"/>
      <c r="CJ1182" s="103"/>
      <c r="FP1182" s="103"/>
      <c r="LL1182" s="103"/>
      <c r="NM1182" s="103"/>
      <c r="QT1182" s="106"/>
      <c r="QU1182" s="106"/>
      <c r="QV1182" s="106"/>
      <c r="QW1182" s="106"/>
      <c r="QX1182" s="106"/>
      <c r="QY1182" s="106"/>
      <c r="QZ1182" s="106"/>
      <c r="RA1182" s="106"/>
      <c r="RB1182" s="106"/>
      <c r="RC1182" s="106"/>
      <c r="RD1182" s="106"/>
      <c r="RE1182" s="106"/>
      <c r="RF1182" s="106"/>
      <c r="RG1182" s="106"/>
      <c r="RH1182" s="106"/>
      <c r="RI1182" s="106"/>
      <c r="RJ1182" s="106"/>
      <c r="RK1182" s="106"/>
      <c r="RL1182" s="106"/>
    </row>
    <row r="1183" spans="48:480" x14ac:dyDescent="0.3">
      <c r="AV1183" s="103"/>
      <c r="CJ1183" s="103"/>
      <c r="FP1183" s="103"/>
      <c r="LL1183" s="103"/>
      <c r="NM1183" s="103"/>
      <c r="QT1183" s="106"/>
      <c r="QU1183" s="106"/>
      <c r="QV1183" s="106"/>
      <c r="QW1183" s="106"/>
      <c r="QX1183" s="106"/>
      <c r="QY1183" s="106"/>
      <c r="QZ1183" s="106"/>
      <c r="RA1183" s="106"/>
      <c r="RB1183" s="106"/>
      <c r="RC1183" s="106"/>
      <c r="RD1183" s="106"/>
      <c r="RE1183" s="106"/>
      <c r="RF1183" s="106"/>
      <c r="RG1183" s="106"/>
      <c r="RH1183" s="106"/>
      <c r="RI1183" s="106"/>
      <c r="RJ1183" s="106"/>
      <c r="RK1183" s="106"/>
      <c r="RL1183" s="106"/>
    </row>
    <row r="1184" spans="48:480" x14ac:dyDescent="0.3">
      <c r="AV1184" s="103"/>
      <c r="CJ1184" s="103"/>
      <c r="FP1184" s="103"/>
      <c r="LL1184" s="103"/>
      <c r="NM1184" s="103"/>
      <c r="QT1184" s="106"/>
      <c r="QU1184" s="106"/>
      <c r="QV1184" s="106"/>
      <c r="QW1184" s="106"/>
      <c r="QX1184" s="106"/>
      <c r="QY1184" s="106"/>
      <c r="QZ1184" s="106"/>
      <c r="RA1184" s="106"/>
      <c r="RB1184" s="106"/>
      <c r="RC1184" s="106"/>
      <c r="RD1184" s="106"/>
      <c r="RE1184" s="106"/>
      <c r="RF1184" s="106"/>
      <c r="RG1184" s="106"/>
      <c r="RH1184" s="106"/>
      <c r="RI1184" s="106"/>
      <c r="RJ1184" s="106"/>
      <c r="RK1184" s="106"/>
      <c r="RL1184" s="106"/>
    </row>
    <row r="1185" spans="48:480" x14ac:dyDescent="0.3">
      <c r="AV1185" s="103"/>
      <c r="CJ1185" s="103"/>
      <c r="FP1185" s="103"/>
      <c r="LL1185" s="103"/>
      <c r="NM1185" s="103"/>
      <c r="QT1185" s="106"/>
      <c r="QU1185" s="106"/>
      <c r="QV1185" s="106"/>
      <c r="QW1185" s="106"/>
      <c r="QX1185" s="106"/>
      <c r="QY1185" s="106"/>
      <c r="QZ1185" s="106"/>
      <c r="RA1185" s="106"/>
      <c r="RB1185" s="106"/>
      <c r="RC1185" s="106"/>
      <c r="RD1185" s="106"/>
      <c r="RE1185" s="106"/>
      <c r="RF1185" s="106"/>
      <c r="RG1185" s="106"/>
      <c r="RH1185" s="106"/>
      <c r="RI1185" s="106"/>
      <c r="RJ1185" s="106"/>
      <c r="RK1185" s="106"/>
      <c r="RL1185" s="106"/>
    </row>
    <row r="1186" spans="48:480" x14ac:dyDescent="0.3">
      <c r="AV1186" s="103"/>
      <c r="CJ1186" s="103"/>
      <c r="FP1186" s="103"/>
      <c r="LL1186" s="103"/>
      <c r="NM1186" s="103"/>
      <c r="QT1186" s="106"/>
      <c r="QU1186" s="106"/>
      <c r="QV1186" s="106"/>
      <c r="QW1186" s="106"/>
      <c r="QX1186" s="106"/>
      <c r="QY1186" s="106"/>
      <c r="QZ1186" s="106"/>
      <c r="RA1186" s="106"/>
      <c r="RB1186" s="106"/>
      <c r="RC1186" s="106"/>
      <c r="RD1186" s="106"/>
      <c r="RE1186" s="106"/>
      <c r="RF1186" s="106"/>
      <c r="RG1186" s="106"/>
      <c r="RH1186" s="106"/>
      <c r="RI1186" s="106"/>
      <c r="RJ1186" s="106"/>
      <c r="RK1186" s="106"/>
      <c r="RL1186" s="106"/>
    </row>
    <row r="1187" spans="48:480" x14ac:dyDescent="0.3">
      <c r="CJ1187" s="103"/>
      <c r="FP1187" s="103"/>
      <c r="LL1187" s="103"/>
      <c r="NM1187" s="103"/>
      <c r="QT1187" s="106"/>
      <c r="QU1187" s="106"/>
      <c r="QV1187" s="106"/>
      <c r="QW1187" s="106"/>
      <c r="QX1187" s="106"/>
      <c r="QY1187" s="106"/>
      <c r="QZ1187" s="106"/>
      <c r="RA1187" s="106"/>
      <c r="RB1187" s="106"/>
      <c r="RC1187" s="106"/>
      <c r="RD1187" s="106"/>
      <c r="RE1187" s="106"/>
      <c r="RF1187" s="106"/>
      <c r="RG1187" s="106"/>
      <c r="RH1187" s="106"/>
      <c r="RI1187" s="106"/>
      <c r="RJ1187" s="106"/>
      <c r="RK1187" s="106"/>
      <c r="RL1187" s="106"/>
    </row>
    <row r="1188" spans="48:480" x14ac:dyDescent="0.3">
      <c r="AV1188" s="103"/>
      <c r="CJ1188" s="103"/>
      <c r="FP1188" s="103"/>
      <c r="LL1188" s="103"/>
      <c r="NM1188" s="103"/>
      <c r="QT1188" s="106"/>
      <c r="QU1188" s="106"/>
      <c r="QV1188" s="106"/>
      <c r="QW1188" s="106"/>
      <c r="QX1188" s="106"/>
      <c r="QY1188" s="106"/>
      <c r="QZ1188" s="106"/>
      <c r="RA1188" s="106"/>
      <c r="RB1188" s="106"/>
      <c r="RC1188" s="106"/>
      <c r="RD1188" s="106"/>
      <c r="RE1188" s="106"/>
      <c r="RF1188" s="106"/>
      <c r="RG1188" s="106"/>
      <c r="RH1188" s="106"/>
      <c r="RI1188" s="106"/>
      <c r="RJ1188" s="106"/>
      <c r="RK1188" s="106"/>
      <c r="RL1188" s="106"/>
    </row>
    <row r="1189" spans="48:480" x14ac:dyDescent="0.3">
      <c r="CJ1189" s="103"/>
      <c r="FP1189" s="103"/>
      <c r="LL1189" s="103"/>
      <c r="NM1189" s="103"/>
      <c r="QT1189" s="106"/>
      <c r="QU1189" s="106"/>
      <c r="QV1189" s="106"/>
      <c r="QW1189" s="106"/>
      <c r="QX1189" s="106"/>
      <c r="QY1189" s="106"/>
      <c r="QZ1189" s="106"/>
      <c r="RA1189" s="106"/>
      <c r="RB1189" s="106"/>
      <c r="RC1189" s="106"/>
      <c r="RD1189" s="106"/>
      <c r="RE1189" s="106"/>
      <c r="RF1189" s="106"/>
      <c r="RG1189" s="106"/>
      <c r="RH1189" s="106"/>
      <c r="RI1189" s="106"/>
      <c r="RJ1189" s="106"/>
      <c r="RK1189" s="106"/>
      <c r="RL1189" s="106"/>
    </row>
    <row r="1190" spans="48:480" x14ac:dyDescent="0.3">
      <c r="AV1190" s="103"/>
      <c r="CJ1190" s="103"/>
      <c r="FP1190" s="103"/>
      <c r="LL1190" s="103"/>
      <c r="NM1190" s="103"/>
      <c r="QT1190" s="106"/>
      <c r="QU1190" s="106"/>
      <c r="QV1190" s="106"/>
      <c r="QW1190" s="106"/>
      <c r="QX1190" s="106"/>
      <c r="QY1190" s="106"/>
      <c r="QZ1190" s="106"/>
      <c r="RA1190" s="106"/>
      <c r="RB1190" s="106"/>
      <c r="RC1190" s="106"/>
      <c r="RD1190" s="106"/>
      <c r="RE1190" s="106"/>
      <c r="RF1190" s="106"/>
      <c r="RG1190" s="106"/>
      <c r="RH1190" s="106"/>
      <c r="RI1190" s="106"/>
      <c r="RJ1190" s="106"/>
      <c r="RK1190" s="106"/>
      <c r="RL1190" s="106"/>
    </row>
    <row r="1191" spans="48:480" x14ac:dyDescent="0.3">
      <c r="AV1191" s="103"/>
      <c r="CJ1191" s="103"/>
      <c r="FP1191" s="103"/>
      <c r="LL1191" s="103"/>
      <c r="NM1191" s="103"/>
      <c r="QT1191" s="106"/>
      <c r="QU1191" s="106"/>
      <c r="QV1191" s="106"/>
      <c r="QW1191" s="106"/>
      <c r="QX1191" s="106"/>
      <c r="QY1191" s="106"/>
      <c r="QZ1191" s="106"/>
      <c r="RA1191" s="106"/>
      <c r="RB1191" s="106"/>
      <c r="RC1191" s="106"/>
      <c r="RD1191" s="106"/>
      <c r="RE1191" s="106"/>
      <c r="RF1191" s="106"/>
      <c r="RG1191" s="106"/>
      <c r="RH1191" s="106"/>
      <c r="RI1191" s="106"/>
      <c r="RJ1191" s="106"/>
      <c r="RK1191" s="106"/>
      <c r="RL1191" s="106"/>
    </row>
    <row r="1192" spans="48:480" x14ac:dyDescent="0.3">
      <c r="AV1192" s="103"/>
      <c r="CJ1192" s="103"/>
      <c r="FP1192" s="103"/>
      <c r="LL1192" s="103"/>
      <c r="NM1192" s="103"/>
      <c r="QT1192" s="106"/>
      <c r="QU1192" s="106"/>
      <c r="QV1192" s="106"/>
      <c r="QW1192" s="106"/>
      <c r="QX1192" s="106"/>
      <c r="QY1192" s="106"/>
      <c r="QZ1192" s="106"/>
      <c r="RA1192" s="106"/>
      <c r="RB1192" s="106"/>
      <c r="RC1192" s="106"/>
      <c r="RD1192" s="106"/>
      <c r="RE1192" s="106"/>
      <c r="RF1192" s="106"/>
      <c r="RG1192" s="106"/>
      <c r="RH1192" s="106"/>
      <c r="RI1192" s="106"/>
      <c r="RJ1192" s="106"/>
      <c r="RK1192" s="106"/>
      <c r="RL1192" s="106"/>
    </row>
    <row r="1193" spans="48:480" x14ac:dyDescent="0.3">
      <c r="AV1193" s="103"/>
      <c r="CJ1193" s="103"/>
      <c r="FP1193" s="103"/>
      <c r="LL1193" s="103"/>
      <c r="NM1193" s="103"/>
      <c r="QT1193" s="106"/>
      <c r="QU1193" s="106"/>
      <c r="QV1193" s="106"/>
      <c r="QW1193" s="106"/>
      <c r="QX1193" s="106"/>
      <c r="QY1193" s="106"/>
      <c r="QZ1193" s="106"/>
      <c r="RA1193" s="106"/>
      <c r="RB1193" s="106"/>
      <c r="RC1193" s="106"/>
      <c r="RD1193" s="106"/>
      <c r="RE1193" s="106"/>
      <c r="RF1193" s="106"/>
      <c r="RG1193" s="106"/>
      <c r="RH1193" s="106"/>
      <c r="RI1193" s="106"/>
      <c r="RJ1193" s="106"/>
      <c r="RK1193" s="106"/>
      <c r="RL1193" s="106"/>
    </row>
    <row r="1194" spans="48:480" x14ac:dyDescent="0.3">
      <c r="CJ1194" s="103"/>
      <c r="FP1194" s="103"/>
      <c r="LL1194" s="103"/>
      <c r="NM1194" s="103"/>
      <c r="QT1194" s="106"/>
      <c r="QU1194" s="106"/>
      <c r="QV1194" s="106"/>
      <c r="QW1194" s="106"/>
      <c r="QX1194" s="106"/>
      <c r="QY1194" s="106"/>
      <c r="QZ1194" s="106"/>
      <c r="RA1194" s="106"/>
      <c r="RB1194" s="106"/>
      <c r="RC1194" s="106"/>
      <c r="RD1194" s="106"/>
      <c r="RE1194" s="106"/>
      <c r="RF1194" s="106"/>
      <c r="RG1194" s="106"/>
      <c r="RH1194" s="106"/>
      <c r="RI1194" s="106"/>
      <c r="RJ1194" s="106"/>
      <c r="RK1194" s="106"/>
      <c r="RL1194" s="106"/>
    </row>
    <row r="1195" spans="48:480" x14ac:dyDescent="0.3">
      <c r="AV1195" s="103"/>
      <c r="CJ1195" s="103"/>
      <c r="FP1195" s="103"/>
      <c r="LL1195" s="103"/>
      <c r="NM1195" s="103"/>
      <c r="QT1195" s="106"/>
      <c r="QU1195" s="106"/>
      <c r="QV1195" s="106"/>
      <c r="QW1195" s="106"/>
      <c r="QX1195" s="106"/>
      <c r="QY1195" s="106"/>
      <c r="QZ1195" s="106"/>
      <c r="RA1195" s="106"/>
      <c r="RB1195" s="106"/>
      <c r="RC1195" s="106"/>
      <c r="RD1195" s="106"/>
      <c r="RE1195" s="106"/>
      <c r="RF1195" s="106"/>
      <c r="RG1195" s="106"/>
      <c r="RH1195" s="106"/>
      <c r="RI1195" s="106"/>
      <c r="RJ1195" s="106"/>
      <c r="RK1195" s="106"/>
      <c r="RL1195" s="106"/>
    </row>
    <row r="1196" spans="48:480" x14ac:dyDescent="0.3">
      <c r="CJ1196" s="103"/>
      <c r="FP1196" s="103"/>
      <c r="LL1196" s="103"/>
      <c r="NM1196" s="103"/>
      <c r="QT1196" s="106"/>
      <c r="QU1196" s="106"/>
      <c r="QV1196" s="106"/>
      <c r="QW1196" s="106"/>
      <c r="QX1196" s="106"/>
      <c r="QY1196" s="106"/>
      <c r="QZ1196" s="106"/>
      <c r="RA1196" s="106"/>
      <c r="RB1196" s="106"/>
      <c r="RC1196" s="106"/>
      <c r="RD1196" s="106"/>
      <c r="RE1196" s="106"/>
      <c r="RF1196" s="106"/>
      <c r="RG1196" s="106"/>
      <c r="RH1196" s="106"/>
      <c r="RI1196" s="106"/>
      <c r="RJ1196" s="106"/>
      <c r="RK1196" s="106"/>
      <c r="RL1196" s="106"/>
    </row>
    <row r="1197" spans="48:480" x14ac:dyDescent="0.3">
      <c r="AV1197" s="103"/>
      <c r="CJ1197" s="103"/>
      <c r="FP1197" s="103"/>
      <c r="LL1197" s="103"/>
      <c r="NM1197" s="103"/>
      <c r="QT1197" s="106"/>
      <c r="QU1197" s="106"/>
      <c r="QV1197" s="106"/>
      <c r="QW1197" s="106"/>
      <c r="QX1197" s="106"/>
      <c r="QY1197" s="106"/>
      <c r="QZ1197" s="106"/>
      <c r="RA1197" s="106"/>
      <c r="RB1197" s="106"/>
      <c r="RC1197" s="106"/>
      <c r="RD1197" s="106"/>
      <c r="RE1197" s="106"/>
      <c r="RF1197" s="106"/>
      <c r="RG1197" s="106"/>
      <c r="RH1197" s="106"/>
      <c r="RI1197" s="106"/>
      <c r="RJ1197" s="106"/>
      <c r="RK1197" s="106"/>
      <c r="RL1197" s="106"/>
    </row>
    <row r="1198" spans="48:480" x14ac:dyDescent="0.3">
      <c r="AV1198" s="103"/>
      <c r="CJ1198" s="103"/>
      <c r="FP1198" s="103"/>
      <c r="LL1198" s="103"/>
      <c r="NM1198" s="103"/>
      <c r="QT1198" s="106"/>
      <c r="QU1198" s="106"/>
      <c r="QV1198" s="106"/>
      <c r="QW1198" s="106"/>
      <c r="QX1198" s="106"/>
      <c r="QY1198" s="106"/>
      <c r="QZ1198" s="106"/>
      <c r="RA1198" s="106"/>
      <c r="RB1198" s="106"/>
      <c r="RC1198" s="106"/>
      <c r="RD1198" s="106"/>
      <c r="RE1198" s="106"/>
      <c r="RF1198" s="106"/>
      <c r="RG1198" s="106"/>
      <c r="RH1198" s="106"/>
      <c r="RI1198" s="106"/>
      <c r="RJ1198" s="106"/>
      <c r="RK1198" s="106"/>
      <c r="RL1198" s="106"/>
    </row>
    <row r="1199" spans="48:480" x14ac:dyDescent="0.3">
      <c r="AV1199" s="103"/>
      <c r="CJ1199" s="103"/>
      <c r="FP1199" s="103"/>
      <c r="LL1199" s="103"/>
      <c r="NM1199" s="103"/>
      <c r="QT1199" s="106"/>
      <c r="QU1199" s="106"/>
      <c r="QV1199" s="106"/>
      <c r="QW1199" s="106"/>
      <c r="QX1199" s="106"/>
      <c r="QY1199" s="106"/>
      <c r="QZ1199" s="106"/>
      <c r="RA1199" s="106"/>
      <c r="RB1199" s="106"/>
      <c r="RC1199" s="106"/>
      <c r="RD1199" s="106"/>
      <c r="RE1199" s="106"/>
      <c r="RF1199" s="106"/>
      <c r="RG1199" s="106"/>
      <c r="RH1199" s="106"/>
      <c r="RI1199" s="106"/>
      <c r="RJ1199" s="106"/>
      <c r="RK1199" s="106"/>
      <c r="RL1199" s="106"/>
    </row>
    <row r="1200" spans="48:480" x14ac:dyDescent="0.3">
      <c r="AV1200" s="103"/>
      <c r="CJ1200" s="103"/>
      <c r="FP1200" s="103"/>
      <c r="LL1200" s="103"/>
      <c r="NM1200" s="103"/>
      <c r="QT1200" s="106"/>
      <c r="QU1200" s="106"/>
      <c r="QV1200" s="106"/>
      <c r="QW1200" s="106"/>
      <c r="QX1200" s="106"/>
      <c r="QY1200" s="106"/>
      <c r="QZ1200" s="106"/>
      <c r="RA1200" s="106"/>
      <c r="RB1200" s="106"/>
      <c r="RC1200" s="106"/>
      <c r="RD1200" s="106"/>
      <c r="RE1200" s="106"/>
      <c r="RF1200" s="106"/>
      <c r="RG1200" s="106"/>
      <c r="RH1200" s="106"/>
      <c r="RI1200" s="106"/>
      <c r="RJ1200" s="106"/>
      <c r="RK1200" s="106"/>
      <c r="RL1200" s="106"/>
    </row>
    <row r="1201" spans="48:480" x14ac:dyDescent="0.3">
      <c r="AV1201" s="103"/>
      <c r="CJ1201" s="103"/>
      <c r="FP1201" s="103"/>
      <c r="LL1201" s="103"/>
      <c r="NM1201" s="103"/>
      <c r="QT1201" s="106"/>
      <c r="QU1201" s="106"/>
      <c r="QV1201" s="106"/>
      <c r="QW1201" s="106"/>
      <c r="QX1201" s="106"/>
      <c r="QY1201" s="106"/>
      <c r="QZ1201" s="106"/>
      <c r="RA1201" s="106"/>
      <c r="RB1201" s="106"/>
      <c r="RC1201" s="106"/>
      <c r="RD1201" s="106"/>
      <c r="RE1201" s="106"/>
      <c r="RF1201" s="106"/>
      <c r="RG1201" s="106"/>
      <c r="RH1201" s="106"/>
      <c r="RI1201" s="106"/>
      <c r="RJ1201" s="106"/>
      <c r="RK1201" s="106"/>
      <c r="RL1201" s="106"/>
    </row>
    <row r="1202" spans="48:480" x14ac:dyDescent="0.3">
      <c r="AV1202" s="103"/>
      <c r="CJ1202" s="103"/>
      <c r="FP1202" s="103"/>
      <c r="LL1202" s="103"/>
      <c r="NM1202" s="103"/>
      <c r="QT1202" s="106"/>
      <c r="QU1202" s="106"/>
      <c r="QV1202" s="106"/>
      <c r="QW1202" s="106"/>
      <c r="QX1202" s="106"/>
      <c r="QY1202" s="106"/>
      <c r="QZ1202" s="106"/>
      <c r="RA1202" s="106"/>
      <c r="RB1202" s="106"/>
      <c r="RC1202" s="106"/>
      <c r="RD1202" s="106"/>
      <c r="RE1202" s="106"/>
      <c r="RF1202" s="106"/>
      <c r="RG1202" s="106"/>
      <c r="RH1202" s="106"/>
      <c r="RI1202" s="106"/>
      <c r="RJ1202" s="106"/>
      <c r="RK1202" s="106"/>
      <c r="RL1202" s="106"/>
    </row>
    <row r="1203" spans="48:480" x14ac:dyDescent="0.3">
      <c r="AV1203" s="103"/>
      <c r="CJ1203" s="103"/>
      <c r="FP1203" s="103"/>
      <c r="LL1203" s="103"/>
      <c r="NM1203" s="103"/>
      <c r="QT1203" s="106"/>
      <c r="QU1203" s="106"/>
      <c r="QV1203" s="106"/>
      <c r="QW1203" s="106"/>
      <c r="QX1203" s="106"/>
      <c r="QY1203" s="106"/>
      <c r="QZ1203" s="106"/>
      <c r="RA1203" s="106"/>
      <c r="RB1203" s="106"/>
      <c r="RC1203" s="106"/>
      <c r="RD1203" s="106"/>
      <c r="RE1203" s="106"/>
      <c r="RF1203" s="106"/>
      <c r="RG1203" s="106"/>
      <c r="RH1203" s="106"/>
      <c r="RI1203" s="106"/>
      <c r="RJ1203" s="106"/>
      <c r="RK1203" s="106"/>
      <c r="RL1203" s="106"/>
    </row>
    <row r="1204" spans="48:480" x14ac:dyDescent="0.3">
      <c r="AV1204" s="103"/>
      <c r="CJ1204" s="103"/>
      <c r="FP1204" s="103"/>
      <c r="LL1204" s="103"/>
      <c r="NM1204" s="103"/>
      <c r="QT1204" s="106"/>
      <c r="QU1204" s="106"/>
      <c r="QV1204" s="106"/>
      <c r="QW1204" s="106"/>
      <c r="QX1204" s="106"/>
      <c r="QY1204" s="106"/>
      <c r="QZ1204" s="106"/>
      <c r="RA1204" s="106"/>
      <c r="RB1204" s="106"/>
      <c r="RC1204" s="106"/>
      <c r="RD1204" s="106"/>
      <c r="RE1204" s="106"/>
      <c r="RF1204" s="106"/>
      <c r="RG1204" s="106"/>
      <c r="RH1204" s="106"/>
      <c r="RI1204" s="106"/>
      <c r="RJ1204" s="106"/>
      <c r="RK1204" s="106"/>
      <c r="RL1204" s="106"/>
    </row>
    <row r="1205" spans="48:480" x14ac:dyDescent="0.3">
      <c r="AV1205" s="103"/>
      <c r="CJ1205" s="103"/>
      <c r="FP1205" s="103"/>
      <c r="LL1205" s="103"/>
      <c r="NM1205" s="103"/>
      <c r="QT1205" s="106"/>
      <c r="QU1205" s="106"/>
      <c r="QV1205" s="106"/>
      <c r="QW1205" s="106"/>
      <c r="QX1205" s="106"/>
      <c r="QY1205" s="106"/>
      <c r="QZ1205" s="106"/>
      <c r="RA1205" s="106"/>
      <c r="RB1205" s="106"/>
      <c r="RC1205" s="106"/>
      <c r="RD1205" s="106"/>
      <c r="RE1205" s="106"/>
      <c r="RF1205" s="106"/>
      <c r="RG1205" s="106"/>
      <c r="RH1205" s="106"/>
      <c r="RI1205" s="106"/>
      <c r="RJ1205" s="106"/>
      <c r="RK1205" s="106"/>
      <c r="RL1205" s="106"/>
    </row>
    <row r="1206" spans="48:480" x14ac:dyDescent="0.3">
      <c r="CJ1206" s="103"/>
      <c r="FP1206" s="103"/>
      <c r="LL1206" s="103"/>
      <c r="NM1206" s="103"/>
      <c r="QT1206" s="106"/>
      <c r="QU1206" s="106"/>
      <c r="QV1206" s="106"/>
      <c r="QW1206" s="106"/>
      <c r="QX1206" s="106"/>
      <c r="QY1206" s="106"/>
      <c r="QZ1206" s="106"/>
      <c r="RA1206" s="106"/>
      <c r="RB1206" s="106"/>
      <c r="RC1206" s="106"/>
      <c r="RD1206" s="106"/>
      <c r="RE1206" s="106"/>
      <c r="RF1206" s="106"/>
      <c r="RG1206" s="106"/>
      <c r="RH1206" s="106"/>
      <c r="RI1206" s="106"/>
      <c r="RJ1206" s="106"/>
      <c r="RK1206" s="106"/>
      <c r="RL1206" s="106"/>
    </row>
    <row r="1207" spans="48:480" x14ac:dyDescent="0.3">
      <c r="AV1207" s="103"/>
      <c r="CJ1207" s="103"/>
      <c r="FP1207" s="103"/>
      <c r="LL1207" s="103"/>
      <c r="NM1207" s="103"/>
      <c r="QT1207" s="106"/>
      <c r="QU1207" s="106"/>
      <c r="QV1207" s="106"/>
      <c r="QW1207" s="106"/>
      <c r="QX1207" s="106"/>
      <c r="QY1207" s="106"/>
      <c r="QZ1207" s="106"/>
      <c r="RA1207" s="106"/>
      <c r="RB1207" s="106"/>
      <c r="RC1207" s="106"/>
      <c r="RD1207" s="106"/>
      <c r="RE1207" s="106"/>
      <c r="RF1207" s="106"/>
      <c r="RG1207" s="106"/>
      <c r="RH1207" s="106"/>
      <c r="RI1207" s="106"/>
      <c r="RJ1207" s="106"/>
      <c r="RK1207" s="106"/>
      <c r="RL1207" s="106"/>
    </row>
    <row r="1208" spans="48:480" x14ac:dyDescent="0.3">
      <c r="AV1208" s="103"/>
      <c r="CJ1208" s="103"/>
      <c r="FP1208" s="103"/>
      <c r="LL1208" s="103"/>
      <c r="NM1208" s="103"/>
      <c r="QT1208" s="106"/>
      <c r="QU1208" s="106"/>
      <c r="QV1208" s="106"/>
      <c r="QW1208" s="106"/>
      <c r="QX1208" s="106"/>
      <c r="QY1208" s="106"/>
      <c r="QZ1208" s="106"/>
      <c r="RA1208" s="106"/>
      <c r="RB1208" s="106"/>
      <c r="RC1208" s="106"/>
      <c r="RD1208" s="106"/>
      <c r="RE1208" s="106"/>
      <c r="RF1208" s="106"/>
      <c r="RG1208" s="106"/>
      <c r="RH1208" s="106"/>
      <c r="RI1208" s="106"/>
      <c r="RJ1208" s="106"/>
      <c r="RK1208" s="106"/>
      <c r="RL1208" s="106"/>
    </row>
    <row r="1209" spans="48:480" x14ac:dyDescent="0.3">
      <c r="AV1209" s="103"/>
      <c r="CJ1209" s="103"/>
      <c r="FP1209" s="103"/>
      <c r="LL1209" s="103"/>
      <c r="NM1209" s="103"/>
      <c r="QT1209" s="106"/>
      <c r="QU1209" s="106"/>
      <c r="QV1209" s="106"/>
      <c r="QW1209" s="106"/>
      <c r="QX1209" s="106"/>
      <c r="QY1209" s="106"/>
      <c r="QZ1209" s="106"/>
      <c r="RA1209" s="106"/>
      <c r="RB1209" s="106"/>
      <c r="RC1209" s="106"/>
      <c r="RD1209" s="106"/>
      <c r="RE1209" s="106"/>
      <c r="RF1209" s="106"/>
      <c r="RG1209" s="106"/>
      <c r="RH1209" s="106"/>
      <c r="RI1209" s="106"/>
      <c r="RJ1209" s="106"/>
      <c r="RK1209" s="106"/>
      <c r="RL1209" s="106"/>
    </row>
    <row r="1210" spans="48:480" x14ac:dyDescent="0.3">
      <c r="AV1210" s="103"/>
      <c r="CJ1210" s="103"/>
      <c r="FP1210" s="103"/>
      <c r="LL1210" s="103"/>
      <c r="NM1210" s="103"/>
      <c r="QT1210" s="106"/>
      <c r="QU1210" s="106"/>
      <c r="QV1210" s="106"/>
      <c r="QW1210" s="106"/>
      <c r="QX1210" s="106"/>
      <c r="QY1210" s="106"/>
      <c r="QZ1210" s="106"/>
      <c r="RA1210" s="106"/>
      <c r="RB1210" s="106"/>
      <c r="RC1210" s="106"/>
      <c r="RD1210" s="106"/>
      <c r="RE1210" s="106"/>
      <c r="RF1210" s="106"/>
      <c r="RG1210" s="106"/>
      <c r="RH1210" s="106"/>
      <c r="RI1210" s="106"/>
      <c r="RJ1210" s="106"/>
      <c r="RK1210" s="106"/>
      <c r="RL1210" s="106"/>
    </row>
    <row r="1211" spans="48:480" x14ac:dyDescent="0.3">
      <c r="AV1211" s="103"/>
      <c r="CJ1211" s="103"/>
      <c r="FP1211" s="103"/>
      <c r="LL1211" s="103"/>
      <c r="NM1211" s="103"/>
      <c r="QT1211" s="106"/>
      <c r="QU1211" s="106"/>
      <c r="QV1211" s="106"/>
      <c r="QW1211" s="106"/>
      <c r="QX1211" s="106"/>
      <c r="QY1211" s="106"/>
      <c r="QZ1211" s="106"/>
      <c r="RA1211" s="106"/>
      <c r="RB1211" s="106"/>
      <c r="RC1211" s="106"/>
      <c r="RD1211" s="106"/>
      <c r="RE1211" s="106"/>
      <c r="RF1211" s="106"/>
      <c r="RG1211" s="106"/>
      <c r="RH1211" s="106"/>
      <c r="RI1211" s="106"/>
      <c r="RJ1211" s="106"/>
      <c r="RK1211" s="106"/>
      <c r="RL1211" s="106"/>
    </row>
    <row r="1212" spans="48:480" x14ac:dyDescent="0.3">
      <c r="AV1212" s="103"/>
      <c r="CJ1212" s="103"/>
      <c r="FP1212" s="103"/>
      <c r="LL1212" s="103"/>
      <c r="NM1212" s="103"/>
      <c r="QT1212" s="106"/>
      <c r="QU1212" s="106"/>
      <c r="QV1212" s="106"/>
      <c r="QW1212" s="106"/>
      <c r="QX1212" s="106"/>
      <c r="QY1212" s="106"/>
      <c r="QZ1212" s="106"/>
      <c r="RA1212" s="106"/>
      <c r="RB1212" s="106"/>
      <c r="RC1212" s="106"/>
      <c r="RD1212" s="106"/>
      <c r="RE1212" s="106"/>
      <c r="RF1212" s="106"/>
      <c r="RG1212" s="106"/>
      <c r="RH1212" s="106"/>
      <c r="RI1212" s="106"/>
      <c r="RJ1212" s="106"/>
      <c r="RK1212" s="106"/>
      <c r="RL1212" s="106"/>
    </row>
    <row r="1213" spans="48:480" x14ac:dyDescent="0.3">
      <c r="AV1213" s="103"/>
      <c r="CJ1213" s="103"/>
      <c r="FP1213" s="103"/>
      <c r="LL1213" s="103"/>
      <c r="NM1213" s="103"/>
      <c r="QT1213" s="106"/>
      <c r="QU1213" s="106"/>
      <c r="QV1213" s="106"/>
      <c r="QW1213" s="106"/>
      <c r="QX1213" s="106"/>
      <c r="QY1213" s="106"/>
      <c r="QZ1213" s="106"/>
      <c r="RA1213" s="106"/>
      <c r="RB1213" s="106"/>
      <c r="RC1213" s="106"/>
      <c r="RD1213" s="106"/>
      <c r="RE1213" s="106"/>
      <c r="RF1213" s="106"/>
      <c r="RG1213" s="106"/>
      <c r="RH1213" s="106"/>
      <c r="RI1213" s="106"/>
      <c r="RJ1213" s="106"/>
      <c r="RK1213" s="106"/>
      <c r="RL1213" s="106"/>
    </row>
    <row r="1214" spans="48:480" x14ac:dyDescent="0.3">
      <c r="AV1214" s="103"/>
      <c r="CJ1214" s="103"/>
      <c r="FP1214" s="103"/>
      <c r="LL1214" s="103"/>
      <c r="NM1214" s="103"/>
      <c r="QT1214" s="106"/>
      <c r="QU1214" s="106"/>
      <c r="QV1214" s="106"/>
      <c r="QW1214" s="106"/>
      <c r="QX1214" s="106"/>
      <c r="QY1214" s="106"/>
      <c r="QZ1214" s="106"/>
      <c r="RA1214" s="106"/>
      <c r="RB1214" s="106"/>
      <c r="RC1214" s="106"/>
      <c r="RD1214" s="106"/>
      <c r="RE1214" s="106"/>
      <c r="RF1214" s="106"/>
      <c r="RG1214" s="106"/>
      <c r="RH1214" s="106"/>
      <c r="RI1214" s="106"/>
      <c r="RJ1214" s="106"/>
      <c r="RK1214" s="106"/>
      <c r="RL1214" s="106"/>
    </row>
    <row r="1215" spans="48:480" x14ac:dyDescent="0.3">
      <c r="CJ1215" s="103"/>
      <c r="FP1215" s="103"/>
      <c r="LL1215" s="103"/>
      <c r="NM1215" s="103"/>
      <c r="QT1215" s="106"/>
      <c r="QU1215" s="106"/>
      <c r="QV1215" s="106"/>
      <c r="QW1215" s="106"/>
      <c r="QX1215" s="106"/>
      <c r="QY1215" s="106"/>
      <c r="QZ1215" s="106"/>
      <c r="RA1215" s="106"/>
      <c r="RB1215" s="106"/>
      <c r="RC1215" s="106"/>
      <c r="RD1215" s="106"/>
      <c r="RE1215" s="106"/>
      <c r="RF1215" s="106"/>
      <c r="RG1215" s="106"/>
      <c r="RH1215" s="106"/>
      <c r="RI1215" s="106"/>
      <c r="RJ1215" s="106"/>
      <c r="RK1215" s="106"/>
      <c r="RL1215" s="106"/>
    </row>
    <row r="1216" spans="48:480" x14ac:dyDescent="0.3">
      <c r="AV1216" s="103"/>
      <c r="CJ1216" s="103"/>
      <c r="FP1216" s="103"/>
      <c r="LL1216" s="103"/>
      <c r="NM1216" s="103"/>
      <c r="QT1216" s="106"/>
      <c r="QU1216" s="106"/>
      <c r="QV1216" s="106"/>
      <c r="QW1216" s="106"/>
      <c r="QX1216" s="106"/>
      <c r="QY1216" s="106"/>
      <c r="QZ1216" s="106"/>
      <c r="RA1216" s="106"/>
      <c r="RB1216" s="106"/>
      <c r="RC1216" s="106"/>
      <c r="RD1216" s="106"/>
      <c r="RE1216" s="106"/>
      <c r="RF1216" s="106"/>
      <c r="RG1216" s="106"/>
      <c r="RH1216" s="106"/>
      <c r="RI1216" s="106"/>
      <c r="RJ1216" s="106"/>
      <c r="RK1216" s="106"/>
      <c r="RL1216" s="106"/>
    </row>
    <row r="1217" spans="48:480" x14ac:dyDescent="0.3">
      <c r="AV1217" s="103"/>
      <c r="CJ1217" s="103"/>
      <c r="FP1217" s="103"/>
      <c r="LL1217" s="103"/>
      <c r="NM1217" s="103"/>
      <c r="QT1217" s="106"/>
      <c r="QU1217" s="106"/>
      <c r="QV1217" s="106"/>
      <c r="QW1217" s="106"/>
      <c r="QX1217" s="106"/>
      <c r="QY1217" s="106"/>
      <c r="QZ1217" s="106"/>
      <c r="RA1217" s="106"/>
      <c r="RB1217" s="106"/>
      <c r="RC1217" s="106"/>
      <c r="RD1217" s="106"/>
      <c r="RE1217" s="106"/>
      <c r="RF1217" s="106"/>
      <c r="RG1217" s="106"/>
      <c r="RH1217" s="106"/>
      <c r="RI1217" s="106"/>
      <c r="RJ1217" s="106"/>
      <c r="RK1217" s="106"/>
      <c r="RL1217" s="106"/>
    </row>
    <row r="1218" spans="48:480" x14ac:dyDescent="0.3">
      <c r="AV1218" s="103"/>
      <c r="CJ1218" s="103"/>
      <c r="FP1218" s="103"/>
      <c r="LL1218" s="103"/>
      <c r="NM1218" s="103"/>
      <c r="QT1218" s="106"/>
      <c r="QU1218" s="106"/>
      <c r="QV1218" s="106"/>
      <c r="QW1218" s="106"/>
      <c r="QX1218" s="106"/>
      <c r="QY1218" s="106"/>
      <c r="QZ1218" s="106"/>
      <c r="RA1218" s="106"/>
      <c r="RB1218" s="106"/>
      <c r="RC1218" s="106"/>
      <c r="RD1218" s="106"/>
      <c r="RE1218" s="106"/>
      <c r="RF1218" s="106"/>
      <c r="RG1218" s="106"/>
      <c r="RH1218" s="106"/>
      <c r="RI1218" s="106"/>
      <c r="RJ1218" s="106"/>
      <c r="RK1218" s="106"/>
      <c r="RL1218" s="106"/>
    </row>
    <row r="1219" spans="48:480" x14ac:dyDescent="0.3">
      <c r="CJ1219" s="103"/>
      <c r="FP1219" s="103"/>
      <c r="LL1219" s="103"/>
      <c r="NM1219" s="103"/>
      <c r="QT1219" s="106"/>
      <c r="QU1219" s="106"/>
      <c r="QV1219" s="106"/>
      <c r="QW1219" s="106"/>
      <c r="QX1219" s="106"/>
      <c r="QY1219" s="106"/>
      <c r="QZ1219" s="106"/>
      <c r="RA1219" s="106"/>
      <c r="RB1219" s="106"/>
      <c r="RC1219" s="106"/>
      <c r="RD1219" s="106"/>
      <c r="RE1219" s="106"/>
      <c r="RF1219" s="106"/>
      <c r="RG1219" s="106"/>
      <c r="RH1219" s="106"/>
      <c r="RI1219" s="106"/>
      <c r="RJ1219" s="106"/>
      <c r="RK1219" s="106"/>
      <c r="RL1219" s="106"/>
    </row>
    <row r="1220" spans="48:480" x14ac:dyDescent="0.3">
      <c r="AV1220" s="103"/>
      <c r="CJ1220" s="103"/>
      <c r="FP1220" s="103"/>
      <c r="LL1220" s="103"/>
      <c r="NM1220" s="103"/>
      <c r="QT1220" s="106"/>
      <c r="QU1220" s="106"/>
      <c r="QV1220" s="106"/>
      <c r="QW1220" s="106"/>
      <c r="QX1220" s="106"/>
      <c r="QY1220" s="106"/>
      <c r="QZ1220" s="106"/>
      <c r="RA1220" s="106"/>
      <c r="RB1220" s="106"/>
      <c r="RC1220" s="106"/>
      <c r="RD1220" s="106"/>
      <c r="RE1220" s="106"/>
      <c r="RF1220" s="106"/>
      <c r="RG1220" s="106"/>
      <c r="RH1220" s="106"/>
      <c r="RI1220" s="106"/>
      <c r="RJ1220" s="106"/>
      <c r="RK1220" s="106"/>
      <c r="RL1220" s="106"/>
    </row>
    <row r="1221" spans="48:480" x14ac:dyDescent="0.3">
      <c r="AV1221" s="103"/>
      <c r="CJ1221" s="103"/>
      <c r="FP1221" s="103"/>
      <c r="LL1221" s="103"/>
      <c r="NM1221" s="103"/>
      <c r="QT1221" s="106"/>
      <c r="QU1221" s="106"/>
      <c r="QV1221" s="106"/>
      <c r="QW1221" s="106"/>
      <c r="QX1221" s="106"/>
      <c r="QY1221" s="106"/>
      <c r="QZ1221" s="106"/>
      <c r="RA1221" s="106"/>
      <c r="RB1221" s="106"/>
      <c r="RC1221" s="106"/>
      <c r="RD1221" s="106"/>
      <c r="RE1221" s="106"/>
      <c r="RF1221" s="106"/>
      <c r="RG1221" s="106"/>
      <c r="RH1221" s="106"/>
      <c r="RI1221" s="106"/>
      <c r="RJ1221" s="106"/>
      <c r="RK1221" s="106"/>
      <c r="RL1221" s="106"/>
    </row>
    <row r="1222" spans="48:480" x14ac:dyDescent="0.3">
      <c r="AV1222" s="103"/>
      <c r="CJ1222" s="103"/>
      <c r="FP1222" s="103"/>
      <c r="LL1222" s="103"/>
      <c r="NM1222" s="103"/>
      <c r="QT1222" s="106"/>
      <c r="QU1222" s="106"/>
      <c r="QV1222" s="106"/>
      <c r="QW1222" s="106"/>
      <c r="QX1222" s="106"/>
      <c r="QY1222" s="106"/>
      <c r="QZ1222" s="106"/>
      <c r="RA1222" s="106"/>
      <c r="RB1222" s="106"/>
      <c r="RC1222" s="106"/>
      <c r="RD1222" s="106"/>
      <c r="RE1222" s="106"/>
      <c r="RF1222" s="106"/>
      <c r="RG1222" s="106"/>
      <c r="RH1222" s="106"/>
      <c r="RI1222" s="106"/>
      <c r="RJ1222" s="106"/>
      <c r="RK1222" s="106"/>
      <c r="RL1222" s="106"/>
    </row>
    <row r="1223" spans="48:480" x14ac:dyDescent="0.3">
      <c r="CJ1223" s="103"/>
      <c r="FP1223" s="103"/>
      <c r="LL1223" s="103"/>
      <c r="NM1223" s="103"/>
      <c r="QT1223" s="106"/>
      <c r="QU1223" s="106"/>
      <c r="QV1223" s="106"/>
      <c r="QW1223" s="106"/>
      <c r="QX1223" s="106"/>
      <c r="QY1223" s="106"/>
      <c r="QZ1223" s="106"/>
      <c r="RA1223" s="106"/>
      <c r="RB1223" s="106"/>
      <c r="RC1223" s="106"/>
      <c r="RD1223" s="106"/>
      <c r="RE1223" s="106"/>
      <c r="RF1223" s="106"/>
      <c r="RG1223" s="106"/>
      <c r="RH1223" s="106"/>
      <c r="RI1223" s="106"/>
      <c r="RJ1223" s="106"/>
      <c r="RK1223" s="106"/>
      <c r="RL1223" s="106"/>
    </row>
    <row r="1224" spans="48:480" x14ac:dyDescent="0.3">
      <c r="CJ1224" s="103"/>
      <c r="FP1224" s="103"/>
      <c r="LL1224" s="103"/>
      <c r="NM1224" s="103"/>
      <c r="QT1224" s="106"/>
      <c r="QU1224" s="106"/>
      <c r="QV1224" s="106"/>
      <c r="QW1224" s="106"/>
      <c r="QX1224" s="106"/>
      <c r="QY1224" s="106"/>
      <c r="QZ1224" s="106"/>
      <c r="RA1224" s="106"/>
      <c r="RB1224" s="106"/>
      <c r="RC1224" s="106"/>
      <c r="RD1224" s="106"/>
      <c r="RE1224" s="106"/>
      <c r="RF1224" s="106"/>
      <c r="RG1224" s="106"/>
      <c r="RH1224" s="106"/>
      <c r="RI1224" s="106"/>
      <c r="RJ1224" s="106"/>
      <c r="RK1224" s="106"/>
      <c r="RL1224" s="106"/>
    </row>
    <row r="1225" spans="48:480" x14ac:dyDescent="0.3">
      <c r="CJ1225" s="103"/>
      <c r="FP1225" s="103"/>
      <c r="LL1225" s="103"/>
      <c r="NM1225" s="103"/>
      <c r="QT1225" s="106"/>
      <c r="QU1225" s="106"/>
      <c r="QV1225" s="106"/>
      <c r="QW1225" s="106"/>
      <c r="QX1225" s="106"/>
      <c r="QY1225" s="106"/>
      <c r="QZ1225" s="106"/>
      <c r="RA1225" s="106"/>
      <c r="RB1225" s="106"/>
      <c r="RC1225" s="106"/>
      <c r="RD1225" s="106"/>
      <c r="RE1225" s="106"/>
      <c r="RF1225" s="106"/>
      <c r="RG1225" s="106"/>
      <c r="RH1225" s="106"/>
      <c r="RI1225" s="106"/>
      <c r="RJ1225" s="106"/>
      <c r="RK1225" s="106"/>
      <c r="RL1225" s="106"/>
    </row>
    <row r="1226" spans="48:480" x14ac:dyDescent="0.3">
      <c r="CJ1226" s="103"/>
      <c r="FP1226" s="103"/>
      <c r="LL1226" s="103"/>
      <c r="NM1226" s="103"/>
      <c r="QT1226" s="106"/>
      <c r="QU1226" s="106"/>
      <c r="QV1226" s="106"/>
      <c r="QW1226" s="106"/>
      <c r="QX1226" s="106"/>
      <c r="QY1226" s="106"/>
      <c r="QZ1226" s="106"/>
      <c r="RA1226" s="106"/>
      <c r="RB1226" s="106"/>
      <c r="RC1226" s="106"/>
      <c r="RD1226" s="106"/>
      <c r="RE1226" s="106"/>
      <c r="RF1226" s="106"/>
      <c r="RG1226" s="106"/>
      <c r="RH1226" s="106"/>
      <c r="RI1226" s="106"/>
      <c r="RJ1226" s="106"/>
      <c r="RK1226" s="106"/>
      <c r="RL1226" s="106"/>
    </row>
    <row r="1227" spans="48:480" x14ac:dyDescent="0.3">
      <c r="CJ1227" s="103"/>
      <c r="FP1227" s="103"/>
      <c r="LL1227" s="103"/>
      <c r="NM1227" s="103"/>
      <c r="QT1227" s="106"/>
      <c r="QU1227" s="106"/>
      <c r="QV1227" s="106"/>
      <c r="QW1227" s="106"/>
      <c r="QX1227" s="106"/>
      <c r="QY1227" s="106"/>
      <c r="QZ1227" s="106"/>
      <c r="RA1227" s="106"/>
      <c r="RB1227" s="106"/>
      <c r="RC1227" s="106"/>
      <c r="RD1227" s="106"/>
      <c r="RE1227" s="106"/>
      <c r="RF1227" s="106"/>
      <c r="RG1227" s="106"/>
      <c r="RH1227" s="106"/>
      <c r="RI1227" s="106"/>
      <c r="RJ1227" s="106"/>
      <c r="RK1227" s="106"/>
      <c r="RL1227" s="106"/>
    </row>
    <row r="1228" spans="48:480" x14ac:dyDescent="0.3">
      <c r="CJ1228" s="103"/>
      <c r="FP1228" s="103"/>
      <c r="LL1228" s="103"/>
      <c r="NM1228" s="103"/>
      <c r="QT1228" s="106"/>
      <c r="QU1228" s="106"/>
      <c r="QV1228" s="106"/>
      <c r="QW1228" s="106"/>
      <c r="QX1228" s="106"/>
      <c r="QY1228" s="106"/>
      <c r="QZ1228" s="106"/>
      <c r="RA1228" s="106"/>
      <c r="RB1228" s="106"/>
      <c r="RC1228" s="106"/>
      <c r="RD1228" s="106"/>
      <c r="RE1228" s="106"/>
      <c r="RF1228" s="106"/>
      <c r="RG1228" s="106"/>
      <c r="RH1228" s="106"/>
      <c r="RI1228" s="106"/>
      <c r="RJ1228" s="106"/>
      <c r="RK1228" s="106"/>
      <c r="RL1228" s="106"/>
    </row>
    <row r="1229" spans="48:480" x14ac:dyDescent="0.3">
      <c r="CJ1229" s="103"/>
      <c r="FP1229" s="103"/>
      <c r="LL1229" s="103"/>
      <c r="NM1229" s="103"/>
      <c r="QT1229" s="106"/>
      <c r="QU1229" s="106"/>
      <c r="QV1229" s="106"/>
      <c r="QW1229" s="106"/>
      <c r="QX1229" s="106"/>
      <c r="QY1229" s="106"/>
      <c r="QZ1229" s="106"/>
      <c r="RA1229" s="106"/>
      <c r="RB1229" s="106"/>
      <c r="RC1229" s="106"/>
      <c r="RD1229" s="106"/>
      <c r="RE1229" s="106"/>
      <c r="RF1229" s="106"/>
      <c r="RG1229" s="106"/>
      <c r="RH1229" s="106"/>
      <c r="RI1229" s="106"/>
      <c r="RJ1229" s="106"/>
      <c r="RK1229" s="106"/>
      <c r="RL1229" s="106"/>
    </row>
    <row r="1230" spans="48:480" x14ac:dyDescent="0.3">
      <c r="CJ1230" s="103"/>
      <c r="FP1230" s="103"/>
      <c r="LL1230" s="103"/>
      <c r="NM1230" s="103"/>
      <c r="QT1230" s="106"/>
      <c r="QU1230" s="106"/>
      <c r="QV1230" s="106"/>
      <c r="QW1230" s="106"/>
      <c r="QX1230" s="106"/>
      <c r="QY1230" s="106"/>
      <c r="QZ1230" s="106"/>
      <c r="RA1230" s="106"/>
      <c r="RB1230" s="106"/>
      <c r="RC1230" s="106"/>
      <c r="RD1230" s="106"/>
      <c r="RE1230" s="106"/>
      <c r="RF1230" s="106"/>
      <c r="RG1230" s="106"/>
      <c r="RH1230" s="106"/>
      <c r="RI1230" s="106"/>
      <c r="RJ1230" s="106"/>
      <c r="RK1230" s="106"/>
      <c r="RL1230" s="106"/>
    </row>
    <row r="1231" spans="48:480" x14ac:dyDescent="0.3">
      <c r="CJ1231" s="103"/>
      <c r="FP1231" s="103"/>
      <c r="LL1231" s="103"/>
      <c r="NM1231" s="103"/>
      <c r="QT1231" s="106"/>
      <c r="QU1231" s="106"/>
      <c r="QV1231" s="106"/>
      <c r="QW1231" s="106"/>
      <c r="QX1231" s="106"/>
      <c r="QY1231" s="106"/>
      <c r="QZ1231" s="106"/>
      <c r="RA1231" s="106"/>
      <c r="RB1231" s="106"/>
      <c r="RC1231" s="106"/>
      <c r="RD1231" s="106"/>
      <c r="RE1231" s="106"/>
      <c r="RF1231" s="106"/>
      <c r="RG1231" s="106"/>
      <c r="RH1231" s="106"/>
      <c r="RI1231" s="106"/>
      <c r="RJ1231" s="106"/>
      <c r="RK1231" s="106"/>
      <c r="RL1231" s="106"/>
    </row>
    <row r="1232" spans="48:480" x14ac:dyDescent="0.3">
      <c r="CJ1232" s="103"/>
      <c r="FP1232" s="103"/>
      <c r="LL1232" s="103"/>
      <c r="NM1232" s="103"/>
      <c r="QT1232" s="106"/>
      <c r="QU1232" s="106"/>
      <c r="QV1232" s="106"/>
      <c r="QW1232" s="106"/>
      <c r="QX1232" s="106"/>
      <c r="QY1232" s="106"/>
      <c r="QZ1232" s="106"/>
      <c r="RA1232" s="106"/>
      <c r="RB1232" s="106"/>
      <c r="RC1232" s="106"/>
      <c r="RD1232" s="106"/>
      <c r="RE1232" s="106"/>
      <c r="RF1232" s="106"/>
      <c r="RG1232" s="106"/>
      <c r="RH1232" s="106"/>
      <c r="RI1232" s="106"/>
      <c r="RJ1232" s="106"/>
      <c r="RK1232" s="106"/>
      <c r="RL1232" s="106"/>
    </row>
    <row r="1233" spans="88:480" x14ac:dyDescent="0.3">
      <c r="CJ1233" s="103"/>
      <c r="FP1233" s="103"/>
      <c r="LL1233" s="103"/>
      <c r="NM1233" s="103"/>
      <c r="QT1233" s="106"/>
      <c r="QU1233" s="106"/>
      <c r="QV1233" s="106"/>
      <c r="QW1233" s="106"/>
      <c r="QX1233" s="106"/>
      <c r="QY1233" s="106"/>
      <c r="QZ1233" s="106"/>
      <c r="RA1233" s="106"/>
      <c r="RB1233" s="106"/>
      <c r="RC1233" s="106"/>
      <c r="RD1233" s="106"/>
      <c r="RE1233" s="106"/>
      <c r="RF1233" s="106"/>
      <c r="RG1233" s="106"/>
      <c r="RH1233" s="106"/>
      <c r="RI1233" s="106"/>
      <c r="RJ1233" s="106"/>
      <c r="RK1233" s="106"/>
      <c r="RL1233" s="106"/>
    </row>
    <row r="1234" spans="88:480" x14ac:dyDescent="0.3">
      <c r="CJ1234" s="103"/>
      <c r="FP1234" s="103"/>
      <c r="LL1234" s="103"/>
      <c r="NM1234" s="103"/>
      <c r="QT1234" s="106"/>
      <c r="QU1234" s="106"/>
      <c r="QV1234" s="106"/>
      <c r="QW1234" s="106"/>
      <c r="QX1234" s="106"/>
      <c r="QY1234" s="106"/>
      <c r="QZ1234" s="106"/>
      <c r="RA1234" s="106"/>
      <c r="RB1234" s="106"/>
      <c r="RC1234" s="106"/>
      <c r="RD1234" s="106"/>
      <c r="RE1234" s="106"/>
      <c r="RF1234" s="106"/>
      <c r="RG1234" s="106"/>
      <c r="RH1234" s="106"/>
      <c r="RI1234" s="106"/>
      <c r="RJ1234" s="106"/>
      <c r="RK1234" s="106"/>
      <c r="RL1234" s="106"/>
    </row>
    <row r="1235" spans="88:480" x14ac:dyDescent="0.3">
      <c r="CJ1235" s="103"/>
      <c r="FP1235" s="103"/>
      <c r="LL1235" s="103"/>
      <c r="NM1235" s="103"/>
      <c r="QT1235" s="106"/>
      <c r="QU1235" s="106"/>
      <c r="QV1235" s="106"/>
      <c r="QW1235" s="106"/>
      <c r="QX1235" s="106"/>
      <c r="QY1235" s="106"/>
      <c r="QZ1235" s="106"/>
      <c r="RA1235" s="106"/>
      <c r="RB1235" s="106"/>
      <c r="RC1235" s="106"/>
      <c r="RD1235" s="106"/>
      <c r="RE1235" s="106"/>
      <c r="RF1235" s="106"/>
      <c r="RG1235" s="106"/>
      <c r="RH1235" s="106"/>
      <c r="RI1235" s="106"/>
      <c r="RJ1235" s="106"/>
      <c r="RK1235" s="106"/>
      <c r="RL1235" s="106"/>
    </row>
    <row r="1236" spans="88:480" x14ac:dyDescent="0.3">
      <c r="CJ1236" s="103"/>
      <c r="FP1236" s="103"/>
      <c r="LL1236" s="103"/>
      <c r="NM1236" s="103"/>
      <c r="QT1236" s="106"/>
      <c r="QU1236" s="106"/>
      <c r="QV1236" s="106"/>
      <c r="QW1236" s="106"/>
      <c r="QX1236" s="106"/>
      <c r="QY1236" s="106"/>
      <c r="QZ1236" s="106"/>
      <c r="RA1236" s="106"/>
      <c r="RB1236" s="106"/>
      <c r="RC1236" s="106"/>
      <c r="RD1236" s="106"/>
      <c r="RE1236" s="106"/>
      <c r="RF1236" s="106"/>
      <c r="RG1236" s="106"/>
      <c r="RH1236" s="106"/>
      <c r="RI1236" s="106"/>
      <c r="RJ1236" s="106"/>
      <c r="RK1236" s="106"/>
      <c r="RL1236" s="106"/>
    </row>
    <row r="1237" spans="88:480" x14ac:dyDescent="0.3">
      <c r="CJ1237" s="103"/>
      <c r="FP1237" s="103"/>
      <c r="LL1237" s="103"/>
      <c r="NM1237" s="103"/>
      <c r="QT1237" s="106"/>
      <c r="QU1237" s="106"/>
      <c r="QV1237" s="106"/>
      <c r="QW1237" s="106"/>
      <c r="QX1237" s="106"/>
      <c r="QY1237" s="106"/>
      <c r="QZ1237" s="106"/>
      <c r="RA1237" s="106"/>
      <c r="RB1237" s="106"/>
      <c r="RC1237" s="106"/>
      <c r="RD1237" s="106"/>
      <c r="RE1237" s="106"/>
      <c r="RF1237" s="106"/>
      <c r="RG1237" s="106"/>
      <c r="RH1237" s="106"/>
      <c r="RI1237" s="106"/>
      <c r="RJ1237" s="106"/>
      <c r="RK1237" s="106"/>
      <c r="RL1237" s="106"/>
    </row>
    <row r="1238" spans="88:480" x14ac:dyDescent="0.3">
      <c r="CJ1238" s="103"/>
      <c r="FP1238" s="103"/>
      <c r="LL1238" s="103"/>
      <c r="NM1238" s="103"/>
      <c r="QT1238" s="106"/>
      <c r="QU1238" s="106"/>
      <c r="QV1238" s="106"/>
      <c r="QW1238" s="106"/>
      <c r="QX1238" s="106"/>
      <c r="QY1238" s="106"/>
      <c r="QZ1238" s="106"/>
      <c r="RA1238" s="106"/>
      <c r="RB1238" s="106"/>
      <c r="RC1238" s="106"/>
      <c r="RD1238" s="106"/>
      <c r="RE1238" s="106"/>
      <c r="RF1238" s="106"/>
      <c r="RG1238" s="106"/>
      <c r="RH1238" s="106"/>
      <c r="RI1238" s="106"/>
      <c r="RJ1238" s="106"/>
      <c r="RK1238" s="106"/>
      <c r="RL1238" s="106"/>
    </row>
    <row r="1239" spans="88:480" x14ac:dyDescent="0.3">
      <c r="CJ1239" s="103"/>
      <c r="FP1239" s="103"/>
      <c r="LL1239" s="103"/>
      <c r="NM1239" s="103"/>
      <c r="QT1239" s="106"/>
      <c r="QU1239" s="106"/>
      <c r="QV1239" s="106"/>
      <c r="QW1239" s="106"/>
      <c r="QX1239" s="106"/>
      <c r="QY1239" s="106"/>
      <c r="QZ1239" s="106"/>
      <c r="RA1239" s="106"/>
      <c r="RB1239" s="106"/>
      <c r="RC1239" s="106"/>
      <c r="RD1239" s="106"/>
      <c r="RE1239" s="106"/>
      <c r="RF1239" s="106"/>
      <c r="RG1239" s="106"/>
      <c r="RH1239" s="106"/>
      <c r="RI1239" s="106"/>
      <c r="RJ1239" s="106"/>
      <c r="RK1239" s="106"/>
      <c r="RL1239" s="106"/>
    </row>
    <row r="1240" spans="88:480" x14ac:dyDescent="0.3">
      <c r="CJ1240" s="103"/>
      <c r="FP1240" s="103"/>
      <c r="LL1240" s="103"/>
      <c r="NM1240" s="103"/>
      <c r="QT1240" s="106"/>
      <c r="QU1240" s="106"/>
      <c r="QV1240" s="106"/>
      <c r="QW1240" s="106"/>
      <c r="QX1240" s="106"/>
      <c r="QY1240" s="106"/>
      <c r="QZ1240" s="106"/>
      <c r="RA1240" s="106"/>
      <c r="RB1240" s="106"/>
      <c r="RC1240" s="106"/>
      <c r="RD1240" s="106"/>
      <c r="RE1240" s="106"/>
      <c r="RF1240" s="106"/>
      <c r="RG1240" s="106"/>
      <c r="RH1240" s="106"/>
      <c r="RI1240" s="106"/>
      <c r="RJ1240" s="106"/>
      <c r="RK1240" s="106"/>
      <c r="RL1240" s="106"/>
    </row>
    <row r="1241" spans="88:480" x14ac:dyDescent="0.3">
      <c r="CJ1241" s="103"/>
      <c r="FP1241" s="103"/>
      <c r="LL1241" s="103"/>
      <c r="NM1241" s="103"/>
      <c r="QT1241" s="106"/>
      <c r="QU1241" s="106"/>
      <c r="QV1241" s="106"/>
      <c r="QW1241" s="106"/>
      <c r="QX1241" s="106"/>
      <c r="QY1241" s="106"/>
      <c r="QZ1241" s="106"/>
      <c r="RA1241" s="106"/>
      <c r="RB1241" s="106"/>
      <c r="RC1241" s="106"/>
      <c r="RD1241" s="106"/>
      <c r="RE1241" s="106"/>
      <c r="RF1241" s="106"/>
      <c r="RG1241" s="106"/>
      <c r="RH1241" s="106"/>
      <c r="RI1241" s="106"/>
      <c r="RJ1241" s="106"/>
      <c r="RK1241" s="106"/>
      <c r="RL1241" s="106"/>
    </row>
    <row r="1242" spans="88:480" x14ac:dyDescent="0.3">
      <c r="CJ1242" s="103"/>
      <c r="FP1242" s="103"/>
      <c r="LL1242" s="103"/>
      <c r="NM1242" s="103"/>
      <c r="QT1242" s="106"/>
      <c r="QU1242" s="106"/>
      <c r="QV1242" s="106"/>
      <c r="QW1242" s="106"/>
      <c r="QX1242" s="106"/>
      <c r="QY1242" s="106"/>
      <c r="QZ1242" s="106"/>
      <c r="RA1242" s="106"/>
      <c r="RB1242" s="106"/>
      <c r="RC1242" s="106"/>
      <c r="RD1242" s="106"/>
      <c r="RE1242" s="106"/>
      <c r="RF1242" s="106"/>
      <c r="RG1242" s="106"/>
      <c r="RH1242" s="106"/>
      <c r="RI1242" s="106"/>
      <c r="RJ1242" s="106"/>
      <c r="RK1242" s="106"/>
      <c r="RL1242" s="106"/>
    </row>
    <row r="1243" spans="88:480" x14ac:dyDescent="0.3">
      <c r="CJ1243" s="103"/>
      <c r="FP1243" s="103"/>
      <c r="LL1243" s="103"/>
      <c r="NM1243" s="103"/>
      <c r="QT1243" s="106"/>
      <c r="QU1243" s="106"/>
      <c r="QV1243" s="106"/>
      <c r="QW1243" s="106"/>
      <c r="QX1243" s="106"/>
      <c r="QY1243" s="106"/>
      <c r="QZ1243" s="106"/>
      <c r="RA1243" s="106"/>
      <c r="RB1243" s="106"/>
      <c r="RC1243" s="106"/>
      <c r="RD1243" s="106"/>
      <c r="RE1243" s="106"/>
      <c r="RF1243" s="106"/>
      <c r="RG1243" s="106"/>
      <c r="RH1243" s="106"/>
      <c r="RI1243" s="106"/>
      <c r="RJ1243" s="106"/>
      <c r="RK1243" s="106"/>
      <c r="RL1243" s="106"/>
    </row>
    <row r="1244" spans="88:480" x14ac:dyDescent="0.3">
      <c r="CJ1244" s="103"/>
      <c r="FP1244" s="103"/>
      <c r="LL1244" s="103"/>
      <c r="NM1244" s="103"/>
      <c r="QT1244" s="106"/>
      <c r="QU1244" s="106"/>
      <c r="QV1244" s="106"/>
      <c r="QW1244" s="106"/>
      <c r="QX1244" s="106"/>
      <c r="QY1244" s="106"/>
      <c r="QZ1244" s="106"/>
      <c r="RA1244" s="106"/>
      <c r="RB1244" s="106"/>
      <c r="RC1244" s="106"/>
      <c r="RD1244" s="106"/>
      <c r="RE1244" s="106"/>
      <c r="RF1244" s="106"/>
      <c r="RG1244" s="106"/>
      <c r="RH1244" s="106"/>
      <c r="RI1244" s="106"/>
      <c r="RJ1244" s="106"/>
      <c r="RK1244" s="106"/>
      <c r="RL1244" s="106"/>
    </row>
    <row r="1245" spans="88:480" x14ac:dyDescent="0.3">
      <c r="CJ1245" s="103"/>
      <c r="FP1245" s="103"/>
      <c r="LL1245" s="103"/>
      <c r="NM1245" s="103"/>
      <c r="QT1245" s="106"/>
      <c r="QU1245" s="106"/>
      <c r="QV1245" s="106"/>
      <c r="QW1245" s="106"/>
      <c r="QX1245" s="106"/>
      <c r="QY1245" s="106"/>
      <c r="QZ1245" s="106"/>
      <c r="RA1245" s="106"/>
      <c r="RB1245" s="106"/>
      <c r="RC1245" s="106"/>
      <c r="RD1245" s="106"/>
      <c r="RE1245" s="106"/>
      <c r="RF1245" s="106"/>
      <c r="RG1245" s="106"/>
      <c r="RH1245" s="106"/>
      <c r="RI1245" s="106"/>
      <c r="RJ1245" s="106"/>
      <c r="RK1245" s="106"/>
      <c r="RL1245" s="106"/>
    </row>
    <row r="1246" spans="88:480" x14ac:dyDescent="0.3">
      <c r="CJ1246" s="103"/>
      <c r="FP1246" s="103"/>
      <c r="LL1246" s="103"/>
      <c r="NM1246" s="103"/>
      <c r="QT1246" s="106"/>
      <c r="QU1246" s="106"/>
      <c r="QV1246" s="106"/>
      <c r="QW1246" s="106"/>
      <c r="QX1246" s="106"/>
      <c r="QY1246" s="106"/>
      <c r="QZ1246" s="106"/>
      <c r="RA1246" s="106"/>
      <c r="RB1246" s="106"/>
      <c r="RC1246" s="106"/>
      <c r="RD1246" s="106"/>
      <c r="RE1246" s="106"/>
      <c r="RF1246" s="106"/>
      <c r="RG1246" s="106"/>
      <c r="RH1246" s="106"/>
      <c r="RI1246" s="106"/>
      <c r="RJ1246" s="106"/>
      <c r="RK1246" s="106"/>
      <c r="RL1246" s="106"/>
    </row>
    <row r="1247" spans="88:480" x14ac:dyDescent="0.3">
      <c r="CJ1247" s="103"/>
      <c r="FP1247" s="103"/>
      <c r="LL1247" s="103"/>
      <c r="NM1247" s="103"/>
      <c r="QT1247" s="106"/>
      <c r="QU1247" s="106"/>
      <c r="QV1247" s="106"/>
      <c r="QW1247" s="106"/>
      <c r="QX1247" s="106"/>
      <c r="QY1247" s="106"/>
      <c r="QZ1247" s="106"/>
      <c r="RA1247" s="106"/>
      <c r="RB1247" s="106"/>
      <c r="RC1247" s="106"/>
      <c r="RD1247" s="106"/>
      <c r="RE1247" s="106"/>
      <c r="RF1247" s="106"/>
      <c r="RG1247" s="106"/>
      <c r="RH1247" s="106"/>
      <c r="RI1247" s="106"/>
      <c r="RJ1247" s="106"/>
      <c r="RK1247" s="106"/>
      <c r="RL1247" s="106"/>
    </row>
    <row r="1248" spans="88:480" x14ac:dyDescent="0.3">
      <c r="CJ1248" s="103"/>
      <c r="FP1248" s="103"/>
      <c r="LL1248" s="103"/>
      <c r="NM1248" s="103"/>
      <c r="QT1248" s="106"/>
      <c r="QU1248" s="106"/>
      <c r="QV1248" s="106"/>
      <c r="QW1248" s="106"/>
      <c r="QX1248" s="106"/>
      <c r="QY1248" s="106"/>
      <c r="QZ1248" s="106"/>
      <c r="RA1248" s="106"/>
      <c r="RB1248" s="106"/>
      <c r="RC1248" s="106"/>
      <c r="RD1248" s="106"/>
      <c r="RE1248" s="106"/>
      <c r="RF1248" s="106"/>
      <c r="RG1248" s="106"/>
      <c r="RH1248" s="106"/>
      <c r="RI1248" s="106"/>
      <c r="RJ1248" s="106"/>
      <c r="RK1248" s="106"/>
      <c r="RL1248" s="106"/>
    </row>
    <row r="1249" spans="88:480" x14ac:dyDescent="0.3">
      <c r="CJ1249" s="103"/>
      <c r="FP1249" s="103"/>
      <c r="LL1249" s="103"/>
      <c r="NM1249" s="103"/>
      <c r="QT1249" s="106"/>
      <c r="QU1249" s="106"/>
      <c r="QV1249" s="106"/>
      <c r="QW1249" s="106"/>
      <c r="QX1249" s="106"/>
      <c r="QY1249" s="106"/>
      <c r="QZ1249" s="106"/>
      <c r="RA1249" s="106"/>
      <c r="RB1249" s="106"/>
      <c r="RC1249" s="106"/>
      <c r="RD1249" s="106"/>
      <c r="RE1249" s="106"/>
      <c r="RF1249" s="106"/>
      <c r="RG1249" s="106"/>
      <c r="RH1249" s="106"/>
      <c r="RI1249" s="106"/>
      <c r="RJ1249" s="106"/>
      <c r="RK1249" s="106"/>
      <c r="RL1249" s="106"/>
    </row>
    <row r="1250" spans="88:480" x14ac:dyDescent="0.3">
      <c r="CJ1250" s="103"/>
      <c r="FP1250" s="103"/>
      <c r="LL1250" s="103"/>
      <c r="NM1250" s="103"/>
      <c r="QT1250" s="106"/>
      <c r="QU1250" s="106"/>
      <c r="QV1250" s="106"/>
      <c r="QW1250" s="106"/>
      <c r="QX1250" s="106"/>
      <c r="QY1250" s="106"/>
      <c r="QZ1250" s="106"/>
      <c r="RA1250" s="106"/>
      <c r="RB1250" s="106"/>
      <c r="RC1250" s="106"/>
      <c r="RD1250" s="106"/>
      <c r="RE1250" s="106"/>
      <c r="RF1250" s="106"/>
      <c r="RG1250" s="106"/>
      <c r="RH1250" s="106"/>
      <c r="RI1250" s="106"/>
      <c r="RJ1250" s="106"/>
      <c r="RK1250" s="106"/>
      <c r="RL1250" s="106"/>
    </row>
    <row r="1251" spans="88:480" x14ac:dyDescent="0.3">
      <c r="CJ1251" s="103"/>
      <c r="FP1251" s="103"/>
      <c r="LL1251" s="103"/>
      <c r="NM1251" s="103"/>
      <c r="QT1251" s="106"/>
      <c r="QU1251" s="106"/>
      <c r="QV1251" s="106"/>
      <c r="QW1251" s="106"/>
      <c r="QX1251" s="106"/>
      <c r="QY1251" s="106"/>
      <c r="QZ1251" s="106"/>
      <c r="RA1251" s="106"/>
      <c r="RB1251" s="106"/>
      <c r="RC1251" s="106"/>
      <c r="RD1251" s="106"/>
      <c r="RE1251" s="106"/>
      <c r="RF1251" s="106"/>
      <c r="RG1251" s="106"/>
      <c r="RH1251" s="106"/>
      <c r="RI1251" s="106"/>
      <c r="RJ1251" s="106"/>
      <c r="RK1251" s="106"/>
      <c r="RL1251" s="106"/>
    </row>
    <row r="1252" spans="88:480" x14ac:dyDescent="0.3">
      <c r="CJ1252" s="103"/>
      <c r="FP1252" s="103"/>
      <c r="LL1252" s="103"/>
      <c r="NM1252" s="103"/>
      <c r="QT1252" s="106"/>
      <c r="QU1252" s="106"/>
      <c r="QV1252" s="106"/>
      <c r="QW1252" s="106"/>
      <c r="QX1252" s="106"/>
      <c r="QY1252" s="106"/>
      <c r="QZ1252" s="106"/>
      <c r="RA1252" s="106"/>
      <c r="RB1252" s="106"/>
      <c r="RC1252" s="106"/>
      <c r="RD1252" s="106"/>
      <c r="RE1252" s="106"/>
      <c r="RF1252" s="106"/>
      <c r="RG1252" s="106"/>
      <c r="RH1252" s="106"/>
      <c r="RI1252" s="106"/>
      <c r="RJ1252" s="106"/>
      <c r="RK1252" s="106"/>
      <c r="RL1252" s="106"/>
    </row>
    <row r="1253" spans="88:480" x14ac:dyDescent="0.3">
      <c r="CJ1253" s="103"/>
      <c r="FP1253" s="103"/>
      <c r="LL1253" s="103"/>
      <c r="NM1253" s="103"/>
      <c r="QT1253" s="106"/>
      <c r="QU1253" s="106"/>
      <c r="QV1253" s="106"/>
      <c r="QW1253" s="106"/>
      <c r="QX1253" s="106"/>
      <c r="QY1253" s="106"/>
      <c r="QZ1253" s="106"/>
      <c r="RA1253" s="106"/>
      <c r="RB1253" s="106"/>
      <c r="RC1253" s="106"/>
      <c r="RD1253" s="106"/>
      <c r="RE1253" s="106"/>
      <c r="RF1253" s="106"/>
      <c r="RG1253" s="106"/>
      <c r="RH1253" s="106"/>
      <c r="RI1253" s="106"/>
      <c r="RJ1253" s="106"/>
      <c r="RK1253" s="106"/>
      <c r="RL1253" s="106"/>
    </row>
    <row r="1254" spans="88:480" x14ac:dyDescent="0.3">
      <c r="CJ1254" s="103"/>
      <c r="FP1254" s="103"/>
      <c r="LL1254" s="103"/>
      <c r="NM1254" s="103"/>
      <c r="QT1254" s="106"/>
      <c r="QU1254" s="106"/>
      <c r="QV1254" s="106"/>
      <c r="QW1254" s="106"/>
      <c r="QX1254" s="106"/>
      <c r="QY1254" s="106"/>
      <c r="QZ1254" s="106"/>
      <c r="RA1254" s="106"/>
      <c r="RB1254" s="106"/>
      <c r="RC1254" s="106"/>
      <c r="RD1254" s="106"/>
      <c r="RE1254" s="106"/>
      <c r="RF1254" s="106"/>
      <c r="RG1254" s="106"/>
      <c r="RH1254" s="106"/>
      <c r="RI1254" s="106"/>
      <c r="RJ1254" s="106"/>
      <c r="RK1254" s="106"/>
      <c r="RL1254" s="106"/>
    </row>
    <row r="1255" spans="88:480" x14ac:dyDescent="0.3">
      <c r="CJ1255" s="103"/>
      <c r="FP1255" s="103"/>
      <c r="LL1255" s="103"/>
      <c r="NM1255" s="103"/>
      <c r="QT1255" s="106"/>
      <c r="QU1255" s="106"/>
      <c r="QV1255" s="106"/>
      <c r="QW1255" s="106"/>
      <c r="QX1255" s="106"/>
      <c r="QY1255" s="106"/>
      <c r="QZ1255" s="106"/>
      <c r="RA1255" s="106"/>
      <c r="RB1255" s="106"/>
      <c r="RC1255" s="106"/>
      <c r="RD1255" s="106"/>
      <c r="RE1255" s="106"/>
      <c r="RF1255" s="106"/>
      <c r="RG1255" s="106"/>
      <c r="RH1255" s="106"/>
      <c r="RI1255" s="106"/>
      <c r="RJ1255" s="106"/>
      <c r="RK1255" s="106"/>
      <c r="RL1255" s="106"/>
    </row>
    <row r="1256" spans="88:480" x14ac:dyDescent="0.3">
      <c r="CJ1256" s="103"/>
      <c r="FP1256" s="103"/>
      <c r="LL1256" s="103"/>
      <c r="NM1256" s="103"/>
      <c r="QT1256" s="106"/>
      <c r="QU1256" s="106"/>
      <c r="QV1256" s="106"/>
      <c r="QW1256" s="106"/>
      <c r="QX1256" s="106"/>
      <c r="QY1256" s="106"/>
      <c r="QZ1256" s="106"/>
      <c r="RA1256" s="106"/>
      <c r="RB1256" s="106"/>
      <c r="RC1256" s="106"/>
      <c r="RD1256" s="106"/>
      <c r="RE1256" s="106"/>
      <c r="RF1256" s="106"/>
      <c r="RG1256" s="106"/>
      <c r="RH1256" s="106"/>
      <c r="RI1256" s="106"/>
      <c r="RJ1256" s="106"/>
      <c r="RK1256" s="106"/>
      <c r="RL1256" s="106"/>
    </row>
    <row r="1257" spans="88:480" x14ac:dyDescent="0.3">
      <c r="CJ1257" s="103"/>
      <c r="FP1257" s="103"/>
      <c r="LL1257" s="103"/>
      <c r="NM1257" s="103"/>
      <c r="QT1257" s="106"/>
      <c r="QU1257" s="106"/>
      <c r="QV1257" s="106"/>
      <c r="QW1257" s="106"/>
      <c r="QX1257" s="106"/>
      <c r="QY1257" s="106"/>
      <c r="QZ1257" s="106"/>
      <c r="RA1257" s="106"/>
      <c r="RB1257" s="106"/>
      <c r="RC1257" s="106"/>
      <c r="RD1257" s="106"/>
      <c r="RE1257" s="106"/>
      <c r="RF1257" s="106"/>
      <c r="RG1257" s="106"/>
      <c r="RH1257" s="106"/>
      <c r="RI1257" s="106"/>
      <c r="RJ1257" s="106"/>
      <c r="RK1257" s="106"/>
      <c r="RL1257" s="106"/>
    </row>
    <row r="1258" spans="88:480" x14ac:dyDescent="0.3">
      <c r="CJ1258" s="103"/>
      <c r="FP1258" s="103"/>
      <c r="LL1258" s="103"/>
      <c r="NM1258" s="103"/>
      <c r="QT1258" s="106"/>
      <c r="QU1258" s="106"/>
      <c r="QV1258" s="106"/>
      <c r="QW1258" s="106"/>
      <c r="QX1258" s="106"/>
      <c r="QY1258" s="106"/>
      <c r="QZ1258" s="106"/>
      <c r="RA1258" s="106"/>
      <c r="RB1258" s="106"/>
      <c r="RC1258" s="106"/>
      <c r="RD1258" s="106"/>
      <c r="RE1258" s="106"/>
      <c r="RF1258" s="106"/>
      <c r="RG1258" s="106"/>
      <c r="RH1258" s="106"/>
      <c r="RI1258" s="106"/>
      <c r="RJ1258" s="106"/>
      <c r="RK1258" s="106"/>
      <c r="RL1258" s="106"/>
    </row>
    <row r="1259" spans="88:480" x14ac:dyDescent="0.3">
      <c r="CJ1259" s="103"/>
      <c r="FP1259" s="103"/>
      <c r="LL1259" s="103"/>
      <c r="NM1259" s="103"/>
      <c r="QT1259" s="106"/>
      <c r="QU1259" s="106"/>
      <c r="QV1259" s="106"/>
      <c r="QW1259" s="106"/>
      <c r="QX1259" s="106"/>
      <c r="QY1259" s="106"/>
      <c r="QZ1259" s="106"/>
      <c r="RA1259" s="106"/>
      <c r="RB1259" s="106"/>
      <c r="RC1259" s="106"/>
      <c r="RD1259" s="106"/>
      <c r="RE1259" s="106"/>
      <c r="RF1259" s="106"/>
      <c r="RG1259" s="106"/>
      <c r="RH1259" s="106"/>
      <c r="RI1259" s="106"/>
      <c r="RJ1259" s="106"/>
      <c r="RK1259" s="106"/>
      <c r="RL1259" s="106"/>
    </row>
    <row r="1260" spans="88:480" x14ac:dyDescent="0.3">
      <c r="CJ1260" s="103"/>
      <c r="FP1260" s="103"/>
      <c r="LL1260" s="103"/>
      <c r="NM1260" s="103"/>
      <c r="QT1260" s="106"/>
      <c r="QU1260" s="106"/>
      <c r="QV1260" s="106"/>
      <c r="QW1260" s="106"/>
      <c r="QX1260" s="106"/>
      <c r="QY1260" s="106"/>
      <c r="QZ1260" s="106"/>
      <c r="RA1260" s="106"/>
      <c r="RB1260" s="106"/>
      <c r="RC1260" s="106"/>
      <c r="RD1260" s="106"/>
      <c r="RE1260" s="106"/>
      <c r="RF1260" s="106"/>
      <c r="RG1260" s="106"/>
      <c r="RH1260" s="106"/>
      <c r="RI1260" s="106"/>
      <c r="RJ1260" s="106"/>
      <c r="RK1260" s="106"/>
      <c r="RL1260" s="106"/>
    </row>
    <row r="1261" spans="88:480" x14ac:dyDescent="0.3">
      <c r="CJ1261" s="103"/>
      <c r="FP1261" s="103"/>
      <c r="LL1261" s="103"/>
      <c r="NM1261" s="103"/>
      <c r="QT1261" s="106"/>
      <c r="QU1261" s="106"/>
      <c r="QV1261" s="106"/>
      <c r="QW1261" s="106"/>
      <c r="QX1261" s="106"/>
      <c r="QY1261" s="106"/>
      <c r="QZ1261" s="106"/>
      <c r="RA1261" s="106"/>
      <c r="RB1261" s="106"/>
      <c r="RC1261" s="106"/>
      <c r="RD1261" s="106"/>
      <c r="RE1261" s="106"/>
      <c r="RF1261" s="106"/>
      <c r="RG1261" s="106"/>
      <c r="RH1261" s="106"/>
      <c r="RI1261" s="106"/>
      <c r="RJ1261" s="106"/>
      <c r="RK1261" s="106"/>
      <c r="RL1261" s="106"/>
    </row>
    <row r="1262" spans="88:480" x14ac:dyDescent="0.3">
      <c r="CJ1262" s="103"/>
      <c r="FP1262" s="103"/>
      <c r="LL1262" s="103"/>
      <c r="NM1262" s="103"/>
      <c r="QT1262" s="106"/>
      <c r="QU1262" s="106"/>
      <c r="QV1262" s="106"/>
      <c r="QW1262" s="106"/>
      <c r="QX1262" s="106"/>
      <c r="QY1262" s="106"/>
      <c r="QZ1262" s="106"/>
      <c r="RA1262" s="106"/>
      <c r="RB1262" s="106"/>
      <c r="RC1262" s="106"/>
      <c r="RD1262" s="106"/>
      <c r="RE1262" s="106"/>
      <c r="RF1262" s="106"/>
      <c r="RG1262" s="106"/>
      <c r="RH1262" s="106"/>
      <c r="RI1262" s="106"/>
      <c r="RJ1262" s="106"/>
      <c r="RK1262" s="106"/>
      <c r="RL1262" s="106"/>
    </row>
    <row r="1263" spans="88:480" x14ac:dyDescent="0.3">
      <c r="CJ1263" s="103"/>
      <c r="FP1263" s="103"/>
      <c r="LL1263" s="103"/>
      <c r="NM1263" s="103"/>
      <c r="QT1263" s="106"/>
      <c r="QU1263" s="106"/>
      <c r="QV1263" s="106"/>
      <c r="QW1263" s="106"/>
      <c r="QX1263" s="106"/>
      <c r="QY1263" s="106"/>
      <c r="QZ1263" s="106"/>
      <c r="RA1263" s="106"/>
      <c r="RB1263" s="106"/>
      <c r="RC1263" s="106"/>
      <c r="RD1263" s="106"/>
      <c r="RE1263" s="106"/>
      <c r="RF1263" s="106"/>
      <c r="RG1263" s="106"/>
      <c r="RH1263" s="106"/>
      <c r="RI1263" s="106"/>
      <c r="RJ1263" s="106"/>
      <c r="RK1263" s="106"/>
      <c r="RL1263" s="106"/>
    </row>
    <row r="1264" spans="88:480" x14ac:dyDescent="0.3">
      <c r="CJ1264" s="103"/>
      <c r="FP1264" s="103"/>
      <c r="LL1264" s="103"/>
      <c r="NM1264" s="103"/>
      <c r="QT1264" s="106"/>
      <c r="QU1264" s="106"/>
      <c r="QV1264" s="106"/>
      <c r="QW1264" s="106"/>
      <c r="QX1264" s="106"/>
      <c r="QY1264" s="106"/>
      <c r="QZ1264" s="106"/>
      <c r="RA1264" s="106"/>
      <c r="RB1264" s="106"/>
      <c r="RC1264" s="106"/>
      <c r="RD1264" s="106"/>
      <c r="RE1264" s="106"/>
      <c r="RF1264" s="106"/>
      <c r="RG1264" s="106"/>
      <c r="RH1264" s="106"/>
      <c r="RI1264" s="106"/>
      <c r="RJ1264" s="106"/>
      <c r="RK1264" s="106"/>
      <c r="RL1264" s="106"/>
    </row>
    <row r="1265" spans="88:480" x14ac:dyDescent="0.3">
      <c r="CJ1265" s="103"/>
      <c r="FP1265" s="103"/>
      <c r="LL1265" s="103"/>
      <c r="NM1265" s="103"/>
      <c r="QT1265" s="106"/>
      <c r="QU1265" s="106"/>
      <c r="QV1265" s="106"/>
      <c r="QW1265" s="106"/>
      <c r="QX1265" s="106"/>
      <c r="QY1265" s="106"/>
      <c r="QZ1265" s="106"/>
      <c r="RA1265" s="106"/>
      <c r="RB1265" s="106"/>
      <c r="RC1265" s="106"/>
      <c r="RD1265" s="106"/>
      <c r="RE1265" s="106"/>
      <c r="RF1265" s="106"/>
      <c r="RG1265" s="106"/>
      <c r="RH1265" s="106"/>
      <c r="RI1265" s="106"/>
      <c r="RJ1265" s="106"/>
      <c r="RK1265" s="106"/>
      <c r="RL1265" s="106"/>
    </row>
    <row r="1266" spans="88:480" x14ac:dyDescent="0.3">
      <c r="CJ1266" s="103"/>
      <c r="FP1266" s="103"/>
      <c r="LL1266" s="103"/>
      <c r="NM1266" s="103"/>
      <c r="QT1266" s="106"/>
      <c r="QU1266" s="106"/>
      <c r="QV1266" s="106"/>
      <c r="QW1266" s="106"/>
      <c r="QX1266" s="106"/>
      <c r="QY1266" s="106"/>
      <c r="QZ1266" s="106"/>
      <c r="RA1266" s="106"/>
      <c r="RB1266" s="106"/>
      <c r="RC1266" s="106"/>
      <c r="RD1266" s="106"/>
      <c r="RE1266" s="106"/>
      <c r="RF1266" s="106"/>
      <c r="RG1266" s="106"/>
      <c r="RH1266" s="106"/>
      <c r="RI1266" s="106"/>
      <c r="RJ1266" s="106"/>
      <c r="RK1266" s="106"/>
      <c r="RL1266" s="106"/>
    </row>
    <row r="1267" spans="88:480" x14ac:dyDescent="0.3">
      <c r="CJ1267" s="103"/>
      <c r="FP1267" s="103"/>
      <c r="LL1267" s="103"/>
      <c r="NM1267" s="103"/>
      <c r="QT1267" s="106"/>
      <c r="QU1267" s="106"/>
      <c r="QV1267" s="106"/>
      <c r="QW1267" s="106"/>
      <c r="QX1267" s="106"/>
      <c r="QY1267" s="106"/>
      <c r="QZ1267" s="106"/>
      <c r="RA1267" s="106"/>
      <c r="RB1267" s="106"/>
      <c r="RC1267" s="106"/>
      <c r="RD1267" s="106"/>
      <c r="RE1267" s="106"/>
      <c r="RF1267" s="106"/>
      <c r="RG1267" s="106"/>
      <c r="RH1267" s="106"/>
      <c r="RI1267" s="106"/>
      <c r="RJ1267" s="106"/>
      <c r="RK1267" s="106"/>
      <c r="RL1267" s="106"/>
    </row>
    <row r="1268" spans="88:480" x14ac:dyDescent="0.3">
      <c r="CJ1268" s="103"/>
      <c r="FP1268" s="103"/>
      <c r="LL1268" s="103"/>
      <c r="NM1268" s="103"/>
      <c r="QT1268" s="106"/>
      <c r="QU1268" s="106"/>
      <c r="QV1268" s="106"/>
      <c r="QW1268" s="106"/>
      <c r="QX1268" s="106"/>
      <c r="QY1268" s="106"/>
      <c r="QZ1268" s="106"/>
      <c r="RA1268" s="106"/>
      <c r="RB1268" s="106"/>
      <c r="RC1268" s="106"/>
      <c r="RD1268" s="106"/>
      <c r="RE1268" s="106"/>
      <c r="RF1268" s="106"/>
      <c r="RG1268" s="106"/>
      <c r="RH1268" s="106"/>
      <c r="RI1268" s="106"/>
      <c r="RJ1268" s="106"/>
      <c r="RK1268" s="106"/>
      <c r="RL1268" s="106"/>
    </row>
    <row r="1269" spans="88:480" x14ac:dyDescent="0.3">
      <c r="CJ1269" s="103"/>
      <c r="FP1269" s="103"/>
      <c r="LL1269" s="103"/>
      <c r="NM1269" s="103"/>
      <c r="QT1269" s="106"/>
      <c r="QU1269" s="106"/>
      <c r="QV1269" s="106"/>
      <c r="QW1269" s="106"/>
      <c r="QX1269" s="106"/>
      <c r="QY1269" s="106"/>
      <c r="QZ1269" s="106"/>
      <c r="RA1269" s="106"/>
      <c r="RB1269" s="106"/>
      <c r="RC1269" s="106"/>
      <c r="RD1269" s="106"/>
      <c r="RE1269" s="106"/>
      <c r="RF1269" s="106"/>
      <c r="RG1269" s="106"/>
      <c r="RH1269" s="106"/>
      <c r="RI1269" s="106"/>
      <c r="RJ1269" s="106"/>
      <c r="RK1269" s="106"/>
      <c r="RL1269" s="106"/>
    </row>
    <row r="1270" spans="88:480" x14ac:dyDescent="0.3">
      <c r="CJ1270" s="103"/>
      <c r="FP1270" s="103"/>
      <c r="LL1270" s="103"/>
      <c r="NM1270" s="103"/>
      <c r="QT1270" s="106"/>
      <c r="QU1270" s="106"/>
      <c r="QV1270" s="106"/>
      <c r="QW1270" s="106"/>
      <c r="QX1270" s="106"/>
      <c r="QY1270" s="106"/>
      <c r="QZ1270" s="106"/>
      <c r="RA1270" s="106"/>
      <c r="RB1270" s="106"/>
      <c r="RC1270" s="106"/>
      <c r="RD1270" s="106"/>
      <c r="RE1270" s="106"/>
      <c r="RF1270" s="106"/>
      <c r="RG1270" s="106"/>
      <c r="RH1270" s="106"/>
      <c r="RI1270" s="106"/>
      <c r="RJ1270" s="106"/>
      <c r="RK1270" s="106"/>
      <c r="RL1270" s="106"/>
    </row>
    <row r="1271" spans="88:480" x14ac:dyDescent="0.3">
      <c r="CJ1271" s="103"/>
      <c r="FP1271" s="103"/>
      <c r="LL1271" s="103"/>
      <c r="NM1271" s="103"/>
      <c r="QT1271" s="106"/>
      <c r="QU1271" s="106"/>
      <c r="QV1271" s="106"/>
      <c r="QW1271" s="106"/>
      <c r="QX1271" s="106"/>
      <c r="QY1271" s="106"/>
      <c r="QZ1271" s="106"/>
      <c r="RA1271" s="106"/>
      <c r="RB1271" s="106"/>
      <c r="RC1271" s="106"/>
      <c r="RD1271" s="106"/>
      <c r="RE1271" s="106"/>
      <c r="RF1271" s="106"/>
      <c r="RG1271" s="106"/>
      <c r="RH1271" s="106"/>
      <c r="RI1271" s="106"/>
      <c r="RJ1271" s="106"/>
      <c r="RK1271" s="106"/>
      <c r="RL1271" s="106"/>
    </row>
    <row r="1272" spans="88:480" x14ac:dyDescent="0.3">
      <c r="CJ1272" s="103"/>
      <c r="FP1272" s="103"/>
      <c r="LL1272" s="103"/>
      <c r="NM1272" s="103"/>
      <c r="QT1272" s="106"/>
      <c r="QU1272" s="106"/>
      <c r="QV1272" s="106"/>
      <c r="QW1272" s="106"/>
      <c r="QX1272" s="106"/>
      <c r="QY1272" s="106"/>
      <c r="QZ1272" s="106"/>
      <c r="RA1272" s="106"/>
      <c r="RB1272" s="106"/>
      <c r="RC1272" s="106"/>
      <c r="RD1272" s="106"/>
      <c r="RE1272" s="106"/>
      <c r="RF1272" s="106"/>
      <c r="RG1272" s="106"/>
      <c r="RH1272" s="106"/>
      <c r="RI1272" s="106"/>
      <c r="RJ1272" s="106"/>
      <c r="RK1272" s="106"/>
      <c r="RL1272" s="106"/>
    </row>
    <row r="1273" spans="88:480" x14ac:dyDescent="0.3">
      <c r="CJ1273" s="103"/>
      <c r="FP1273" s="103"/>
      <c r="LL1273" s="103"/>
      <c r="NM1273" s="103"/>
      <c r="QT1273" s="106"/>
      <c r="QU1273" s="106"/>
      <c r="QV1273" s="106"/>
      <c r="QW1273" s="106"/>
      <c r="QX1273" s="106"/>
      <c r="QY1273" s="106"/>
      <c r="QZ1273" s="106"/>
      <c r="RA1273" s="106"/>
      <c r="RB1273" s="106"/>
      <c r="RC1273" s="106"/>
      <c r="RD1273" s="106"/>
      <c r="RE1273" s="106"/>
      <c r="RF1273" s="106"/>
      <c r="RG1273" s="106"/>
      <c r="RH1273" s="106"/>
      <c r="RI1273" s="106"/>
      <c r="RJ1273" s="106"/>
      <c r="RK1273" s="106"/>
      <c r="RL1273" s="106"/>
    </row>
    <row r="1274" spans="88:480" x14ac:dyDescent="0.3">
      <c r="CJ1274" s="103"/>
      <c r="FP1274" s="103"/>
      <c r="LL1274" s="103"/>
      <c r="NM1274" s="103"/>
      <c r="QT1274" s="106"/>
      <c r="QU1274" s="106"/>
      <c r="QV1274" s="106"/>
      <c r="QW1274" s="106"/>
      <c r="QX1274" s="106"/>
      <c r="QY1274" s="106"/>
      <c r="QZ1274" s="106"/>
      <c r="RA1274" s="106"/>
      <c r="RB1274" s="106"/>
      <c r="RC1274" s="106"/>
      <c r="RD1274" s="106"/>
      <c r="RE1274" s="106"/>
      <c r="RF1274" s="106"/>
      <c r="RG1274" s="106"/>
      <c r="RH1274" s="106"/>
      <c r="RI1274" s="106"/>
      <c r="RJ1274" s="106"/>
      <c r="RK1274" s="106"/>
      <c r="RL1274" s="106"/>
    </row>
    <row r="1275" spans="88:480" x14ac:dyDescent="0.3">
      <c r="CJ1275" s="103"/>
      <c r="FP1275" s="103"/>
      <c r="LL1275" s="103"/>
      <c r="NM1275" s="103"/>
      <c r="QT1275" s="106"/>
      <c r="QU1275" s="106"/>
      <c r="QV1275" s="106"/>
      <c r="QW1275" s="106"/>
      <c r="QX1275" s="106"/>
      <c r="QY1275" s="106"/>
      <c r="QZ1275" s="106"/>
      <c r="RA1275" s="106"/>
      <c r="RB1275" s="106"/>
      <c r="RC1275" s="106"/>
      <c r="RD1275" s="106"/>
      <c r="RE1275" s="106"/>
      <c r="RF1275" s="106"/>
      <c r="RG1275" s="106"/>
      <c r="RH1275" s="106"/>
      <c r="RI1275" s="106"/>
      <c r="RJ1275" s="106"/>
      <c r="RK1275" s="106"/>
      <c r="RL1275" s="106"/>
    </row>
    <row r="1276" spans="88:480" x14ac:dyDescent="0.3">
      <c r="CJ1276" s="103"/>
      <c r="FP1276" s="103"/>
      <c r="LL1276" s="103"/>
      <c r="NM1276" s="103"/>
      <c r="QT1276" s="106"/>
      <c r="QU1276" s="106"/>
      <c r="QV1276" s="106"/>
      <c r="QW1276" s="106"/>
      <c r="QX1276" s="106"/>
      <c r="QY1276" s="106"/>
      <c r="QZ1276" s="106"/>
      <c r="RA1276" s="106"/>
      <c r="RB1276" s="106"/>
      <c r="RC1276" s="106"/>
      <c r="RD1276" s="106"/>
      <c r="RE1276" s="106"/>
      <c r="RF1276" s="106"/>
      <c r="RG1276" s="106"/>
      <c r="RH1276" s="106"/>
      <c r="RI1276" s="106"/>
      <c r="RJ1276" s="106"/>
      <c r="RK1276" s="106"/>
      <c r="RL1276" s="106"/>
    </row>
    <row r="1277" spans="88:480" x14ac:dyDescent="0.3">
      <c r="CJ1277" s="103"/>
      <c r="FP1277" s="103"/>
      <c r="LL1277" s="103"/>
      <c r="NM1277" s="103"/>
      <c r="QT1277" s="106"/>
      <c r="QU1277" s="106"/>
      <c r="QV1277" s="106"/>
      <c r="QW1277" s="106"/>
      <c r="QX1277" s="106"/>
      <c r="QY1277" s="106"/>
      <c r="QZ1277" s="106"/>
      <c r="RA1277" s="106"/>
      <c r="RB1277" s="106"/>
      <c r="RC1277" s="106"/>
      <c r="RD1277" s="106"/>
      <c r="RE1277" s="106"/>
      <c r="RF1277" s="106"/>
      <c r="RG1277" s="106"/>
      <c r="RH1277" s="106"/>
      <c r="RI1277" s="106"/>
      <c r="RJ1277" s="106"/>
      <c r="RK1277" s="106"/>
      <c r="RL1277" s="106"/>
    </row>
    <row r="1278" spans="88:480" x14ac:dyDescent="0.3">
      <c r="CJ1278" s="103"/>
      <c r="FP1278" s="103"/>
      <c r="LL1278" s="103"/>
      <c r="NM1278" s="103"/>
      <c r="QT1278" s="106"/>
      <c r="QU1278" s="106"/>
      <c r="QV1278" s="106"/>
      <c r="QW1278" s="106"/>
      <c r="QX1278" s="106"/>
      <c r="QY1278" s="106"/>
      <c r="QZ1278" s="106"/>
      <c r="RA1278" s="106"/>
      <c r="RB1278" s="106"/>
      <c r="RC1278" s="106"/>
      <c r="RD1278" s="106"/>
      <c r="RE1278" s="106"/>
      <c r="RF1278" s="106"/>
      <c r="RG1278" s="106"/>
      <c r="RH1278" s="106"/>
      <c r="RI1278" s="106"/>
      <c r="RJ1278" s="106"/>
      <c r="RK1278" s="106"/>
      <c r="RL1278" s="106"/>
    </row>
    <row r="1279" spans="88:480" x14ac:dyDescent="0.3">
      <c r="CJ1279" s="103"/>
      <c r="FP1279" s="103"/>
      <c r="LL1279" s="103"/>
      <c r="NM1279" s="103"/>
      <c r="QT1279" s="106"/>
      <c r="QU1279" s="106"/>
      <c r="QV1279" s="106"/>
      <c r="QW1279" s="106"/>
      <c r="QX1279" s="106"/>
      <c r="QY1279" s="106"/>
      <c r="QZ1279" s="106"/>
      <c r="RA1279" s="106"/>
      <c r="RB1279" s="106"/>
      <c r="RC1279" s="106"/>
      <c r="RD1279" s="106"/>
      <c r="RE1279" s="106"/>
      <c r="RF1279" s="106"/>
      <c r="RG1279" s="106"/>
      <c r="RH1279" s="106"/>
      <c r="RI1279" s="106"/>
      <c r="RJ1279" s="106"/>
      <c r="RK1279" s="106"/>
      <c r="RL1279" s="106"/>
    </row>
    <row r="1280" spans="88:480" x14ac:dyDescent="0.3">
      <c r="CJ1280" s="103"/>
      <c r="FP1280" s="103"/>
      <c r="LL1280" s="103"/>
      <c r="NM1280" s="103"/>
      <c r="QT1280" s="106"/>
      <c r="QU1280" s="106"/>
      <c r="QV1280" s="106"/>
      <c r="QW1280" s="106"/>
      <c r="QX1280" s="106"/>
      <c r="QY1280" s="106"/>
      <c r="QZ1280" s="106"/>
      <c r="RA1280" s="106"/>
      <c r="RB1280" s="106"/>
      <c r="RC1280" s="106"/>
      <c r="RD1280" s="106"/>
      <c r="RE1280" s="106"/>
      <c r="RF1280" s="106"/>
      <c r="RG1280" s="106"/>
      <c r="RH1280" s="106"/>
      <c r="RI1280" s="106"/>
      <c r="RJ1280" s="106"/>
      <c r="RK1280" s="106"/>
      <c r="RL1280" s="106"/>
    </row>
    <row r="1281" spans="88:480" x14ac:dyDescent="0.3">
      <c r="CJ1281" s="103"/>
      <c r="FP1281" s="103"/>
      <c r="LL1281" s="103"/>
      <c r="NM1281" s="103"/>
      <c r="QT1281" s="106"/>
      <c r="QU1281" s="106"/>
      <c r="QV1281" s="106"/>
      <c r="QW1281" s="106"/>
      <c r="QX1281" s="106"/>
      <c r="QY1281" s="106"/>
      <c r="QZ1281" s="106"/>
      <c r="RA1281" s="106"/>
      <c r="RB1281" s="106"/>
      <c r="RC1281" s="106"/>
      <c r="RD1281" s="106"/>
      <c r="RE1281" s="106"/>
      <c r="RF1281" s="106"/>
      <c r="RG1281" s="106"/>
      <c r="RH1281" s="106"/>
      <c r="RI1281" s="106"/>
      <c r="RJ1281" s="106"/>
      <c r="RK1281" s="106"/>
      <c r="RL1281" s="106"/>
    </row>
    <row r="1282" spans="88:480" x14ac:dyDescent="0.3">
      <c r="CJ1282" s="103"/>
      <c r="FP1282" s="103"/>
      <c r="LL1282" s="103"/>
      <c r="NM1282" s="103"/>
      <c r="QT1282" s="106"/>
      <c r="QU1282" s="106"/>
      <c r="QV1282" s="106"/>
      <c r="QW1282" s="106"/>
      <c r="QX1282" s="106"/>
      <c r="QY1282" s="106"/>
      <c r="QZ1282" s="106"/>
      <c r="RA1282" s="106"/>
      <c r="RB1282" s="106"/>
      <c r="RC1282" s="106"/>
      <c r="RD1282" s="106"/>
      <c r="RE1282" s="106"/>
      <c r="RF1282" s="106"/>
      <c r="RG1282" s="106"/>
      <c r="RH1282" s="106"/>
      <c r="RI1282" s="106"/>
      <c r="RJ1282" s="106"/>
      <c r="RK1282" s="106"/>
      <c r="RL1282" s="106"/>
    </row>
    <row r="1283" spans="88:480" x14ac:dyDescent="0.3">
      <c r="CJ1283" s="103"/>
      <c r="FP1283" s="103"/>
      <c r="LL1283" s="103"/>
      <c r="NM1283" s="103"/>
      <c r="QT1283" s="106"/>
      <c r="QU1283" s="106"/>
      <c r="QV1283" s="106"/>
      <c r="QW1283" s="106"/>
      <c r="QX1283" s="106"/>
      <c r="QY1283" s="106"/>
      <c r="QZ1283" s="106"/>
      <c r="RA1283" s="106"/>
      <c r="RB1283" s="106"/>
      <c r="RC1283" s="106"/>
      <c r="RD1283" s="106"/>
      <c r="RE1283" s="106"/>
      <c r="RF1283" s="106"/>
      <c r="RG1283" s="106"/>
      <c r="RH1283" s="106"/>
      <c r="RI1283" s="106"/>
      <c r="RJ1283" s="106"/>
      <c r="RK1283" s="106"/>
      <c r="RL1283" s="106"/>
    </row>
    <row r="1284" spans="88:480" x14ac:dyDescent="0.3">
      <c r="CJ1284" s="103"/>
      <c r="FP1284" s="103"/>
      <c r="LL1284" s="103"/>
      <c r="NM1284" s="103"/>
      <c r="QT1284" s="106"/>
      <c r="QU1284" s="106"/>
      <c r="QV1284" s="106"/>
      <c r="QW1284" s="106"/>
      <c r="QX1284" s="106"/>
      <c r="QY1284" s="106"/>
      <c r="QZ1284" s="106"/>
      <c r="RA1284" s="106"/>
      <c r="RB1284" s="106"/>
      <c r="RC1284" s="106"/>
      <c r="RD1284" s="106"/>
      <c r="RE1284" s="106"/>
      <c r="RF1284" s="106"/>
      <c r="RG1284" s="106"/>
      <c r="RH1284" s="106"/>
      <c r="RI1284" s="106"/>
      <c r="RJ1284" s="106"/>
      <c r="RK1284" s="106"/>
      <c r="RL1284" s="106"/>
    </row>
    <row r="1285" spans="88:480" x14ac:dyDescent="0.3">
      <c r="CJ1285" s="103"/>
      <c r="FP1285" s="103"/>
      <c r="LL1285" s="103"/>
      <c r="NM1285" s="103"/>
      <c r="QT1285" s="106"/>
      <c r="QU1285" s="106"/>
      <c r="QV1285" s="106"/>
      <c r="QW1285" s="106"/>
      <c r="QX1285" s="106"/>
      <c r="QY1285" s="106"/>
      <c r="QZ1285" s="106"/>
      <c r="RA1285" s="106"/>
      <c r="RB1285" s="106"/>
      <c r="RC1285" s="106"/>
      <c r="RD1285" s="106"/>
      <c r="RE1285" s="106"/>
      <c r="RF1285" s="106"/>
      <c r="RG1285" s="106"/>
      <c r="RH1285" s="106"/>
      <c r="RI1285" s="106"/>
      <c r="RJ1285" s="106"/>
      <c r="RK1285" s="106"/>
      <c r="RL1285" s="106"/>
    </row>
    <row r="1286" spans="88:480" x14ac:dyDescent="0.3">
      <c r="CJ1286" s="103"/>
      <c r="FP1286" s="103"/>
      <c r="LL1286" s="103"/>
      <c r="NM1286" s="103"/>
      <c r="QT1286" s="106"/>
      <c r="QU1286" s="106"/>
      <c r="QV1286" s="106"/>
      <c r="QW1286" s="106"/>
      <c r="QX1286" s="106"/>
      <c r="QY1286" s="106"/>
      <c r="QZ1286" s="106"/>
      <c r="RA1286" s="106"/>
      <c r="RB1286" s="106"/>
      <c r="RC1286" s="106"/>
      <c r="RD1286" s="106"/>
      <c r="RE1286" s="106"/>
      <c r="RF1286" s="106"/>
      <c r="RG1286" s="106"/>
      <c r="RH1286" s="106"/>
      <c r="RI1286" s="106"/>
      <c r="RJ1286" s="106"/>
      <c r="RK1286" s="106"/>
      <c r="RL1286" s="106"/>
    </row>
    <row r="1287" spans="88:480" x14ac:dyDescent="0.3">
      <c r="CJ1287" s="103"/>
      <c r="FP1287" s="103"/>
      <c r="LL1287" s="103"/>
      <c r="NM1287" s="103"/>
      <c r="QT1287" s="106"/>
      <c r="QU1287" s="106"/>
      <c r="QV1287" s="106"/>
      <c r="QW1287" s="106"/>
      <c r="QX1287" s="106"/>
      <c r="QY1287" s="106"/>
      <c r="QZ1287" s="106"/>
      <c r="RA1287" s="106"/>
      <c r="RB1287" s="106"/>
      <c r="RC1287" s="106"/>
      <c r="RD1287" s="106"/>
      <c r="RE1287" s="106"/>
      <c r="RF1287" s="106"/>
      <c r="RG1287" s="106"/>
      <c r="RH1287" s="106"/>
      <c r="RI1287" s="106"/>
      <c r="RJ1287" s="106"/>
      <c r="RK1287" s="106"/>
      <c r="RL1287" s="106"/>
    </row>
    <row r="1288" spans="88:480" x14ac:dyDescent="0.3">
      <c r="CJ1288" s="103"/>
      <c r="FP1288" s="103"/>
      <c r="LL1288" s="103"/>
      <c r="NM1288" s="103"/>
      <c r="QT1288" s="106"/>
      <c r="QU1288" s="106"/>
      <c r="QV1288" s="106"/>
      <c r="QW1288" s="106"/>
      <c r="QX1288" s="106"/>
      <c r="QY1288" s="106"/>
      <c r="QZ1288" s="106"/>
      <c r="RA1288" s="106"/>
      <c r="RB1288" s="106"/>
      <c r="RC1288" s="106"/>
      <c r="RD1288" s="106"/>
      <c r="RE1288" s="106"/>
      <c r="RF1288" s="106"/>
      <c r="RG1288" s="106"/>
      <c r="RH1288" s="106"/>
      <c r="RI1288" s="106"/>
      <c r="RJ1288" s="106"/>
      <c r="RK1288" s="106"/>
      <c r="RL1288" s="106"/>
    </row>
    <row r="1289" spans="88:480" x14ac:dyDescent="0.3">
      <c r="CJ1289" s="103"/>
      <c r="FP1289" s="103"/>
      <c r="LL1289" s="103"/>
      <c r="NM1289" s="103"/>
      <c r="QT1289" s="106"/>
      <c r="QU1289" s="106"/>
      <c r="QV1289" s="106"/>
      <c r="QW1289" s="106"/>
      <c r="QX1289" s="106"/>
      <c r="QY1289" s="106"/>
      <c r="QZ1289" s="106"/>
      <c r="RA1289" s="106"/>
      <c r="RB1289" s="106"/>
      <c r="RC1289" s="106"/>
      <c r="RD1289" s="106"/>
      <c r="RE1289" s="106"/>
      <c r="RF1289" s="106"/>
      <c r="RG1289" s="106"/>
      <c r="RH1289" s="106"/>
      <c r="RI1289" s="106"/>
      <c r="RJ1289" s="106"/>
      <c r="RK1289" s="106"/>
      <c r="RL1289" s="106"/>
    </row>
    <row r="1290" spans="88:480" x14ac:dyDescent="0.3">
      <c r="CJ1290" s="103"/>
      <c r="FP1290" s="103"/>
      <c r="LL1290" s="103"/>
      <c r="NM1290" s="103"/>
      <c r="QT1290" s="106"/>
      <c r="QU1290" s="106"/>
      <c r="QV1290" s="106"/>
      <c r="QW1290" s="106"/>
      <c r="QX1290" s="106"/>
      <c r="QY1290" s="106"/>
      <c r="QZ1290" s="106"/>
      <c r="RA1290" s="106"/>
      <c r="RB1290" s="106"/>
      <c r="RC1290" s="106"/>
      <c r="RD1290" s="106"/>
      <c r="RE1290" s="106"/>
      <c r="RF1290" s="106"/>
      <c r="RG1290" s="106"/>
      <c r="RH1290" s="106"/>
      <c r="RI1290" s="106"/>
      <c r="RJ1290" s="106"/>
      <c r="RK1290" s="106"/>
      <c r="RL1290" s="106"/>
    </row>
    <row r="1291" spans="88:480" x14ac:dyDescent="0.3">
      <c r="CJ1291" s="103"/>
      <c r="FP1291" s="103"/>
      <c r="LL1291" s="103"/>
      <c r="NM1291" s="103"/>
      <c r="QT1291" s="106"/>
      <c r="QU1291" s="106"/>
      <c r="QV1291" s="106"/>
      <c r="QW1291" s="106"/>
      <c r="QX1291" s="106"/>
      <c r="QY1291" s="106"/>
      <c r="QZ1291" s="106"/>
      <c r="RA1291" s="106"/>
      <c r="RB1291" s="106"/>
      <c r="RC1291" s="106"/>
      <c r="RD1291" s="106"/>
      <c r="RE1291" s="106"/>
      <c r="RF1291" s="106"/>
      <c r="RG1291" s="106"/>
      <c r="RH1291" s="106"/>
      <c r="RI1291" s="106"/>
      <c r="RJ1291" s="106"/>
      <c r="RK1291" s="106"/>
      <c r="RL1291" s="106"/>
    </row>
    <row r="1292" spans="88:480" x14ac:dyDescent="0.3">
      <c r="CJ1292" s="103"/>
      <c r="FP1292" s="103"/>
      <c r="LL1292" s="103"/>
      <c r="NM1292" s="103"/>
      <c r="QT1292" s="106"/>
      <c r="QU1292" s="106"/>
      <c r="QV1292" s="106"/>
      <c r="QW1292" s="106"/>
      <c r="QX1292" s="106"/>
      <c r="QY1292" s="106"/>
      <c r="QZ1292" s="106"/>
      <c r="RA1292" s="106"/>
      <c r="RB1292" s="106"/>
      <c r="RC1292" s="106"/>
      <c r="RD1292" s="106"/>
      <c r="RE1292" s="106"/>
      <c r="RF1292" s="106"/>
      <c r="RG1292" s="106"/>
      <c r="RH1292" s="106"/>
      <c r="RI1292" s="106"/>
      <c r="RJ1292" s="106"/>
      <c r="RK1292" s="106"/>
      <c r="RL1292" s="106"/>
    </row>
    <row r="1293" spans="88:480" x14ac:dyDescent="0.3">
      <c r="CJ1293" s="103"/>
      <c r="FP1293" s="103"/>
      <c r="LL1293" s="103"/>
      <c r="NM1293" s="103"/>
      <c r="QT1293" s="106"/>
      <c r="QU1293" s="106"/>
      <c r="QV1293" s="106"/>
      <c r="QW1293" s="106"/>
      <c r="QX1293" s="106"/>
      <c r="QY1293" s="106"/>
      <c r="QZ1293" s="106"/>
      <c r="RA1293" s="106"/>
      <c r="RB1293" s="106"/>
      <c r="RC1293" s="106"/>
      <c r="RD1293" s="106"/>
      <c r="RE1293" s="106"/>
      <c r="RF1293" s="106"/>
      <c r="RG1293" s="106"/>
      <c r="RH1293" s="106"/>
      <c r="RI1293" s="106"/>
      <c r="RJ1293" s="106"/>
      <c r="RK1293" s="106"/>
      <c r="RL1293" s="106"/>
    </row>
    <row r="1294" spans="88:480" x14ac:dyDescent="0.3">
      <c r="CJ1294" s="103"/>
      <c r="FP1294" s="103"/>
      <c r="LL1294" s="103"/>
      <c r="NM1294" s="103"/>
      <c r="QT1294" s="106"/>
      <c r="QU1294" s="106"/>
      <c r="QV1294" s="106"/>
      <c r="QW1294" s="106"/>
      <c r="QX1294" s="106"/>
      <c r="QY1294" s="106"/>
      <c r="QZ1294" s="106"/>
      <c r="RA1294" s="106"/>
      <c r="RB1294" s="106"/>
      <c r="RC1294" s="106"/>
      <c r="RD1294" s="106"/>
      <c r="RE1294" s="106"/>
      <c r="RF1294" s="106"/>
      <c r="RG1294" s="106"/>
      <c r="RH1294" s="106"/>
      <c r="RI1294" s="106"/>
      <c r="RJ1294" s="106"/>
      <c r="RK1294" s="106"/>
      <c r="RL1294" s="106"/>
    </row>
    <row r="1295" spans="88:480" x14ac:dyDescent="0.3">
      <c r="CJ1295" s="103"/>
      <c r="FP1295" s="103"/>
      <c r="LL1295" s="103"/>
      <c r="NM1295" s="103"/>
      <c r="QT1295" s="106"/>
      <c r="QU1295" s="106"/>
      <c r="QV1295" s="106"/>
      <c r="QW1295" s="106"/>
      <c r="QX1295" s="106"/>
      <c r="QY1295" s="106"/>
      <c r="QZ1295" s="106"/>
      <c r="RA1295" s="106"/>
      <c r="RB1295" s="106"/>
      <c r="RC1295" s="106"/>
      <c r="RD1295" s="106"/>
      <c r="RE1295" s="106"/>
      <c r="RF1295" s="106"/>
      <c r="RG1295" s="106"/>
      <c r="RH1295" s="106"/>
      <c r="RI1295" s="106"/>
      <c r="RJ1295" s="106"/>
      <c r="RK1295" s="106"/>
      <c r="RL1295" s="106"/>
    </row>
    <row r="1296" spans="88:480" x14ac:dyDescent="0.3">
      <c r="CJ1296" s="103"/>
      <c r="FP1296" s="103"/>
      <c r="LL1296" s="103"/>
      <c r="NM1296" s="103"/>
      <c r="QT1296" s="106"/>
      <c r="QU1296" s="106"/>
      <c r="QV1296" s="106"/>
      <c r="QW1296" s="106"/>
      <c r="QX1296" s="106"/>
      <c r="QY1296" s="106"/>
      <c r="QZ1296" s="106"/>
      <c r="RA1296" s="106"/>
      <c r="RB1296" s="106"/>
      <c r="RC1296" s="106"/>
      <c r="RD1296" s="106"/>
      <c r="RE1296" s="106"/>
      <c r="RF1296" s="106"/>
      <c r="RG1296" s="106"/>
      <c r="RH1296" s="106"/>
      <c r="RI1296" s="106"/>
      <c r="RJ1296" s="106"/>
      <c r="RK1296" s="106"/>
      <c r="RL1296" s="106"/>
    </row>
    <row r="1297" spans="88:480" x14ac:dyDescent="0.3">
      <c r="CJ1297" s="103"/>
      <c r="FP1297" s="103"/>
      <c r="LL1297" s="103"/>
      <c r="NM1297" s="103"/>
      <c r="QT1297" s="106"/>
      <c r="QU1297" s="106"/>
      <c r="QV1297" s="106"/>
      <c r="QW1297" s="106"/>
      <c r="QX1297" s="106"/>
      <c r="QY1297" s="106"/>
      <c r="QZ1297" s="106"/>
      <c r="RA1297" s="106"/>
      <c r="RB1297" s="106"/>
      <c r="RC1297" s="106"/>
      <c r="RD1297" s="106"/>
      <c r="RE1297" s="106"/>
      <c r="RF1297" s="106"/>
      <c r="RG1297" s="106"/>
      <c r="RH1297" s="106"/>
      <c r="RI1297" s="106"/>
      <c r="RJ1297" s="106"/>
      <c r="RK1297" s="106"/>
      <c r="RL1297" s="106"/>
    </row>
    <row r="1298" spans="88:480" x14ac:dyDescent="0.3">
      <c r="CJ1298" s="103"/>
      <c r="FP1298" s="103"/>
      <c r="LL1298" s="103"/>
      <c r="NM1298" s="103"/>
      <c r="QT1298" s="106"/>
      <c r="QU1298" s="106"/>
      <c r="QV1298" s="106"/>
      <c r="QW1298" s="106"/>
      <c r="QX1298" s="106"/>
      <c r="QY1298" s="106"/>
      <c r="QZ1298" s="106"/>
      <c r="RA1298" s="106"/>
      <c r="RB1298" s="106"/>
      <c r="RC1298" s="106"/>
      <c r="RD1298" s="106"/>
      <c r="RE1298" s="106"/>
      <c r="RF1298" s="106"/>
      <c r="RG1298" s="106"/>
      <c r="RH1298" s="106"/>
      <c r="RI1298" s="106"/>
      <c r="RJ1298" s="106"/>
      <c r="RK1298" s="106"/>
      <c r="RL1298" s="106"/>
    </row>
    <row r="1299" spans="88:480" x14ac:dyDescent="0.3">
      <c r="CJ1299" s="103"/>
      <c r="FP1299" s="103"/>
      <c r="LL1299" s="103"/>
      <c r="NM1299" s="103"/>
      <c r="QT1299" s="106"/>
      <c r="QU1299" s="106"/>
      <c r="QV1299" s="106"/>
      <c r="QW1299" s="106"/>
      <c r="QX1299" s="106"/>
      <c r="QY1299" s="106"/>
      <c r="QZ1299" s="106"/>
      <c r="RA1299" s="106"/>
      <c r="RB1299" s="106"/>
      <c r="RC1299" s="106"/>
      <c r="RD1299" s="106"/>
      <c r="RE1299" s="106"/>
      <c r="RF1299" s="106"/>
      <c r="RG1299" s="106"/>
      <c r="RH1299" s="106"/>
      <c r="RI1299" s="106"/>
      <c r="RJ1299" s="106"/>
      <c r="RK1299" s="106"/>
      <c r="RL1299" s="106"/>
    </row>
    <row r="1300" spans="88:480" x14ac:dyDescent="0.3">
      <c r="CJ1300" s="103"/>
      <c r="FP1300" s="103"/>
      <c r="LL1300" s="103"/>
      <c r="NM1300" s="103"/>
      <c r="QT1300" s="106"/>
      <c r="QU1300" s="106"/>
      <c r="QV1300" s="106"/>
      <c r="QW1300" s="106"/>
      <c r="QX1300" s="106"/>
      <c r="QY1300" s="106"/>
      <c r="QZ1300" s="106"/>
      <c r="RA1300" s="106"/>
      <c r="RB1300" s="106"/>
      <c r="RC1300" s="106"/>
      <c r="RD1300" s="106"/>
      <c r="RE1300" s="106"/>
      <c r="RF1300" s="106"/>
      <c r="RG1300" s="106"/>
      <c r="RH1300" s="106"/>
      <c r="RI1300" s="106"/>
      <c r="RJ1300" s="106"/>
      <c r="RK1300" s="106"/>
      <c r="RL1300" s="106"/>
    </row>
    <row r="1301" spans="88:480" x14ac:dyDescent="0.3">
      <c r="CJ1301" s="103"/>
      <c r="FP1301" s="103"/>
      <c r="LL1301" s="103"/>
      <c r="NM1301" s="103"/>
      <c r="QT1301" s="106"/>
      <c r="QU1301" s="106"/>
      <c r="QV1301" s="106"/>
      <c r="QW1301" s="106"/>
      <c r="QX1301" s="106"/>
      <c r="QY1301" s="106"/>
      <c r="QZ1301" s="106"/>
      <c r="RA1301" s="106"/>
      <c r="RB1301" s="106"/>
      <c r="RC1301" s="106"/>
      <c r="RD1301" s="106"/>
      <c r="RE1301" s="106"/>
      <c r="RF1301" s="106"/>
      <c r="RG1301" s="106"/>
      <c r="RH1301" s="106"/>
      <c r="RI1301" s="106"/>
      <c r="RJ1301" s="106"/>
      <c r="RK1301" s="106"/>
      <c r="RL1301" s="106"/>
    </row>
    <row r="1302" spans="88:480" x14ac:dyDescent="0.3">
      <c r="CJ1302" s="103"/>
      <c r="FP1302" s="103"/>
      <c r="LL1302" s="103"/>
      <c r="NM1302" s="103"/>
      <c r="QT1302" s="106"/>
      <c r="QU1302" s="106"/>
      <c r="QV1302" s="106"/>
      <c r="QW1302" s="106"/>
      <c r="QX1302" s="106"/>
      <c r="QY1302" s="106"/>
      <c r="QZ1302" s="106"/>
      <c r="RA1302" s="106"/>
      <c r="RB1302" s="106"/>
      <c r="RC1302" s="106"/>
      <c r="RD1302" s="106"/>
      <c r="RE1302" s="106"/>
      <c r="RF1302" s="106"/>
      <c r="RG1302" s="106"/>
      <c r="RH1302" s="106"/>
      <c r="RI1302" s="106"/>
      <c r="RJ1302" s="106"/>
      <c r="RK1302" s="106"/>
      <c r="RL1302" s="106"/>
    </row>
    <row r="1303" spans="88:480" x14ac:dyDescent="0.3">
      <c r="CJ1303" s="103"/>
      <c r="FP1303" s="103"/>
      <c r="LL1303" s="103"/>
      <c r="NM1303" s="103"/>
      <c r="QT1303" s="106"/>
      <c r="QU1303" s="106"/>
      <c r="QV1303" s="106"/>
      <c r="QW1303" s="106"/>
      <c r="QX1303" s="106"/>
      <c r="QY1303" s="106"/>
      <c r="QZ1303" s="106"/>
      <c r="RA1303" s="106"/>
      <c r="RB1303" s="106"/>
      <c r="RC1303" s="106"/>
      <c r="RD1303" s="106"/>
      <c r="RE1303" s="106"/>
      <c r="RF1303" s="106"/>
      <c r="RG1303" s="106"/>
      <c r="RH1303" s="106"/>
      <c r="RI1303" s="106"/>
      <c r="RJ1303" s="106"/>
      <c r="RK1303" s="106"/>
      <c r="RL1303" s="106"/>
    </row>
    <row r="1304" spans="88:480" x14ac:dyDescent="0.3">
      <c r="CJ1304" s="103"/>
      <c r="FP1304" s="103"/>
      <c r="LL1304" s="103"/>
      <c r="NM1304" s="103"/>
      <c r="QT1304" s="106"/>
      <c r="QU1304" s="106"/>
      <c r="QV1304" s="106"/>
      <c r="QW1304" s="106"/>
      <c r="QX1304" s="106"/>
      <c r="QY1304" s="106"/>
      <c r="QZ1304" s="106"/>
      <c r="RA1304" s="106"/>
      <c r="RB1304" s="106"/>
      <c r="RC1304" s="106"/>
      <c r="RD1304" s="106"/>
      <c r="RE1304" s="106"/>
      <c r="RF1304" s="106"/>
      <c r="RG1304" s="106"/>
      <c r="RH1304" s="106"/>
      <c r="RI1304" s="106"/>
      <c r="RJ1304" s="106"/>
      <c r="RK1304" s="106"/>
      <c r="RL1304" s="106"/>
    </row>
    <row r="1305" spans="88:480" x14ac:dyDescent="0.3">
      <c r="CJ1305" s="103"/>
      <c r="FP1305" s="103"/>
      <c r="LL1305" s="103"/>
      <c r="NM1305" s="103"/>
      <c r="QT1305" s="106"/>
      <c r="QU1305" s="106"/>
      <c r="QV1305" s="106"/>
      <c r="QW1305" s="106"/>
      <c r="QX1305" s="106"/>
      <c r="QY1305" s="106"/>
      <c r="QZ1305" s="106"/>
      <c r="RA1305" s="106"/>
      <c r="RB1305" s="106"/>
      <c r="RC1305" s="106"/>
      <c r="RD1305" s="106"/>
      <c r="RE1305" s="106"/>
      <c r="RF1305" s="106"/>
      <c r="RG1305" s="106"/>
      <c r="RH1305" s="106"/>
      <c r="RI1305" s="106"/>
      <c r="RJ1305" s="106"/>
      <c r="RK1305" s="106"/>
      <c r="RL1305" s="106"/>
    </row>
    <row r="1306" spans="88:480" x14ac:dyDescent="0.3">
      <c r="CJ1306" s="103"/>
      <c r="FP1306" s="103"/>
      <c r="LL1306" s="103"/>
      <c r="NM1306" s="103"/>
      <c r="QT1306" s="106"/>
      <c r="QU1306" s="106"/>
      <c r="QV1306" s="106"/>
      <c r="QW1306" s="106"/>
      <c r="QX1306" s="106"/>
      <c r="QY1306" s="106"/>
      <c r="QZ1306" s="106"/>
      <c r="RA1306" s="106"/>
      <c r="RB1306" s="106"/>
      <c r="RC1306" s="106"/>
      <c r="RD1306" s="106"/>
      <c r="RE1306" s="106"/>
      <c r="RF1306" s="106"/>
      <c r="RG1306" s="106"/>
      <c r="RH1306" s="106"/>
      <c r="RI1306" s="106"/>
      <c r="RJ1306" s="106"/>
      <c r="RK1306" s="106"/>
      <c r="RL1306" s="106"/>
    </row>
    <row r="1307" spans="88:480" x14ac:dyDescent="0.3">
      <c r="CJ1307" s="103"/>
      <c r="FP1307" s="103"/>
      <c r="LL1307" s="103"/>
      <c r="NM1307" s="103"/>
      <c r="QT1307" s="106"/>
      <c r="QU1307" s="106"/>
      <c r="QV1307" s="106"/>
      <c r="QW1307" s="106"/>
      <c r="QX1307" s="106"/>
      <c r="QY1307" s="106"/>
      <c r="QZ1307" s="106"/>
      <c r="RA1307" s="106"/>
      <c r="RB1307" s="106"/>
      <c r="RC1307" s="106"/>
      <c r="RD1307" s="106"/>
      <c r="RE1307" s="106"/>
      <c r="RF1307" s="106"/>
      <c r="RG1307" s="106"/>
      <c r="RH1307" s="106"/>
      <c r="RI1307" s="106"/>
      <c r="RJ1307" s="106"/>
      <c r="RK1307" s="106"/>
      <c r="RL1307" s="106"/>
    </row>
    <row r="1308" spans="88:480" x14ac:dyDescent="0.3">
      <c r="CJ1308" s="103"/>
      <c r="FP1308" s="103"/>
      <c r="LL1308" s="103"/>
      <c r="NM1308" s="103"/>
      <c r="QT1308" s="106"/>
      <c r="QU1308" s="106"/>
      <c r="QV1308" s="106"/>
      <c r="QW1308" s="106"/>
      <c r="QX1308" s="106"/>
      <c r="QY1308" s="106"/>
      <c r="QZ1308" s="106"/>
      <c r="RA1308" s="106"/>
      <c r="RB1308" s="106"/>
      <c r="RC1308" s="106"/>
      <c r="RD1308" s="106"/>
      <c r="RE1308" s="106"/>
      <c r="RF1308" s="106"/>
      <c r="RG1308" s="106"/>
      <c r="RH1308" s="106"/>
      <c r="RI1308" s="106"/>
      <c r="RJ1308" s="106"/>
      <c r="RK1308" s="106"/>
      <c r="RL1308" s="106"/>
    </row>
    <row r="1309" spans="88:480" x14ac:dyDescent="0.3">
      <c r="CJ1309" s="103"/>
      <c r="FP1309" s="103"/>
      <c r="LL1309" s="103"/>
      <c r="NM1309" s="103"/>
      <c r="QT1309" s="106"/>
      <c r="QU1309" s="106"/>
      <c r="QV1309" s="106"/>
      <c r="QW1309" s="106"/>
      <c r="QX1309" s="106"/>
      <c r="QY1309" s="106"/>
      <c r="QZ1309" s="106"/>
      <c r="RA1309" s="106"/>
      <c r="RB1309" s="106"/>
      <c r="RC1309" s="106"/>
      <c r="RD1309" s="106"/>
      <c r="RE1309" s="106"/>
      <c r="RF1309" s="106"/>
      <c r="RG1309" s="106"/>
      <c r="RH1309" s="106"/>
      <c r="RI1309" s="106"/>
      <c r="RJ1309" s="106"/>
      <c r="RK1309" s="106"/>
      <c r="RL1309" s="106"/>
    </row>
    <row r="1310" spans="88:480" x14ac:dyDescent="0.3">
      <c r="CJ1310" s="103"/>
      <c r="FP1310" s="103"/>
      <c r="LL1310" s="103"/>
      <c r="NM1310" s="103"/>
      <c r="QT1310" s="106"/>
      <c r="QU1310" s="106"/>
      <c r="QV1310" s="106"/>
      <c r="QW1310" s="106"/>
      <c r="QX1310" s="106"/>
      <c r="QY1310" s="106"/>
      <c r="QZ1310" s="106"/>
      <c r="RA1310" s="106"/>
      <c r="RB1310" s="106"/>
      <c r="RC1310" s="106"/>
      <c r="RD1310" s="106"/>
      <c r="RE1310" s="106"/>
      <c r="RF1310" s="106"/>
      <c r="RG1310" s="106"/>
      <c r="RH1310" s="106"/>
      <c r="RI1310" s="106"/>
      <c r="RJ1310" s="106"/>
      <c r="RK1310" s="106"/>
      <c r="RL1310" s="106"/>
    </row>
    <row r="1311" spans="88:480" x14ac:dyDescent="0.3">
      <c r="CJ1311" s="103"/>
      <c r="FP1311" s="103"/>
      <c r="LL1311" s="103"/>
      <c r="NM1311" s="103"/>
      <c r="QT1311" s="106"/>
      <c r="QU1311" s="106"/>
      <c r="QV1311" s="106"/>
      <c r="QW1311" s="106"/>
      <c r="QX1311" s="106"/>
      <c r="QY1311" s="106"/>
      <c r="QZ1311" s="106"/>
      <c r="RA1311" s="106"/>
      <c r="RB1311" s="106"/>
      <c r="RC1311" s="106"/>
      <c r="RD1311" s="106"/>
      <c r="RE1311" s="106"/>
      <c r="RF1311" s="106"/>
      <c r="RG1311" s="106"/>
      <c r="RH1311" s="106"/>
      <c r="RI1311" s="106"/>
      <c r="RJ1311" s="106"/>
      <c r="RK1311" s="106"/>
      <c r="RL1311" s="106"/>
    </row>
    <row r="1312" spans="88:480" x14ac:dyDescent="0.3">
      <c r="CJ1312" s="103"/>
      <c r="FP1312" s="103"/>
      <c r="LL1312" s="103"/>
      <c r="NM1312" s="103"/>
      <c r="QT1312" s="106"/>
      <c r="QU1312" s="106"/>
      <c r="QV1312" s="106"/>
      <c r="QW1312" s="106"/>
      <c r="QX1312" s="106"/>
      <c r="QY1312" s="106"/>
      <c r="QZ1312" s="106"/>
      <c r="RA1312" s="106"/>
      <c r="RB1312" s="106"/>
      <c r="RC1312" s="106"/>
      <c r="RD1312" s="106"/>
      <c r="RE1312" s="106"/>
      <c r="RF1312" s="106"/>
      <c r="RG1312" s="106"/>
      <c r="RH1312" s="106"/>
      <c r="RI1312" s="106"/>
      <c r="RJ1312" s="106"/>
      <c r="RK1312" s="106"/>
      <c r="RL1312" s="106"/>
    </row>
    <row r="1313" spans="48:480" x14ac:dyDescent="0.3">
      <c r="CJ1313" s="103"/>
      <c r="FP1313" s="103"/>
      <c r="LL1313" s="103"/>
      <c r="NM1313" s="103"/>
      <c r="QT1313" s="106"/>
      <c r="QU1313" s="106"/>
      <c r="QV1313" s="106"/>
      <c r="QW1313" s="106"/>
      <c r="QX1313" s="106"/>
      <c r="QY1313" s="106"/>
      <c r="QZ1313" s="106"/>
      <c r="RA1313" s="106"/>
      <c r="RB1313" s="106"/>
      <c r="RC1313" s="106"/>
      <c r="RD1313" s="106"/>
      <c r="RE1313" s="106"/>
      <c r="RF1313" s="106"/>
      <c r="RG1313" s="106"/>
      <c r="RH1313" s="106"/>
      <c r="RI1313" s="106"/>
      <c r="RJ1313" s="106"/>
      <c r="RK1313" s="106"/>
      <c r="RL1313" s="106"/>
    </row>
    <row r="1314" spans="48:480" x14ac:dyDescent="0.3">
      <c r="CJ1314" s="103"/>
      <c r="FP1314" s="103"/>
      <c r="LL1314" s="103"/>
      <c r="NM1314" s="103"/>
      <c r="QT1314" s="106"/>
      <c r="QU1314" s="106"/>
      <c r="QV1314" s="106"/>
      <c r="QW1314" s="106"/>
      <c r="QX1314" s="106"/>
      <c r="QY1314" s="106"/>
      <c r="QZ1314" s="106"/>
      <c r="RA1314" s="106"/>
      <c r="RB1314" s="106"/>
      <c r="RC1314" s="106"/>
      <c r="RD1314" s="106"/>
      <c r="RE1314" s="106"/>
      <c r="RF1314" s="106"/>
      <c r="RG1314" s="106"/>
      <c r="RH1314" s="106"/>
      <c r="RI1314" s="106"/>
      <c r="RJ1314" s="106"/>
      <c r="RK1314" s="106"/>
      <c r="RL1314" s="106"/>
    </row>
    <row r="1315" spans="48:480" x14ac:dyDescent="0.3">
      <c r="CJ1315" s="103"/>
      <c r="FP1315" s="103"/>
      <c r="LL1315" s="103"/>
      <c r="NM1315" s="103"/>
      <c r="QT1315" s="106"/>
      <c r="QU1315" s="106"/>
      <c r="QV1315" s="106"/>
      <c r="QW1315" s="106"/>
      <c r="QX1315" s="106"/>
      <c r="QY1315" s="106"/>
      <c r="QZ1315" s="106"/>
      <c r="RA1315" s="106"/>
      <c r="RB1315" s="106"/>
      <c r="RC1315" s="106"/>
      <c r="RD1315" s="106"/>
      <c r="RE1315" s="106"/>
      <c r="RF1315" s="106"/>
      <c r="RG1315" s="106"/>
      <c r="RH1315" s="106"/>
      <c r="RI1315" s="106"/>
      <c r="RJ1315" s="106"/>
      <c r="RK1315" s="106"/>
      <c r="RL1315" s="106"/>
    </row>
    <row r="1316" spans="48:480" x14ac:dyDescent="0.3">
      <c r="CJ1316" s="103"/>
      <c r="FP1316" s="103"/>
      <c r="LL1316" s="103"/>
      <c r="NM1316" s="103"/>
      <c r="QT1316" s="106"/>
      <c r="QU1316" s="106"/>
      <c r="QV1316" s="106"/>
      <c r="QW1316" s="106"/>
      <c r="QX1316" s="106"/>
      <c r="QY1316" s="106"/>
      <c r="QZ1316" s="106"/>
      <c r="RA1316" s="106"/>
      <c r="RB1316" s="106"/>
      <c r="RC1316" s="106"/>
      <c r="RD1316" s="106"/>
      <c r="RE1316" s="106"/>
      <c r="RF1316" s="106"/>
      <c r="RG1316" s="106"/>
      <c r="RH1316" s="106"/>
      <c r="RI1316" s="106"/>
      <c r="RJ1316" s="106"/>
      <c r="RK1316" s="106"/>
      <c r="RL1316" s="106"/>
    </row>
    <row r="1317" spans="48:480" x14ac:dyDescent="0.3">
      <c r="CJ1317" s="103"/>
      <c r="FP1317" s="103"/>
      <c r="LL1317" s="103"/>
      <c r="NM1317" s="103"/>
      <c r="QT1317" s="106"/>
      <c r="QU1317" s="106"/>
      <c r="QV1317" s="106"/>
      <c r="QW1317" s="106"/>
      <c r="QX1317" s="106"/>
      <c r="QY1317" s="106"/>
      <c r="QZ1317" s="106"/>
      <c r="RA1317" s="106"/>
      <c r="RB1317" s="106"/>
      <c r="RC1317" s="106"/>
      <c r="RD1317" s="106"/>
      <c r="RE1317" s="106"/>
      <c r="RF1317" s="106"/>
      <c r="RG1317" s="106"/>
      <c r="RH1317" s="106"/>
      <c r="RI1317" s="106"/>
      <c r="RJ1317" s="106"/>
      <c r="RK1317" s="106"/>
      <c r="RL1317" s="106"/>
    </row>
    <row r="1318" spans="48:480" x14ac:dyDescent="0.3">
      <c r="CJ1318" s="103"/>
      <c r="FP1318" s="103"/>
      <c r="LL1318" s="103"/>
      <c r="NM1318" s="103"/>
      <c r="QT1318" s="106"/>
      <c r="QU1318" s="106"/>
      <c r="QV1318" s="106"/>
      <c r="QW1318" s="106"/>
      <c r="QX1318" s="106"/>
      <c r="QY1318" s="106"/>
      <c r="QZ1318" s="106"/>
      <c r="RA1318" s="106"/>
      <c r="RB1318" s="106"/>
      <c r="RC1318" s="106"/>
      <c r="RD1318" s="106"/>
      <c r="RE1318" s="106"/>
      <c r="RF1318" s="106"/>
      <c r="RG1318" s="106"/>
      <c r="RH1318" s="106"/>
      <c r="RI1318" s="106"/>
      <c r="RJ1318" s="106"/>
      <c r="RK1318" s="106"/>
      <c r="RL1318" s="106"/>
    </row>
    <row r="1319" spans="48:480" x14ac:dyDescent="0.3">
      <c r="CJ1319" s="103"/>
      <c r="FP1319" s="103"/>
      <c r="LL1319" s="103"/>
      <c r="NM1319" s="103"/>
      <c r="QT1319" s="106"/>
      <c r="QU1319" s="106"/>
      <c r="QV1319" s="106"/>
      <c r="QW1319" s="106"/>
      <c r="QX1319" s="106"/>
      <c r="QY1319" s="106"/>
      <c r="QZ1319" s="106"/>
      <c r="RA1319" s="106"/>
      <c r="RB1319" s="106"/>
      <c r="RC1319" s="106"/>
      <c r="RD1319" s="106"/>
      <c r="RE1319" s="106"/>
      <c r="RF1319" s="106"/>
      <c r="RG1319" s="106"/>
      <c r="RH1319" s="106"/>
      <c r="RI1319" s="106"/>
      <c r="RJ1319" s="106"/>
      <c r="RK1319" s="106"/>
      <c r="RL1319" s="106"/>
    </row>
    <row r="1320" spans="48:480" x14ac:dyDescent="0.3">
      <c r="AV1320" s="103"/>
      <c r="CJ1320" s="103"/>
      <c r="FP1320" s="103"/>
      <c r="LL1320" s="103"/>
      <c r="NM1320" s="103"/>
      <c r="QT1320" s="106"/>
      <c r="QU1320" s="106"/>
      <c r="QV1320" s="106"/>
      <c r="QW1320" s="106"/>
      <c r="QX1320" s="106"/>
      <c r="QY1320" s="106"/>
      <c r="QZ1320" s="106"/>
      <c r="RA1320" s="106"/>
      <c r="RB1320" s="106"/>
      <c r="RC1320" s="106"/>
      <c r="RD1320" s="106"/>
      <c r="RE1320" s="106"/>
      <c r="RF1320" s="106"/>
      <c r="RG1320" s="106"/>
      <c r="RH1320" s="106"/>
      <c r="RI1320" s="106"/>
      <c r="RJ1320" s="106"/>
      <c r="RK1320" s="106"/>
      <c r="RL1320" s="106"/>
    </row>
    <row r="1321" spans="48:480" x14ac:dyDescent="0.3">
      <c r="CJ1321" s="103"/>
      <c r="FP1321" s="103"/>
      <c r="LL1321" s="103"/>
      <c r="NM1321" s="103"/>
      <c r="QT1321" s="106"/>
      <c r="QU1321" s="106"/>
      <c r="QV1321" s="106"/>
      <c r="QW1321" s="106"/>
      <c r="QX1321" s="106"/>
      <c r="QY1321" s="106"/>
      <c r="QZ1321" s="106"/>
      <c r="RA1321" s="106"/>
      <c r="RB1321" s="106"/>
      <c r="RC1321" s="106"/>
      <c r="RD1321" s="106"/>
      <c r="RE1321" s="106"/>
      <c r="RF1321" s="106"/>
      <c r="RG1321" s="106"/>
      <c r="RH1321" s="106"/>
      <c r="RI1321" s="106"/>
      <c r="RJ1321" s="106"/>
      <c r="RK1321" s="106"/>
      <c r="RL1321" s="106"/>
    </row>
    <row r="1322" spans="48:480" x14ac:dyDescent="0.3">
      <c r="AV1322" s="103"/>
      <c r="CJ1322" s="103"/>
      <c r="FP1322" s="103"/>
      <c r="LL1322" s="103"/>
      <c r="NM1322" s="103"/>
      <c r="QT1322" s="106"/>
      <c r="QU1322" s="106"/>
      <c r="QV1322" s="106"/>
      <c r="QW1322" s="106"/>
      <c r="QX1322" s="106"/>
      <c r="QY1322" s="106"/>
      <c r="QZ1322" s="106"/>
      <c r="RA1322" s="106"/>
      <c r="RB1322" s="106"/>
      <c r="RC1322" s="106"/>
      <c r="RD1322" s="106"/>
      <c r="RE1322" s="106"/>
      <c r="RF1322" s="106"/>
      <c r="RG1322" s="106"/>
      <c r="RH1322" s="106"/>
      <c r="RI1322" s="106"/>
      <c r="RJ1322" s="106"/>
      <c r="RK1322" s="106"/>
      <c r="RL1322" s="106"/>
    </row>
    <row r="1323" spans="48:480" x14ac:dyDescent="0.3">
      <c r="CJ1323" s="103"/>
      <c r="FP1323" s="103"/>
      <c r="LL1323" s="103"/>
      <c r="NM1323" s="103"/>
      <c r="QT1323" s="106"/>
      <c r="QU1323" s="106"/>
      <c r="QV1323" s="106"/>
      <c r="QW1323" s="106"/>
      <c r="QX1323" s="106"/>
      <c r="QY1323" s="106"/>
      <c r="QZ1323" s="106"/>
      <c r="RA1323" s="106"/>
      <c r="RB1323" s="106"/>
      <c r="RC1323" s="106"/>
      <c r="RD1323" s="106"/>
      <c r="RE1323" s="106"/>
      <c r="RF1323" s="106"/>
      <c r="RG1323" s="106"/>
      <c r="RH1323" s="106"/>
      <c r="RI1323" s="106"/>
      <c r="RJ1323" s="106"/>
      <c r="RK1323" s="106"/>
      <c r="RL1323" s="106"/>
    </row>
    <row r="1324" spans="48:480" x14ac:dyDescent="0.3">
      <c r="AV1324" s="103"/>
      <c r="CJ1324" s="103"/>
      <c r="FP1324" s="103"/>
      <c r="LL1324" s="103"/>
      <c r="NM1324" s="103"/>
      <c r="QT1324" s="106"/>
      <c r="QU1324" s="106"/>
      <c r="QV1324" s="106"/>
      <c r="QW1324" s="106"/>
      <c r="QX1324" s="106"/>
      <c r="QY1324" s="106"/>
      <c r="QZ1324" s="106"/>
      <c r="RA1324" s="106"/>
      <c r="RB1324" s="106"/>
      <c r="RC1324" s="106"/>
      <c r="RD1324" s="106"/>
      <c r="RE1324" s="106"/>
      <c r="RF1324" s="106"/>
      <c r="RG1324" s="106"/>
      <c r="RH1324" s="106"/>
      <c r="RI1324" s="106"/>
      <c r="RJ1324" s="106"/>
      <c r="RK1324" s="106"/>
      <c r="RL1324" s="106"/>
    </row>
    <row r="1325" spans="48:480" x14ac:dyDescent="0.3">
      <c r="CJ1325" s="103"/>
      <c r="FP1325" s="103"/>
      <c r="LL1325" s="103"/>
      <c r="NM1325" s="103"/>
      <c r="QT1325" s="106"/>
      <c r="QU1325" s="106"/>
      <c r="QV1325" s="106"/>
      <c r="QW1325" s="106"/>
      <c r="QX1325" s="106"/>
      <c r="QY1325" s="106"/>
      <c r="QZ1325" s="106"/>
      <c r="RA1325" s="106"/>
      <c r="RB1325" s="106"/>
      <c r="RC1325" s="106"/>
      <c r="RD1325" s="106"/>
      <c r="RE1325" s="106"/>
      <c r="RF1325" s="106"/>
      <c r="RG1325" s="106"/>
      <c r="RH1325" s="106"/>
      <c r="RI1325" s="106"/>
      <c r="RJ1325" s="106"/>
      <c r="RK1325" s="106"/>
      <c r="RL1325" s="106"/>
    </row>
    <row r="1326" spans="48:480" x14ac:dyDescent="0.3">
      <c r="CJ1326" s="103"/>
      <c r="FP1326" s="103"/>
      <c r="LL1326" s="103"/>
      <c r="NM1326" s="103"/>
      <c r="QT1326" s="106"/>
      <c r="QU1326" s="106"/>
      <c r="QV1326" s="106"/>
      <c r="QW1326" s="106"/>
      <c r="QX1326" s="106"/>
      <c r="QY1326" s="106"/>
      <c r="QZ1326" s="106"/>
      <c r="RA1326" s="106"/>
      <c r="RB1326" s="106"/>
      <c r="RC1326" s="106"/>
      <c r="RD1326" s="106"/>
      <c r="RE1326" s="106"/>
      <c r="RF1326" s="106"/>
      <c r="RG1326" s="106"/>
      <c r="RH1326" s="106"/>
      <c r="RI1326" s="106"/>
      <c r="RJ1326" s="106"/>
      <c r="RK1326" s="106"/>
      <c r="RL1326" s="106"/>
    </row>
    <row r="1327" spans="48:480" x14ac:dyDescent="0.3">
      <c r="CJ1327" s="103"/>
      <c r="FP1327" s="103"/>
      <c r="LL1327" s="103"/>
      <c r="NM1327" s="103"/>
      <c r="QT1327" s="106"/>
      <c r="QU1327" s="106"/>
      <c r="QV1327" s="106"/>
      <c r="QW1327" s="106"/>
      <c r="QX1327" s="106"/>
      <c r="QY1327" s="106"/>
      <c r="QZ1327" s="106"/>
      <c r="RA1327" s="106"/>
      <c r="RB1327" s="106"/>
      <c r="RC1327" s="106"/>
      <c r="RD1327" s="106"/>
      <c r="RE1327" s="106"/>
      <c r="RF1327" s="106"/>
      <c r="RG1327" s="106"/>
      <c r="RH1327" s="106"/>
      <c r="RI1327" s="106"/>
      <c r="RJ1327" s="106"/>
      <c r="RK1327" s="106"/>
      <c r="RL1327" s="106"/>
    </row>
    <row r="1328" spans="48:480" x14ac:dyDescent="0.3">
      <c r="AV1328" s="103"/>
      <c r="CJ1328" s="103"/>
      <c r="FP1328" s="103"/>
      <c r="LL1328" s="103"/>
      <c r="NM1328" s="103"/>
      <c r="QT1328" s="106"/>
      <c r="QU1328" s="106"/>
      <c r="QV1328" s="106"/>
      <c r="QW1328" s="106"/>
      <c r="QX1328" s="106"/>
      <c r="QY1328" s="106"/>
      <c r="QZ1328" s="106"/>
      <c r="RA1328" s="106"/>
      <c r="RB1328" s="106"/>
      <c r="RC1328" s="106"/>
      <c r="RD1328" s="106"/>
      <c r="RE1328" s="106"/>
      <c r="RF1328" s="106"/>
      <c r="RG1328" s="106"/>
      <c r="RH1328" s="106"/>
      <c r="RI1328" s="106"/>
      <c r="RJ1328" s="106"/>
      <c r="RK1328" s="106"/>
      <c r="RL1328" s="106"/>
    </row>
    <row r="1329" spans="88:480" x14ac:dyDescent="0.3">
      <c r="CJ1329" s="103"/>
      <c r="FP1329" s="103"/>
      <c r="LL1329" s="103"/>
      <c r="NM1329" s="103"/>
      <c r="QT1329" s="106"/>
      <c r="QU1329" s="106"/>
      <c r="QV1329" s="106"/>
      <c r="QW1329" s="106"/>
      <c r="QX1329" s="106"/>
      <c r="QY1329" s="106"/>
      <c r="QZ1329" s="106"/>
      <c r="RA1329" s="106"/>
      <c r="RB1329" s="106"/>
      <c r="RC1329" s="106"/>
      <c r="RD1329" s="106"/>
      <c r="RE1329" s="106"/>
      <c r="RF1329" s="106"/>
      <c r="RG1329" s="106"/>
      <c r="RH1329" s="106"/>
      <c r="RI1329" s="106"/>
      <c r="RJ1329" s="106"/>
      <c r="RK1329" s="106"/>
      <c r="RL1329" s="106"/>
    </row>
    <row r="1330" spans="88:480" x14ac:dyDescent="0.3">
      <c r="CJ1330" s="103"/>
      <c r="FP1330" s="103"/>
      <c r="LL1330" s="103"/>
      <c r="NM1330" s="103"/>
      <c r="QT1330" s="106"/>
      <c r="QU1330" s="106"/>
      <c r="QV1330" s="106"/>
      <c r="QW1330" s="106"/>
      <c r="QX1330" s="106"/>
      <c r="QY1330" s="106"/>
      <c r="QZ1330" s="106"/>
      <c r="RA1330" s="106"/>
      <c r="RB1330" s="106"/>
      <c r="RC1330" s="106"/>
      <c r="RD1330" s="106"/>
      <c r="RE1330" s="106"/>
      <c r="RF1330" s="106"/>
      <c r="RG1330" s="106"/>
      <c r="RH1330" s="106"/>
      <c r="RI1330" s="106"/>
      <c r="RJ1330" s="106"/>
      <c r="RK1330" s="106"/>
      <c r="RL1330" s="106"/>
    </row>
    <row r="1331" spans="88:480" x14ac:dyDescent="0.3">
      <c r="CJ1331" s="103"/>
      <c r="FP1331" s="103"/>
      <c r="LL1331" s="103"/>
      <c r="NM1331" s="103"/>
      <c r="QT1331" s="106"/>
      <c r="QU1331" s="106"/>
      <c r="QV1331" s="106"/>
      <c r="QW1331" s="106"/>
      <c r="QX1331" s="106"/>
      <c r="QY1331" s="106"/>
      <c r="QZ1331" s="106"/>
      <c r="RA1331" s="106"/>
      <c r="RB1331" s="106"/>
      <c r="RC1331" s="106"/>
      <c r="RD1331" s="106"/>
      <c r="RE1331" s="106"/>
      <c r="RF1331" s="106"/>
      <c r="RG1331" s="106"/>
      <c r="RH1331" s="106"/>
      <c r="RI1331" s="106"/>
      <c r="RJ1331" s="106"/>
      <c r="RK1331" s="106"/>
      <c r="RL1331" s="106"/>
    </row>
    <row r="1332" spans="88:480" x14ac:dyDescent="0.3">
      <c r="CJ1332" s="103"/>
      <c r="FP1332" s="103"/>
      <c r="LL1332" s="103"/>
      <c r="NM1332" s="103"/>
      <c r="QT1332" s="106"/>
      <c r="QU1332" s="106"/>
      <c r="QV1332" s="106"/>
      <c r="QW1332" s="106"/>
      <c r="QX1332" s="106"/>
      <c r="QY1332" s="106"/>
      <c r="QZ1332" s="106"/>
      <c r="RA1332" s="106"/>
      <c r="RB1332" s="106"/>
      <c r="RC1332" s="106"/>
      <c r="RD1332" s="106"/>
      <c r="RE1332" s="106"/>
      <c r="RF1332" s="106"/>
      <c r="RG1332" s="106"/>
      <c r="RH1332" s="106"/>
      <c r="RI1332" s="106"/>
      <c r="RJ1332" s="106"/>
      <c r="RK1332" s="106"/>
      <c r="RL1332" s="106"/>
    </row>
    <row r="1333" spans="88:480" x14ac:dyDescent="0.3">
      <c r="CJ1333" s="103"/>
      <c r="FP1333" s="103"/>
      <c r="LL1333" s="103"/>
      <c r="NM1333" s="103"/>
      <c r="QT1333" s="106"/>
      <c r="QU1333" s="106"/>
      <c r="QV1333" s="106"/>
      <c r="QW1333" s="106"/>
      <c r="QX1333" s="106"/>
      <c r="QY1333" s="106"/>
      <c r="QZ1333" s="106"/>
      <c r="RA1333" s="106"/>
      <c r="RB1333" s="106"/>
      <c r="RC1333" s="106"/>
      <c r="RD1333" s="106"/>
      <c r="RE1333" s="106"/>
      <c r="RF1333" s="106"/>
      <c r="RG1333" s="106"/>
      <c r="RH1333" s="106"/>
      <c r="RI1333" s="106"/>
      <c r="RJ1333" s="106"/>
      <c r="RK1333" s="106"/>
      <c r="RL1333" s="106"/>
    </row>
    <row r="1334" spans="88:480" x14ac:dyDescent="0.3">
      <c r="CJ1334" s="103"/>
      <c r="FP1334" s="103"/>
      <c r="LL1334" s="103"/>
      <c r="NM1334" s="103"/>
      <c r="QT1334" s="106"/>
      <c r="QU1334" s="106"/>
      <c r="QV1334" s="106"/>
      <c r="QW1334" s="106"/>
      <c r="QX1334" s="106"/>
      <c r="QY1334" s="106"/>
      <c r="QZ1334" s="106"/>
      <c r="RA1334" s="106"/>
      <c r="RB1334" s="106"/>
      <c r="RC1334" s="106"/>
      <c r="RD1334" s="106"/>
      <c r="RE1334" s="106"/>
      <c r="RF1334" s="106"/>
      <c r="RG1334" s="106"/>
      <c r="RH1334" s="106"/>
      <c r="RI1334" s="106"/>
      <c r="RJ1334" s="106"/>
      <c r="RK1334" s="106"/>
      <c r="RL1334" s="106"/>
    </row>
    <row r="1335" spans="88:480" x14ac:dyDescent="0.3">
      <c r="CJ1335" s="103"/>
      <c r="FP1335" s="103"/>
      <c r="LL1335" s="103"/>
      <c r="NM1335" s="103"/>
      <c r="QT1335" s="106"/>
      <c r="QU1335" s="106"/>
      <c r="QV1335" s="106"/>
      <c r="QW1335" s="106"/>
      <c r="QX1335" s="106"/>
      <c r="QY1335" s="106"/>
      <c r="QZ1335" s="106"/>
      <c r="RA1335" s="106"/>
      <c r="RB1335" s="106"/>
      <c r="RC1335" s="106"/>
      <c r="RD1335" s="106"/>
      <c r="RE1335" s="106"/>
      <c r="RF1335" s="106"/>
      <c r="RG1335" s="106"/>
      <c r="RH1335" s="106"/>
      <c r="RI1335" s="106"/>
      <c r="RJ1335" s="106"/>
      <c r="RK1335" s="106"/>
      <c r="RL1335" s="106"/>
    </row>
    <row r="1336" spans="88:480" x14ac:dyDescent="0.3">
      <c r="CJ1336" s="103"/>
      <c r="FP1336" s="103"/>
      <c r="LL1336" s="103"/>
      <c r="NM1336" s="103"/>
      <c r="QT1336" s="106"/>
      <c r="QU1336" s="106"/>
      <c r="QV1336" s="106"/>
      <c r="QW1336" s="106"/>
      <c r="QX1336" s="106"/>
      <c r="QY1336" s="106"/>
      <c r="QZ1336" s="106"/>
      <c r="RA1336" s="106"/>
      <c r="RB1336" s="106"/>
      <c r="RC1336" s="106"/>
      <c r="RD1336" s="106"/>
      <c r="RE1336" s="106"/>
      <c r="RF1336" s="106"/>
      <c r="RG1336" s="106"/>
      <c r="RH1336" s="106"/>
      <c r="RI1336" s="106"/>
      <c r="RJ1336" s="106"/>
      <c r="RK1336" s="106"/>
      <c r="RL1336" s="106"/>
    </row>
    <row r="1337" spans="88:480" x14ac:dyDescent="0.3">
      <c r="CJ1337" s="103"/>
      <c r="FP1337" s="103"/>
      <c r="LL1337" s="103"/>
      <c r="NM1337" s="103"/>
      <c r="QT1337" s="106"/>
      <c r="QU1337" s="106"/>
      <c r="QV1337" s="106"/>
      <c r="QW1337" s="106"/>
      <c r="QX1337" s="106"/>
      <c r="QY1337" s="106"/>
      <c r="QZ1337" s="106"/>
      <c r="RA1337" s="106"/>
      <c r="RB1337" s="106"/>
      <c r="RC1337" s="106"/>
      <c r="RD1337" s="106"/>
      <c r="RE1337" s="106"/>
      <c r="RF1337" s="106"/>
      <c r="RG1337" s="106"/>
      <c r="RH1337" s="106"/>
      <c r="RI1337" s="106"/>
      <c r="RJ1337" s="106"/>
      <c r="RK1337" s="106"/>
      <c r="RL1337" s="106"/>
    </row>
    <row r="1338" spans="88:480" x14ac:dyDescent="0.3">
      <c r="CJ1338" s="103"/>
      <c r="FP1338" s="103"/>
      <c r="LL1338" s="103"/>
      <c r="NM1338" s="103"/>
      <c r="QT1338" s="106"/>
      <c r="QU1338" s="106"/>
      <c r="QV1338" s="106"/>
      <c r="QW1338" s="106"/>
      <c r="QX1338" s="106"/>
      <c r="QY1338" s="106"/>
      <c r="QZ1338" s="106"/>
      <c r="RA1338" s="106"/>
      <c r="RB1338" s="106"/>
      <c r="RC1338" s="106"/>
      <c r="RD1338" s="106"/>
      <c r="RE1338" s="106"/>
      <c r="RF1338" s="106"/>
      <c r="RG1338" s="106"/>
      <c r="RH1338" s="106"/>
      <c r="RI1338" s="106"/>
      <c r="RJ1338" s="106"/>
      <c r="RK1338" s="106"/>
      <c r="RL1338" s="106"/>
    </row>
    <row r="1339" spans="88:480" x14ac:dyDescent="0.3">
      <c r="CJ1339" s="103"/>
      <c r="FP1339" s="103"/>
      <c r="LL1339" s="103"/>
      <c r="NM1339" s="103"/>
      <c r="QT1339" s="106"/>
      <c r="QU1339" s="106"/>
      <c r="QV1339" s="106"/>
      <c r="QW1339" s="106"/>
      <c r="QX1339" s="106"/>
      <c r="QY1339" s="106"/>
      <c r="QZ1339" s="106"/>
      <c r="RA1339" s="106"/>
      <c r="RB1339" s="106"/>
      <c r="RC1339" s="106"/>
      <c r="RD1339" s="106"/>
      <c r="RE1339" s="106"/>
      <c r="RF1339" s="106"/>
      <c r="RG1339" s="106"/>
      <c r="RH1339" s="106"/>
      <c r="RI1339" s="106"/>
      <c r="RJ1339" s="106"/>
      <c r="RK1339" s="106"/>
      <c r="RL1339" s="106"/>
    </row>
    <row r="1340" spans="88:480" x14ac:dyDescent="0.3">
      <c r="CJ1340" s="103"/>
      <c r="FP1340" s="103"/>
      <c r="LL1340" s="103"/>
      <c r="NM1340" s="103"/>
      <c r="QT1340" s="106"/>
      <c r="QU1340" s="106"/>
      <c r="QV1340" s="106"/>
      <c r="QW1340" s="106"/>
      <c r="QX1340" s="106"/>
      <c r="QY1340" s="106"/>
      <c r="QZ1340" s="106"/>
      <c r="RA1340" s="106"/>
      <c r="RB1340" s="106"/>
      <c r="RC1340" s="106"/>
      <c r="RD1340" s="106"/>
      <c r="RE1340" s="106"/>
      <c r="RF1340" s="106"/>
      <c r="RG1340" s="106"/>
      <c r="RH1340" s="106"/>
      <c r="RI1340" s="106"/>
      <c r="RJ1340" s="106"/>
      <c r="RK1340" s="106"/>
      <c r="RL1340" s="106"/>
    </row>
    <row r="1341" spans="88:480" x14ac:dyDescent="0.3">
      <c r="CJ1341" s="103"/>
      <c r="FP1341" s="103"/>
      <c r="LL1341" s="103"/>
      <c r="NM1341" s="103"/>
      <c r="QT1341" s="106"/>
      <c r="QU1341" s="106"/>
      <c r="QV1341" s="106"/>
      <c r="QW1341" s="106"/>
      <c r="QX1341" s="106"/>
      <c r="QY1341" s="106"/>
      <c r="QZ1341" s="106"/>
      <c r="RA1341" s="106"/>
      <c r="RB1341" s="106"/>
      <c r="RC1341" s="106"/>
      <c r="RD1341" s="106"/>
      <c r="RE1341" s="106"/>
      <c r="RF1341" s="106"/>
      <c r="RG1341" s="106"/>
      <c r="RH1341" s="106"/>
      <c r="RI1341" s="106"/>
      <c r="RJ1341" s="106"/>
      <c r="RK1341" s="106"/>
      <c r="RL1341" s="106"/>
    </row>
    <row r="1342" spans="88:480" x14ac:dyDescent="0.3">
      <c r="CJ1342" s="103"/>
      <c r="FP1342" s="103"/>
      <c r="LL1342" s="103"/>
      <c r="NM1342" s="103"/>
      <c r="QT1342" s="106"/>
      <c r="QU1342" s="106"/>
      <c r="QV1342" s="106"/>
      <c r="QW1342" s="106"/>
      <c r="QX1342" s="106"/>
      <c r="QY1342" s="106"/>
      <c r="QZ1342" s="106"/>
      <c r="RA1342" s="106"/>
      <c r="RB1342" s="106"/>
      <c r="RC1342" s="106"/>
      <c r="RD1342" s="106"/>
      <c r="RE1342" s="106"/>
      <c r="RF1342" s="106"/>
      <c r="RG1342" s="106"/>
      <c r="RH1342" s="106"/>
      <c r="RI1342" s="106"/>
      <c r="RJ1342" s="106"/>
      <c r="RK1342" s="106"/>
      <c r="RL1342" s="106"/>
    </row>
    <row r="1343" spans="88:480" x14ac:dyDescent="0.3">
      <c r="CJ1343" s="103"/>
      <c r="FP1343" s="103"/>
      <c r="LL1343" s="103"/>
      <c r="NM1343" s="103"/>
      <c r="QT1343" s="106"/>
      <c r="QU1343" s="106"/>
      <c r="QV1343" s="106"/>
      <c r="QW1343" s="106"/>
      <c r="QX1343" s="106"/>
      <c r="QY1343" s="106"/>
      <c r="QZ1343" s="106"/>
      <c r="RA1343" s="106"/>
      <c r="RB1343" s="106"/>
      <c r="RC1343" s="106"/>
      <c r="RD1343" s="106"/>
      <c r="RE1343" s="106"/>
      <c r="RF1343" s="106"/>
      <c r="RG1343" s="106"/>
      <c r="RH1343" s="106"/>
      <c r="RI1343" s="106"/>
      <c r="RJ1343" s="106"/>
      <c r="RK1343" s="106"/>
      <c r="RL1343" s="106"/>
    </row>
    <row r="1344" spans="88:480" x14ac:dyDescent="0.3">
      <c r="CJ1344" s="103"/>
      <c r="FP1344" s="103"/>
      <c r="LL1344" s="103"/>
      <c r="NM1344" s="103"/>
      <c r="QT1344" s="106"/>
      <c r="QU1344" s="106"/>
      <c r="QV1344" s="106"/>
      <c r="QW1344" s="106"/>
      <c r="QX1344" s="106"/>
      <c r="QY1344" s="106"/>
      <c r="QZ1344" s="106"/>
      <c r="RA1344" s="106"/>
      <c r="RB1344" s="106"/>
      <c r="RC1344" s="106"/>
      <c r="RD1344" s="106"/>
      <c r="RE1344" s="106"/>
      <c r="RF1344" s="106"/>
      <c r="RG1344" s="106"/>
      <c r="RH1344" s="106"/>
      <c r="RI1344" s="106"/>
      <c r="RJ1344" s="106"/>
      <c r="RK1344" s="106"/>
      <c r="RL1344" s="106"/>
    </row>
    <row r="1345" spans="48:480" x14ac:dyDescent="0.3">
      <c r="CJ1345" s="103"/>
      <c r="FP1345" s="103"/>
      <c r="LL1345" s="103"/>
      <c r="NM1345" s="103"/>
      <c r="QT1345" s="106"/>
      <c r="QU1345" s="106"/>
      <c r="QV1345" s="106"/>
      <c r="QW1345" s="106"/>
      <c r="QX1345" s="106"/>
      <c r="QY1345" s="106"/>
      <c r="QZ1345" s="106"/>
      <c r="RA1345" s="106"/>
      <c r="RB1345" s="106"/>
      <c r="RC1345" s="106"/>
      <c r="RD1345" s="106"/>
      <c r="RE1345" s="106"/>
      <c r="RF1345" s="106"/>
      <c r="RG1345" s="106"/>
      <c r="RH1345" s="106"/>
      <c r="RI1345" s="106"/>
      <c r="RJ1345" s="106"/>
      <c r="RK1345" s="106"/>
      <c r="RL1345" s="106"/>
    </row>
    <row r="1346" spans="48:480" x14ac:dyDescent="0.3">
      <c r="CJ1346" s="103"/>
      <c r="FP1346" s="103"/>
      <c r="LL1346" s="103"/>
      <c r="NM1346" s="103"/>
      <c r="QT1346" s="106"/>
      <c r="QU1346" s="106"/>
      <c r="QV1346" s="106"/>
      <c r="QW1346" s="106"/>
      <c r="QX1346" s="106"/>
      <c r="QY1346" s="106"/>
      <c r="QZ1346" s="106"/>
      <c r="RA1346" s="106"/>
      <c r="RB1346" s="106"/>
      <c r="RC1346" s="106"/>
      <c r="RD1346" s="106"/>
      <c r="RE1346" s="106"/>
      <c r="RF1346" s="106"/>
      <c r="RG1346" s="106"/>
      <c r="RH1346" s="106"/>
      <c r="RI1346" s="106"/>
      <c r="RJ1346" s="106"/>
      <c r="RK1346" s="106"/>
      <c r="RL1346" s="106"/>
    </row>
    <row r="1347" spans="48:480" x14ac:dyDescent="0.3">
      <c r="CJ1347" s="103"/>
      <c r="FP1347" s="103"/>
      <c r="LL1347" s="103"/>
      <c r="NM1347" s="103"/>
      <c r="QT1347" s="106"/>
      <c r="QU1347" s="106"/>
      <c r="QV1347" s="106"/>
      <c r="QW1347" s="106"/>
      <c r="QX1347" s="106"/>
      <c r="QY1347" s="106"/>
      <c r="QZ1347" s="106"/>
      <c r="RA1347" s="106"/>
      <c r="RB1347" s="106"/>
      <c r="RC1347" s="106"/>
      <c r="RD1347" s="106"/>
      <c r="RE1347" s="106"/>
      <c r="RF1347" s="106"/>
      <c r="RG1347" s="106"/>
      <c r="RH1347" s="106"/>
      <c r="RI1347" s="106"/>
      <c r="RJ1347" s="106"/>
      <c r="RK1347" s="106"/>
      <c r="RL1347" s="106"/>
    </row>
    <row r="1348" spans="48:480" x14ac:dyDescent="0.3">
      <c r="CJ1348" s="103"/>
      <c r="FP1348" s="103"/>
      <c r="LL1348" s="103"/>
      <c r="NM1348" s="103"/>
      <c r="QT1348" s="106"/>
      <c r="QU1348" s="106"/>
      <c r="QV1348" s="106"/>
      <c r="QW1348" s="106"/>
      <c r="QX1348" s="106"/>
      <c r="QY1348" s="106"/>
      <c r="QZ1348" s="106"/>
      <c r="RA1348" s="106"/>
      <c r="RB1348" s="106"/>
      <c r="RC1348" s="106"/>
      <c r="RD1348" s="106"/>
      <c r="RE1348" s="106"/>
      <c r="RF1348" s="106"/>
      <c r="RG1348" s="106"/>
      <c r="RH1348" s="106"/>
      <c r="RI1348" s="106"/>
      <c r="RJ1348" s="106"/>
      <c r="RK1348" s="106"/>
      <c r="RL1348" s="106"/>
    </row>
    <row r="1349" spans="48:480" x14ac:dyDescent="0.3">
      <c r="CJ1349" s="103"/>
      <c r="FP1349" s="103"/>
      <c r="LL1349" s="103"/>
      <c r="NM1349" s="103"/>
      <c r="QT1349" s="106"/>
      <c r="QU1349" s="106"/>
      <c r="QV1349" s="106"/>
      <c r="QW1349" s="106"/>
      <c r="QX1349" s="106"/>
      <c r="QY1349" s="106"/>
      <c r="QZ1349" s="106"/>
      <c r="RA1349" s="106"/>
      <c r="RB1349" s="106"/>
      <c r="RC1349" s="106"/>
      <c r="RD1349" s="106"/>
      <c r="RE1349" s="106"/>
      <c r="RF1349" s="106"/>
      <c r="RG1349" s="106"/>
      <c r="RH1349" s="106"/>
      <c r="RI1349" s="106"/>
      <c r="RJ1349" s="106"/>
      <c r="RK1349" s="106"/>
      <c r="RL1349" s="106"/>
    </row>
    <row r="1350" spans="48:480" x14ac:dyDescent="0.3">
      <c r="CJ1350" s="103"/>
      <c r="FP1350" s="103"/>
      <c r="LL1350" s="103"/>
      <c r="NM1350" s="103"/>
      <c r="QT1350" s="106"/>
      <c r="QU1350" s="106"/>
      <c r="QV1350" s="106"/>
      <c r="QW1350" s="106"/>
      <c r="QX1350" s="106"/>
      <c r="QY1350" s="106"/>
      <c r="QZ1350" s="106"/>
      <c r="RA1350" s="106"/>
      <c r="RB1350" s="106"/>
      <c r="RC1350" s="106"/>
      <c r="RD1350" s="106"/>
      <c r="RE1350" s="106"/>
      <c r="RF1350" s="106"/>
      <c r="RG1350" s="106"/>
      <c r="RH1350" s="106"/>
      <c r="RI1350" s="106"/>
      <c r="RJ1350" s="106"/>
      <c r="RK1350" s="106"/>
      <c r="RL1350" s="106"/>
    </row>
    <row r="1351" spans="48:480" x14ac:dyDescent="0.3">
      <c r="CJ1351" s="103"/>
      <c r="FP1351" s="103"/>
      <c r="LL1351" s="103"/>
      <c r="NM1351" s="103"/>
      <c r="QT1351" s="106"/>
      <c r="QU1351" s="106"/>
      <c r="QV1351" s="106"/>
      <c r="QW1351" s="106"/>
      <c r="QX1351" s="106"/>
      <c r="QY1351" s="106"/>
      <c r="QZ1351" s="106"/>
      <c r="RA1351" s="106"/>
      <c r="RB1351" s="106"/>
      <c r="RC1351" s="106"/>
      <c r="RD1351" s="106"/>
      <c r="RE1351" s="106"/>
      <c r="RF1351" s="106"/>
      <c r="RG1351" s="106"/>
      <c r="RH1351" s="106"/>
      <c r="RI1351" s="106"/>
      <c r="RJ1351" s="106"/>
      <c r="RK1351" s="106"/>
      <c r="RL1351" s="106"/>
    </row>
    <row r="1352" spans="48:480" x14ac:dyDescent="0.3">
      <c r="CJ1352" s="103"/>
      <c r="FP1352" s="103"/>
      <c r="LL1352" s="103"/>
      <c r="NM1352" s="103"/>
      <c r="QT1352" s="106"/>
      <c r="QU1352" s="106"/>
      <c r="QV1352" s="106"/>
      <c r="QW1352" s="106"/>
      <c r="QX1352" s="106"/>
      <c r="QY1352" s="106"/>
      <c r="QZ1352" s="106"/>
      <c r="RA1352" s="106"/>
      <c r="RB1352" s="106"/>
      <c r="RC1352" s="106"/>
      <c r="RD1352" s="106"/>
      <c r="RE1352" s="106"/>
      <c r="RF1352" s="106"/>
      <c r="RG1352" s="106"/>
      <c r="RH1352" s="106"/>
      <c r="RI1352" s="106"/>
      <c r="RJ1352" s="106"/>
      <c r="RK1352" s="106"/>
      <c r="RL1352" s="106"/>
    </row>
    <row r="1353" spans="48:480" x14ac:dyDescent="0.3">
      <c r="CJ1353" s="103"/>
      <c r="FP1353" s="103"/>
      <c r="LL1353" s="103"/>
      <c r="NM1353" s="103"/>
      <c r="QT1353" s="106"/>
      <c r="QU1353" s="106"/>
      <c r="QV1353" s="106"/>
      <c r="QW1353" s="106"/>
      <c r="QX1353" s="106"/>
      <c r="QY1353" s="106"/>
      <c r="QZ1353" s="106"/>
      <c r="RA1353" s="106"/>
      <c r="RB1353" s="106"/>
      <c r="RC1353" s="106"/>
      <c r="RD1353" s="106"/>
      <c r="RE1353" s="106"/>
      <c r="RF1353" s="106"/>
      <c r="RG1353" s="106"/>
      <c r="RH1353" s="106"/>
      <c r="RI1353" s="106"/>
      <c r="RJ1353" s="106"/>
      <c r="RK1353" s="106"/>
      <c r="RL1353" s="106"/>
    </row>
    <row r="1354" spans="48:480" x14ac:dyDescent="0.3">
      <c r="CJ1354" s="103"/>
      <c r="FP1354" s="103"/>
      <c r="LL1354" s="103"/>
      <c r="NM1354" s="103"/>
      <c r="QT1354" s="106"/>
      <c r="QU1354" s="106"/>
      <c r="QV1354" s="106"/>
      <c r="QW1354" s="106"/>
      <c r="QX1354" s="106"/>
      <c r="QY1354" s="106"/>
      <c r="QZ1354" s="106"/>
      <c r="RA1354" s="106"/>
      <c r="RB1354" s="106"/>
      <c r="RC1354" s="106"/>
      <c r="RD1354" s="106"/>
      <c r="RE1354" s="106"/>
      <c r="RF1354" s="106"/>
      <c r="RG1354" s="106"/>
      <c r="RH1354" s="106"/>
      <c r="RI1354" s="106"/>
      <c r="RJ1354" s="106"/>
      <c r="RK1354" s="106"/>
      <c r="RL1354" s="106"/>
    </row>
    <row r="1355" spans="48:480" x14ac:dyDescent="0.3">
      <c r="AV1355" s="103"/>
      <c r="CJ1355" s="103"/>
      <c r="FP1355" s="103"/>
      <c r="LL1355" s="103"/>
      <c r="NM1355" s="103"/>
      <c r="QT1355" s="106"/>
      <c r="QU1355" s="106"/>
      <c r="QV1355" s="106"/>
      <c r="QW1355" s="106"/>
      <c r="QX1355" s="106"/>
      <c r="QY1355" s="106"/>
      <c r="QZ1355" s="106"/>
      <c r="RA1355" s="106"/>
      <c r="RB1355" s="106"/>
      <c r="RC1355" s="106"/>
      <c r="RD1355" s="106"/>
      <c r="RE1355" s="106"/>
      <c r="RF1355" s="106"/>
      <c r="RG1355" s="106"/>
      <c r="RH1355" s="106"/>
      <c r="RI1355" s="106"/>
      <c r="RJ1355" s="106"/>
      <c r="RK1355" s="106"/>
      <c r="RL1355" s="106"/>
    </row>
    <row r="1356" spans="48:480" x14ac:dyDescent="0.3">
      <c r="AV1356" s="103"/>
      <c r="CJ1356" s="103"/>
      <c r="FP1356" s="103"/>
      <c r="LL1356" s="103"/>
      <c r="NM1356" s="103"/>
      <c r="QT1356" s="106"/>
      <c r="QU1356" s="106"/>
      <c r="QV1356" s="106"/>
      <c r="QW1356" s="106"/>
      <c r="QX1356" s="106"/>
      <c r="QY1356" s="106"/>
      <c r="QZ1356" s="106"/>
      <c r="RA1356" s="106"/>
      <c r="RB1356" s="106"/>
      <c r="RC1356" s="106"/>
      <c r="RD1356" s="106"/>
      <c r="RE1356" s="106"/>
      <c r="RF1356" s="106"/>
      <c r="RG1356" s="106"/>
      <c r="RH1356" s="106"/>
      <c r="RI1356" s="106"/>
      <c r="RJ1356" s="106"/>
      <c r="RK1356" s="106"/>
      <c r="RL1356" s="106"/>
    </row>
    <row r="1357" spans="48:480" x14ac:dyDescent="0.3">
      <c r="AV1357" s="103"/>
      <c r="CJ1357" s="103"/>
      <c r="FP1357" s="103"/>
      <c r="LL1357" s="103"/>
      <c r="NM1357" s="103"/>
      <c r="QT1357" s="106"/>
      <c r="QU1357" s="106"/>
      <c r="QV1357" s="106"/>
      <c r="QW1357" s="106"/>
      <c r="QX1357" s="106"/>
      <c r="QY1357" s="106"/>
      <c r="QZ1357" s="106"/>
      <c r="RA1357" s="106"/>
      <c r="RB1357" s="106"/>
      <c r="RC1357" s="106"/>
      <c r="RD1357" s="106"/>
      <c r="RE1357" s="106"/>
      <c r="RF1357" s="106"/>
      <c r="RG1357" s="106"/>
      <c r="RH1357" s="106"/>
      <c r="RI1357" s="106"/>
      <c r="RJ1357" s="106"/>
      <c r="RK1357" s="106"/>
      <c r="RL1357" s="106"/>
    </row>
    <row r="1358" spans="48:480" x14ac:dyDescent="0.3">
      <c r="AV1358" s="103"/>
      <c r="CJ1358" s="103"/>
      <c r="FP1358" s="103"/>
      <c r="LL1358" s="103"/>
      <c r="NM1358" s="103"/>
      <c r="QT1358" s="106"/>
      <c r="QU1358" s="106"/>
      <c r="QV1358" s="106"/>
      <c r="QW1358" s="106"/>
      <c r="QX1358" s="106"/>
      <c r="QY1358" s="106"/>
      <c r="QZ1358" s="106"/>
      <c r="RA1358" s="106"/>
      <c r="RB1358" s="106"/>
      <c r="RC1358" s="106"/>
      <c r="RD1358" s="106"/>
      <c r="RE1358" s="106"/>
      <c r="RF1358" s="106"/>
      <c r="RG1358" s="106"/>
      <c r="RH1358" s="106"/>
      <c r="RI1358" s="106"/>
      <c r="RJ1358" s="106"/>
      <c r="RK1358" s="106"/>
      <c r="RL1358" s="106"/>
    </row>
    <row r="1359" spans="48:480" x14ac:dyDescent="0.3">
      <c r="AV1359" s="103"/>
      <c r="CJ1359" s="103"/>
      <c r="FP1359" s="103"/>
      <c r="LL1359" s="103"/>
      <c r="NM1359" s="103"/>
      <c r="QT1359" s="106"/>
      <c r="QU1359" s="106"/>
      <c r="QV1359" s="106"/>
      <c r="QW1359" s="106"/>
      <c r="QX1359" s="106"/>
      <c r="QY1359" s="106"/>
      <c r="QZ1359" s="106"/>
      <c r="RA1359" s="106"/>
      <c r="RB1359" s="106"/>
      <c r="RC1359" s="106"/>
      <c r="RD1359" s="106"/>
      <c r="RE1359" s="106"/>
      <c r="RF1359" s="106"/>
      <c r="RG1359" s="106"/>
      <c r="RH1359" s="106"/>
      <c r="RI1359" s="106"/>
      <c r="RJ1359" s="106"/>
      <c r="RK1359" s="106"/>
      <c r="RL1359" s="106"/>
    </row>
    <row r="1360" spans="48:480" x14ac:dyDescent="0.3">
      <c r="CJ1360" s="103"/>
      <c r="FP1360" s="103"/>
      <c r="LL1360" s="103"/>
      <c r="NM1360" s="103"/>
      <c r="QT1360" s="106"/>
      <c r="QU1360" s="106"/>
      <c r="QV1360" s="106"/>
      <c r="QW1360" s="106"/>
      <c r="QX1360" s="106"/>
      <c r="QY1360" s="106"/>
      <c r="QZ1360" s="106"/>
      <c r="RA1360" s="106"/>
      <c r="RB1360" s="106"/>
      <c r="RC1360" s="106"/>
      <c r="RD1360" s="106"/>
      <c r="RE1360" s="106"/>
      <c r="RF1360" s="106"/>
      <c r="RG1360" s="106"/>
      <c r="RH1360" s="106"/>
      <c r="RI1360" s="106"/>
      <c r="RJ1360" s="106"/>
      <c r="RK1360" s="106"/>
      <c r="RL1360" s="106"/>
    </row>
    <row r="1361" spans="48:480" x14ac:dyDescent="0.3">
      <c r="AV1361" s="103"/>
      <c r="CJ1361" s="103"/>
      <c r="FP1361" s="103"/>
      <c r="LL1361" s="103"/>
      <c r="NM1361" s="103"/>
      <c r="QT1361" s="106"/>
      <c r="QU1361" s="106"/>
      <c r="QV1361" s="106"/>
      <c r="QW1361" s="106"/>
      <c r="QX1361" s="106"/>
      <c r="QY1361" s="106"/>
      <c r="QZ1361" s="106"/>
      <c r="RA1361" s="106"/>
      <c r="RB1361" s="106"/>
      <c r="RC1361" s="106"/>
      <c r="RD1361" s="106"/>
      <c r="RE1361" s="106"/>
      <c r="RF1361" s="106"/>
      <c r="RG1361" s="106"/>
      <c r="RH1361" s="106"/>
      <c r="RI1361" s="106"/>
      <c r="RJ1361" s="106"/>
      <c r="RK1361" s="106"/>
      <c r="RL1361" s="106"/>
    </row>
    <row r="1362" spans="48:480" x14ac:dyDescent="0.3">
      <c r="CJ1362" s="103"/>
      <c r="FP1362" s="103"/>
      <c r="LL1362" s="103"/>
      <c r="NM1362" s="103"/>
      <c r="QT1362" s="106"/>
      <c r="QU1362" s="106"/>
      <c r="QV1362" s="106"/>
      <c r="QW1362" s="106"/>
      <c r="QX1362" s="106"/>
      <c r="QY1362" s="106"/>
      <c r="QZ1362" s="106"/>
      <c r="RA1362" s="106"/>
      <c r="RB1362" s="106"/>
      <c r="RC1362" s="106"/>
      <c r="RD1362" s="106"/>
      <c r="RE1362" s="106"/>
      <c r="RF1362" s="106"/>
      <c r="RG1362" s="106"/>
      <c r="RH1362" s="106"/>
      <c r="RI1362" s="106"/>
      <c r="RJ1362" s="106"/>
      <c r="RK1362" s="106"/>
      <c r="RL1362" s="106"/>
    </row>
    <row r="1363" spans="48:480" x14ac:dyDescent="0.3">
      <c r="AV1363" s="103"/>
      <c r="CJ1363" s="103"/>
      <c r="FP1363" s="103"/>
      <c r="LL1363" s="103"/>
      <c r="NM1363" s="103"/>
      <c r="QT1363" s="106"/>
      <c r="QU1363" s="106"/>
      <c r="QV1363" s="106"/>
      <c r="QW1363" s="106"/>
      <c r="QX1363" s="106"/>
      <c r="QY1363" s="106"/>
      <c r="QZ1363" s="106"/>
      <c r="RA1363" s="106"/>
      <c r="RB1363" s="106"/>
      <c r="RC1363" s="106"/>
      <c r="RD1363" s="106"/>
      <c r="RE1363" s="106"/>
      <c r="RF1363" s="106"/>
      <c r="RG1363" s="106"/>
      <c r="RH1363" s="106"/>
      <c r="RI1363" s="106"/>
      <c r="RJ1363" s="106"/>
      <c r="RK1363" s="106"/>
      <c r="RL1363" s="106"/>
    </row>
    <row r="1364" spans="48:480" x14ac:dyDescent="0.3">
      <c r="CJ1364" s="103"/>
      <c r="FP1364" s="103"/>
      <c r="LL1364" s="103"/>
      <c r="NM1364" s="103"/>
      <c r="QT1364" s="106"/>
      <c r="QU1364" s="106"/>
      <c r="QV1364" s="106"/>
      <c r="QW1364" s="106"/>
      <c r="QX1364" s="106"/>
      <c r="QY1364" s="106"/>
      <c r="QZ1364" s="106"/>
      <c r="RA1364" s="106"/>
      <c r="RB1364" s="106"/>
      <c r="RC1364" s="106"/>
      <c r="RD1364" s="106"/>
      <c r="RE1364" s="106"/>
      <c r="RF1364" s="106"/>
      <c r="RG1364" s="106"/>
      <c r="RH1364" s="106"/>
      <c r="RI1364" s="106"/>
      <c r="RJ1364" s="106"/>
      <c r="RK1364" s="106"/>
      <c r="RL1364" s="106"/>
    </row>
    <row r="1365" spans="48:480" x14ac:dyDescent="0.3">
      <c r="CJ1365" s="103"/>
      <c r="FP1365" s="103"/>
      <c r="LL1365" s="103"/>
      <c r="NM1365" s="103"/>
      <c r="QT1365" s="106"/>
      <c r="QU1365" s="106"/>
      <c r="QV1365" s="106"/>
      <c r="QW1365" s="106"/>
      <c r="QX1365" s="106"/>
      <c r="QY1365" s="106"/>
      <c r="QZ1365" s="106"/>
      <c r="RA1365" s="106"/>
      <c r="RB1365" s="106"/>
      <c r="RC1365" s="106"/>
      <c r="RD1365" s="106"/>
      <c r="RE1365" s="106"/>
      <c r="RF1365" s="106"/>
      <c r="RG1365" s="106"/>
      <c r="RH1365" s="106"/>
      <c r="RI1365" s="106"/>
      <c r="RJ1365" s="106"/>
      <c r="RK1365" s="106"/>
      <c r="RL1365" s="106"/>
    </row>
    <row r="1366" spans="48:480" x14ac:dyDescent="0.3">
      <c r="AV1366" s="103"/>
      <c r="CJ1366" s="103"/>
      <c r="FP1366" s="103"/>
      <c r="LL1366" s="103"/>
      <c r="NM1366" s="103"/>
      <c r="QT1366" s="106"/>
      <c r="QU1366" s="106"/>
      <c r="QV1366" s="106"/>
      <c r="QW1366" s="106"/>
      <c r="QX1366" s="106"/>
      <c r="QY1366" s="106"/>
      <c r="QZ1366" s="106"/>
      <c r="RA1366" s="106"/>
      <c r="RB1366" s="106"/>
      <c r="RC1366" s="106"/>
      <c r="RD1366" s="106"/>
      <c r="RE1366" s="106"/>
      <c r="RF1366" s="106"/>
      <c r="RG1366" s="106"/>
      <c r="RH1366" s="106"/>
      <c r="RI1366" s="106"/>
      <c r="RJ1366" s="106"/>
      <c r="RK1366" s="106"/>
      <c r="RL1366" s="106"/>
    </row>
    <row r="1367" spans="48:480" x14ac:dyDescent="0.3">
      <c r="CJ1367" s="103"/>
      <c r="FP1367" s="103"/>
      <c r="LL1367" s="103"/>
      <c r="NM1367" s="103"/>
      <c r="QT1367" s="106"/>
      <c r="QU1367" s="106"/>
      <c r="QV1367" s="106"/>
      <c r="QW1367" s="106"/>
      <c r="QX1367" s="106"/>
      <c r="QY1367" s="106"/>
      <c r="QZ1367" s="106"/>
      <c r="RA1367" s="106"/>
      <c r="RB1367" s="106"/>
      <c r="RC1367" s="106"/>
      <c r="RD1367" s="106"/>
      <c r="RE1367" s="106"/>
      <c r="RF1367" s="106"/>
      <c r="RG1367" s="106"/>
      <c r="RH1367" s="106"/>
      <c r="RI1367" s="106"/>
      <c r="RJ1367" s="106"/>
      <c r="RK1367" s="106"/>
      <c r="RL1367" s="106"/>
    </row>
    <row r="1368" spans="48:480" x14ac:dyDescent="0.3">
      <c r="AV1368" s="103"/>
      <c r="CJ1368" s="103"/>
      <c r="FP1368" s="103"/>
      <c r="LL1368" s="103"/>
      <c r="NM1368" s="103"/>
      <c r="QT1368" s="106"/>
      <c r="QU1368" s="106"/>
      <c r="QV1368" s="106"/>
      <c r="QW1368" s="106"/>
      <c r="QX1368" s="106"/>
      <c r="QY1368" s="106"/>
      <c r="QZ1368" s="106"/>
      <c r="RA1368" s="106"/>
      <c r="RB1368" s="106"/>
      <c r="RC1368" s="106"/>
      <c r="RD1368" s="106"/>
      <c r="RE1368" s="106"/>
      <c r="RF1368" s="106"/>
      <c r="RG1368" s="106"/>
      <c r="RH1368" s="106"/>
      <c r="RI1368" s="106"/>
      <c r="RJ1368" s="106"/>
      <c r="RK1368" s="106"/>
      <c r="RL1368" s="106"/>
    </row>
    <row r="1369" spans="48:480" x14ac:dyDescent="0.3">
      <c r="CJ1369" s="103"/>
      <c r="FP1369" s="103"/>
      <c r="LL1369" s="103"/>
      <c r="NM1369" s="103"/>
      <c r="QT1369" s="106"/>
      <c r="QU1369" s="106"/>
      <c r="QV1369" s="106"/>
      <c r="QW1369" s="106"/>
      <c r="QX1369" s="106"/>
      <c r="QY1369" s="106"/>
      <c r="QZ1369" s="106"/>
      <c r="RA1369" s="106"/>
      <c r="RB1369" s="106"/>
      <c r="RC1369" s="106"/>
      <c r="RD1369" s="106"/>
      <c r="RE1369" s="106"/>
      <c r="RF1369" s="106"/>
      <c r="RG1369" s="106"/>
      <c r="RH1369" s="106"/>
      <c r="RI1369" s="106"/>
      <c r="RJ1369" s="106"/>
      <c r="RK1369" s="106"/>
      <c r="RL1369" s="106"/>
    </row>
    <row r="1370" spans="48:480" x14ac:dyDescent="0.3">
      <c r="AV1370" s="103"/>
      <c r="CJ1370" s="103"/>
      <c r="FP1370" s="103"/>
      <c r="LL1370" s="103"/>
      <c r="NM1370" s="103"/>
      <c r="QT1370" s="106"/>
      <c r="QU1370" s="106"/>
      <c r="QV1370" s="106"/>
      <c r="QW1370" s="106"/>
      <c r="QX1370" s="106"/>
      <c r="QY1370" s="106"/>
      <c r="QZ1370" s="106"/>
      <c r="RA1370" s="106"/>
      <c r="RB1370" s="106"/>
      <c r="RC1370" s="106"/>
      <c r="RD1370" s="106"/>
      <c r="RE1370" s="106"/>
      <c r="RF1370" s="106"/>
      <c r="RG1370" s="106"/>
      <c r="RH1370" s="106"/>
      <c r="RI1370" s="106"/>
      <c r="RJ1370" s="106"/>
      <c r="RK1370" s="106"/>
      <c r="RL1370" s="106"/>
    </row>
    <row r="1371" spans="48:480" x14ac:dyDescent="0.3">
      <c r="CJ1371" s="103"/>
      <c r="FP1371" s="103"/>
      <c r="LL1371" s="103"/>
      <c r="NM1371" s="103"/>
      <c r="QT1371" s="106"/>
      <c r="QU1371" s="106"/>
      <c r="QV1371" s="106"/>
      <c r="QW1371" s="106"/>
      <c r="QX1371" s="106"/>
      <c r="QY1371" s="106"/>
      <c r="QZ1371" s="106"/>
      <c r="RA1371" s="106"/>
      <c r="RB1371" s="106"/>
      <c r="RC1371" s="106"/>
      <c r="RD1371" s="106"/>
      <c r="RE1371" s="106"/>
      <c r="RF1371" s="106"/>
      <c r="RG1371" s="106"/>
      <c r="RH1371" s="106"/>
      <c r="RI1371" s="106"/>
      <c r="RJ1371" s="106"/>
      <c r="RK1371" s="106"/>
      <c r="RL1371" s="106"/>
    </row>
    <row r="1372" spans="48:480" x14ac:dyDescent="0.3">
      <c r="CJ1372" s="103"/>
      <c r="FP1372" s="103"/>
      <c r="LL1372" s="103"/>
      <c r="NM1372" s="103"/>
      <c r="QT1372" s="106"/>
      <c r="QU1372" s="106"/>
      <c r="QV1372" s="106"/>
      <c r="QW1372" s="106"/>
      <c r="QX1372" s="106"/>
      <c r="QY1372" s="106"/>
      <c r="QZ1372" s="106"/>
      <c r="RA1372" s="106"/>
      <c r="RB1372" s="106"/>
      <c r="RC1372" s="106"/>
      <c r="RD1372" s="106"/>
      <c r="RE1372" s="106"/>
      <c r="RF1372" s="106"/>
      <c r="RG1372" s="106"/>
      <c r="RH1372" s="106"/>
      <c r="RI1372" s="106"/>
      <c r="RJ1372" s="106"/>
      <c r="RK1372" s="106"/>
      <c r="RL1372" s="106"/>
    </row>
    <row r="1373" spans="48:480" x14ac:dyDescent="0.3">
      <c r="AV1373" s="103"/>
      <c r="CJ1373" s="103"/>
      <c r="FP1373" s="103"/>
      <c r="LL1373" s="103"/>
      <c r="NM1373" s="103"/>
      <c r="QT1373" s="106"/>
      <c r="QU1373" s="106"/>
      <c r="QV1373" s="106"/>
      <c r="QW1373" s="106"/>
      <c r="QX1373" s="106"/>
      <c r="QY1373" s="106"/>
      <c r="QZ1373" s="106"/>
      <c r="RA1373" s="106"/>
      <c r="RB1373" s="106"/>
      <c r="RC1373" s="106"/>
      <c r="RD1373" s="106"/>
      <c r="RE1373" s="106"/>
      <c r="RF1373" s="106"/>
      <c r="RG1373" s="106"/>
      <c r="RH1373" s="106"/>
      <c r="RI1373" s="106"/>
      <c r="RJ1373" s="106"/>
      <c r="RK1373" s="106"/>
      <c r="RL1373" s="106"/>
    </row>
    <row r="1374" spans="48:480" x14ac:dyDescent="0.3">
      <c r="CJ1374" s="103"/>
      <c r="FP1374" s="103"/>
      <c r="LL1374" s="103"/>
      <c r="NM1374" s="103"/>
      <c r="QT1374" s="106"/>
      <c r="QU1374" s="106"/>
      <c r="QV1374" s="106"/>
      <c r="QW1374" s="106"/>
      <c r="QX1374" s="106"/>
      <c r="QY1374" s="106"/>
      <c r="QZ1374" s="106"/>
      <c r="RA1374" s="106"/>
      <c r="RB1374" s="106"/>
      <c r="RC1374" s="106"/>
      <c r="RD1374" s="106"/>
      <c r="RE1374" s="106"/>
      <c r="RF1374" s="106"/>
      <c r="RG1374" s="106"/>
      <c r="RH1374" s="106"/>
      <c r="RI1374" s="106"/>
      <c r="RJ1374" s="106"/>
      <c r="RK1374" s="106"/>
      <c r="RL1374" s="106"/>
    </row>
    <row r="1375" spans="48:480" x14ac:dyDescent="0.3">
      <c r="AV1375" s="103"/>
      <c r="CJ1375" s="103"/>
      <c r="FP1375" s="103"/>
      <c r="LL1375" s="103"/>
      <c r="NM1375" s="103"/>
      <c r="QT1375" s="106"/>
      <c r="QU1375" s="106"/>
      <c r="QV1375" s="106"/>
      <c r="QW1375" s="106"/>
      <c r="QX1375" s="106"/>
      <c r="QY1375" s="106"/>
      <c r="QZ1375" s="106"/>
      <c r="RA1375" s="106"/>
      <c r="RB1375" s="106"/>
      <c r="RC1375" s="106"/>
      <c r="RD1375" s="106"/>
      <c r="RE1375" s="106"/>
      <c r="RF1375" s="106"/>
      <c r="RG1375" s="106"/>
      <c r="RH1375" s="106"/>
      <c r="RI1375" s="106"/>
      <c r="RJ1375" s="106"/>
      <c r="RK1375" s="106"/>
      <c r="RL1375" s="106"/>
    </row>
    <row r="1376" spans="48:480" x14ac:dyDescent="0.3">
      <c r="CJ1376" s="103"/>
      <c r="FP1376" s="103"/>
      <c r="LL1376" s="103"/>
      <c r="NM1376" s="103"/>
      <c r="QT1376" s="106"/>
      <c r="QU1376" s="106"/>
      <c r="QV1376" s="106"/>
      <c r="QW1376" s="106"/>
      <c r="QX1376" s="106"/>
      <c r="QY1376" s="106"/>
      <c r="QZ1376" s="106"/>
      <c r="RA1376" s="106"/>
      <c r="RB1376" s="106"/>
      <c r="RC1376" s="106"/>
      <c r="RD1376" s="106"/>
      <c r="RE1376" s="106"/>
      <c r="RF1376" s="106"/>
      <c r="RG1376" s="106"/>
      <c r="RH1376" s="106"/>
      <c r="RI1376" s="106"/>
      <c r="RJ1376" s="106"/>
      <c r="RK1376" s="106"/>
      <c r="RL1376" s="106"/>
    </row>
    <row r="1377" spans="48:480" x14ac:dyDescent="0.3">
      <c r="AV1377" s="103"/>
      <c r="CJ1377" s="103"/>
      <c r="FP1377" s="103"/>
      <c r="LL1377" s="103"/>
      <c r="NM1377" s="103"/>
      <c r="QT1377" s="106"/>
      <c r="QU1377" s="106"/>
      <c r="QV1377" s="106"/>
      <c r="QW1377" s="106"/>
      <c r="QX1377" s="106"/>
      <c r="QY1377" s="106"/>
      <c r="QZ1377" s="106"/>
      <c r="RA1377" s="106"/>
      <c r="RB1377" s="106"/>
      <c r="RC1377" s="106"/>
      <c r="RD1377" s="106"/>
      <c r="RE1377" s="106"/>
      <c r="RF1377" s="106"/>
      <c r="RG1377" s="106"/>
      <c r="RH1377" s="106"/>
      <c r="RI1377" s="106"/>
      <c r="RJ1377" s="106"/>
      <c r="RK1377" s="106"/>
      <c r="RL1377" s="106"/>
    </row>
    <row r="1378" spans="48:480" x14ac:dyDescent="0.3">
      <c r="CJ1378" s="103"/>
      <c r="FP1378" s="103"/>
      <c r="LL1378" s="103"/>
      <c r="NM1378" s="103"/>
      <c r="QT1378" s="106"/>
      <c r="QU1378" s="106"/>
      <c r="QV1378" s="106"/>
      <c r="QW1378" s="106"/>
      <c r="QX1378" s="106"/>
      <c r="QY1378" s="106"/>
      <c r="QZ1378" s="106"/>
      <c r="RA1378" s="106"/>
      <c r="RB1378" s="106"/>
      <c r="RC1378" s="106"/>
      <c r="RD1378" s="106"/>
      <c r="RE1378" s="106"/>
      <c r="RF1378" s="106"/>
      <c r="RG1378" s="106"/>
      <c r="RH1378" s="106"/>
      <c r="RI1378" s="106"/>
      <c r="RJ1378" s="106"/>
      <c r="RK1378" s="106"/>
      <c r="RL1378" s="106"/>
    </row>
    <row r="1379" spans="48:480" x14ac:dyDescent="0.3">
      <c r="AV1379" s="103"/>
      <c r="CJ1379" s="103"/>
      <c r="FP1379" s="103"/>
      <c r="LL1379" s="103"/>
      <c r="NM1379" s="103"/>
      <c r="QT1379" s="106"/>
      <c r="QU1379" s="106"/>
      <c r="QV1379" s="106"/>
      <c r="QW1379" s="106"/>
      <c r="QX1379" s="106"/>
      <c r="QY1379" s="106"/>
      <c r="QZ1379" s="106"/>
      <c r="RA1379" s="106"/>
      <c r="RB1379" s="106"/>
      <c r="RC1379" s="106"/>
      <c r="RD1379" s="106"/>
      <c r="RE1379" s="106"/>
      <c r="RF1379" s="106"/>
      <c r="RG1379" s="106"/>
      <c r="RH1379" s="106"/>
      <c r="RI1379" s="106"/>
      <c r="RJ1379" s="106"/>
      <c r="RK1379" s="106"/>
      <c r="RL1379" s="106"/>
    </row>
    <row r="1380" spans="48:480" x14ac:dyDescent="0.3">
      <c r="CJ1380" s="103"/>
      <c r="FP1380" s="103"/>
      <c r="LL1380" s="103"/>
      <c r="NM1380" s="103"/>
      <c r="QT1380" s="106"/>
      <c r="QU1380" s="106"/>
      <c r="QV1380" s="106"/>
      <c r="QW1380" s="106"/>
      <c r="QX1380" s="106"/>
      <c r="QY1380" s="106"/>
      <c r="QZ1380" s="106"/>
      <c r="RA1380" s="106"/>
      <c r="RB1380" s="106"/>
      <c r="RC1380" s="106"/>
      <c r="RD1380" s="106"/>
      <c r="RE1380" s="106"/>
      <c r="RF1380" s="106"/>
      <c r="RG1380" s="106"/>
      <c r="RH1380" s="106"/>
      <c r="RI1380" s="106"/>
      <c r="RJ1380" s="106"/>
      <c r="RK1380" s="106"/>
      <c r="RL1380" s="106"/>
    </row>
    <row r="1381" spans="48:480" x14ac:dyDescent="0.3">
      <c r="AV1381" s="103"/>
      <c r="CJ1381" s="103"/>
      <c r="FP1381" s="103"/>
      <c r="LL1381" s="103"/>
      <c r="NM1381" s="103"/>
      <c r="QT1381" s="106"/>
      <c r="QU1381" s="106"/>
      <c r="QV1381" s="106"/>
      <c r="QW1381" s="106"/>
      <c r="QX1381" s="106"/>
      <c r="QY1381" s="106"/>
      <c r="QZ1381" s="106"/>
      <c r="RA1381" s="106"/>
      <c r="RB1381" s="106"/>
      <c r="RC1381" s="106"/>
      <c r="RD1381" s="106"/>
      <c r="RE1381" s="106"/>
      <c r="RF1381" s="106"/>
      <c r="RG1381" s="106"/>
      <c r="RH1381" s="106"/>
      <c r="RI1381" s="106"/>
      <c r="RJ1381" s="106"/>
      <c r="RK1381" s="106"/>
      <c r="RL1381" s="106"/>
    </row>
    <row r="1382" spans="48:480" x14ac:dyDescent="0.3">
      <c r="AV1382" s="103"/>
      <c r="CJ1382" s="103"/>
      <c r="FP1382" s="103"/>
      <c r="LL1382" s="103"/>
      <c r="NM1382" s="103"/>
      <c r="QT1382" s="106"/>
      <c r="QU1382" s="106"/>
      <c r="QV1382" s="106"/>
      <c r="QW1382" s="106"/>
      <c r="QX1382" s="106"/>
      <c r="QY1382" s="106"/>
      <c r="QZ1382" s="106"/>
      <c r="RA1382" s="106"/>
      <c r="RB1382" s="106"/>
      <c r="RC1382" s="106"/>
      <c r="RD1382" s="106"/>
      <c r="RE1382" s="106"/>
      <c r="RF1382" s="106"/>
      <c r="RG1382" s="106"/>
      <c r="RH1382" s="106"/>
      <c r="RI1382" s="106"/>
      <c r="RJ1382" s="106"/>
      <c r="RK1382" s="106"/>
      <c r="RL1382" s="106"/>
    </row>
    <row r="1383" spans="48:480" x14ac:dyDescent="0.3">
      <c r="AV1383" s="103"/>
      <c r="CJ1383" s="103"/>
      <c r="FP1383" s="103"/>
      <c r="LL1383" s="103"/>
      <c r="NM1383" s="103"/>
      <c r="QT1383" s="106"/>
      <c r="QU1383" s="106"/>
      <c r="QV1383" s="106"/>
      <c r="QW1383" s="106"/>
      <c r="QX1383" s="106"/>
      <c r="QY1383" s="106"/>
      <c r="QZ1383" s="106"/>
      <c r="RA1383" s="106"/>
      <c r="RB1383" s="106"/>
      <c r="RC1383" s="106"/>
      <c r="RD1383" s="106"/>
      <c r="RE1383" s="106"/>
      <c r="RF1383" s="106"/>
      <c r="RG1383" s="106"/>
      <c r="RH1383" s="106"/>
      <c r="RI1383" s="106"/>
      <c r="RJ1383" s="106"/>
      <c r="RK1383" s="106"/>
      <c r="RL1383" s="106"/>
    </row>
    <row r="1384" spans="48:480" x14ac:dyDescent="0.3">
      <c r="CJ1384" s="103"/>
      <c r="FP1384" s="103"/>
      <c r="LL1384" s="103"/>
      <c r="NM1384" s="103"/>
      <c r="QT1384" s="106"/>
      <c r="QU1384" s="106"/>
      <c r="QV1384" s="106"/>
      <c r="QW1384" s="106"/>
      <c r="QX1384" s="106"/>
      <c r="QY1384" s="106"/>
      <c r="QZ1384" s="106"/>
      <c r="RA1384" s="106"/>
      <c r="RB1384" s="106"/>
      <c r="RC1384" s="106"/>
      <c r="RD1384" s="106"/>
      <c r="RE1384" s="106"/>
      <c r="RF1384" s="106"/>
      <c r="RG1384" s="106"/>
      <c r="RH1384" s="106"/>
      <c r="RI1384" s="106"/>
      <c r="RJ1384" s="106"/>
      <c r="RK1384" s="106"/>
      <c r="RL1384" s="106"/>
    </row>
    <row r="1385" spans="48:480" x14ac:dyDescent="0.3">
      <c r="CJ1385" s="103"/>
      <c r="FP1385" s="103"/>
      <c r="LL1385" s="103"/>
      <c r="NM1385" s="103"/>
      <c r="QT1385" s="106"/>
      <c r="QU1385" s="106"/>
      <c r="QV1385" s="106"/>
      <c r="QW1385" s="106"/>
      <c r="QX1385" s="106"/>
      <c r="QY1385" s="106"/>
      <c r="QZ1385" s="106"/>
      <c r="RA1385" s="106"/>
      <c r="RB1385" s="106"/>
      <c r="RC1385" s="106"/>
      <c r="RD1385" s="106"/>
      <c r="RE1385" s="106"/>
      <c r="RF1385" s="106"/>
      <c r="RG1385" s="106"/>
      <c r="RH1385" s="106"/>
      <c r="RI1385" s="106"/>
      <c r="RJ1385" s="106"/>
      <c r="RK1385" s="106"/>
      <c r="RL1385" s="106"/>
    </row>
    <row r="1386" spans="48:480" x14ac:dyDescent="0.3">
      <c r="CJ1386" s="103"/>
      <c r="FP1386" s="103"/>
      <c r="LL1386" s="103"/>
      <c r="NM1386" s="103"/>
      <c r="QT1386" s="106"/>
      <c r="QU1386" s="106"/>
      <c r="QV1386" s="106"/>
      <c r="QW1386" s="106"/>
      <c r="QX1386" s="106"/>
      <c r="QY1386" s="106"/>
      <c r="QZ1386" s="106"/>
      <c r="RA1386" s="106"/>
      <c r="RB1386" s="106"/>
      <c r="RC1386" s="106"/>
      <c r="RD1386" s="106"/>
      <c r="RE1386" s="106"/>
      <c r="RF1386" s="106"/>
      <c r="RG1386" s="106"/>
      <c r="RH1386" s="106"/>
      <c r="RI1386" s="106"/>
      <c r="RJ1386" s="106"/>
      <c r="RK1386" s="106"/>
      <c r="RL1386" s="106"/>
    </row>
    <row r="1387" spans="48:480" x14ac:dyDescent="0.3">
      <c r="AV1387" s="103"/>
      <c r="CJ1387" s="103"/>
      <c r="FP1387" s="103"/>
      <c r="LL1387" s="103"/>
      <c r="NM1387" s="103"/>
      <c r="QT1387" s="106"/>
      <c r="QU1387" s="106"/>
      <c r="QV1387" s="106"/>
      <c r="QW1387" s="106"/>
      <c r="QX1387" s="106"/>
      <c r="QY1387" s="106"/>
      <c r="QZ1387" s="106"/>
      <c r="RA1387" s="106"/>
      <c r="RB1387" s="106"/>
      <c r="RC1387" s="106"/>
      <c r="RD1387" s="106"/>
      <c r="RE1387" s="106"/>
      <c r="RF1387" s="106"/>
      <c r="RG1387" s="106"/>
      <c r="RH1387" s="106"/>
      <c r="RI1387" s="106"/>
      <c r="RJ1387" s="106"/>
      <c r="RK1387" s="106"/>
      <c r="RL1387" s="106"/>
    </row>
    <row r="1388" spans="48:480" x14ac:dyDescent="0.3">
      <c r="AV1388" s="103"/>
      <c r="CJ1388" s="103"/>
      <c r="FP1388" s="103"/>
      <c r="LL1388" s="103"/>
      <c r="NM1388" s="103"/>
      <c r="QT1388" s="106"/>
      <c r="QU1388" s="106"/>
      <c r="QV1388" s="106"/>
      <c r="QW1388" s="106"/>
      <c r="QX1388" s="106"/>
      <c r="QY1388" s="106"/>
      <c r="QZ1388" s="106"/>
      <c r="RA1388" s="106"/>
      <c r="RB1388" s="106"/>
      <c r="RC1388" s="106"/>
      <c r="RD1388" s="106"/>
      <c r="RE1388" s="106"/>
      <c r="RF1388" s="106"/>
      <c r="RG1388" s="106"/>
      <c r="RH1388" s="106"/>
      <c r="RI1388" s="106"/>
      <c r="RJ1388" s="106"/>
      <c r="RK1388" s="106"/>
      <c r="RL1388" s="106"/>
    </row>
    <row r="1389" spans="48:480" x14ac:dyDescent="0.3">
      <c r="AV1389" s="103"/>
      <c r="CJ1389" s="103"/>
      <c r="FP1389" s="103"/>
      <c r="LL1389" s="103"/>
      <c r="NM1389" s="103"/>
      <c r="QT1389" s="106"/>
      <c r="QU1389" s="106"/>
      <c r="QV1389" s="106"/>
      <c r="QW1389" s="106"/>
      <c r="QX1389" s="106"/>
      <c r="QY1389" s="106"/>
      <c r="QZ1389" s="106"/>
      <c r="RA1389" s="106"/>
      <c r="RB1389" s="106"/>
      <c r="RC1389" s="106"/>
      <c r="RD1389" s="106"/>
      <c r="RE1389" s="106"/>
      <c r="RF1389" s="106"/>
      <c r="RG1389" s="106"/>
      <c r="RH1389" s="106"/>
      <c r="RI1389" s="106"/>
      <c r="RJ1389" s="106"/>
      <c r="RK1389" s="106"/>
      <c r="RL1389" s="106"/>
    </row>
    <row r="1390" spans="48:480" x14ac:dyDescent="0.3">
      <c r="AV1390" s="103"/>
      <c r="CJ1390" s="103"/>
      <c r="FP1390" s="103"/>
      <c r="LL1390" s="103"/>
      <c r="NM1390" s="103"/>
      <c r="QT1390" s="106"/>
      <c r="QU1390" s="106"/>
      <c r="QV1390" s="106"/>
      <c r="QW1390" s="106"/>
      <c r="QX1390" s="106"/>
      <c r="QY1390" s="106"/>
      <c r="QZ1390" s="106"/>
      <c r="RA1390" s="106"/>
      <c r="RB1390" s="106"/>
      <c r="RC1390" s="106"/>
      <c r="RD1390" s="106"/>
      <c r="RE1390" s="106"/>
      <c r="RF1390" s="106"/>
      <c r="RG1390" s="106"/>
      <c r="RH1390" s="106"/>
      <c r="RI1390" s="106"/>
      <c r="RJ1390" s="106"/>
      <c r="RK1390" s="106"/>
      <c r="RL1390" s="106"/>
    </row>
    <row r="1391" spans="48:480" x14ac:dyDescent="0.3">
      <c r="CJ1391" s="103"/>
      <c r="FP1391" s="103"/>
      <c r="LL1391" s="103"/>
      <c r="NM1391" s="103"/>
      <c r="QT1391" s="106"/>
      <c r="QU1391" s="106"/>
      <c r="QV1391" s="106"/>
      <c r="QW1391" s="106"/>
      <c r="QX1391" s="106"/>
      <c r="QY1391" s="106"/>
      <c r="QZ1391" s="106"/>
      <c r="RA1391" s="106"/>
      <c r="RB1391" s="106"/>
      <c r="RC1391" s="106"/>
      <c r="RD1391" s="106"/>
      <c r="RE1391" s="106"/>
      <c r="RF1391" s="106"/>
      <c r="RG1391" s="106"/>
      <c r="RH1391" s="106"/>
      <c r="RI1391" s="106"/>
      <c r="RJ1391" s="106"/>
      <c r="RK1391" s="106"/>
      <c r="RL1391" s="106"/>
    </row>
    <row r="1392" spans="48:480" x14ac:dyDescent="0.3">
      <c r="AV1392" s="103"/>
      <c r="CJ1392" s="103"/>
      <c r="FP1392" s="103"/>
      <c r="LL1392" s="103"/>
      <c r="NM1392" s="103"/>
      <c r="QT1392" s="106"/>
      <c r="QU1392" s="106"/>
      <c r="QV1392" s="106"/>
      <c r="QW1392" s="106"/>
      <c r="QX1392" s="106"/>
      <c r="QY1392" s="106"/>
      <c r="QZ1392" s="106"/>
      <c r="RA1392" s="106"/>
      <c r="RB1392" s="106"/>
      <c r="RC1392" s="106"/>
      <c r="RD1392" s="106"/>
      <c r="RE1392" s="106"/>
      <c r="RF1392" s="106"/>
      <c r="RG1392" s="106"/>
      <c r="RH1392" s="106"/>
      <c r="RI1392" s="106"/>
      <c r="RJ1392" s="106"/>
      <c r="RK1392" s="106"/>
      <c r="RL1392" s="106"/>
    </row>
    <row r="1393" spans="48:480" x14ac:dyDescent="0.3">
      <c r="AV1393" s="103"/>
      <c r="CJ1393" s="103"/>
      <c r="FP1393" s="103"/>
      <c r="LL1393" s="103"/>
      <c r="NM1393" s="103"/>
      <c r="QT1393" s="106"/>
      <c r="QU1393" s="106"/>
      <c r="QV1393" s="106"/>
      <c r="QW1393" s="106"/>
      <c r="QX1393" s="106"/>
      <c r="QY1393" s="106"/>
      <c r="QZ1393" s="106"/>
      <c r="RA1393" s="106"/>
      <c r="RB1393" s="106"/>
      <c r="RC1393" s="106"/>
      <c r="RD1393" s="106"/>
      <c r="RE1393" s="106"/>
      <c r="RF1393" s="106"/>
      <c r="RG1393" s="106"/>
      <c r="RH1393" s="106"/>
      <c r="RI1393" s="106"/>
      <c r="RJ1393" s="106"/>
      <c r="RK1393" s="106"/>
      <c r="RL1393" s="106"/>
    </row>
    <row r="1394" spans="48:480" x14ac:dyDescent="0.3">
      <c r="AV1394" s="103"/>
      <c r="CJ1394" s="103"/>
      <c r="FP1394" s="103"/>
      <c r="LL1394" s="103"/>
      <c r="NM1394" s="103"/>
      <c r="QT1394" s="106"/>
      <c r="QU1394" s="106"/>
      <c r="QV1394" s="106"/>
      <c r="QW1394" s="106"/>
      <c r="QX1394" s="106"/>
      <c r="QY1394" s="106"/>
      <c r="QZ1394" s="106"/>
      <c r="RA1394" s="106"/>
      <c r="RB1394" s="106"/>
      <c r="RC1394" s="106"/>
      <c r="RD1394" s="106"/>
      <c r="RE1394" s="106"/>
      <c r="RF1394" s="106"/>
      <c r="RG1394" s="106"/>
      <c r="RH1394" s="106"/>
      <c r="RI1394" s="106"/>
      <c r="RJ1394" s="106"/>
      <c r="RK1394" s="106"/>
      <c r="RL1394" s="106"/>
    </row>
    <row r="1395" spans="48:480" x14ac:dyDescent="0.3">
      <c r="AV1395" s="103"/>
      <c r="CJ1395" s="103"/>
      <c r="FP1395" s="103"/>
      <c r="LL1395" s="103"/>
      <c r="NM1395" s="103"/>
      <c r="QT1395" s="106"/>
      <c r="QU1395" s="106"/>
      <c r="QV1395" s="106"/>
      <c r="QW1395" s="106"/>
      <c r="QX1395" s="106"/>
      <c r="QY1395" s="106"/>
      <c r="QZ1395" s="106"/>
      <c r="RA1395" s="106"/>
      <c r="RB1395" s="106"/>
      <c r="RC1395" s="106"/>
      <c r="RD1395" s="106"/>
      <c r="RE1395" s="106"/>
      <c r="RF1395" s="106"/>
      <c r="RG1395" s="106"/>
      <c r="RH1395" s="106"/>
      <c r="RI1395" s="106"/>
      <c r="RJ1395" s="106"/>
      <c r="RK1395" s="106"/>
      <c r="RL1395" s="106"/>
    </row>
    <row r="1396" spans="48:480" x14ac:dyDescent="0.3">
      <c r="AV1396" s="103"/>
      <c r="CJ1396" s="103"/>
      <c r="FP1396" s="103"/>
      <c r="LL1396" s="103"/>
      <c r="NM1396" s="103"/>
      <c r="QT1396" s="106"/>
      <c r="QU1396" s="106"/>
      <c r="QV1396" s="106"/>
      <c r="QW1396" s="106"/>
      <c r="QX1396" s="106"/>
      <c r="QY1396" s="106"/>
      <c r="QZ1396" s="106"/>
      <c r="RA1396" s="106"/>
      <c r="RB1396" s="106"/>
      <c r="RC1396" s="106"/>
      <c r="RD1396" s="106"/>
      <c r="RE1396" s="106"/>
      <c r="RF1396" s="106"/>
      <c r="RG1396" s="106"/>
      <c r="RH1396" s="106"/>
      <c r="RI1396" s="106"/>
      <c r="RJ1396" s="106"/>
      <c r="RK1396" s="106"/>
      <c r="RL1396" s="106"/>
    </row>
    <row r="1397" spans="48:480" x14ac:dyDescent="0.3">
      <c r="AV1397" s="103"/>
      <c r="CJ1397" s="103"/>
      <c r="FP1397" s="103"/>
      <c r="LL1397" s="103"/>
      <c r="NM1397" s="103"/>
      <c r="QT1397" s="106"/>
      <c r="QU1397" s="106"/>
      <c r="QV1397" s="106"/>
      <c r="QW1397" s="106"/>
      <c r="QX1397" s="106"/>
      <c r="QY1397" s="106"/>
      <c r="QZ1397" s="106"/>
      <c r="RA1397" s="106"/>
      <c r="RB1397" s="106"/>
      <c r="RC1397" s="106"/>
      <c r="RD1397" s="106"/>
      <c r="RE1397" s="106"/>
      <c r="RF1397" s="106"/>
      <c r="RG1397" s="106"/>
      <c r="RH1397" s="106"/>
      <c r="RI1397" s="106"/>
      <c r="RJ1397" s="106"/>
      <c r="RK1397" s="106"/>
      <c r="RL1397" s="106"/>
    </row>
    <row r="1398" spans="48:480" x14ac:dyDescent="0.3">
      <c r="AV1398" s="103"/>
      <c r="CJ1398" s="103"/>
      <c r="FP1398" s="103"/>
      <c r="LL1398" s="103"/>
      <c r="NM1398" s="103"/>
      <c r="QT1398" s="106"/>
      <c r="QU1398" s="106"/>
      <c r="QV1398" s="106"/>
      <c r="QW1398" s="106"/>
      <c r="QX1398" s="106"/>
      <c r="QY1398" s="106"/>
      <c r="QZ1398" s="106"/>
      <c r="RA1398" s="106"/>
      <c r="RB1398" s="106"/>
      <c r="RC1398" s="106"/>
      <c r="RD1398" s="106"/>
      <c r="RE1398" s="106"/>
      <c r="RF1398" s="106"/>
      <c r="RG1398" s="106"/>
      <c r="RH1398" s="106"/>
      <c r="RI1398" s="106"/>
      <c r="RJ1398" s="106"/>
      <c r="RK1398" s="106"/>
      <c r="RL1398" s="106"/>
    </row>
    <row r="1399" spans="48:480" x14ac:dyDescent="0.3">
      <c r="AV1399" s="103"/>
      <c r="CJ1399" s="103"/>
      <c r="FP1399" s="103"/>
      <c r="LL1399" s="103"/>
      <c r="NM1399" s="103"/>
      <c r="QT1399" s="106"/>
      <c r="QU1399" s="106"/>
      <c r="QV1399" s="106"/>
      <c r="QW1399" s="106"/>
      <c r="QX1399" s="106"/>
      <c r="QY1399" s="106"/>
      <c r="QZ1399" s="106"/>
      <c r="RA1399" s="106"/>
      <c r="RB1399" s="106"/>
      <c r="RC1399" s="106"/>
      <c r="RD1399" s="106"/>
      <c r="RE1399" s="106"/>
      <c r="RF1399" s="106"/>
      <c r="RG1399" s="106"/>
      <c r="RH1399" s="106"/>
      <c r="RI1399" s="106"/>
      <c r="RJ1399" s="106"/>
      <c r="RK1399" s="106"/>
      <c r="RL1399" s="106"/>
    </row>
    <row r="1400" spans="48:480" x14ac:dyDescent="0.3">
      <c r="AV1400" s="103"/>
      <c r="CJ1400" s="103"/>
      <c r="FP1400" s="103"/>
      <c r="LL1400" s="103"/>
      <c r="NM1400" s="103"/>
      <c r="QT1400" s="106"/>
      <c r="QU1400" s="106"/>
      <c r="QV1400" s="106"/>
      <c r="QW1400" s="106"/>
      <c r="QX1400" s="106"/>
      <c r="QY1400" s="106"/>
      <c r="QZ1400" s="106"/>
      <c r="RA1400" s="106"/>
      <c r="RB1400" s="106"/>
      <c r="RC1400" s="106"/>
      <c r="RD1400" s="106"/>
      <c r="RE1400" s="106"/>
      <c r="RF1400" s="106"/>
      <c r="RG1400" s="106"/>
      <c r="RH1400" s="106"/>
      <c r="RI1400" s="106"/>
      <c r="RJ1400" s="106"/>
      <c r="RK1400" s="106"/>
      <c r="RL1400" s="106"/>
    </row>
    <row r="1401" spans="48:480" x14ac:dyDescent="0.3">
      <c r="AV1401" s="103"/>
      <c r="CJ1401" s="103"/>
      <c r="FP1401" s="103"/>
      <c r="LL1401" s="103"/>
      <c r="NM1401" s="103"/>
      <c r="QT1401" s="106"/>
      <c r="QU1401" s="106"/>
      <c r="QV1401" s="106"/>
      <c r="QW1401" s="106"/>
      <c r="QX1401" s="106"/>
      <c r="QY1401" s="106"/>
      <c r="QZ1401" s="106"/>
      <c r="RA1401" s="106"/>
      <c r="RB1401" s="106"/>
      <c r="RC1401" s="106"/>
      <c r="RD1401" s="106"/>
      <c r="RE1401" s="106"/>
      <c r="RF1401" s="106"/>
      <c r="RG1401" s="106"/>
      <c r="RH1401" s="106"/>
      <c r="RI1401" s="106"/>
      <c r="RJ1401" s="106"/>
      <c r="RK1401" s="106"/>
      <c r="RL1401" s="106"/>
    </row>
    <row r="1402" spans="48:480" x14ac:dyDescent="0.3">
      <c r="AV1402" s="103"/>
      <c r="CJ1402" s="103"/>
      <c r="FP1402" s="103"/>
      <c r="LL1402" s="103"/>
      <c r="NM1402" s="103"/>
      <c r="QT1402" s="106"/>
      <c r="QU1402" s="106"/>
      <c r="QV1402" s="106"/>
      <c r="QW1402" s="106"/>
      <c r="QX1402" s="106"/>
      <c r="QY1402" s="106"/>
      <c r="QZ1402" s="106"/>
      <c r="RA1402" s="106"/>
      <c r="RB1402" s="106"/>
      <c r="RC1402" s="106"/>
      <c r="RD1402" s="106"/>
      <c r="RE1402" s="106"/>
      <c r="RF1402" s="106"/>
      <c r="RG1402" s="106"/>
      <c r="RH1402" s="106"/>
      <c r="RI1402" s="106"/>
      <c r="RJ1402" s="106"/>
      <c r="RK1402" s="106"/>
      <c r="RL1402" s="106"/>
    </row>
    <row r="1403" spans="48:480" x14ac:dyDescent="0.3">
      <c r="AV1403" s="103"/>
      <c r="CJ1403" s="103"/>
      <c r="FP1403" s="103"/>
      <c r="LL1403" s="103"/>
      <c r="NM1403" s="103"/>
      <c r="QT1403" s="106"/>
      <c r="QU1403" s="106"/>
      <c r="QV1403" s="106"/>
      <c r="QW1403" s="106"/>
      <c r="QX1403" s="106"/>
      <c r="QY1403" s="106"/>
      <c r="QZ1403" s="106"/>
      <c r="RA1403" s="106"/>
      <c r="RB1403" s="106"/>
      <c r="RC1403" s="106"/>
      <c r="RD1403" s="106"/>
      <c r="RE1403" s="106"/>
      <c r="RF1403" s="106"/>
      <c r="RG1403" s="106"/>
      <c r="RH1403" s="106"/>
      <c r="RI1403" s="106"/>
      <c r="RJ1403" s="106"/>
      <c r="RK1403" s="106"/>
      <c r="RL1403" s="106"/>
    </row>
    <row r="1404" spans="48:480" x14ac:dyDescent="0.3">
      <c r="AV1404" s="103"/>
      <c r="CJ1404" s="103"/>
      <c r="FP1404" s="103"/>
      <c r="LL1404" s="103"/>
      <c r="NM1404" s="103"/>
      <c r="QT1404" s="106"/>
      <c r="QU1404" s="106"/>
      <c r="QV1404" s="106"/>
      <c r="QW1404" s="106"/>
      <c r="QX1404" s="106"/>
      <c r="QY1404" s="106"/>
      <c r="QZ1404" s="106"/>
      <c r="RA1404" s="106"/>
      <c r="RB1404" s="106"/>
      <c r="RC1404" s="106"/>
      <c r="RD1404" s="106"/>
      <c r="RE1404" s="106"/>
      <c r="RF1404" s="106"/>
      <c r="RG1404" s="106"/>
      <c r="RH1404" s="106"/>
      <c r="RI1404" s="106"/>
      <c r="RJ1404" s="106"/>
      <c r="RK1404" s="106"/>
      <c r="RL1404" s="106"/>
    </row>
    <row r="1405" spans="48:480" x14ac:dyDescent="0.3">
      <c r="AV1405" s="103"/>
      <c r="CJ1405" s="103"/>
      <c r="FP1405" s="103"/>
      <c r="LL1405" s="103"/>
      <c r="NM1405" s="103"/>
      <c r="QT1405" s="106"/>
      <c r="QU1405" s="106"/>
      <c r="QV1405" s="106"/>
      <c r="QW1405" s="106"/>
      <c r="QX1405" s="106"/>
      <c r="QY1405" s="106"/>
      <c r="QZ1405" s="106"/>
      <c r="RA1405" s="106"/>
      <c r="RB1405" s="106"/>
      <c r="RC1405" s="106"/>
      <c r="RD1405" s="106"/>
      <c r="RE1405" s="106"/>
      <c r="RF1405" s="106"/>
      <c r="RG1405" s="106"/>
      <c r="RH1405" s="106"/>
      <c r="RI1405" s="106"/>
      <c r="RJ1405" s="106"/>
      <c r="RK1405" s="106"/>
      <c r="RL1405" s="106"/>
    </row>
    <row r="1406" spans="48:480" x14ac:dyDescent="0.3">
      <c r="AV1406" s="103"/>
      <c r="CJ1406" s="103"/>
      <c r="FP1406" s="103"/>
      <c r="LL1406" s="103"/>
      <c r="NM1406" s="103"/>
      <c r="QT1406" s="106"/>
      <c r="QU1406" s="106"/>
      <c r="QV1406" s="106"/>
      <c r="QW1406" s="106"/>
      <c r="QX1406" s="106"/>
      <c r="QY1406" s="106"/>
      <c r="QZ1406" s="106"/>
      <c r="RA1406" s="106"/>
      <c r="RB1406" s="106"/>
      <c r="RC1406" s="106"/>
      <c r="RD1406" s="106"/>
      <c r="RE1406" s="106"/>
      <c r="RF1406" s="106"/>
      <c r="RG1406" s="106"/>
      <c r="RH1406" s="106"/>
      <c r="RI1406" s="106"/>
      <c r="RJ1406" s="106"/>
      <c r="RK1406" s="106"/>
      <c r="RL1406" s="106"/>
    </row>
    <row r="1407" spans="48:480" x14ac:dyDescent="0.3">
      <c r="AV1407" s="103"/>
      <c r="CJ1407" s="103"/>
      <c r="FP1407" s="103"/>
      <c r="LL1407" s="103"/>
      <c r="NM1407" s="103"/>
      <c r="QT1407" s="106"/>
      <c r="QU1407" s="106"/>
      <c r="QV1407" s="106"/>
      <c r="QW1407" s="106"/>
      <c r="QX1407" s="106"/>
      <c r="QY1407" s="106"/>
      <c r="QZ1407" s="106"/>
      <c r="RA1407" s="106"/>
      <c r="RB1407" s="106"/>
      <c r="RC1407" s="106"/>
      <c r="RD1407" s="106"/>
      <c r="RE1407" s="106"/>
      <c r="RF1407" s="106"/>
      <c r="RG1407" s="106"/>
      <c r="RH1407" s="106"/>
      <c r="RI1407" s="106"/>
      <c r="RJ1407" s="106"/>
      <c r="RK1407" s="106"/>
      <c r="RL1407" s="106"/>
    </row>
    <row r="1408" spans="48:480" x14ac:dyDescent="0.3">
      <c r="AV1408" s="103"/>
      <c r="CJ1408" s="103"/>
      <c r="FP1408" s="103"/>
      <c r="LL1408" s="103"/>
      <c r="NM1408" s="103"/>
      <c r="QT1408" s="106"/>
      <c r="QU1408" s="106"/>
      <c r="QV1408" s="106"/>
      <c r="QW1408" s="106"/>
      <c r="QX1408" s="106"/>
      <c r="QY1408" s="106"/>
      <c r="QZ1408" s="106"/>
      <c r="RA1408" s="106"/>
      <c r="RB1408" s="106"/>
      <c r="RC1408" s="106"/>
      <c r="RD1408" s="106"/>
      <c r="RE1408" s="106"/>
      <c r="RF1408" s="106"/>
      <c r="RG1408" s="106"/>
      <c r="RH1408" s="106"/>
      <c r="RI1408" s="106"/>
      <c r="RJ1408" s="106"/>
      <c r="RK1408" s="106"/>
      <c r="RL1408" s="106"/>
    </row>
    <row r="1409" spans="48:480" x14ac:dyDescent="0.3">
      <c r="CJ1409" s="103"/>
      <c r="FP1409" s="103"/>
      <c r="LL1409" s="103"/>
      <c r="NM1409" s="103"/>
      <c r="QT1409" s="106"/>
      <c r="QU1409" s="106"/>
      <c r="QV1409" s="106"/>
      <c r="QW1409" s="106"/>
      <c r="QX1409" s="106"/>
      <c r="QY1409" s="106"/>
      <c r="QZ1409" s="106"/>
      <c r="RA1409" s="106"/>
      <c r="RB1409" s="106"/>
      <c r="RC1409" s="106"/>
      <c r="RD1409" s="106"/>
      <c r="RE1409" s="106"/>
      <c r="RF1409" s="106"/>
      <c r="RG1409" s="106"/>
      <c r="RH1409" s="106"/>
      <c r="RI1409" s="106"/>
      <c r="RJ1409" s="106"/>
      <c r="RK1409" s="106"/>
      <c r="RL1409" s="106"/>
    </row>
    <row r="1410" spans="48:480" x14ac:dyDescent="0.3">
      <c r="AV1410" s="103"/>
      <c r="CJ1410" s="103"/>
      <c r="FP1410" s="103"/>
      <c r="LL1410" s="103"/>
      <c r="NM1410" s="103"/>
      <c r="QT1410" s="106"/>
      <c r="QU1410" s="106"/>
      <c r="QV1410" s="106"/>
      <c r="QW1410" s="106"/>
      <c r="QX1410" s="106"/>
      <c r="QY1410" s="106"/>
      <c r="QZ1410" s="106"/>
      <c r="RA1410" s="106"/>
      <c r="RB1410" s="106"/>
      <c r="RC1410" s="106"/>
      <c r="RD1410" s="106"/>
      <c r="RE1410" s="106"/>
      <c r="RF1410" s="106"/>
      <c r="RG1410" s="106"/>
      <c r="RH1410" s="106"/>
      <c r="RI1410" s="106"/>
      <c r="RJ1410" s="106"/>
      <c r="RK1410" s="106"/>
      <c r="RL1410" s="106"/>
    </row>
    <row r="1411" spans="48:480" x14ac:dyDescent="0.3">
      <c r="AV1411" s="103"/>
      <c r="CJ1411" s="103"/>
      <c r="FP1411" s="103"/>
      <c r="LL1411" s="103"/>
      <c r="NM1411" s="103"/>
      <c r="QT1411" s="106"/>
      <c r="QU1411" s="106"/>
      <c r="QV1411" s="106"/>
      <c r="QW1411" s="106"/>
      <c r="QX1411" s="106"/>
      <c r="QY1411" s="106"/>
      <c r="QZ1411" s="106"/>
      <c r="RA1411" s="106"/>
      <c r="RB1411" s="106"/>
      <c r="RC1411" s="106"/>
      <c r="RD1411" s="106"/>
      <c r="RE1411" s="106"/>
      <c r="RF1411" s="106"/>
      <c r="RG1411" s="106"/>
      <c r="RH1411" s="106"/>
      <c r="RI1411" s="106"/>
      <c r="RJ1411" s="106"/>
      <c r="RK1411" s="106"/>
      <c r="RL1411" s="106"/>
    </row>
    <row r="1412" spans="48:480" x14ac:dyDescent="0.3">
      <c r="AV1412" s="103"/>
      <c r="CJ1412" s="103"/>
      <c r="FP1412" s="103"/>
      <c r="LL1412" s="103"/>
      <c r="NM1412" s="103"/>
      <c r="QT1412" s="106"/>
      <c r="QU1412" s="106"/>
      <c r="QV1412" s="106"/>
      <c r="QW1412" s="106"/>
      <c r="QX1412" s="106"/>
      <c r="QY1412" s="106"/>
      <c r="QZ1412" s="106"/>
      <c r="RA1412" s="106"/>
      <c r="RB1412" s="106"/>
      <c r="RC1412" s="106"/>
      <c r="RD1412" s="106"/>
      <c r="RE1412" s="106"/>
      <c r="RF1412" s="106"/>
      <c r="RG1412" s="106"/>
      <c r="RH1412" s="106"/>
      <c r="RI1412" s="106"/>
      <c r="RJ1412" s="106"/>
      <c r="RK1412" s="106"/>
      <c r="RL1412" s="106"/>
    </row>
    <row r="1413" spans="48:480" x14ac:dyDescent="0.3">
      <c r="AV1413" s="103"/>
      <c r="CJ1413" s="103"/>
      <c r="FP1413" s="103"/>
      <c r="LL1413" s="103"/>
      <c r="NM1413" s="103"/>
      <c r="QT1413" s="106"/>
      <c r="QU1413" s="106"/>
      <c r="QV1413" s="106"/>
      <c r="QW1413" s="106"/>
      <c r="QX1413" s="106"/>
      <c r="QY1413" s="106"/>
      <c r="QZ1413" s="106"/>
      <c r="RA1413" s="106"/>
      <c r="RB1413" s="106"/>
      <c r="RC1413" s="106"/>
      <c r="RD1413" s="106"/>
      <c r="RE1413" s="106"/>
      <c r="RF1413" s="106"/>
      <c r="RG1413" s="106"/>
      <c r="RH1413" s="106"/>
      <c r="RI1413" s="106"/>
      <c r="RJ1413" s="106"/>
      <c r="RK1413" s="106"/>
      <c r="RL1413" s="106"/>
    </row>
    <row r="1414" spans="48:480" x14ac:dyDescent="0.3">
      <c r="AV1414" s="103"/>
      <c r="CJ1414" s="103"/>
      <c r="FP1414" s="103"/>
      <c r="LL1414" s="103"/>
      <c r="NM1414" s="103"/>
      <c r="QT1414" s="106"/>
      <c r="QU1414" s="106"/>
      <c r="QV1414" s="106"/>
      <c r="QW1414" s="106"/>
      <c r="QX1414" s="106"/>
      <c r="QY1414" s="106"/>
      <c r="QZ1414" s="106"/>
      <c r="RA1414" s="106"/>
      <c r="RB1414" s="106"/>
      <c r="RC1414" s="106"/>
      <c r="RD1414" s="106"/>
      <c r="RE1414" s="106"/>
      <c r="RF1414" s="106"/>
      <c r="RG1414" s="106"/>
      <c r="RH1414" s="106"/>
      <c r="RI1414" s="106"/>
      <c r="RJ1414" s="106"/>
      <c r="RK1414" s="106"/>
      <c r="RL1414" s="106"/>
    </row>
    <row r="1415" spans="48:480" x14ac:dyDescent="0.3">
      <c r="AV1415" s="103"/>
      <c r="CJ1415" s="103"/>
      <c r="FP1415" s="103"/>
      <c r="LL1415" s="103"/>
      <c r="NM1415" s="103"/>
      <c r="QT1415" s="106"/>
      <c r="QU1415" s="106"/>
      <c r="QV1415" s="106"/>
      <c r="QW1415" s="106"/>
      <c r="QX1415" s="106"/>
      <c r="QY1415" s="106"/>
      <c r="QZ1415" s="106"/>
      <c r="RA1415" s="106"/>
      <c r="RB1415" s="106"/>
      <c r="RC1415" s="106"/>
      <c r="RD1415" s="106"/>
      <c r="RE1415" s="106"/>
      <c r="RF1415" s="106"/>
      <c r="RG1415" s="106"/>
      <c r="RH1415" s="106"/>
      <c r="RI1415" s="106"/>
      <c r="RJ1415" s="106"/>
      <c r="RK1415" s="106"/>
      <c r="RL1415" s="106"/>
    </row>
    <row r="1416" spans="48:480" x14ac:dyDescent="0.3">
      <c r="AV1416" s="103"/>
      <c r="CJ1416" s="103"/>
      <c r="FP1416" s="103"/>
      <c r="LL1416" s="103"/>
      <c r="NM1416" s="103"/>
      <c r="QT1416" s="106"/>
      <c r="QU1416" s="106"/>
      <c r="QV1416" s="106"/>
      <c r="QW1416" s="106"/>
      <c r="QX1416" s="106"/>
      <c r="QY1416" s="106"/>
      <c r="QZ1416" s="106"/>
      <c r="RA1416" s="106"/>
      <c r="RB1416" s="106"/>
      <c r="RC1416" s="106"/>
      <c r="RD1416" s="106"/>
      <c r="RE1416" s="106"/>
      <c r="RF1416" s="106"/>
      <c r="RG1416" s="106"/>
      <c r="RH1416" s="106"/>
      <c r="RI1416" s="106"/>
      <c r="RJ1416" s="106"/>
      <c r="RK1416" s="106"/>
      <c r="RL1416" s="106"/>
    </row>
    <row r="1417" spans="48:480" x14ac:dyDescent="0.3">
      <c r="CJ1417" s="103"/>
      <c r="FP1417" s="103"/>
      <c r="LL1417" s="103"/>
      <c r="NM1417" s="103"/>
      <c r="QT1417" s="106"/>
      <c r="QU1417" s="106"/>
      <c r="QV1417" s="106"/>
      <c r="QW1417" s="106"/>
      <c r="QX1417" s="106"/>
      <c r="QY1417" s="106"/>
      <c r="QZ1417" s="106"/>
      <c r="RA1417" s="106"/>
      <c r="RB1417" s="106"/>
      <c r="RC1417" s="106"/>
      <c r="RD1417" s="106"/>
      <c r="RE1417" s="106"/>
      <c r="RF1417" s="106"/>
      <c r="RG1417" s="106"/>
      <c r="RH1417" s="106"/>
      <c r="RI1417" s="106"/>
      <c r="RJ1417" s="106"/>
      <c r="RK1417" s="106"/>
      <c r="RL1417" s="106"/>
    </row>
    <row r="1418" spans="48:480" x14ac:dyDescent="0.3">
      <c r="AV1418" s="103"/>
      <c r="CJ1418" s="103"/>
      <c r="FP1418" s="103"/>
      <c r="LL1418" s="103"/>
      <c r="NM1418" s="103"/>
      <c r="QT1418" s="106"/>
      <c r="QU1418" s="106"/>
      <c r="QV1418" s="106"/>
      <c r="QW1418" s="106"/>
      <c r="QX1418" s="106"/>
      <c r="QY1418" s="106"/>
      <c r="QZ1418" s="106"/>
      <c r="RA1418" s="106"/>
      <c r="RB1418" s="106"/>
      <c r="RC1418" s="106"/>
      <c r="RD1418" s="106"/>
      <c r="RE1418" s="106"/>
      <c r="RF1418" s="106"/>
      <c r="RG1418" s="106"/>
      <c r="RH1418" s="106"/>
      <c r="RI1418" s="106"/>
      <c r="RJ1418" s="106"/>
      <c r="RK1418" s="106"/>
      <c r="RL1418" s="106"/>
    </row>
    <row r="1419" spans="48:480" x14ac:dyDescent="0.3">
      <c r="CJ1419" s="103"/>
      <c r="FP1419" s="103"/>
      <c r="LL1419" s="103"/>
      <c r="NM1419" s="103"/>
      <c r="QT1419" s="106"/>
      <c r="QU1419" s="106"/>
      <c r="QV1419" s="106"/>
      <c r="QW1419" s="106"/>
      <c r="QX1419" s="106"/>
      <c r="QY1419" s="106"/>
      <c r="QZ1419" s="106"/>
      <c r="RA1419" s="106"/>
      <c r="RB1419" s="106"/>
      <c r="RC1419" s="106"/>
      <c r="RD1419" s="106"/>
      <c r="RE1419" s="106"/>
      <c r="RF1419" s="106"/>
      <c r="RG1419" s="106"/>
      <c r="RH1419" s="106"/>
      <c r="RI1419" s="106"/>
      <c r="RJ1419" s="106"/>
      <c r="RK1419" s="106"/>
      <c r="RL1419" s="106"/>
    </row>
    <row r="1420" spans="48:480" x14ac:dyDescent="0.3">
      <c r="AV1420" s="103"/>
      <c r="CJ1420" s="103"/>
      <c r="FP1420" s="103"/>
      <c r="LL1420" s="103"/>
      <c r="NM1420" s="103"/>
      <c r="QT1420" s="106"/>
      <c r="QU1420" s="106"/>
      <c r="QV1420" s="106"/>
      <c r="QW1420" s="106"/>
      <c r="QX1420" s="106"/>
      <c r="QY1420" s="106"/>
      <c r="QZ1420" s="106"/>
      <c r="RA1420" s="106"/>
      <c r="RB1420" s="106"/>
      <c r="RC1420" s="106"/>
      <c r="RD1420" s="106"/>
      <c r="RE1420" s="106"/>
      <c r="RF1420" s="106"/>
      <c r="RG1420" s="106"/>
      <c r="RH1420" s="106"/>
      <c r="RI1420" s="106"/>
      <c r="RJ1420" s="106"/>
      <c r="RK1420" s="106"/>
      <c r="RL1420" s="106"/>
    </row>
    <row r="1421" spans="48:480" x14ac:dyDescent="0.3">
      <c r="AV1421" s="103"/>
      <c r="CJ1421" s="103"/>
      <c r="FP1421" s="103"/>
      <c r="LL1421" s="103"/>
      <c r="NM1421" s="103"/>
      <c r="QT1421" s="106"/>
      <c r="QU1421" s="106"/>
      <c r="QV1421" s="106"/>
      <c r="QW1421" s="106"/>
      <c r="QX1421" s="106"/>
      <c r="QY1421" s="106"/>
      <c r="QZ1421" s="106"/>
      <c r="RA1421" s="106"/>
      <c r="RB1421" s="106"/>
      <c r="RC1421" s="106"/>
      <c r="RD1421" s="106"/>
      <c r="RE1421" s="106"/>
      <c r="RF1421" s="106"/>
      <c r="RG1421" s="106"/>
      <c r="RH1421" s="106"/>
      <c r="RI1421" s="106"/>
      <c r="RJ1421" s="106"/>
      <c r="RK1421" s="106"/>
      <c r="RL1421" s="106"/>
    </row>
    <row r="1422" spans="48:480" x14ac:dyDescent="0.3">
      <c r="CJ1422" s="103"/>
      <c r="FP1422" s="103"/>
      <c r="LL1422" s="103"/>
      <c r="NM1422" s="103"/>
      <c r="QT1422" s="106"/>
      <c r="QU1422" s="106"/>
      <c r="QV1422" s="106"/>
      <c r="QW1422" s="106"/>
      <c r="QX1422" s="106"/>
      <c r="QY1422" s="106"/>
      <c r="QZ1422" s="106"/>
      <c r="RA1422" s="106"/>
      <c r="RB1422" s="106"/>
      <c r="RC1422" s="106"/>
      <c r="RD1422" s="106"/>
      <c r="RE1422" s="106"/>
      <c r="RF1422" s="106"/>
      <c r="RG1422" s="106"/>
      <c r="RH1422" s="106"/>
      <c r="RI1422" s="106"/>
      <c r="RJ1422" s="106"/>
      <c r="RK1422" s="106"/>
      <c r="RL1422" s="106"/>
    </row>
    <row r="1423" spans="48:480" x14ac:dyDescent="0.3">
      <c r="AV1423" s="103"/>
      <c r="CJ1423" s="103"/>
      <c r="FP1423" s="103"/>
      <c r="LL1423" s="103"/>
      <c r="NM1423" s="103"/>
      <c r="QT1423" s="106"/>
      <c r="QU1423" s="106"/>
      <c r="QV1423" s="106"/>
      <c r="QW1423" s="106"/>
      <c r="QX1423" s="106"/>
      <c r="QY1423" s="106"/>
      <c r="QZ1423" s="106"/>
      <c r="RA1423" s="106"/>
      <c r="RB1423" s="106"/>
      <c r="RC1423" s="106"/>
      <c r="RD1423" s="106"/>
      <c r="RE1423" s="106"/>
      <c r="RF1423" s="106"/>
      <c r="RG1423" s="106"/>
      <c r="RH1423" s="106"/>
      <c r="RI1423" s="106"/>
      <c r="RJ1423" s="106"/>
      <c r="RK1423" s="106"/>
      <c r="RL1423" s="106"/>
    </row>
    <row r="1424" spans="48:480" x14ac:dyDescent="0.3">
      <c r="CJ1424" s="103"/>
      <c r="FP1424" s="103"/>
      <c r="LL1424" s="103"/>
      <c r="NM1424" s="103"/>
      <c r="QT1424" s="106"/>
      <c r="QU1424" s="106"/>
      <c r="QV1424" s="106"/>
      <c r="QW1424" s="106"/>
      <c r="QX1424" s="106"/>
      <c r="QY1424" s="106"/>
      <c r="QZ1424" s="106"/>
      <c r="RA1424" s="106"/>
      <c r="RB1424" s="106"/>
      <c r="RC1424" s="106"/>
      <c r="RD1424" s="106"/>
      <c r="RE1424" s="106"/>
      <c r="RF1424" s="106"/>
      <c r="RG1424" s="106"/>
      <c r="RH1424" s="106"/>
      <c r="RI1424" s="106"/>
      <c r="RJ1424" s="106"/>
      <c r="RK1424" s="106"/>
      <c r="RL1424" s="106"/>
    </row>
    <row r="1425" spans="88:480" x14ac:dyDescent="0.3">
      <c r="CJ1425" s="103"/>
      <c r="FP1425" s="103"/>
      <c r="LL1425" s="103"/>
      <c r="NM1425" s="103"/>
      <c r="QT1425" s="106"/>
      <c r="QU1425" s="106"/>
      <c r="QV1425" s="106"/>
      <c r="QW1425" s="106"/>
      <c r="QX1425" s="106"/>
      <c r="QY1425" s="106"/>
      <c r="QZ1425" s="106"/>
      <c r="RA1425" s="106"/>
      <c r="RB1425" s="106"/>
      <c r="RC1425" s="106"/>
      <c r="RD1425" s="106"/>
      <c r="RE1425" s="106"/>
      <c r="RF1425" s="106"/>
      <c r="RG1425" s="106"/>
      <c r="RH1425" s="106"/>
      <c r="RI1425" s="106"/>
      <c r="RJ1425" s="106"/>
      <c r="RK1425" s="106"/>
      <c r="RL1425" s="106"/>
    </row>
    <row r="1426" spans="88:480" x14ac:dyDescent="0.3">
      <c r="CJ1426" s="103"/>
      <c r="FP1426" s="103"/>
      <c r="LL1426" s="103"/>
      <c r="NM1426" s="103"/>
      <c r="QT1426" s="106"/>
      <c r="QU1426" s="106"/>
      <c r="QV1426" s="106"/>
      <c r="QW1426" s="106"/>
      <c r="QX1426" s="106"/>
      <c r="QY1426" s="106"/>
      <c r="QZ1426" s="106"/>
      <c r="RA1426" s="106"/>
      <c r="RB1426" s="106"/>
      <c r="RC1426" s="106"/>
      <c r="RD1426" s="106"/>
      <c r="RE1426" s="106"/>
      <c r="RF1426" s="106"/>
      <c r="RG1426" s="106"/>
      <c r="RH1426" s="106"/>
      <c r="RI1426" s="106"/>
      <c r="RJ1426" s="106"/>
      <c r="RK1426" s="106"/>
      <c r="RL1426" s="106"/>
    </row>
    <row r="1427" spans="88:480" x14ac:dyDescent="0.3">
      <c r="CJ1427" s="103"/>
      <c r="FP1427" s="103"/>
      <c r="LL1427" s="103"/>
      <c r="NM1427" s="103"/>
      <c r="QT1427" s="106"/>
      <c r="QU1427" s="106"/>
      <c r="QV1427" s="106"/>
      <c r="QW1427" s="106"/>
      <c r="QX1427" s="106"/>
      <c r="QY1427" s="106"/>
      <c r="QZ1427" s="106"/>
      <c r="RA1427" s="106"/>
      <c r="RB1427" s="106"/>
      <c r="RC1427" s="106"/>
      <c r="RD1427" s="106"/>
      <c r="RE1427" s="106"/>
      <c r="RF1427" s="106"/>
      <c r="RG1427" s="106"/>
      <c r="RH1427" s="106"/>
      <c r="RI1427" s="106"/>
      <c r="RJ1427" s="106"/>
      <c r="RK1427" s="106"/>
      <c r="RL1427" s="106"/>
    </row>
    <row r="1428" spans="88:480" x14ac:dyDescent="0.3">
      <c r="CJ1428" s="103"/>
      <c r="FP1428" s="103"/>
      <c r="LL1428" s="103"/>
      <c r="NM1428" s="103"/>
      <c r="QT1428" s="106"/>
      <c r="QU1428" s="106"/>
      <c r="QV1428" s="106"/>
      <c r="QW1428" s="106"/>
      <c r="QX1428" s="106"/>
      <c r="QY1428" s="106"/>
      <c r="QZ1428" s="106"/>
      <c r="RA1428" s="106"/>
      <c r="RB1428" s="106"/>
      <c r="RC1428" s="106"/>
      <c r="RD1428" s="106"/>
      <c r="RE1428" s="106"/>
      <c r="RF1428" s="106"/>
      <c r="RG1428" s="106"/>
      <c r="RH1428" s="106"/>
      <c r="RI1428" s="106"/>
      <c r="RJ1428" s="106"/>
      <c r="RK1428" s="106"/>
      <c r="RL1428" s="106"/>
    </row>
    <row r="1429" spans="88:480" x14ac:dyDescent="0.3">
      <c r="CJ1429" s="103"/>
      <c r="FP1429" s="103"/>
      <c r="LL1429" s="103"/>
      <c r="NM1429" s="103"/>
      <c r="QT1429" s="106"/>
      <c r="QU1429" s="106"/>
      <c r="QV1429" s="106"/>
      <c r="QW1429" s="106"/>
      <c r="QX1429" s="106"/>
      <c r="QY1429" s="106"/>
      <c r="QZ1429" s="106"/>
      <c r="RA1429" s="106"/>
      <c r="RB1429" s="106"/>
      <c r="RC1429" s="106"/>
      <c r="RD1429" s="106"/>
      <c r="RE1429" s="106"/>
      <c r="RF1429" s="106"/>
      <c r="RG1429" s="106"/>
      <c r="RH1429" s="106"/>
      <c r="RI1429" s="106"/>
      <c r="RJ1429" s="106"/>
      <c r="RK1429" s="106"/>
      <c r="RL1429" s="106"/>
    </row>
    <row r="1430" spans="88:480" x14ac:dyDescent="0.3">
      <c r="CJ1430" s="103"/>
      <c r="FP1430" s="103"/>
      <c r="LL1430" s="103"/>
      <c r="NM1430" s="103"/>
      <c r="QT1430" s="106"/>
      <c r="QU1430" s="106"/>
      <c r="QV1430" s="106"/>
      <c r="QW1430" s="106"/>
      <c r="QX1430" s="106"/>
      <c r="QY1430" s="106"/>
      <c r="QZ1430" s="106"/>
      <c r="RA1430" s="106"/>
      <c r="RB1430" s="106"/>
      <c r="RC1430" s="106"/>
      <c r="RD1430" s="106"/>
      <c r="RE1430" s="106"/>
      <c r="RF1430" s="106"/>
      <c r="RG1430" s="106"/>
      <c r="RH1430" s="106"/>
      <c r="RI1430" s="106"/>
      <c r="RJ1430" s="106"/>
      <c r="RK1430" s="106"/>
      <c r="RL1430" s="106"/>
    </row>
    <row r="1431" spans="88:480" x14ac:dyDescent="0.3">
      <c r="CJ1431" s="103"/>
      <c r="FP1431" s="103"/>
      <c r="LL1431" s="103"/>
      <c r="NM1431" s="103"/>
      <c r="QT1431" s="106"/>
      <c r="QU1431" s="106"/>
      <c r="QV1431" s="106"/>
      <c r="QW1431" s="106"/>
      <c r="QX1431" s="106"/>
      <c r="QY1431" s="106"/>
      <c r="QZ1431" s="106"/>
      <c r="RA1431" s="106"/>
      <c r="RB1431" s="106"/>
      <c r="RC1431" s="106"/>
      <c r="RD1431" s="106"/>
      <c r="RE1431" s="106"/>
      <c r="RF1431" s="106"/>
      <c r="RG1431" s="106"/>
      <c r="RH1431" s="106"/>
      <c r="RI1431" s="106"/>
      <c r="RJ1431" s="106"/>
      <c r="RK1431" s="106"/>
      <c r="RL1431" s="106"/>
    </row>
    <row r="1432" spans="88:480" x14ac:dyDescent="0.3">
      <c r="CJ1432" s="103"/>
      <c r="FP1432" s="103"/>
      <c r="LL1432" s="103"/>
      <c r="NM1432" s="103"/>
      <c r="QT1432" s="106"/>
      <c r="QU1432" s="106"/>
      <c r="QV1432" s="106"/>
      <c r="QW1432" s="106"/>
      <c r="QX1432" s="106"/>
      <c r="QY1432" s="106"/>
      <c r="QZ1432" s="106"/>
      <c r="RA1432" s="106"/>
      <c r="RB1432" s="106"/>
      <c r="RC1432" s="106"/>
      <c r="RD1432" s="106"/>
      <c r="RE1432" s="106"/>
      <c r="RF1432" s="106"/>
      <c r="RG1432" s="106"/>
      <c r="RH1432" s="106"/>
      <c r="RI1432" s="106"/>
      <c r="RJ1432" s="106"/>
      <c r="RK1432" s="106"/>
      <c r="RL1432" s="106"/>
    </row>
    <row r="1433" spans="88:480" x14ac:dyDescent="0.3">
      <c r="CJ1433" s="103"/>
      <c r="FP1433" s="103"/>
      <c r="LL1433" s="103"/>
      <c r="NM1433" s="103"/>
      <c r="QT1433" s="106"/>
      <c r="QU1433" s="106"/>
      <c r="QV1433" s="106"/>
      <c r="QW1433" s="106"/>
      <c r="QX1433" s="106"/>
      <c r="QY1433" s="106"/>
      <c r="QZ1433" s="106"/>
      <c r="RA1433" s="106"/>
      <c r="RB1433" s="106"/>
      <c r="RC1433" s="106"/>
      <c r="RD1433" s="106"/>
      <c r="RE1433" s="106"/>
      <c r="RF1433" s="106"/>
      <c r="RG1433" s="106"/>
      <c r="RH1433" s="106"/>
      <c r="RI1433" s="106"/>
      <c r="RJ1433" s="106"/>
      <c r="RK1433" s="106"/>
      <c r="RL1433" s="106"/>
    </row>
    <row r="1434" spans="88:480" x14ac:dyDescent="0.3">
      <c r="CJ1434" s="103"/>
      <c r="FP1434" s="103"/>
      <c r="LL1434" s="103"/>
      <c r="NM1434" s="103"/>
      <c r="QT1434" s="106"/>
      <c r="QU1434" s="106"/>
      <c r="QV1434" s="106"/>
      <c r="QW1434" s="106"/>
      <c r="QX1434" s="106"/>
      <c r="QY1434" s="106"/>
      <c r="QZ1434" s="106"/>
      <c r="RA1434" s="106"/>
      <c r="RB1434" s="106"/>
      <c r="RC1434" s="106"/>
      <c r="RD1434" s="106"/>
      <c r="RE1434" s="106"/>
      <c r="RF1434" s="106"/>
      <c r="RG1434" s="106"/>
      <c r="RH1434" s="106"/>
      <c r="RI1434" s="106"/>
      <c r="RJ1434" s="106"/>
      <c r="RK1434" s="106"/>
      <c r="RL1434" s="106"/>
    </row>
    <row r="1435" spans="88:480" x14ac:dyDescent="0.3">
      <c r="CJ1435" s="103"/>
      <c r="FP1435" s="103"/>
      <c r="LL1435" s="103"/>
      <c r="NM1435" s="103"/>
      <c r="QT1435" s="106"/>
      <c r="QU1435" s="106"/>
      <c r="QV1435" s="106"/>
      <c r="QW1435" s="106"/>
      <c r="QX1435" s="106"/>
      <c r="QY1435" s="106"/>
      <c r="QZ1435" s="106"/>
      <c r="RA1435" s="106"/>
      <c r="RB1435" s="106"/>
      <c r="RC1435" s="106"/>
      <c r="RD1435" s="106"/>
      <c r="RE1435" s="106"/>
      <c r="RF1435" s="106"/>
      <c r="RG1435" s="106"/>
      <c r="RH1435" s="106"/>
      <c r="RI1435" s="106"/>
      <c r="RJ1435" s="106"/>
      <c r="RK1435" s="106"/>
      <c r="RL1435" s="106"/>
    </row>
    <row r="1436" spans="88:480" x14ac:dyDescent="0.3">
      <c r="CJ1436" s="103"/>
      <c r="FP1436" s="103"/>
      <c r="LL1436" s="103"/>
      <c r="NM1436" s="103"/>
      <c r="QT1436" s="106"/>
      <c r="QU1436" s="106"/>
      <c r="QV1436" s="106"/>
      <c r="QW1436" s="106"/>
      <c r="QX1436" s="106"/>
      <c r="QY1436" s="106"/>
      <c r="QZ1436" s="106"/>
      <c r="RA1436" s="106"/>
      <c r="RB1436" s="106"/>
      <c r="RC1436" s="106"/>
      <c r="RD1436" s="106"/>
      <c r="RE1436" s="106"/>
      <c r="RF1436" s="106"/>
      <c r="RG1436" s="106"/>
      <c r="RH1436" s="106"/>
      <c r="RI1436" s="106"/>
      <c r="RJ1436" s="106"/>
      <c r="RK1436" s="106"/>
      <c r="RL1436" s="106"/>
    </row>
    <row r="1437" spans="88:480" x14ac:dyDescent="0.3">
      <c r="CJ1437" s="103"/>
      <c r="FP1437" s="103"/>
      <c r="LL1437" s="103"/>
      <c r="NM1437" s="103"/>
      <c r="QT1437" s="106"/>
      <c r="QU1437" s="106"/>
      <c r="QV1437" s="106"/>
      <c r="QW1437" s="106"/>
      <c r="QX1437" s="106"/>
      <c r="QY1437" s="106"/>
      <c r="QZ1437" s="106"/>
      <c r="RA1437" s="106"/>
      <c r="RB1437" s="106"/>
      <c r="RC1437" s="106"/>
      <c r="RD1437" s="106"/>
      <c r="RE1437" s="106"/>
      <c r="RF1437" s="106"/>
      <c r="RG1437" s="106"/>
      <c r="RH1437" s="106"/>
      <c r="RI1437" s="106"/>
      <c r="RJ1437" s="106"/>
      <c r="RK1437" s="106"/>
      <c r="RL1437" s="106"/>
    </row>
    <row r="1438" spans="88:480" x14ac:dyDescent="0.3">
      <c r="CJ1438" s="103"/>
      <c r="FP1438" s="103"/>
      <c r="LL1438" s="103"/>
      <c r="NM1438" s="103"/>
      <c r="QT1438" s="106"/>
      <c r="QU1438" s="106"/>
      <c r="QV1438" s="106"/>
      <c r="QW1438" s="106"/>
      <c r="QX1438" s="106"/>
      <c r="QY1438" s="106"/>
      <c r="QZ1438" s="106"/>
      <c r="RA1438" s="106"/>
      <c r="RB1438" s="106"/>
      <c r="RC1438" s="106"/>
      <c r="RD1438" s="106"/>
      <c r="RE1438" s="106"/>
      <c r="RF1438" s="106"/>
      <c r="RG1438" s="106"/>
      <c r="RH1438" s="106"/>
      <c r="RI1438" s="106"/>
      <c r="RJ1438" s="106"/>
      <c r="RK1438" s="106"/>
      <c r="RL1438" s="106"/>
    </row>
    <row r="1439" spans="88:480" x14ac:dyDescent="0.3">
      <c r="CJ1439" s="103"/>
      <c r="FP1439" s="103"/>
      <c r="LL1439" s="103"/>
      <c r="NM1439" s="103"/>
      <c r="QT1439" s="106"/>
      <c r="QU1439" s="106"/>
      <c r="QV1439" s="106"/>
      <c r="QW1439" s="106"/>
      <c r="QX1439" s="106"/>
      <c r="QY1439" s="106"/>
      <c r="QZ1439" s="106"/>
      <c r="RA1439" s="106"/>
      <c r="RB1439" s="106"/>
      <c r="RC1439" s="106"/>
      <c r="RD1439" s="106"/>
      <c r="RE1439" s="106"/>
      <c r="RF1439" s="106"/>
      <c r="RG1439" s="106"/>
      <c r="RH1439" s="106"/>
      <c r="RI1439" s="106"/>
      <c r="RJ1439" s="106"/>
      <c r="RK1439" s="106"/>
      <c r="RL1439" s="106"/>
    </row>
    <row r="1440" spans="88:480" x14ac:dyDescent="0.3">
      <c r="CJ1440" s="103"/>
      <c r="FP1440" s="103"/>
      <c r="LL1440" s="103"/>
      <c r="NM1440" s="103"/>
      <c r="QT1440" s="106"/>
      <c r="QU1440" s="106"/>
      <c r="QV1440" s="106"/>
      <c r="QW1440" s="106"/>
      <c r="QX1440" s="106"/>
      <c r="QY1440" s="106"/>
      <c r="QZ1440" s="106"/>
      <c r="RA1440" s="106"/>
      <c r="RB1440" s="106"/>
      <c r="RC1440" s="106"/>
      <c r="RD1440" s="106"/>
      <c r="RE1440" s="106"/>
      <c r="RF1440" s="106"/>
      <c r="RG1440" s="106"/>
      <c r="RH1440" s="106"/>
      <c r="RI1440" s="106"/>
      <c r="RJ1440" s="106"/>
      <c r="RK1440" s="106"/>
      <c r="RL1440" s="106"/>
    </row>
    <row r="1441" spans="88:480" x14ac:dyDescent="0.3">
      <c r="CJ1441" s="103"/>
      <c r="FP1441" s="103"/>
      <c r="LL1441" s="103"/>
      <c r="NM1441" s="103"/>
      <c r="QT1441" s="106"/>
      <c r="QU1441" s="106"/>
      <c r="QV1441" s="106"/>
      <c r="QW1441" s="106"/>
      <c r="QX1441" s="106"/>
      <c r="QY1441" s="106"/>
      <c r="QZ1441" s="106"/>
      <c r="RA1441" s="106"/>
      <c r="RB1441" s="106"/>
      <c r="RC1441" s="106"/>
      <c r="RD1441" s="106"/>
      <c r="RE1441" s="106"/>
      <c r="RF1441" s="106"/>
      <c r="RG1441" s="106"/>
      <c r="RH1441" s="106"/>
      <c r="RI1441" s="106"/>
      <c r="RJ1441" s="106"/>
      <c r="RK1441" s="106"/>
      <c r="RL1441" s="106"/>
    </row>
    <row r="1442" spans="88:480" x14ac:dyDescent="0.3">
      <c r="CJ1442" s="103"/>
      <c r="FP1442" s="103"/>
      <c r="LL1442" s="103"/>
      <c r="NM1442" s="103"/>
      <c r="QT1442" s="106"/>
      <c r="QU1442" s="106"/>
      <c r="QV1442" s="106"/>
      <c r="QW1442" s="106"/>
      <c r="QX1442" s="106"/>
      <c r="QY1442" s="106"/>
      <c r="QZ1442" s="106"/>
      <c r="RA1442" s="106"/>
      <c r="RB1442" s="106"/>
      <c r="RC1442" s="106"/>
      <c r="RD1442" s="106"/>
      <c r="RE1442" s="106"/>
      <c r="RF1442" s="106"/>
      <c r="RG1442" s="106"/>
      <c r="RH1442" s="106"/>
      <c r="RI1442" s="106"/>
      <c r="RJ1442" s="106"/>
      <c r="RK1442" s="106"/>
      <c r="RL1442" s="106"/>
    </row>
    <row r="1443" spans="88:480" x14ac:dyDescent="0.3">
      <c r="CJ1443" s="103"/>
      <c r="FP1443" s="103"/>
      <c r="LL1443" s="103"/>
      <c r="NM1443" s="103"/>
      <c r="QT1443" s="106"/>
      <c r="QU1443" s="106"/>
      <c r="QV1443" s="106"/>
      <c r="QW1443" s="106"/>
      <c r="QX1443" s="106"/>
      <c r="QY1443" s="106"/>
      <c r="QZ1443" s="106"/>
      <c r="RA1443" s="106"/>
      <c r="RB1443" s="106"/>
      <c r="RC1443" s="106"/>
      <c r="RD1443" s="106"/>
      <c r="RE1443" s="106"/>
      <c r="RF1443" s="106"/>
      <c r="RG1443" s="106"/>
      <c r="RH1443" s="106"/>
      <c r="RI1443" s="106"/>
      <c r="RJ1443" s="106"/>
      <c r="RK1443" s="106"/>
      <c r="RL1443" s="106"/>
    </row>
    <row r="1444" spans="88:480" x14ac:dyDescent="0.3">
      <c r="CJ1444" s="103"/>
      <c r="FP1444" s="103"/>
      <c r="LL1444" s="103"/>
      <c r="NM1444" s="103"/>
      <c r="QT1444" s="106"/>
      <c r="QU1444" s="106"/>
      <c r="QV1444" s="106"/>
      <c r="QW1444" s="106"/>
      <c r="QX1444" s="106"/>
      <c r="QY1444" s="106"/>
      <c r="QZ1444" s="106"/>
      <c r="RA1444" s="106"/>
      <c r="RB1444" s="106"/>
      <c r="RC1444" s="106"/>
      <c r="RD1444" s="106"/>
      <c r="RE1444" s="106"/>
      <c r="RF1444" s="106"/>
      <c r="RG1444" s="106"/>
      <c r="RH1444" s="106"/>
      <c r="RI1444" s="106"/>
      <c r="RJ1444" s="106"/>
      <c r="RK1444" s="106"/>
      <c r="RL1444" s="106"/>
    </row>
    <row r="1445" spans="88:480" x14ac:dyDescent="0.3">
      <c r="CJ1445" s="103"/>
      <c r="FP1445" s="103"/>
      <c r="LL1445" s="103"/>
      <c r="NM1445" s="103"/>
      <c r="QT1445" s="106"/>
      <c r="QU1445" s="106"/>
      <c r="QV1445" s="106"/>
      <c r="QW1445" s="106"/>
      <c r="QX1445" s="106"/>
      <c r="QY1445" s="106"/>
      <c r="QZ1445" s="106"/>
      <c r="RA1445" s="106"/>
      <c r="RB1445" s="106"/>
      <c r="RC1445" s="106"/>
      <c r="RD1445" s="106"/>
      <c r="RE1445" s="106"/>
      <c r="RF1445" s="106"/>
      <c r="RG1445" s="106"/>
      <c r="RH1445" s="106"/>
      <c r="RI1445" s="106"/>
      <c r="RJ1445" s="106"/>
      <c r="RK1445" s="106"/>
      <c r="RL1445" s="106"/>
    </row>
    <row r="1446" spans="88:480" x14ac:dyDescent="0.3">
      <c r="CJ1446" s="103"/>
      <c r="FP1446" s="103"/>
      <c r="LL1446" s="103"/>
      <c r="NM1446" s="103"/>
      <c r="QT1446" s="106"/>
      <c r="QU1446" s="106"/>
      <c r="QV1446" s="106"/>
      <c r="QW1446" s="106"/>
      <c r="QX1446" s="106"/>
      <c r="QY1446" s="106"/>
      <c r="QZ1446" s="106"/>
      <c r="RA1446" s="106"/>
      <c r="RB1446" s="106"/>
      <c r="RC1446" s="106"/>
      <c r="RD1446" s="106"/>
      <c r="RE1446" s="106"/>
      <c r="RF1446" s="106"/>
      <c r="RG1446" s="106"/>
      <c r="RH1446" s="106"/>
      <c r="RI1446" s="106"/>
      <c r="RJ1446" s="106"/>
      <c r="RK1446" s="106"/>
      <c r="RL1446" s="106"/>
    </row>
    <row r="1447" spans="88:480" x14ac:dyDescent="0.3">
      <c r="CJ1447" s="103"/>
      <c r="FP1447" s="103"/>
      <c r="LL1447" s="103"/>
      <c r="NM1447" s="103"/>
      <c r="QT1447" s="106"/>
      <c r="QU1447" s="106"/>
      <c r="QV1447" s="106"/>
      <c r="QW1447" s="106"/>
      <c r="QX1447" s="106"/>
      <c r="QY1447" s="106"/>
      <c r="QZ1447" s="106"/>
      <c r="RA1447" s="106"/>
      <c r="RB1447" s="106"/>
      <c r="RC1447" s="106"/>
      <c r="RD1447" s="106"/>
      <c r="RE1447" s="106"/>
      <c r="RF1447" s="106"/>
      <c r="RG1447" s="106"/>
      <c r="RH1447" s="106"/>
      <c r="RI1447" s="106"/>
      <c r="RJ1447" s="106"/>
      <c r="RK1447" s="106"/>
      <c r="RL1447" s="106"/>
    </row>
    <row r="1448" spans="88:480" x14ac:dyDescent="0.3">
      <c r="CJ1448" s="103"/>
      <c r="FP1448" s="103"/>
      <c r="LL1448" s="103"/>
      <c r="NM1448" s="103"/>
      <c r="QT1448" s="106"/>
      <c r="QU1448" s="106"/>
      <c r="QV1448" s="106"/>
      <c r="QW1448" s="106"/>
      <c r="QX1448" s="106"/>
      <c r="QY1448" s="106"/>
      <c r="QZ1448" s="106"/>
      <c r="RA1448" s="106"/>
      <c r="RB1448" s="106"/>
      <c r="RC1448" s="106"/>
      <c r="RD1448" s="106"/>
      <c r="RE1448" s="106"/>
      <c r="RF1448" s="106"/>
      <c r="RG1448" s="106"/>
      <c r="RH1448" s="106"/>
      <c r="RI1448" s="106"/>
      <c r="RJ1448" s="106"/>
      <c r="RK1448" s="106"/>
      <c r="RL1448" s="106"/>
    </row>
    <row r="1449" spans="88:480" x14ac:dyDescent="0.3">
      <c r="CJ1449" s="103"/>
      <c r="FP1449" s="103"/>
      <c r="LL1449" s="103"/>
      <c r="NM1449" s="103"/>
      <c r="QT1449" s="106"/>
      <c r="QU1449" s="106"/>
      <c r="QV1449" s="106"/>
      <c r="QW1449" s="106"/>
      <c r="QX1449" s="106"/>
      <c r="QY1449" s="106"/>
      <c r="QZ1449" s="106"/>
      <c r="RA1449" s="106"/>
      <c r="RB1449" s="106"/>
      <c r="RC1449" s="106"/>
      <c r="RD1449" s="106"/>
      <c r="RE1449" s="106"/>
      <c r="RF1449" s="106"/>
      <c r="RG1449" s="106"/>
      <c r="RH1449" s="106"/>
      <c r="RI1449" s="106"/>
      <c r="RJ1449" s="106"/>
      <c r="RK1449" s="106"/>
      <c r="RL1449" s="106"/>
    </row>
    <row r="1450" spans="88:480" x14ac:dyDescent="0.3">
      <c r="CJ1450" s="103"/>
      <c r="FP1450" s="103"/>
      <c r="LL1450" s="103"/>
      <c r="NM1450" s="103"/>
      <c r="QT1450" s="106"/>
      <c r="QU1450" s="106"/>
      <c r="QV1450" s="106"/>
      <c r="QW1450" s="106"/>
      <c r="QX1450" s="106"/>
      <c r="QY1450" s="106"/>
      <c r="QZ1450" s="106"/>
      <c r="RA1450" s="106"/>
      <c r="RB1450" s="106"/>
      <c r="RC1450" s="106"/>
      <c r="RD1450" s="106"/>
      <c r="RE1450" s="106"/>
      <c r="RF1450" s="106"/>
      <c r="RG1450" s="106"/>
      <c r="RH1450" s="106"/>
      <c r="RI1450" s="106"/>
      <c r="RJ1450" s="106"/>
      <c r="RK1450" s="106"/>
      <c r="RL1450" s="106"/>
    </row>
    <row r="1451" spans="88:480" x14ac:dyDescent="0.3">
      <c r="CJ1451" s="103"/>
      <c r="FP1451" s="103"/>
      <c r="LL1451" s="103"/>
      <c r="NM1451" s="103"/>
      <c r="QT1451" s="106"/>
      <c r="QU1451" s="106"/>
      <c r="QV1451" s="106"/>
      <c r="QW1451" s="106"/>
      <c r="QX1451" s="106"/>
      <c r="QY1451" s="106"/>
      <c r="QZ1451" s="106"/>
      <c r="RA1451" s="106"/>
      <c r="RB1451" s="106"/>
      <c r="RC1451" s="106"/>
      <c r="RD1451" s="106"/>
      <c r="RE1451" s="106"/>
      <c r="RF1451" s="106"/>
      <c r="RG1451" s="106"/>
      <c r="RH1451" s="106"/>
      <c r="RI1451" s="106"/>
      <c r="RJ1451" s="106"/>
      <c r="RK1451" s="106"/>
      <c r="RL1451" s="106"/>
    </row>
    <row r="1452" spans="88:480" x14ac:dyDescent="0.3">
      <c r="CJ1452" s="103"/>
      <c r="FP1452" s="103"/>
      <c r="LL1452" s="103"/>
      <c r="NM1452" s="103"/>
      <c r="QT1452" s="106"/>
      <c r="QU1452" s="106"/>
      <c r="QV1452" s="106"/>
      <c r="QW1452" s="106"/>
      <c r="QX1452" s="106"/>
      <c r="QY1452" s="106"/>
      <c r="QZ1452" s="106"/>
      <c r="RA1452" s="106"/>
      <c r="RB1452" s="106"/>
      <c r="RC1452" s="106"/>
      <c r="RD1452" s="106"/>
      <c r="RE1452" s="106"/>
      <c r="RF1452" s="106"/>
      <c r="RG1452" s="106"/>
      <c r="RH1452" s="106"/>
      <c r="RI1452" s="106"/>
      <c r="RJ1452" s="106"/>
      <c r="RK1452" s="106"/>
      <c r="RL1452" s="106"/>
    </row>
    <row r="1453" spans="88:480" x14ac:dyDescent="0.3">
      <c r="CJ1453" s="103"/>
      <c r="FP1453" s="103"/>
      <c r="LL1453" s="103"/>
      <c r="NM1453" s="103"/>
      <c r="QT1453" s="106"/>
      <c r="QU1453" s="106"/>
      <c r="QV1453" s="106"/>
      <c r="QW1453" s="106"/>
      <c r="QX1453" s="106"/>
      <c r="QY1453" s="106"/>
      <c r="QZ1453" s="106"/>
      <c r="RA1453" s="106"/>
      <c r="RB1453" s="106"/>
      <c r="RC1453" s="106"/>
      <c r="RD1453" s="106"/>
      <c r="RE1453" s="106"/>
      <c r="RF1453" s="106"/>
      <c r="RG1453" s="106"/>
      <c r="RH1453" s="106"/>
      <c r="RI1453" s="106"/>
      <c r="RJ1453" s="106"/>
      <c r="RK1453" s="106"/>
      <c r="RL1453" s="106"/>
    </row>
    <row r="1454" spans="88:480" x14ac:dyDescent="0.3">
      <c r="CJ1454" s="103"/>
      <c r="FP1454" s="103"/>
      <c r="LL1454" s="103"/>
      <c r="NM1454" s="103"/>
      <c r="QT1454" s="106"/>
      <c r="QU1454" s="106"/>
      <c r="QV1454" s="106"/>
      <c r="QW1454" s="106"/>
      <c r="QX1454" s="106"/>
      <c r="QY1454" s="106"/>
      <c r="QZ1454" s="106"/>
      <c r="RA1454" s="106"/>
      <c r="RB1454" s="106"/>
      <c r="RC1454" s="106"/>
      <c r="RD1454" s="106"/>
      <c r="RE1454" s="106"/>
      <c r="RF1454" s="106"/>
      <c r="RG1454" s="106"/>
      <c r="RH1454" s="106"/>
      <c r="RI1454" s="106"/>
      <c r="RJ1454" s="106"/>
      <c r="RK1454" s="106"/>
      <c r="RL1454" s="106"/>
    </row>
    <row r="1455" spans="88:480" x14ac:dyDescent="0.3">
      <c r="CJ1455" s="103"/>
      <c r="FP1455" s="103"/>
      <c r="LL1455" s="103"/>
      <c r="NM1455" s="103"/>
      <c r="QT1455" s="106"/>
      <c r="QU1455" s="106"/>
      <c r="QV1455" s="106"/>
      <c r="QW1455" s="106"/>
      <c r="QX1455" s="106"/>
      <c r="QY1455" s="106"/>
      <c r="QZ1455" s="106"/>
      <c r="RA1455" s="106"/>
      <c r="RB1455" s="106"/>
      <c r="RC1455" s="106"/>
      <c r="RD1455" s="106"/>
      <c r="RE1455" s="106"/>
      <c r="RF1455" s="106"/>
      <c r="RG1455" s="106"/>
      <c r="RH1455" s="106"/>
      <c r="RI1455" s="106"/>
      <c r="RJ1455" s="106"/>
      <c r="RK1455" s="106"/>
      <c r="RL1455" s="106"/>
    </row>
    <row r="1456" spans="88:480" x14ac:dyDescent="0.3">
      <c r="CJ1456" s="103"/>
      <c r="FP1456" s="103"/>
      <c r="LL1456" s="103"/>
      <c r="NM1456" s="103"/>
      <c r="QT1456" s="106"/>
      <c r="QU1456" s="106"/>
      <c r="QV1456" s="106"/>
      <c r="QW1456" s="106"/>
      <c r="QX1456" s="106"/>
      <c r="QY1456" s="106"/>
      <c r="QZ1456" s="106"/>
      <c r="RA1456" s="106"/>
      <c r="RB1456" s="106"/>
      <c r="RC1456" s="106"/>
      <c r="RD1456" s="106"/>
      <c r="RE1456" s="106"/>
      <c r="RF1456" s="106"/>
      <c r="RG1456" s="106"/>
      <c r="RH1456" s="106"/>
      <c r="RI1456" s="106"/>
      <c r="RJ1456" s="106"/>
      <c r="RK1456" s="106"/>
      <c r="RL1456" s="106"/>
    </row>
    <row r="1457" spans="48:480" x14ac:dyDescent="0.3">
      <c r="CJ1457" s="103"/>
      <c r="FP1457" s="103"/>
      <c r="LL1457" s="103"/>
      <c r="NM1457" s="103"/>
      <c r="QT1457" s="106"/>
      <c r="QU1457" s="106"/>
      <c r="QV1457" s="106"/>
      <c r="QW1457" s="106"/>
      <c r="QX1457" s="106"/>
      <c r="QY1457" s="106"/>
      <c r="QZ1457" s="106"/>
      <c r="RA1457" s="106"/>
      <c r="RB1457" s="106"/>
      <c r="RC1457" s="106"/>
      <c r="RD1457" s="106"/>
      <c r="RE1457" s="106"/>
      <c r="RF1457" s="106"/>
      <c r="RG1457" s="106"/>
      <c r="RH1457" s="106"/>
      <c r="RI1457" s="106"/>
      <c r="RJ1457" s="106"/>
      <c r="RK1457" s="106"/>
      <c r="RL1457" s="106"/>
    </row>
    <row r="1458" spans="48:480" x14ac:dyDescent="0.3">
      <c r="CJ1458" s="103"/>
      <c r="FP1458" s="103"/>
      <c r="LL1458" s="103"/>
      <c r="NM1458" s="103"/>
      <c r="QT1458" s="106"/>
      <c r="QU1458" s="106"/>
      <c r="QV1458" s="106"/>
      <c r="QW1458" s="106"/>
      <c r="QX1458" s="106"/>
      <c r="QY1458" s="106"/>
      <c r="QZ1458" s="106"/>
      <c r="RA1458" s="106"/>
      <c r="RB1458" s="106"/>
      <c r="RC1458" s="106"/>
      <c r="RD1458" s="106"/>
      <c r="RE1458" s="106"/>
      <c r="RF1458" s="106"/>
      <c r="RG1458" s="106"/>
      <c r="RH1458" s="106"/>
      <c r="RI1458" s="106"/>
      <c r="RJ1458" s="106"/>
      <c r="RK1458" s="106"/>
      <c r="RL1458" s="106"/>
    </row>
    <row r="1459" spans="48:480" x14ac:dyDescent="0.3">
      <c r="CJ1459" s="103"/>
      <c r="FP1459" s="103"/>
      <c r="LL1459" s="103"/>
      <c r="NM1459" s="103"/>
      <c r="QT1459" s="106"/>
      <c r="QU1459" s="106"/>
      <c r="QV1459" s="106"/>
      <c r="QW1459" s="106"/>
      <c r="QX1459" s="106"/>
      <c r="QY1459" s="106"/>
      <c r="QZ1459" s="106"/>
      <c r="RA1459" s="106"/>
      <c r="RB1459" s="106"/>
      <c r="RC1459" s="106"/>
      <c r="RD1459" s="106"/>
      <c r="RE1459" s="106"/>
      <c r="RF1459" s="106"/>
      <c r="RG1459" s="106"/>
      <c r="RH1459" s="106"/>
      <c r="RI1459" s="106"/>
      <c r="RJ1459" s="106"/>
      <c r="RK1459" s="106"/>
      <c r="RL1459" s="106"/>
    </row>
    <row r="1460" spans="48:480" x14ac:dyDescent="0.3">
      <c r="CJ1460" s="103"/>
      <c r="FP1460" s="103"/>
      <c r="LL1460" s="103"/>
      <c r="NM1460" s="103"/>
      <c r="QT1460" s="106"/>
      <c r="QU1460" s="106"/>
      <c r="QV1460" s="106"/>
      <c r="QW1460" s="106"/>
      <c r="QX1460" s="106"/>
      <c r="QY1460" s="106"/>
      <c r="QZ1460" s="106"/>
      <c r="RA1460" s="106"/>
      <c r="RB1460" s="106"/>
      <c r="RC1460" s="106"/>
      <c r="RD1460" s="106"/>
      <c r="RE1460" s="106"/>
      <c r="RF1460" s="106"/>
      <c r="RG1460" s="106"/>
      <c r="RH1460" s="106"/>
      <c r="RI1460" s="106"/>
      <c r="RJ1460" s="106"/>
      <c r="RK1460" s="106"/>
      <c r="RL1460" s="106"/>
    </row>
    <row r="1461" spans="48:480" x14ac:dyDescent="0.3">
      <c r="CJ1461" s="103"/>
      <c r="FP1461" s="103"/>
      <c r="LL1461" s="103"/>
      <c r="NM1461" s="103"/>
      <c r="QT1461" s="106"/>
      <c r="QU1461" s="106"/>
      <c r="QV1461" s="106"/>
      <c r="QW1461" s="106"/>
      <c r="QX1461" s="106"/>
      <c r="QY1461" s="106"/>
      <c r="QZ1461" s="106"/>
      <c r="RA1461" s="106"/>
      <c r="RB1461" s="106"/>
      <c r="RC1461" s="106"/>
      <c r="RD1461" s="106"/>
      <c r="RE1461" s="106"/>
      <c r="RF1461" s="106"/>
      <c r="RG1461" s="106"/>
      <c r="RH1461" s="106"/>
      <c r="RI1461" s="106"/>
      <c r="RJ1461" s="106"/>
      <c r="RK1461" s="106"/>
      <c r="RL1461" s="106"/>
    </row>
    <row r="1462" spans="48:480" x14ac:dyDescent="0.3">
      <c r="CJ1462" s="103"/>
      <c r="FP1462" s="103"/>
      <c r="LL1462" s="103"/>
      <c r="NM1462" s="103"/>
      <c r="QT1462" s="106"/>
      <c r="QU1462" s="106"/>
      <c r="QV1462" s="106"/>
      <c r="QW1462" s="106"/>
      <c r="QX1462" s="106"/>
      <c r="QY1462" s="106"/>
      <c r="QZ1462" s="106"/>
      <c r="RA1462" s="106"/>
      <c r="RB1462" s="106"/>
      <c r="RC1462" s="106"/>
      <c r="RD1462" s="106"/>
      <c r="RE1462" s="106"/>
      <c r="RF1462" s="106"/>
      <c r="RG1462" s="106"/>
      <c r="RH1462" s="106"/>
      <c r="RI1462" s="106"/>
      <c r="RJ1462" s="106"/>
      <c r="RK1462" s="106"/>
      <c r="RL1462" s="106"/>
    </row>
    <row r="1463" spans="48:480" x14ac:dyDescent="0.3">
      <c r="CJ1463" s="103"/>
      <c r="FP1463" s="103"/>
      <c r="LL1463" s="103"/>
      <c r="NM1463" s="103"/>
      <c r="QT1463" s="106"/>
      <c r="QU1463" s="106"/>
      <c r="QV1463" s="106"/>
      <c r="QW1463" s="106"/>
      <c r="QX1463" s="106"/>
      <c r="QY1463" s="106"/>
      <c r="QZ1463" s="106"/>
      <c r="RA1463" s="106"/>
      <c r="RB1463" s="106"/>
      <c r="RC1463" s="106"/>
      <c r="RD1463" s="106"/>
      <c r="RE1463" s="106"/>
      <c r="RF1463" s="106"/>
      <c r="RG1463" s="106"/>
      <c r="RH1463" s="106"/>
      <c r="RI1463" s="106"/>
      <c r="RJ1463" s="106"/>
      <c r="RK1463" s="106"/>
      <c r="RL1463" s="106"/>
    </row>
    <row r="1464" spans="48:480" x14ac:dyDescent="0.3">
      <c r="CJ1464" s="103"/>
      <c r="FP1464" s="103"/>
      <c r="LL1464" s="103"/>
      <c r="NM1464" s="103"/>
      <c r="QT1464" s="106"/>
      <c r="QU1464" s="106"/>
      <c r="QV1464" s="106"/>
      <c r="QW1464" s="106"/>
      <c r="QX1464" s="106"/>
      <c r="QY1464" s="106"/>
      <c r="QZ1464" s="106"/>
      <c r="RA1464" s="106"/>
      <c r="RB1464" s="106"/>
      <c r="RC1464" s="106"/>
      <c r="RD1464" s="106"/>
      <c r="RE1464" s="106"/>
      <c r="RF1464" s="106"/>
      <c r="RG1464" s="106"/>
      <c r="RH1464" s="106"/>
      <c r="RI1464" s="106"/>
      <c r="RJ1464" s="106"/>
      <c r="RK1464" s="106"/>
      <c r="RL1464" s="106"/>
    </row>
    <row r="1465" spans="48:480" x14ac:dyDescent="0.3">
      <c r="CJ1465" s="103"/>
      <c r="FP1465" s="103"/>
      <c r="LL1465" s="103"/>
      <c r="NM1465" s="103"/>
      <c r="QT1465" s="106"/>
      <c r="QU1465" s="106"/>
      <c r="QV1465" s="106"/>
      <c r="QW1465" s="106"/>
      <c r="QX1465" s="106"/>
      <c r="QY1465" s="106"/>
      <c r="QZ1465" s="106"/>
      <c r="RA1465" s="106"/>
      <c r="RB1465" s="106"/>
      <c r="RC1465" s="106"/>
      <c r="RD1465" s="106"/>
      <c r="RE1465" s="106"/>
      <c r="RF1465" s="106"/>
      <c r="RG1465" s="106"/>
      <c r="RH1465" s="106"/>
      <c r="RI1465" s="106"/>
      <c r="RJ1465" s="106"/>
      <c r="RK1465" s="106"/>
      <c r="RL1465" s="106"/>
    </row>
    <row r="1466" spans="48:480" x14ac:dyDescent="0.3">
      <c r="CJ1466" s="103"/>
      <c r="FP1466" s="103"/>
      <c r="LL1466" s="103"/>
      <c r="NM1466" s="103"/>
      <c r="QT1466" s="106"/>
      <c r="QU1466" s="106"/>
      <c r="QV1466" s="106"/>
      <c r="QW1466" s="106"/>
      <c r="QX1466" s="106"/>
      <c r="QY1466" s="106"/>
      <c r="QZ1466" s="106"/>
      <c r="RA1466" s="106"/>
      <c r="RB1466" s="106"/>
      <c r="RC1466" s="106"/>
      <c r="RD1466" s="106"/>
      <c r="RE1466" s="106"/>
      <c r="RF1466" s="106"/>
      <c r="RG1466" s="106"/>
      <c r="RH1466" s="106"/>
      <c r="RI1466" s="106"/>
      <c r="RJ1466" s="106"/>
      <c r="RK1466" s="106"/>
      <c r="RL1466" s="106"/>
    </row>
    <row r="1467" spans="48:480" x14ac:dyDescent="0.3">
      <c r="CJ1467" s="103"/>
      <c r="FP1467" s="103"/>
      <c r="LL1467" s="103"/>
      <c r="NM1467" s="103"/>
      <c r="QT1467" s="106"/>
      <c r="QU1467" s="106"/>
      <c r="QV1467" s="106"/>
      <c r="QW1467" s="106"/>
      <c r="QX1467" s="106"/>
      <c r="QY1467" s="106"/>
      <c r="QZ1467" s="106"/>
      <c r="RA1467" s="106"/>
      <c r="RB1467" s="106"/>
      <c r="RC1467" s="106"/>
      <c r="RD1467" s="106"/>
      <c r="RE1467" s="106"/>
      <c r="RF1467" s="106"/>
      <c r="RG1467" s="106"/>
      <c r="RH1467" s="106"/>
      <c r="RI1467" s="106"/>
      <c r="RJ1467" s="106"/>
      <c r="RK1467" s="106"/>
      <c r="RL1467" s="106"/>
    </row>
    <row r="1468" spans="48:480" x14ac:dyDescent="0.3">
      <c r="CJ1468" s="103"/>
      <c r="FP1468" s="103"/>
      <c r="LL1468" s="103"/>
      <c r="NM1468" s="103"/>
      <c r="QT1468" s="106"/>
      <c r="QU1468" s="106"/>
      <c r="QV1468" s="106"/>
      <c r="QW1468" s="106"/>
      <c r="QX1468" s="106"/>
      <c r="QY1468" s="106"/>
      <c r="QZ1468" s="106"/>
      <c r="RA1468" s="106"/>
      <c r="RB1468" s="106"/>
      <c r="RC1468" s="106"/>
      <c r="RD1468" s="106"/>
      <c r="RE1468" s="106"/>
      <c r="RF1468" s="106"/>
      <c r="RG1468" s="106"/>
      <c r="RH1468" s="106"/>
      <c r="RI1468" s="106"/>
      <c r="RJ1468" s="106"/>
      <c r="RK1468" s="106"/>
      <c r="RL1468" s="106"/>
    </row>
    <row r="1469" spans="48:480" x14ac:dyDescent="0.3">
      <c r="AV1469" s="103"/>
      <c r="CJ1469" s="103"/>
      <c r="FP1469" s="103"/>
      <c r="LL1469" s="103"/>
      <c r="NM1469" s="103"/>
      <c r="QT1469" s="106"/>
      <c r="QU1469" s="106"/>
      <c r="QV1469" s="106"/>
      <c r="QW1469" s="106"/>
      <c r="QX1469" s="106"/>
      <c r="QY1469" s="106"/>
      <c r="QZ1469" s="106"/>
      <c r="RA1469" s="106"/>
      <c r="RB1469" s="106"/>
      <c r="RC1469" s="106"/>
      <c r="RD1469" s="106"/>
      <c r="RE1469" s="106"/>
      <c r="RF1469" s="106"/>
      <c r="RG1469" s="106"/>
      <c r="RH1469" s="106"/>
      <c r="RI1469" s="106"/>
      <c r="RJ1469" s="106"/>
      <c r="RK1469" s="106"/>
      <c r="RL1469" s="106"/>
    </row>
    <row r="1470" spans="48:480" x14ac:dyDescent="0.3">
      <c r="CJ1470" s="103"/>
      <c r="FP1470" s="103"/>
      <c r="LL1470" s="103"/>
      <c r="NM1470" s="103"/>
      <c r="QT1470" s="106"/>
      <c r="QU1470" s="106"/>
      <c r="QV1470" s="106"/>
      <c r="QW1470" s="106"/>
      <c r="QX1470" s="106"/>
      <c r="QY1470" s="106"/>
      <c r="QZ1470" s="106"/>
      <c r="RA1470" s="106"/>
      <c r="RB1470" s="106"/>
      <c r="RC1470" s="106"/>
      <c r="RD1470" s="106"/>
      <c r="RE1470" s="106"/>
      <c r="RF1470" s="106"/>
      <c r="RG1470" s="106"/>
      <c r="RH1470" s="106"/>
      <c r="RI1470" s="106"/>
      <c r="RJ1470" s="106"/>
      <c r="RK1470" s="106"/>
      <c r="RL1470" s="106"/>
    </row>
    <row r="1471" spans="48:480" x14ac:dyDescent="0.3">
      <c r="CJ1471" s="103"/>
      <c r="FP1471" s="103"/>
      <c r="LL1471" s="103"/>
      <c r="NM1471" s="103"/>
      <c r="QT1471" s="106"/>
      <c r="QU1471" s="106"/>
      <c r="QV1471" s="106"/>
      <c r="QW1471" s="106"/>
      <c r="QX1471" s="106"/>
      <c r="QY1471" s="106"/>
      <c r="QZ1471" s="106"/>
      <c r="RA1471" s="106"/>
      <c r="RB1471" s="106"/>
      <c r="RC1471" s="106"/>
      <c r="RD1471" s="106"/>
      <c r="RE1471" s="106"/>
      <c r="RF1471" s="106"/>
      <c r="RG1471" s="106"/>
      <c r="RH1471" s="106"/>
      <c r="RI1471" s="106"/>
      <c r="RJ1471" s="106"/>
      <c r="RK1471" s="106"/>
      <c r="RL1471" s="106"/>
    </row>
    <row r="1472" spans="48:480" x14ac:dyDescent="0.3">
      <c r="AV1472" s="103"/>
      <c r="CJ1472" s="103"/>
      <c r="FP1472" s="103"/>
      <c r="LL1472" s="103"/>
      <c r="NM1472" s="103"/>
      <c r="QT1472" s="106"/>
      <c r="QU1472" s="106"/>
      <c r="QV1472" s="106"/>
      <c r="QW1472" s="106"/>
      <c r="QX1472" s="106"/>
      <c r="QY1472" s="106"/>
      <c r="QZ1472" s="106"/>
      <c r="RA1472" s="106"/>
      <c r="RB1472" s="106"/>
      <c r="RC1472" s="106"/>
      <c r="RD1472" s="106"/>
      <c r="RE1472" s="106"/>
      <c r="RF1472" s="106"/>
      <c r="RG1472" s="106"/>
      <c r="RH1472" s="106"/>
      <c r="RI1472" s="106"/>
      <c r="RJ1472" s="106"/>
      <c r="RK1472" s="106"/>
      <c r="RL1472" s="106"/>
    </row>
    <row r="1473" spans="48:480" x14ac:dyDescent="0.3">
      <c r="CJ1473" s="103"/>
      <c r="FP1473" s="103"/>
      <c r="LL1473" s="103"/>
      <c r="NM1473" s="103"/>
      <c r="QT1473" s="106"/>
      <c r="QU1473" s="106"/>
      <c r="QV1473" s="106"/>
      <c r="QW1473" s="106"/>
      <c r="QX1473" s="106"/>
      <c r="QY1473" s="106"/>
      <c r="QZ1473" s="106"/>
      <c r="RA1473" s="106"/>
      <c r="RB1473" s="106"/>
      <c r="RC1473" s="106"/>
      <c r="RD1473" s="106"/>
      <c r="RE1473" s="106"/>
      <c r="RF1473" s="106"/>
      <c r="RG1473" s="106"/>
      <c r="RH1473" s="106"/>
      <c r="RI1473" s="106"/>
      <c r="RJ1473" s="106"/>
      <c r="RK1473" s="106"/>
      <c r="RL1473" s="106"/>
    </row>
    <row r="1474" spans="48:480" x14ac:dyDescent="0.3">
      <c r="CJ1474" s="103"/>
      <c r="FP1474" s="103"/>
      <c r="LL1474" s="103"/>
      <c r="NM1474" s="103"/>
      <c r="QT1474" s="106"/>
      <c r="QU1474" s="106"/>
      <c r="QV1474" s="106"/>
      <c r="QW1474" s="106"/>
      <c r="QX1474" s="106"/>
      <c r="QY1474" s="106"/>
      <c r="QZ1474" s="106"/>
      <c r="RA1474" s="106"/>
      <c r="RB1474" s="106"/>
      <c r="RC1474" s="106"/>
      <c r="RD1474" s="106"/>
      <c r="RE1474" s="106"/>
      <c r="RF1474" s="106"/>
      <c r="RG1474" s="106"/>
      <c r="RH1474" s="106"/>
      <c r="RI1474" s="106"/>
      <c r="RJ1474" s="106"/>
      <c r="RK1474" s="106"/>
      <c r="RL1474" s="106"/>
    </row>
    <row r="1475" spans="48:480" x14ac:dyDescent="0.3">
      <c r="CJ1475" s="103"/>
      <c r="FP1475" s="103"/>
      <c r="LL1475" s="103"/>
      <c r="NM1475" s="103"/>
      <c r="QT1475" s="106"/>
      <c r="QU1475" s="106"/>
      <c r="QV1475" s="106"/>
      <c r="QW1475" s="106"/>
      <c r="QX1475" s="106"/>
      <c r="QY1475" s="106"/>
      <c r="QZ1475" s="106"/>
      <c r="RA1475" s="106"/>
      <c r="RB1475" s="106"/>
      <c r="RC1475" s="106"/>
      <c r="RD1475" s="106"/>
      <c r="RE1475" s="106"/>
      <c r="RF1475" s="106"/>
      <c r="RG1475" s="106"/>
      <c r="RH1475" s="106"/>
      <c r="RI1475" s="106"/>
      <c r="RJ1475" s="106"/>
      <c r="RK1475" s="106"/>
      <c r="RL1475" s="106"/>
    </row>
    <row r="1476" spans="48:480" x14ac:dyDescent="0.3">
      <c r="CJ1476" s="103"/>
      <c r="FP1476" s="103"/>
      <c r="LL1476" s="103"/>
      <c r="NM1476" s="103"/>
      <c r="QT1476" s="106"/>
      <c r="QU1476" s="106"/>
      <c r="QV1476" s="106"/>
      <c r="QW1476" s="106"/>
      <c r="QX1476" s="106"/>
      <c r="QY1476" s="106"/>
      <c r="QZ1476" s="106"/>
      <c r="RA1476" s="106"/>
      <c r="RB1476" s="106"/>
      <c r="RC1476" s="106"/>
      <c r="RD1476" s="106"/>
      <c r="RE1476" s="106"/>
      <c r="RF1476" s="106"/>
      <c r="RG1476" s="106"/>
      <c r="RH1476" s="106"/>
      <c r="RI1476" s="106"/>
      <c r="RJ1476" s="106"/>
      <c r="RK1476" s="106"/>
      <c r="RL1476" s="106"/>
    </row>
    <row r="1477" spans="48:480" x14ac:dyDescent="0.3">
      <c r="CJ1477" s="103"/>
      <c r="FP1477" s="103"/>
      <c r="LL1477" s="103"/>
      <c r="NM1477" s="103"/>
      <c r="QT1477" s="106"/>
      <c r="QU1477" s="106"/>
      <c r="QV1477" s="106"/>
      <c r="QW1477" s="106"/>
      <c r="QX1477" s="106"/>
      <c r="QY1477" s="106"/>
      <c r="QZ1477" s="106"/>
      <c r="RA1477" s="106"/>
      <c r="RB1477" s="106"/>
      <c r="RC1477" s="106"/>
      <c r="RD1477" s="106"/>
      <c r="RE1477" s="106"/>
      <c r="RF1477" s="106"/>
      <c r="RG1477" s="106"/>
      <c r="RH1477" s="106"/>
      <c r="RI1477" s="106"/>
      <c r="RJ1477" s="106"/>
      <c r="RK1477" s="106"/>
      <c r="RL1477" s="106"/>
    </row>
    <row r="1478" spans="48:480" x14ac:dyDescent="0.3">
      <c r="CJ1478" s="103"/>
      <c r="FP1478" s="103"/>
      <c r="LL1478" s="103"/>
      <c r="NM1478" s="103"/>
      <c r="QT1478" s="106"/>
      <c r="QU1478" s="106"/>
      <c r="QV1478" s="106"/>
      <c r="QW1478" s="106"/>
      <c r="QX1478" s="106"/>
      <c r="QY1478" s="106"/>
      <c r="QZ1478" s="106"/>
      <c r="RA1478" s="106"/>
      <c r="RB1478" s="106"/>
      <c r="RC1478" s="106"/>
      <c r="RD1478" s="106"/>
      <c r="RE1478" s="106"/>
      <c r="RF1478" s="106"/>
      <c r="RG1478" s="106"/>
      <c r="RH1478" s="106"/>
      <c r="RI1478" s="106"/>
      <c r="RJ1478" s="106"/>
      <c r="RK1478" s="106"/>
      <c r="RL1478" s="106"/>
    </row>
    <row r="1479" spans="48:480" x14ac:dyDescent="0.3">
      <c r="CJ1479" s="103"/>
      <c r="FP1479" s="103"/>
      <c r="LL1479" s="103"/>
      <c r="NM1479" s="103"/>
      <c r="QT1479" s="106"/>
      <c r="QU1479" s="106"/>
      <c r="QV1479" s="106"/>
      <c r="QW1479" s="106"/>
      <c r="QX1479" s="106"/>
      <c r="QY1479" s="106"/>
      <c r="QZ1479" s="106"/>
      <c r="RA1479" s="106"/>
      <c r="RB1479" s="106"/>
      <c r="RC1479" s="106"/>
      <c r="RD1479" s="106"/>
      <c r="RE1479" s="106"/>
      <c r="RF1479" s="106"/>
      <c r="RG1479" s="106"/>
      <c r="RH1479" s="106"/>
      <c r="RI1479" s="106"/>
      <c r="RJ1479" s="106"/>
      <c r="RK1479" s="106"/>
      <c r="RL1479" s="106"/>
    </row>
    <row r="1480" spans="48:480" x14ac:dyDescent="0.3">
      <c r="CJ1480" s="103"/>
      <c r="FP1480" s="103"/>
      <c r="LL1480" s="103"/>
      <c r="NM1480" s="103"/>
      <c r="QT1480" s="106"/>
      <c r="QU1480" s="106"/>
      <c r="QV1480" s="106"/>
      <c r="QW1480" s="106"/>
      <c r="QX1480" s="106"/>
      <c r="QY1480" s="106"/>
      <c r="QZ1480" s="106"/>
      <c r="RA1480" s="106"/>
      <c r="RB1480" s="106"/>
      <c r="RC1480" s="106"/>
      <c r="RD1480" s="106"/>
      <c r="RE1480" s="106"/>
      <c r="RF1480" s="106"/>
      <c r="RG1480" s="106"/>
      <c r="RH1480" s="106"/>
      <c r="RI1480" s="106"/>
      <c r="RJ1480" s="106"/>
      <c r="RK1480" s="106"/>
      <c r="RL1480" s="106"/>
    </row>
    <row r="1481" spans="48:480" x14ac:dyDescent="0.3">
      <c r="AV1481" s="103"/>
      <c r="CJ1481" s="103"/>
      <c r="FP1481" s="103"/>
      <c r="LL1481" s="103"/>
      <c r="NM1481" s="103"/>
      <c r="QT1481" s="106"/>
      <c r="QU1481" s="106"/>
      <c r="QV1481" s="106"/>
      <c r="QW1481" s="106"/>
      <c r="QX1481" s="106"/>
      <c r="QY1481" s="106"/>
      <c r="QZ1481" s="106"/>
      <c r="RA1481" s="106"/>
      <c r="RB1481" s="106"/>
      <c r="RC1481" s="106"/>
      <c r="RD1481" s="106"/>
      <c r="RE1481" s="106"/>
      <c r="RF1481" s="106"/>
      <c r="RG1481" s="106"/>
      <c r="RH1481" s="106"/>
      <c r="RI1481" s="106"/>
      <c r="RJ1481" s="106"/>
      <c r="RK1481" s="106"/>
      <c r="RL1481" s="106"/>
    </row>
    <row r="1482" spans="48:480" x14ac:dyDescent="0.3">
      <c r="AV1482" s="103"/>
      <c r="CJ1482" s="103"/>
      <c r="FP1482" s="103"/>
      <c r="LL1482" s="103"/>
      <c r="NM1482" s="103"/>
      <c r="QT1482" s="106"/>
      <c r="QU1482" s="106"/>
      <c r="QV1482" s="106"/>
      <c r="QW1482" s="106"/>
      <c r="QX1482" s="106"/>
      <c r="QY1482" s="106"/>
      <c r="QZ1482" s="106"/>
      <c r="RA1482" s="106"/>
      <c r="RB1482" s="106"/>
      <c r="RC1482" s="106"/>
      <c r="RD1482" s="106"/>
      <c r="RE1482" s="106"/>
      <c r="RF1482" s="106"/>
      <c r="RG1482" s="106"/>
      <c r="RH1482" s="106"/>
      <c r="RI1482" s="106"/>
      <c r="RJ1482" s="106"/>
      <c r="RK1482" s="106"/>
      <c r="RL1482" s="106"/>
    </row>
    <row r="1483" spans="48:480" x14ac:dyDescent="0.3">
      <c r="AV1483" s="103"/>
      <c r="CJ1483" s="103"/>
      <c r="FP1483" s="103"/>
      <c r="LL1483" s="103"/>
      <c r="NM1483" s="103"/>
      <c r="QT1483" s="106"/>
      <c r="QU1483" s="106"/>
      <c r="QV1483" s="106"/>
      <c r="QW1483" s="106"/>
      <c r="QX1483" s="106"/>
      <c r="QY1483" s="106"/>
      <c r="QZ1483" s="106"/>
      <c r="RA1483" s="106"/>
      <c r="RB1483" s="106"/>
      <c r="RC1483" s="106"/>
      <c r="RD1483" s="106"/>
      <c r="RE1483" s="106"/>
      <c r="RF1483" s="106"/>
      <c r="RG1483" s="106"/>
      <c r="RH1483" s="106"/>
      <c r="RI1483" s="106"/>
      <c r="RJ1483" s="106"/>
      <c r="RK1483" s="106"/>
      <c r="RL1483" s="106"/>
    </row>
    <row r="1484" spans="48:480" x14ac:dyDescent="0.3">
      <c r="AV1484" s="103"/>
      <c r="CJ1484" s="103"/>
      <c r="FP1484" s="103"/>
      <c r="LL1484" s="103"/>
      <c r="NM1484" s="103"/>
      <c r="QT1484" s="106"/>
      <c r="QU1484" s="106"/>
      <c r="QV1484" s="106"/>
      <c r="QW1484" s="106"/>
      <c r="QX1484" s="106"/>
      <c r="QY1484" s="106"/>
      <c r="QZ1484" s="106"/>
      <c r="RA1484" s="106"/>
      <c r="RB1484" s="106"/>
      <c r="RC1484" s="106"/>
      <c r="RD1484" s="106"/>
      <c r="RE1484" s="106"/>
      <c r="RF1484" s="106"/>
      <c r="RG1484" s="106"/>
      <c r="RH1484" s="106"/>
      <c r="RI1484" s="106"/>
      <c r="RJ1484" s="106"/>
      <c r="RK1484" s="106"/>
      <c r="RL1484" s="106"/>
    </row>
    <row r="1485" spans="48:480" x14ac:dyDescent="0.3">
      <c r="AV1485" s="103"/>
      <c r="CJ1485" s="103"/>
      <c r="FP1485" s="103"/>
      <c r="LL1485" s="103"/>
      <c r="NM1485" s="103"/>
      <c r="QT1485" s="106"/>
      <c r="QU1485" s="106"/>
      <c r="QV1485" s="106"/>
      <c r="QW1485" s="106"/>
      <c r="QX1485" s="106"/>
      <c r="QY1485" s="106"/>
      <c r="QZ1485" s="106"/>
      <c r="RA1485" s="106"/>
      <c r="RB1485" s="106"/>
      <c r="RC1485" s="106"/>
      <c r="RD1485" s="106"/>
      <c r="RE1485" s="106"/>
      <c r="RF1485" s="106"/>
      <c r="RG1485" s="106"/>
      <c r="RH1485" s="106"/>
      <c r="RI1485" s="106"/>
      <c r="RJ1485" s="106"/>
      <c r="RK1485" s="106"/>
      <c r="RL1485" s="106"/>
    </row>
    <row r="1486" spans="48:480" x14ac:dyDescent="0.3">
      <c r="AV1486" s="103"/>
      <c r="CJ1486" s="103"/>
      <c r="FP1486" s="103"/>
      <c r="LL1486" s="103"/>
      <c r="NM1486" s="103"/>
      <c r="QT1486" s="106"/>
      <c r="QU1486" s="106"/>
      <c r="QV1486" s="106"/>
      <c r="QW1486" s="106"/>
      <c r="QX1486" s="106"/>
      <c r="QY1486" s="106"/>
      <c r="QZ1486" s="106"/>
      <c r="RA1486" s="106"/>
      <c r="RB1486" s="106"/>
      <c r="RC1486" s="106"/>
      <c r="RD1486" s="106"/>
      <c r="RE1486" s="106"/>
      <c r="RF1486" s="106"/>
      <c r="RG1486" s="106"/>
      <c r="RH1486" s="106"/>
      <c r="RI1486" s="106"/>
      <c r="RJ1486" s="106"/>
      <c r="RK1486" s="106"/>
      <c r="RL1486" s="106"/>
    </row>
    <row r="1487" spans="48:480" x14ac:dyDescent="0.3">
      <c r="AV1487" s="103"/>
      <c r="CJ1487" s="103"/>
      <c r="FP1487" s="103"/>
      <c r="LL1487" s="103"/>
      <c r="NM1487" s="103"/>
      <c r="QT1487" s="106"/>
      <c r="QU1487" s="106"/>
      <c r="QV1487" s="106"/>
      <c r="QW1487" s="106"/>
      <c r="QX1487" s="106"/>
      <c r="QY1487" s="106"/>
      <c r="QZ1487" s="106"/>
      <c r="RA1487" s="106"/>
      <c r="RB1487" s="106"/>
      <c r="RC1487" s="106"/>
      <c r="RD1487" s="106"/>
      <c r="RE1487" s="106"/>
      <c r="RF1487" s="106"/>
      <c r="RG1487" s="106"/>
      <c r="RH1487" s="106"/>
      <c r="RI1487" s="106"/>
      <c r="RJ1487" s="106"/>
      <c r="RK1487" s="106"/>
      <c r="RL1487" s="106"/>
    </row>
    <row r="1488" spans="48:480" x14ac:dyDescent="0.3">
      <c r="AV1488" s="103"/>
      <c r="CJ1488" s="103"/>
      <c r="FP1488" s="103"/>
      <c r="LL1488" s="103"/>
      <c r="NM1488" s="103"/>
      <c r="QT1488" s="106"/>
      <c r="QU1488" s="106"/>
      <c r="QV1488" s="106"/>
      <c r="QW1488" s="106"/>
      <c r="QX1488" s="106"/>
      <c r="QY1488" s="106"/>
      <c r="QZ1488" s="106"/>
      <c r="RA1488" s="106"/>
      <c r="RB1488" s="106"/>
      <c r="RC1488" s="106"/>
      <c r="RD1488" s="106"/>
      <c r="RE1488" s="106"/>
      <c r="RF1488" s="106"/>
      <c r="RG1488" s="106"/>
      <c r="RH1488" s="106"/>
      <c r="RI1488" s="106"/>
      <c r="RJ1488" s="106"/>
      <c r="RK1488" s="106"/>
      <c r="RL1488" s="106"/>
    </row>
    <row r="1489" spans="48:480" x14ac:dyDescent="0.3">
      <c r="AV1489" s="103"/>
      <c r="CJ1489" s="103"/>
      <c r="FP1489" s="103"/>
      <c r="LL1489" s="103"/>
      <c r="NM1489" s="103"/>
      <c r="QT1489" s="106"/>
      <c r="QU1489" s="106"/>
      <c r="QV1489" s="106"/>
      <c r="QW1489" s="106"/>
      <c r="QX1489" s="106"/>
      <c r="QY1489" s="106"/>
      <c r="QZ1489" s="106"/>
      <c r="RA1489" s="106"/>
      <c r="RB1489" s="106"/>
      <c r="RC1489" s="106"/>
      <c r="RD1489" s="106"/>
      <c r="RE1489" s="106"/>
      <c r="RF1489" s="106"/>
      <c r="RG1489" s="106"/>
      <c r="RH1489" s="106"/>
      <c r="RI1489" s="106"/>
      <c r="RJ1489" s="106"/>
      <c r="RK1489" s="106"/>
      <c r="RL1489" s="106"/>
    </row>
    <row r="1490" spans="48:480" x14ac:dyDescent="0.3">
      <c r="AV1490" s="103"/>
      <c r="CJ1490" s="103"/>
      <c r="FP1490" s="103"/>
      <c r="LL1490" s="103"/>
      <c r="NM1490" s="103"/>
      <c r="QT1490" s="106"/>
      <c r="QU1490" s="106"/>
      <c r="QV1490" s="106"/>
      <c r="QW1490" s="106"/>
      <c r="QX1490" s="106"/>
      <c r="QY1490" s="106"/>
      <c r="QZ1490" s="106"/>
      <c r="RA1490" s="106"/>
      <c r="RB1490" s="106"/>
      <c r="RC1490" s="106"/>
      <c r="RD1490" s="106"/>
      <c r="RE1490" s="106"/>
      <c r="RF1490" s="106"/>
      <c r="RG1490" s="106"/>
      <c r="RH1490" s="106"/>
      <c r="RI1490" s="106"/>
      <c r="RJ1490" s="106"/>
      <c r="RK1490" s="106"/>
      <c r="RL1490" s="106"/>
    </row>
    <row r="1491" spans="48:480" x14ac:dyDescent="0.3">
      <c r="AV1491" s="103"/>
      <c r="CJ1491" s="103"/>
      <c r="FP1491" s="103"/>
      <c r="LL1491" s="103"/>
      <c r="NM1491" s="103"/>
      <c r="QT1491" s="106"/>
      <c r="QU1491" s="106"/>
      <c r="QV1491" s="106"/>
      <c r="QW1491" s="106"/>
      <c r="QX1491" s="106"/>
      <c r="QY1491" s="106"/>
      <c r="QZ1491" s="106"/>
      <c r="RA1491" s="106"/>
      <c r="RB1491" s="106"/>
      <c r="RC1491" s="106"/>
      <c r="RD1491" s="106"/>
      <c r="RE1491" s="106"/>
      <c r="RF1491" s="106"/>
      <c r="RG1491" s="106"/>
      <c r="RH1491" s="106"/>
      <c r="RI1491" s="106"/>
      <c r="RJ1491" s="106"/>
      <c r="RK1491" s="106"/>
      <c r="RL1491" s="106"/>
    </row>
    <row r="1492" spans="48:480" x14ac:dyDescent="0.3">
      <c r="AV1492" s="103"/>
      <c r="CJ1492" s="103"/>
      <c r="FP1492" s="103"/>
      <c r="LL1492" s="103"/>
      <c r="NM1492" s="103"/>
      <c r="QT1492" s="106"/>
      <c r="QU1492" s="106"/>
      <c r="QV1492" s="106"/>
      <c r="QW1492" s="106"/>
      <c r="QX1492" s="106"/>
      <c r="QY1492" s="106"/>
      <c r="QZ1492" s="106"/>
      <c r="RA1492" s="106"/>
      <c r="RB1492" s="106"/>
      <c r="RC1492" s="106"/>
      <c r="RD1492" s="106"/>
      <c r="RE1492" s="106"/>
      <c r="RF1492" s="106"/>
      <c r="RG1492" s="106"/>
      <c r="RH1492" s="106"/>
      <c r="RI1492" s="106"/>
      <c r="RJ1492" s="106"/>
      <c r="RK1492" s="106"/>
      <c r="RL1492" s="106"/>
    </row>
    <row r="1493" spans="48:480" x14ac:dyDescent="0.3">
      <c r="AV1493" s="103"/>
      <c r="CJ1493" s="103"/>
      <c r="FP1493" s="103"/>
      <c r="LL1493" s="103"/>
      <c r="NM1493" s="103"/>
      <c r="QT1493" s="106"/>
      <c r="QU1493" s="106"/>
      <c r="QV1493" s="106"/>
      <c r="QW1493" s="106"/>
      <c r="QX1493" s="106"/>
      <c r="QY1493" s="106"/>
      <c r="QZ1493" s="106"/>
      <c r="RA1493" s="106"/>
      <c r="RB1493" s="106"/>
      <c r="RC1493" s="106"/>
      <c r="RD1493" s="106"/>
      <c r="RE1493" s="106"/>
      <c r="RF1493" s="106"/>
      <c r="RG1493" s="106"/>
      <c r="RH1493" s="106"/>
      <c r="RI1493" s="106"/>
      <c r="RJ1493" s="106"/>
      <c r="RK1493" s="106"/>
      <c r="RL1493" s="106"/>
    </row>
    <row r="1494" spans="48:480" x14ac:dyDescent="0.3">
      <c r="AV1494" s="103"/>
      <c r="CJ1494" s="103"/>
      <c r="FP1494" s="103"/>
      <c r="LL1494" s="103"/>
      <c r="NM1494" s="103"/>
      <c r="QT1494" s="106"/>
      <c r="QU1494" s="106"/>
      <c r="QV1494" s="106"/>
      <c r="QW1494" s="106"/>
      <c r="QX1494" s="106"/>
      <c r="QY1494" s="106"/>
      <c r="QZ1494" s="106"/>
      <c r="RA1494" s="106"/>
      <c r="RB1494" s="106"/>
      <c r="RC1494" s="106"/>
      <c r="RD1494" s="106"/>
      <c r="RE1494" s="106"/>
      <c r="RF1494" s="106"/>
      <c r="RG1494" s="106"/>
      <c r="RH1494" s="106"/>
      <c r="RI1494" s="106"/>
      <c r="RJ1494" s="106"/>
      <c r="RK1494" s="106"/>
      <c r="RL1494" s="106"/>
    </row>
    <row r="1495" spans="48:480" x14ac:dyDescent="0.3">
      <c r="AV1495" s="103"/>
      <c r="CJ1495" s="103"/>
      <c r="FP1495" s="103"/>
      <c r="LL1495" s="103"/>
      <c r="NM1495" s="103"/>
      <c r="QT1495" s="106"/>
      <c r="QU1495" s="106"/>
      <c r="QV1495" s="106"/>
      <c r="QW1495" s="106"/>
      <c r="QX1495" s="106"/>
      <c r="QY1495" s="106"/>
      <c r="QZ1495" s="106"/>
      <c r="RA1495" s="106"/>
      <c r="RB1495" s="106"/>
      <c r="RC1495" s="106"/>
      <c r="RD1495" s="106"/>
      <c r="RE1495" s="106"/>
      <c r="RF1495" s="106"/>
      <c r="RG1495" s="106"/>
      <c r="RH1495" s="106"/>
      <c r="RI1495" s="106"/>
      <c r="RJ1495" s="106"/>
      <c r="RK1495" s="106"/>
      <c r="RL1495" s="106"/>
    </row>
    <row r="1496" spans="48:480" x14ac:dyDescent="0.3">
      <c r="AV1496" s="103"/>
      <c r="CJ1496" s="103"/>
      <c r="FP1496" s="103"/>
      <c r="LL1496" s="103"/>
      <c r="NM1496" s="103"/>
      <c r="QT1496" s="106"/>
      <c r="QU1496" s="106"/>
      <c r="QV1496" s="106"/>
      <c r="QW1496" s="106"/>
      <c r="QX1496" s="106"/>
      <c r="QY1496" s="106"/>
      <c r="QZ1496" s="106"/>
      <c r="RA1496" s="106"/>
      <c r="RB1496" s="106"/>
      <c r="RC1496" s="106"/>
      <c r="RD1496" s="106"/>
      <c r="RE1496" s="106"/>
      <c r="RF1496" s="106"/>
      <c r="RG1496" s="106"/>
      <c r="RH1496" s="106"/>
      <c r="RI1496" s="106"/>
      <c r="RJ1496" s="106"/>
      <c r="RK1496" s="106"/>
      <c r="RL1496" s="106"/>
    </row>
    <row r="1497" spans="48:480" x14ac:dyDescent="0.3">
      <c r="AV1497" s="103"/>
      <c r="CJ1497" s="103"/>
      <c r="FP1497" s="103"/>
      <c r="LL1497" s="103"/>
      <c r="NM1497" s="103"/>
      <c r="QT1497" s="106"/>
      <c r="QU1497" s="106"/>
      <c r="QV1497" s="106"/>
      <c r="QW1497" s="106"/>
      <c r="QX1497" s="106"/>
      <c r="QY1497" s="106"/>
      <c r="QZ1497" s="106"/>
      <c r="RA1497" s="106"/>
      <c r="RB1497" s="106"/>
      <c r="RC1497" s="106"/>
      <c r="RD1497" s="106"/>
      <c r="RE1497" s="106"/>
      <c r="RF1497" s="106"/>
      <c r="RG1497" s="106"/>
      <c r="RH1497" s="106"/>
      <c r="RI1497" s="106"/>
      <c r="RJ1497" s="106"/>
      <c r="RK1497" s="106"/>
      <c r="RL1497" s="106"/>
    </row>
    <row r="1498" spans="48:480" x14ac:dyDescent="0.3">
      <c r="AV1498" s="103"/>
      <c r="CJ1498" s="103"/>
      <c r="FP1498" s="103"/>
      <c r="LL1498" s="103"/>
      <c r="NM1498" s="103"/>
      <c r="QT1498" s="106"/>
      <c r="QU1498" s="106"/>
      <c r="QV1498" s="106"/>
      <c r="QW1498" s="106"/>
      <c r="QX1498" s="106"/>
      <c r="QY1498" s="106"/>
      <c r="QZ1498" s="106"/>
      <c r="RA1498" s="106"/>
      <c r="RB1498" s="106"/>
      <c r="RC1498" s="106"/>
      <c r="RD1498" s="106"/>
      <c r="RE1498" s="106"/>
      <c r="RF1498" s="106"/>
      <c r="RG1498" s="106"/>
      <c r="RH1498" s="106"/>
      <c r="RI1498" s="106"/>
      <c r="RJ1498" s="106"/>
      <c r="RK1498" s="106"/>
      <c r="RL1498" s="106"/>
    </row>
    <row r="1499" spans="48:480" x14ac:dyDescent="0.3">
      <c r="AV1499" s="103"/>
      <c r="CJ1499" s="103"/>
      <c r="FP1499" s="103"/>
      <c r="LL1499" s="103"/>
      <c r="NM1499" s="103"/>
      <c r="QT1499" s="106"/>
      <c r="QU1499" s="106"/>
      <c r="QV1499" s="106"/>
      <c r="QW1499" s="106"/>
      <c r="QX1499" s="106"/>
      <c r="QY1499" s="106"/>
      <c r="QZ1499" s="106"/>
      <c r="RA1499" s="106"/>
      <c r="RB1499" s="106"/>
      <c r="RC1499" s="106"/>
      <c r="RD1499" s="106"/>
      <c r="RE1499" s="106"/>
      <c r="RF1499" s="106"/>
      <c r="RG1499" s="106"/>
      <c r="RH1499" s="106"/>
      <c r="RI1499" s="106"/>
      <c r="RJ1499" s="106"/>
      <c r="RK1499" s="106"/>
      <c r="RL1499" s="106"/>
    </row>
    <row r="1500" spans="48:480" x14ac:dyDescent="0.3">
      <c r="AV1500" s="103"/>
      <c r="CJ1500" s="103"/>
      <c r="FP1500" s="103"/>
      <c r="LL1500" s="103"/>
      <c r="NM1500" s="103"/>
      <c r="QT1500" s="106"/>
      <c r="QU1500" s="106"/>
      <c r="QV1500" s="106"/>
      <c r="QW1500" s="106"/>
      <c r="QX1500" s="106"/>
      <c r="QY1500" s="106"/>
      <c r="QZ1500" s="106"/>
      <c r="RA1500" s="106"/>
      <c r="RB1500" s="106"/>
      <c r="RC1500" s="106"/>
      <c r="RD1500" s="106"/>
      <c r="RE1500" s="106"/>
      <c r="RF1500" s="106"/>
      <c r="RG1500" s="106"/>
      <c r="RH1500" s="106"/>
      <c r="RI1500" s="106"/>
      <c r="RJ1500" s="106"/>
      <c r="RK1500" s="106"/>
      <c r="RL1500" s="106"/>
    </row>
    <row r="1501" spans="48:480" x14ac:dyDescent="0.3">
      <c r="AV1501" s="103"/>
      <c r="CJ1501" s="103"/>
      <c r="FP1501" s="103"/>
      <c r="LL1501" s="103"/>
      <c r="NM1501" s="103"/>
      <c r="QT1501" s="106"/>
      <c r="QU1501" s="106"/>
      <c r="QV1501" s="106"/>
      <c r="QW1501" s="106"/>
      <c r="QX1501" s="106"/>
      <c r="QY1501" s="106"/>
      <c r="QZ1501" s="106"/>
      <c r="RA1501" s="106"/>
      <c r="RB1501" s="106"/>
      <c r="RC1501" s="106"/>
      <c r="RD1501" s="106"/>
      <c r="RE1501" s="106"/>
      <c r="RF1501" s="106"/>
      <c r="RG1501" s="106"/>
      <c r="RH1501" s="106"/>
      <c r="RI1501" s="106"/>
      <c r="RJ1501" s="106"/>
      <c r="RK1501" s="106"/>
      <c r="RL1501" s="106"/>
    </row>
    <row r="1502" spans="48:480" x14ac:dyDescent="0.3">
      <c r="AV1502" s="103"/>
      <c r="CJ1502" s="103"/>
      <c r="FP1502" s="103"/>
      <c r="LL1502" s="103"/>
      <c r="NM1502" s="103"/>
      <c r="QT1502" s="106"/>
      <c r="QU1502" s="106"/>
      <c r="QV1502" s="106"/>
      <c r="QW1502" s="106"/>
      <c r="QX1502" s="106"/>
      <c r="QY1502" s="106"/>
      <c r="QZ1502" s="106"/>
      <c r="RA1502" s="106"/>
      <c r="RB1502" s="106"/>
      <c r="RC1502" s="106"/>
      <c r="RD1502" s="106"/>
      <c r="RE1502" s="106"/>
      <c r="RF1502" s="106"/>
      <c r="RG1502" s="106"/>
      <c r="RH1502" s="106"/>
      <c r="RI1502" s="106"/>
      <c r="RJ1502" s="106"/>
      <c r="RK1502" s="106"/>
      <c r="RL1502" s="106"/>
    </row>
    <row r="1503" spans="48:480" x14ac:dyDescent="0.3">
      <c r="AV1503" s="103"/>
      <c r="CJ1503" s="103"/>
      <c r="FP1503" s="103"/>
      <c r="LL1503" s="103"/>
      <c r="NM1503" s="103"/>
      <c r="QT1503" s="106"/>
      <c r="QU1503" s="106"/>
      <c r="QV1503" s="106"/>
      <c r="QW1503" s="106"/>
      <c r="QX1503" s="106"/>
      <c r="QY1503" s="106"/>
      <c r="QZ1503" s="106"/>
      <c r="RA1503" s="106"/>
      <c r="RB1503" s="106"/>
      <c r="RC1503" s="106"/>
      <c r="RD1503" s="106"/>
      <c r="RE1503" s="106"/>
      <c r="RF1503" s="106"/>
      <c r="RG1503" s="106"/>
      <c r="RH1503" s="106"/>
      <c r="RI1503" s="106"/>
      <c r="RJ1503" s="106"/>
      <c r="RK1503" s="106"/>
      <c r="RL1503" s="106"/>
    </row>
    <row r="1504" spans="48:480" x14ac:dyDescent="0.3">
      <c r="AV1504" s="103"/>
      <c r="CJ1504" s="103"/>
      <c r="FP1504" s="103"/>
      <c r="LL1504" s="103"/>
      <c r="NM1504" s="103"/>
      <c r="QT1504" s="106"/>
      <c r="QU1504" s="106"/>
      <c r="QV1504" s="106"/>
      <c r="QW1504" s="106"/>
      <c r="QX1504" s="106"/>
      <c r="QY1504" s="106"/>
      <c r="QZ1504" s="106"/>
      <c r="RA1504" s="106"/>
      <c r="RB1504" s="106"/>
      <c r="RC1504" s="106"/>
      <c r="RD1504" s="106"/>
      <c r="RE1504" s="106"/>
      <c r="RF1504" s="106"/>
      <c r="RG1504" s="106"/>
      <c r="RH1504" s="106"/>
      <c r="RI1504" s="106"/>
      <c r="RJ1504" s="106"/>
      <c r="RK1504" s="106"/>
      <c r="RL1504" s="106"/>
    </row>
    <row r="1505" spans="48:480" x14ac:dyDescent="0.3">
      <c r="AV1505" s="103"/>
      <c r="CJ1505" s="103"/>
      <c r="FP1505" s="103"/>
      <c r="LL1505" s="103"/>
      <c r="NM1505" s="103"/>
      <c r="QT1505" s="106"/>
      <c r="QU1505" s="106"/>
      <c r="QV1505" s="106"/>
      <c r="QW1505" s="106"/>
      <c r="QX1505" s="106"/>
      <c r="QY1505" s="106"/>
      <c r="QZ1505" s="106"/>
      <c r="RA1505" s="106"/>
      <c r="RB1505" s="106"/>
      <c r="RC1505" s="106"/>
      <c r="RD1505" s="106"/>
      <c r="RE1505" s="106"/>
      <c r="RF1505" s="106"/>
      <c r="RG1505" s="106"/>
      <c r="RH1505" s="106"/>
      <c r="RI1505" s="106"/>
      <c r="RJ1505" s="106"/>
      <c r="RK1505" s="106"/>
      <c r="RL1505" s="106"/>
    </row>
    <row r="1506" spans="48:480" x14ac:dyDescent="0.3">
      <c r="AV1506" s="103"/>
      <c r="CJ1506" s="103"/>
      <c r="FP1506" s="103"/>
      <c r="LL1506" s="103"/>
      <c r="NM1506" s="103"/>
      <c r="QT1506" s="106"/>
      <c r="QU1506" s="106"/>
      <c r="QV1506" s="106"/>
      <c r="QW1506" s="106"/>
      <c r="QX1506" s="106"/>
      <c r="QY1506" s="106"/>
      <c r="QZ1506" s="106"/>
      <c r="RA1506" s="106"/>
      <c r="RB1506" s="106"/>
      <c r="RC1506" s="106"/>
      <c r="RD1506" s="106"/>
      <c r="RE1506" s="106"/>
      <c r="RF1506" s="106"/>
      <c r="RG1506" s="106"/>
      <c r="RH1506" s="106"/>
      <c r="RI1506" s="106"/>
      <c r="RJ1506" s="106"/>
      <c r="RK1506" s="106"/>
      <c r="RL1506" s="106"/>
    </row>
    <row r="1507" spans="48:480" x14ac:dyDescent="0.3">
      <c r="AV1507" s="103"/>
      <c r="CJ1507" s="103"/>
      <c r="FP1507" s="103"/>
      <c r="LL1507" s="103"/>
      <c r="NM1507" s="103"/>
      <c r="QT1507" s="106"/>
      <c r="QU1507" s="106"/>
      <c r="QV1507" s="106"/>
      <c r="QW1507" s="106"/>
      <c r="QX1507" s="106"/>
      <c r="QY1507" s="106"/>
      <c r="QZ1507" s="106"/>
      <c r="RA1507" s="106"/>
      <c r="RB1507" s="106"/>
      <c r="RC1507" s="106"/>
      <c r="RD1507" s="106"/>
      <c r="RE1507" s="106"/>
      <c r="RF1507" s="106"/>
      <c r="RG1507" s="106"/>
      <c r="RH1507" s="106"/>
      <c r="RI1507" s="106"/>
      <c r="RJ1507" s="106"/>
      <c r="RK1507" s="106"/>
      <c r="RL1507" s="106"/>
    </row>
    <row r="1508" spans="48:480" x14ac:dyDescent="0.3">
      <c r="AV1508" s="103"/>
      <c r="CJ1508" s="103"/>
      <c r="FP1508" s="103"/>
      <c r="LL1508" s="103"/>
      <c r="NM1508" s="103"/>
      <c r="QT1508" s="106"/>
      <c r="QU1508" s="106"/>
      <c r="QV1508" s="106"/>
      <c r="QW1508" s="106"/>
      <c r="QX1508" s="106"/>
      <c r="QY1508" s="106"/>
      <c r="QZ1508" s="106"/>
      <c r="RA1508" s="106"/>
      <c r="RB1508" s="106"/>
      <c r="RC1508" s="106"/>
      <c r="RD1508" s="106"/>
      <c r="RE1508" s="106"/>
      <c r="RF1508" s="106"/>
      <c r="RG1508" s="106"/>
      <c r="RH1508" s="106"/>
      <c r="RI1508" s="106"/>
      <c r="RJ1508" s="106"/>
      <c r="RK1508" s="106"/>
      <c r="RL1508" s="106"/>
    </row>
    <row r="1509" spans="48:480" x14ac:dyDescent="0.3">
      <c r="AV1509" s="103"/>
      <c r="CJ1509" s="103"/>
      <c r="FP1509" s="103"/>
      <c r="LL1509" s="103"/>
      <c r="NM1509" s="103"/>
      <c r="QT1509" s="106"/>
      <c r="QU1509" s="106"/>
      <c r="QV1509" s="106"/>
      <c r="QW1509" s="106"/>
      <c r="QX1509" s="106"/>
      <c r="QY1509" s="106"/>
      <c r="QZ1509" s="106"/>
      <c r="RA1509" s="106"/>
      <c r="RB1509" s="106"/>
      <c r="RC1509" s="106"/>
      <c r="RD1509" s="106"/>
      <c r="RE1509" s="106"/>
      <c r="RF1509" s="106"/>
      <c r="RG1509" s="106"/>
      <c r="RH1509" s="106"/>
      <c r="RI1509" s="106"/>
      <c r="RJ1509" s="106"/>
      <c r="RK1509" s="106"/>
      <c r="RL1509" s="106"/>
    </row>
    <row r="1510" spans="48:480" x14ac:dyDescent="0.3">
      <c r="AV1510" s="103"/>
      <c r="CJ1510" s="103"/>
      <c r="FP1510" s="103"/>
      <c r="LL1510" s="103"/>
      <c r="NM1510" s="103"/>
      <c r="QT1510" s="106"/>
      <c r="QU1510" s="106"/>
      <c r="QV1510" s="106"/>
      <c r="QW1510" s="106"/>
      <c r="QX1510" s="106"/>
      <c r="QY1510" s="106"/>
      <c r="QZ1510" s="106"/>
      <c r="RA1510" s="106"/>
      <c r="RB1510" s="106"/>
      <c r="RC1510" s="106"/>
      <c r="RD1510" s="106"/>
      <c r="RE1510" s="106"/>
      <c r="RF1510" s="106"/>
      <c r="RG1510" s="106"/>
      <c r="RH1510" s="106"/>
      <c r="RI1510" s="106"/>
      <c r="RJ1510" s="106"/>
      <c r="RK1510" s="106"/>
      <c r="RL1510" s="106"/>
    </row>
    <row r="1511" spans="48:480" x14ac:dyDescent="0.3">
      <c r="AV1511" s="103"/>
      <c r="CJ1511" s="103"/>
      <c r="FP1511" s="103"/>
      <c r="LL1511" s="103"/>
      <c r="NM1511" s="103"/>
      <c r="QT1511" s="106"/>
      <c r="QU1511" s="106"/>
      <c r="QV1511" s="106"/>
      <c r="QW1511" s="106"/>
      <c r="QX1511" s="106"/>
      <c r="QY1511" s="106"/>
      <c r="QZ1511" s="106"/>
      <c r="RA1511" s="106"/>
      <c r="RB1511" s="106"/>
      <c r="RC1511" s="106"/>
      <c r="RD1511" s="106"/>
      <c r="RE1511" s="106"/>
      <c r="RF1511" s="106"/>
      <c r="RG1511" s="106"/>
      <c r="RH1511" s="106"/>
      <c r="RI1511" s="106"/>
      <c r="RJ1511" s="106"/>
      <c r="RK1511" s="106"/>
      <c r="RL1511" s="106"/>
    </row>
    <row r="1512" spans="48:480" x14ac:dyDescent="0.3">
      <c r="AV1512" s="103"/>
      <c r="CJ1512" s="103"/>
      <c r="FP1512" s="103"/>
      <c r="LL1512" s="103"/>
      <c r="NM1512" s="103"/>
      <c r="QT1512" s="106"/>
      <c r="QU1512" s="106"/>
      <c r="QV1512" s="106"/>
      <c r="QW1512" s="106"/>
      <c r="QX1512" s="106"/>
      <c r="QY1512" s="106"/>
      <c r="QZ1512" s="106"/>
      <c r="RA1512" s="106"/>
      <c r="RB1512" s="106"/>
      <c r="RC1512" s="106"/>
      <c r="RD1512" s="106"/>
      <c r="RE1512" s="106"/>
      <c r="RF1512" s="106"/>
      <c r="RG1512" s="106"/>
      <c r="RH1512" s="106"/>
      <c r="RI1512" s="106"/>
      <c r="RJ1512" s="106"/>
      <c r="RK1512" s="106"/>
      <c r="RL1512" s="106"/>
    </row>
    <row r="1513" spans="48:480" x14ac:dyDescent="0.3">
      <c r="AV1513" s="103"/>
      <c r="CJ1513" s="103"/>
      <c r="FP1513" s="103"/>
      <c r="LL1513" s="103"/>
      <c r="NM1513" s="103"/>
      <c r="QT1513" s="106"/>
      <c r="QU1513" s="106"/>
      <c r="QV1513" s="106"/>
      <c r="QW1513" s="106"/>
      <c r="QX1513" s="106"/>
      <c r="QY1513" s="106"/>
      <c r="QZ1513" s="106"/>
      <c r="RA1513" s="106"/>
      <c r="RB1513" s="106"/>
      <c r="RC1513" s="106"/>
      <c r="RD1513" s="106"/>
      <c r="RE1513" s="106"/>
      <c r="RF1513" s="106"/>
      <c r="RG1513" s="106"/>
      <c r="RH1513" s="106"/>
      <c r="RI1513" s="106"/>
      <c r="RJ1513" s="106"/>
      <c r="RK1513" s="106"/>
      <c r="RL1513" s="106"/>
    </row>
    <row r="1514" spans="48:480" x14ac:dyDescent="0.3">
      <c r="AV1514" s="103"/>
      <c r="CJ1514" s="103"/>
      <c r="FP1514" s="103"/>
      <c r="LL1514" s="103"/>
      <c r="NM1514" s="103"/>
      <c r="QT1514" s="106"/>
      <c r="QU1514" s="106"/>
      <c r="QV1514" s="106"/>
      <c r="QW1514" s="106"/>
      <c r="QX1514" s="106"/>
      <c r="QY1514" s="106"/>
      <c r="QZ1514" s="106"/>
      <c r="RA1514" s="106"/>
      <c r="RB1514" s="106"/>
      <c r="RC1514" s="106"/>
      <c r="RD1514" s="106"/>
      <c r="RE1514" s="106"/>
      <c r="RF1514" s="106"/>
      <c r="RG1514" s="106"/>
      <c r="RH1514" s="106"/>
      <c r="RI1514" s="106"/>
      <c r="RJ1514" s="106"/>
      <c r="RK1514" s="106"/>
      <c r="RL1514" s="106"/>
    </row>
    <row r="1515" spans="48:480" x14ac:dyDescent="0.3">
      <c r="AV1515" s="103"/>
      <c r="CJ1515" s="103"/>
      <c r="FP1515" s="103"/>
      <c r="LL1515" s="103"/>
      <c r="NM1515" s="103"/>
      <c r="QT1515" s="106"/>
      <c r="QU1515" s="106"/>
      <c r="QV1515" s="106"/>
      <c r="QW1515" s="106"/>
      <c r="QX1515" s="106"/>
      <c r="QY1515" s="106"/>
      <c r="QZ1515" s="106"/>
      <c r="RA1515" s="106"/>
      <c r="RB1515" s="106"/>
      <c r="RC1515" s="106"/>
      <c r="RD1515" s="106"/>
      <c r="RE1515" s="106"/>
      <c r="RF1515" s="106"/>
      <c r="RG1515" s="106"/>
      <c r="RH1515" s="106"/>
      <c r="RI1515" s="106"/>
      <c r="RJ1515" s="106"/>
      <c r="RK1515" s="106"/>
      <c r="RL1515" s="106"/>
    </row>
    <row r="1516" spans="48:480" x14ac:dyDescent="0.3">
      <c r="AV1516" s="103"/>
      <c r="CJ1516" s="103"/>
      <c r="FP1516" s="103"/>
      <c r="LL1516" s="103"/>
      <c r="NM1516" s="103"/>
      <c r="QT1516" s="106"/>
      <c r="QU1516" s="106"/>
      <c r="QV1516" s="106"/>
      <c r="QW1516" s="106"/>
      <c r="QX1516" s="106"/>
      <c r="QY1516" s="106"/>
      <c r="QZ1516" s="106"/>
      <c r="RA1516" s="106"/>
      <c r="RB1516" s="106"/>
      <c r="RC1516" s="106"/>
      <c r="RD1516" s="106"/>
      <c r="RE1516" s="106"/>
      <c r="RF1516" s="106"/>
      <c r="RG1516" s="106"/>
      <c r="RH1516" s="106"/>
      <c r="RI1516" s="106"/>
      <c r="RJ1516" s="106"/>
      <c r="RK1516" s="106"/>
      <c r="RL1516" s="106"/>
    </row>
    <row r="1517" spans="48:480" x14ac:dyDescent="0.3">
      <c r="AV1517" s="103"/>
      <c r="CJ1517" s="103"/>
      <c r="FP1517" s="103"/>
      <c r="LL1517" s="103"/>
      <c r="NM1517" s="103"/>
      <c r="QT1517" s="106"/>
      <c r="QU1517" s="106"/>
      <c r="QV1517" s="106"/>
      <c r="QW1517" s="106"/>
      <c r="QX1517" s="106"/>
      <c r="QY1517" s="106"/>
      <c r="QZ1517" s="106"/>
      <c r="RA1517" s="106"/>
      <c r="RB1517" s="106"/>
      <c r="RC1517" s="106"/>
      <c r="RD1517" s="106"/>
      <c r="RE1517" s="106"/>
      <c r="RF1517" s="106"/>
      <c r="RG1517" s="106"/>
      <c r="RH1517" s="106"/>
      <c r="RI1517" s="106"/>
      <c r="RJ1517" s="106"/>
      <c r="RK1517" s="106"/>
      <c r="RL1517" s="106"/>
    </row>
    <row r="1518" spans="48:480" x14ac:dyDescent="0.3">
      <c r="AV1518" s="103"/>
      <c r="CJ1518" s="103"/>
      <c r="FP1518" s="103"/>
      <c r="LL1518" s="103"/>
      <c r="NM1518" s="103"/>
      <c r="QT1518" s="106"/>
      <c r="QU1518" s="106"/>
      <c r="QV1518" s="106"/>
      <c r="QW1518" s="106"/>
      <c r="QX1518" s="106"/>
      <c r="QY1518" s="106"/>
      <c r="QZ1518" s="106"/>
      <c r="RA1518" s="106"/>
      <c r="RB1518" s="106"/>
      <c r="RC1518" s="106"/>
      <c r="RD1518" s="106"/>
      <c r="RE1518" s="106"/>
      <c r="RF1518" s="106"/>
      <c r="RG1518" s="106"/>
      <c r="RH1518" s="106"/>
      <c r="RI1518" s="106"/>
      <c r="RJ1518" s="106"/>
      <c r="RK1518" s="106"/>
      <c r="RL1518" s="106"/>
    </row>
    <row r="1519" spans="48:480" x14ac:dyDescent="0.3">
      <c r="AV1519" s="103"/>
      <c r="CJ1519" s="103"/>
      <c r="FP1519" s="103"/>
      <c r="LL1519" s="103"/>
      <c r="NM1519" s="103"/>
      <c r="QT1519" s="106"/>
      <c r="QU1519" s="106"/>
      <c r="QV1519" s="106"/>
      <c r="QW1519" s="106"/>
      <c r="QX1519" s="106"/>
      <c r="QY1519" s="106"/>
      <c r="QZ1519" s="106"/>
      <c r="RA1519" s="106"/>
      <c r="RB1519" s="106"/>
      <c r="RC1519" s="106"/>
      <c r="RD1519" s="106"/>
      <c r="RE1519" s="106"/>
      <c r="RF1519" s="106"/>
      <c r="RG1519" s="106"/>
      <c r="RH1519" s="106"/>
      <c r="RI1519" s="106"/>
      <c r="RJ1519" s="106"/>
      <c r="RK1519" s="106"/>
      <c r="RL1519" s="106"/>
    </row>
    <row r="1520" spans="48:480" x14ac:dyDescent="0.3">
      <c r="AV1520" s="103"/>
      <c r="CJ1520" s="103"/>
      <c r="FP1520" s="103"/>
      <c r="LL1520" s="103"/>
      <c r="NM1520" s="103"/>
      <c r="QT1520" s="106"/>
      <c r="QU1520" s="106"/>
      <c r="QV1520" s="106"/>
      <c r="QW1520" s="106"/>
      <c r="QX1520" s="106"/>
      <c r="QY1520" s="106"/>
      <c r="QZ1520" s="106"/>
      <c r="RA1520" s="106"/>
      <c r="RB1520" s="106"/>
      <c r="RC1520" s="106"/>
      <c r="RD1520" s="106"/>
      <c r="RE1520" s="106"/>
      <c r="RF1520" s="106"/>
      <c r="RG1520" s="106"/>
      <c r="RH1520" s="106"/>
      <c r="RI1520" s="106"/>
      <c r="RJ1520" s="106"/>
      <c r="RK1520" s="106"/>
      <c r="RL1520" s="106"/>
    </row>
    <row r="1521" spans="48:480" x14ac:dyDescent="0.3">
      <c r="AV1521" s="103"/>
      <c r="CJ1521" s="103"/>
      <c r="FP1521" s="103"/>
      <c r="LL1521" s="103"/>
      <c r="NM1521" s="103"/>
      <c r="QT1521" s="106"/>
      <c r="QU1521" s="106"/>
      <c r="QV1521" s="106"/>
      <c r="QW1521" s="106"/>
      <c r="QX1521" s="106"/>
      <c r="QY1521" s="106"/>
      <c r="QZ1521" s="106"/>
      <c r="RA1521" s="106"/>
      <c r="RB1521" s="106"/>
      <c r="RC1521" s="106"/>
      <c r="RD1521" s="106"/>
      <c r="RE1521" s="106"/>
      <c r="RF1521" s="106"/>
      <c r="RG1521" s="106"/>
      <c r="RH1521" s="106"/>
      <c r="RI1521" s="106"/>
      <c r="RJ1521" s="106"/>
      <c r="RK1521" s="106"/>
      <c r="RL1521" s="106"/>
    </row>
    <row r="1522" spans="48:480" x14ac:dyDescent="0.3">
      <c r="AV1522" s="103"/>
      <c r="CJ1522" s="103"/>
      <c r="FP1522" s="103"/>
      <c r="LL1522" s="103"/>
      <c r="NM1522" s="103"/>
      <c r="QT1522" s="106"/>
      <c r="QU1522" s="106"/>
      <c r="QV1522" s="106"/>
      <c r="QW1522" s="106"/>
      <c r="QX1522" s="106"/>
      <c r="QY1522" s="106"/>
      <c r="QZ1522" s="106"/>
      <c r="RA1522" s="106"/>
      <c r="RB1522" s="106"/>
      <c r="RC1522" s="106"/>
      <c r="RD1522" s="106"/>
      <c r="RE1522" s="106"/>
      <c r="RF1522" s="106"/>
      <c r="RG1522" s="106"/>
      <c r="RH1522" s="106"/>
      <c r="RI1522" s="106"/>
      <c r="RJ1522" s="106"/>
      <c r="RK1522" s="106"/>
      <c r="RL1522" s="106"/>
    </row>
    <row r="1523" spans="48:480" x14ac:dyDescent="0.3">
      <c r="AV1523" s="103"/>
      <c r="CJ1523" s="103"/>
      <c r="FP1523" s="103"/>
      <c r="LL1523" s="103"/>
      <c r="NM1523" s="103"/>
      <c r="QT1523" s="106"/>
      <c r="QU1523" s="106"/>
      <c r="QV1523" s="106"/>
      <c r="QW1523" s="106"/>
      <c r="QX1523" s="106"/>
      <c r="QY1523" s="106"/>
      <c r="QZ1523" s="106"/>
      <c r="RA1523" s="106"/>
      <c r="RB1523" s="106"/>
      <c r="RC1523" s="106"/>
      <c r="RD1523" s="106"/>
      <c r="RE1523" s="106"/>
      <c r="RF1523" s="106"/>
      <c r="RG1523" s="106"/>
      <c r="RH1523" s="106"/>
      <c r="RI1523" s="106"/>
      <c r="RJ1523" s="106"/>
      <c r="RK1523" s="106"/>
      <c r="RL1523" s="106"/>
    </row>
    <row r="1524" spans="48:480" x14ac:dyDescent="0.3">
      <c r="AV1524" s="103"/>
      <c r="CJ1524" s="103"/>
      <c r="FP1524" s="103"/>
      <c r="LL1524" s="103"/>
      <c r="NM1524" s="103"/>
      <c r="QT1524" s="106"/>
      <c r="QU1524" s="106"/>
      <c r="QV1524" s="106"/>
      <c r="QW1524" s="106"/>
      <c r="QX1524" s="106"/>
      <c r="QY1524" s="106"/>
      <c r="QZ1524" s="106"/>
      <c r="RA1524" s="106"/>
      <c r="RB1524" s="106"/>
      <c r="RC1524" s="106"/>
      <c r="RD1524" s="106"/>
      <c r="RE1524" s="106"/>
      <c r="RF1524" s="106"/>
      <c r="RG1524" s="106"/>
      <c r="RH1524" s="106"/>
      <c r="RI1524" s="106"/>
      <c r="RJ1524" s="106"/>
      <c r="RK1524" s="106"/>
      <c r="RL1524" s="106"/>
    </row>
    <row r="1525" spans="48:480" x14ac:dyDescent="0.3">
      <c r="AV1525" s="103"/>
      <c r="CJ1525" s="103"/>
      <c r="FP1525" s="103"/>
      <c r="LL1525" s="103"/>
      <c r="NM1525" s="103"/>
      <c r="QT1525" s="106"/>
      <c r="QU1525" s="106"/>
      <c r="QV1525" s="106"/>
      <c r="QW1525" s="106"/>
      <c r="QX1525" s="106"/>
      <c r="QY1525" s="106"/>
      <c r="QZ1525" s="106"/>
      <c r="RA1525" s="106"/>
      <c r="RB1525" s="106"/>
      <c r="RC1525" s="106"/>
      <c r="RD1525" s="106"/>
      <c r="RE1525" s="106"/>
      <c r="RF1525" s="106"/>
      <c r="RG1525" s="106"/>
      <c r="RH1525" s="106"/>
      <c r="RI1525" s="106"/>
      <c r="RJ1525" s="106"/>
      <c r="RK1525" s="106"/>
      <c r="RL1525" s="106"/>
    </row>
    <row r="1526" spans="48:480" x14ac:dyDescent="0.3">
      <c r="AV1526" s="103"/>
      <c r="CJ1526" s="103"/>
      <c r="FP1526" s="103"/>
      <c r="LL1526" s="103"/>
      <c r="NM1526" s="103"/>
      <c r="QT1526" s="106"/>
      <c r="QU1526" s="106"/>
      <c r="QV1526" s="106"/>
      <c r="QW1526" s="106"/>
      <c r="QX1526" s="106"/>
      <c r="QY1526" s="106"/>
      <c r="QZ1526" s="106"/>
      <c r="RA1526" s="106"/>
      <c r="RB1526" s="106"/>
      <c r="RC1526" s="106"/>
      <c r="RD1526" s="106"/>
      <c r="RE1526" s="106"/>
      <c r="RF1526" s="106"/>
      <c r="RG1526" s="106"/>
      <c r="RH1526" s="106"/>
      <c r="RI1526" s="106"/>
      <c r="RJ1526" s="106"/>
      <c r="RK1526" s="106"/>
      <c r="RL1526" s="106"/>
    </row>
    <row r="1527" spans="48:480" x14ac:dyDescent="0.3">
      <c r="AV1527" s="103"/>
      <c r="CJ1527" s="103"/>
      <c r="FP1527" s="103"/>
      <c r="LL1527" s="103"/>
      <c r="NM1527" s="103"/>
      <c r="QT1527" s="106"/>
      <c r="QU1527" s="106"/>
      <c r="QV1527" s="106"/>
      <c r="QW1527" s="106"/>
      <c r="QX1527" s="106"/>
      <c r="QY1527" s="106"/>
      <c r="QZ1527" s="106"/>
      <c r="RA1527" s="106"/>
      <c r="RB1527" s="106"/>
      <c r="RC1527" s="106"/>
      <c r="RD1527" s="106"/>
      <c r="RE1527" s="106"/>
      <c r="RF1527" s="106"/>
      <c r="RG1527" s="106"/>
      <c r="RH1527" s="106"/>
      <c r="RI1527" s="106"/>
      <c r="RJ1527" s="106"/>
      <c r="RK1527" s="106"/>
      <c r="RL1527" s="106"/>
    </row>
    <row r="1528" spans="48:480" x14ac:dyDescent="0.3">
      <c r="AV1528" s="103"/>
      <c r="CJ1528" s="103"/>
      <c r="FP1528" s="103"/>
      <c r="LL1528" s="103"/>
      <c r="NM1528" s="103"/>
      <c r="QT1528" s="106"/>
      <c r="QU1528" s="106"/>
      <c r="QV1528" s="106"/>
      <c r="QW1528" s="106"/>
      <c r="QX1528" s="106"/>
      <c r="QY1528" s="106"/>
      <c r="QZ1528" s="106"/>
      <c r="RA1528" s="106"/>
      <c r="RB1528" s="106"/>
      <c r="RC1528" s="106"/>
      <c r="RD1528" s="106"/>
      <c r="RE1528" s="106"/>
      <c r="RF1528" s="106"/>
      <c r="RG1528" s="106"/>
      <c r="RH1528" s="106"/>
      <c r="RI1528" s="106"/>
      <c r="RJ1528" s="106"/>
      <c r="RK1528" s="106"/>
      <c r="RL1528" s="106"/>
    </row>
    <row r="1529" spans="48:480" x14ac:dyDescent="0.3">
      <c r="AV1529" s="103"/>
      <c r="CJ1529" s="103"/>
      <c r="FP1529" s="103"/>
      <c r="LL1529" s="103"/>
      <c r="NM1529" s="103"/>
      <c r="QT1529" s="106"/>
      <c r="QU1529" s="106"/>
      <c r="QV1529" s="106"/>
      <c r="QW1529" s="106"/>
      <c r="QX1529" s="106"/>
      <c r="QY1529" s="106"/>
      <c r="QZ1529" s="106"/>
      <c r="RA1529" s="106"/>
      <c r="RB1529" s="106"/>
      <c r="RC1529" s="106"/>
      <c r="RD1529" s="106"/>
      <c r="RE1529" s="106"/>
      <c r="RF1529" s="106"/>
      <c r="RG1529" s="106"/>
      <c r="RH1529" s="106"/>
      <c r="RI1529" s="106"/>
      <c r="RJ1529" s="106"/>
      <c r="RK1529" s="106"/>
      <c r="RL1529" s="106"/>
    </row>
    <row r="1530" spans="48:480" x14ac:dyDescent="0.3">
      <c r="AV1530" s="103"/>
      <c r="CJ1530" s="103"/>
      <c r="FP1530" s="103"/>
      <c r="LL1530" s="103"/>
      <c r="NM1530" s="103"/>
      <c r="QT1530" s="106"/>
      <c r="QU1530" s="106"/>
      <c r="QV1530" s="106"/>
      <c r="QW1530" s="106"/>
      <c r="QX1530" s="106"/>
      <c r="QY1530" s="106"/>
      <c r="QZ1530" s="106"/>
      <c r="RA1530" s="106"/>
      <c r="RB1530" s="106"/>
      <c r="RC1530" s="106"/>
      <c r="RD1530" s="106"/>
      <c r="RE1530" s="106"/>
      <c r="RF1530" s="106"/>
      <c r="RG1530" s="106"/>
      <c r="RH1530" s="106"/>
      <c r="RI1530" s="106"/>
      <c r="RJ1530" s="106"/>
      <c r="RK1530" s="106"/>
      <c r="RL1530" s="106"/>
    </row>
    <row r="1531" spans="48:480" x14ac:dyDescent="0.3">
      <c r="AV1531" s="103"/>
      <c r="CJ1531" s="103"/>
      <c r="FP1531" s="103"/>
      <c r="LL1531" s="103"/>
      <c r="NM1531" s="103"/>
      <c r="QT1531" s="106"/>
      <c r="QU1531" s="106"/>
      <c r="QV1531" s="106"/>
      <c r="QW1531" s="106"/>
      <c r="QX1531" s="106"/>
      <c r="QY1531" s="106"/>
      <c r="QZ1531" s="106"/>
      <c r="RA1531" s="106"/>
      <c r="RB1531" s="106"/>
      <c r="RC1531" s="106"/>
      <c r="RD1531" s="106"/>
      <c r="RE1531" s="106"/>
      <c r="RF1531" s="106"/>
      <c r="RG1531" s="106"/>
      <c r="RH1531" s="106"/>
      <c r="RI1531" s="106"/>
      <c r="RJ1531" s="106"/>
      <c r="RK1531" s="106"/>
      <c r="RL1531" s="106"/>
    </row>
    <row r="1532" spans="48:480" x14ac:dyDescent="0.3">
      <c r="AV1532" s="103"/>
      <c r="CJ1532" s="103"/>
      <c r="FP1532" s="103"/>
      <c r="LL1532" s="103"/>
      <c r="NM1532" s="103"/>
      <c r="QT1532" s="106"/>
      <c r="QU1532" s="106"/>
      <c r="QV1532" s="106"/>
      <c r="QW1532" s="106"/>
      <c r="QX1532" s="106"/>
      <c r="QY1532" s="106"/>
      <c r="QZ1532" s="106"/>
      <c r="RA1532" s="106"/>
      <c r="RB1532" s="106"/>
      <c r="RC1532" s="106"/>
      <c r="RD1532" s="106"/>
      <c r="RE1532" s="106"/>
      <c r="RF1532" s="106"/>
      <c r="RG1532" s="106"/>
      <c r="RH1532" s="106"/>
      <c r="RI1532" s="106"/>
      <c r="RJ1532" s="106"/>
      <c r="RK1532" s="106"/>
      <c r="RL1532" s="106"/>
    </row>
    <row r="1533" spans="48:480" x14ac:dyDescent="0.3">
      <c r="AV1533" s="103"/>
      <c r="CJ1533" s="103"/>
      <c r="FP1533" s="103"/>
      <c r="LL1533" s="103"/>
      <c r="NM1533" s="103"/>
      <c r="QT1533" s="106"/>
      <c r="QU1533" s="106"/>
      <c r="QV1533" s="106"/>
      <c r="QW1533" s="106"/>
      <c r="QX1533" s="106"/>
      <c r="QY1533" s="106"/>
      <c r="QZ1533" s="106"/>
      <c r="RA1533" s="106"/>
      <c r="RB1533" s="106"/>
      <c r="RC1533" s="106"/>
      <c r="RD1533" s="106"/>
      <c r="RE1533" s="106"/>
      <c r="RF1533" s="106"/>
      <c r="RG1533" s="106"/>
      <c r="RH1533" s="106"/>
      <c r="RI1533" s="106"/>
      <c r="RJ1533" s="106"/>
      <c r="RK1533" s="106"/>
      <c r="RL1533" s="106"/>
    </row>
    <row r="1534" spans="48:480" x14ac:dyDescent="0.3">
      <c r="AV1534" s="103"/>
      <c r="CJ1534" s="103"/>
      <c r="FP1534" s="103"/>
      <c r="LL1534" s="103"/>
      <c r="NM1534" s="103"/>
      <c r="QT1534" s="106"/>
      <c r="QU1534" s="106"/>
      <c r="QV1534" s="106"/>
      <c r="QW1534" s="106"/>
      <c r="QX1534" s="106"/>
      <c r="QY1534" s="106"/>
      <c r="QZ1534" s="106"/>
      <c r="RA1534" s="106"/>
      <c r="RB1534" s="106"/>
      <c r="RC1534" s="106"/>
      <c r="RD1534" s="106"/>
      <c r="RE1534" s="106"/>
      <c r="RF1534" s="106"/>
      <c r="RG1534" s="106"/>
      <c r="RH1534" s="106"/>
      <c r="RI1534" s="106"/>
      <c r="RJ1534" s="106"/>
      <c r="RK1534" s="106"/>
      <c r="RL1534" s="106"/>
    </row>
    <row r="1535" spans="48:480" x14ac:dyDescent="0.3">
      <c r="AV1535" s="103"/>
      <c r="CJ1535" s="103"/>
      <c r="FP1535" s="103"/>
      <c r="LL1535" s="103"/>
      <c r="NM1535" s="103"/>
      <c r="QT1535" s="106"/>
      <c r="QU1535" s="106"/>
      <c r="QV1535" s="106"/>
      <c r="QW1535" s="106"/>
      <c r="QX1535" s="106"/>
      <c r="QY1535" s="106"/>
      <c r="QZ1535" s="106"/>
      <c r="RA1535" s="106"/>
      <c r="RB1535" s="106"/>
      <c r="RC1535" s="106"/>
      <c r="RD1535" s="106"/>
      <c r="RE1535" s="106"/>
      <c r="RF1535" s="106"/>
      <c r="RG1535" s="106"/>
      <c r="RH1535" s="106"/>
      <c r="RI1535" s="106"/>
      <c r="RJ1535" s="106"/>
      <c r="RK1535" s="106"/>
      <c r="RL1535" s="106"/>
    </row>
    <row r="1536" spans="48:480" x14ac:dyDescent="0.3">
      <c r="AV1536" s="103"/>
      <c r="CJ1536" s="103"/>
      <c r="FP1536" s="103"/>
      <c r="LL1536" s="103"/>
      <c r="NM1536" s="103"/>
      <c r="QT1536" s="106"/>
      <c r="QU1536" s="106"/>
      <c r="QV1536" s="106"/>
      <c r="QW1536" s="106"/>
      <c r="QX1536" s="106"/>
      <c r="QY1536" s="106"/>
      <c r="QZ1536" s="106"/>
      <c r="RA1536" s="106"/>
      <c r="RB1536" s="106"/>
      <c r="RC1536" s="106"/>
      <c r="RD1536" s="106"/>
      <c r="RE1536" s="106"/>
      <c r="RF1536" s="106"/>
      <c r="RG1536" s="106"/>
      <c r="RH1536" s="106"/>
      <c r="RI1536" s="106"/>
      <c r="RJ1536" s="106"/>
      <c r="RK1536" s="106"/>
      <c r="RL1536" s="106"/>
    </row>
    <row r="1537" spans="48:480" x14ac:dyDescent="0.3">
      <c r="AV1537" s="103"/>
      <c r="CJ1537" s="103"/>
      <c r="FP1537" s="103"/>
      <c r="LL1537" s="103"/>
      <c r="NM1537" s="103"/>
      <c r="QT1537" s="106"/>
      <c r="QU1537" s="106"/>
      <c r="QV1537" s="106"/>
      <c r="QW1537" s="106"/>
      <c r="QX1537" s="106"/>
      <c r="QY1537" s="106"/>
      <c r="QZ1537" s="106"/>
      <c r="RA1537" s="106"/>
      <c r="RB1537" s="106"/>
      <c r="RC1537" s="106"/>
      <c r="RD1537" s="106"/>
      <c r="RE1537" s="106"/>
      <c r="RF1537" s="106"/>
      <c r="RG1537" s="106"/>
      <c r="RH1537" s="106"/>
      <c r="RI1537" s="106"/>
      <c r="RJ1537" s="106"/>
      <c r="RK1537" s="106"/>
      <c r="RL1537" s="106"/>
    </row>
    <row r="1538" spans="48:480" x14ac:dyDescent="0.3">
      <c r="AV1538" s="103"/>
      <c r="CJ1538" s="103"/>
      <c r="FP1538" s="103"/>
      <c r="LL1538" s="103"/>
      <c r="NM1538" s="103"/>
      <c r="QT1538" s="106"/>
      <c r="QU1538" s="106"/>
      <c r="QV1538" s="106"/>
      <c r="QW1538" s="106"/>
      <c r="QX1538" s="106"/>
      <c r="QY1538" s="106"/>
      <c r="QZ1538" s="106"/>
      <c r="RA1538" s="106"/>
      <c r="RB1538" s="106"/>
      <c r="RC1538" s="106"/>
      <c r="RD1538" s="106"/>
      <c r="RE1538" s="106"/>
      <c r="RF1538" s="106"/>
      <c r="RG1538" s="106"/>
      <c r="RH1538" s="106"/>
      <c r="RI1538" s="106"/>
      <c r="RJ1538" s="106"/>
      <c r="RK1538" s="106"/>
      <c r="RL1538" s="106"/>
    </row>
    <row r="1539" spans="48:480" x14ac:dyDescent="0.3">
      <c r="AV1539" s="103"/>
      <c r="CJ1539" s="103"/>
      <c r="FP1539" s="103"/>
      <c r="LL1539" s="103"/>
      <c r="NM1539" s="103"/>
      <c r="QT1539" s="106"/>
      <c r="QU1539" s="106"/>
      <c r="QV1539" s="106"/>
      <c r="QW1539" s="106"/>
      <c r="QX1539" s="106"/>
      <c r="QY1539" s="106"/>
      <c r="QZ1539" s="106"/>
      <c r="RA1539" s="106"/>
      <c r="RB1539" s="106"/>
      <c r="RC1539" s="106"/>
      <c r="RD1539" s="106"/>
      <c r="RE1539" s="106"/>
      <c r="RF1539" s="106"/>
      <c r="RG1539" s="106"/>
      <c r="RH1539" s="106"/>
      <c r="RI1539" s="106"/>
      <c r="RJ1539" s="106"/>
      <c r="RK1539" s="106"/>
      <c r="RL1539" s="106"/>
    </row>
    <row r="1540" spans="48:480" x14ac:dyDescent="0.3">
      <c r="AV1540" s="103"/>
      <c r="CJ1540" s="103"/>
      <c r="FP1540" s="103"/>
      <c r="LL1540" s="103"/>
      <c r="NM1540" s="103"/>
      <c r="QT1540" s="106"/>
      <c r="QU1540" s="106"/>
      <c r="QV1540" s="106"/>
      <c r="QW1540" s="106"/>
      <c r="QX1540" s="106"/>
      <c r="QY1540" s="106"/>
      <c r="QZ1540" s="106"/>
      <c r="RA1540" s="106"/>
      <c r="RB1540" s="106"/>
      <c r="RC1540" s="106"/>
      <c r="RD1540" s="106"/>
      <c r="RE1540" s="106"/>
      <c r="RF1540" s="106"/>
      <c r="RG1540" s="106"/>
      <c r="RH1540" s="106"/>
      <c r="RI1540" s="106"/>
      <c r="RJ1540" s="106"/>
      <c r="RK1540" s="106"/>
      <c r="RL1540" s="106"/>
    </row>
    <row r="1541" spans="48:480" x14ac:dyDescent="0.3">
      <c r="AV1541" s="103"/>
      <c r="CJ1541" s="103"/>
      <c r="FP1541" s="103"/>
      <c r="LL1541" s="103"/>
      <c r="NM1541" s="103"/>
      <c r="QT1541" s="106"/>
      <c r="QU1541" s="106"/>
      <c r="QV1541" s="106"/>
      <c r="QW1541" s="106"/>
      <c r="QX1541" s="106"/>
      <c r="QY1541" s="106"/>
      <c r="QZ1541" s="106"/>
      <c r="RA1541" s="106"/>
      <c r="RB1541" s="106"/>
      <c r="RC1541" s="106"/>
      <c r="RD1541" s="106"/>
      <c r="RE1541" s="106"/>
      <c r="RF1541" s="106"/>
      <c r="RG1541" s="106"/>
      <c r="RH1541" s="106"/>
      <c r="RI1541" s="106"/>
      <c r="RJ1541" s="106"/>
      <c r="RK1541" s="106"/>
      <c r="RL1541" s="106"/>
    </row>
    <row r="1542" spans="48:480" x14ac:dyDescent="0.3">
      <c r="AV1542" s="103"/>
      <c r="CJ1542" s="103"/>
      <c r="FP1542" s="103"/>
      <c r="LL1542" s="103"/>
      <c r="NM1542" s="103"/>
      <c r="QT1542" s="106"/>
      <c r="QU1542" s="106"/>
      <c r="QV1542" s="106"/>
      <c r="QW1542" s="106"/>
      <c r="QX1542" s="106"/>
      <c r="QY1542" s="106"/>
      <c r="QZ1542" s="106"/>
      <c r="RA1542" s="106"/>
      <c r="RB1542" s="106"/>
      <c r="RC1542" s="106"/>
      <c r="RD1542" s="106"/>
      <c r="RE1542" s="106"/>
      <c r="RF1542" s="106"/>
      <c r="RG1542" s="106"/>
      <c r="RH1542" s="106"/>
      <c r="RI1542" s="106"/>
      <c r="RJ1542" s="106"/>
      <c r="RK1542" s="106"/>
      <c r="RL1542" s="106"/>
    </row>
    <row r="1543" spans="48:480" x14ac:dyDescent="0.3">
      <c r="AV1543" s="103"/>
      <c r="CJ1543" s="103"/>
      <c r="FP1543" s="103"/>
      <c r="LL1543" s="103"/>
      <c r="NM1543" s="103"/>
      <c r="QT1543" s="106"/>
      <c r="QU1543" s="106"/>
      <c r="QV1543" s="106"/>
      <c r="QW1543" s="106"/>
      <c r="QX1543" s="106"/>
      <c r="QY1543" s="106"/>
      <c r="QZ1543" s="106"/>
      <c r="RA1543" s="106"/>
      <c r="RB1543" s="106"/>
      <c r="RC1543" s="106"/>
      <c r="RD1543" s="106"/>
      <c r="RE1543" s="106"/>
      <c r="RF1543" s="106"/>
      <c r="RG1543" s="106"/>
      <c r="RH1543" s="106"/>
      <c r="RI1543" s="106"/>
      <c r="RJ1543" s="106"/>
      <c r="RK1543" s="106"/>
      <c r="RL1543" s="106"/>
    </row>
    <row r="1544" spans="48:480" x14ac:dyDescent="0.3">
      <c r="AV1544" s="103"/>
      <c r="CJ1544" s="103"/>
      <c r="FP1544" s="103"/>
      <c r="LL1544" s="103"/>
      <c r="NM1544" s="103"/>
      <c r="QT1544" s="106"/>
      <c r="QU1544" s="106"/>
      <c r="QV1544" s="106"/>
      <c r="QW1544" s="106"/>
      <c r="QX1544" s="106"/>
      <c r="QY1544" s="106"/>
      <c r="QZ1544" s="106"/>
      <c r="RA1544" s="106"/>
      <c r="RB1544" s="106"/>
      <c r="RC1544" s="106"/>
      <c r="RD1544" s="106"/>
      <c r="RE1544" s="106"/>
      <c r="RF1544" s="106"/>
      <c r="RG1544" s="106"/>
      <c r="RH1544" s="106"/>
      <c r="RI1544" s="106"/>
      <c r="RJ1544" s="106"/>
      <c r="RK1544" s="106"/>
      <c r="RL1544" s="106"/>
    </row>
    <row r="1545" spans="48:480" x14ac:dyDescent="0.3">
      <c r="AV1545" s="103"/>
      <c r="CJ1545" s="103"/>
      <c r="FP1545" s="103"/>
      <c r="LL1545" s="103"/>
      <c r="NM1545" s="103"/>
      <c r="QT1545" s="106"/>
      <c r="QU1545" s="106"/>
      <c r="QV1545" s="106"/>
      <c r="QW1545" s="106"/>
      <c r="QX1545" s="106"/>
      <c r="QY1545" s="106"/>
      <c r="QZ1545" s="106"/>
      <c r="RA1545" s="106"/>
      <c r="RB1545" s="106"/>
      <c r="RC1545" s="106"/>
      <c r="RD1545" s="106"/>
      <c r="RE1545" s="106"/>
      <c r="RF1545" s="106"/>
      <c r="RG1545" s="106"/>
      <c r="RH1545" s="106"/>
      <c r="RI1545" s="106"/>
      <c r="RJ1545" s="106"/>
      <c r="RK1545" s="106"/>
      <c r="RL1545" s="106"/>
    </row>
    <row r="1546" spans="48:480" x14ac:dyDescent="0.3">
      <c r="AV1546" s="103"/>
      <c r="CJ1546" s="103"/>
      <c r="FP1546" s="103"/>
      <c r="LL1546" s="103"/>
      <c r="NM1546" s="103"/>
      <c r="QT1546" s="106"/>
      <c r="QU1546" s="106"/>
      <c r="QV1546" s="106"/>
      <c r="QW1546" s="106"/>
      <c r="QX1546" s="106"/>
      <c r="QY1546" s="106"/>
      <c r="QZ1546" s="106"/>
      <c r="RA1546" s="106"/>
      <c r="RB1546" s="106"/>
      <c r="RC1546" s="106"/>
      <c r="RD1546" s="106"/>
      <c r="RE1546" s="106"/>
      <c r="RF1546" s="106"/>
      <c r="RG1546" s="106"/>
      <c r="RH1546" s="106"/>
      <c r="RI1546" s="106"/>
      <c r="RJ1546" s="106"/>
      <c r="RK1546" s="106"/>
      <c r="RL1546" s="106"/>
    </row>
    <row r="1547" spans="48:480" x14ac:dyDescent="0.3">
      <c r="AV1547" s="103"/>
      <c r="CJ1547" s="103"/>
      <c r="FP1547" s="103"/>
      <c r="LL1547" s="103"/>
      <c r="NM1547" s="103"/>
      <c r="QT1547" s="106"/>
      <c r="QU1547" s="106"/>
      <c r="QV1547" s="106"/>
      <c r="QW1547" s="106"/>
      <c r="QX1547" s="106"/>
      <c r="QY1547" s="106"/>
      <c r="QZ1547" s="106"/>
      <c r="RA1547" s="106"/>
      <c r="RB1547" s="106"/>
      <c r="RC1547" s="106"/>
      <c r="RD1547" s="106"/>
      <c r="RE1547" s="106"/>
      <c r="RF1547" s="106"/>
      <c r="RG1547" s="106"/>
      <c r="RH1547" s="106"/>
      <c r="RI1547" s="106"/>
      <c r="RJ1547" s="106"/>
      <c r="RK1547" s="106"/>
      <c r="RL1547" s="106"/>
    </row>
    <row r="1548" spans="48:480" x14ac:dyDescent="0.3">
      <c r="AV1548" s="103"/>
      <c r="CJ1548" s="103"/>
      <c r="FP1548" s="103"/>
      <c r="LL1548" s="103"/>
      <c r="NM1548" s="103"/>
      <c r="QT1548" s="106"/>
      <c r="QU1548" s="106"/>
      <c r="QV1548" s="106"/>
      <c r="QW1548" s="106"/>
      <c r="QX1548" s="106"/>
      <c r="QY1548" s="106"/>
      <c r="QZ1548" s="106"/>
      <c r="RA1548" s="106"/>
      <c r="RB1548" s="106"/>
      <c r="RC1548" s="106"/>
      <c r="RD1548" s="106"/>
      <c r="RE1548" s="106"/>
      <c r="RF1548" s="106"/>
      <c r="RG1548" s="106"/>
      <c r="RH1548" s="106"/>
      <c r="RI1548" s="106"/>
      <c r="RJ1548" s="106"/>
      <c r="RK1548" s="106"/>
      <c r="RL1548" s="106"/>
    </row>
    <row r="1549" spans="48:480" x14ac:dyDescent="0.3">
      <c r="AV1549" s="103"/>
      <c r="CJ1549" s="103"/>
      <c r="FP1549" s="103"/>
      <c r="LL1549" s="103"/>
      <c r="NM1549" s="103"/>
      <c r="QT1549" s="106"/>
      <c r="QU1549" s="106"/>
      <c r="QV1549" s="106"/>
      <c r="QW1549" s="106"/>
      <c r="QX1549" s="106"/>
      <c r="QY1549" s="106"/>
      <c r="QZ1549" s="106"/>
      <c r="RA1549" s="106"/>
      <c r="RB1549" s="106"/>
      <c r="RC1549" s="106"/>
      <c r="RD1549" s="106"/>
      <c r="RE1549" s="106"/>
      <c r="RF1549" s="106"/>
      <c r="RG1549" s="106"/>
      <c r="RH1549" s="106"/>
      <c r="RI1549" s="106"/>
      <c r="RJ1549" s="106"/>
      <c r="RK1549" s="106"/>
      <c r="RL1549" s="106"/>
    </row>
    <row r="1550" spans="48:480" x14ac:dyDescent="0.3">
      <c r="AV1550" s="103"/>
      <c r="CJ1550" s="103"/>
      <c r="FP1550" s="103"/>
      <c r="LL1550" s="103"/>
      <c r="NM1550" s="103"/>
      <c r="QT1550" s="106"/>
      <c r="QU1550" s="106"/>
      <c r="QV1550" s="106"/>
      <c r="QW1550" s="106"/>
      <c r="QX1550" s="106"/>
      <c r="QY1550" s="106"/>
      <c r="QZ1550" s="106"/>
      <c r="RA1550" s="106"/>
      <c r="RB1550" s="106"/>
      <c r="RC1550" s="106"/>
      <c r="RD1550" s="106"/>
      <c r="RE1550" s="106"/>
      <c r="RF1550" s="106"/>
      <c r="RG1550" s="106"/>
      <c r="RH1550" s="106"/>
      <c r="RI1550" s="106"/>
      <c r="RJ1550" s="106"/>
      <c r="RK1550" s="106"/>
      <c r="RL1550" s="106"/>
    </row>
    <row r="1551" spans="48:480" x14ac:dyDescent="0.3">
      <c r="AV1551" s="103"/>
      <c r="CJ1551" s="103"/>
      <c r="FP1551" s="103"/>
      <c r="LL1551" s="103"/>
      <c r="NM1551" s="103"/>
      <c r="QT1551" s="106"/>
      <c r="QU1551" s="106"/>
      <c r="QV1551" s="106"/>
      <c r="QW1551" s="106"/>
      <c r="QX1551" s="106"/>
      <c r="QY1551" s="106"/>
      <c r="QZ1551" s="106"/>
      <c r="RA1551" s="106"/>
      <c r="RB1551" s="106"/>
      <c r="RC1551" s="106"/>
      <c r="RD1551" s="106"/>
      <c r="RE1551" s="106"/>
      <c r="RF1551" s="106"/>
      <c r="RG1551" s="106"/>
      <c r="RH1551" s="106"/>
      <c r="RI1551" s="106"/>
      <c r="RJ1551" s="106"/>
      <c r="RK1551" s="106"/>
      <c r="RL1551" s="106"/>
    </row>
    <row r="1552" spans="48:480" x14ac:dyDescent="0.3">
      <c r="AV1552" s="103"/>
      <c r="CJ1552" s="103"/>
      <c r="FP1552" s="103"/>
      <c r="LL1552" s="103"/>
      <c r="NM1552" s="103"/>
      <c r="QT1552" s="106"/>
      <c r="QU1552" s="106"/>
      <c r="QV1552" s="106"/>
      <c r="QW1552" s="106"/>
      <c r="QX1552" s="106"/>
      <c r="QY1552" s="106"/>
      <c r="QZ1552" s="106"/>
      <c r="RA1552" s="106"/>
      <c r="RB1552" s="106"/>
      <c r="RC1552" s="106"/>
      <c r="RD1552" s="106"/>
      <c r="RE1552" s="106"/>
      <c r="RF1552" s="106"/>
      <c r="RG1552" s="106"/>
      <c r="RH1552" s="106"/>
      <c r="RI1552" s="106"/>
      <c r="RJ1552" s="106"/>
      <c r="RK1552" s="106"/>
      <c r="RL1552" s="106"/>
    </row>
    <row r="1553" spans="48:480" x14ac:dyDescent="0.3">
      <c r="AV1553" s="103"/>
      <c r="CJ1553" s="103"/>
      <c r="FP1553" s="103"/>
      <c r="LL1553" s="103"/>
      <c r="NM1553" s="103"/>
      <c r="QT1553" s="106"/>
      <c r="QU1553" s="106"/>
      <c r="QV1553" s="106"/>
      <c r="QW1553" s="106"/>
      <c r="QX1553" s="106"/>
      <c r="QY1553" s="106"/>
      <c r="QZ1553" s="106"/>
      <c r="RA1553" s="106"/>
      <c r="RB1553" s="106"/>
      <c r="RC1553" s="106"/>
      <c r="RD1553" s="106"/>
      <c r="RE1553" s="106"/>
      <c r="RF1553" s="106"/>
      <c r="RG1553" s="106"/>
      <c r="RH1553" s="106"/>
      <c r="RI1553" s="106"/>
      <c r="RJ1553" s="106"/>
      <c r="RK1553" s="106"/>
      <c r="RL1553" s="106"/>
    </row>
    <row r="1554" spans="48:480" x14ac:dyDescent="0.3">
      <c r="AV1554" s="103"/>
      <c r="CJ1554" s="103"/>
      <c r="FP1554" s="103"/>
      <c r="LL1554" s="103"/>
      <c r="NM1554" s="103"/>
      <c r="QT1554" s="106"/>
      <c r="QU1554" s="106"/>
      <c r="QV1554" s="106"/>
      <c r="QW1554" s="106"/>
      <c r="QX1554" s="106"/>
      <c r="QY1554" s="106"/>
      <c r="QZ1554" s="106"/>
      <c r="RA1554" s="106"/>
      <c r="RB1554" s="106"/>
      <c r="RC1554" s="106"/>
      <c r="RD1554" s="106"/>
      <c r="RE1554" s="106"/>
      <c r="RF1554" s="106"/>
      <c r="RG1554" s="106"/>
      <c r="RH1554" s="106"/>
      <c r="RI1554" s="106"/>
      <c r="RJ1554" s="106"/>
      <c r="RK1554" s="106"/>
      <c r="RL1554" s="106"/>
    </row>
    <row r="1555" spans="48:480" x14ac:dyDescent="0.3">
      <c r="AV1555" s="103"/>
      <c r="CJ1555" s="103"/>
      <c r="FP1555" s="103"/>
      <c r="LL1555" s="103"/>
      <c r="NM1555" s="103"/>
      <c r="QT1555" s="106"/>
      <c r="QU1555" s="106"/>
      <c r="QV1555" s="106"/>
      <c r="QW1555" s="106"/>
      <c r="QX1555" s="106"/>
      <c r="QY1555" s="106"/>
      <c r="QZ1555" s="106"/>
      <c r="RA1555" s="106"/>
      <c r="RB1555" s="106"/>
      <c r="RC1555" s="106"/>
      <c r="RD1555" s="106"/>
      <c r="RE1555" s="106"/>
      <c r="RF1555" s="106"/>
      <c r="RG1555" s="106"/>
      <c r="RH1555" s="106"/>
      <c r="RI1555" s="106"/>
      <c r="RJ1555" s="106"/>
      <c r="RK1555" s="106"/>
      <c r="RL1555" s="106"/>
    </row>
    <row r="1556" spans="48:480" x14ac:dyDescent="0.3">
      <c r="AV1556" s="103"/>
      <c r="CJ1556" s="103"/>
      <c r="FP1556" s="103"/>
      <c r="LL1556" s="103"/>
      <c r="NM1556" s="103"/>
      <c r="QT1556" s="106"/>
      <c r="QU1556" s="106"/>
      <c r="QV1556" s="106"/>
      <c r="QW1556" s="106"/>
      <c r="QX1556" s="106"/>
      <c r="QY1556" s="106"/>
      <c r="QZ1556" s="106"/>
      <c r="RA1556" s="106"/>
      <c r="RB1556" s="106"/>
      <c r="RC1556" s="106"/>
      <c r="RD1556" s="106"/>
      <c r="RE1556" s="106"/>
      <c r="RF1556" s="106"/>
      <c r="RG1556" s="106"/>
      <c r="RH1556" s="106"/>
      <c r="RI1556" s="106"/>
      <c r="RJ1556" s="106"/>
      <c r="RK1556" s="106"/>
      <c r="RL1556" s="106"/>
    </row>
    <row r="1557" spans="48:480" x14ac:dyDescent="0.3">
      <c r="AV1557" s="103"/>
      <c r="CJ1557" s="103"/>
      <c r="FP1557" s="103"/>
      <c r="LL1557" s="103"/>
      <c r="NM1557" s="103"/>
      <c r="QT1557" s="106"/>
      <c r="QU1557" s="106"/>
      <c r="QV1557" s="106"/>
      <c r="QW1557" s="106"/>
      <c r="QX1557" s="106"/>
      <c r="QY1557" s="106"/>
      <c r="QZ1557" s="106"/>
      <c r="RA1557" s="106"/>
      <c r="RB1557" s="106"/>
      <c r="RC1557" s="106"/>
      <c r="RD1557" s="106"/>
      <c r="RE1557" s="106"/>
      <c r="RF1557" s="106"/>
      <c r="RG1557" s="106"/>
      <c r="RH1557" s="106"/>
      <c r="RI1557" s="106"/>
      <c r="RJ1557" s="106"/>
      <c r="RK1557" s="106"/>
      <c r="RL1557" s="106"/>
    </row>
    <row r="1558" spans="48:480" x14ac:dyDescent="0.3">
      <c r="AV1558" s="103"/>
      <c r="CJ1558" s="103"/>
      <c r="FP1558" s="103"/>
      <c r="LL1558" s="103"/>
      <c r="NM1558" s="103"/>
      <c r="QT1558" s="106"/>
      <c r="QU1558" s="106"/>
      <c r="QV1558" s="106"/>
      <c r="QW1558" s="106"/>
      <c r="QX1558" s="106"/>
      <c r="QY1558" s="106"/>
      <c r="QZ1558" s="106"/>
      <c r="RA1558" s="106"/>
      <c r="RB1558" s="106"/>
      <c r="RC1558" s="106"/>
      <c r="RD1558" s="106"/>
      <c r="RE1558" s="106"/>
      <c r="RF1558" s="106"/>
      <c r="RG1558" s="106"/>
      <c r="RH1558" s="106"/>
      <c r="RI1558" s="106"/>
      <c r="RJ1558" s="106"/>
      <c r="RK1558" s="106"/>
      <c r="RL1558" s="106"/>
    </row>
    <row r="1559" spans="48:480" x14ac:dyDescent="0.3">
      <c r="AV1559" s="103"/>
      <c r="CJ1559" s="103"/>
      <c r="FP1559" s="103"/>
      <c r="LL1559" s="103"/>
      <c r="NM1559" s="103"/>
      <c r="QT1559" s="106"/>
      <c r="QU1559" s="106"/>
      <c r="QV1559" s="106"/>
      <c r="QW1559" s="106"/>
      <c r="QX1559" s="106"/>
      <c r="QY1559" s="106"/>
      <c r="QZ1559" s="106"/>
      <c r="RA1559" s="106"/>
      <c r="RB1559" s="106"/>
      <c r="RC1559" s="106"/>
      <c r="RD1559" s="106"/>
      <c r="RE1559" s="106"/>
      <c r="RF1559" s="106"/>
      <c r="RG1559" s="106"/>
      <c r="RH1559" s="106"/>
      <c r="RI1559" s="106"/>
      <c r="RJ1559" s="106"/>
      <c r="RK1559" s="106"/>
      <c r="RL1559" s="106"/>
    </row>
    <row r="1560" spans="48:480" x14ac:dyDescent="0.3">
      <c r="AV1560" s="103"/>
      <c r="CJ1560" s="103"/>
      <c r="FP1560" s="103"/>
      <c r="LL1560" s="103"/>
      <c r="NM1560" s="103"/>
      <c r="QT1560" s="106"/>
      <c r="QU1560" s="106"/>
      <c r="QV1560" s="106"/>
      <c r="QW1560" s="106"/>
      <c r="QX1560" s="106"/>
      <c r="QY1560" s="106"/>
      <c r="QZ1560" s="106"/>
      <c r="RA1560" s="106"/>
      <c r="RB1560" s="106"/>
      <c r="RC1560" s="106"/>
      <c r="RD1560" s="106"/>
      <c r="RE1560" s="106"/>
      <c r="RF1560" s="106"/>
      <c r="RG1560" s="106"/>
      <c r="RH1560" s="106"/>
      <c r="RI1560" s="106"/>
      <c r="RJ1560" s="106"/>
      <c r="RK1560" s="106"/>
      <c r="RL1560" s="106"/>
    </row>
    <row r="1561" spans="48:480" x14ac:dyDescent="0.3">
      <c r="AV1561" s="103"/>
      <c r="CJ1561" s="103"/>
      <c r="FP1561" s="103"/>
      <c r="LL1561" s="103"/>
      <c r="NM1561" s="103"/>
      <c r="QT1561" s="106"/>
      <c r="QU1561" s="106"/>
      <c r="QV1561" s="106"/>
      <c r="QW1561" s="106"/>
      <c r="QX1561" s="106"/>
      <c r="QY1561" s="106"/>
      <c r="QZ1561" s="106"/>
      <c r="RA1561" s="106"/>
      <c r="RB1561" s="106"/>
      <c r="RC1561" s="106"/>
      <c r="RD1561" s="106"/>
      <c r="RE1561" s="106"/>
      <c r="RF1561" s="106"/>
      <c r="RG1561" s="106"/>
      <c r="RH1561" s="106"/>
      <c r="RI1561" s="106"/>
      <c r="RJ1561" s="106"/>
      <c r="RK1561" s="106"/>
      <c r="RL1561" s="106"/>
    </row>
    <row r="1562" spans="48:480" x14ac:dyDescent="0.3">
      <c r="AV1562" s="103"/>
      <c r="CJ1562" s="103"/>
      <c r="FP1562" s="103"/>
      <c r="LL1562" s="103"/>
      <c r="NM1562" s="103"/>
      <c r="QT1562" s="106"/>
      <c r="QU1562" s="106"/>
      <c r="QV1562" s="106"/>
      <c r="QW1562" s="106"/>
      <c r="QX1562" s="106"/>
      <c r="QY1562" s="106"/>
      <c r="QZ1562" s="106"/>
      <c r="RA1562" s="106"/>
      <c r="RB1562" s="106"/>
      <c r="RC1562" s="106"/>
      <c r="RD1562" s="106"/>
      <c r="RE1562" s="106"/>
      <c r="RF1562" s="106"/>
      <c r="RG1562" s="106"/>
      <c r="RH1562" s="106"/>
      <c r="RI1562" s="106"/>
      <c r="RJ1562" s="106"/>
      <c r="RK1562" s="106"/>
      <c r="RL1562" s="106"/>
    </row>
    <row r="1563" spans="48:480" x14ac:dyDescent="0.3">
      <c r="AV1563" s="103"/>
      <c r="CJ1563" s="103"/>
      <c r="FP1563" s="103"/>
      <c r="LL1563" s="103"/>
      <c r="NM1563" s="103"/>
      <c r="QT1563" s="106"/>
      <c r="QU1563" s="106"/>
      <c r="QV1563" s="106"/>
      <c r="QW1563" s="106"/>
      <c r="QX1563" s="106"/>
      <c r="QY1563" s="106"/>
      <c r="QZ1563" s="106"/>
      <c r="RA1563" s="106"/>
      <c r="RB1563" s="106"/>
      <c r="RC1563" s="106"/>
      <c r="RD1563" s="106"/>
      <c r="RE1563" s="106"/>
      <c r="RF1563" s="106"/>
      <c r="RG1563" s="106"/>
      <c r="RH1563" s="106"/>
      <c r="RI1563" s="106"/>
      <c r="RJ1563" s="106"/>
      <c r="RK1563" s="106"/>
      <c r="RL1563" s="106"/>
    </row>
    <row r="1564" spans="48:480" x14ac:dyDescent="0.3">
      <c r="AV1564" s="103"/>
      <c r="CJ1564" s="103"/>
      <c r="FP1564" s="103"/>
      <c r="LL1564" s="103"/>
      <c r="NM1564" s="103"/>
      <c r="QT1564" s="106"/>
      <c r="QU1564" s="106"/>
      <c r="QV1564" s="106"/>
      <c r="QW1564" s="106"/>
      <c r="QX1564" s="106"/>
      <c r="QY1564" s="106"/>
      <c r="QZ1564" s="106"/>
      <c r="RA1564" s="106"/>
      <c r="RB1564" s="106"/>
      <c r="RC1564" s="106"/>
      <c r="RD1564" s="106"/>
      <c r="RE1564" s="106"/>
      <c r="RF1564" s="106"/>
      <c r="RG1564" s="106"/>
      <c r="RH1564" s="106"/>
      <c r="RI1564" s="106"/>
      <c r="RJ1564" s="106"/>
      <c r="RK1564" s="106"/>
      <c r="RL1564" s="106"/>
    </row>
    <row r="1565" spans="48:480" x14ac:dyDescent="0.3">
      <c r="AV1565" s="103"/>
      <c r="CJ1565" s="103"/>
      <c r="FP1565" s="103"/>
      <c r="LL1565" s="103"/>
      <c r="NM1565" s="103"/>
      <c r="QT1565" s="106"/>
      <c r="QU1565" s="106"/>
      <c r="QV1565" s="106"/>
      <c r="QW1565" s="106"/>
      <c r="QX1565" s="106"/>
      <c r="QY1565" s="106"/>
      <c r="QZ1565" s="106"/>
      <c r="RA1565" s="106"/>
      <c r="RB1565" s="106"/>
      <c r="RC1565" s="106"/>
      <c r="RD1565" s="106"/>
      <c r="RE1565" s="106"/>
      <c r="RF1565" s="106"/>
      <c r="RG1565" s="106"/>
      <c r="RH1565" s="106"/>
      <c r="RI1565" s="106"/>
      <c r="RJ1565" s="106"/>
      <c r="RK1565" s="106"/>
      <c r="RL1565" s="106"/>
    </row>
    <row r="1566" spans="48:480" x14ac:dyDescent="0.3">
      <c r="AV1566" s="103"/>
      <c r="CJ1566" s="103"/>
      <c r="FP1566" s="103"/>
      <c r="LL1566" s="103"/>
      <c r="NM1566" s="103"/>
      <c r="QT1566" s="106"/>
      <c r="QU1566" s="106"/>
      <c r="QV1566" s="106"/>
      <c r="QW1566" s="106"/>
      <c r="QX1566" s="106"/>
      <c r="QY1566" s="106"/>
      <c r="QZ1566" s="106"/>
      <c r="RA1566" s="106"/>
      <c r="RB1566" s="106"/>
      <c r="RC1566" s="106"/>
      <c r="RD1566" s="106"/>
      <c r="RE1566" s="106"/>
      <c r="RF1566" s="106"/>
      <c r="RG1566" s="106"/>
      <c r="RH1566" s="106"/>
      <c r="RI1566" s="106"/>
      <c r="RJ1566" s="106"/>
      <c r="RK1566" s="106"/>
      <c r="RL1566" s="106"/>
    </row>
    <row r="1567" spans="48:480" x14ac:dyDescent="0.3">
      <c r="AV1567" s="103"/>
      <c r="CJ1567" s="103"/>
      <c r="FP1567" s="103"/>
      <c r="LL1567" s="103"/>
      <c r="NM1567" s="103"/>
      <c r="QT1567" s="106"/>
      <c r="QU1567" s="106"/>
      <c r="QV1567" s="106"/>
      <c r="QW1567" s="106"/>
      <c r="QX1567" s="106"/>
      <c r="QY1567" s="106"/>
      <c r="QZ1567" s="106"/>
      <c r="RA1567" s="106"/>
      <c r="RB1567" s="106"/>
      <c r="RC1567" s="106"/>
      <c r="RD1567" s="106"/>
      <c r="RE1567" s="106"/>
      <c r="RF1567" s="106"/>
      <c r="RG1567" s="106"/>
      <c r="RH1567" s="106"/>
      <c r="RI1567" s="106"/>
      <c r="RJ1567" s="106"/>
      <c r="RK1567" s="106"/>
      <c r="RL1567" s="106"/>
    </row>
    <row r="1568" spans="48:480" x14ac:dyDescent="0.3">
      <c r="AV1568" s="103"/>
      <c r="CJ1568" s="103"/>
      <c r="FP1568" s="103"/>
      <c r="LL1568" s="103"/>
      <c r="NM1568" s="103"/>
      <c r="QT1568" s="106"/>
      <c r="QU1568" s="106"/>
      <c r="QV1568" s="106"/>
      <c r="QW1568" s="106"/>
      <c r="QX1568" s="106"/>
      <c r="QY1568" s="106"/>
      <c r="QZ1568" s="106"/>
      <c r="RA1568" s="106"/>
      <c r="RB1568" s="106"/>
      <c r="RC1568" s="106"/>
      <c r="RD1568" s="106"/>
      <c r="RE1568" s="106"/>
      <c r="RF1568" s="106"/>
      <c r="RG1568" s="106"/>
      <c r="RH1568" s="106"/>
      <c r="RI1568" s="106"/>
      <c r="RJ1568" s="106"/>
      <c r="RK1568" s="106"/>
      <c r="RL1568" s="106"/>
    </row>
    <row r="1569" spans="48:480" x14ac:dyDescent="0.3">
      <c r="AV1569" s="103"/>
      <c r="CJ1569" s="103"/>
      <c r="FP1569" s="103"/>
      <c r="LL1569" s="103"/>
      <c r="NM1569" s="103"/>
      <c r="QT1569" s="106"/>
      <c r="QU1569" s="106"/>
      <c r="QV1569" s="106"/>
      <c r="QW1569" s="106"/>
      <c r="QX1569" s="106"/>
      <c r="QY1569" s="106"/>
      <c r="QZ1569" s="106"/>
      <c r="RA1569" s="106"/>
      <c r="RB1569" s="106"/>
      <c r="RC1569" s="106"/>
      <c r="RD1569" s="106"/>
      <c r="RE1569" s="106"/>
      <c r="RF1569" s="106"/>
      <c r="RG1569" s="106"/>
      <c r="RH1569" s="106"/>
      <c r="RI1569" s="106"/>
      <c r="RJ1569" s="106"/>
      <c r="RK1569" s="106"/>
      <c r="RL1569" s="106"/>
    </row>
    <row r="1570" spans="48:480" x14ac:dyDescent="0.3">
      <c r="AV1570" s="103"/>
      <c r="CJ1570" s="103"/>
      <c r="FP1570" s="103"/>
      <c r="LL1570" s="103"/>
      <c r="NM1570" s="103"/>
      <c r="QT1570" s="106"/>
      <c r="QU1570" s="106"/>
      <c r="QV1570" s="106"/>
      <c r="QW1570" s="106"/>
      <c r="QX1570" s="106"/>
      <c r="QY1570" s="106"/>
      <c r="QZ1570" s="106"/>
      <c r="RA1570" s="106"/>
      <c r="RB1570" s="106"/>
      <c r="RC1570" s="106"/>
      <c r="RD1570" s="106"/>
      <c r="RE1570" s="106"/>
      <c r="RF1570" s="106"/>
      <c r="RG1570" s="106"/>
      <c r="RH1570" s="106"/>
      <c r="RI1570" s="106"/>
      <c r="RJ1570" s="106"/>
      <c r="RK1570" s="106"/>
      <c r="RL1570" s="106"/>
    </row>
    <row r="1571" spans="48:480" x14ac:dyDescent="0.3">
      <c r="AV1571" s="103"/>
      <c r="CJ1571" s="103"/>
      <c r="FP1571" s="103"/>
      <c r="LL1571" s="103"/>
      <c r="NM1571" s="103"/>
      <c r="QT1571" s="106"/>
      <c r="QU1571" s="106"/>
      <c r="QV1571" s="106"/>
      <c r="QW1571" s="106"/>
      <c r="QX1571" s="106"/>
      <c r="QY1571" s="106"/>
      <c r="QZ1571" s="106"/>
      <c r="RA1571" s="106"/>
      <c r="RB1571" s="106"/>
      <c r="RC1571" s="106"/>
      <c r="RD1571" s="106"/>
      <c r="RE1571" s="106"/>
      <c r="RF1571" s="106"/>
      <c r="RG1571" s="106"/>
      <c r="RH1571" s="106"/>
      <c r="RI1571" s="106"/>
      <c r="RJ1571" s="106"/>
      <c r="RK1571" s="106"/>
      <c r="RL1571" s="106"/>
    </row>
    <row r="1572" spans="48:480" x14ac:dyDescent="0.3">
      <c r="AV1572" s="103"/>
      <c r="CJ1572" s="103"/>
      <c r="FP1572" s="103"/>
      <c r="LL1572" s="103"/>
      <c r="NM1572" s="103"/>
      <c r="QT1572" s="106"/>
      <c r="QU1572" s="106"/>
      <c r="QV1572" s="106"/>
      <c r="QW1572" s="106"/>
      <c r="QX1572" s="106"/>
      <c r="QY1572" s="106"/>
      <c r="QZ1572" s="106"/>
      <c r="RA1572" s="106"/>
      <c r="RB1572" s="106"/>
      <c r="RC1572" s="106"/>
      <c r="RD1572" s="106"/>
      <c r="RE1572" s="106"/>
      <c r="RF1572" s="106"/>
      <c r="RG1572" s="106"/>
      <c r="RH1572" s="106"/>
      <c r="RI1572" s="106"/>
      <c r="RJ1572" s="106"/>
      <c r="RK1572" s="106"/>
      <c r="RL1572" s="106"/>
    </row>
    <row r="1573" spans="48:480" x14ac:dyDescent="0.3">
      <c r="AV1573" s="103"/>
      <c r="CJ1573" s="103"/>
      <c r="FP1573" s="103"/>
      <c r="LL1573" s="103"/>
      <c r="NM1573" s="103"/>
      <c r="QT1573" s="106"/>
      <c r="QU1573" s="106"/>
      <c r="QV1573" s="106"/>
      <c r="QW1573" s="106"/>
      <c r="QX1573" s="106"/>
      <c r="QY1573" s="106"/>
      <c r="QZ1573" s="106"/>
      <c r="RA1573" s="106"/>
      <c r="RB1573" s="106"/>
      <c r="RC1573" s="106"/>
      <c r="RD1573" s="106"/>
      <c r="RE1573" s="106"/>
      <c r="RF1573" s="106"/>
      <c r="RG1573" s="106"/>
      <c r="RH1573" s="106"/>
      <c r="RI1573" s="106"/>
      <c r="RJ1573" s="106"/>
      <c r="RK1573" s="106"/>
      <c r="RL1573" s="106"/>
    </row>
    <row r="1574" spans="48:480" x14ac:dyDescent="0.3">
      <c r="AV1574" s="103"/>
      <c r="CJ1574" s="103"/>
      <c r="FP1574" s="103"/>
      <c r="LL1574" s="103"/>
      <c r="NM1574" s="103"/>
      <c r="QT1574" s="106"/>
      <c r="QU1574" s="106"/>
      <c r="QV1574" s="106"/>
      <c r="QW1574" s="106"/>
      <c r="QX1574" s="106"/>
      <c r="QY1574" s="106"/>
      <c r="QZ1574" s="106"/>
      <c r="RA1574" s="106"/>
      <c r="RB1574" s="106"/>
      <c r="RC1574" s="106"/>
      <c r="RD1574" s="106"/>
      <c r="RE1574" s="106"/>
      <c r="RF1574" s="106"/>
      <c r="RG1574" s="106"/>
      <c r="RH1574" s="106"/>
      <c r="RI1574" s="106"/>
      <c r="RJ1574" s="106"/>
      <c r="RK1574" s="106"/>
      <c r="RL1574" s="106"/>
    </row>
    <row r="1575" spans="48:480" x14ac:dyDescent="0.3">
      <c r="AV1575" s="103"/>
      <c r="CJ1575" s="103"/>
      <c r="FP1575" s="103"/>
      <c r="LL1575" s="103"/>
      <c r="NM1575" s="103"/>
      <c r="QT1575" s="106"/>
      <c r="QU1575" s="106"/>
      <c r="QV1575" s="106"/>
      <c r="QW1575" s="106"/>
      <c r="QX1575" s="106"/>
      <c r="QY1575" s="106"/>
      <c r="QZ1575" s="106"/>
      <c r="RA1575" s="106"/>
      <c r="RB1575" s="106"/>
      <c r="RC1575" s="106"/>
      <c r="RD1575" s="106"/>
      <c r="RE1575" s="106"/>
      <c r="RF1575" s="106"/>
      <c r="RG1575" s="106"/>
      <c r="RH1575" s="106"/>
      <c r="RI1575" s="106"/>
      <c r="RJ1575" s="106"/>
      <c r="RK1575" s="106"/>
      <c r="RL1575" s="106"/>
    </row>
    <row r="1576" spans="48:480" x14ac:dyDescent="0.3">
      <c r="AV1576" s="103"/>
      <c r="CJ1576" s="103"/>
      <c r="FP1576" s="103"/>
      <c r="LL1576" s="103"/>
      <c r="NM1576" s="103"/>
      <c r="QT1576" s="106"/>
      <c r="QU1576" s="106"/>
      <c r="QV1576" s="106"/>
      <c r="QW1576" s="106"/>
      <c r="QX1576" s="106"/>
      <c r="QY1576" s="106"/>
      <c r="QZ1576" s="106"/>
      <c r="RA1576" s="106"/>
      <c r="RB1576" s="106"/>
      <c r="RC1576" s="106"/>
      <c r="RD1576" s="106"/>
      <c r="RE1576" s="106"/>
      <c r="RF1576" s="106"/>
      <c r="RG1576" s="106"/>
      <c r="RH1576" s="106"/>
      <c r="RI1576" s="106"/>
      <c r="RJ1576" s="106"/>
      <c r="RK1576" s="106"/>
      <c r="RL1576" s="106"/>
    </row>
    <row r="1577" spans="48:480" x14ac:dyDescent="0.3">
      <c r="AV1577" s="103"/>
      <c r="CJ1577" s="103"/>
      <c r="FP1577" s="103"/>
      <c r="LL1577" s="103"/>
      <c r="NM1577" s="103"/>
      <c r="QT1577" s="106"/>
      <c r="QU1577" s="106"/>
      <c r="QV1577" s="106"/>
      <c r="QW1577" s="106"/>
      <c r="QX1577" s="106"/>
      <c r="QY1577" s="106"/>
      <c r="QZ1577" s="106"/>
      <c r="RA1577" s="106"/>
      <c r="RB1577" s="106"/>
      <c r="RC1577" s="106"/>
      <c r="RD1577" s="106"/>
      <c r="RE1577" s="106"/>
      <c r="RF1577" s="106"/>
      <c r="RG1577" s="106"/>
      <c r="RH1577" s="106"/>
      <c r="RI1577" s="106"/>
      <c r="RJ1577" s="106"/>
      <c r="RK1577" s="106"/>
      <c r="RL1577" s="106"/>
    </row>
    <row r="1578" spans="48:480" x14ac:dyDescent="0.3">
      <c r="AV1578" s="103"/>
      <c r="CJ1578" s="103"/>
      <c r="FP1578" s="103"/>
      <c r="LL1578" s="103"/>
      <c r="NM1578" s="103"/>
      <c r="QT1578" s="106"/>
      <c r="QU1578" s="106"/>
      <c r="QV1578" s="106"/>
      <c r="QW1578" s="106"/>
      <c r="QX1578" s="106"/>
      <c r="QY1578" s="106"/>
      <c r="QZ1578" s="106"/>
      <c r="RA1578" s="106"/>
      <c r="RB1578" s="106"/>
      <c r="RC1578" s="106"/>
      <c r="RD1578" s="106"/>
      <c r="RE1578" s="106"/>
      <c r="RF1578" s="106"/>
      <c r="RG1578" s="106"/>
      <c r="RH1578" s="106"/>
      <c r="RI1578" s="106"/>
      <c r="RJ1578" s="106"/>
      <c r="RK1578" s="106"/>
      <c r="RL1578" s="106"/>
    </row>
    <row r="1579" spans="48:480" x14ac:dyDescent="0.3">
      <c r="AV1579" s="103"/>
      <c r="CJ1579" s="103"/>
      <c r="FP1579" s="103"/>
      <c r="LL1579" s="103"/>
      <c r="NM1579" s="103"/>
      <c r="QT1579" s="106"/>
      <c r="QU1579" s="106"/>
      <c r="QV1579" s="106"/>
      <c r="QW1579" s="106"/>
      <c r="QX1579" s="106"/>
      <c r="QY1579" s="106"/>
      <c r="QZ1579" s="106"/>
      <c r="RA1579" s="106"/>
      <c r="RB1579" s="106"/>
      <c r="RC1579" s="106"/>
      <c r="RD1579" s="106"/>
      <c r="RE1579" s="106"/>
      <c r="RF1579" s="106"/>
      <c r="RG1579" s="106"/>
      <c r="RH1579" s="106"/>
      <c r="RI1579" s="106"/>
      <c r="RJ1579" s="106"/>
      <c r="RK1579" s="106"/>
      <c r="RL1579" s="106"/>
    </row>
    <row r="1580" spans="48:480" x14ac:dyDescent="0.3">
      <c r="AV1580" s="103"/>
      <c r="CJ1580" s="103"/>
      <c r="FP1580" s="103"/>
      <c r="LL1580" s="103"/>
      <c r="NM1580" s="103"/>
      <c r="QT1580" s="106"/>
      <c r="QU1580" s="106"/>
      <c r="QV1580" s="106"/>
      <c r="QW1580" s="106"/>
      <c r="QX1580" s="106"/>
      <c r="QY1580" s="106"/>
      <c r="QZ1580" s="106"/>
      <c r="RA1580" s="106"/>
      <c r="RB1580" s="106"/>
      <c r="RC1580" s="106"/>
      <c r="RD1580" s="106"/>
      <c r="RE1580" s="106"/>
      <c r="RF1580" s="106"/>
      <c r="RG1580" s="106"/>
      <c r="RH1580" s="106"/>
      <c r="RI1580" s="106"/>
      <c r="RJ1580" s="106"/>
      <c r="RK1580" s="106"/>
      <c r="RL1580" s="106"/>
    </row>
    <row r="1581" spans="48:480" x14ac:dyDescent="0.3">
      <c r="AV1581" s="103"/>
      <c r="CJ1581" s="103"/>
      <c r="FP1581" s="103"/>
      <c r="LL1581" s="103"/>
      <c r="NM1581" s="103"/>
      <c r="QT1581" s="106"/>
      <c r="QU1581" s="106"/>
      <c r="QV1581" s="106"/>
      <c r="QW1581" s="106"/>
      <c r="QX1581" s="106"/>
      <c r="QY1581" s="106"/>
      <c r="QZ1581" s="106"/>
      <c r="RA1581" s="106"/>
      <c r="RB1581" s="106"/>
      <c r="RC1581" s="106"/>
      <c r="RD1581" s="106"/>
      <c r="RE1581" s="106"/>
      <c r="RF1581" s="106"/>
      <c r="RG1581" s="106"/>
      <c r="RH1581" s="106"/>
      <c r="RI1581" s="106"/>
      <c r="RJ1581" s="106"/>
      <c r="RK1581" s="106"/>
      <c r="RL1581" s="106"/>
    </row>
    <row r="1582" spans="48:480" x14ac:dyDescent="0.3">
      <c r="AV1582" s="103"/>
      <c r="CJ1582" s="103"/>
      <c r="FP1582" s="103"/>
      <c r="LL1582" s="103"/>
      <c r="NM1582" s="103"/>
      <c r="QT1582" s="106"/>
      <c r="QU1582" s="106"/>
      <c r="QV1582" s="106"/>
      <c r="QW1582" s="106"/>
      <c r="QX1582" s="106"/>
      <c r="QY1582" s="106"/>
      <c r="QZ1582" s="106"/>
      <c r="RA1582" s="106"/>
      <c r="RB1582" s="106"/>
      <c r="RC1582" s="106"/>
      <c r="RD1582" s="106"/>
      <c r="RE1582" s="106"/>
      <c r="RF1582" s="106"/>
      <c r="RG1582" s="106"/>
      <c r="RH1582" s="106"/>
      <c r="RI1582" s="106"/>
      <c r="RJ1582" s="106"/>
      <c r="RK1582" s="106"/>
      <c r="RL1582" s="106"/>
    </row>
    <row r="1583" spans="48:480" x14ac:dyDescent="0.3">
      <c r="AV1583" s="103"/>
      <c r="CJ1583" s="103"/>
      <c r="FP1583" s="103"/>
      <c r="LL1583" s="103"/>
      <c r="NM1583" s="103"/>
      <c r="QT1583" s="106"/>
      <c r="QU1583" s="106"/>
      <c r="QV1583" s="106"/>
      <c r="QW1583" s="106"/>
      <c r="QX1583" s="106"/>
      <c r="QY1583" s="106"/>
      <c r="QZ1583" s="106"/>
      <c r="RA1583" s="106"/>
      <c r="RB1583" s="106"/>
      <c r="RC1583" s="106"/>
      <c r="RD1583" s="106"/>
      <c r="RE1583" s="106"/>
      <c r="RF1583" s="106"/>
      <c r="RG1583" s="106"/>
      <c r="RH1583" s="106"/>
      <c r="RI1583" s="106"/>
      <c r="RJ1583" s="106"/>
      <c r="RK1583" s="106"/>
      <c r="RL1583" s="106"/>
    </row>
    <row r="1584" spans="48:480" x14ac:dyDescent="0.3">
      <c r="AV1584" s="103"/>
      <c r="CJ1584" s="103"/>
      <c r="FP1584" s="103"/>
      <c r="LL1584" s="103"/>
      <c r="NM1584" s="103"/>
      <c r="QT1584" s="106"/>
      <c r="QU1584" s="106"/>
      <c r="QV1584" s="106"/>
      <c r="QW1584" s="106"/>
      <c r="QX1584" s="106"/>
      <c r="QY1584" s="106"/>
      <c r="QZ1584" s="106"/>
      <c r="RA1584" s="106"/>
      <c r="RB1584" s="106"/>
      <c r="RC1584" s="106"/>
      <c r="RD1584" s="106"/>
      <c r="RE1584" s="106"/>
      <c r="RF1584" s="106"/>
      <c r="RG1584" s="106"/>
      <c r="RH1584" s="106"/>
      <c r="RI1584" s="106"/>
      <c r="RJ1584" s="106"/>
      <c r="RK1584" s="106"/>
      <c r="RL1584" s="106"/>
    </row>
    <row r="1585" spans="48:480" x14ac:dyDescent="0.3">
      <c r="AV1585" s="103"/>
      <c r="CJ1585" s="103"/>
      <c r="FP1585" s="103"/>
      <c r="LL1585" s="103"/>
      <c r="NM1585" s="103"/>
      <c r="QT1585" s="106"/>
      <c r="QU1585" s="106"/>
      <c r="QV1585" s="106"/>
      <c r="QW1585" s="106"/>
      <c r="QX1585" s="106"/>
      <c r="QY1585" s="106"/>
      <c r="QZ1585" s="106"/>
      <c r="RA1585" s="106"/>
      <c r="RB1585" s="106"/>
      <c r="RC1585" s="106"/>
      <c r="RD1585" s="106"/>
      <c r="RE1585" s="106"/>
      <c r="RF1585" s="106"/>
      <c r="RG1585" s="106"/>
      <c r="RH1585" s="106"/>
      <c r="RI1585" s="106"/>
      <c r="RJ1585" s="106"/>
      <c r="RK1585" s="106"/>
      <c r="RL1585" s="106"/>
    </row>
    <row r="1586" spans="48:480" x14ac:dyDescent="0.3">
      <c r="AV1586" s="103"/>
      <c r="CJ1586" s="103"/>
      <c r="FP1586" s="103"/>
      <c r="LL1586" s="103"/>
      <c r="NM1586" s="103"/>
      <c r="QT1586" s="106"/>
      <c r="QU1586" s="106"/>
      <c r="QV1586" s="106"/>
      <c r="QW1586" s="106"/>
      <c r="QX1586" s="106"/>
      <c r="QY1586" s="106"/>
      <c r="QZ1586" s="106"/>
      <c r="RA1586" s="106"/>
      <c r="RB1586" s="106"/>
      <c r="RC1586" s="106"/>
      <c r="RD1586" s="106"/>
      <c r="RE1586" s="106"/>
      <c r="RF1586" s="106"/>
      <c r="RG1586" s="106"/>
      <c r="RH1586" s="106"/>
      <c r="RI1586" s="106"/>
      <c r="RJ1586" s="106"/>
      <c r="RK1586" s="106"/>
      <c r="RL1586" s="106"/>
    </row>
    <row r="1587" spans="48:480" x14ac:dyDescent="0.3">
      <c r="AV1587" s="103"/>
      <c r="CJ1587" s="103"/>
      <c r="FP1587" s="103"/>
      <c r="LL1587" s="103"/>
      <c r="NM1587" s="103"/>
      <c r="QT1587" s="106"/>
      <c r="QU1587" s="106"/>
      <c r="QV1587" s="106"/>
      <c r="QW1587" s="106"/>
      <c r="QX1587" s="106"/>
      <c r="QY1587" s="106"/>
      <c r="QZ1587" s="106"/>
      <c r="RA1587" s="106"/>
      <c r="RB1587" s="106"/>
      <c r="RC1587" s="106"/>
      <c r="RD1587" s="106"/>
      <c r="RE1587" s="106"/>
      <c r="RF1587" s="106"/>
      <c r="RG1587" s="106"/>
      <c r="RH1587" s="106"/>
      <c r="RI1587" s="106"/>
      <c r="RJ1587" s="106"/>
      <c r="RK1587" s="106"/>
      <c r="RL1587" s="106"/>
    </row>
    <row r="1588" spans="48:480" x14ac:dyDescent="0.3">
      <c r="AV1588" s="103"/>
      <c r="CJ1588" s="103"/>
      <c r="FP1588" s="103"/>
      <c r="LL1588" s="103"/>
      <c r="NM1588" s="103"/>
      <c r="QT1588" s="106"/>
      <c r="QU1588" s="106"/>
      <c r="QV1588" s="106"/>
      <c r="QW1588" s="106"/>
      <c r="QX1588" s="106"/>
      <c r="QY1588" s="106"/>
      <c r="QZ1588" s="106"/>
      <c r="RA1588" s="106"/>
      <c r="RB1588" s="106"/>
      <c r="RC1588" s="106"/>
      <c r="RD1588" s="106"/>
      <c r="RE1588" s="106"/>
      <c r="RF1588" s="106"/>
      <c r="RG1588" s="106"/>
      <c r="RH1588" s="106"/>
      <c r="RI1588" s="106"/>
      <c r="RJ1588" s="106"/>
      <c r="RK1588" s="106"/>
      <c r="RL1588" s="106"/>
    </row>
    <row r="1589" spans="48:480" x14ac:dyDescent="0.3">
      <c r="AV1589" s="103"/>
      <c r="CJ1589" s="103"/>
      <c r="FP1589" s="103"/>
      <c r="LL1589" s="103"/>
      <c r="NM1589" s="103"/>
      <c r="QT1589" s="106"/>
      <c r="QU1589" s="106"/>
      <c r="QV1589" s="106"/>
      <c r="QW1589" s="106"/>
      <c r="QX1589" s="106"/>
      <c r="QY1589" s="106"/>
      <c r="QZ1589" s="106"/>
      <c r="RA1589" s="106"/>
      <c r="RB1589" s="106"/>
      <c r="RC1589" s="106"/>
      <c r="RD1589" s="106"/>
      <c r="RE1589" s="106"/>
      <c r="RF1589" s="106"/>
      <c r="RG1589" s="106"/>
      <c r="RH1589" s="106"/>
      <c r="RI1589" s="106"/>
      <c r="RJ1589" s="106"/>
      <c r="RK1589" s="106"/>
      <c r="RL1589" s="106"/>
    </row>
    <row r="1590" spans="48:480" x14ac:dyDescent="0.3">
      <c r="AV1590" s="103"/>
      <c r="CJ1590" s="103"/>
      <c r="FP1590" s="103"/>
      <c r="LL1590" s="103"/>
      <c r="NM1590" s="103"/>
      <c r="QT1590" s="106"/>
      <c r="QU1590" s="106"/>
      <c r="QV1590" s="106"/>
      <c r="QW1590" s="106"/>
      <c r="QX1590" s="106"/>
      <c r="QY1590" s="106"/>
      <c r="QZ1590" s="106"/>
      <c r="RA1590" s="106"/>
      <c r="RB1590" s="106"/>
      <c r="RC1590" s="106"/>
      <c r="RD1590" s="106"/>
      <c r="RE1590" s="106"/>
      <c r="RF1590" s="106"/>
      <c r="RG1590" s="106"/>
      <c r="RH1590" s="106"/>
      <c r="RI1590" s="106"/>
      <c r="RJ1590" s="106"/>
      <c r="RK1590" s="106"/>
      <c r="RL1590" s="106"/>
    </row>
    <row r="1591" spans="48:480" x14ac:dyDescent="0.3">
      <c r="AV1591" s="103"/>
      <c r="CJ1591" s="103"/>
      <c r="FP1591" s="103"/>
      <c r="LL1591" s="103"/>
      <c r="NM1591" s="103"/>
      <c r="QT1591" s="106"/>
      <c r="QU1591" s="106"/>
      <c r="QV1591" s="106"/>
      <c r="QW1591" s="106"/>
      <c r="QX1591" s="106"/>
      <c r="QY1591" s="106"/>
      <c r="QZ1591" s="106"/>
      <c r="RA1591" s="106"/>
      <c r="RB1591" s="106"/>
      <c r="RC1591" s="106"/>
      <c r="RD1591" s="106"/>
      <c r="RE1591" s="106"/>
      <c r="RF1591" s="106"/>
      <c r="RG1591" s="106"/>
      <c r="RH1591" s="106"/>
      <c r="RI1591" s="106"/>
      <c r="RJ1591" s="106"/>
      <c r="RK1591" s="106"/>
      <c r="RL1591" s="106"/>
    </row>
    <row r="1592" spans="48:480" x14ac:dyDescent="0.3">
      <c r="AV1592" s="103"/>
      <c r="CJ1592" s="103"/>
      <c r="FP1592" s="103"/>
      <c r="LL1592" s="103"/>
      <c r="NM1592" s="103"/>
      <c r="QT1592" s="106"/>
      <c r="QU1592" s="106"/>
      <c r="QV1592" s="106"/>
      <c r="QW1592" s="106"/>
      <c r="QX1592" s="106"/>
      <c r="QY1592" s="106"/>
      <c r="QZ1592" s="106"/>
      <c r="RA1592" s="106"/>
      <c r="RB1592" s="106"/>
      <c r="RC1592" s="106"/>
      <c r="RD1592" s="106"/>
      <c r="RE1592" s="106"/>
      <c r="RF1592" s="106"/>
      <c r="RG1592" s="106"/>
      <c r="RH1592" s="106"/>
      <c r="RI1592" s="106"/>
      <c r="RJ1592" s="106"/>
      <c r="RK1592" s="106"/>
      <c r="RL1592" s="106"/>
    </row>
    <row r="1593" spans="48:480" x14ac:dyDescent="0.3">
      <c r="AV1593" s="103"/>
      <c r="CJ1593" s="103"/>
      <c r="FP1593" s="103"/>
      <c r="LL1593" s="103"/>
      <c r="NM1593" s="103"/>
      <c r="QT1593" s="106"/>
      <c r="QU1593" s="106"/>
      <c r="QV1593" s="106"/>
      <c r="QW1593" s="106"/>
      <c r="QX1593" s="106"/>
      <c r="QY1593" s="106"/>
      <c r="QZ1593" s="106"/>
      <c r="RA1593" s="106"/>
      <c r="RB1593" s="106"/>
      <c r="RC1593" s="106"/>
      <c r="RD1593" s="106"/>
      <c r="RE1593" s="106"/>
      <c r="RF1593" s="106"/>
      <c r="RG1593" s="106"/>
      <c r="RH1593" s="106"/>
      <c r="RI1593" s="106"/>
      <c r="RJ1593" s="106"/>
      <c r="RK1593" s="106"/>
      <c r="RL1593" s="106"/>
    </row>
    <row r="1594" spans="48:480" x14ac:dyDescent="0.3">
      <c r="AV1594" s="103"/>
      <c r="CJ1594" s="103"/>
      <c r="FP1594" s="103"/>
      <c r="LL1594" s="103"/>
      <c r="NM1594" s="103"/>
      <c r="QT1594" s="106"/>
      <c r="QU1594" s="106"/>
      <c r="QV1594" s="106"/>
      <c r="QW1594" s="106"/>
      <c r="QX1594" s="106"/>
      <c r="QY1594" s="106"/>
      <c r="QZ1594" s="106"/>
      <c r="RA1594" s="106"/>
      <c r="RB1594" s="106"/>
      <c r="RC1594" s="106"/>
      <c r="RD1594" s="106"/>
      <c r="RE1594" s="106"/>
      <c r="RF1594" s="106"/>
      <c r="RG1594" s="106"/>
      <c r="RH1594" s="106"/>
      <c r="RI1594" s="106"/>
      <c r="RJ1594" s="106"/>
      <c r="RK1594" s="106"/>
      <c r="RL1594" s="106"/>
    </row>
    <row r="1595" spans="48:480" x14ac:dyDescent="0.3">
      <c r="AV1595" s="103"/>
      <c r="CJ1595" s="103"/>
      <c r="FP1595" s="103"/>
      <c r="LL1595" s="103"/>
      <c r="NM1595" s="103"/>
      <c r="QT1595" s="106"/>
      <c r="QU1595" s="106"/>
      <c r="QV1595" s="106"/>
      <c r="QW1595" s="106"/>
      <c r="QX1595" s="106"/>
      <c r="QY1595" s="106"/>
      <c r="QZ1595" s="106"/>
      <c r="RA1595" s="106"/>
      <c r="RB1595" s="106"/>
      <c r="RC1595" s="106"/>
      <c r="RD1595" s="106"/>
      <c r="RE1595" s="106"/>
      <c r="RF1595" s="106"/>
      <c r="RG1595" s="106"/>
      <c r="RH1595" s="106"/>
      <c r="RI1595" s="106"/>
      <c r="RJ1595" s="106"/>
      <c r="RK1595" s="106"/>
      <c r="RL1595" s="106"/>
    </row>
    <row r="1596" spans="48:480" x14ac:dyDescent="0.3">
      <c r="AV1596" s="103"/>
      <c r="CJ1596" s="103"/>
      <c r="FP1596" s="103"/>
      <c r="LL1596" s="103"/>
      <c r="NM1596" s="103"/>
      <c r="QT1596" s="106"/>
      <c r="QU1596" s="106"/>
      <c r="QV1596" s="106"/>
      <c r="QW1596" s="106"/>
      <c r="QX1596" s="106"/>
      <c r="QY1596" s="106"/>
      <c r="QZ1596" s="106"/>
      <c r="RA1596" s="106"/>
      <c r="RB1596" s="106"/>
      <c r="RC1596" s="106"/>
      <c r="RD1596" s="106"/>
      <c r="RE1596" s="106"/>
      <c r="RF1596" s="106"/>
      <c r="RG1596" s="106"/>
      <c r="RH1596" s="106"/>
      <c r="RI1596" s="106"/>
      <c r="RJ1596" s="106"/>
      <c r="RK1596" s="106"/>
      <c r="RL1596" s="106"/>
    </row>
    <row r="1597" spans="48:480" x14ac:dyDescent="0.3">
      <c r="AV1597" s="103"/>
      <c r="CJ1597" s="103"/>
      <c r="FP1597" s="103"/>
      <c r="LL1597" s="103"/>
      <c r="NM1597" s="103"/>
      <c r="QT1597" s="106"/>
      <c r="QU1597" s="106"/>
      <c r="QV1597" s="106"/>
      <c r="QW1597" s="106"/>
      <c r="QX1597" s="106"/>
      <c r="QY1597" s="106"/>
      <c r="QZ1597" s="106"/>
      <c r="RA1597" s="106"/>
      <c r="RB1597" s="106"/>
      <c r="RC1597" s="106"/>
      <c r="RD1597" s="106"/>
      <c r="RE1597" s="106"/>
      <c r="RF1597" s="106"/>
      <c r="RG1597" s="106"/>
      <c r="RH1597" s="106"/>
      <c r="RI1597" s="106"/>
      <c r="RJ1597" s="106"/>
      <c r="RK1597" s="106"/>
      <c r="RL1597" s="106"/>
    </row>
    <row r="1598" spans="48:480" x14ac:dyDescent="0.3">
      <c r="AV1598" s="103"/>
      <c r="CJ1598" s="103"/>
      <c r="FP1598" s="103"/>
      <c r="LL1598" s="103"/>
      <c r="NM1598" s="103"/>
      <c r="QT1598" s="106"/>
      <c r="QU1598" s="106"/>
      <c r="QV1598" s="106"/>
      <c r="QW1598" s="106"/>
      <c r="QX1598" s="106"/>
      <c r="QY1598" s="106"/>
      <c r="QZ1598" s="106"/>
      <c r="RA1598" s="106"/>
      <c r="RB1598" s="106"/>
      <c r="RC1598" s="106"/>
      <c r="RD1598" s="106"/>
      <c r="RE1598" s="106"/>
      <c r="RF1598" s="106"/>
      <c r="RG1598" s="106"/>
      <c r="RH1598" s="106"/>
      <c r="RI1598" s="106"/>
      <c r="RJ1598" s="106"/>
      <c r="RK1598" s="106"/>
      <c r="RL1598" s="106"/>
    </row>
    <row r="1599" spans="48:480" x14ac:dyDescent="0.3">
      <c r="AV1599" s="103"/>
      <c r="CJ1599" s="103"/>
      <c r="FP1599" s="103"/>
      <c r="LL1599" s="103"/>
      <c r="NM1599" s="103"/>
      <c r="QT1599" s="106"/>
      <c r="QU1599" s="106"/>
      <c r="QV1599" s="106"/>
      <c r="QW1599" s="106"/>
      <c r="QX1599" s="106"/>
      <c r="QY1599" s="106"/>
      <c r="QZ1599" s="106"/>
      <c r="RA1599" s="106"/>
      <c r="RB1599" s="106"/>
      <c r="RC1599" s="106"/>
      <c r="RD1599" s="106"/>
      <c r="RE1599" s="106"/>
      <c r="RF1599" s="106"/>
      <c r="RG1599" s="106"/>
      <c r="RH1599" s="106"/>
      <c r="RI1599" s="106"/>
      <c r="RJ1599" s="106"/>
      <c r="RK1599" s="106"/>
      <c r="RL1599" s="106"/>
    </row>
    <row r="1600" spans="48:480" x14ac:dyDescent="0.3">
      <c r="AV1600" s="103"/>
      <c r="CJ1600" s="103"/>
      <c r="FP1600" s="103"/>
      <c r="LL1600" s="103"/>
      <c r="NM1600" s="103"/>
      <c r="QT1600" s="106"/>
      <c r="QU1600" s="106"/>
      <c r="QV1600" s="106"/>
      <c r="QW1600" s="106"/>
      <c r="QX1600" s="106"/>
      <c r="QY1600" s="106"/>
      <c r="QZ1600" s="106"/>
      <c r="RA1600" s="106"/>
      <c r="RB1600" s="106"/>
      <c r="RC1600" s="106"/>
      <c r="RD1600" s="106"/>
      <c r="RE1600" s="106"/>
      <c r="RF1600" s="106"/>
      <c r="RG1600" s="106"/>
      <c r="RH1600" s="106"/>
      <c r="RI1600" s="106"/>
      <c r="RJ1600" s="106"/>
      <c r="RK1600" s="106"/>
      <c r="RL1600" s="106"/>
    </row>
    <row r="1601" spans="48:480" x14ac:dyDescent="0.3">
      <c r="AV1601" s="103"/>
      <c r="CJ1601" s="103"/>
      <c r="FP1601" s="103"/>
      <c r="LL1601" s="103"/>
      <c r="NM1601" s="103"/>
      <c r="QT1601" s="106"/>
      <c r="QU1601" s="106"/>
      <c r="QV1601" s="106"/>
      <c r="QW1601" s="106"/>
      <c r="QX1601" s="106"/>
      <c r="QY1601" s="106"/>
      <c r="QZ1601" s="106"/>
      <c r="RA1601" s="106"/>
      <c r="RB1601" s="106"/>
      <c r="RC1601" s="106"/>
      <c r="RD1601" s="106"/>
      <c r="RE1601" s="106"/>
      <c r="RF1601" s="106"/>
      <c r="RG1601" s="106"/>
      <c r="RH1601" s="106"/>
      <c r="RI1601" s="106"/>
      <c r="RJ1601" s="106"/>
      <c r="RK1601" s="106"/>
      <c r="RL1601" s="106"/>
    </row>
    <row r="1602" spans="48:480" x14ac:dyDescent="0.3">
      <c r="AV1602" s="103"/>
      <c r="CJ1602" s="103"/>
      <c r="FP1602" s="103"/>
      <c r="LL1602" s="103"/>
      <c r="NM1602" s="103"/>
      <c r="QT1602" s="106"/>
      <c r="QU1602" s="106"/>
      <c r="QV1602" s="106"/>
      <c r="QW1602" s="106"/>
      <c r="QX1602" s="106"/>
      <c r="QY1602" s="106"/>
      <c r="QZ1602" s="106"/>
      <c r="RA1602" s="106"/>
      <c r="RB1602" s="106"/>
      <c r="RC1602" s="106"/>
      <c r="RD1602" s="106"/>
      <c r="RE1602" s="106"/>
      <c r="RF1602" s="106"/>
      <c r="RG1602" s="106"/>
      <c r="RH1602" s="106"/>
      <c r="RI1602" s="106"/>
      <c r="RJ1602" s="106"/>
      <c r="RK1602" s="106"/>
      <c r="RL1602" s="106"/>
    </row>
    <row r="1603" spans="48:480" x14ac:dyDescent="0.3">
      <c r="AV1603" s="103"/>
      <c r="CJ1603" s="103"/>
      <c r="FP1603" s="103"/>
      <c r="LL1603" s="103"/>
      <c r="NM1603" s="103"/>
      <c r="QT1603" s="106"/>
      <c r="QU1603" s="106"/>
      <c r="QV1603" s="106"/>
      <c r="QW1603" s="106"/>
      <c r="QX1603" s="106"/>
      <c r="QY1603" s="106"/>
      <c r="QZ1603" s="106"/>
      <c r="RA1603" s="106"/>
      <c r="RB1603" s="106"/>
      <c r="RC1603" s="106"/>
      <c r="RD1603" s="106"/>
      <c r="RE1603" s="106"/>
      <c r="RF1603" s="106"/>
      <c r="RG1603" s="106"/>
      <c r="RH1603" s="106"/>
      <c r="RI1603" s="106"/>
      <c r="RJ1603" s="106"/>
      <c r="RK1603" s="106"/>
      <c r="RL1603" s="106"/>
    </row>
    <row r="1604" spans="48:480" x14ac:dyDescent="0.3">
      <c r="AV1604" s="103"/>
      <c r="CJ1604" s="103"/>
      <c r="FP1604" s="103"/>
      <c r="LL1604" s="103"/>
      <c r="NM1604" s="103"/>
      <c r="QT1604" s="106"/>
      <c r="QU1604" s="106"/>
      <c r="QV1604" s="106"/>
      <c r="QW1604" s="106"/>
      <c r="QX1604" s="106"/>
      <c r="QY1604" s="106"/>
      <c r="QZ1604" s="106"/>
      <c r="RA1604" s="106"/>
      <c r="RB1604" s="106"/>
      <c r="RC1604" s="106"/>
      <c r="RD1604" s="106"/>
      <c r="RE1604" s="106"/>
      <c r="RF1604" s="106"/>
      <c r="RG1604" s="106"/>
      <c r="RH1604" s="106"/>
      <c r="RI1604" s="106"/>
      <c r="RJ1604" s="106"/>
      <c r="RK1604" s="106"/>
      <c r="RL1604" s="106"/>
    </row>
    <row r="1605" spans="48:480" x14ac:dyDescent="0.3">
      <c r="AV1605" s="103"/>
      <c r="CJ1605" s="103"/>
      <c r="FP1605" s="103"/>
      <c r="LL1605" s="103"/>
      <c r="NM1605" s="103"/>
      <c r="QT1605" s="106"/>
      <c r="QU1605" s="106"/>
      <c r="QV1605" s="106"/>
      <c r="QW1605" s="106"/>
      <c r="QX1605" s="106"/>
      <c r="QY1605" s="106"/>
      <c r="QZ1605" s="106"/>
      <c r="RA1605" s="106"/>
      <c r="RB1605" s="106"/>
      <c r="RC1605" s="106"/>
      <c r="RD1605" s="106"/>
      <c r="RE1605" s="106"/>
      <c r="RF1605" s="106"/>
      <c r="RG1605" s="106"/>
      <c r="RH1605" s="106"/>
      <c r="RI1605" s="106"/>
      <c r="RJ1605" s="106"/>
      <c r="RK1605" s="106"/>
      <c r="RL1605" s="106"/>
    </row>
    <row r="1606" spans="48:480" x14ac:dyDescent="0.3">
      <c r="AV1606" s="103"/>
      <c r="CJ1606" s="103"/>
      <c r="FP1606" s="103"/>
      <c r="LL1606" s="103"/>
      <c r="NM1606" s="103"/>
      <c r="QT1606" s="106"/>
      <c r="QU1606" s="106"/>
      <c r="QV1606" s="106"/>
      <c r="QW1606" s="106"/>
      <c r="QX1606" s="106"/>
      <c r="QY1606" s="106"/>
      <c r="QZ1606" s="106"/>
      <c r="RA1606" s="106"/>
      <c r="RB1606" s="106"/>
      <c r="RC1606" s="106"/>
      <c r="RD1606" s="106"/>
      <c r="RE1606" s="106"/>
      <c r="RF1606" s="106"/>
      <c r="RG1606" s="106"/>
      <c r="RH1606" s="106"/>
      <c r="RI1606" s="106"/>
      <c r="RJ1606" s="106"/>
      <c r="RK1606" s="106"/>
      <c r="RL1606" s="106"/>
    </row>
    <row r="1607" spans="48:480" x14ac:dyDescent="0.3">
      <c r="AV1607" s="103"/>
      <c r="CJ1607" s="103"/>
      <c r="FP1607" s="103"/>
      <c r="LL1607" s="103"/>
      <c r="NM1607" s="103"/>
      <c r="QT1607" s="106"/>
      <c r="QU1607" s="106"/>
      <c r="QV1607" s="106"/>
      <c r="QW1607" s="106"/>
      <c r="QX1607" s="106"/>
      <c r="QY1607" s="106"/>
      <c r="QZ1607" s="106"/>
      <c r="RA1607" s="106"/>
      <c r="RB1607" s="106"/>
      <c r="RC1607" s="106"/>
      <c r="RD1607" s="106"/>
      <c r="RE1607" s="106"/>
      <c r="RF1607" s="106"/>
      <c r="RG1607" s="106"/>
      <c r="RH1607" s="106"/>
      <c r="RI1607" s="106"/>
      <c r="RJ1607" s="106"/>
      <c r="RK1607" s="106"/>
      <c r="RL1607" s="106"/>
    </row>
    <row r="1608" spans="48:480" x14ac:dyDescent="0.3">
      <c r="AV1608" s="103"/>
      <c r="CJ1608" s="103"/>
      <c r="FP1608" s="103"/>
      <c r="LL1608" s="103"/>
      <c r="NM1608" s="103"/>
      <c r="QT1608" s="106"/>
      <c r="QU1608" s="106"/>
      <c r="QV1608" s="106"/>
      <c r="QW1608" s="106"/>
      <c r="QX1608" s="106"/>
      <c r="QY1608" s="106"/>
      <c r="QZ1608" s="106"/>
      <c r="RA1608" s="106"/>
      <c r="RB1608" s="106"/>
      <c r="RC1608" s="106"/>
      <c r="RD1608" s="106"/>
      <c r="RE1608" s="106"/>
      <c r="RF1608" s="106"/>
      <c r="RG1608" s="106"/>
      <c r="RH1608" s="106"/>
      <c r="RI1608" s="106"/>
      <c r="RJ1608" s="106"/>
      <c r="RK1608" s="106"/>
      <c r="RL1608" s="106"/>
    </row>
    <row r="1609" spans="48:480" x14ac:dyDescent="0.3">
      <c r="AV1609" s="103"/>
      <c r="CJ1609" s="103"/>
      <c r="FP1609" s="103"/>
      <c r="LL1609" s="103"/>
      <c r="NM1609" s="103"/>
      <c r="QT1609" s="106"/>
      <c r="QU1609" s="106"/>
      <c r="QV1609" s="106"/>
      <c r="QW1609" s="106"/>
      <c r="QX1609" s="106"/>
      <c r="QY1609" s="106"/>
      <c r="QZ1609" s="106"/>
      <c r="RA1609" s="106"/>
      <c r="RB1609" s="106"/>
      <c r="RC1609" s="106"/>
      <c r="RD1609" s="106"/>
      <c r="RE1609" s="106"/>
      <c r="RF1609" s="106"/>
      <c r="RG1609" s="106"/>
      <c r="RH1609" s="106"/>
      <c r="RI1609" s="106"/>
      <c r="RJ1609" s="106"/>
      <c r="RK1609" s="106"/>
      <c r="RL1609" s="106"/>
    </row>
    <row r="1610" spans="48:480" x14ac:dyDescent="0.3">
      <c r="AV1610" s="103"/>
      <c r="CJ1610" s="103"/>
      <c r="FP1610" s="103"/>
      <c r="LL1610" s="103"/>
      <c r="NM1610" s="103"/>
      <c r="QT1610" s="106"/>
      <c r="QU1610" s="106"/>
      <c r="QV1610" s="106"/>
      <c r="QW1610" s="106"/>
      <c r="QX1610" s="106"/>
      <c r="QY1610" s="106"/>
      <c r="QZ1610" s="106"/>
      <c r="RA1610" s="106"/>
      <c r="RB1610" s="106"/>
      <c r="RC1610" s="106"/>
      <c r="RD1610" s="106"/>
      <c r="RE1610" s="106"/>
      <c r="RF1610" s="106"/>
      <c r="RG1610" s="106"/>
      <c r="RH1610" s="106"/>
      <c r="RI1610" s="106"/>
      <c r="RJ1610" s="106"/>
      <c r="RK1610" s="106"/>
      <c r="RL1610" s="106"/>
    </row>
    <row r="1611" spans="48:480" x14ac:dyDescent="0.3">
      <c r="AV1611" s="103"/>
      <c r="CJ1611" s="103"/>
      <c r="FP1611" s="103"/>
      <c r="LL1611" s="103"/>
      <c r="NM1611" s="103"/>
      <c r="QT1611" s="106"/>
      <c r="QU1611" s="106"/>
      <c r="QV1611" s="106"/>
      <c r="QW1611" s="106"/>
      <c r="QX1611" s="106"/>
      <c r="QY1611" s="106"/>
      <c r="QZ1611" s="106"/>
      <c r="RA1611" s="106"/>
      <c r="RB1611" s="106"/>
      <c r="RC1611" s="106"/>
      <c r="RD1611" s="106"/>
      <c r="RE1611" s="106"/>
      <c r="RF1611" s="106"/>
      <c r="RG1611" s="106"/>
      <c r="RH1611" s="106"/>
      <c r="RI1611" s="106"/>
      <c r="RJ1611" s="106"/>
      <c r="RK1611" s="106"/>
      <c r="RL1611" s="106"/>
    </row>
    <row r="1612" spans="48:480" x14ac:dyDescent="0.3">
      <c r="AV1612" s="103"/>
      <c r="CJ1612" s="103"/>
      <c r="FP1612" s="103"/>
      <c r="LL1612" s="103"/>
      <c r="NM1612" s="103"/>
      <c r="QT1612" s="106"/>
      <c r="QU1612" s="106"/>
      <c r="QV1612" s="106"/>
      <c r="QW1612" s="106"/>
      <c r="QX1612" s="106"/>
      <c r="QY1612" s="106"/>
      <c r="QZ1612" s="106"/>
      <c r="RA1612" s="106"/>
      <c r="RB1612" s="106"/>
      <c r="RC1612" s="106"/>
      <c r="RD1612" s="106"/>
      <c r="RE1612" s="106"/>
      <c r="RF1612" s="106"/>
      <c r="RG1612" s="106"/>
      <c r="RH1612" s="106"/>
      <c r="RI1612" s="106"/>
      <c r="RJ1612" s="106"/>
      <c r="RK1612" s="106"/>
      <c r="RL1612" s="106"/>
    </row>
    <row r="1613" spans="48:480" x14ac:dyDescent="0.3">
      <c r="AV1613" s="103"/>
      <c r="CJ1613" s="103"/>
      <c r="FP1613" s="103"/>
      <c r="LL1613" s="103"/>
      <c r="NM1613" s="103"/>
      <c r="QT1613" s="106"/>
      <c r="QU1613" s="106"/>
      <c r="QV1613" s="106"/>
      <c r="QW1613" s="106"/>
      <c r="QX1613" s="106"/>
      <c r="QY1613" s="106"/>
      <c r="QZ1613" s="106"/>
      <c r="RA1613" s="106"/>
      <c r="RB1613" s="106"/>
      <c r="RC1613" s="106"/>
      <c r="RD1613" s="106"/>
      <c r="RE1613" s="106"/>
      <c r="RF1613" s="106"/>
      <c r="RG1613" s="106"/>
      <c r="RH1613" s="106"/>
      <c r="RI1613" s="106"/>
      <c r="RJ1613" s="106"/>
      <c r="RK1613" s="106"/>
      <c r="RL1613" s="106"/>
    </row>
    <row r="1614" spans="48:480" x14ac:dyDescent="0.3">
      <c r="AV1614" s="103"/>
      <c r="CJ1614" s="103"/>
      <c r="FP1614" s="103"/>
      <c r="LL1614" s="103"/>
      <c r="NM1614" s="103"/>
      <c r="QT1614" s="106"/>
      <c r="QU1614" s="106"/>
      <c r="QV1614" s="106"/>
      <c r="QW1614" s="106"/>
      <c r="QX1614" s="106"/>
      <c r="QY1614" s="106"/>
      <c r="QZ1614" s="106"/>
      <c r="RA1614" s="106"/>
      <c r="RB1614" s="106"/>
      <c r="RC1614" s="106"/>
      <c r="RD1614" s="106"/>
      <c r="RE1614" s="106"/>
      <c r="RF1614" s="106"/>
      <c r="RG1614" s="106"/>
      <c r="RH1614" s="106"/>
      <c r="RI1614" s="106"/>
      <c r="RJ1614" s="106"/>
      <c r="RK1614" s="106"/>
      <c r="RL1614" s="106"/>
    </row>
    <row r="1615" spans="48:480" x14ac:dyDescent="0.3">
      <c r="AV1615" s="103"/>
      <c r="CJ1615" s="103"/>
      <c r="FP1615" s="103"/>
      <c r="LL1615" s="103"/>
      <c r="NM1615" s="103"/>
      <c r="QT1615" s="106"/>
      <c r="QU1615" s="106"/>
      <c r="QV1615" s="106"/>
      <c r="QW1615" s="106"/>
      <c r="QX1615" s="106"/>
      <c r="QY1615" s="106"/>
      <c r="QZ1615" s="106"/>
      <c r="RA1615" s="106"/>
      <c r="RB1615" s="106"/>
      <c r="RC1615" s="106"/>
      <c r="RD1615" s="106"/>
      <c r="RE1615" s="106"/>
      <c r="RF1615" s="106"/>
      <c r="RG1615" s="106"/>
      <c r="RH1615" s="106"/>
      <c r="RI1615" s="106"/>
      <c r="RJ1615" s="106"/>
      <c r="RK1615" s="106"/>
      <c r="RL1615" s="106"/>
    </row>
    <row r="1616" spans="48:480" x14ac:dyDescent="0.3">
      <c r="AV1616" s="103"/>
      <c r="CJ1616" s="103"/>
      <c r="FP1616" s="103"/>
      <c r="LL1616" s="103"/>
      <c r="NM1616" s="103"/>
      <c r="QT1616" s="106"/>
      <c r="QU1616" s="106"/>
      <c r="QV1616" s="106"/>
      <c r="QW1616" s="106"/>
      <c r="QX1616" s="106"/>
      <c r="QY1616" s="106"/>
      <c r="QZ1616" s="106"/>
      <c r="RA1616" s="106"/>
      <c r="RB1616" s="106"/>
      <c r="RC1616" s="106"/>
      <c r="RD1616" s="106"/>
      <c r="RE1616" s="106"/>
      <c r="RF1616" s="106"/>
      <c r="RG1616" s="106"/>
      <c r="RH1616" s="106"/>
      <c r="RI1616" s="106"/>
      <c r="RJ1616" s="106"/>
      <c r="RK1616" s="106"/>
      <c r="RL1616" s="106"/>
    </row>
    <row r="1617" spans="48:480" x14ac:dyDescent="0.3">
      <c r="AV1617" s="103"/>
      <c r="CJ1617" s="103"/>
      <c r="FP1617" s="103"/>
      <c r="LL1617" s="103"/>
      <c r="NM1617" s="103"/>
      <c r="QT1617" s="106"/>
      <c r="QU1617" s="106"/>
      <c r="QV1617" s="106"/>
      <c r="QW1617" s="106"/>
      <c r="QX1617" s="106"/>
      <c r="QY1617" s="106"/>
      <c r="QZ1617" s="106"/>
      <c r="RA1617" s="106"/>
      <c r="RB1617" s="106"/>
      <c r="RC1617" s="106"/>
      <c r="RD1617" s="106"/>
      <c r="RE1617" s="106"/>
      <c r="RF1617" s="106"/>
      <c r="RG1617" s="106"/>
      <c r="RH1617" s="106"/>
      <c r="RI1617" s="106"/>
      <c r="RJ1617" s="106"/>
      <c r="RK1617" s="106"/>
      <c r="RL1617" s="106"/>
    </row>
    <row r="1618" spans="48:480" x14ac:dyDescent="0.3">
      <c r="AV1618" s="103"/>
      <c r="CJ1618" s="103"/>
      <c r="FP1618" s="103"/>
      <c r="LL1618" s="103"/>
      <c r="NM1618" s="103"/>
      <c r="QT1618" s="106"/>
      <c r="QU1618" s="106"/>
      <c r="QV1618" s="106"/>
      <c r="QW1618" s="106"/>
      <c r="QX1618" s="106"/>
      <c r="QY1618" s="106"/>
      <c r="QZ1618" s="106"/>
      <c r="RA1618" s="106"/>
      <c r="RB1618" s="106"/>
      <c r="RC1618" s="106"/>
      <c r="RD1618" s="106"/>
      <c r="RE1618" s="106"/>
      <c r="RF1618" s="106"/>
      <c r="RG1618" s="106"/>
      <c r="RH1618" s="106"/>
      <c r="RI1618" s="106"/>
      <c r="RJ1618" s="106"/>
      <c r="RK1618" s="106"/>
      <c r="RL1618" s="106"/>
    </row>
    <row r="1619" spans="48:480" x14ac:dyDescent="0.3">
      <c r="AV1619" s="103"/>
      <c r="CJ1619" s="103"/>
      <c r="FP1619" s="103"/>
      <c r="LL1619" s="103"/>
      <c r="NM1619" s="103"/>
      <c r="QT1619" s="106"/>
      <c r="QU1619" s="106"/>
      <c r="QV1619" s="106"/>
      <c r="QW1619" s="106"/>
      <c r="QX1619" s="106"/>
      <c r="QY1619" s="106"/>
      <c r="QZ1619" s="106"/>
      <c r="RA1619" s="106"/>
      <c r="RB1619" s="106"/>
      <c r="RC1619" s="106"/>
      <c r="RD1619" s="106"/>
      <c r="RE1619" s="106"/>
      <c r="RF1619" s="106"/>
      <c r="RG1619" s="106"/>
      <c r="RH1619" s="106"/>
      <c r="RI1619" s="106"/>
      <c r="RJ1619" s="106"/>
      <c r="RK1619" s="106"/>
      <c r="RL1619" s="106"/>
    </row>
    <row r="1620" spans="48:480" x14ac:dyDescent="0.3">
      <c r="AV1620" s="103"/>
      <c r="CJ1620" s="103"/>
      <c r="FP1620" s="103"/>
      <c r="LL1620" s="103"/>
      <c r="NM1620" s="103"/>
      <c r="QT1620" s="106"/>
      <c r="QU1620" s="106"/>
      <c r="QV1620" s="106"/>
      <c r="QW1620" s="106"/>
      <c r="QX1620" s="106"/>
      <c r="QY1620" s="106"/>
      <c r="QZ1620" s="106"/>
      <c r="RA1620" s="106"/>
      <c r="RB1620" s="106"/>
      <c r="RC1620" s="106"/>
      <c r="RD1620" s="106"/>
      <c r="RE1620" s="106"/>
      <c r="RF1620" s="106"/>
      <c r="RG1620" s="106"/>
      <c r="RH1620" s="106"/>
      <c r="RI1620" s="106"/>
      <c r="RJ1620" s="106"/>
      <c r="RK1620" s="106"/>
      <c r="RL1620" s="106"/>
    </row>
    <row r="1621" spans="48:480" x14ac:dyDescent="0.3">
      <c r="AV1621" s="103"/>
      <c r="CJ1621" s="103"/>
      <c r="FP1621" s="103"/>
      <c r="LL1621" s="103"/>
      <c r="NM1621" s="103"/>
      <c r="QT1621" s="106"/>
      <c r="QU1621" s="106"/>
      <c r="QV1621" s="106"/>
      <c r="QW1621" s="106"/>
      <c r="QX1621" s="106"/>
      <c r="QY1621" s="106"/>
      <c r="QZ1621" s="106"/>
      <c r="RA1621" s="106"/>
      <c r="RB1621" s="106"/>
      <c r="RC1621" s="106"/>
      <c r="RD1621" s="106"/>
      <c r="RE1621" s="106"/>
      <c r="RF1621" s="106"/>
      <c r="RG1621" s="106"/>
      <c r="RH1621" s="106"/>
      <c r="RI1621" s="106"/>
      <c r="RJ1621" s="106"/>
      <c r="RK1621" s="106"/>
      <c r="RL1621" s="106"/>
    </row>
    <row r="1622" spans="48:480" x14ac:dyDescent="0.3">
      <c r="AV1622" s="103"/>
      <c r="CJ1622" s="103"/>
      <c r="FP1622" s="103"/>
      <c r="LL1622" s="103"/>
      <c r="NM1622" s="103"/>
      <c r="QT1622" s="106"/>
      <c r="QU1622" s="106"/>
      <c r="QV1622" s="106"/>
      <c r="QW1622" s="106"/>
      <c r="QX1622" s="106"/>
      <c r="QY1622" s="106"/>
      <c r="QZ1622" s="106"/>
      <c r="RA1622" s="106"/>
      <c r="RB1622" s="106"/>
      <c r="RC1622" s="106"/>
      <c r="RD1622" s="106"/>
      <c r="RE1622" s="106"/>
      <c r="RF1622" s="106"/>
      <c r="RG1622" s="106"/>
      <c r="RH1622" s="106"/>
      <c r="RI1622" s="106"/>
      <c r="RJ1622" s="106"/>
      <c r="RK1622" s="106"/>
      <c r="RL1622" s="106"/>
    </row>
    <row r="1623" spans="48:480" x14ac:dyDescent="0.3">
      <c r="AV1623" s="103"/>
      <c r="CJ1623" s="103"/>
      <c r="FP1623" s="103"/>
      <c r="LL1623" s="103"/>
      <c r="NM1623" s="103"/>
      <c r="QT1623" s="106"/>
      <c r="QU1623" s="106"/>
      <c r="QV1623" s="106"/>
      <c r="QW1623" s="106"/>
      <c r="QX1623" s="106"/>
      <c r="QY1623" s="106"/>
      <c r="QZ1623" s="106"/>
      <c r="RA1623" s="106"/>
      <c r="RB1623" s="106"/>
      <c r="RC1623" s="106"/>
      <c r="RD1623" s="106"/>
      <c r="RE1623" s="106"/>
      <c r="RF1623" s="106"/>
      <c r="RG1623" s="106"/>
      <c r="RH1623" s="106"/>
      <c r="RI1623" s="106"/>
      <c r="RJ1623" s="106"/>
      <c r="RK1623" s="106"/>
      <c r="RL1623" s="106"/>
    </row>
    <row r="1624" spans="48:480" x14ac:dyDescent="0.3">
      <c r="AV1624" s="103"/>
      <c r="CJ1624" s="103"/>
      <c r="FP1624" s="103"/>
      <c r="LL1624" s="103"/>
      <c r="NM1624" s="103"/>
      <c r="QT1624" s="106"/>
      <c r="QU1624" s="106"/>
      <c r="QV1624" s="106"/>
      <c r="QW1624" s="106"/>
      <c r="QX1624" s="106"/>
      <c r="QY1624" s="106"/>
      <c r="QZ1624" s="106"/>
      <c r="RA1624" s="106"/>
      <c r="RB1624" s="106"/>
      <c r="RC1624" s="106"/>
      <c r="RD1624" s="106"/>
      <c r="RE1624" s="106"/>
      <c r="RF1624" s="106"/>
      <c r="RG1624" s="106"/>
      <c r="RH1624" s="106"/>
      <c r="RI1624" s="106"/>
      <c r="RJ1624" s="106"/>
      <c r="RK1624" s="106"/>
      <c r="RL1624" s="106"/>
    </row>
    <row r="1625" spans="48:480" x14ac:dyDescent="0.3">
      <c r="AV1625" s="103"/>
      <c r="CJ1625" s="103"/>
      <c r="FP1625" s="103"/>
      <c r="LL1625" s="103"/>
      <c r="NM1625" s="103"/>
      <c r="QT1625" s="106"/>
      <c r="QU1625" s="106"/>
      <c r="QV1625" s="106"/>
      <c r="QW1625" s="106"/>
      <c r="QX1625" s="106"/>
      <c r="QY1625" s="106"/>
      <c r="QZ1625" s="106"/>
      <c r="RA1625" s="106"/>
      <c r="RB1625" s="106"/>
      <c r="RC1625" s="106"/>
      <c r="RD1625" s="106"/>
      <c r="RE1625" s="106"/>
      <c r="RF1625" s="106"/>
      <c r="RG1625" s="106"/>
      <c r="RH1625" s="106"/>
      <c r="RI1625" s="106"/>
      <c r="RJ1625" s="106"/>
      <c r="RK1625" s="106"/>
      <c r="RL1625" s="106"/>
    </row>
    <row r="1626" spans="48:480" x14ac:dyDescent="0.3">
      <c r="AV1626" s="103"/>
      <c r="CJ1626" s="103"/>
      <c r="FP1626" s="103"/>
      <c r="LL1626" s="103"/>
      <c r="NM1626" s="103"/>
      <c r="QT1626" s="106"/>
      <c r="QU1626" s="106"/>
      <c r="QV1626" s="106"/>
      <c r="QW1626" s="106"/>
      <c r="QX1626" s="106"/>
      <c r="QY1626" s="106"/>
      <c r="QZ1626" s="106"/>
      <c r="RA1626" s="106"/>
      <c r="RB1626" s="106"/>
      <c r="RC1626" s="106"/>
      <c r="RD1626" s="106"/>
      <c r="RE1626" s="106"/>
      <c r="RF1626" s="106"/>
      <c r="RG1626" s="106"/>
      <c r="RH1626" s="106"/>
      <c r="RI1626" s="106"/>
      <c r="RJ1626" s="106"/>
      <c r="RK1626" s="106"/>
      <c r="RL1626" s="106"/>
    </row>
    <row r="1627" spans="48:480" x14ac:dyDescent="0.3">
      <c r="AV1627" s="103"/>
      <c r="CJ1627" s="103"/>
      <c r="FP1627" s="103"/>
      <c r="LL1627" s="103"/>
      <c r="NM1627" s="103"/>
      <c r="QT1627" s="106"/>
      <c r="QU1627" s="106"/>
      <c r="QV1627" s="106"/>
      <c r="QW1627" s="106"/>
      <c r="QX1627" s="106"/>
      <c r="QY1627" s="106"/>
      <c r="QZ1627" s="106"/>
      <c r="RA1627" s="106"/>
      <c r="RB1627" s="106"/>
      <c r="RC1627" s="106"/>
      <c r="RD1627" s="106"/>
      <c r="RE1627" s="106"/>
      <c r="RF1627" s="106"/>
      <c r="RG1627" s="106"/>
      <c r="RH1627" s="106"/>
      <c r="RI1627" s="106"/>
      <c r="RJ1627" s="106"/>
      <c r="RK1627" s="106"/>
      <c r="RL1627" s="106"/>
    </row>
    <row r="1628" spans="48:480" x14ac:dyDescent="0.3">
      <c r="AV1628" s="103"/>
      <c r="CJ1628" s="103"/>
      <c r="FP1628" s="103"/>
      <c r="LL1628" s="103"/>
      <c r="NM1628" s="103"/>
      <c r="QT1628" s="106"/>
      <c r="QU1628" s="106"/>
      <c r="QV1628" s="106"/>
      <c r="QW1628" s="106"/>
      <c r="QX1628" s="106"/>
      <c r="QY1628" s="106"/>
      <c r="QZ1628" s="106"/>
      <c r="RA1628" s="106"/>
      <c r="RB1628" s="106"/>
      <c r="RC1628" s="106"/>
      <c r="RD1628" s="106"/>
      <c r="RE1628" s="106"/>
      <c r="RF1628" s="106"/>
      <c r="RG1628" s="106"/>
      <c r="RH1628" s="106"/>
      <c r="RI1628" s="106"/>
      <c r="RJ1628" s="106"/>
      <c r="RK1628" s="106"/>
      <c r="RL1628" s="106"/>
    </row>
    <row r="1629" spans="48:480" x14ac:dyDescent="0.3">
      <c r="AV1629" s="103"/>
      <c r="CJ1629" s="103"/>
      <c r="FP1629" s="103"/>
      <c r="LL1629" s="103"/>
      <c r="NM1629" s="103"/>
      <c r="QT1629" s="106"/>
      <c r="QU1629" s="106"/>
      <c r="QV1629" s="106"/>
      <c r="QW1629" s="106"/>
      <c r="QX1629" s="106"/>
      <c r="QY1629" s="106"/>
      <c r="QZ1629" s="106"/>
      <c r="RA1629" s="106"/>
      <c r="RB1629" s="106"/>
      <c r="RC1629" s="106"/>
      <c r="RD1629" s="106"/>
      <c r="RE1629" s="106"/>
      <c r="RF1629" s="106"/>
      <c r="RG1629" s="106"/>
      <c r="RH1629" s="106"/>
      <c r="RI1629" s="106"/>
      <c r="RJ1629" s="106"/>
      <c r="RK1629" s="106"/>
      <c r="RL1629" s="106"/>
    </row>
    <row r="1630" spans="48:480" x14ac:dyDescent="0.3">
      <c r="AV1630" s="103"/>
      <c r="CJ1630" s="103"/>
      <c r="FP1630" s="103"/>
      <c r="LL1630" s="103"/>
      <c r="NM1630" s="103"/>
      <c r="QT1630" s="106"/>
      <c r="QU1630" s="106"/>
      <c r="QV1630" s="106"/>
      <c r="QW1630" s="106"/>
      <c r="QX1630" s="106"/>
      <c r="QY1630" s="106"/>
      <c r="QZ1630" s="106"/>
      <c r="RA1630" s="106"/>
      <c r="RB1630" s="106"/>
      <c r="RC1630" s="106"/>
      <c r="RD1630" s="106"/>
      <c r="RE1630" s="106"/>
      <c r="RF1630" s="106"/>
      <c r="RG1630" s="106"/>
      <c r="RH1630" s="106"/>
      <c r="RI1630" s="106"/>
      <c r="RJ1630" s="106"/>
      <c r="RK1630" s="106"/>
      <c r="RL1630" s="106"/>
    </row>
    <row r="1631" spans="48:480" x14ac:dyDescent="0.3">
      <c r="AV1631" s="103"/>
      <c r="CJ1631" s="103"/>
      <c r="FP1631" s="103"/>
      <c r="LL1631" s="103"/>
      <c r="NM1631" s="103"/>
      <c r="QT1631" s="106"/>
      <c r="QU1631" s="106"/>
      <c r="QV1631" s="106"/>
      <c r="QW1631" s="106"/>
      <c r="QX1631" s="106"/>
      <c r="QY1631" s="106"/>
      <c r="QZ1631" s="106"/>
      <c r="RA1631" s="106"/>
      <c r="RB1631" s="106"/>
      <c r="RC1631" s="106"/>
      <c r="RD1631" s="106"/>
      <c r="RE1631" s="106"/>
      <c r="RF1631" s="106"/>
      <c r="RG1631" s="106"/>
      <c r="RH1631" s="106"/>
      <c r="RI1631" s="106"/>
      <c r="RJ1631" s="106"/>
      <c r="RK1631" s="106"/>
      <c r="RL1631" s="106"/>
    </row>
    <row r="1632" spans="48:480" x14ac:dyDescent="0.3">
      <c r="AV1632" s="103"/>
      <c r="CJ1632" s="103"/>
      <c r="FP1632" s="103"/>
      <c r="LL1632" s="103"/>
      <c r="NM1632" s="103"/>
      <c r="QT1632" s="106"/>
      <c r="QU1632" s="106"/>
      <c r="QV1632" s="106"/>
      <c r="QW1632" s="106"/>
      <c r="QX1632" s="106"/>
      <c r="QY1632" s="106"/>
      <c r="QZ1632" s="106"/>
      <c r="RA1632" s="106"/>
      <c r="RB1632" s="106"/>
      <c r="RC1632" s="106"/>
      <c r="RD1632" s="106"/>
      <c r="RE1632" s="106"/>
      <c r="RF1632" s="106"/>
      <c r="RG1632" s="106"/>
      <c r="RH1632" s="106"/>
      <c r="RI1632" s="106"/>
      <c r="RJ1632" s="106"/>
      <c r="RK1632" s="106"/>
      <c r="RL1632" s="106"/>
    </row>
    <row r="1633" spans="48:480" x14ac:dyDescent="0.3">
      <c r="AV1633" s="103"/>
      <c r="CJ1633" s="103"/>
      <c r="FP1633" s="103"/>
      <c r="LL1633" s="103"/>
      <c r="NM1633" s="103"/>
      <c r="QT1633" s="106"/>
      <c r="QU1633" s="106"/>
      <c r="QV1633" s="106"/>
      <c r="QW1633" s="106"/>
      <c r="QX1633" s="106"/>
      <c r="QY1633" s="106"/>
      <c r="QZ1633" s="106"/>
      <c r="RA1633" s="106"/>
      <c r="RB1633" s="106"/>
      <c r="RC1633" s="106"/>
      <c r="RD1633" s="106"/>
      <c r="RE1633" s="106"/>
      <c r="RF1633" s="106"/>
      <c r="RG1633" s="106"/>
      <c r="RH1633" s="106"/>
      <c r="RI1633" s="106"/>
      <c r="RJ1633" s="106"/>
      <c r="RK1633" s="106"/>
      <c r="RL1633" s="106"/>
    </row>
    <row r="1634" spans="48:480" x14ac:dyDescent="0.3">
      <c r="AV1634" s="103"/>
      <c r="CJ1634" s="103"/>
      <c r="FP1634" s="103"/>
      <c r="LL1634" s="103"/>
      <c r="NM1634" s="103"/>
      <c r="QT1634" s="106"/>
      <c r="QU1634" s="106"/>
      <c r="QV1634" s="106"/>
      <c r="QW1634" s="106"/>
      <c r="QX1634" s="106"/>
      <c r="QY1634" s="106"/>
      <c r="QZ1634" s="106"/>
      <c r="RA1634" s="106"/>
      <c r="RB1634" s="106"/>
      <c r="RC1634" s="106"/>
      <c r="RD1634" s="106"/>
      <c r="RE1634" s="106"/>
      <c r="RF1634" s="106"/>
      <c r="RG1634" s="106"/>
      <c r="RH1634" s="106"/>
      <c r="RI1634" s="106"/>
      <c r="RJ1634" s="106"/>
      <c r="RK1634" s="106"/>
      <c r="RL1634" s="106"/>
    </row>
    <row r="1635" spans="48:480" x14ac:dyDescent="0.3">
      <c r="AV1635" s="103"/>
      <c r="CJ1635" s="103"/>
      <c r="FP1635" s="103"/>
      <c r="LL1635" s="103"/>
      <c r="NM1635" s="103"/>
      <c r="QT1635" s="106"/>
      <c r="QU1635" s="106"/>
      <c r="QV1635" s="106"/>
      <c r="QW1635" s="106"/>
      <c r="QX1635" s="106"/>
      <c r="QY1635" s="106"/>
      <c r="QZ1635" s="106"/>
      <c r="RA1635" s="106"/>
      <c r="RB1635" s="106"/>
      <c r="RC1635" s="106"/>
      <c r="RD1635" s="106"/>
      <c r="RE1635" s="106"/>
      <c r="RF1635" s="106"/>
      <c r="RG1635" s="106"/>
      <c r="RH1635" s="106"/>
      <c r="RI1635" s="106"/>
      <c r="RJ1635" s="106"/>
      <c r="RK1635" s="106"/>
      <c r="RL1635" s="106"/>
    </row>
    <row r="1636" spans="48:480" x14ac:dyDescent="0.3">
      <c r="AV1636" s="103"/>
      <c r="CJ1636" s="103"/>
      <c r="FP1636" s="103"/>
      <c r="LL1636" s="103"/>
      <c r="NM1636" s="103"/>
      <c r="QT1636" s="106"/>
      <c r="QU1636" s="106"/>
      <c r="QV1636" s="106"/>
      <c r="QW1636" s="106"/>
      <c r="QX1636" s="106"/>
      <c r="QY1636" s="106"/>
      <c r="QZ1636" s="106"/>
      <c r="RA1636" s="106"/>
      <c r="RB1636" s="106"/>
      <c r="RC1636" s="106"/>
      <c r="RD1636" s="106"/>
      <c r="RE1636" s="106"/>
      <c r="RF1636" s="106"/>
      <c r="RG1636" s="106"/>
      <c r="RH1636" s="106"/>
      <c r="RI1636" s="106"/>
      <c r="RJ1636" s="106"/>
      <c r="RK1636" s="106"/>
      <c r="RL1636" s="106"/>
    </row>
    <row r="1637" spans="48:480" x14ac:dyDescent="0.3">
      <c r="AV1637" s="103"/>
      <c r="CJ1637" s="103"/>
      <c r="FP1637" s="103"/>
      <c r="LL1637" s="103"/>
      <c r="NM1637" s="103"/>
      <c r="QT1637" s="106"/>
      <c r="QU1637" s="106"/>
      <c r="QV1637" s="106"/>
      <c r="QW1637" s="106"/>
      <c r="QX1637" s="106"/>
      <c r="QY1637" s="106"/>
      <c r="QZ1637" s="106"/>
      <c r="RA1637" s="106"/>
      <c r="RB1637" s="106"/>
      <c r="RC1637" s="106"/>
      <c r="RD1637" s="106"/>
      <c r="RE1637" s="106"/>
      <c r="RF1637" s="106"/>
      <c r="RG1637" s="106"/>
      <c r="RH1637" s="106"/>
      <c r="RI1637" s="106"/>
      <c r="RJ1637" s="106"/>
      <c r="RK1637" s="106"/>
      <c r="RL1637" s="106"/>
    </row>
    <row r="1638" spans="48:480" x14ac:dyDescent="0.3">
      <c r="AV1638" s="103"/>
      <c r="CJ1638" s="103"/>
      <c r="FP1638" s="103"/>
      <c r="LL1638" s="103"/>
      <c r="NM1638" s="103"/>
      <c r="QT1638" s="106"/>
      <c r="QU1638" s="106"/>
      <c r="QV1638" s="106"/>
      <c r="QW1638" s="106"/>
      <c r="QX1638" s="106"/>
      <c r="QY1638" s="106"/>
      <c r="QZ1638" s="106"/>
      <c r="RA1638" s="106"/>
      <c r="RB1638" s="106"/>
      <c r="RC1638" s="106"/>
      <c r="RD1638" s="106"/>
      <c r="RE1638" s="106"/>
      <c r="RF1638" s="106"/>
      <c r="RG1638" s="106"/>
      <c r="RH1638" s="106"/>
      <c r="RI1638" s="106"/>
      <c r="RJ1638" s="106"/>
      <c r="RK1638" s="106"/>
      <c r="RL1638" s="106"/>
    </row>
    <row r="1639" spans="48:480" x14ac:dyDescent="0.3">
      <c r="AV1639" s="103"/>
      <c r="CJ1639" s="103"/>
      <c r="FP1639" s="103"/>
      <c r="LL1639" s="103"/>
      <c r="NM1639" s="103"/>
      <c r="QT1639" s="106"/>
      <c r="QU1639" s="106"/>
      <c r="QV1639" s="106"/>
      <c r="QW1639" s="106"/>
      <c r="QX1639" s="106"/>
      <c r="QY1639" s="106"/>
      <c r="QZ1639" s="106"/>
      <c r="RA1639" s="106"/>
      <c r="RB1639" s="106"/>
      <c r="RC1639" s="106"/>
      <c r="RD1639" s="106"/>
      <c r="RE1639" s="106"/>
      <c r="RF1639" s="106"/>
      <c r="RG1639" s="106"/>
      <c r="RH1639" s="106"/>
      <c r="RI1639" s="106"/>
      <c r="RJ1639" s="106"/>
      <c r="RK1639" s="106"/>
      <c r="RL1639" s="106"/>
    </row>
    <row r="1640" spans="48:480" x14ac:dyDescent="0.3">
      <c r="AV1640" s="103"/>
      <c r="CJ1640" s="103"/>
      <c r="FP1640" s="103"/>
      <c r="LL1640" s="103"/>
      <c r="NM1640" s="103"/>
      <c r="QT1640" s="106"/>
      <c r="QU1640" s="106"/>
      <c r="QV1640" s="106"/>
      <c r="QW1640" s="106"/>
      <c r="QX1640" s="106"/>
      <c r="QY1640" s="106"/>
      <c r="QZ1640" s="106"/>
      <c r="RA1640" s="106"/>
      <c r="RB1640" s="106"/>
      <c r="RC1640" s="106"/>
      <c r="RD1640" s="106"/>
      <c r="RE1640" s="106"/>
      <c r="RF1640" s="106"/>
      <c r="RG1640" s="106"/>
      <c r="RH1640" s="106"/>
      <c r="RI1640" s="106"/>
      <c r="RJ1640" s="106"/>
      <c r="RK1640" s="106"/>
      <c r="RL1640" s="106"/>
    </row>
    <row r="1641" spans="48:480" x14ac:dyDescent="0.3">
      <c r="AV1641" s="103"/>
      <c r="CJ1641" s="103"/>
      <c r="FP1641" s="103"/>
      <c r="LL1641" s="103"/>
      <c r="NM1641" s="103"/>
      <c r="QT1641" s="106"/>
      <c r="QU1641" s="106"/>
      <c r="QV1641" s="106"/>
      <c r="QW1641" s="106"/>
      <c r="QX1641" s="106"/>
      <c r="QY1641" s="106"/>
      <c r="QZ1641" s="106"/>
      <c r="RA1641" s="106"/>
      <c r="RB1641" s="106"/>
      <c r="RC1641" s="106"/>
      <c r="RD1641" s="106"/>
      <c r="RE1641" s="106"/>
      <c r="RF1641" s="106"/>
      <c r="RG1641" s="106"/>
      <c r="RH1641" s="106"/>
      <c r="RI1641" s="106"/>
      <c r="RJ1641" s="106"/>
      <c r="RK1641" s="106"/>
      <c r="RL1641" s="106"/>
    </row>
    <row r="1642" spans="48:480" x14ac:dyDescent="0.3">
      <c r="AV1642" s="103"/>
      <c r="CJ1642" s="103"/>
      <c r="FP1642" s="103"/>
      <c r="LL1642" s="103"/>
      <c r="NM1642" s="103"/>
      <c r="QT1642" s="106"/>
      <c r="QU1642" s="106"/>
      <c r="QV1642" s="106"/>
      <c r="QW1642" s="106"/>
      <c r="QX1642" s="106"/>
      <c r="QY1642" s="106"/>
      <c r="QZ1642" s="106"/>
      <c r="RA1642" s="106"/>
      <c r="RB1642" s="106"/>
      <c r="RC1642" s="106"/>
      <c r="RD1642" s="106"/>
      <c r="RE1642" s="106"/>
      <c r="RF1642" s="106"/>
      <c r="RG1642" s="106"/>
      <c r="RH1642" s="106"/>
      <c r="RI1642" s="106"/>
      <c r="RJ1642" s="106"/>
      <c r="RK1642" s="106"/>
      <c r="RL1642" s="106"/>
    </row>
    <row r="1643" spans="48:480" x14ac:dyDescent="0.3">
      <c r="AV1643" s="103"/>
      <c r="CJ1643" s="103"/>
      <c r="FP1643" s="103"/>
      <c r="LL1643" s="103"/>
      <c r="NM1643" s="103"/>
      <c r="QT1643" s="106"/>
      <c r="QU1643" s="106"/>
      <c r="QV1643" s="106"/>
      <c r="QW1643" s="106"/>
      <c r="QX1643" s="106"/>
      <c r="QY1643" s="106"/>
      <c r="QZ1643" s="106"/>
      <c r="RA1643" s="106"/>
      <c r="RB1643" s="106"/>
      <c r="RC1643" s="106"/>
      <c r="RD1643" s="106"/>
      <c r="RE1643" s="106"/>
      <c r="RF1643" s="106"/>
      <c r="RG1643" s="106"/>
      <c r="RH1643" s="106"/>
      <c r="RI1643" s="106"/>
      <c r="RJ1643" s="106"/>
      <c r="RK1643" s="106"/>
      <c r="RL1643" s="106"/>
    </row>
    <row r="1644" spans="48:480" x14ac:dyDescent="0.3">
      <c r="AV1644" s="103"/>
      <c r="CJ1644" s="103"/>
      <c r="FP1644" s="103"/>
      <c r="LL1644" s="103"/>
      <c r="NM1644" s="103"/>
      <c r="QT1644" s="106"/>
      <c r="QU1644" s="106"/>
      <c r="QV1644" s="106"/>
      <c r="QW1644" s="106"/>
      <c r="QX1644" s="106"/>
      <c r="QY1644" s="106"/>
      <c r="QZ1644" s="106"/>
      <c r="RA1644" s="106"/>
      <c r="RB1644" s="106"/>
      <c r="RC1644" s="106"/>
      <c r="RD1644" s="106"/>
      <c r="RE1644" s="106"/>
      <c r="RF1644" s="106"/>
      <c r="RG1644" s="106"/>
      <c r="RH1644" s="106"/>
      <c r="RI1644" s="106"/>
      <c r="RJ1644" s="106"/>
      <c r="RK1644" s="106"/>
      <c r="RL1644" s="106"/>
    </row>
    <row r="1645" spans="48:480" x14ac:dyDescent="0.3">
      <c r="AV1645" s="103"/>
      <c r="CJ1645" s="103"/>
      <c r="FP1645" s="103"/>
      <c r="LL1645" s="103"/>
      <c r="NM1645" s="103"/>
      <c r="QT1645" s="106"/>
      <c r="QU1645" s="106"/>
      <c r="QV1645" s="106"/>
      <c r="QW1645" s="106"/>
      <c r="QX1645" s="106"/>
      <c r="QY1645" s="106"/>
      <c r="QZ1645" s="106"/>
      <c r="RA1645" s="106"/>
      <c r="RB1645" s="106"/>
      <c r="RC1645" s="106"/>
      <c r="RD1645" s="106"/>
      <c r="RE1645" s="106"/>
      <c r="RF1645" s="106"/>
      <c r="RG1645" s="106"/>
      <c r="RH1645" s="106"/>
      <c r="RI1645" s="106"/>
      <c r="RJ1645" s="106"/>
      <c r="RK1645" s="106"/>
      <c r="RL1645" s="106"/>
    </row>
    <row r="1646" spans="48:480" x14ac:dyDescent="0.3">
      <c r="AV1646" s="103"/>
      <c r="CJ1646" s="103"/>
      <c r="FP1646" s="103"/>
      <c r="LL1646" s="103"/>
      <c r="NM1646" s="103"/>
      <c r="QT1646" s="106"/>
      <c r="QU1646" s="106"/>
      <c r="QV1646" s="106"/>
      <c r="QW1646" s="106"/>
      <c r="QX1646" s="106"/>
      <c r="QY1646" s="106"/>
      <c r="QZ1646" s="106"/>
      <c r="RA1646" s="106"/>
      <c r="RB1646" s="106"/>
      <c r="RC1646" s="106"/>
      <c r="RD1646" s="106"/>
      <c r="RE1646" s="106"/>
      <c r="RF1646" s="106"/>
      <c r="RG1646" s="106"/>
      <c r="RH1646" s="106"/>
      <c r="RI1646" s="106"/>
      <c r="RJ1646" s="106"/>
      <c r="RK1646" s="106"/>
      <c r="RL1646" s="106"/>
    </row>
    <row r="1647" spans="48:480" x14ac:dyDescent="0.3">
      <c r="AV1647" s="103"/>
      <c r="CJ1647" s="103"/>
      <c r="FP1647" s="103"/>
      <c r="LL1647" s="103"/>
      <c r="NM1647" s="103"/>
      <c r="QT1647" s="106"/>
      <c r="QU1647" s="106"/>
      <c r="QV1647" s="106"/>
      <c r="QW1647" s="106"/>
      <c r="QX1647" s="106"/>
      <c r="QY1647" s="106"/>
      <c r="QZ1647" s="106"/>
      <c r="RA1647" s="106"/>
      <c r="RB1647" s="106"/>
      <c r="RC1647" s="106"/>
      <c r="RD1647" s="106"/>
      <c r="RE1647" s="106"/>
      <c r="RF1647" s="106"/>
      <c r="RG1647" s="106"/>
      <c r="RH1647" s="106"/>
      <c r="RI1647" s="106"/>
      <c r="RJ1647" s="106"/>
      <c r="RK1647" s="106"/>
      <c r="RL1647" s="106"/>
    </row>
    <row r="1648" spans="48:480" x14ac:dyDescent="0.3">
      <c r="AV1648" s="103"/>
      <c r="CJ1648" s="103"/>
      <c r="FP1648" s="103"/>
      <c r="LL1648" s="103"/>
      <c r="NM1648" s="103"/>
      <c r="QT1648" s="106"/>
      <c r="QU1648" s="106"/>
      <c r="QV1648" s="106"/>
      <c r="QW1648" s="106"/>
      <c r="QX1648" s="106"/>
      <c r="QY1648" s="106"/>
      <c r="QZ1648" s="106"/>
      <c r="RA1648" s="106"/>
      <c r="RB1648" s="106"/>
      <c r="RC1648" s="106"/>
      <c r="RD1648" s="106"/>
      <c r="RE1648" s="106"/>
      <c r="RF1648" s="106"/>
      <c r="RG1648" s="106"/>
      <c r="RH1648" s="106"/>
      <c r="RI1648" s="106"/>
      <c r="RJ1648" s="106"/>
      <c r="RK1648" s="106"/>
      <c r="RL1648" s="106"/>
    </row>
    <row r="1649" spans="48:480" x14ac:dyDescent="0.3">
      <c r="AV1649" s="103"/>
      <c r="CJ1649" s="103"/>
      <c r="FP1649" s="103"/>
      <c r="LL1649" s="103"/>
      <c r="NM1649" s="103"/>
      <c r="QT1649" s="106"/>
      <c r="QU1649" s="106"/>
      <c r="QV1649" s="106"/>
      <c r="QW1649" s="106"/>
      <c r="QX1649" s="106"/>
      <c r="QY1649" s="106"/>
      <c r="QZ1649" s="106"/>
      <c r="RA1649" s="106"/>
      <c r="RB1649" s="106"/>
      <c r="RC1649" s="106"/>
      <c r="RD1649" s="106"/>
      <c r="RE1649" s="106"/>
      <c r="RF1649" s="106"/>
      <c r="RG1649" s="106"/>
      <c r="RH1649" s="106"/>
      <c r="RI1649" s="106"/>
      <c r="RJ1649" s="106"/>
      <c r="RK1649" s="106"/>
      <c r="RL1649" s="106"/>
    </row>
    <row r="1650" spans="48:480" x14ac:dyDescent="0.3">
      <c r="AV1650" s="103"/>
      <c r="CJ1650" s="103"/>
      <c r="FP1650" s="103"/>
      <c r="LL1650" s="103"/>
      <c r="NM1650" s="103"/>
      <c r="QT1650" s="106"/>
      <c r="QU1650" s="106"/>
      <c r="QV1650" s="106"/>
      <c r="QW1650" s="106"/>
      <c r="QX1650" s="106"/>
      <c r="QY1650" s="106"/>
      <c r="QZ1650" s="106"/>
      <c r="RA1650" s="106"/>
      <c r="RB1650" s="106"/>
      <c r="RC1650" s="106"/>
      <c r="RD1650" s="106"/>
      <c r="RE1650" s="106"/>
      <c r="RF1650" s="106"/>
      <c r="RG1650" s="106"/>
      <c r="RH1650" s="106"/>
      <c r="RI1650" s="106"/>
      <c r="RJ1650" s="106"/>
      <c r="RK1650" s="106"/>
      <c r="RL1650" s="106"/>
    </row>
    <row r="1651" spans="48:480" x14ac:dyDescent="0.3">
      <c r="AV1651" s="103"/>
      <c r="CJ1651" s="103"/>
      <c r="FP1651" s="103"/>
      <c r="LL1651" s="103"/>
      <c r="NM1651" s="103"/>
      <c r="QT1651" s="106"/>
      <c r="QU1651" s="106"/>
      <c r="QV1651" s="106"/>
      <c r="QW1651" s="106"/>
      <c r="QX1651" s="106"/>
      <c r="QY1651" s="106"/>
      <c r="QZ1651" s="106"/>
      <c r="RA1651" s="106"/>
      <c r="RB1651" s="106"/>
      <c r="RC1651" s="106"/>
      <c r="RD1651" s="106"/>
      <c r="RE1651" s="106"/>
      <c r="RF1651" s="106"/>
      <c r="RG1651" s="106"/>
      <c r="RH1651" s="106"/>
      <c r="RI1651" s="106"/>
      <c r="RJ1651" s="106"/>
      <c r="RK1651" s="106"/>
      <c r="RL1651" s="106"/>
    </row>
    <row r="1652" spans="48:480" x14ac:dyDescent="0.3">
      <c r="AV1652" s="103"/>
      <c r="CJ1652" s="103"/>
      <c r="FP1652" s="103"/>
      <c r="LL1652" s="103"/>
      <c r="NM1652" s="103"/>
      <c r="QT1652" s="106"/>
      <c r="QU1652" s="106"/>
      <c r="QV1652" s="106"/>
      <c r="QW1652" s="106"/>
      <c r="QX1652" s="106"/>
      <c r="QY1652" s="106"/>
      <c r="QZ1652" s="106"/>
      <c r="RA1652" s="106"/>
      <c r="RB1652" s="106"/>
      <c r="RC1652" s="106"/>
      <c r="RD1652" s="106"/>
      <c r="RE1652" s="106"/>
      <c r="RF1652" s="106"/>
      <c r="RG1652" s="106"/>
      <c r="RH1652" s="106"/>
      <c r="RI1652" s="106"/>
      <c r="RJ1652" s="106"/>
      <c r="RK1652" s="106"/>
      <c r="RL1652" s="106"/>
    </row>
    <row r="1653" spans="48:480" x14ac:dyDescent="0.3">
      <c r="AV1653" s="103"/>
      <c r="CJ1653" s="103"/>
      <c r="FP1653" s="103"/>
      <c r="LL1653" s="103"/>
      <c r="NM1653" s="103"/>
      <c r="QT1653" s="106"/>
      <c r="QU1653" s="106"/>
      <c r="QV1653" s="106"/>
      <c r="QW1653" s="106"/>
      <c r="QX1653" s="106"/>
      <c r="QY1653" s="106"/>
      <c r="QZ1653" s="106"/>
      <c r="RA1653" s="106"/>
      <c r="RB1653" s="106"/>
      <c r="RC1653" s="106"/>
      <c r="RD1653" s="106"/>
      <c r="RE1653" s="106"/>
      <c r="RF1653" s="106"/>
      <c r="RG1653" s="106"/>
      <c r="RH1653" s="106"/>
      <c r="RI1653" s="106"/>
      <c r="RJ1653" s="106"/>
      <c r="RK1653" s="106"/>
      <c r="RL1653" s="106"/>
    </row>
    <row r="1654" spans="48:480" x14ac:dyDescent="0.3">
      <c r="AV1654" s="103"/>
      <c r="CJ1654" s="103"/>
      <c r="FP1654" s="103"/>
      <c r="LL1654" s="103"/>
      <c r="NM1654" s="103"/>
      <c r="QT1654" s="106"/>
      <c r="QU1654" s="106"/>
      <c r="QV1654" s="106"/>
      <c r="QW1654" s="106"/>
      <c r="QX1654" s="106"/>
      <c r="QY1654" s="106"/>
      <c r="QZ1654" s="106"/>
      <c r="RA1654" s="106"/>
      <c r="RB1654" s="106"/>
      <c r="RC1654" s="106"/>
      <c r="RD1654" s="106"/>
      <c r="RE1654" s="106"/>
      <c r="RF1654" s="106"/>
      <c r="RG1654" s="106"/>
      <c r="RH1654" s="106"/>
      <c r="RI1654" s="106"/>
      <c r="RJ1654" s="106"/>
      <c r="RK1654" s="106"/>
      <c r="RL1654" s="106"/>
    </row>
    <row r="1655" spans="48:480" x14ac:dyDescent="0.3">
      <c r="AV1655" s="103"/>
      <c r="CJ1655" s="103"/>
      <c r="FP1655" s="103"/>
      <c r="LL1655" s="103"/>
      <c r="NM1655" s="103"/>
      <c r="QT1655" s="106"/>
      <c r="QU1655" s="106"/>
      <c r="QV1655" s="106"/>
      <c r="QW1655" s="106"/>
      <c r="QX1655" s="106"/>
      <c r="QY1655" s="106"/>
      <c r="QZ1655" s="106"/>
      <c r="RA1655" s="106"/>
      <c r="RB1655" s="106"/>
      <c r="RC1655" s="106"/>
      <c r="RD1655" s="106"/>
      <c r="RE1655" s="106"/>
      <c r="RF1655" s="106"/>
      <c r="RG1655" s="106"/>
      <c r="RH1655" s="106"/>
      <c r="RI1655" s="106"/>
      <c r="RJ1655" s="106"/>
      <c r="RK1655" s="106"/>
      <c r="RL1655" s="106"/>
    </row>
    <row r="1656" spans="48:480" x14ac:dyDescent="0.3">
      <c r="AV1656" s="103"/>
      <c r="CJ1656" s="103"/>
      <c r="FP1656" s="103"/>
      <c r="LL1656" s="103"/>
      <c r="NM1656" s="103"/>
      <c r="QT1656" s="106"/>
      <c r="QU1656" s="106"/>
      <c r="QV1656" s="106"/>
      <c r="QW1656" s="106"/>
      <c r="QX1656" s="106"/>
      <c r="QY1656" s="106"/>
      <c r="QZ1656" s="106"/>
      <c r="RA1656" s="106"/>
      <c r="RB1656" s="106"/>
      <c r="RC1656" s="106"/>
      <c r="RD1656" s="106"/>
      <c r="RE1656" s="106"/>
      <c r="RF1656" s="106"/>
      <c r="RG1656" s="106"/>
      <c r="RH1656" s="106"/>
      <c r="RI1656" s="106"/>
      <c r="RJ1656" s="106"/>
      <c r="RK1656" s="106"/>
      <c r="RL1656" s="106"/>
    </row>
    <row r="1657" spans="48:480" x14ac:dyDescent="0.3">
      <c r="AV1657" s="103"/>
      <c r="CJ1657" s="103"/>
      <c r="FP1657" s="103"/>
      <c r="LL1657" s="103"/>
      <c r="NM1657" s="103"/>
      <c r="QT1657" s="106"/>
      <c r="QU1657" s="106"/>
      <c r="QV1657" s="106"/>
      <c r="QW1657" s="106"/>
      <c r="QX1657" s="106"/>
      <c r="QY1657" s="106"/>
      <c r="QZ1657" s="106"/>
      <c r="RA1657" s="106"/>
      <c r="RB1657" s="106"/>
      <c r="RC1657" s="106"/>
      <c r="RD1657" s="106"/>
      <c r="RE1657" s="106"/>
      <c r="RF1657" s="106"/>
      <c r="RG1657" s="106"/>
      <c r="RH1657" s="106"/>
      <c r="RI1657" s="106"/>
      <c r="RJ1657" s="106"/>
      <c r="RK1657" s="106"/>
      <c r="RL1657" s="106"/>
    </row>
    <row r="1658" spans="48:480" x14ac:dyDescent="0.3">
      <c r="AV1658" s="103"/>
      <c r="CJ1658" s="103"/>
      <c r="FP1658" s="103"/>
      <c r="LL1658" s="103"/>
      <c r="NM1658" s="103"/>
      <c r="QT1658" s="106"/>
      <c r="QU1658" s="106"/>
      <c r="QV1658" s="106"/>
      <c r="QW1658" s="106"/>
      <c r="QX1658" s="106"/>
      <c r="QY1658" s="106"/>
      <c r="QZ1658" s="106"/>
      <c r="RA1658" s="106"/>
      <c r="RB1658" s="106"/>
      <c r="RC1658" s="106"/>
      <c r="RD1658" s="106"/>
      <c r="RE1658" s="106"/>
      <c r="RF1658" s="106"/>
      <c r="RG1658" s="106"/>
      <c r="RH1658" s="106"/>
      <c r="RI1658" s="106"/>
      <c r="RJ1658" s="106"/>
      <c r="RK1658" s="106"/>
      <c r="RL1658" s="106"/>
    </row>
    <row r="1659" spans="48:480" x14ac:dyDescent="0.3">
      <c r="AV1659" s="103"/>
      <c r="CJ1659" s="103"/>
      <c r="FP1659" s="103"/>
      <c r="LL1659" s="103"/>
      <c r="NM1659" s="103"/>
      <c r="QT1659" s="106"/>
      <c r="QU1659" s="106"/>
      <c r="QV1659" s="106"/>
      <c r="QW1659" s="106"/>
      <c r="QX1659" s="106"/>
      <c r="QY1659" s="106"/>
      <c r="QZ1659" s="106"/>
      <c r="RA1659" s="106"/>
      <c r="RB1659" s="106"/>
      <c r="RC1659" s="106"/>
      <c r="RD1659" s="106"/>
      <c r="RE1659" s="106"/>
      <c r="RF1659" s="106"/>
      <c r="RG1659" s="106"/>
      <c r="RH1659" s="106"/>
      <c r="RI1659" s="106"/>
      <c r="RJ1659" s="106"/>
      <c r="RK1659" s="106"/>
      <c r="RL1659" s="106"/>
    </row>
    <row r="1660" spans="48:480" x14ac:dyDescent="0.3">
      <c r="AV1660" s="103"/>
      <c r="CJ1660" s="103"/>
      <c r="FP1660" s="103"/>
      <c r="LL1660" s="103"/>
      <c r="NM1660" s="103"/>
      <c r="QT1660" s="106"/>
      <c r="QU1660" s="106"/>
      <c r="QV1660" s="106"/>
      <c r="QW1660" s="106"/>
      <c r="QX1660" s="106"/>
      <c r="QY1660" s="106"/>
      <c r="QZ1660" s="106"/>
      <c r="RA1660" s="106"/>
      <c r="RB1660" s="106"/>
      <c r="RC1660" s="106"/>
      <c r="RD1660" s="106"/>
      <c r="RE1660" s="106"/>
      <c r="RF1660" s="106"/>
      <c r="RG1660" s="106"/>
      <c r="RH1660" s="106"/>
      <c r="RI1660" s="106"/>
      <c r="RJ1660" s="106"/>
      <c r="RK1660" s="106"/>
      <c r="RL1660" s="106"/>
    </row>
    <row r="1661" spans="48:480" x14ac:dyDescent="0.3">
      <c r="AV1661" s="103"/>
      <c r="CJ1661" s="103"/>
      <c r="FP1661" s="103"/>
      <c r="LL1661" s="103"/>
      <c r="NM1661" s="103"/>
      <c r="QT1661" s="106"/>
      <c r="QU1661" s="106"/>
      <c r="QV1661" s="106"/>
      <c r="QW1661" s="106"/>
      <c r="QX1661" s="106"/>
      <c r="QY1661" s="106"/>
      <c r="QZ1661" s="106"/>
      <c r="RA1661" s="106"/>
      <c r="RB1661" s="106"/>
      <c r="RC1661" s="106"/>
      <c r="RD1661" s="106"/>
      <c r="RE1661" s="106"/>
      <c r="RF1661" s="106"/>
      <c r="RG1661" s="106"/>
      <c r="RH1661" s="106"/>
      <c r="RI1661" s="106"/>
      <c r="RJ1661" s="106"/>
      <c r="RK1661" s="106"/>
      <c r="RL1661" s="106"/>
    </row>
    <row r="1662" spans="48:480" x14ac:dyDescent="0.3">
      <c r="AV1662" s="103"/>
      <c r="CJ1662" s="103"/>
      <c r="FP1662" s="103"/>
      <c r="LL1662" s="103"/>
      <c r="NM1662" s="103"/>
      <c r="QT1662" s="106"/>
      <c r="QU1662" s="106"/>
      <c r="QV1662" s="106"/>
      <c r="QW1662" s="106"/>
      <c r="QX1662" s="106"/>
      <c r="QY1662" s="106"/>
      <c r="QZ1662" s="106"/>
      <c r="RA1662" s="106"/>
      <c r="RB1662" s="106"/>
      <c r="RC1662" s="106"/>
      <c r="RD1662" s="106"/>
      <c r="RE1662" s="106"/>
      <c r="RF1662" s="106"/>
      <c r="RG1662" s="106"/>
      <c r="RH1662" s="106"/>
      <c r="RI1662" s="106"/>
      <c r="RJ1662" s="106"/>
      <c r="RK1662" s="106"/>
      <c r="RL1662" s="106"/>
    </row>
    <row r="1663" spans="48:480" x14ac:dyDescent="0.3">
      <c r="AV1663" s="103"/>
      <c r="CJ1663" s="103"/>
      <c r="FP1663" s="103"/>
      <c r="LL1663" s="103"/>
      <c r="NM1663" s="103"/>
      <c r="QT1663" s="106"/>
      <c r="QU1663" s="106"/>
      <c r="QV1663" s="106"/>
      <c r="QW1663" s="106"/>
      <c r="QX1663" s="106"/>
      <c r="QY1663" s="106"/>
      <c r="QZ1663" s="106"/>
      <c r="RA1663" s="106"/>
      <c r="RB1663" s="106"/>
      <c r="RC1663" s="106"/>
      <c r="RD1663" s="106"/>
      <c r="RE1663" s="106"/>
      <c r="RF1663" s="106"/>
      <c r="RG1663" s="106"/>
      <c r="RH1663" s="106"/>
      <c r="RI1663" s="106"/>
      <c r="RJ1663" s="106"/>
      <c r="RK1663" s="106"/>
      <c r="RL1663" s="106"/>
    </row>
    <row r="1664" spans="48:480" x14ac:dyDescent="0.3">
      <c r="AV1664" s="103"/>
      <c r="CJ1664" s="103"/>
      <c r="FP1664" s="103"/>
      <c r="LL1664" s="103"/>
      <c r="NM1664" s="103"/>
      <c r="QT1664" s="106"/>
      <c r="QU1664" s="106"/>
      <c r="QV1664" s="106"/>
      <c r="QW1664" s="106"/>
      <c r="QX1664" s="106"/>
      <c r="QY1664" s="106"/>
      <c r="QZ1664" s="106"/>
      <c r="RA1664" s="106"/>
      <c r="RB1664" s="106"/>
      <c r="RC1664" s="106"/>
      <c r="RD1664" s="106"/>
      <c r="RE1664" s="106"/>
      <c r="RF1664" s="106"/>
      <c r="RG1664" s="106"/>
      <c r="RH1664" s="106"/>
      <c r="RI1664" s="106"/>
      <c r="RJ1664" s="106"/>
      <c r="RK1664" s="106"/>
      <c r="RL1664" s="106"/>
    </row>
    <row r="1665" spans="48:480" x14ac:dyDescent="0.3">
      <c r="AV1665" s="103"/>
      <c r="CJ1665" s="103"/>
      <c r="FP1665" s="103"/>
      <c r="LL1665" s="103"/>
      <c r="NM1665" s="103"/>
      <c r="QT1665" s="106"/>
      <c r="QU1665" s="106"/>
      <c r="QV1665" s="106"/>
      <c r="QW1665" s="106"/>
      <c r="QX1665" s="106"/>
      <c r="QY1665" s="106"/>
      <c r="QZ1665" s="106"/>
      <c r="RA1665" s="106"/>
      <c r="RB1665" s="106"/>
      <c r="RC1665" s="106"/>
      <c r="RD1665" s="106"/>
      <c r="RE1665" s="106"/>
      <c r="RF1665" s="106"/>
      <c r="RG1665" s="106"/>
      <c r="RH1665" s="106"/>
      <c r="RI1665" s="106"/>
      <c r="RJ1665" s="106"/>
      <c r="RK1665" s="106"/>
      <c r="RL1665" s="106"/>
    </row>
    <row r="1666" spans="48:480" x14ac:dyDescent="0.3">
      <c r="AV1666" s="103"/>
      <c r="CJ1666" s="103"/>
      <c r="FP1666" s="103"/>
      <c r="LL1666" s="103"/>
      <c r="NM1666" s="103"/>
      <c r="QT1666" s="106"/>
      <c r="QU1666" s="106"/>
      <c r="QV1666" s="106"/>
      <c r="QW1666" s="106"/>
      <c r="QX1666" s="106"/>
      <c r="QY1666" s="106"/>
      <c r="QZ1666" s="106"/>
      <c r="RA1666" s="106"/>
      <c r="RB1666" s="106"/>
      <c r="RC1666" s="106"/>
      <c r="RD1666" s="106"/>
      <c r="RE1666" s="106"/>
      <c r="RF1666" s="106"/>
      <c r="RG1666" s="106"/>
      <c r="RH1666" s="106"/>
      <c r="RI1666" s="106"/>
      <c r="RJ1666" s="106"/>
      <c r="RK1666" s="106"/>
      <c r="RL1666" s="106"/>
    </row>
    <row r="1667" spans="48:480" x14ac:dyDescent="0.3">
      <c r="AV1667" s="103"/>
      <c r="CJ1667" s="103"/>
      <c r="FP1667" s="103"/>
      <c r="LL1667" s="103"/>
      <c r="NM1667" s="103"/>
      <c r="QT1667" s="106"/>
      <c r="QU1667" s="106"/>
      <c r="QV1667" s="106"/>
      <c r="QW1667" s="106"/>
      <c r="QX1667" s="106"/>
      <c r="QY1667" s="106"/>
      <c r="QZ1667" s="106"/>
      <c r="RA1667" s="106"/>
      <c r="RB1667" s="106"/>
      <c r="RC1667" s="106"/>
      <c r="RD1667" s="106"/>
      <c r="RE1667" s="106"/>
      <c r="RF1667" s="106"/>
      <c r="RG1667" s="106"/>
      <c r="RH1667" s="106"/>
      <c r="RI1667" s="106"/>
      <c r="RJ1667" s="106"/>
      <c r="RK1667" s="106"/>
      <c r="RL1667" s="106"/>
    </row>
    <row r="1668" spans="48:480" x14ac:dyDescent="0.3">
      <c r="AV1668" s="103"/>
      <c r="CJ1668" s="103"/>
      <c r="FP1668" s="103"/>
      <c r="LL1668" s="103"/>
      <c r="NM1668" s="103"/>
      <c r="QT1668" s="106"/>
      <c r="QU1668" s="106"/>
      <c r="QV1668" s="106"/>
      <c r="QW1668" s="106"/>
      <c r="QX1668" s="106"/>
      <c r="QY1668" s="106"/>
      <c r="QZ1668" s="106"/>
      <c r="RA1668" s="106"/>
      <c r="RB1668" s="106"/>
      <c r="RC1668" s="106"/>
      <c r="RD1668" s="106"/>
      <c r="RE1668" s="106"/>
      <c r="RF1668" s="106"/>
      <c r="RG1668" s="106"/>
      <c r="RH1668" s="106"/>
      <c r="RI1668" s="106"/>
      <c r="RJ1668" s="106"/>
      <c r="RK1668" s="106"/>
      <c r="RL1668" s="106"/>
    </row>
    <row r="1669" spans="48:480" x14ac:dyDescent="0.3">
      <c r="AV1669" s="103"/>
      <c r="CJ1669" s="103"/>
      <c r="FP1669" s="103"/>
      <c r="LL1669" s="103"/>
      <c r="NM1669" s="103"/>
      <c r="QT1669" s="106"/>
      <c r="QU1669" s="106"/>
      <c r="QV1669" s="106"/>
      <c r="QW1669" s="106"/>
      <c r="QX1669" s="106"/>
      <c r="QY1669" s="106"/>
      <c r="QZ1669" s="106"/>
      <c r="RA1669" s="106"/>
      <c r="RB1669" s="106"/>
      <c r="RC1669" s="106"/>
      <c r="RD1669" s="106"/>
      <c r="RE1669" s="106"/>
      <c r="RF1669" s="106"/>
      <c r="RG1669" s="106"/>
      <c r="RH1669" s="106"/>
      <c r="RI1669" s="106"/>
      <c r="RJ1669" s="106"/>
      <c r="RK1669" s="106"/>
      <c r="RL1669" s="106"/>
    </row>
    <row r="1670" spans="48:480" x14ac:dyDescent="0.3">
      <c r="AV1670" s="103"/>
      <c r="CJ1670" s="103"/>
      <c r="FP1670" s="103"/>
      <c r="LL1670" s="103"/>
      <c r="NM1670" s="103"/>
      <c r="QT1670" s="106"/>
      <c r="QU1670" s="106"/>
      <c r="QV1670" s="106"/>
      <c r="QW1670" s="106"/>
      <c r="QX1670" s="106"/>
      <c r="QY1670" s="106"/>
      <c r="QZ1670" s="106"/>
      <c r="RA1670" s="106"/>
      <c r="RB1670" s="106"/>
      <c r="RC1670" s="106"/>
      <c r="RD1670" s="106"/>
      <c r="RE1670" s="106"/>
      <c r="RF1670" s="106"/>
      <c r="RG1670" s="106"/>
      <c r="RH1670" s="106"/>
      <c r="RI1670" s="106"/>
      <c r="RJ1670" s="106"/>
      <c r="RK1670" s="106"/>
      <c r="RL1670" s="106"/>
    </row>
    <row r="1671" spans="48:480" x14ac:dyDescent="0.3">
      <c r="AV1671" s="103"/>
      <c r="CJ1671" s="103"/>
      <c r="FP1671" s="103"/>
      <c r="LL1671" s="103"/>
      <c r="NM1671" s="103"/>
      <c r="QT1671" s="106"/>
      <c r="QU1671" s="106"/>
      <c r="QV1671" s="106"/>
      <c r="QW1671" s="106"/>
      <c r="QX1671" s="106"/>
      <c r="QY1671" s="106"/>
      <c r="QZ1671" s="106"/>
      <c r="RA1671" s="106"/>
      <c r="RB1671" s="106"/>
      <c r="RC1671" s="106"/>
      <c r="RD1671" s="106"/>
      <c r="RE1671" s="106"/>
      <c r="RF1671" s="106"/>
      <c r="RG1671" s="106"/>
      <c r="RH1671" s="106"/>
      <c r="RI1671" s="106"/>
      <c r="RJ1671" s="106"/>
      <c r="RK1671" s="106"/>
      <c r="RL1671" s="106"/>
    </row>
    <row r="1672" spans="48:480" x14ac:dyDescent="0.3">
      <c r="AV1672" s="103"/>
      <c r="CJ1672" s="103"/>
      <c r="FP1672" s="103"/>
      <c r="LL1672" s="103"/>
      <c r="NM1672" s="103"/>
      <c r="QT1672" s="106"/>
      <c r="QU1672" s="106"/>
      <c r="QV1672" s="106"/>
      <c r="QW1672" s="106"/>
      <c r="QX1672" s="106"/>
      <c r="QY1672" s="106"/>
      <c r="QZ1672" s="106"/>
      <c r="RA1672" s="106"/>
      <c r="RB1672" s="106"/>
      <c r="RC1672" s="106"/>
      <c r="RD1672" s="106"/>
      <c r="RE1672" s="106"/>
      <c r="RF1672" s="106"/>
      <c r="RG1672" s="106"/>
      <c r="RH1672" s="106"/>
      <c r="RI1672" s="106"/>
      <c r="RJ1672" s="106"/>
      <c r="RK1672" s="106"/>
      <c r="RL1672" s="106"/>
    </row>
    <row r="1673" spans="48:480" x14ac:dyDescent="0.3">
      <c r="AV1673" s="103"/>
      <c r="CJ1673" s="103"/>
      <c r="FP1673" s="103"/>
      <c r="LL1673" s="103"/>
      <c r="NM1673" s="103"/>
      <c r="QT1673" s="106"/>
      <c r="QU1673" s="106"/>
      <c r="QV1673" s="106"/>
      <c r="QW1673" s="106"/>
      <c r="QX1673" s="106"/>
      <c r="QY1673" s="106"/>
      <c r="QZ1673" s="106"/>
      <c r="RA1673" s="106"/>
      <c r="RB1673" s="106"/>
      <c r="RC1673" s="106"/>
      <c r="RD1673" s="106"/>
      <c r="RE1673" s="106"/>
      <c r="RF1673" s="106"/>
      <c r="RG1673" s="106"/>
      <c r="RH1673" s="106"/>
      <c r="RI1673" s="106"/>
      <c r="RJ1673" s="106"/>
      <c r="RK1673" s="106"/>
      <c r="RL1673" s="106"/>
    </row>
    <row r="1674" spans="48:480" x14ac:dyDescent="0.3">
      <c r="AV1674" s="103"/>
      <c r="CJ1674" s="103"/>
      <c r="FP1674" s="103"/>
      <c r="LL1674" s="103"/>
      <c r="NM1674" s="103"/>
      <c r="QT1674" s="106"/>
      <c r="QU1674" s="106"/>
      <c r="QV1674" s="106"/>
      <c r="QW1674" s="106"/>
      <c r="QX1674" s="106"/>
      <c r="QY1674" s="106"/>
      <c r="QZ1674" s="106"/>
      <c r="RA1674" s="106"/>
      <c r="RB1674" s="106"/>
      <c r="RC1674" s="106"/>
      <c r="RD1674" s="106"/>
      <c r="RE1674" s="106"/>
      <c r="RF1674" s="106"/>
      <c r="RG1674" s="106"/>
      <c r="RH1674" s="106"/>
      <c r="RI1674" s="106"/>
      <c r="RJ1674" s="106"/>
      <c r="RK1674" s="106"/>
      <c r="RL1674" s="106"/>
    </row>
    <row r="1675" spans="48:480" x14ac:dyDescent="0.3">
      <c r="AV1675" s="103"/>
      <c r="CJ1675" s="103"/>
      <c r="FP1675" s="103"/>
      <c r="LL1675" s="103"/>
      <c r="NM1675" s="103"/>
      <c r="QT1675" s="106"/>
      <c r="QU1675" s="106"/>
      <c r="QV1675" s="106"/>
      <c r="QW1675" s="106"/>
      <c r="QX1675" s="106"/>
      <c r="QY1675" s="106"/>
      <c r="QZ1675" s="106"/>
      <c r="RA1675" s="106"/>
      <c r="RB1675" s="106"/>
      <c r="RC1675" s="106"/>
      <c r="RD1675" s="106"/>
      <c r="RE1675" s="106"/>
      <c r="RF1675" s="106"/>
      <c r="RG1675" s="106"/>
      <c r="RH1675" s="106"/>
      <c r="RI1675" s="106"/>
      <c r="RJ1675" s="106"/>
      <c r="RK1675" s="106"/>
      <c r="RL1675" s="106"/>
    </row>
    <row r="1676" spans="48:480" x14ac:dyDescent="0.3">
      <c r="AV1676" s="103"/>
      <c r="CJ1676" s="103"/>
      <c r="FP1676" s="103"/>
      <c r="LL1676" s="103"/>
      <c r="NM1676" s="103"/>
      <c r="QT1676" s="106"/>
      <c r="QU1676" s="106"/>
      <c r="QV1676" s="106"/>
      <c r="QW1676" s="106"/>
      <c r="QX1676" s="106"/>
      <c r="QY1676" s="106"/>
      <c r="QZ1676" s="106"/>
      <c r="RA1676" s="106"/>
      <c r="RB1676" s="106"/>
      <c r="RC1676" s="106"/>
      <c r="RD1676" s="106"/>
      <c r="RE1676" s="106"/>
      <c r="RF1676" s="106"/>
      <c r="RG1676" s="106"/>
      <c r="RH1676" s="106"/>
      <c r="RI1676" s="106"/>
      <c r="RJ1676" s="106"/>
      <c r="RK1676" s="106"/>
      <c r="RL1676" s="106"/>
    </row>
    <row r="1677" spans="48:480" x14ac:dyDescent="0.3">
      <c r="AV1677" s="103"/>
      <c r="CJ1677" s="103"/>
      <c r="FP1677" s="103"/>
      <c r="LL1677" s="103"/>
      <c r="NM1677" s="103"/>
      <c r="QT1677" s="106"/>
      <c r="QU1677" s="106"/>
      <c r="QV1677" s="106"/>
      <c r="QW1677" s="106"/>
      <c r="QX1677" s="106"/>
      <c r="QY1677" s="106"/>
      <c r="QZ1677" s="106"/>
      <c r="RA1677" s="106"/>
      <c r="RB1677" s="106"/>
      <c r="RC1677" s="106"/>
      <c r="RD1677" s="106"/>
      <c r="RE1677" s="106"/>
      <c r="RF1677" s="106"/>
      <c r="RG1677" s="106"/>
      <c r="RH1677" s="106"/>
      <c r="RI1677" s="106"/>
      <c r="RJ1677" s="106"/>
      <c r="RK1677" s="106"/>
      <c r="RL1677" s="106"/>
    </row>
    <row r="1678" spans="48:480" x14ac:dyDescent="0.3">
      <c r="AV1678" s="103"/>
      <c r="CJ1678" s="103"/>
      <c r="FP1678" s="103"/>
      <c r="LL1678" s="103"/>
      <c r="NM1678" s="103"/>
      <c r="QT1678" s="106"/>
      <c r="QU1678" s="106"/>
      <c r="QV1678" s="106"/>
      <c r="QW1678" s="106"/>
      <c r="QX1678" s="106"/>
      <c r="QY1678" s="106"/>
      <c r="QZ1678" s="106"/>
      <c r="RA1678" s="106"/>
      <c r="RB1678" s="106"/>
      <c r="RC1678" s="106"/>
      <c r="RD1678" s="106"/>
      <c r="RE1678" s="106"/>
      <c r="RF1678" s="106"/>
      <c r="RG1678" s="106"/>
      <c r="RH1678" s="106"/>
      <c r="RI1678" s="106"/>
      <c r="RJ1678" s="106"/>
      <c r="RK1678" s="106"/>
      <c r="RL1678" s="106"/>
    </row>
    <row r="1679" spans="48:480" x14ac:dyDescent="0.3">
      <c r="AV1679" s="103"/>
      <c r="CJ1679" s="103"/>
      <c r="FP1679" s="103"/>
      <c r="LL1679" s="103"/>
      <c r="NM1679" s="103"/>
      <c r="QT1679" s="106"/>
      <c r="QU1679" s="106"/>
      <c r="QV1679" s="106"/>
      <c r="QW1679" s="106"/>
      <c r="QX1679" s="106"/>
      <c r="QY1679" s="106"/>
      <c r="QZ1679" s="106"/>
      <c r="RA1679" s="106"/>
      <c r="RB1679" s="106"/>
      <c r="RC1679" s="106"/>
      <c r="RD1679" s="106"/>
      <c r="RE1679" s="106"/>
      <c r="RF1679" s="106"/>
      <c r="RG1679" s="106"/>
      <c r="RH1679" s="106"/>
      <c r="RI1679" s="106"/>
      <c r="RJ1679" s="106"/>
      <c r="RK1679" s="106"/>
      <c r="RL1679" s="106"/>
    </row>
    <row r="1680" spans="48:480" x14ac:dyDescent="0.3">
      <c r="AV1680" s="103"/>
      <c r="CJ1680" s="103"/>
      <c r="FP1680" s="103"/>
      <c r="LL1680" s="103"/>
      <c r="NM1680" s="103"/>
      <c r="QT1680" s="106"/>
      <c r="QU1680" s="106"/>
      <c r="QV1680" s="106"/>
      <c r="QW1680" s="106"/>
      <c r="QX1680" s="106"/>
      <c r="QY1680" s="106"/>
      <c r="QZ1680" s="106"/>
      <c r="RA1680" s="106"/>
      <c r="RB1680" s="106"/>
      <c r="RC1680" s="106"/>
      <c r="RD1680" s="106"/>
      <c r="RE1680" s="106"/>
      <c r="RF1680" s="106"/>
      <c r="RG1680" s="106"/>
      <c r="RH1680" s="106"/>
      <c r="RI1680" s="106"/>
      <c r="RJ1680" s="106"/>
      <c r="RK1680" s="106"/>
      <c r="RL1680" s="106"/>
    </row>
    <row r="1681" spans="48:480" x14ac:dyDescent="0.3">
      <c r="AV1681" s="103"/>
      <c r="CJ1681" s="103"/>
      <c r="FP1681" s="103"/>
      <c r="LL1681" s="103"/>
      <c r="NM1681" s="103"/>
      <c r="QT1681" s="106"/>
      <c r="QU1681" s="106"/>
      <c r="QV1681" s="106"/>
      <c r="QW1681" s="106"/>
      <c r="QX1681" s="106"/>
      <c r="QY1681" s="106"/>
      <c r="QZ1681" s="106"/>
      <c r="RA1681" s="106"/>
      <c r="RB1681" s="106"/>
      <c r="RC1681" s="106"/>
      <c r="RD1681" s="106"/>
      <c r="RE1681" s="106"/>
      <c r="RF1681" s="106"/>
      <c r="RG1681" s="106"/>
      <c r="RH1681" s="106"/>
      <c r="RI1681" s="106"/>
      <c r="RJ1681" s="106"/>
      <c r="RK1681" s="106"/>
      <c r="RL1681" s="106"/>
    </row>
    <row r="1682" spans="48:480" x14ac:dyDescent="0.3">
      <c r="AV1682" s="103"/>
      <c r="CJ1682" s="103"/>
      <c r="FP1682" s="103"/>
      <c r="LL1682" s="103"/>
      <c r="NM1682" s="103"/>
      <c r="QT1682" s="106"/>
      <c r="QU1682" s="106"/>
      <c r="QV1682" s="106"/>
      <c r="QW1682" s="106"/>
      <c r="QX1682" s="106"/>
      <c r="QY1682" s="106"/>
      <c r="QZ1682" s="106"/>
      <c r="RA1682" s="106"/>
      <c r="RB1682" s="106"/>
      <c r="RC1682" s="106"/>
      <c r="RD1682" s="106"/>
      <c r="RE1682" s="106"/>
      <c r="RF1682" s="106"/>
      <c r="RG1682" s="106"/>
      <c r="RH1682" s="106"/>
      <c r="RI1682" s="106"/>
      <c r="RJ1682" s="106"/>
      <c r="RK1682" s="106"/>
      <c r="RL1682" s="106"/>
    </row>
    <row r="1683" spans="48:480" x14ac:dyDescent="0.3">
      <c r="AV1683" s="103"/>
      <c r="CJ1683" s="103"/>
      <c r="FP1683" s="103"/>
      <c r="LL1683" s="103"/>
      <c r="NM1683" s="103"/>
      <c r="QT1683" s="106"/>
      <c r="QU1683" s="106"/>
      <c r="QV1683" s="106"/>
      <c r="QW1683" s="106"/>
      <c r="QX1683" s="106"/>
      <c r="QY1683" s="106"/>
      <c r="QZ1683" s="106"/>
      <c r="RA1683" s="106"/>
      <c r="RB1683" s="106"/>
      <c r="RC1683" s="106"/>
      <c r="RD1683" s="106"/>
      <c r="RE1683" s="106"/>
      <c r="RF1683" s="106"/>
      <c r="RG1683" s="106"/>
      <c r="RH1683" s="106"/>
      <c r="RI1683" s="106"/>
      <c r="RJ1683" s="106"/>
      <c r="RK1683" s="106"/>
      <c r="RL1683" s="106"/>
    </row>
    <row r="1684" spans="48:480" x14ac:dyDescent="0.3">
      <c r="AV1684" s="103"/>
      <c r="CJ1684" s="103"/>
      <c r="FP1684" s="103"/>
      <c r="LL1684" s="103"/>
      <c r="NM1684" s="103"/>
      <c r="QT1684" s="106"/>
      <c r="QU1684" s="106"/>
      <c r="QV1684" s="106"/>
      <c r="QW1684" s="106"/>
      <c r="QX1684" s="106"/>
      <c r="QY1684" s="106"/>
      <c r="QZ1684" s="106"/>
      <c r="RA1684" s="106"/>
      <c r="RB1684" s="106"/>
      <c r="RC1684" s="106"/>
      <c r="RD1684" s="106"/>
      <c r="RE1684" s="106"/>
      <c r="RF1684" s="106"/>
      <c r="RG1684" s="106"/>
      <c r="RH1684" s="106"/>
      <c r="RI1684" s="106"/>
      <c r="RJ1684" s="106"/>
      <c r="RK1684" s="106"/>
      <c r="RL1684" s="106"/>
    </row>
    <row r="1685" spans="48:480" x14ac:dyDescent="0.3">
      <c r="AV1685" s="103"/>
      <c r="CJ1685" s="103"/>
      <c r="FP1685" s="103"/>
      <c r="LL1685" s="103"/>
      <c r="NM1685" s="103"/>
      <c r="QT1685" s="106"/>
      <c r="QU1685" s="106"/>
      <c r="QV1685" s="106"/>
      <c r="QW1685" s="106"/>
      <c r="QX1685" s="106"/>
      <c r="QY1685" s="106"/>
      <c r="QZ1685" s="106"/>
      <c r="RA1685" s="106"/>
      <c r="RB1685" s="106"/>
      <c r="RC1685" s="106"/>
      <c r="RD1685" s="106"/>
      <c r="RE1685" s="106"/>
      <c r="RF1685" s="106"/>
      <c r="RG1685" s="106"/>
      <c r="RH1685" s="106"/>
      <c r="RI1685" s="106"/>
      <c r="RJ1685" s="106"/>
      <c r="RK1685" s="106"/>
      <c r="RL1685" s="106"/>
    </row>
    <row r="1686" spans="48:480" x14ac:dyDescent="0.3">
      <c r="AV1686" s="103"/>
      <c r="CJ1686" s="103"/>
      <c r="FP1686" s="103"/>
      <c r="LL1686" s="103"/>
      <c r="NM1686" s="103"/>
      <c r="QT1686" s="106"/>
      <c r="QU1686" s="106"/>
      <c r="QV1686" s="106"/>
      <c r="QW1686" s="106"/>
      <c r="QX1686" s="106"/>
      <c r="QY1686" s="106"/>
      <c r="QZ1686" s="106"/>
      <c r="RA1686" s="106"/>
      <c r="RB1686" s="106"/>
      <c r="RC1686" s="106"/>
      <c r="RD1686" s="106"/>
      <c r="RE1686" s="106"/>
      <c r="RF1686" s="106"/>
      <c r="RG1686" s="106"/>
      <c r="RH1686" s="106"/>
      <c r="RI1686" s="106"/>
      <c r="RJ1686" s="106"/>
      <c r="RK1686" s="106"/>
      <c r="RL1686" s="106"/>
    </row>
    <row r="1687" spans="48:480" x14ac:dyDescent="0.3">
      <c r="AV1687" s="103"/>
      <c r="CJ1687" s="103"/>
      <c r="FP1687" s="103"/>
      <c r="LL1687" s="103"/>
      <c r="NM1687" s="103"/>
      <c r="QT1687" s="106"/>
      <c r="QU1687" s="106"/>
      <c r="QV1687" s="106"/>
      <c r="QW1687" s="106"/>
      <c r="QX1687" s="106"/>
      <c r="QY1687" s="106"/>
      <c r="QZ1687" s="106"/>
      <c r="RA1687" s="106"/>
      <c r="RB1687" s="106"/>
      <c r="RC1687" s="106"/>
      <c r="RD1687" s="106"/>
      <c r="RE1687" s="106"/>
      <c r="RF1687" s="106"/>
      <c r="RG1687" s="106"/>
      <c r="RH1687" s="106"/>
      <c r="RI1687" s="106"/>
      <c r="RJ1687" s="106"/>
      <c r="RK1687" s="106"/>
      <c r="RL1687" s="106"/>
    </row>
    <row r="1688" spans="48:480" x14ac:dyDescent="0.3">
      <c r="AV1688" s="103"/>
      <c r="CJ1688" s="103"/>
      <c r="FP1688" s="103"/>
      <c r="LL1688" s="103"/>
      <c r="NM1688" s="103"/>
      <c r="QT1688" s="106"/>
      <c r="QU1688" s="106"/>
      <c r="QV1688" s="106"/>
      <c r="QW1688" s="106"/>
      <c r="QX1688" s="106"/>
      <c r="QY1688" s="106"/>
      <c r="QZ1688" s="106"/>
      <c r="RA1688" s="106"/>
      <c r="RB1688" s="106"/>
      <c r="RC1688" s="106"/>
      <c r="RD1688" s="106"/>
      <c r="RE1688" s="106"/>
      <c r="RF1688" s="106"/>
      <c r="RG1688" s="106"/>
      <c r="RH1688" s="106"/>
      <c r="RI1688" s="106"/>
      <c r="RJ1688" s="106"/>
      <c r="RK1688" s="106"/>
      <c r="RL1688" s="106"/>
    </row>
    <row r="1689" spans="48:480" x14ac:dyDescent="0.3">
      <c r="AV1689" s="103"/>
      <c r="CJ1689" s="103"/>
      <c r="FP1689" s="103"/>
      <c r="LL1689" s="103"/>
      <c r="NM1689" s="103"/>
      <c r="QT1689" s="106"/>
      <c r="QU1689" s="106"/>
      <c r="QV1689" s="106"/>
      <c r="QW1689" s="106"/>
      <c r="QX1689" s="106"/>
      <c r="QY1689" s="106"/>
      <c r="QZ1689" s="106"/>
      <c r="RA1689" s="106"/>
      <c r="RB1689" s="106"/>
      <c r="RC1689" s="106"/>
      <c r="RD1689" s="106"/>
      <c r="RE1689" s="106"/>
      <c r="RF1689" s="106"/>
      <c r="RG1689" s="106"/>
      <c r="RH1689" s="106"/>
      <c r="RI1689" s="106"/>
      <c r="RJ1689" s="106"/>
      <c r="RK1689" s="106"/>
      <c r="RL1689" s="106"/>
    </row>
    <row r="1690" spans="48:480" x14ac:dyDescent="0.3">
      <c r="AV1690" s="103"/>
      <c r="CJ1690" s="103"/>
      <c r="FP1690" s="103"/>
      <c r="LL1690" s="103"/>
      <c r="NM1690" s="103"/>
      <c r="QT1690" s="106"/>
      <c r="QU1690" s="106"/>
      <c r="QV1690" s="106"/>
      <c r="QW1690" s="106"/>
      <c r="QX1690" s="106"/>
      <c r="QY1690" s="106"/>
      <c r="QZ1690" s="106"/>
      <c r="RA1690" s="106"/>
      <c r="RB1690" s="106"/>
      <c r="RC1690" s="106"/>
      <c r="RD1690" s="106"/>
      <c r="RE1690" s="106"/>
      <c r="RF1690" s="106"/>
      <c r="RG1690" s="106"/>
      <c r="RH1690" s="106"/>
      <c r="RI1690" s="106"/>
      <c r="RJ1690" s="106"/>
      <c r="RK1690" s="106"/>
      <c r="RL1690" s="106"/>
    </row>
    <row r="1691" spans="48:480" x14ac:dyDescent="0.3">
      <c r="AV1691" s="103"/>
      <c r="CJ1691" s="103"/>
      <c r="FP1691" s="103"/>
      <c r="LL1691" s="103"/>
      <c r="NM1691" s="103"/>
      <c r="QT1691" s="106"/>
      <c r="QU1691" s="106"/>
      <c r="QV1691" s="106"/>
      <c r="QW1691" s="106"/>
      <c r="QX1691" s="106"/>
      <c r="QY1691" s="106"/>
      <c r="QZ1691" s="106"/>
      <c r="RA1691" s="106"/>
      <c r="RB1691" s="106"/>
      <c r="RC1691" s="106"/>
      <c r="RD1691" s="106"/>
      <c r="RE1691" s="106"/>
      <c r="RF1691" s="106"/>
      <c r="RG1691" s="106"/>
      <c r="RH1691" s="106"/>
      <c r="RI1691" s="106"/>
      <c r="RJ1691" s="106"/>
      <c r="RK1691" s="106"/>
      <c r="RL1691" s="106"/>
    </row>
    <row r="1692" spans="48:480" x14ac:dyDescent="0.3">
      <c r="AV1692" s="103"/>
      <c r="CJ1692" s="103"/>
      <c r="FP1692" s="103"/>
      <c r="LL1692" s="103"/>
      <c r="NM1692" s="103"/>
      <c r="QT1692" s="106"/>
      <c r="QU1692" s="106"/>
      <c r="QV1692" s="106"/>
      <c r="QW1692" s="106"/>
      <c r="QX1692" s="106"/>
      <c r="QY1692" s="106"/>
      <c r="QZ1692" s="106"/>
      <c r="RA1692" s="106"/>
      <c r="RB1692" s="106"/>
      <c r="RC1692" s="106"/>
      <c r="RD1692" s="106"/>
      <c r="RE1692" s="106"/>
      <c r="RF1692" s="106"/>
      <c r="RG1692" s="106"/>
      <c r="RH1692" s="106"/>
      <c r="RI1692" s="106"/>
      <c r="RJ1692" s="106"/>
      <c r="RK1692" s="106"/>
      <c r="RL1692" s="106"/>
    </row>
    <row r="1693" spans="48:480" x14ac:dyDescent="0.3">
      <c r="AV1693" s="103"/>
      <c r="CJ1693" s="103"/>
      <c r="FP1693" s="103"/>
      <c r="LL1693" s="103"/>
      <c r="NM1693" s="103"/>
      <c r="QT1693" s="106"/>
      <c r="QU1693" s="106"/>
      <c r="QV1693" s="106"/>
      <c r="QW1693" s="106"/>
      <c r="QX1693" s="106"/>
      <c r="QY1693" s="106"/>
      <c r="QZ1693" s="106"/>
      <c r="RA1693" s="106"/>
      <c r="RB1693" s="106"/>
      <c r="RC1693" s="106"/>
      <c r="RD1693" s="106"/>
      <c r="RE1693" s="106"/>
      <c r="RF1693" s="106"/>
      <c r="RG1693" s="106"/>
      <c r="RH1693" s="106"/>
      <c r="RI1693" s="106"/>
      <c r="RJ1693" s="106"/>
      <c r="RK1693" s="106"/>
      <c r="RL1693" s="106"/>
    </row>
    <row r="1694" spans="48:480" x14ac:dyDescent="0.3">
      <c r="AV1694" s="103"/>
      <c r="CJ1694" s="103"/>
      <c r="FP1694" s="103"/>
      <c r="LL1694" s="103"/>
      <c r="NM1694" s="103"/>
      <c r="QT1694" s="106"/>
      <c r="QU1694" s="106"/>
      <c r="QV1694" s="106"/>
      <c r="QW1694" s="106"/>
      <c r="QX1694" s="106"/>
      <c r="QY1694" s="106"/>
      <c r="QZ1694" s="106"/>
      <c r="RA1694" s="106"/>
      <c r="RB1694" s="106"/>
      <c r="RC1694" s="106"/>
      <c r="RD1694" s="106"/>
      <c r="RE1694" s="106"/>
      <c r="RF1694" s="106"/>
      <c r="RG1694" s="106"/>
      <c r="RH1694" s="106"/>
      <c r="RI1694" s="106"/>
      <c r="RJ1694" s="106"/>
      <c r="RK1694" s="106"/>
      <c r="RL1694" s="106"/>
    </row>
    <row r="1695" spans="48:480" x14ac:dyDescent="0.3">
      <c r="AV1695" s="103"/>
      <c r="CJ1695" s="103"/>
      <c r="FP1695" s="103"/>
      <c r="LL1695" s="103"/>
      <c r="NM1695" s="103"/>
      <c r="QT1695" s="106"/>
      <c r="QU1695" s="106"/>
      <c r="QV1695" s="106"/>
      <c r="QW1695" s="106"/>
      <c r="QX1695" s="106"/>
      <c r="QY1695" s="106"/>
      <c r="QZ1695" s="106"/>
      <c r="RA1695" s="106"/>
      <c r="RB1695" s="106"/>
      <c r="RC1695" s="106"/>
      <c r="RD1695" s="106"/>
      <c r="RE1695" s="106"/>
      <c r="RF1695" s="106"/>
      <c r="RG1695" s="106"/>
      <c r="RH1695" s="106"/>
      <c r="RI1695" s="106"/>
      <c r="RJ1695" s="106"/>
      <c r="RK1695" s="106"/>
      <c r="RL1695" s="106"/>
    </row>
    <row r="1696" spans="48:480" x14ac:dyDescent="0.3">
      <c r="AV1696" s="103"/>
      <c r="CJ1696" s="103"/>
      <c r="FP1696" s="103"/>
      <c r="LL1696" s="103"/>
      <c r="NM1696" s="103"/>
      <c r="QT1696" s="106"/>
      <c r="QU1696" s="106"/>
      <c r="QV1696" s="106"/>
      <c r="QW1696" s="106"/>
      <c r="QX1696" s="106"/>
      <c r="QY1696" s="106"/>
      <c r="QZ1696" s="106"/>
      <c r="RA1696" s="106"/>
      <c r="RB1696" s="106"/>
      <c r="RC1696" s="106"/>
      <c r="RD1696" s="106"/>
      <c r="RE1696" s="106"/>
      <c r="RF1696" s="106"/>
      <c r="RG1696" s="106"/>
      <c r="RH1696" s="106"/>
      <c r="RI1696" s="106"/>
      <c r="RJ1696" s="106"/>
      <c r="RK1696" s="106"/>
      <c r="RL1696" s="106"/>
    </row>
    <row r="1697" spans="48:480" x14ac:dyDescent="0.3">
      <c r="AV1697" s="103"/>
      <c r="CJ1697" s="103"/>
      <c r="FP1697" s="103"/>
      <c r="LL1697" s="103"/>
      <c r="NM1697" s="103"/>
      <c r="QT1697" s="106"/>
      <c r="QU1697" s="106"/>
      <c r="QV1697" s="106"/>
      <c r="QW1697" s="106"/>
      <c r="QX1697" s="106"/>
      <c r="QY1697" s="106"/>
      <c r="QZ1697" s="106"/>
      <c r="RA1697" s="106"/>
      <c r="RB1697" s="106"/>
      <c r="RC1697" s="106"/>
      <c r="RD1697" s="106"/>
      <c r="RE1697" s="106"/>
      <c r="RF1697" s="106"/>
      <c r="RG1697" s="106"/>
      <c r="RH1697" s="106"/>
      <c r="RI1697" s="106"/>
      <c r="RJ1697" s="106"/>
      <c r="RK1697" s="106"/>
      <c r="RL1697" s="106"/>
    </row>
    <row r="1698" spans="48:480" x14ac:dyDescent="0.3">
      <c r="AV1698" s="103"/>
      <c r="CJ1698" s="103"/>
      <c r="FP1698" s="103"/>
      <c r="LL1698" s="103"/>
      <c r="NM1698" s="103"/>
      <c r="QT1698" s="106"/>
      <c r="QU1698" s="106"/>
      <c r="QV1698" s="106"/>
      <c r="QW1698" s="106"/>
      <c r="QX1698" s="106"/>
      <c r="QY1698" s="106"/>
      <c r="QZ1698" s="106"/>
      <c r="RA1698" s="106"/>
      <c r="RB1698" s="106"/>
      <c r="RC1698" s="106"/>
      <c r="RD1698" s="106"/>
      <c r="RE1698" s="106"/>
      <c r="RF1698" s="106"/>
      <c r="RG1698" s="106"/>
      <c r="RH1698" s="106"/>
      <c r="RI1698" s="106"/>
      <c r="RJ1698" s="106"/>
      <c r="RK1698" s="106"/>
      <c r="RL1698" s="106"/>
    </row>
    <row r="1699" spans="48:480" x14ac:dyDescent="0.3">
      <c r="AV1699" s="103"/>
      <c r="CJ1699" s="103"/>
      <c r="FP1699" s="103"/>
      <c r="LL1699" s="103"/>
      <c r="NM1699" s="103"/>
      <c r="QT1699" s="106"/>
      <c r="QU1699" s="106"/>
      <c r="QV1699" s="106"/>
      <c r="QW1699" s="106"/>
      <c r="QX1699" s="106"/>
      <c r="QY1699" s="106"/>
      <c r="QZ1699" s="106"/>
      <c r="RA1699" s="106"/>
      <c r="RB1699" s="106"/>
      <c r="RC1699" s="106"/>
      <c r="RD1699" s="106"/>
      <c r="RE1699" s="106"/>
      <c r="RF1699" s="106"/>
      <c r="RG1699" s="106"/>
      <c r="RH1699" s="106"/>
      <c r="RI1699" s="106"/>
      <c r="RJ1699" s="106"/>
      <c r="RK1699" s="106"/>
      <c r="RL1699" s="106"/>
    </row>
    <row r="1700" spans="48:480" x14ac:dyDescent="0.3">
      <c r="AV1700" s="103"/>
      <c r="CJ1700" s="103"/>
      <c r="FP1700" s="103"/>
      <c r="LL1700" s="103"/>
      <c r="NM1700" s="103"/>
      <c r="QT1700" s="106"/>
      <c r="QU1700" s="106"/>
      <c r="QV1700" s="106"/>
      <c r="QW1700" s="106"/>
      <c r="QX1700" s="106"/>
      <c r="QY1700" s="106"/>
      <c r="QZ1700" s="106"/>
      <c r="RA1700" s="106"/>
      <c r="RB1700" s="106"/>
      <c r="RC1700" s="106"/>
      <c r="RD1700" s="106"/>
      <c r="RE1700" s="106"/>
      <c r="RF1700" s="106"/>
      <c r="RG1700" s="106"/>
      <c r="RH1700" s="106"/>
      <c r="RI1700" s="106"/>
      <c r="RJ1700" s="106"/>
      <c r="RK1700" s="106"/>
      <c r="RL1700" s="106"/>
    </row>
    <row r="1701" spans="48:480" x14ac:dyDescent="0.3">
      <c r="AV1701" s="103"/>
      <c r="CJ1701" s="103"/>
      <c r="FP1701" s="103"/>
      <c r="LL1701" s="103"/>
      <c r="NM1701" s="103"/>
      <c r="QT1701" s="106"/>
      <c r="QU1701" s="106"/>
      <c r="QV1701" s="106"/>
      <c r="QW1701" s="106"/>
      <c r="QX1701" s="106"/>
      <c r="QY1701" s="106"/>
      <c r="QZ1701" s="106"/>
      <c r="RA1701" s="106"/>
      <c r="RB1701" s="106"/>
      <c r="RC1701" s="106"/>
      <c r="RD1701" s="106"/>
      <c r="RE1701" s="106"/>
      <c r="RF1701" s="106"/>
      <c r="RG1701" s="106"/>
      <c r="RH1701" s="106"/>
      <c r="RI1701" s="106"/>
      <c r="RJ1701" s="106"/>
      <c r="RK1701" s="106"/>
      <c r="RL1701" s="106"/>
    </row>
    <row r="1702" spans="48:480" x14ac:dyDescent="0.3">
      <c r="AV1702" s="103"/>
      <c r="CJ1702" s="103"/>
      <c r="FP1702" s="103"/>
      <c r="LL1702" s="103"/>
      <c r="NM1702" s="103"/>
      <c r="QT1702" s="106"/>
      <c r="QU1702" s="106"/>
      <c r="QV1702" s="106"/>
      <c r="QW1702" s="106"/>
      <c r="QX1702" s="106"/>
      <c r="QY1702" s="106"/>
      <c r="QZ1702" s="106"/>
      <c r="RA1702" s="106"/>
      <c r="RB1702" s="106"/>
      <c r="RC1702" s="106"/>
      <c r="RD1702" s="106"/>
      <c r="RE1702" s="106"/>
      <c r="RF1702" s="106"/>
      <c r="RG1702" s="106"/>
      <c r="RH1702" s="106"/>
      <c r="RI1702" s="106"/>
      <c r="RJ1702" s="106"/>
      <c r="RK1702" s="106"/>
      <c r="RL1702" s="106"/>
    </row>
    <row r="1703" spans="48:480" x14ac:dyDescent="0.3">
      <c r="AV1703" s="103"/>
      <c r="CJ1703" s="103"/>
      <c r="FP1703" s="103"/>
      <c r="LL1703" s="103"/>
      <c r="NM1703" s="103"/>
      <c r="QT1703" s="106"/>
      <c r="QU1703" s="106"/>
      <c r="QV1703" s="106"/>
      <c r="QW1703" s="106"/>
      <c r="QX1703" s="106"/>
      <c r="QY1703" s="106"/>
      <c r="QZ1703" s="106"/>
      <c r="RA1703" s="106"/>
      <c r="RB1703" s="106"/>
      <c r="RC1703" s="106"/>
      <c r="RD1703" s="106"/>
      <c r="RE1703" s="106"/>
      <c r="RF1703" s="106"/>
      <c r="RG1703" s="106"/>
      <c r="RH1703" s="106"/>
      <c r="RI1703" s="106"/>
      <c r="RJ1703" s="106"/>
      <c r="RK1703" s="106"/>
      <c r="RL1703" s="106"/>
    </row>
    <row r="1704" spans="48:480" x14ac:dyDescent="0.3">
      <c r="AV1704" s="103"/>
      <c r="CJ1704" s="103"/>
      <c r="FP1704" s="103"/>
      <c r="LL1704" s="103"/>
      <c r="NM1704" s="103"/>
      <c r="QT1704" s="106"/>
      <c r="QU1704" s="106"/>
      <c r="QV1704" s="106"/>
      <c r="QW1704" s="106"/>
      <c r="QX1704" s="106"/>
      <c r="QY1704" s="106"/>
      <c r="QZ1704" s="106"/>
      <c r="RA1704" s="106"/>
      <c r="RB1704" s="106"/>
      <c r="RC1704" s="106"/>
      <c r="RD1704" s="106"/>
      <c r="RE1704" s="106"/>
      <c r="RF1704" s="106"/>
      <c r="RG1704" s="106"/>
      <c r="RH1704" s="106"/>
      <c r="RI1704" s="106"/>
      <c r="RJ1704" s="106"/>
      <c r="RK1704" s="106"/>
      <c r="RL1704" s="106"/>
    </row>
    <row r="1705" spans="48:480" x14ac:dyDescent="0.3">
      <c r="AV1705" s="103"/>
      <c r="CJ1705" s="103"/>
      <c r="FP1705" s="103"/>
      <c r="LL1705" s="103"/>
      <c r="NM1705" s="103"/>
      <c r="QT1705" s="106"/>
      <c r="QU1705" s="106"/>
      <c r="QV1705" s="106"/>
      <c r="QW1705" s="106"/>
      <c r="QX1705" s="106"/>
      <c r="QY1705" s="106"/>
      <c r="QZ1705" s="106"/>
      <c r="RA1705" s="106"/>
      <c r="RB1705" s="106"/>
      <c r="RC1705" s="106"/>
      <c r="RD1705" s="106"/>
      <c r="RE1705" s="106"/>
      <c r="RF1705" s="106"/>
      <c r="RG1705" s="106"/>
      <c r="RH1705" s="106"/>
      <c r="RI1705" s="106"/>
      <c r="RJ1705" s="106"/>
      <c r="RK1705" s="106"/>
      <c r="RL1705" s="106"/>
    </row>
    <row r="1706" spans="48:480" x14ac:dyDescent="0.3">
      <c r="AV1706" s="103"/>
      <c r="CJ1706" s="103"/>
      <c r="FP1706" s="103"/>
      <c r="LL1706" s="103"/>
      <c r="NM1706" s="103"/>
      <c r="QT1706" s="106"/>
      <c r="QU1706" s="106"/>
      <c r="QV1706" s="106"/>
      <c r="QW1706" s="106"/>
      <c r="QX1706" s="106"/>
      <c r="QY1706" s="106"/>
      <c r="QZ1706" s="106"/>
      <c r="RA1706" s="106"/>
      <c r="RB1706" s="106"/>
      <c r="RC1706" s="106"/>
      <c r="RD1706" s="106"/>
      <c r="RE1706" s="106"/>
      <c r="RF1706" s="106"/>
      <c r="RG1706" s="106"/>
      <c r="RH1706" s="106"/>
      <c r="RI1706" s="106"/>
      <c r="RJ1706" s="106"/>
      <c r="RK1706" s="106"/>
      <c r="RL1706" s="106"/>
    </row>
    <row r="1707" spans="48:480" x14ac:dyDescent="0.3">
      <c r="AV1707" s="103"/>
      <c r="CJ1707" s="103"/>
      <c r="FP1707" s="103"/>
      <c r="LL1707" s="103"/>
      <c r="NM1707" s="103"/>
      <c r="QT1707" s="106"/>
      <c r="QU1707" s="106"/>
      <c r="QV1707" s="106"/>
      <c r="QW1707" s="106"/>
      <c r="QX1707" s="106"/>
      <c r="QY1707" s="106"/>
      <c r="QZ1707" s="106"/>
      <c r="RA1707" s="106"/>
      <c r="RB1707" s="106"/>
      <c r="RC1707" s="106"/>
      <c r="RD1707" s="106"/>
      <c r="RE1707" s="106"/>
      <c r="RF1707" s="106"/>
      <c r="RG1707" s="106"/>
      <c r="RH1707" s="106"/>
      <c r="RI1707" s="106"/>
      <c r="RJ1707" s="106"/>
      <c r="RK1707" s="106"/>
      <c r="RL1707" s="106"/>
    </row>
    <row r="1708" spans="48:480" x14ac:dyDescent="0.3">
      <c r="AV1708" s="103"/>
      <c r="CJ1708" s="103"/>
      <c r="FP1708" s="103"/>
      <c r="LL1708" s="103"/>
      <c r="NM1708" s="103"/>
      <c r="QT1708" s="106"/>
      <c r="QU1708" s="106"/>
      <c r="QV1708" s="106"/>
      <c r="QW1708" s="106"/>
      <c r="QX1708" s="106"/>
      <c r="QY1708" s="106"/>
      <c r="QZ1708" s="106"/>
      <c r="RA1708" s="106"/>
      <c r="RB1708" s="106"/>
      <c r="RC1708" s="106"/>
      <c r="RD1708" s="106"/>
      <c r="RE1708" s="106"/>
      <c r="RF1708" s="106"/>
      <c r="RG1708" s="106"/>
      <c r="RH1708" s="106"/>
      <c r="RI1708" s="106"/>
      <c r="RJ1708" s="106"/>
      <c r="RK1708" s="106"/>
      <c r="RL1708" s="106"/>
    </row>
    <row r="1709" spans="48:480" x14ac:dyDescent="0.3">
      <c r="AV1709" s="103"/>
      <c r="CJ1709" s="103"/>
      <c r="FP1709" s="103"/>
      <c r="LL1709" s="103"/>
      <c r="NM1709" s="103"/>
      <c r="QT1709" s="106"/>
      <c r="QU1709" s="106"/>
      <c r="QV1709" s="106"/>
      <c r="QW1709" s="106"/>
      <c r="QX1709" s="106"/>
      <c r="QY1709" s="106"/>
      <c r="QZ1709" s="106"/>
      <c r="RA1709" s="106"/>
      <c r="RB1709" s="106"/>
      <c r="RC1709" s="106"/>
      <c r="RD1709" s="106"/>
      <c r="RE1709" s="106"/>
      <c r="RF1709" s="106"/>
      <c r="RG1709" s="106"/>
      <c r="RH1709" s="106"/>
      <c r="RI1709" s="106"/>
      <c r="RJ1709" s="106"/>
      <c r="RK1709" s="106"/>
      <c r="RL1709" s="106"/>
    </row>
    <row r="1710" spans="48:480" x14ac:dyDescent="0.3">
      <c r="AV1710" s="103"/>
      <c r="CJ1710" s="103"/>
      <c r="FP1710" s="103"/>
      <c r="LL1710" s="103"/>
      <c r="NM1710" s="103"/>
      <c r="QT1710" s="106"/>
      <c r="QU1710" s="106"/>
      <c r="QV1710" s="106"/>
      <c r="QW1710" s="106"/>
      <c r="QX1710" s="106"/>
      <c r="QY1710" s="106"/>
      <c r="QZ1710" s="106"/>
      <c r="RA1710" s="106"/>
      <c r="RB1710" s="106"/>
      <c r="RC1710" s="106"/>
      <c r="RD1710" s="106"/>
      <c r="RE1710" s="106"/>
      <c r="RF1710" s="106"/>
      <c r="RG1710" s="106"/>
      <c r="RH1710" s="106"/>
      <c r="RI1710" s="106"/>
      <c r="RJ1710" s="106"/>
      <c r="RK1710" s="106"/>
      <c r="RL1710" s="106"/>
    </row>
    <row r="1711" spans="48:480" x14ac:dyDescent="0.3">
      <c r="AV1711" s="103"/>
      <c r="CJ1711" s="103"/>
      <c r="FP1711" s="103"/>
      <c r="LL1711" s="103"/>
      <c r="NM1711" s="103"/>
      <c r="QT1711" s="106"/>
      <c r="QU1711" s="106"/>
      <c r="QV1711" s="106"/>
      <c r="QW1711" s="106"/>
      <c r="QX1711" s="106"/>
      <c r="QY1711" s="106"/>
      <c r="QZ1711" s="106"/>
      <c r="RA1711" s="106"/>
      <c r="RB1711" s="106"/>
      <c r="RC1711" s="106"/>
      <c r="RD1711" s="106"/>
      <c r="RE1711" s="106"/>
      <c r="RF1711" s="106"/>
      <c r="RG1711" s="106"/>
      <c r="RH1711" s="106"/>
      <c r="RI1711" s="106"/>
      <c r="RJ1711" s="106"/>
      <c r="RK1711" s="106"/>
      <c r="RL1711" s="106"/>
    </row>
    <row r="1712" spans="48:480" x14ac:dyDescent="0.3">
      <c r="AV1712" s="103"/>
      <c r="CJ1712" s="103"/>
      <c r="FP1712" s="103"/>
      <c r="LL1712" s="103"/>
      <c r="NM1712" s="103"/>
      <c r="QT1712" s="106"/>
      <c r="QU1712" s="106"/>
      <c r="QV1712" s="106"/>
      <c r="QW1712" s="106"/>
      <c r="QX1712" s="106"/>
      <c r="QY1712" s="106"/>
      <c r="QZ1712" s="106"/>
      <c r="RA1712" s="106"/>
      <c r="RB1712" s="106"/>
      <c r="RC1712" s="106"/>
      <c r="RD1712" s="106"/>
      <c r="RE1712" s="106"/>
      <c r="RF1712" s="106"/>
      <c r="RG1712" s="106"/>
      <c r="RH1712" s="106"/>
      <c r="RI1712" s="106"/>
      <c r="RJ1712" s="106"/>
      <c r="RK1712" s="106"/>
      <c r="RL1712" s="106"/>
    </row>
    <row r="1713" spans="48:480" x14ac:dyDescent="0.3">
      <c r="AV1713" s="103"/>
      <c r="CJ1713" s="103"/>
      <c r="FP1713" s="103"/>
      <c r="LL1713" s="103"/>
      <c r="NM1713" s="103"/>
      <c r="QT1713" s="106"/>
      <c r="QU1713" s="106"/>
      <c r="QV1713" s="106"/>
      <c r="QW1713" s="106"/>
      <c r="QX1713" s="106"/>
      <c r="QY1713" s="106"/>
      <c r="QZ1713" s="106"/>
      <c r="RA1713" s="106"/>
      <c r="RB1713" s="106"/>
      <c r="RC1713" s="106"/>
      <c r="RD1713" s="106"/>
      <c r="RE1713" s="106"/>
      <c r="RF1713" s="106"/>
      <c r="RG1713" s="106"/>
      <c r="RH1713" s="106"/>
      <c r="RI1713" s="106"/>
      <c r="RJ1713" s="106"/>
      <c r="RK1713" s="106"/>
      <c r="RL1713" s="106"/>
    </row>
    <row r="1714" spans="48:480" x14ac:dyDescent="0.3">
      <c r="AV1714" s="103"/>
      <c r="CJ1714" s="103"/>
      <c r="FP1714" s="103"/>
      <c r="LL1714" s="103"/>
      <c r="NM1714" s="103"/>
      <c r="QT1714" s="106"/>
      <c r="QU1714" s="106"/>
      <c r="QV1714" s="106"/>
      <c r="QW1714" s="106"/>
      <c r="QX1714" s="106"/>
      <c r="QY1714" s="106"/>
      <c r="QZ1714" s="106"/>
      <c r="RA1714" s="106"/>
      <c r="RB1714" s="106"/>
      <c r="RC1714" s="106"/>
      <c r="RD1714" s="106"/>
      <c r="RE1714" s="106"/>
      <c r="RF1714" s="106"/>
      <c r="RG1714" s="106"/>
      <c r="RH1714" s="106"/>
      <c r="RI1714" s="106"/>
      <c r="RJ1714" s="106"/>
      <c r="RK1714" s="106"/>
      <c r="RL1714" s="106"/>
    </row>
    <row r="1715" spans="48:480" x14ac:dyDescent="0.3">
      <c r="AV1715" s="103"/>
      <c r="CJ1715" s="103"/>
      <c r="FP1715" s="103"/>
      <c r="LL1715" s="103"/>
      <c r="NM1715" s="103"/>
      <c r="QT1715" s="106"/>
      <c r="QU1715" s="106"/>
      <c r="QV1715" s="106"/>
      <c r="QW1715" s="106"/>
      <c r="QX1715" s="106"/>
      <c r="QY1715" s="106"/>
      <c r="QZ1715" s="106"/>
      <c r="RA1715" s="106"/>
      <c r="RB1715" s="106"/>
      <c r="RC1715" s="106"/>
      <c r="RD1715" s="106"/>
      <c r="RE1715" s="106"/>
      <c r="RF1715" s="106"/>
      <c r="RG1715" s="106"/>
      <c r="RH1715" s="106"/>
      <c r="RI1715" s="106"/>
      <c r="RJ1715" s="106"/>
      <c r="RK1715" s="106"/>
      <c r="RL1715" s="106"/>
    </row>
    <row r="1716" spans="48:480" x14ac:dyDescent="0.3">
      <c r="AV1716" s="103"/>
      <c r="CJ1716" s="103"/>
      <c r="FP1716" s="103"/>
      <c r="LL1716" s="103"/>
      <c r="NM1716" s="103"/>
      <c r="QT1716" s="106"/>
      <c r="QU1716" s="106"/>
      <c r="QV1716" s="106"/>
      <c r="QW1716" s="106"/>
      <c r="QX1716" s="106"/>
      <c r="QY1716" s="106"/>
      <c r="QZ1716" s="106"/>
      <c r="RA1716" s="106"/>
      <c r="RB1716" s="106"/>
      <c r="RC1716" s="106"/>
      <c r="RD1716" s="106"/>
      <c r="RE1716" s="106"/>
      <c r="RF1716" s="106"/>
      <c r="RG1716" s="106"/>
      <c r="RH1716" s="106"/>
      <c r="RI1716" s="106"/>
      <c r="RJ1716" s="106"/>
      <c r="RK1716" s="106"/>
      <c r="RL1716" s="106"/>
    </row>
    <row r="1717" spans="48:480" x14ac:dyDescent="0.3">
      <c r="AV1717" s="103"/>
      <c r="CJ1717" s="103"/>
      <c r="FP1717" s="103"/>
      <c r="LL1717" s="103"/>
      <c r="NM1717" s="103"/>
      <c r="QT1717" s="106"/>
      <c r="QU1717" s="106"/>
      <c r="QV1717" s="106"/>
      <c r="QW1717" s="106"/>
      <c r="QX1717" s="106"/>
      <c r="QY1717" s="106"/>
      <c r="QZ1717" s="106"/>
      <c r="RA1717" s="106"/>
      <c r="RB1717" s="106"/>
      <c r="RC1717" s="106"/>
      <c r="RD1717" s="106"/>
      <c r="RE1717" s="106"/>
      <c r="RF1717" s="106"/>
      <c r="RG1717" s="106"/>
      <c r="RH1717" s="106"/>
      <c r="RI1717" s="106"/>
      <c r="RJ1717" s="106"/>
      <c r="RK1717" s="106"/>
      <c r="RL1717" s="106"/>
    </row>
    <row r="1718" spans="48:480" x14ac:dyDescent="0.3">
      <c r="AV1718" s="103"/>
      <c r="CJ1718" s="103"/>
      <c r="FP1718" s="103"/>
      <c r="LL1718" s="103"/>
      <c r="NM1718" s="103"/>
      <c r="QT1718" s="106"/>
      <c r="QU1718" s="106"/>
      <c r="QV1718" s="106"/>
      <c r="QW1718" s="106"/>
      <c r="QX1718" s="106"/>
      <c r="QY1718" s="106"/>
      <c r="QZ1718" s="106"/>
      <c r="RA1718" s="106"/>
      <c r="RB1718" s="106"/>
      <c r="RC1718" s="106"/>
      <c r="RD1718" s="106"/>
      <c r="RE1718" s="106"/>
      <c r="RF1718" s="106"/>
      <c r="RG1718" s="106"/>
      <c r="RH1718" s="106"/>
      <c r="RI1718" s="106"/>
      <c r="RJ1718" s="106"/>
      <c r="RK1718" s="106"/>
      <c r="RL1718" s="106"/>
    </row>
    <row r="1719" spans="48:480" x14ac:dyDescent="0.3">
      <c r="AV1719" s="103"/>
      <c r="CJ1719" s="103"/>
      <c r="FP1719" s="103"/>
      <c r="LL1719" s="103"/>
      <c r="NM1719" s="103"/>
      <c r="QT1719" s="106"/>
      <c r="QU1719" s="106"/>
      <c r="QV1719" s="106"/>
      <c r="QW1719" s="106"/>
      <c r="QX1719" s="106"/>
      <c r="QY1719" s="106"/>
      <c r="QZ1719" s="106"/>
      <c r="RA1719" s="106"/>
      <c r="RB1719" s="106"/>
      <c r="RC1719" s="106"/>
      <c r="RD1719" s="106"/>
      <c r="RE1719" s="106"/>
      <c r="RF1719" s="106"/>
      <c r="RG1719" s="106"/>
      <c r="RH1719" s="106"/>
      <c r="RI1719" s="106"/>
      <c r="RJ1719" s="106"/>
      <c r="RK1719" s="106"/>
      <c r="RL1719" s="106"/>
    </row>
    <row r="1720" spans="48:480" x14ac:dyDescent="0.3">
      <c r="AV1720" s="103"/>
      <c r="CJ1720" s="103"/>
      <c r="FP1720" s="103"/>
      <c r="LL1720" s="103"/>
      <c r="NM1720" s="103"/>
      <c r="QT1720" s="106"/>
      <c r="QU1720" s="106"/>
      <c r="QV1720" s="106"/>
      <c r="QW1720" s="106"/>
      <c r="QX1720" s="106"/>
      <c r="QY1720" s="106"/>
      <c r="QZ1720" s="106"/>
      <c r="RA1720" s="106"/>
      <c r="RB1720" s="106"/>
      <c r="RC1720" s="106"/>
      <c r="RD1720" s="106"/>
      <c r="RE1720" s="106"/>
      <c r="RF1720" s="106"/>
      <c r="RG1720" s="106"/>
      <c r="RH1720" s="106"/>
      <c r="RI1720" s="106"/>
      <c r="RJ1720" s="106"/>
      <c r="RK1720" s="106"/>
      <c r="RL1720" s="106"/>
    </row>
    <row r="1721" spans="48:480" x14ac:dyDescent="0.3">
      <c r="AV1721" s="103"/>
      <c r="CJ1721" s="103"/>
      <c r="FP1721" s="103"/>
      <c r="LL1721" s="103"/>
      <c r="NM1721" s="103"/>
      <c r="QT1721" s="106"/>
      <c r="QU1721" s="106"/>
      <c r="QV1721" s="106"/>
      <c r="QW1721" s="106"/>
      <c r="QX1721" s="106"/>
      <c r="QY1721" s="106"/>
      <c r="QZ1721" s="106"/>
      <c r="RA1721" s="106"/>
      <c r="RB1721" s="106"/>
      <c r="RC1721" s="106"/>
      <c r="RD1721" s="106"/>
      <c r="RE1721" s="106"/>
      <c r="RF1721" s="106"/>
      <c r="RG1721" s="106"/>
      <c r="RH1721" s="106"/>
      <c r="RI1721" s="106"/>
      <c r="RJ1721" s="106"/>
      <c r="RK1721" s="106"/>
      <c r="RL1721" s="106"/>
    </row>
    <row r="1722" spans="48:480" x14ac:dyDescent="0.3">
      <c r="AV1722" s="103"/>
      <c r="CJ1722" s="103"/>
      <c r="FP1722" s="103"/>
      <c r="LL1722" s="103"/>
      <c r="NM1722" s="103"/>
      <c r="QT1722" s="106"/>
      <c r="QU1722" s="106"/>
      <c r="QV1722" s="106"/>
      <c r="QW1722" s="106"/>
      <c r="QX1722" s="106"/>
      <c r="QY1722" s="106"/>
      <c r="QZ1722" s="106"/>
      <c r="RA1722" s="106"/>
      <c r="RB1722" s="106"/>
      <c r="RC1722" s="106"/>
      <c r="RD1722" s="106"/>
      <c r="RE1722" s="106"/>
      <c r="RF1722" s="106"/>
      <c r="RG1722" s="106"/>
      <c r="RH1722" s="106"/>
      <c r="RI1722" s="106"/>
      <c r="RJ1722" s="106"/>
      <c r="RK1722" s="106"/>
      <c r="RL1722" s="106"/>
    </row>
    <row r="1723" spans="48:480" x14ac:dyDescent="0.3">
      <c r="AV1723" s="103"/>
      <c r="CJ1723" s="103"/>
      <c r="FP1723" s="103"/>
      <c r="LL1723" s="103"/>
      <c r="NM1723" s="103"/>
      <c r="QT1723" s="106"/>
      <c r="QU1723" s="106"/>
      <c r="QV1723" s="106"/>
      <c r="QW1723" s="106"/>
      <c r="QX1723" s="106"/>
      <c r="QY1723" s="106"/>
      <c r="QZ1723" s="106"/>
      <c r="RA1723" s="106"/>
      <c r="RB1723" s="106"/>
      <c r="RC1723" s="106"/>
      <c r="RD1723" s="106"/>
      <c r="RE1723" s="106"/>
      <c r="RF1723" s="106"/>
      <c r="RG1723" s="106"/>
      <c r="RH1723" s="106"/>
      <c r="RI1723" s="106"/>
      <c r="RJ1723" s="106"/>
      <c r="RK1723" s="106"/>
      <c r="RL1723" s="106"/>
    </row>
    <row r="1724" spans="48:480" x14ac:dyDescent="0.3">
      <c r="AV1724" s="103"/>
      <c r="CJ1724" s="103"/>
      <c r="FP1724" s="103"/>
      <c r="LL1724" s="103"/>
      <c r="NM1724" s="103"/>
      <c r="QT1724" s="106"/>
      <c r="QU1724" s="106"/>
      <c r="QV1724" s="106"/>
      <c r="QW1724" s="106"/>
      <c r="QX1724" s="106"/>
      <c r="QY1724" s="106"/>
      <c r="QZ1724" s="106"/>
      <c r="RA1724" s="106"/>
      <c r="RB1724" s="106"/>
      <c r="RC1724" s="106"/>
      <c r="RD1724" s="106"/>
      <c r="RE1724" s="106"/>
      <c r="RF1724" s="106"/>
      <c r="RG1724" s="106"/>
      <c r="RH1724" s="106"/>
      <c r="RI1724" s="106"/>
      <c r="RJ1724" s="106"/>
      <c r="RK1724" s="106"/>
      <c r="RL1724" s="106"/>
    </row>
    <row r="1725" spans="48:480" x14ac:dyDescent="0.3">
      <c r="AV1725" s="103"/>
      <c r="CJ1725" s="103"/>
      <c r="FP1725" s="103"/>
      <c r="LL1725" s="103"/>
      <c r="NM1725" s="103"/>
      <c r="QT1725" s="106"/>
      <c r="QU1725" s="106"/>
      <c r="QV1725" s="106"/>
      <c r="QW1725" s="106"/>
      <c r="QX1725" s="106"/>
      <c r="QY1725" s="106"/>
      <c r="QZ1725" s="106"/>
      <c r="RA1725" s="106"/>
      <c r="RB1725" s="106"/>
      <c r="RC1725" s="106"/>
      <c r="RD1725" s="106"/>
      <c r="RE1725" s="106"/>
      <c r="RF1725" s="106"/>
      <c r="RG1725" s="106"/>
      <c r="RH1725" s="106"/>
      <c r="RI1725" s="106"/>
      <c r="RJ1725" s="106"/>
      <c r="RK1725" s="106"/>
      <c r="RL1725" s="106"/>
    </row>
    <row r="1726" spans="48:480" x14ac:dyDescent="0.3">
      <c r="AV1726" s="103"/>
      <c r="CJ1726" s="103"/>
      <c r="FP1726" s="103"/>
      <c r="LL1726" s="103"/>
      <c r="NM1726" s="103"/>
      <c r="QT1726" s="106"/>
      <c r="QU1726" s="106"/>
      <c r="QV1726" s="106"/>
      <c r="QW1726" s="106"/>
      <c r="QX1726" s="106"/>
      <c r="QY1726" s="106"/>
      <c r="QZ1726" s="106"/>
      <c r="RA1726" s="106"/>
      <c r="RB1726" s="106"/>
      <c r="RC1726" s="106"/>
      <c r="RD1726" s="106"/>
      <c r="RE1726" s="106"/>
      <c r="RF1726" s="106"/>
      <c r="RG1726" s="106"/>
      <c r="RH1726" s="106"/>
      <c r="RI1726" s="106"/>
      <c r="RJ1726" s="106"/>
      <c r="RK1726" s="106"/>
      <c r="RL1726" s="106"/>
    </row>
    <row r="1727" spans="48:480" x14ac:dyDescent="0.3">
      <c r="AV1727" s="103"/>
      <c r="CJ1727" s="103"/>
      <c r="FP1727" s="103"/>
      <c r="LL1727" s="103"/>
      <c r="NM1727" s="103"/>
      <c r="QT1727" s="106"/>
      <c r="QU1727" s="106"/>
      <c r="QV1727" s="106"/>
      <c r="QW1727" s="106"/>
      <c r="QX1727" s="106"/>
      <c r="QY1727" s="106"/>
      <c r="QZ1727" s="106"/>
      <c r="RA1727" s="106"/>
      <c r="RB1727" s="106"/>
      <c r="RC1727" s="106"/>
      <c r="RD1727" s="106"/>
      <c r="RE1727" s="106"/>
      <c r="RF1727" s="106"/>
      <c r="RG1727" s="106"/>
      <c r="RH1727" s="106"/>
      <c r="RI1727" s="106"/>
      <c r="RJ1727" s="106"/>
      <c r="RK1727" s="106"/>
      <c r="RL1727" s="106"/>
    </row>
    <row r="1728" spans="48:480" x14ac:dyDescent="0.3">
      <c r="AV1728" s="103"/>
      <c r="CJ1728" s="103"/>
      <c r="FP1728" s="103"/>
      <c r="LL1728" s="103"/>
      <c r="NM1728" s="103"/>
      <c r="QT1728" s="106"/>
      <c r="QU1728" s="106"/>
      <c r="QV1728" s="106"/>
      <c r="QW1728" s="106"/>
      <c r="QX1728" s="106"/>
      <c r="QY1728" s="106"/>
      <c r="QZ1728" s="106"/>
      <c r="RA1728" s="106"/>
      <c r="RB1728" s="106"/>
      <c r="RC1728" s="106"/>
      <c r="RD1728" s="106"/>
      <c r="RE1728" s="106"/>
      <c r="RF1728" s="106"/>
      <c r="RG1728" s="106"/>
      <c r="RH1728" s="106"/>
      <c r="RI1728" s="106"/>
      <c r="RJ1728" s="106"/>
      <c r="RK1728" s="106"/>
      <c r="RL1728" s="106"/>
    </row>
    <row r="1729" spans="48:480" x14ac:dyDescent="0.3">
      <c r="AV1729" s="103"/>
      <c r="CJ1729" s="103"/>
      <c r="FP1729" s="103"/>
      <c r="LL1729" s="103"/>
      <c r="NM1729" s="103"/>
      <c r="QT1729" s="106"/>
      <c r="QU1729" s="106"/>
      <c r="QV1729" s="106"/>
      <c r="QW1729" s="106"/>
      <c r="QX1729" s="106"/>
      <c r="QY1729" s="106"/>
      <c r="QZ1729" s="106"/>
      <c r="RA1729" s="106"/>
      <c r="RB1729" s="106"/>
      <c r="RC1729" s="106"/>
      <c r="RD1729" s="106"/>
      <c r="RE1729" s="106"/>
      <c r="RF1729" s="106"/>
      <c r="RG1729" s="106"/>
      <c r="RH1729" s="106"/>
      <c r="RI1729" s="106"/>
      <c r="RJ1729" s="106"/>
      <c r="RK1729" s="106"/>
      <c r="RL1729" s="106"/>
    </row>
    <row r="1730" spans="48:480" x14ac:dyDescent="0.3">
      <c r="AV1730" s="103"/>
      <c r="CJ1730" s="103"/>
      <c r="FP1730" s="103"/>
      <c r="LL1730" s="103"/>
      <c r="NM1730" s="103"/>
      <c r="QT1730" s="106"/>
      <c r="QU1730" s="106"/>
      <c r="QV1730" s="106"/>
      <c r="QW1730" s="106"/>
      <c r="QX1730" s="106"/>
      <c r="QY1730" s="106"/>
      <c r="QZ1730" s="106"/>
      <c r="RA1730" s="106"/>
      <c r="RB1730" s="106"/>
      <c r="RC1730" s="106"/>
      <c r="RD1730" s="106"/>
      <c r="RE1730" s="106"/>
      <c r="RF1730" s="106"/>
      <c r="RG1730" s="106"/>
      <c r="RH1730" s="106"/>
      <c r="RI1730" s="106"/>
      <c r="RJ1730" s="106"/>
      <c r="RK1730" s="106"/>
      <c r="RL1730" s="106"/>
    </row>
    <row r="1731" spans="48:480" x14ac:dyDescent="0.3">
      <c r="AV1731" s="103"/>
      <c r="CJ1731" s="103"/>
      <c r="FP1731" s="103"/>
      <c r="LL1731" s="103"/>
      <c r="NM1731" s="103"/>
      <c r="QT1731" s="106"/>
      <c r="QU1731" s="106"/>
      <c r="QV1731" s="106"/>
      <c r="QW1731" s="106"/>
      <c r="QX1731" s="106"/>
      <c r="QY1731" s="106"/>
      <c r="QZ1731" s="106"/>
      <c r="RA1731" s="106"/>
      <c r="RB1731" s="106"/>
      <c r="RC1731" s="106"/>
      <c r="RD1731" s="106"/>
      <c r="RE1731" s="106"/>
      <c r="RF1731" s="106"/>
      <c r="RG1731" s="106"/>
      <c r="RH1731" s="106"/>
      <c r="RI1731" s="106"/>
      <c r="RJ1731" s="106"/>
      <c r="RK1731" s="106"/>
      <c r="RL1731" s="106"/>
    </row>
    <row r="1732" spans="48:480" x14ac:dyDescent="0.3">
      <c r="AV1732" s="103"/>
      <c r="CJ1732" s="103"/>
      <c r="FP1732" s="103"/>
      <c r="LL1732" s="103"/>
      <c r="NM1732" s="103"/>
      <c r="QT1732" s="106"/>
      <c r="QU1732" s="106"/>
      <c r="QV1732" s="106"/>
      <c r="QW1732" s="106"/>
      <c r="QX1732" s="106"/>
      <c r="QY1732" s="106"/>
      <c r="QZ1732" s="106"/>
      <c r="RA1732" s="106"/>
      <c r="RB1732" s="106"/>
      <c r="RC1732" s="106"/>
      <c r="RD1732" s="106"/>
      <c r="RE1732" s="106"/>
      <c r="RF1732" s="106"/>
      <c r="RG1732" s="106"/>
      <c r="RH1732" s="106"/>
      <c r="RI1732" s="106"/>
      <c r="RJ1732" s="106"/>
      <c r="RK1732" s="106"/>
      <c r="RL1732" s="106"/>
    </row>
    <row r="1733" spans="48:480" x14ac:dyDescent="0.3">
      <c r="AV1733" s="103"/>
      <c r="CJ1733" s="103"/>
      <c r="FP1733" s="103"/>
      <c r="LL1733" s="103"/>
      <c r="NM1733" s="103"/>
      <c r="QT1733" s="106"/>
      <c r="QU1733" s="106"/>
      <c r="QV1733" s="106"/>
      <c r="QW1733" s="106"/>
      <c r="QX1733" s="106"/>
      <c r="QY1733" s="106"/>
      <c r="QZ1733" s="106"/>
      <c r="RA1733" s="106"/>
      <c r="RB1733" s="106"/>
      <c r="RC1733" s="106"/>
      <c r="RD1733" s="106"/>
      <c r="RE1733" s="106"/>
      <c r="RF1733" s="106"/>
      <c r="RG1733" s="106"/>
      <c r="RH1733" s="106"/>
      <c r="RI1733" s="106"/>
      <c r="RJ1733" s="106"/>
      <c r="RK1733" s="106"/>
      <c r="RL1733" s="106"/>
    </row>
    <row r="1734" spans="48:480" x14ac:dyDescent="0.3">
      <c r="AV1734" s="103"/>
      <c r="CJ1734" s="103"/>
      <c r="FP1734" s="103"/>
      <c r="LL1734" s="103"/>
      <c r="NM1734" s="103"/>
      <c r="QT1734" s="106"/>
      <c r="QU1734" s="106"/>
      <c r="QV1734" s="106"/>
      <c r="QW1734" s="106"/>
      <c r="QX1734" s="106"/>
      <c r="QY1734" s="106"/>
      <c r="QZ1734" s="106"/>
      <c r="RA1734" s="106"/>
      <c r="RB1734" s="106"/>
      <c r="RC1734" s="106"/>
      <c r="RD1734" s="106"/>
      <c r="RE1734" s="106"/>
      <c r="RF1734" s="106"/>
      <c r="RG1734" s="106"/>
      <c r="RH1734" s="106"/>
      <c r="RI1734" s="106"/>
      <c r="RJ1734" s="106"/>
      <c r="RK1734" s="106"/>
      <c r="RL1734" s="106"/>
    </row>
    <row r="1735" spans="48:480" x14ac:dyDescent="0.3">
      <c r="AV1735" s="103"/>
      <c r="CJ1735" s="103"/>
      <c r="FP1735" s="103"/>
      <c r="LL1735" s="103"/>
      <c r="NM1735" s="103"/>
      <c r="QT1735" s="106"/>
      <c r="QU1735" s="106"/>
      <c r="QV1735" s="106"/>
      <c r="QW1735" s="106"/>
      <c r="QX1735" s="106"/>
      <c r="QY1735" s="106"/>
      <c r="QZ1735" s="106"/>
      <c r="RA1735" s="106"/>
      <c r="RB1735" s="106"/>
      <c r="RC1735" s="106"/>
      <c r="RD1735" s="106"/>
      <c r="RE1735" s="106"/>
      <c r="RF1735" s="106"/>
      <c r="RG1735" s="106"/>
      <c r="RH1735" s="106"/>
      <c r="RI1735" s="106"/>
      <c r="RJ1735" s="106"/>
      <c r="RK1735" s="106"/>
      <c r="RL1735" s="106"/>
    </row>
    <row r="1736" spans="48:480" x14ac:dyDescent="0.3">
      <c r="AV1736" s="103"/>
      <c r="CJ1736" s="103"/>
      <c r="FP1736" s="103"/>
      <c r="LL1736" s="103"/>
      <c r="NM1736" s="103"/>
      <c r="QT1736" s="106"/>
      <c r="QU1736" s="106"/>
      <c r="QV1736" s="106"/>
      <c r="QW1736" s="106"/>
      <c r="QX1736" s="106"/>
      <c r="QY1736" s="106"/>
      <c r="QZ1736" s="106"/>
      <c r="RA1736" s="106"/>
      <c r="RB1736" s="106"/>
      <c r="RC1736" s="106"/>
      <c r="RD1736" s="106"/>
      <c r="RE1736" s="106"/>
      <c r="RF1736" s="106"/>
      <c r="RG1736" s="106"/>
      <c r="RH1736" s="106"/>
      <c r="RI1736" s="106"/>
      <c r="RJ1736" s="106"/>
      <c r="RK1736" s="106"/>
      <c r="RL1736" s="106"/>
    </row>
    <row r="1737" spans="48:480" x14ac:dyDescent="0.3">
      <c r="AV1737" s="103"/>
      <c r="CJ1737" s="103"/>
      <c r="FP1737" s="103"/>
      <c r="LL1737" s="103"/>
      <c r="NM1737" s="103"/>
      <c r="QT1737" s="106"/>
      <c r="QU1737" s="106"/>
      <c r="QV1737" s="106"/>
      <c r="QW1737" s="106"/>
      <c r="QX1737" s="106"/>
      <c r="QY1737" s="106"/>
      <c r="QZ1737" s="106"/>
      <c r="RA1737" s="106"/>
      <c r="RB1737" s="106"/>
      <c r="RC1737" s="106"/>
      <c r="RD1737" s="106"/>
      <c r="RE1737" s="106"/>
      <c r="RF1737" s="106"/>
      <c r="RG1737" s="106"/>
      <c r="RH1737" s="106"/>
      <c r="RI1737" s="106"/>
      <c r="RJ1737" s="106"/>
      <c r="RK1737" s="106"/>
      <c r="RL1737" s="106"/>
    </row>
    <row r="1738" spans="48:480" x14ac:dyDescent="0.3">
      <c r="AV1738" s="103"/>
      <c r="CJ1738" s="103"/>
      <c r="FP1738" s="103"/>
      <c r="LL1738" s="103"/>
      <c r="NM1738" s="103"/>
      <c r="QT1738" s="106"/>
      <c r="QU1738" s="106"/>
      <c r="QV1738" s="106"/>
      <c r="QW1738" s="106"/>
      <c r="QX1738" s="106"/>
      <c r="QY1738" s="106"/>
      <c r="QZ1738" s="106"/>
      <c r="RA1738" s="106"/>
      <c r="RB1738" s="106"/>
      <c r="RC1738" s="106"/>
      <c r="RD1738" s="106"/>
      <c r="RE1738" s="106"/>
      <c r="RF1738" s="106"/>
      <c r="RG1738" s="106"/>
      <c r="RH1738" s="106"/>
      <c r="RI1738" s="106"/>
      <c r="RJ1738" s="106"/>
      <c r="RK1738" s="106"/>
      <c r="RL1738" s="106"/>
    </row>
    <row r="1739" spans="48:480" x14ac:dyDescent="0.3">
      <c r="AV1739" s="103"/>
      <c r="CJ1739" s="103"/>
      <c r="FP1739" s="103"/>
      <c r="LL1739" s="103"/>
      <c r="NM1739" s="103"/>
      <c r="QT1739" s="106"/>
      <c r="QU1739" s="106"/>
      <c r="QV1739" s="106"/>
      <c r="QW1739" s="106"/>
      <c r="QX1739" s="106"/>
      <c r="QY1739" s="106"/>
      <c r="QZ1739" s="106"/>
      <c r="RA1739" s="106"/>
      <c r="RB1739" s="106"/>
      <c r="RC1739" s="106"/>
      <c r="RD1739" s="106"/>
      <c r="RE1739" s="106"/>
      <c r="RF1739" s="106"/>
      <c r="RG1739" s="106"/>
      <c r="RH1739" s="106"/>
      <c r="RI1739" s="106"/>
      <c r="RJ1739" s="106"/>
      <c r="RK1739" s="106"/>
      <c r="RL1739" s="106"/>
    </row>
    <row r="1740" spans="48:480" x14ac:dyDescent="0.3">
      <c r="AV1740" s="103"/>
      <c r="CJ1740" s="103"/>
      <c r="FP1740" s="103"/>
      <c r="LL1740" s="103"/>
      <c r="NM1740" s="103"/>
      <c r="QT1740" s="106"/>
      <c r="QU1740" s="106"/>
      <c r="QV1740" s="106"/>
      <c r="QW1740" s="106"/>
      <c r="QX1740" s="106"/>
      <c r="QY1740" s="106"/>
      <c r="QZ1740" s="106"/>
      <c r="RA1740" s="106"/>
      <c r="RB1740" s="106"/>
      <c r="RC1740" s="106"/>
      <c r="RD1740" s="106"/>
      <c r="RE1740" s="106"/>
      <c r="RF1740" s="106"/>
      <c r="RG1740" s="106"/>
      <c r="RH1740" s="106"/>
      <c r="RI1740" s="106"/>
      <c r="RJ1740" s="106"/>
      <c r="RK1740" s="106"/>
      <c r="RL1740" s="106"/>
    </row>
    <row r="1741" spans="48:480" x14ac:dyDescent="0.3">
      <c r="AV1741" s="103"/>
      <c r="CJ1741" s="103"/>
      <c r="FP1741" s="103"/>
      <c r="LL1741" s="103"/>
      <c r="NM1741" s="103"/>
      <c r="QT1741" s="106"/>
      <c r="QU1741" s="106"/>
      <c r="QV1741" s="106"/>
      <c r="QW1741" s="106"/>
      <c r="QX1741" s="106"/>
      <c r="QY1741" s="106"/>
      <c r="QZ1741" s="106"/>
      <c r="RA1741" s="106"/>
      <c r="RB1741" s="106"/>
      <c r="RC1741" s="106"/>
      <c r="RD1741" s="106"/>
      <c r="RE1741" s="106"/>
      <c r="RF1741" s="106"/>
      <c r="RG1741" s="106"/>
      <c r="RH1741" s="106"/>
      <c r="RI1741" s="106"/>
      <c r="RJ1741" s="106"/>
      <c r="RK1741" s="106"/>
      <c r="RL1741" s="106"/>
    </row>
    <row r="1742" spans="48:480" x14ac:dyDescent="0.3">
      <c r="AV1742" s="103"/>
      <c r="CJ1742" s="103"/>
      <c r="FP1742" s="103"/>
      <c r="LL1742" s="103"/>
      <c r="NM1742" s="103"/>
      <c r="QT1742" s="106"/>
      <c r="QU1742" s="106"/>
      <c r="QV1742" s="106"/>
      <c r="QW1742" s="106"/>
      <c r="QX1742" s="106"/>
      <c r="QY1742" s="106"/>
      <c r="QZ1742" s="106"/>
      <c r="RA1742" s="106"/>
      <c r="RB1742" s="106"/>
      <c r="RC1742" s="106"/>
      <c r="RD1742" s="106"/>
      <c r="RE1742" s="106"/>
      <c r="RF1742" s="106"/>
      <c r="RG1742" s="106"/>
      <c r="RH1742" s="106"/>
      <c r="RI1742" s="106"/>
      <c r="RJ1742" s="106"/>
      <c r="RK1742" s="106"/>
      <c r="RL1742" s="106"/>
    </row>
    <row r="1743" spans="48:480" x14ac:dyDescent="0.3">
      <c r="AV1743" s="103"/>
      <c r="CJ1743" s="103"/>
      <c r="FP1743" s="103"/>
      <c r="LL1743" s="103"/>
      <c r="NM1743" s="103"/>
      <c r="QT1743" s="106"/>
      <c r="QU1743" s="106"/>
      <c r="QV1743" s="106"/>
      <c r="QW1743" s="106"/>
      <c r="QX1743" s="106"/>
      <c r="QY1743" s="106"/>
      <c r="QZ1743" s="106"/>
      <c r="RA1743" s="106"/>
      <c r="RB1743" s="106"/>
      <c r="RC1743" s="106"/>
      <c r="RD1743" s="106"/>
      <c r="RE1743" s="106"/>
      <c r="RF1743" s="106"/>
      <c r="RG1743" s="106"/>
      <c r="RH1743" s="106"/>
      <c r="RI1743" s="106"/>
      <c r="RJ1743" s="106"/>
      <c r="RK1743" s="106"/>
      <c r="RL1743" s="106"/>
    </row>
    <row r="1744" spans="48:480" x14ac:dyDescent="0.3">
      <c r="AV1744" s="103"/>
      <c r="CJ1744" s="103"/>
      <c r="FP1744" s="103"/>
      <c r="LL1744" s="103"/>
      <c r="NM1744" s="103"/>
      <c r="QT1744" s="106"/>
      <c r="QU1744" s="106"/>
      <c r="QV1744" s="106"/>
      <c r="QW1744" s="106"/>
      <c r="QX1744" s="106"/>
      <c r="QY1744" s="106"/>
      <c r="QZ1744" s="106"/>
      <c r="RA1744" s="106"/>
      <c r="RB1744" s="106"/>
      <c r="RC1744" s="106"/>
      <c r="RD1744" s="106"/>
      <c r="RE1744" s="106"/>
      <c r="RF1744" s="106"/>
      <c r="RG1744" s="106"/>
      <c r="RH1744" s="106"/>
      <c r="RI1744" s="106"/>
      <c r="RJ1744" s="106"/>
      <c r="RK1744" s="106"/>
      <c r="RL1744" s="106"/>
    </row>
    <row r="1745" spans="48:480" x14ac:dyDescent="0.3">
      <c r="AV1745" s="103"/>
      <c r="CJ1745" s="103"/>
      <c r="FP1745" s="103"/>
      <c r="LL1745" s="103"/>
      <c r="NM1745" s="103"/>
      <c r="QT1745" s="106"/>
      <c r="QU1745" s="106"/>
      <c r="QV1745" s="106"/>
      <c r="QW1745" s="106"/>
      <c r="QX1745" s="106"/>
      <c r="QY1745" s="106"/>
      <c r="QZ1745" s="106"/>
      <c r="RA1745" s="106"/>
      <c r="RB1745" s="106"/>
      <c r="RC1745" s="106"/>
      <c r="RD1745" s="106"/>
      <c r="RE1745" s="106"/>
      <c r="RF1745" s="106"/>
      <c r="RG1745" s="106"/>
      <c r="RH1745" s="106"/>
      <c r="RI1745" s="106"/>
      <c r="RJ1745" s="106"/>
      <c r="RK1745" s="106"/>
      <c r="RL1745" s="106"/>
    </row>
    <row r="1746" spans="48:480" x14ac:dyDescent="0.3">
      <c r="AV1746" s="103"/>
      <c r="CJ1746" s="103"/>
      <c r="FP1746" s="103"/>
      <c r="LL1746" s="103"/>
      <c r="NM1746" s="103"/>
      <c r="QT1746" s="106"/>
      <c r="QU1746" s="106"/>
      <c r="QV1746" s="106"/>
      <c r="QW1746" s="106"/>
      <c r="QX1746" s="106"/>
      <c r="QY1746" s="106"/>
      <c r="QZ1746" s="106"/>
      <c r="RA1746" s="106"/>
      <c r="RB1746" s="106"/>
      <c r="RC1746" s="106"/>
      <c r="RD1746" s="106"/>
      <c r="RE1746" s="106"/>
      <c r="RF1746" s="106"/>
      <c r="RG1746" s="106"/>
      <c r="RH1746" s="106"/>
      <c r="RI1746" s="106"/>
      <c r="RJ1746" s="106"/>
      <c r="RK1746" s="106"/>
      <c r="RL1746" s="106"/>
    </row>
    <row r="1747" spans="48:480" x14ac:dyDescent="0.3">
      <c r="AV1747" s="103"/>
      <c r="CJ1747" s="103"/>
      <c r="FP1747" s="103"/>
      <c r="LL1747" s="103"/>
      <c r="NM1747" s="103"/>
      <c r="QT1747" s="106"/>
      <c r="QU1747" s="106"/>
      <c r="QV1747" s="106"/>
      <c r="QW1747" s="106"/>
      <c r="QX1747" s="106"/>
      <c r="QY1747" s="106"/>
      <c r="QZ1747" s="106"/>
      <c r="RA1747" s="106"/>
      <c r="RB1747" s="106"/>
      <c r="RC1747" s="106"/>
      <c r="RD1747" s="106"/>
      <c r="RE1747" s="106"/>
      <c r="RF1747" s="106"/>
      <c r="RG1747" s="106"/>
      <c r="RH1747" s="106"/>
      <c r="RI1747" s="106"/>
      <c r="RJ1747" s="106"/>
      <c r="RK1747" s="106"/>
      <c r="RL1747" s="106"/>
    </row>
    <row r="1748" spans="48:480" x14ac:dyDescent="0.3">
      <c r="AV1748" s="103"/>
      <c r="CJ1748" s="103"/>
      <c r="FP1748" s="103"/>
      <c r="LL1748" s="103"/>
      <c r="NM1748" s="103"/>
      <c r="QT1748" s="106"/>
      <c r="QU1748" s="106"/>
      <c r="QV1748" s="106"/>
      <c r="QW1748" s="106"/>
      <c r="QX1748" s="106"/>
      <c r="QY1748" s="106"/>
      <c r="QZ1748" s="106"/>
      <c r="RA1748" s="106"/>
      <c r="RB1748" s="106"/>
      <c r="RC1748" s="106"/>
      <c r="RD1748" s="106"/>
      <c r="RE1748" s="106"/>
      <c r="RF1748" s="106"/>
      <c r="RG1748" s="106"/>
      <c r="RH1748" s="106"/>
      <c r="RI1748" s="106"/>
      <c r="RJ1748" s="106"/>
      <c r="RK1748" s="106"/>
      <c r="RL1748" s="106"/>
    </row>
    <row r="1749" spans="48:480" x14ac:dyDescent="0.3">
      <c r="AV1749" s="103"/>
      <c r="CJ1749" s="103"/>
      <c r="FP1749" s="103"/>
      <c r="LL1749" s="103"/>
      <c r="NM1749" s="103"/>
      <c r="QT1749" s="106"/>
      <c r="QU1749" s="106"/>
      <c r="QV1749" s="106"/>
      <c r="QW1749" s="106"/>
      <c r="QX1749" s="106"/>
      <c r="QY1749" s="106"/>
      <c r="QZ1749" s="106"/>
      <c r="RA1749" s="106"/>
      <c r="RB1749" s="106"/>
      <c r="RC1749" s="106"/>
      <c r="RD1749" s="106"/>
      <c r="RE1749" s="106"/>
      <c r="RF1749" s="106"/>
      <c r="RG1749" s="106"/>
      <c r="RH1749" s="106"/>
      <c r="RI1749" s="106"/>
      <c r="RJ1749" s="106"/>
      <c r="RK1749" s="106"/>
      <c r="RL1749" s="106"/>
    </row>
    <row r="1750" spans="48:480" x14ac:dyDescent="0.3">
      <c r="AV1750" s="103"/>
      <c r="CJ1750" s="103"/>
      <c r="FP1750" s="103"/>
      <c r="LL1750" s="103"/>
      <c r="NM1750" s="103"/>
      <c r="QT1750" s="106"/>
      <c r="QU1750" s="106"/>
      <c r="QV1750" s="106"/>
      <c r="QW1750" s="106"/>
      <c r="QX1750" s="106"/>
      <c r="QY1750" s="106"/>
      <c r="QZ1750" s="106"/>
      <c r="RA1750" s="106"/>
      <c r="RB1750" s="106"/>
      <c r="RC1750" s="106"/>
      <c r="RD1750" s="106"/>
      <c r="RE1750" s="106"/>
      <c r="RF1750" s="106"/>
      <c r="RG1750" s="106"/>
      <c r="RH1750" s="106"/>
      <c r="RI1750" s="106"/>
      <c r="RJ1750" s="106"/>
      <c r="RK1750" s="106"/>
      <c r="RL1750" s="106"/>
    </row>
    <row r="1751" spans="48:480" x14ac:dyDescent="0.3">
      <c r="AV1751" s="103"/>
      <c r="CJ1751" s="103"/>
      <c r="FP1751" s="103"/>
      <c r="LL1751" s="103"/>
      <c r="NM1751" s="103"/>
      <c r="QT1751" s="106"/>
      <c r="QU1751" s="106"/>
      <c r="QV1751" s="106"/>
      <c r="QW1751" s="106"/>
      <c r="QX1751" s="106"/>
      <c r="QY1751" s="106"/>
      <c r="QZ1751" s="106"/>
      <c r="RA1751" s="106"/>
      <c r="RB1751" s="106"/>
      <c r="RC1751" s="106"/>
      <c r="RD1751" s="106"/>
      <c r="RE1751" s="106"/>
      <c r="RF1751" s="106"/>
      <c r="RG1751" s="106"/>
      <c r="RH1751" s="106"/>
      <c r="RI1751" s="106"/>
      <c r="RJ1751" s="106"/>
      <c r="RK1751" s="106"/>
      <c r="RL1751" s="106"/>
    </row>
    <row r="1752" spans="48:480" x14ac:dyDescent="0.3">
      <c r="AV1752" s="103"/>
      <c r="CJ1752" s="103"/>
      <c r="FP1752" s="103"/>
      <c r="LL1752" s="103"/>
      <c r="NM1752" s="103"/>
      <c r="QT1752" s="106"/>
      <c r="QU1752" s="106"/>
      <c r="QV1752" s="106"/>
      <c r="QW1752" s="106"/>
      <c r="QX1752" s="106"/>
      <c r="QY1752" s="106"/>
      <c r="QZ1752" s="106"/>
      <c r="RA1752" s="106"/>
      <c r="RB1752" s="106"/>
      <c r="RC1752" s="106"/>
      <c r="RD1752" s="106"/>
      <c r="RE1752" s="106"/>
      <c r="RF1752" s="106"/>
      <c r="RG1752" s="106"/>
      <c r="RH1752" s="106"/>
      <c r="RI1752" s="106"/>
      <c r="RJ1752" s="106"/>
      <c r="RK1752" s="106"/>
      <c r="RL1752" s="106"/>
    </row>
    <row r="1753" spans="48:480" x14ac:dyDescent="0.3">
      <c r="AV1753" s="103"/>
      <c r="CJ1753" s="103"/>
      <c r="FP1753" s="103"/>
      <c r="LL1753" s="103"/>
      <c r="NM1753" s="103"/>
      <c r="QT1753" s="106"/>
      <c r="QU1753" s="106"/>
      <c r="QV1753" s="106"/>
      <c r="QW1753" s="106"/>
      <c r="QX1753" s="106"/>
      <c r="QY1753" s="106"/>
      <c r="QZ1753" s="106"/>
      <c r="RA1753" s="106"/>
      <c r="RB1753" s="106"/>
      <c r="RC1753" s="106"/>
      <c r="RD1753" s="106"/>
      <c r="RE1753" s="106"/>
      <c r="RF1753" s="106"/>
      <c r="RG1753" s="106"/>
      <c r="RH1753" s="106"/>
      <c r="RI1753" s="106"/>
      <c r="RJ1753" s="106"/>
      <c r="RK1753" s="106"/>
      <c r="RL1753" s="106"/>
    </row>
    <row r="1754" spans="48:480" x14ac:dyDescent="0.3">
      <c r="AV1754" s="103"/>
      <c r="CJ1754" s="103"/>
      <c r="FP1754" s="103"/>
      <c r="LL1754" s="103"/>
      <c r="NM1754" s="103"/>
      <c r="QT1754" s="106"/>
      <c r="QU1754" s="106"/>
      <c r="QV1754" s="106"/>
      <c r="QW1754" s="106"/>
      <c r="QX1754" s="106"/>
      <c r="QY1754" s="106"/>
      <c r="QZ1754" s="106"/>
      <c r="RA1754" s="106"/>
      <c r="RB1754" s="106"/>
      <c r="RC1754" s="106"/>
      <c r="RD1754" s="106"/>
      <c r="RE1754" s="106"/>
      <c r="RF1754" s="106"/>
      <c r="RG1754" s="106"/>
      <c r="RH1754" s="106"/>
      <c r="RI1754" s="106"/>
      <c r="RJ1754" s="106"/>
      <c r="RK1754" s="106"/>
      <c r="RL1754" s="106"/>
    </row>
    <row r="1755" spans="48:480" x14ac:dyDescent="0.3">
      <c r="AV1755" s="103"/>
      <c r="CJ1755" s="103"/>
      <c r="FP1755" s="103"/>
      <c r="LL1755" s="103"/>
      <c r="NM1755" s="103"/>
      <c r="QT1755" s="106"/>
      <c r="QU1755" s="106"/>
      <c r="QV1755" s="106"/>
      <c r="QW1755" s="106"/>
      <c r="QX1755" s="106"/>
      <c r="QY1755" s="106"/>
      <c r="QZ1755" s="106"/>
      <c r="RA1755" s="106"/>
      <c r="RB1755" s="106"/>
      <c r="RC1755" s="106"/>
      <c r="RD1755" s="106"/>
      <c r="RE1755" s="106"/>
      <c r="RF1755" s="106"/>
      <c r="RG1755" s="106"/>
      <c r="RH1755" s="106"/>
      <c r="RI1755" s="106"/>
      <c r="RJ1755" s="106"/>
      <c r="RK1755" s="106"/>
      <c r="RL1755" s="106"/>
    </row>
    <row r="1756" spans="48:480" x14ac:dyDescent="0.3">
      <c r="AV1756" s="103"/>
      <c r="CJ1756" s="103"/>
      <c r="FP1756" s="103"/>
      <c r="LL1756" s="103"/>
      <c r="NM1756" s="103"/>
      <c r="QT1756" s="106"/>
      <c r="QU1756" s="106"/>
      <c r="QV1756" s="106"/>
      <c r="QW1756" s="106"/>
      <c r="QX1756" s="106"/>
      <c r="QY1756" s="106"/>
      <c r="QZ1756" s="106"/>
      <c r="RA1756" s="106"/>
      <c r="RB1756" s="106"/>
      <c r="RC1756" s="106"/>
      <c r="RD1756" s="106"/>
      <c r="RE1756" s="106"/>
      <c r="RF1756" s="106"/>
      <c r="RG1756" s="106"/>
      <c r="RH1756" s="106"/>
      <c r="RI1756" s="106"/>
      <c r="RJ1756" s="106"/>
      <c r="RK1756" s="106"/>
      <c r="RL1756" s="106"/>
    </row>
    <row r="1757" spans="48:480" x14ac:dyDescent="0.3">
      <c r="AV1757" s="103"/>
      <c r="CJ1757" s="103"/>
      <c r="FP1757" s="103"/>
      <c r="LL1757" s="103"/>
      <c r="NM1757" s="103"/>
      <c r="QT1757" s="106"/>
      <c r="QU1757" s="106"/>
      <c r="QV1757" s="106"/>
      <c r="QW1757" s="106"/>
      <c r="QX1757" s="106"/>
      <c r="QY1757" s="106"/>
      <c r="QZ1757" s="106"/>
      <c r="RA1757" s="106"/>
      <c r="RB1757" s="106"/>
      <c r="RC1757" s="106"/>
      <c r="RD1757" s="106"/>
      <c r="RE1757" s="106"/>
      <c r="RF1757" s="106"/>
      <c r="RG1757" s="106"/>
      <c r="RH1757" s="106"/>
      <c r="RI1757" s="106"/>
      <c r="RJ1757" s="106"/>
      <c r="RK1757" s="106"/>
      <c r="RL1757" s="106"/>
    </row>
    <row r="1758" spans="48:480" x14ac:dyDescent="0.3">
      <c r="AV1758" s="103"/>
      <c r="CJ1758" s="103"/>
      <c r="FP1758" s="103"/>
      <c r="LL1758" s="103"/>
      <c r="NM1758" s="103"/>
      <c r="QT1758" s="106"/>
      <c r="QU1758" s="106"/>
      <c r="QV1758" s="106"/>
      <c r="QW1758" s="106"/>
      <c r="QX1758" s="106"/>
      <c r="QY1758" s="106"/>
      <c r="QZ1758" s="106"/>
      <c r="RA1758" s="106"/>
      <c r="RB1758" s="106"/>
      <c r="RC1758" s="106"/>
      <c r="RD1758" s="106"/>
      <c r="RE1758" s="106"/>
      <c r="RF1758" s="106"/>
      <c r="RG1758" s="106"/>
      <c r="RH1758" s="106"/>
      <c r="RI1758" s="106"/>
      <c r="RJ1758" s="106"/>
      <c r="RK1758" s="106"/>
      <c r="RL1758" s="106"/>
    </row>
    <row r="1759" spans="48:480" x14ac:dyDescent="0.3">
      <c r="AV1759" s="103"/>
      <c r="CJ1759" s="103"/>
      <c r="FP1759" s="103"/>
      <c r="LL1759" s="103"/>
      <c r="NM1759" s="103"/>
      <c r="QT1759" s="106"/>
      <c r="QU1759" s="106"/>
      <c r="QV1759" s="106"/>
      <c r="QW1759" s="106"/>
      <c r="QX1759" s="106"/>
      <c r="QY1759" s="106"/>
      <c r="QZ1759" s="106"/>
      <c r="RA1759" s="106"/>
      <c r="RB1759" s="106"/>
      <c r="RC1759" s="106"/>
      <c r="RD1759" s="106"/>
      <c r="RE1759" s="106"/>
      <c r="RF1759" s="106"/>
      <c r="RG1759" s="106"/>
      <c r="RH1759" s="106"/>
      <c r="RI1759" s="106"/>
      <c r="RJ1759" s="106"/>
      <c r="RK1759" s="106"/>
      <c r="RL1759" s="106"/>
    </row>
    <row r="1760" spans="48:480" x14ac:dyDescent="0.3">
      <c r="AV1760" s="103"/>
      <c r="CJ1760" s="103"/>
      <c r="FP1760" s="103"/>
      <c r="LL1760" s="103"/>
      <c r="NM1760" s="103"/>
      <c r="QT1760" s="106"/>
      <c r="QU1760" s="106"/>
      <c r="QV1760" s="106"/>
      <c r="QW1760" s="106"/>
      <c r="QX1760" s="106"/>
      <c r="QY1760" s="106"/>
      <c r="QZ1760" s="106"/>
      <c r="RA1760" s="106"/>
      <c r="RB1760" s="106"/>
      <c r="RC1760" s="106"/>
      <c r="RD1760" s="106"/>
      <c r="RE1760" s="106"/>
      <c r="RF1760" s="106"/>
      <c r="RG1760" s="106"/>
      <c r="RH1760" s="106"/>
      <c r="RI1760" s="106"/>
      <c r="RJ1760" s="106"/>
      <c r="RK1760" s="106"/>
      <c r="RL1760" s="106"/>
    </row>
    <row r="1761" spans="48:480" x14ac:dyDescent="0.3">
      <c r="AV1761" s="103"/>
      <c r="CJ1761" s="103"/>
      <c r="FP1761" s="103"/>
      <c r="LL1761" s="103"/>
      <c r="NM1761" s="103"/>
      <c r="QT1761" s="106"/>
      <c r="QU1761" s="106"/>
      <c r="QV1761" s="106"/>
      <c r="QW1761" s="106"/>
      <c r="QX1761" s="106"/>
      <c r="QY1761" s="106"/>
      <c r="QZ1761" s="106"/>
      <c r="RA1761" s="106"/>
      <c r="RB1761" s="106"/>
      <c r="RC1761" s="106"/>
      <c r="RD1761" s="106"/>
      <c r="RE1761" s="106"/>
      <c r="RF1761" s="106"/>
      <c r="RG1761" s="106"/>
      <c r="RH1761" s="106"/>
      <c r="RI1761" s="106"/>
      <c r="RJ1761" s="106"/>
      <c r="RK1761" s="106"/>
      <c r="RL1761" s="106"/>
    </row>
    <row r="1762" spans="48:480" x14ac:dyDescent="0.3">
      <c r="AV1762" s="103"/>
      <c r="CJ1762" s="103"/>
      <c r="FP1762" s="103"/>
      <c r="LL1762" s="103"/>
      <c r="NM1762" s="103"/>
      <c r="QT1762" s="106"/>
      <c r="QU1762" s="106"/>
      <c r="QV1762" s="106"/>
      <c r="QW1762" s="106"/>
      <c r="QX1762" s="106"/>
      <c r="QY1762" s="106"/>
      <c r="QZ1762" s="106"/>
      <c r="RA1762" s="106"/>
      <c r="RB1762" s="106"/>
      <c r="RC1762" s="106"/>
      <c r="RD1762" s="106"/>
      <c r="RE1762" s="106"/>
      <c r="RF1762" s="106"/>
      <c r="RG1762" s="106"/>
      <c r="RH1762" s="106"/>
      <c r="RI1762" s="106"/>
      <c r="RJ1762" s="106"/>
      <c r="RK1762" s="106"/>
      <c r="RL1762" s="106"/>
    </row>
    <row r="1763" spans="48:480" x14ac:dyDescent="0.3">
      <c r="AV1763" s="103"/>
      <c r="CJ1763" s="103"/>
      <c r="FP1763" s="103"/>
      <c r="LL1763" s="103"/>
      <c r="NM1763" s="103"/>
      <c r="QT1763" s="106"/>
      <c r="QU1763" s="106"/>
      <c r="QV1763" s="106"/>
      <c r="QW1763" s="106"/>
      <c r="QX1763" s="106"/>
      <c r="QY1763" s="106"/>
      <c r="QZ1763" s="106"/>
      <c r="RA1763" s="106"/>
      <c r="RB1763" s="106"/>
      <c r="RC1763" s="106"/>
      <c r="RD1763" s="106"/>
      <c r="RE1763" s="106"/>
      <c r="RF1763" s="106"/>
      <c r="RG1763" s="106"/>
      <c r="RH1763" s="106"/>
      <c r="RI1763" s="106"/>
      <c r="RJ1763" s="106"/>
      <c r="RK1763" s="106"/>
      <c r="RL1763" s="106"/>
    </row>
    <row r="1764" spans="48:480" x14ac:dyDescent="0.3">
      <c r="AV1764" s="103"/>
      <c r="CJ1764" s="103"/>
      <c r="FP1764" s="103"/>
      <c r="LL1764" s="103"/>
      <c r="NM1764" s="103"/>
      <c r="QT1764" s="106"/>
      <c r="QU1764" s="106"/>
      <c r="QV1764" s="106"/>
      <c r="QW1764" s="106"/>
      <c r="QX1764" s="106"/>
      <c r="QY1764" s="106"/>
      <c r="QZ1764" s="106"/>
      <c r="RA1764" s="106"/>
      <c r="RB1764" s="106"/>
      <c r="RC1764" s="106"/>
      <c r="RD1764" s="106"/>
      <c r="RE1764" s="106"/>
      <c r="RF1764" s="106"/>
      <c r="RG1764" s="106"/>
      <c r="RH1764" s="106"/>
      <c r="RI1764" s="106"/>
      <c r="RJ1764" s="106"/>
      <c r="RK1764" s="106"/>
      <c r="RL1764" s="106"/>
    </row>
    <row r="1765" spans="48:480" x14ac:dyDescent="0.3">
      <c r="AV1765" s="103"/>
      <c r="CJ1765" s="103"/>
      <c r="FP1765" s="103"/>
      <c r="LL1765" s="103"/>
      <c r="NM1765" s="103"/>
      <c r="QT1765" s="106"/>
      <c r="QU1765" s="106"/>
      <c r="QV1765" s="106"/>
      <c r="QW1765" s="106"/>
      <c r="QX1765" s="106"/>
      <c r="QY1765" s="106"/>
      <c r="QZ1765" s="106"/>
      <c r="RA1765" s="106"/>
      <c r="RB1765" s="106"/>
      <c r="RC1765" s="106"/>
      <c r="RD1765" s="106"/>
      <c r="RE1765" s="106"/>
      <c r="RF1765" s="106"/>
      <c r="RG1765" s="106"/>
      <c r="RH1765" s="106"/>
      <c r="RI1765" s="106"/>
      <c r="RJ1765" s="106"/>
      <c r="RK1765" s="106"/>
      <c r="RL1765" s="106"/>
    </row>
    <row r="1766" spans="48:480" x14ac:dyDescent="0.3">
      <c r="AV1766" s="103"/>
      <c r="CJ1766" s="103"/>
      <c r="FP1766" s="103"/>
      <c r="LL1766" s="103"/>
      <c r="NM1766" s="103"/>
      <c r="QT1766" s="106"/>
      <c r="QU1766" s="106"/>
      <c r="QV1766" s="106"/>
      <c r="QW1766" s="106"/>
      <c r="QX1766" s="106"/>
      <c r="QY1766" s="106"/>
      <c r="QZ1766" s="106"/>
      <c r="RA1766" s="106"/>
      <c r="RB1766" s="106"/>
      <c r="RC1766" s="106"/>
      <c r="RD1766" s="106"/>
      <c r="RE1766" s="106"/>
      <c r="RF1766" s="106"/>
      <c r="RG1766" s="106"/>
      <c r="RH1766" s="106"/>
      <c r="RI1766" s="106"/>
      <c r="RJ1766" s="106"/>
      <c r="RK1766" s="106"/>
      <c r="RL1766" s="106"/>
    </row>
    <row r="1767" spans="48:480" x14ac:dyDescent="0.3">
      <c r="AV1767" s="103"/>
      <c r="CJ1767" s="103"/>
      <c r="FP1767" s="103"/>
      <c r="LL1767" s="103"/>
      <c r="NM1767" s="103"/>
      <c r="QT1767" s="106"/>
      <c r="QU1767" s="106"/>
      <c r="QV1767" s="106"/>
      <c r="QW1767" s="106"/>
      <c r="QX1767" s="106"/>
      <c r="QY1767" s="106"/>
      <c r="QZ1767" s="106"/>
      <c r="RA1767" s="106"/>
      <c r="RB1767" s="106"/>
      <c r="RC1767" s="106"/>
      <c r="RD1767" s="106"/>
      <c r="RE1767" s="106"/>
      <c r="RF1767" s="106"/>
      <c r="RG1767" s="106"/>
      <c r="RH1767" s="106"/>
      <c r="RI1767" s="106"/>
      <c r="RJ1767" s="106"/>
      <c r="RK1767" s="106"/>
      <c r="RL1767" s="106"/>
    </row>
    <row r="1768" spans="48:480" x14ac:dyDescent="0.3">
      <c r="AV1768" s="103"/>
      <c r="CJ1768" s="103"/>
      <c r="FP1768" s="103"/>
      <c r="LL1768" s="103"/>
      <c r="NM1768" s="103"/>
      <c r="QT1768" s="106"/>
      <c r="QU1768" s="106"/>
      <c r="QV1768" s="106"/>
      <c r="QW1768" s="106"/>
      <c r="QX1768" s="106"/>
      <c r="QY1768" s="106"/>
      <c r="QZ1768" s="106"/>
      <c r="RA1768" s="106"/>
      <c r="RB1768" s="106"/>
      <c r="RC1768" s="106"/>
      <c r="RD1768" s="106"/>
      <c r="RE1768" s="106"/>
      <c r="RF1768" s="106"/>
      <c r="RG1768" s="106"/>
      <c r="RH1768" s="106"/>
      <c r="RI1768" s="106"/>
      <c r="RJ1768" s="106"/>
      <c r="RK1768" s="106"/>
      <c r="RL1768" s="106"/>
    </row>
    <row r="1769" spans="48:480" x14ac:dyDescent="0.3">
      <c r="AV1769" s="103"/>
      <c r="CJ1769" s="103"/>
      <c r="FP1769" s="103"/>
      <c r="LL1769" s="103"/>
      <c r="NM1769" s="103"/>
      <c r="QT1769" s="106"/>
      <c r="QU1769" s="106"/>
      <c r="QV1769" s="106"/>
      <c r="QW1769" s="106"/>
      <c r="QX1769" s="106"/>
      <c r="QY1769" s="106"/>
      <c r="QZ1769" s="106"/>
      <c r="RA1769" s="106"/>
      <c r="RB1769" s="106"/>
      <c r="RC1769" s="106"/>
      <c r="RD1769" s="106"/>
      <c r="RE1769" s="106"/>
      <c r="RF1769" s="106"/>
      <c r="RG1769" s="106"/>
      <c r="RH1769" s="106"/>
      <c r="RI1769" s="106"/>
      <c r="RJ1769" s="106"/>
      <c r="RK1769" s="106"/>
      <c r="RL1769" s="106"/>
    </row>
    <row r="1770" spans="48:480" x14ac:dyDescent="0.3">
      <c r="AV1770" s="103"/>
      <c r="CJ1770" s="103"/>
      <c r="FP1770" s="103"/>
      <c r="LL1770" s="103"/>
      <c r="NM1770" s="103"/>
      <c r="QT1770" s="106"/>
      <c r="QU1770" s="106"/>
      <c r="QV1770" s="106"/>
      <c r="QW1770" s="106"/>
      <c r="QX1770" s="106"/>
      <c r="QY1770" s="106"/>
      <c r="QZ1770" s="106"/>
      <c r="RA1770" s="106"/>
      <c r="RB1770" s="106"/>
      <c r="RC1770" s="106"/>
      <c r="RD1770" s="106"/>
      <c r="RE1770" s="106"/>
      <c r="RF1770" s="106"/>
      <c r="RG1770" s="106"/>
      <c r="RH1770" s="106"/>
      <c r="RI1770" s="106"/>
      <c r="RJ1770" s="106"/>
      <c r="RK1770" s="106"/>
      <c r="RL1770" s="106"/>
    </row>
    <row r="1771" spans="48:480" x14ac:dyDescent="0.3">
      <c r="AV1771" s="103"/>
      <c r="CJ1771" s="103"/>
      <c r="FP1771" s="103"/>
      <c r="LL1771" s="103"/>
      <c r="NM1771" s="103"/>
      <c r="QT1771" s="106"/>
      <c r="QU1771" s="106"/>
      <c r="QV1771" s="106"/>
      <c r="QW1771" s="106"/>
      <c r="QX1771" s="106"/>
      <c r="QY1771" s="106"/>
      <c r="QZ1771" s="106"/>
      <c r="RA1771" s="106"/>
      <c r="RB1771" s="106"/>
      <c r="RC1771" s="106"/>
      <c r="RD1771" s="106"/>
      <c r="RE1771" s="106"/>
      <c r="RF1771" s="106"/>
      <c r="RG1771" s="106"/>
      <c r="RH1771" s="106"/>
      <c r="RI1771" s="106"/>
      <c r="RJ1771" s="106"/>
      <c r="RK1771" s="106"/>
      <c r="RL1771" s="106"/>
    </row>
    <row r="1772" spans="48:480" x14ac:dyDescent="0.3">
      <c r="AV1772" s="103"/>
      <c r="CJ1772" s="103"/>
      <c r="FP1772" s="103"/>
      <c r="LL1772" s="103"/>
      <c r="NM1772" s="103"/>
      <c r="QT1772" s="106"/>
      <c r="QU1772" s="106"/>
      <c r="QV1772" s="106"/>
      <c r="QW1772" s="106"/>
      <c r="QX1772" s="106"/>
      <c r="QY1772" s="106"/>
      <c r="QZ1772" s="106"/>
      <c r="RA1772" s="106"/>
      <c r="RB1772" s="106"/>
      <c r="RC1772" s="106"/>
      <c r="RD1772" s="106"/>
      <c r="RE1772" s="106"/>
      <c r="RF1772" s="106"/>
      <c r="RG1772" s="106"/>
      <c r="RH1772" s="106"/>
      <c r="RI1772" s="106"/>
      <c r="RJ1772" s="106"/>
      <c r="RK1772" s="106"/>
      <c r="RL1772" s="106"/>
    </row>
    <row r="1773" spans="48:480" x14ac:dyDescent="0.3">
      <c r="AV1773" s="103"/>
      <c r="CJ1773" s="103"/>
      <c r="FP1773" s="103"/>
      <c r="LL1773" s="103"/>
      <c r="NM1773" s="103"/>
      <c r="QT1773" s="106"/>
      <c r="QU1773" s="106"/>
      <c r="QV1773" s="106"/>
      <c r="QW1773" s="106"/>
      <c r="QX1773" s="106"/>
      <c r="QY1773" s="106"/>
      <c r="QZ1773" s="106"/>
      <c r="RA1773" s="106"/>
      <c r="RB1773" s="106"/>
      <c r="RC1773" s="106"/>
      <c r="RD1773" s="106"/>
      <c r="RE1773" s="106"/>
      <c r="RF1773" s="106"/>
      <c r="RG1773" s="106"/>
      <c r="RH1773" s="106"/>
      <c r="RI1773" s="106"/>
      <c r="RJ1773" s="106"/>
      <c r="RK1773" s="106"/>
      <c r="RL1773" s="106"/>
    </row>
    <row r="1774" spans="48:480" x14ac:dyDescent="0.3">
      <c r="AV1774" s="103"/>
      <c r="CJ1774" s="103"/>
      <c r="FP1774" s="103"/>
      <c r="LL1774" s="103"/>
      <c r="NM1774" s="103"/>
      <c r="QT1774" s="106"/>
      <c r="QU1774" s="106"/>
      <c r="QV1774" s="106"/>
      <c r="QW1774" s="106"/>
      <c r="QX1774" s="106"/>
      <c r="QY1774" s="106"/>
      <c r="QZ1774" s="106"/>
      <c r="RA1774" s="106"/>
      <c r="RB1774" s="106"/>
      <c r="RC1774" s="106"/>
      <c r="RD1774" s="106"/>
      <c r="RE1774" s="106"/>
      <c r="RF1774" s="106"/>
      <c r="RG1774" s="106"/>
      <c r="RH1774" s="106"/>
      <c r="RI1774" s="106"/>
      <c r="RJ1774" s="106"/>
      <c r="RK1774" s="106"/>
      <c r="RL1774" s="106"/>
    </row>
    <row r="1775" spans="48:480" x14ac:dyDescent="0.3">
      <c r="AV1775" s="103"/>
      <c r="CJ1775" s="103"/>
      <c r="FP1775" s="103"/>
      <c r="LL1775" s="103"/>
      <c r="NM1775" s="103"/>
      <c r="QT1775" s="106"/>
      <c r="QU1775" s="106"/>
      <c r="QV1775" s="106"/>
      <c r="QW1775" s="106"/>
      <c r="QX1775" s="106"/>
      <c r="QY1775" s="106"/>
      <c r="QZ1775" s="106"/>
      <c r="RA1775" s="106"/>
      <c r="RB1775" s="106"/>
      <c r="RC1775" s="106"/>
      <c r="RD1775" s="106"/>
      <c r="RE1775" s="106"/>
      <c r="RF1775" s="106"/>
      <c r="RG1775" s="106"/>
      <c r="RH1775" s="106"/>
      <c r="RI1775" s="106"/>
      <c r="RJ1775" s="106"/>
      <c r="RK1775" s="106"/>
      <c r="RL1775" s="106"/>
    </row>
    <row r="1776" spans="48:480" x14ac:dyDescent="0.3">
      <c r="AV1776" s="103"/>
      <c r="CJ1776" s="103"/>
      <c r="FP1776" s="103"/>
      <c r="LL1776" s="103"/>
      <c r="NM1776" s="103"/>
      <c r="QT1776" s="106"/>
      <c r="QU1776" s="106"/>
      <c r="QV1776" s="106"/>
      <c r="QW1776" s="106"/>
      <c r="QX1776" s="106"/>
      <c r="QY1776" s="106"/>
      <c r="QZ1776" s="106"/>
      <c r="RA1776" s="106"/>
      <c r="RB1776" s="106"/>
      <c r="RC1776" s="106"/>
      <c r="RD1776" s="106"/>
      <c r="RE1776" s="106"/>
      <c r="RF1776" s="106"/>
      <c r="RG1776" s="106"/>
      <c r="RH1776" s="106"/>
      <c r="RI1776" s="106"/>
      <c r="RJ1776" s="106"/>
      <c r="RK1776" s="106"/>
      <c r="RL1776" s="106"/>
    </row>
    <row r="1777" spans="48:480" x14ac:dyDescent="0.3">
      <c r="AV1777" s="103"/>
      <c r="CJ1777" s="103"/>
      <c r="FP1777" s="103"/>
      <c r="LL1777" s="103"/>
      <c r="NM1777" s="103"/>
      <c r="QT1777" s="106"/>
      <c r="QU1777" s="106"/>
      <c r="QV1777" s="106"/>
      <c r="QW1777" s="106"/>
      <c r="QX1777" s="106"/>
      <c r="QY1777" s="106"/>
      <c r="QZ1777" s="106"/>
      <c r="RA1777" s="106"/>
      <c r="RB1777" s="106"/>
      <c r="RC1777" s="106"/>
      <c r="RD1777" s="106"/>
      <c r="RE1777" s="106"/>
      <c r="RF1777" s="106"/>
      <c r="RG1777" s="106"/>
      <c r="RH1777" s="106"/>
      <c r="RI1777" s="106"/>
      <c r="RJ1777" s="106"/>
      <c r="RK1777" s="106"/>
      <c r="RL1777" s="106"/>
    </row>
    <row r="1778" spans="48:480" x14ac:dyDescent="0.3">
      <c r="AV1778" s="103"/>
      <c r="CJ1778" s="103"/>
      <c r="FP1778" s="103"/>
      <c r="LL1778" s="103"/>
      <c r="NM1778" s="103"/>
      <c r="QT1778" s="106"/>
      <c r="QU1778" s="106"/>
      <c r="QV1778" s="106"/>
      <c r="QW1778" s="106"/>
      <c r="QX1778" s="106"/>
      <c r="QY1778" s="106"/>
      <c r="QZ1778" s="106"/>
      <c r="RA1778" s="106"/>
      <c r="RB1778" s="106"/>
      <c r="RC1778" s="106"/>
      <c r="RD1778" s="106"/>
      <c r="RE1778" s="106"/>
      <c r="RF1778" s="106"/>
      <c r="RG1778" s="106"/>
      <c r="RH1778" s="106"/>
      <c r="RI1778" s="106"/>
      <c r="RJ1778" s="106"/>
      <c r="RK1778" s="106"/>
      <c r="RL1778" s="106"/>
    </row>
    <row r="1779" spans="48:480" x14ac:dyDescent="0.3">
      <c r="AV1779" s="103"/>
      <c r="CJ1779" s="103"/>
      <c r="FP1779" s="103"/>
      <c r="LL1779" s="103"/>
      <c r="NM1779" s="103"/>
      <c r="QT1779" s="106"/>
      <c r="QU1779" s="106"/>
      <c r="QV1779" s="106"/>
      <c r="QW1779" s="106"/>
      <c r="QX1779" s="106"/>
      <c r="QY1779" s="106"/>
      <c r="QZ1779" s="106"/>
      <c r="RA1779" s="106"/>
      <c r="RB1779" s="106"/>
      <c r="RC1779" s="106"/>
      <c r="RD1779" s="106"/>
      <c r="RE1779" s="106"/>
      <c r="RF1779" s="106"/>
      <c r="RG1779" s="106"/>
      <c r="RH1779" s="106"/>
      <c r="RI1779" s="106"/>
      <c r="RJ1779" s="106"/>
      <c r="RK1779" s="106"/>
      <c r="RL1779" s="106"/>
    </row>
    <row r="1780" spans="48:480" x14ac:dyDescent="0.3">
      <c r="AV1780" s="103"/>
      <c r="CJ1780" s="103"/>
      <c r="FP1780" s="103"/>
      <c r="LL1780" s="103"/>
      <c r="NM1780" s="103"/>
      <c r="QT1780" s="106"/>
      <c r="QU1780" s="106"/>
      <c r="QV1780" s="106"/>
      <c r="QW1780" s="106"/>
      <c r="QX1780" s="106"/>
      <c r="QY1780" s="106"/>
      <c r="QZ1780" s="106"/>
      <c r="RA1780" s="106"/>
      <c r="RB1780" s="106"/>
      <c r="RC1780" s="106"/>
      <c r="RD1780" s="106"/>
      <c r="RE1780" s="106"/>
      <c r="RF1780" s="106"/>
      <c r="RG1780" s="106"/>
      <c r="RH1780" s="106"/>
      <c r="RI1780" s="106"/>
      <c r="RJ1780" s="106"/>
      <c r="RK1780" s="106"/>
      <c r="RL1780" s="106"/>
    </row>
    <row r="1781" spans="48:480" x14ac:dyDescent="0.3">
      <c r="AV1781" s="103"/>
      <c r="CJ1781" s="103"/>
      <c r="FP1781" s="103"/>
      <c r="LL1781" s="103"/>
      <c r="NM1781" s="103"/>
      <c r="QT1781" s="106"/>
      <c r="QU1781" s="106"/>
      <c r="QV1781" s="106"/>
      <c r="QW1781" s="106"/>
      <c r="QX1781" s="106"/>
      <c r="QY1781" s="106"/>
      <c r="QZ1781" s="106"/>
      <c r="RA1781" s="106"/>
      <c r="RB1781" s="106"/>
      <c r="RC1781" s="106"/>
      <c r="RD1781" s="106"/>
      <c r="RE1781" s="106"/>
      <c r="RF1781" s="106"/>
      <c r="RG1781" s="106"/>
      <c r="RH1781" s="106"/>
      <c r="RI1781" s="106"/>
      <c r="RJ1781" s="106"/>
      <c r="RK1781" s="106"/>
      <c r="RL1781" s="106"/>
    </row>
    <row r="1782" spans="48:480" x14ac:dyDescent="0.3">
      <c r="AV1782" s="103"/>
      <c r="CJ1782" s="103"/>
      <c r="FP1782" s="103"/>
      <c r="LL1782" s="103"/>
      <c r="NM1782" s="103"/>
      <c r="QT1782" s="106"/>
      <c r="QU1782" s="106"/>
      <c r="QV1782" s="106"/>
      <c r="QW1782" s="106"/>
      <c r="QX1782" s="106"/>
      <c r="QY1782" s="106"/>
      <c r="QZ1782" s="106"/>
      <c r="RA1782" s="106"/>
      <c r="RB1782" s="106"/>
      <c r="RC1782" s="106"/>
      <c r="RD1782" s="106"/>
      <c r="RE1782" s="106"/>
      <c r="RF1782" s="106"/>
      <c r="RG1782" s="106"/>
      <c r="RH1782" s="106"/>
      <c r="RI1782" s="106"/>
      <c r="RJ1782" s="106"/>
      <c r="RK1782" s="106"/>
      <c r="RL1782" s="106"/>
    </row>
    <row r="1783" spans="48:480" x14ac:dyDescent="0.3">
      <c r="AV1783" s="103"/>
      <c r="CJ1783" s="103"/>
      <c r="FP1783" s="103"/>
      <c r="LL1783" s="103"/>
      <c r="NM1783" s="103"/>
      <c r="QT1783" s="106"/>
      <c r="QU1783" s="106"/>
      <c r="QV1783" s="106"/>
      <c r="QW1783" s="106"/>
      <c r="QX1783" s="106"/>
      <c r="QY1783" s="106"/>
      <c r="QZ1783" s="106"/>
      <c r="RA1783" s="106"/>
      <c r="RB1783" s="106"/>
      <c r="RC1783" s="106"/>
      <c r="RD1783" s="106"/>
      <c r="RE1783" s="106"/>
      <c r="RF1783" s="106"/>
      <c r="RG1783" s="106"/>
      <c r="RH1783" s="106"/>
      <c r="RI1783" s="106"/>
      <c r="RJ1783" s="106"/>
      <c r="RK1783" s="106"/>
      <c r="RL1783" s="106"/>
    </row>
    <row r="1784" spans="48:480" x14ac:dyDescent="0.3">
      <c r="AV1784" s="103"/>
      <c r="CJ1784" s="103"/>
      <c r="FP1784" s="103"/>
      <c r="LL1784" s="103"/>
      <c r="NM1784" s="103"/>
      <c r="QT1784" s="106"/>
      <c r="QU1784" s="106"/>
      <c r="QV1784" s="106"/>
      <c r="QW1784" s="106"/>
      <c r="QX1784" s="106"/>
      <c r="QY1784" s="106"/>
      <c r="QZ1784" s="106"/>
      <c r="RA1784" s="106"/>
      <c r="RB1784" s="106"/>
      <c r="RC1784" s="106"/>
      <c r="RD1784" s="106"/>
      <c r="RE1784" s="106"/>
      <c r="RF1784" s="106"/>
      <c r="RG1784" s="106"/>
      <c r="RH1784" s="106"/>
      <c r="RI1784" s="106"/>
      <c r="RJ1784" s="106"/>
      <c r="RK1784" s="106"/>
      <c r="RL1784" s="106"/>
    </row>
    <row r="1785" spans="48:480" x14ac:dyDescent="0.3">
      <c r="AV1785" s="103"/>
      <c r="CJ1785" s="103"/>
      <c r="FP1785" s="103"/>
      <c r="LL1785" s="103"/>
      <c r="NM1785" s="103"/>
      <c r="QT1785" s="106"/>
      <c r="QU1785" s="106"/>
      <c r="QV1785" s="106"/>
      <c r="QW1785" s="106"/>
      <c r="QX1785" s="106"/>
      <c r="QY1785" s="106"/>
      <c r="QZ1785" s="106"/>
      <c r="RA1785" s="106"/>
      <c r="RB1785" s="106"/>
      <c r="RC1785" s="106"/>
      <c r="RD1785" s="106"/>
      <c r="RE1785" s="106"/>
      <c r="RF1785" s="106"/>
      <c r="RG1785" s="106"/>
      <c r="RH1785" s="106"/>
      <c r="RI1785" s="106"/>
      <c r="RJ1785" s="106"/>
      <c r="RK1785" s="106"/>
      <c r="RL1785" s="106"/>
    </row>
    <row r="1786" spans="48:480" x14ac:dyDescent="0.3">
      <c r="AV1786" s="103"/>
      <c r="CJ1786" s="103"/>
      <c r="FP1786" s="103"/>
      <c r="LL1786" s="103"/>
      <c r="NM1786" s="103"/>
      <c r="QT1786" s="106"/>
      <c r="QU1786" s="106"/>
      <c r="QV1786" s="106"/>
      <c r="QW1786" s="106"/>
      <c r="QX1786" s="106"/>
      <c r="QY1786" s="106"/>
      <c r="QZ1786" s="106"/>
      <c r="RA1786" s="106"/>
      <c r="RB1786" s="106"/>
      <c r="RC1786" s="106"/>
      <c r="RD1786" s="106"/>
      <c r="RE1786" s="106"/>
      <c r="RF1786" s="106"/>
      <c r="RG1786" s="106"/>
      <c r="RH1786" s="106"/>
      <c r="RI1786" s="106"/>
      <c r="RJ1786" s="106"/>
      <c r="RK1786" s="106"/>
      <c r="RL1786" s="106"/>
    </row>
    <row r="1787" spans="48:480" x14ac:dyDescent="0.3">
      <c r="AV1787" s="103"/>
      <c r="CJ1787" s="103"/>
      <c r="FP1787" s="103"/>
      <c r="LL1787" s="103"/>
      <c r="NM1787" s="103"/>
      <c r="QT1787" s="106"/>
      <c r="QU1787" s="106"/>
      <c r="QV1787" s="106"/>
      <c r="QW1787" s="106"/>
      <c r="QX1787" s="106"/>
      <c r="QY1787" s="106"/>
      <c r="QZ1787" s="106"/>
      <c r="RA1787" s="106"/>
      <c r="RB1787" s="106"/>
      <c r="RC1787" s="106"/>
      <c r="RD1787" s="106"/>
      <c r="RE1787" s="106"/>
      <c r="RF1787" s="106"/>
      <c r="RG1787" s="106"/>
      <c r="RH1787" s="106"/>
      <c r="RI1787" s="106"/>
      <c r="RJ1787" s="106"/>
      <c r="RK1787" s="106"/>
      <c r="RL1787" s="106"/>
    </row>
    <row r="1788" spans="48:480" x14ac:dyDescent="0.3">
      <c r="AV1788" s="103"/>
      <c r="CJ1788" s="103"/>
      <c r="FP1788" s="103"/>
      <c r="LL1788" s="103"/>
      <c r="NM1788" s="103"/>
      <c r="QT1788" s="106"/>
      <c r="QU1788" s="106"/>
      <c r="QV1788" s="106"/>
      <c r="QW1788" s="106"/>
      <c r="QX1788" s="106"/>
      <c r="QY1788" s="106"/>
      <c r="QZ1788" s="106"/>
      <c r="RA1788" s="106"/>
      <c r="RB1788" s="106"/>
      <c r="RC1788" s="106"/>
      <c r="RD1788" s="106"/>
      <c r="RE1788" s="106"/>
      <c r="RF1788" s="106"/>
      <c r="RG1788" s="106"/>
      <c r="RH1788" s="106"/>
      <c r="RI1788" s="106"/>
      <c r="RJ1788" s="106"/>
      <c r="RK1788" s="106"/>
      <c r="RL1788" s="106"/>
    </row>
    <row r="1789" spans="48:480" x14ac:dyDescent="0.3">
      <c r="AV1789" s="103"/>
      <c r="CJ1789" s="103"/>
      <c r="FP1789" s="103"/>
      <c r="LL1789" s="103"/>
      <c r="NM1789" s="103"/>
      <c r="QT1789" s="106"/>
      <c r="QU1789" s="106"/>
      <c r="QV1789" s="106"/>
      <c r="QW1789" s="106"/>
      <c r="QX1789" s="106"/>
      <c r="QY1789" s="106"/>
      <c r="QZ1789" s="106"/>
      <c r="RA1789" s="106"/>
      <c r="RB1789" s="106"/>
      <c r="RC1789" s="106"/>
      <c r="RD1789" s="106"/>
      <c r="RE1789" s="106"/>
      <c r="RF1789" s="106"/>
      <c r="RG1789" s="106"/>
      <c r="RH1789" s="106"/>
      <c r="RI1789" s="106"/>
      <c r="RJ1789" s="106"/>
      <c r="RK1789" s="106"/>
      <c r="RL1789" s="106"/>
    </row>
    <row r="1790" spans="48:480" x14ac:dyDescent="0.3">
      <c r="AV1790" s="103"/>
      <c r="CJ1790" s="103"/>
      <c r="FP1790" s="103"/>
      <c r="LL1790" s="103"/>
      <c r="NM1790" s="103"/>
      <c r="QT1790" s="106"/>
      <c r="QU1790" s="106"/>
      <c r="QV1790" s="106"/>
      <c r="QW1790" s="106"/>
      <c r="QX1790" s="106"/>
      <c r="QY1790" s="106"/>
      <c r="QZ1790" s="106"/>
      <c r="RA1790" s="106"/>
      <c r="RB1790" s="106"/>
      <c r="RC1790" s="106"/>
      <c r="RD1790" s="106"/>
      <c r="RE1790" s="106"/>
      <c r="RF1790" s="106"/>
      <c r="RG1790" s="106"/>
      <c r="RH1790" s="106"/>
      <c r="RI1790" s="106"/>
      <c r="RJ1790" s="106"/>
      <c r="RK1790" s="106"/>
      <c r="RL1790" s="106"/>
    </row>
    <row r="1791" spans="48:480" x14ac:dyDescent="0.3">
      <c r="AV1791" s="103"/>
      <c r="CJ1791" s="103"/>
      <c r="FP1791" s="103"/>
      <c r="LL1791" s="103"/>
      <c r="NM1791" s="103"/>
      <c r="QT1791" s="106"/>
      <c r="QU1791" s="106"/>
      <c r="QV1791" s="106"/>
      <c r="QW1791" s="106"/>
      <c r="QX1791" s="106"/>
      <c r="QY1791" s="106"/>
      <c r="QZ1791" s="106"/>
      <c r="RA1791" s="106"/>
      <c r="RB1791" s="106"/>
      <c r="RC1791" s="106"/>
      <c r="RD1791" s="106"/>
      <c r="RE1791" s="106"/>
      <c r="RF1791" s="106"/>
      <c r="RG1791" s="106"/>
      <c r="RH1791" s="106"/>
      <c r="RI1791" s="106"/>
      <c r="RJ1791" s="106"/>
      <c r="RK1791" s="106"/>
      <c r="RL1791" s="106"/>
    </row>
    <row r="1792" spans="48:480" x14ac:dyDescent="0.3">
      <c r="AV1792" s="103"/>
      <c r="CJ1792" s="103"/>
      <c r="FP1792" s="103"/>
      <c r="LL1792" s="103"/>
      <c r="NM1792" s="103"/>
      <c r="QT1792" s="106"/>
      <c r="QU1792" s="106"/>
      <c r="QV1792" s="106"/>
      <c r="QW1792" s="106"/>
      <c r="QX1792" s="106"/>
      <c r="QY1792" s="106"/>
      <c r="QZ1792" s="106"/>
      <c r="RA1792" s="106"/>
      <c r="RB1792" s="106"/>
      <c r="RC1792" s="106"/>
      <c r="RD1792" s="106"/>
      <c r="RE1792" s="106"/>
      <c r="RF1792" s="106"/>
      <c r="RG1792" s="106"/>
      <c r="RH1792" s="106"/>
      <c r="RI1792" s="106"/>
      <c r="RJ1792" s="106"/>
      <c r="RK1792" s="106"/>
      <c r="RL1792" s="106"/>
    </row>
    <row r="1793" spans="48:480" x14ac:dyDescent="0.3">
      <c r="AV1793" s="103"/>
      <c r="CJ1793" s="103"/>
      <c r="FP1793" s="103"/>
      <c r="LL1793" s="103"/>
      <c r="NM1793" s="103"/>
      <c r="QT1793" s="106"/>
      <c r="QU1793" s="106"/>
      <c r="QV1793" s="106"/>
      <c r="QW1793" s="106"/>
      <c r="QX1793" s="106"/>
      <c r="QY1793" s="106"/>
      <c r="QZ1793" s="106"/>
      <c r="RA1793" s="106"/>
      <c r="RB1793" s="106"/>
      <c r="RC1793" s="106"/>
      <c r="RD1793" s="106"/>
      <c r="RE1793" s="106"/>
      <c r="RF1793" s="106"/>
      <c r="RG1793" s="106"/>
      <c r="RH1793" s="106"/>
      <c r="RI1793" s="106"/>
      <c r="RJ1793" s="106"/>
      <c r="RK1793" s="106"/>
      <c r="RL1793" s="106"/>
    </row>
    <row r="1794" spans="48:480" x14ac:dyDescent="0.3">
      <c r="AV1794" s="103"/>
      <c r="CJ1794" s="103"/>
      <c r="FP1794" s="103"/>
      <c r="LL1794" s="103"/>
      <c r="NM1794" s="103"/>
      <c r="QT1794" s="106"/>
      <c r="QU1794" s="106"/>
      <c r="QV1794" s="106"/>
      <c r="QW1794" s="106"/>
      <c r="QX1794" s="106"/>
      <c r="QY1794" s="106"/>
      <c r="QZ1794" s="106"/>
      <c r="RA1794" s="106"/>
      <c r="RB1794" s="106"/>
      <c r="RC1794" s="106"/>
      <c r="RD1794" s="106"/>
      <c r="RE1794" s="106"/>
      <c r="RF1794" s="106"/>
      <c r="RG1794" s="106"/>
      <c r="RH1794" s="106"/>
      <c r="RI1794" s="106"/>
      <c r="RJ1794" s="106"/>
      <c r="RK1794" s="106"/>
      <c r="RL1794" s="106"/>
    </row>
    <row r="1795" spans="48:480" x14ac:dyDescent="0.3">
      <c r="AV1795" s="103"/>
      <c r="CJ1795" s="103"/>
      <c r="FP1795" s="103"/>
      <c r="LL1795" s="103"/>
      <c r="NM1795" s="103"/>
      <c r="QT1795" s="106"/>
      <c r="QU1795" s="106"/>
      <c r="QV1795" s="106"/>
      <c r="QW1795" s="106"/>
      <c r="QX1795" s="106"/>
      <c r="QY1795" s="106"/>
      <c r="QZ1795" s="106"/>
      <c r="RA1795" s="106"/>
      <c r="RB1795" s="106"/>
      <c r="RC1795" s="106"/>
      <c r="RD1795" s="106"/>
      <c r="RE1795" s="106"/>
      <c r="RF1795" s="106"/>
      <c r="RG1795" s="106"/>
      <c r="RH1795" s="106"/>
      <c r="RI1795" s="106"/>
      <c r="RJ1795" s="106"/>
      <c r="RK1795" s="106"/>
      <c r="RL1795" s="106"/>
    </row>
    <row r="1796" spans="48:480" x14ac:dyDescent="0.3">
      <c r="AV1796" s="103"/>
      <c r="CJ1796" s="103"/>
      <c r="FP1796" s="103"/>
      <c r="LL1796" s="103"/>
      <c r="NM1796" s="103"/>
      <c r="QT1796" s="106"/>
      <c r="QU1796" s="106"/>
      <c r="QV1796" s="106"/>
      <c r="QW1796" s="106"/>
      <c r="QX1796" s="106"/>
      <c r="QY1796" s="106"/>
      <c r="QZ1796" s="106"/>
      <c r="RA1796" s="106"/>
      <c r="RB1796" s="106"/>
      <c r="RC1796" s="106"/>
      <c r="RD1796" s="106"/>
      <c r="RE1796" s="106"/>
      <c r="RF1796" s="106"/>
      <c r="RG1796" s="106"/>
      <c r="RH1796" s="106"/>
      <c r="RI1796" s="106"/>
      <c r="RJ1796" s="106"/>
      <c r="RK1796" s="106"/>
      <c r="RL1796" s="106"/>
    </row>
    <row r="1797" spans="48:480" x14ac:dyDescent="0.3">
      <c r="AV1797" s="103"/>
      <c r="CJ1797" s="103"/>
      <c r="FP1797" s="103"/>
      <c r="LL1797" s="103"/>
      <c r="NM1797" s="103"/>
      <c r="QT1797" s="106"/>
      <c r="QU1797" s="106"/>
      <c r="QV1797" s="106"/>
      <c r="QW1797" s="106"/>
      <c r="QX1797" s="106"/>
      <c r="QY1797" s="106"/>
      <c r="QZ1797" s="106"/>
      <c r="RA1797" s="106"/>
      <c r="RB1797" s="106"/>
      <c r="RC1797" s="106"/>
      <c r="RD1797" s="106"/>
      <c r="RE1797" s="106"/>
      <c r="RF1797" s="106"/>
      <c r="RG1797" s="106"/>
      <c r="RH1797" s="106"/>
      <c r="RI1797" s="106"/>
      <c r="RJ1797" s="106"/>
      <c r="RK1797" s="106"/>
      <c r="RL1797" s="106"/>
    </row>
    <row r="1798" spans="48:480" x14ac:dyDescent="0.3">
      <c r="AV1798" s="103"/>
      <c r="CJ1798" s="103"/>
      <c r="FP1798" s="103"/>
      <c r="LL1798" s="103"/>
      <c r="NM1798" s="103"/>
      <c r="QT1798" s="106"/>
      <c r="QU1798" s="106"/>
      <c r="QV1798" s="106"/>
      <c r="QW1798" s="106"/>
      <c r="QX1798" s="106"/>
      <c r="QY1798" s="106"/>
      <c r="QZ1798" s="106"/>
      <c r="RA1798" s="106"/>
      <c r="RB1798" s="106"/>
      <c r="RC1798" s="106"/>
      <c r="RD1798" s="106"/>
      <c r="RE1798" s="106"/>
      <c r="RF1798" s="106"/>
      <c r="RG1798" s="106"/>
      <c r="RH1798" s="106"/>
      <c r="RI1798" s="106"/>
      <c r="RJ1798" s="106"/>
      <c r="RK1798" s="106"/>
      <c r="RL1798" s="106"/>
    </row>
    <row r="1799" spans="48:480" x14ac:dyDescent="0.3">
      <c r="AV1799" s="103"/>
      <c r="CJ1799" s="103"/>
      <c r="FP1799" s="103"/>
      <c r="LL1799" s="103"/>
      <c r="NM1799" s="103"/>
      <c r="QT1799" s="106"/>
      <c r="QU1799" s="106"/>
      <c r="QV1799" s="106"/>
      <c r="QW1799" s="106"/>
      <c r="QX1799" s="106"/>
      <c r="QY1799" s="106"/>
      <c r="QZ1799" s="106"/>
      <c r="RA1799" s="106"/>
      <c r="RB1799" s="106"/>
      <c r="RC1799" s="106"/>
      <c r="RD1799" s="106"/>
      <c r="RE1799" s="106"/>
      <c r="RF1799" s="106"/>
      <c r="RG1799" s="106"/>
      <c r="RH1799" s="106"/>
      <c r="RI1799" s="106"/>
      <c r="RJ1799" s="106"/>
      <c r="RK1799" s="106"/>
      <c r="RL1799" s="106"/>
    </row>
    <row r="1800" spans="48:480" x14ac:dyDescent="0.3">
      <c r="AV1800" s="103"/>
      <c r="CJ1800" s="103"/>
      <c r="FP1800" s="103"/>
      <c r="LL1800" s="103"/>
      <c r="NM1800" s="103"/>
      <c r="QT1800" s="106"/>
      <c r="QU1800" s="106"/>
      <c r="QV1800" s="106"/>
      <c r="QW1800" s="106"/>
      <c r="QX1800" s="106"/>
      <c r="QY1800" s="106"/>
      <c r="QZ1800" s="106"/>
      <c r="RA1800" s="106"/>
      <c r="RB1800" s="106"/>
      <c r="RC1800" s="106"/>
      <c r="RD1800" s="106"/>
      <c r="RE1800" s="106"/>
      <c r="RF1800" s="106"/>
      <c r="RG1800" s="106"/>
      <c r="RH1800" s="106"/>
      <c r="RI1800" s="106"/>
      <c r="RJ1800" s="106"/>
      <c r="RK1800" s="106"/>
      <c r="RL1800" s="106"/>
    </row>
    <row r="1801" spans="48:480" x14ac:dyDescent="0.3">
      <c r="AV1801" s="103"/>
      <c r="CJ1801" s="103"/>
      <c r="FP1801" s="103"/>
      <c r="LL1801" s="103"/>
      <c r="NM1801" s="103"/>
      <c r="QT1801" s="106"/>
      <c r="QU1801" s="106"/>
      <c r="QV1801" s="106"/>
      <c r="QW1801" s="106"/>
      <c r="QX1801" s="106"/>
      <c r="QY1801" s="106"/>
      <c r="QZ1801" s="106"/>
      <c r="RA1801" s="106"/>
      <c r="RB1801" s="106"/>
      <c r="RC1801" s="106"/>
      <c r="RD1801" s="106"/>
      <c r="RE1801" s="106"/>
      <c r="RF1801" s="106"/>
      <c r="RG1801" s="106"/>
      <c r="RH1801" s="106"/>
      <c r="RI1801" s="106"/>
      <c r="RJ1801" s="106"/>
      <c r="RK1801" s="106"/>
      <c r="RL1801" s="106"/>
    </row>
    <row r="1802" spans="48:480" x14ac:dyDescent="0.3">
      <c r="AV1802" s="103"/>
      <c r="CJ1802" s="103"/>
      <c r="FP1802" s="103"/>
      <c r="LL1802" s="103"/>
      <c r="NM1802" s="103"/>
      <c r="QT1802" s="106"/>
      <c r="QU1802" s="106"/>
      <c r="QV1802" s="106"/>
      <c r="QW1802" s="106"/>
      <c r="QX1802" s="106"/>
      <c r="QY1802" s="106"/>
      <c r="QZ1802" s="106"/>
      <c r="RA1802" s="106"/>
      <c r="RB1802" s="106"/>
      <c r="RC1802" s="106"/>
      <c r="RD1802" s="106"/>
      <c r="RE1802" s="106"/>
      <c r="RF1802" s="106"/>
      <c r="RG1802" s="106"/>
      <c r="RH1802" s="106"/>
      <c r="RI1802" s="106"/>
      <c r="RJ1802" s="106"/>
      <c r="RK1802" s="106"/>
      <c r="RL1802" s="106"/>
    </row>
    <row r="1803" spans="48:480" x14ac:dyDescent="0.3">
      <c r="AV1803" s="103"/>
      <c r="CJ1803" s="103"/>
      <c r="FP1803" s="103"/>
      <c r="LL1803" s="103"/>
      <c r="NM1803" s="103"/>
      <c r="QT1803" s="106"/>
      <c r="QU1803" s="106"/>
      <c r="QV1803" s="106"/>
      <c r="QW1803" s="106"/>
      <c r="QX1803" s="106"/>
      <c r="QY1803" s="106"/>
      <c r="QZ1803" s="106"/>
      <c r="RA1803" s="106"/>
      <c r="RB1803" s="106"/>
      <c r="RC1803" s="106"/>
      <c r="RD1803" s="106"/>
      <c r="RE1803" s="106"/>
      <c r="RF1803" s="106"/>
      <c r="RG1803" s="106"/>
      <c r="RH1803" s="106"/>
      <c r="RI1803" s="106"/>
      <c r="RJ1803" s="106"/>
      <c r="RK1803" s="106"/>
      <c r="RL1803" s="106"/>
    </row>
    <row r="1804" spans="48:480" x14ac:dyDescent="0.3">
      <c r="AV1804" s="103"/>
      <c r="CJ1804" s="103"/>
      <c r="FP1804" s="103"/>
      <c r="LL1804" s="103"/>
      <c r="NM1804" s="103"/>
      <c r="QT1804" s="106"/>
      <c r="QU1804" s="106"/>
      <c r="QV1804" s="106"/>
      <c r="QW1804" s="106"/>
      <c r="QX1804" s="106"/>
      <c r="QY1804" s="106"/>
      <c r="QZ1804" s="106"/>
      <c r="RA1804" s="106"/>
      <c r="RB1804" s="106"/>
      <c r="RC1804" s="106"/>
      <c r="RD1804" s="106"/>
      <c r="RE1804" s="106"/>
      <c r="RF1804" s="106"/>
      <c r="RG1804" s="106"/>
      <c r="RH1804" s="106"/>
      <c r="RI1804" s="106"/>
      <c r="RJ1804" s="106"/>
      <c r="RK1804" s="106"/>
      <c r="RL1804" s="106"/>
    </row>
    <row r="1805" spans="48:480" x14ac:dyDescent="0.3">
      <c r="AV1805" s="103"/>
      <c r="CJ1805" s="103"/>
      <c r="FP1805" s="103"/>
      <c r="LL1805" s="103"/>
      <c r="NM1805" s="103"/>
      <c r="QT1805" s="106"/>
      <c r="QU1805" s="106"/>
      <c r="QV1805" s="106"/>
      <c r="QW1805" s="106"/>
      <c r="QX1805" s="106"/>
      <c r="QY1805" s="106"/>
      <c r="QZ1805" s="106"/>
      <c r="RA1805" s="106"/>
      <c r="RB1805" s="106"/>
      <c r="RC1805" s="106"/>
      <c r="RD1805" s="106"/>
      <c r="RE1805" s="106"/>
      <c r="RF1805" s="106"/>
      <c r="RG1805" s="106"/>
      <c r="RH1805" s="106"/>
      <c r="RI1805" s="106"/>
      <c r="RJ1805" s="106"/>
      <c r="RK1805" s="106"/>
      <c r="RL1805" s="106"/>
    </row>
    <row r="1806" spans="48:480" x14ac:dyDescent="0.3">
      <c r="AV1806" s="103"/>
      <c r="CJ1806" s="103"/>
      <c r="FP1806" s="103"/>
      <c r="LL1806" s="103"/>
      <c r="NM1806" s="103"/>
      <c r="QT1806" s="106"/>
      <c r="QU1806" s="106"/>
      <c r="QV1806" s="106"/>
      <c r="QW1806" s="106"/>
      <c r="QX1806" s="106"/>
      <c r="QY1806" s="106"/>
      <c r="QZ1806" s="106"/>
      <c r="RA1806" s="106"/>
      <c r="RB1806" s="106"/>
      <c r="RC1806" s="106"/>
      <c r="RD1806" s="106"/>
      <c r="RE1806" s="106"/>
      <c r="RF1806" s="106"/>
      <c r="RG1806" s="106"/>
      <c r="RH1806" s="106"/>
      <c r="RI1806" s="106"/>
      <c r="RJ1806" s="106"/>
      <c r="RK1806" s="106"/>
      <c r="RL1806" s="106"/>
    </row>
    <row r="1807" spans="48:480" x14ac:dyDescent="0.3">
      <c r="AV1807" s="103"/>
      <c r="CJ1807" s="103"/>
      <c r="FP1807" s="103"/>
      <c r="LL1807" s="103"/>
      <c r="NM1807" s="103"/>
      <c r="QT1807" s="106"/>
      <c r="QU1807" s="106"/>
      <c r="QV1807" s="106"/>
      <c r="QW1807" s="106"/>
      <c r="QX1807" s="106"/>
      <c r="QY1807" s="106"/>
      <c r="QZ1807" s="106"/>
      <c r="RA1807" s="106"/>
      <c r="RB1807" s="106"/>
      <c r="RC1807" s="106"/>
      <c r="RD1807" s="106"/>
      <c r="RE1807" s="106"/>
      <c r="RF1807" s="106"/>
      <c r="RG1807" s="106"/>
      <c r="RH1807" s="106"/>
      <c r="RI1807" s="106"/>
      <c r="RJ1807" s="106"/>
      <c r="RK1807" s="106"/>
      <c r="RL1807" s="106"/>
    </row>
    <row r="1808" spans="48:480" x14ac:dyDescent="0.3">
      <c r="AV1808" s="103"/>
      <c r="CJ1808" s="103"/>
      <c r="FP1808" s="103"/>
      <c r="LL1808" s="103"/>
      <c r="NM1808" s="103"/>
      <c r="QT1808" s="106"/>
      <c r="QU1808" s="106"/>
      <c r="QV1808" s="106"/>
      <c r="QW1808" s="106"/>
      <c r="QX1808" s="106"/>
      <c r="QY1808" s="106"/>
      <c r="QZ1808" s="106"/>
      <c r="RA1808" s="106"/>
      <c r="RB1808" s="106"/>
      <c r="RC1808" s="106"/>
      <c r="RD1808" s="106"/>
      <c r="RE1808" s="106"/>
      <c r="RF1808" s="106"/>
      <c r="RG1808" s="106"/>
      <c r="RH1808" s="106"/>
      <c r="RI1808" s="106"/>
      <c r="RJ1808" s="106"/>
      <c r="RK1808" s="106"/>
      <c r="RL1808" s="106"/>
    </row>
    <row r="1809" spans="48:480" x14ac:dyDescent="0.3">
      <c r="AV1809" s="103"/>
      <c r="CJ1809" s="103"/>
      <c r="FP1809" s="103"/>
      <c r="LL1809" s="103"/>
      <c r="NM1809" s="103"/>
      <c r="QT1809" s="106"/>
      <c r="QU1809" s="106"/>
      <c r="QV1809" s="106"/>
      <c r="QW1809" s="106"/>
      <c r="QX1809" s="106"/>
      <c r="QY1809" s="106"/>
      <c r="QZ1809" s="106"/>
      <c r="RA1809" s="106"/>
      <c r="RB1809" s="106"/>
      <c r="RC1809" s="106"/>
      <c r="RD1809" s="106"/>
      <c r="RE1809" s="106"/>
      <c r="RF1809" s="106"/>
      <c r="RG1809" s="106"/>
      <c r="RH1809" s="106"/>
      <c r="RI1809" s="106"/>
      <c r="RJ1809" s="106"/>
      <c r="RK1809" s="106"/>
      <c r="RL1809" s="106"/>
    </row>
    <row r="1810" spans="48:480" x14ac:dyDescent="0.3">
      <c r="AV1810" s="103"/>
      <c r="CJ1810" s="103"/>
      <c r="FP1810" s="103"/>
      <c r="LL1810" s="103"/>
      <c r="NM1810" s="103"/>
      <c r="QT1810" s="106"/>
      <c r="QU1810" s="106"/>
      <c r="QV1810" s="106"/>
      <c r="QW1810" s="106"/>
      <c r="QX1810" s="106"/>
      <c r="QY1810" s="106"/>
      <c r="QZ1810" s="106"/>
      <c r="RA1810" s="106"/>
      <c r="RB1810" s="106"/>
      <c r="RC1810" s="106"/>
      <c r="RD1810" s="106"/>
      <c r="RE1810" s="106"/>
      <c r="RF1810" s="106"/>
      <c r="RG1810" s="106"/>
      <c r="RH1810" s="106"/>
      <c r="RI1810" s="106"/>
      <c r="RJ1810" s="106"/>
      <c r="RK1810" s="106"/>
      <c r="RL1810" s="106"/>
    </row>
    <row r="1811" spans="48:480" x14ac:dyDescent="0.3">
      <c r="AV1811" s="103"/>
      <c r="CJ1811" s="103"/>
      <c r="FP1811" s="103"/>
      <c r="LL1811" s="103"/>
      <c r="NM1811" s="103"/>
      <c r="QT1811" s="106"/>
      <c r="QU1811" s="106"/>
      <c r="QV1811" s="106"/>
      <c r="QW1811" s="106"/>
      <c r="QX1811" s="106"/>
      <c r="QY1811" s="106"/>
      <c r="QZ1811" s="106"/>
      <c r="RA1811" s="106"/>
      <c r="RB1811" s="106"/>
      <c r="RC1811" s="106"/>
      <c r="RD1811" s="106"/>
      <c r="RE1811" s="106"/>
      <c r="RF1811" s="106"/>
      <c r="RG1811" s="106"/>
      <c r="RH1811" s="106"/>
      <c r="RI1811" s="106"/>
      <c r="RJ1811" s="106"/>
      <c r="RK1811" s="106"/>
      <c r="RL1811" s="106"/>
    </row>
    <row r="1812" spans="48:480" x14ac:dyDescent="0.3">
      <c r="AV1812" s="103"/>
      <c r="CJ1812" s="103"/>
      <c r="FP1812" s="103"/>
      <c r="LL1812" s="103"/>
      <c r="NM1812" s="103"/>
      <c r="QT1812" s="106"/>
      <c r="QU1812" s="106"/>
      <c r="QV1812" s="106"/>
      <c r="QW1812" s="106"/>
      <c r="QX1812" s="106"/>
      <c r="QY1812" s="106"/>
      <c r="QZ1812" s="106"/>
      <c r="RA1812" s="106"/>
      <c r="RB1812" s="106"/>
      <c r="RC1812" s="106"/>
      <c r="RD1812" s="106"/>
      <c r="RE1812" s="106"/>
      <c r="RF1812" s="106"/>
      <c r="RG1812" s="106"/>
      <c r="RH1812" s="106"/>
      <c r="RI1812" s="106"/>
      <c r="RJ1812" s="106"/>
      <c r="RK1812" s="106"/>
      <c r="RL1812" s="106"/>
    </row>
    <row r="1813" spans="48:480" x14ac:dyDescent="0.3">
      <c r="AV1813" s="103"/>
      <c r="CJ1813" s="103"/>
      <c r="FP1813" s="103"/>
      <c r="LL1813" s="103"/>
      <c r="NM1813" s="103"/>
      <c r="QT1813" s="106"/>
      <c r="QU1813" s="106"/>
      <c r="QV1813" s="106"/>
      <c r="QW1813" s="106"/>
      <c r="QX1813" s="106"/>
      <c r="QY1813" s="106"/>
      <c r="QZ1813" s="106"/>
      <c r="RA1813" s="106"/>
      <c r="RB1813" s="106"/>
      <c r="RC1813" s="106"/>
      <c r="RD1813" s="106"/>
      <c r="RE1813" s="106"/>
      <c r="RF1813" s="106"/>
      <c r="RG1813" s="106"/>
      <c r="RH1813" s="106"/>
      <c r="RI1813" s="106"/>
      <c r="RJ1813" s="106"/>
      <c r="RK1813" s="106"/>
      <c r="RL1813" s="106"/>
    </row>
    <row r="1814" spans="48:480" x14ac:dyDescent="0.3">
      <c r="AV1814" s="103"/>
      <c r="CJ1814" s="103"/>
      <c r="FP1814" s="103"/>
      <c r="LL1814" s="103"/>
      <c r="NM1814" s="103"/>
      <c r="QT1814" s="106"/>
      <c r="QU1814" s="106"/>
      <c r="QV1814" s="106"/>
      <c r="QW1814" s="106"/>
      <c r="QX1814" s="106"/>
      <c r="QY1814" s="106"/>
      <c r="QZ1814" s="106"/>
      <c r="RA1814" s="106"/>
      <c r="RB1814" s="106"/>
      <c r="RC1814" s="106"/>
      <c r="RD1814" s="106"/>
      <c r="RE1814" s="106"/>
      <c r="RF1814" s="106"/>
      <c r="RG1814" s="106"/>
      <c r="RH1814" s="106"/>
      <c r="RI1814" s="106"/>
      <c r="RJ1814" s="106"/>
      <c r="RK1814" s="106"/>
      <c r="RL1814" s="106"/>
    </row>
    <row r="1815" spans="48:480" x14ac:dyDescent="0.3">
      <c r="AV1815" s="103"/>
      <c r="CJ1815" s="103"/>
      <c r="FP1815" s="103"/>
      <c r="LL1815" s="103"/>
      <c r="NM1815" s="103"/>
      <c r="QT1815" s="106"/>
      <c r="QU1815" s="106"/>
      <c r="QV1815" s="106"/>
      <c r="QW1815" s="106"/>
      <c r="QX1815" s="106"/>
      <c r="QY1815" s="106"/>
      <c r="QZ1815" s="106"/>
      <c r="RA1815" s="106"/>
      <c r="RB1815" s="106"/>
      <c r="RC1815" s="106"/>
      <c r="RD1815" s="106"/>
      <c r="RE1815" s="106"/>
      <c r="RF1815" s="106"/>
      <c r="RG1815" s="106"/>
      <c r="RH1815" s="106"/>
      <c r="RI1815" s="106"/>
      <c r="RJ1815" s="106"/>
      <c r="RK1815" s="106"/>
      <c r="RL1815" s="106"/>
    </row>
    <row r="1816" spans="48:480" x14ac:dyDescent="0.3">
      <c r="AV1816" s="103"/>
      <c r="CJ1816" s="103"/>
      <c r="FP1816" s="103"/>
      <c r="LL1816" s="103"/>
      <c r="NM1816" s="103"/>
      <c r="QT1816" s="106"/>
      <c r="QU1816" s="106"/>
      <c r="QV1816" s="106"/>
      <c r="QW1816" s="106"/>
      <c r="QX1816" s="106"/>
      <c r="QY1816" s="106"/>
      <c r="QZ1816" s="106"/>
      <c r="RA1816" s="106"/>
      <c r="RB1816" s="106"/>
      <c r="RC1816" s="106"/>
      <c r="RD1816" s="106"/>
      <c r="RE1816" s="106"/>
      <c r="RF1816" s="106"/>
      <c r="RG1816" s="106"/>
      <c r="RH1816" s="106"/>
      <c r="RI1816" s="106"/>
      <c r="RJ1816" s="106"/>
      <c r="RK1816" s="106"/>
      <c r="RL1816" s="106"/>
    </row>
    <row r="1817" spans="48:480" x14ac:dyDescent="0.3">
      <c r="AV1817" s="103"/>
      <c r="CJ1817" s="103"/>
      <c r="FP1817" s="103"/>
      <c r="LL1817" s="103"/>
      <c r="NM1817" s="103"/>
      <c r="QT1817" s="106"/>
      <c r="QU1817" s="106"/>
      <c r="QV1817" s="106"/>
      <c r="QW1817" s="106"/>
      <c r="QX1817" s="106"/>
      <c r="QY1817" s="106"/>
      <c r="QZ1817" s="106"/>
      <c r="RA1817" s="106"/>
      <c r="RB1817" s="106"/>
      <c r="RC1817" s="106"/>
      <c r="RD1817" s="106"/>
      <c r="RE1817" s="106"/>
      <c r="RF1817" s="106"/>
      <c r="RG1817" s="106"/>
      <c r="RH1817" s="106"/>
      <c r="RI1817" s="106"/>
      <c r="RJ1817" s="106"/>
      <c r="RK1817" s="106"/>
      <c r="RL1817" s="106"/>
    </row>
    <row r="1818" spans="48:480" x14ac:dyDescent="0.3">
      <c r="AV1818" s="103"/>
      <c r="CJ1818" s="103"/>
      <c r="FP1818" s="103"/>
      <c r="LL1818" s="103"/>
      <c r="NM1818" s="103"/>
      <c r="QT1818" s="106"/>
      <c r="QU1818" s="106"/>
      <c r="QV1818" s="106"/>
      <c r="QW1818" s="106"/>
      <c r="QX1818" s="106"/>
      <c r="QY1818" s="106"/>
      <c r="QZ1818" s="106"/>
      <c r="RA1818" s="106"/>
      <c r="RB1818" s="106"/>
      <c r="RC1818" s="106"/>
      <c r="RD1818" s="106"/>
      <c r="RE1818" s="106"/>
      <c r="RF1818" s="106"/>
      <c r="RG1818" s="106"/>
      <c r="RH1818" s="106"/>
      <c r="RI1818" s="106"/>
      <c r="RJ1818" s="106"/>
      <c r="RK1818" s="106"/>
      <c r="RL1818" s="106"/>
    </row>
    <row r="1819" spans="48:480" x14ac:dyDescent="0.3">
      <c r="AV1819" s="103"/>
      <c r="CJ1819" s="103"/>
      <c r="FP1819" s="103"/>
      <c r="LL1819" s="103"/>
      <c r="NM1819" s="103"/>
      <c r="QT1819" s="106"/>
      <c r="QU1819" s="106"/>
      <c r="QV1819" s="106"/>
      <c r="QW1819" s="106"/>
      <c r="QX1819" s="106"/>
      <c r="QY1819" s="106"/>
      <c r="QZ1819" s="106"/>
      <c r="RA1819" s="106"/>
      <c r="RB1819" s="106"/>
      <c r="RC1819" s="106"/>
      <c r="RD1819" s="106"/>
      <c r="RE1819" s="106"/>
      <c r="RF1819" s="106"/>
      <c r="RG1819" s="106"/>
      <c r="RH1819" s="106"/>
      <c r="RI1819" s="106"/>
      <c r="RJ1819" s="106"/>
      <c r="RK1819" s="106"/>
      <c r="RL1819" s="106"/>
    </row>
    <row r="1820" spans="48:480" x14ac:dyDescent="0.3">
      <c r="AV1820" s="103"/>
      <c r="CJ1820" s="103"/>
      <c r="FP1820" s="103"/>
      <c r="LL1820" s="103"/>
      <c r="NM1820" s="103"/>
      <c r="QT1820" s="106"/>
      <c r="QU1820" s="106"/>
      <c r="QV1820" s="106"/>
      <c r="QW1820" s="106"/>
      <c r="QX1820" s="106"/>
      <c r="QY1820" s="106"/>
      <c r="QZ1820" s="106"/>
      <c r="RA1820" s="106"/>
      <c r="RB1820" s="106"/>
      <c r="RC1820" s="106"/>
      <c r="RD1820" s="106"/>
      <c r="RE1820" s="106"/>
      <c r="RF1820" s="106"/>
      <c r="RG1820" s="106"/>
      <c r="RH1820" s="106"/>
      <c r="RI1820" s="106"/>
      <c r="RJ1820" s="106"/>
      <c r="RK1820" s="106"/>
      <c r="RL1820" s="106"/>
    </row>
    <row r="1821" spans="48:480" x14ac:dyDescent="0.3">
      <c r="AV1821" s="103"/>
      <c r="CJ1821" s="103"/>
      <c r="FP1821" s="103"/>
      <c r="LL1821" s="103"/>
      <c r="NM1821" s="103"/>
      <c r="QT1821" s="106"/>
      <c r="QU1821" s="106"/>
      <c r="QV1821" s="106"/>
      <c r="QW1821" s="106"/>
      <c r="QX1821" s="106"/>
      <c r="QY1821" s="106"/>
      <c r="QZ1821" s="106"/>
      <c r="RA1821" s="106"/>
      <c r="RB1821" s="106"/>
      <c r="RC1821" s="106"/>
      <c r="RD1821" s="106"/>
      <c r="RE1821" s="106"/>
      <c r="RF1821" s="106"/>
      <c r="RG1821" s="106"/>
      <c r="RH1821" s="106"/>
      <c r="RI1821" s="106"/>
      <c r="RJ1821" s="106"/>
      <c r="RK1821" s="106"/>
      <c r="RL1821" s="106"/>
    </row>
    <row r="1822" spans="48:480" x14ac:dyDescent="0.3">
      <c r="AV1822" s="103"/>
      <c r="CJ1822" s="103"/>
      <c r="FP1822" s="103"/>
      <c r="LL1822" s="103"/>
      <c r="NM1822" s="103"/>
      <c r="QT1822" s="106"/>
      <c r="QU1822" s="106"/>
      <c r="QV1822" s="106"/>
      <c r="QW1822" s="106"/>
      <c r="QX1822" s="106"/>
      <c r="QY1822" s="106"/>
      <c r="QZ1822" s="106"/>
      <c r="RA1822" s="106"/>
      <c r="RB1822" s="106"/>
      <c r="RC1822" s="106"/>
      <c r="RD1822" s="106"/>
      <c r="RE1822" s="106"/>
      <c r="RF1822" s="106"/>
      <c r="RG1822" s="106"/>
      <c r="RH1822" s="106"/>
      <c r="RI1822" s="106"/>
      <c r="RJ1822" s="106"/>
      <c r="RK1822" s="106"/>
      <c r="RL1822" s="106"/>
    </row>
    <row r="1823" spans="48:480" x14ac:dyDescent="0.3">
      <c r="AV1823" s="103"/>
      <c r="CJ1823" s="103"/>
      <c r="FP1823" s="103"/>
      <c r="LL1823" s="103"/>
      <c r="NM1823" s="103"/>
      <c r="QT1823" s="106"/>
      <c r="QU1823" s="106"/>
      <c r="QV1823" s="106"/>
      <c r="QW1823" s="106"/>
      <c r="QX1823" s="106"/>
      <c r="QY1823" s="106"/>
      <c r="QZ1823" s="106"/>
      <c r="RA1823" s="106"/>
      <c r="RB1823" s="106"/>
      <c r="RC1823" s="106"/>
      <c r="RD1823" s="106"/>
      <c r="RE1823" s="106"/>
      <c r="RF1823" s="106"/>
      <c r="RG1823" s="106"/>
      <c r="RH1823" s="106"/>
      <c r="RI1823" s="106"/>
      <c r="RJ1823" s="106"/>
      <c r="RK1823" s="106"/>
      <c r="RL1823" s="106"/>
    </row>
    <row r="1824" spans="48:480" x14ac:dyDescent="0.3">
      <c r="AV1824" s="103"/>
      <c r="CJ1824" s="103"/>
      <c r="FP1824" s="103"/>
      <c r="LL1824" s="103"/>
      <c r="NM1824" s="103"/>
      <c r="QT1824" s="106"/>
      <c r="QU1824" s="106"/>
      <c r="QV1824" s="106"/>
      <c r="QW1824" s="106"/>
      <c r="QX1824" s="106"/>
      <c r="QY1824" s="106"/>
      <c r="QZ1824" s="106"/>
      <c r="RA1824" s="106"/>
      <c r="RB1824" s="106"/>
      <c r="RC1824" s="106"/>
      <c r="RD1824" s="106"/>
      <c r="RE1824" s="106"/>
      <c r="RF1824" s="106"/>
      <c r="RG1824" s="106"/>
      <c r="RH1824" s="106"/>
      <c r="RI1824" s="106"/>
      <c r="RJ1824" s="106"/>
      <c r="RK1824" s="106"/>
      <c r="RL1824" s="106"/>
    </row>
    <row r="1825" spans="48:480" x14ac:dyDescent="0.3">
      <c r="AV1825" s="103"/>
      <c r="CJ1825" s="103"/>
      <c r="FP1825" s="103"/>
      <c r="LL1825" s="103"/>
      <c r="NM1825" s="103"/>
      <c r="QT1825" s="106"/>
      <c r="QU1825" s="106"/>
      <c r="QV1825" s="106"/>
      <c r="QW1825" s="106"/>
      <c r="QX1825" s="106"/>
      <c r="QY1825" s="106"/>
      <c r="QZ1825" s="106"/>
      <c r="RA1825" s="106"/>
      <c r="RB1825" s="106"/>
      <c r="RC1825" s="106"/>
      <c r="RD1825" s="106"/>
      <c r="RE1825" s="106"/>
      <c r="RF1825" s="106"/>
      <c r="RG1825" s="106"/>
      <c r="RH1825" s="106"/>
      <c r="RI1825" s="106"/>
      <c r="RJ1825" s="106"/>
      <c r="RK1825" s="106"/>
      <c r="RL1825" s="106"/>
    </row>
    <row r="1826" spans="48:480" x14ac:dyDescent="0.3">
      <c r="AV1826" s="103"/>
      <c r="CJ1826" s="103"/>
      <c r="FP1826" s="103"/>
      <c r="LL1826" s="103"/>
      <c r="NM1826" s="103"/>
      <c r="QT1826" s="106"/>
      <c r="QU1826" s="106"/>
      <c r="QV1826" s="106"/>
      <c r="QW1826" s="106"/>
      <c r="QX1826" s="106"/>
      <c r="QY1826" s="106"/>
      <c r="QZ1826" s="106"/>
      <c r="RA1826" s="106"/>
      <c r="RB1826" s="106"/>
      <c r="RC1826" s="106"/>
      <c r="RD1826" s="106"/>
      <c r="RE1826" s="106"/>
      <c r="RF1826" s="106"/>
      <c r="RG1826" s="106"/>
      <c r="RH1826" s="106"/>
      <c r="RI1826" s="106"/>
      <c r="RJ1826" s="106"/>
      <c r="RK1826" s="106"/>
      <c r="RL1826" s="106"/>
    </row>
    <row r="1827" spans="48:480" x14ac:dyDescent="0.3">
      <c r="AV1827" s="103"/>
      <c r="CJ1827" s="103"/>
      <c r="FP1827" s="103"/>
      <c r="LL1827" s="103"/>
      <c r="NM1827" s="103"/>
      <c r="QT1827" s="106"/>
      <c r="QU1827" s="106"/>
      <c r="QV1827" s="106"/>
      <c r="QW1827" s="106"/>
      <c r="QX1827" s="106"/>
      <c r="QY1827" s="106"/>
      <c r="QZ1827" s="106"/>
      <c r="RA1827" s="106"/>
      <c r="RB1827" s="106"/>
      <c r="RC1827" s="106"/>
      <c r="RD1827" s="106"/>
      <c r="RE1827" s="106"/>
      <c r="RF1827" s="106"/>
      <c r="RG1827" s="106"/>
      <c r="RH1827" s="106"/>
      <c r="RI1827" s="106"/>
      <c r="RJ1827" s="106"/>
      <c r="RK1827" s="106"/>
      <c r="RL1827" s="106"/>
    </row>
    <row r="1828" spans="48:480" x14ac:dyDescent="0.3">
      <c r="AV1828" s="103"/>
      <c r="CJ1828" s="103"/>
      <c r="FP1828" s="103"/>
      <c r="LL1828" s="103"/>
      <c r="NM1828" s="103"/>
      <c r="QT1828" s="106"/>
      <c r="QU1828" s="106"/>
      <c r="QV1828" s="106"/>
      <c r="QW1828" s="106"/>
      <c r="QX1828" s="106"/>
      <c r="QY1828" s="106"/>
      <c r="QZ1828" s="106"/>
      <c r="RA1828" s="106"/>
      <c r="RB1828" s="106"/>
      <c r="RC1828" s="106"/>
      <c r="RD1828" s="106"/>
      <c r="RE1828" s="106"/>
      <c r="RF1828" s="106"/>
      <c r="RG1828" s="106"/>
      <c r="RH1828" s="106"/>
      <c r="RI1828" s="106"/>
      <c r="RJ1828" s="106"/>
      <c r="RK1828" s="106"/>
      <c r="RL1828" s="106"/>
    </row>
    <row r="1829" spans="48:480" x14ac:dyDescent="0.3">
      <c r="AV1829" s="103"/>
      <c r="CJ1829" s="103"/>
      <c r="FP1829" s="103"/>
      <c r="LL1829" s="103"/>
      <c r="NM1829" s="103"/>
      <c r="QT1829" s="106"/>
      <c r="QU1829" s="106"/>
      <c r="QV1829" s="106"/>
      <c r="QW1829" s="106"/>
      <c r="QX1829" s="106"/>
      <c r="QY1829" s="106"/>
      <c r="QZ1829" s="106"/>
      <c r="RA1829" s="106"/>
      <c r="RB1829" s="106"/>
      <c r="RC1829" s="106"/>
      <c r="RD1829" s="106"/>
      <c r="RE1829" s="106"/>
      <c r="RF1829" s="106"/>
      <c r="RG1829" s="106"/>
      <c r="RH1829" s="106"/>
      <c r="RI1829" s="106"/>
      <c r="RJ1829" s="106"/>
      <c r="RK1829" s="106"/>
      <c r="RL1829" s="106"/>
    </row>
    <row r="1830" spans="48:480" x14ac:dyDescent="0.3">
      <c r="AV1830" s="103"/>
      <c r="CJ1830" s="103"/>
      <c r="FP1830" s="103"/>
      <c r="LL1830" s="103"/>
      <c r="NM1830" s="103"/>
      <c r="QT1830" s="106"/>
      <c r="QU1830" s="106"/>
      <c r="QV1830" s="106"/>
      <c r="QW1830" s="106"/>
      <c r="QX1830" s="106"/>
      <c r="QY1830" s="106"/>
      <c r="QZ1830" s="106"/>
      <c r="RA1830" s="106"/>
      <c r="RB1830" s="106"/>
      <c r="RC1830" s="106"/>
      <c r="RD1830" s="106"/>
      <c r="RE1830" s="106"/>
      <c r="RF1830" s="106"/>
      <c r="RG1830" s="106"/>
      <c r="RH1830" s="106"/>
      <c r="RI1830" s="106"/>
      <c r="RJ1830" s="106"/>
      <c r="RK1830" s="106"/>
      <c r="RL1830" s="106"/>
    </row>
    <row r="1831" spans="48:480" x14ac:dyDescent="0.3">
      <c r="AV1831" s="103"/>
      <c r="CJ1831" s="103"/>
      <c r="FP1831" s="103"/>
      <c r="LL1831" s="103"/>
      <c r="NM1831" s="103"/>
      <c r="QT1831" s="106"/>
      <c r="QU1831" s="106"/>
      <c r="QV1831" s="106"/>
      <c r="QW1831" s="106"/>
      <c r="QX1831" s="106"/>
      <c r="QY1831" s="106"/>
      <c r="QZ1831" s="106"/>
      <c r="RA1831" s="106"/>
      <c r="RB1831" s="106"/>
      <c r="RC1831" s="106"/>
      <c r="RD1831" s="106"/>
      <c r="RE1831" s="106"/>
      <c r="RF1831" s="106"/>
      <c r="RG1831" s="106"/>
      <c r="RH1831" s="106"/>
      <c r="RI1831" s="106"/>
      <c r="RJ1831" s="106"/>
      <c r="RK1831" s="106"/>
      <c r="RL1831" s="106"/>
    </row>
    <row r="1832" spans="48:480" x14ac:dyDescent="0.3">
      <c r="AV1832" s="103"/>
      <c r="CJ1832" s="103"/>
      <c r="FP1832" s="103"/>
      <c r="LL1832" s="103"/>
      <c r="NM1832" s="103"/>
      <c r="QT1832" s="106"/>
      <c r="QU1832" s="106"/>
      <c r="QV1832" s="106"/>
      <c r="QW1832" s="106"/>
      <c r="QX1832" s="106"/>
      <c r="QY1832" s="106"/>
      <c r="QZ1832" s="106"/>
      <c r="RA1832" s="106"/>
      <c r="RB1832" s="106"/>
      <c r="RC1832" s="106"/>
      <c r="RD1832" s="106"/>
      <c r="RE1832" s="106"/>
      <c r="RF1832" s="106"/>
      <c r="RG1832" s="106"/>
      <c r="RH1832" s="106"/>
      <c r="RI1832" s="106"/>
      <c r="RJ1832" s="106"/>
      <c r="RK1832" s="106"/>
      <c r="RL1832" s="106"/>
    </row>
    <row r="1833" spans="48:480" x14ac:dyDescent="0.3">
      <c r="AV1833" s="103"/>
      <c r="CJ1833" s="103"/>
      <c r="FP1833" s="103"/>
      <c r="LL1833" s="103"/>
      <c r="NM1833" s="103"/>
      <c r="QT1833" s="106"/>
      <c r="QU1833" s="106"/>
      <c r="QV1833" s="106"/>
      <c r="QW1833" s="106"/>
      <c r="QX1833" s="106"/>
      <c r="QY1833" s="106"/>
      <c r="QZ1833" s="106"/>
      <c r="RA1833" s="106"/>
      <c r="RB1833" s="106"/>
      <c r="RC1833" s="106"/>
      <c r="RD1833" s="106"/>
      <c r="RE1833" s="106"/>
      <c r="RF1833" s="106"/>
      <c r="RG1833" s="106"/>
      <c r="RH1833" s="106"/>
      <c r="RI1833" s="106"/>
      <c r="RJ1833" s="106"/>
      <c r="RK1833" s="106"/>
      <c r="RL1833" s="106"/>
    </row>
    <row r="1834" spans="48:480" x14ac:dyDescent="0.3">
      <c r="AV1834" s="103"/>
      <c r="CJ1834" s="103"/>
      <c r="FP1834" s="103"/>
      <c r="LL1834" s="103"/>
      <c r="NM1834" s="103"/>
      <c r="QT1834" s="106"/>
      <c r="QU1834" s="106"/>
      <c r="QV1834" s="106"/>
      <c r="QW1834" s="106"/>
      <c r="QX1834" s="106"/>
      <c r="QY1834" s="106"/>
      <c r="QZ1834" s="106"/>
      <c r="RA1834" s="106"/>
      <c r="RB1834" s="106"/>
      <c r="RC1834" s="106"/>
      <c r="RD1834" s="106"/>
      <c r="RE1834" s="106"/>
      <c r="RF1834" s="106"/>
      <c r="RG1834" s="106"/>
      <c r="RH1834" s="106"/>
      <c r="RI1834" s="106"/>
      <c r="RJ1834" s="106"/>
      <c r="RK1834" s="106"/>
      <c r="RL1834" s="106"/>
    </row>
    <row r="1835" spans="48:480" x14ac:dyDescent="0.3">
      <c r="AV1835" s="103"/>
      <c r="CJ1835" s="103"/>
      <c r="FP1835" s="103"/>
      <c r="LL1835" s="103"/>
      <c r="NM1835" s="103"/>
      <c r="QT1835" s="106"/>
      <c r="QU1835" s="106"/>
      <c r="QV1835" s="106"/>
      <c r="QW1835" s="106"/>
      <c r="QX1835" s="106"/>
      <c r="QY1835" s="106"/>
      <c r="QZ1835" s="106"/>
      <c r="RA1835" s="106"/>
      <c r="RB1835" s="106"/>
      <c r="RC1835" s="106"/>
      <c r="RD1835" s="106"/>
      <c r="RE1835" s="106"/>
      <c r="RF1835" s="106"/>
      <c r="RG1835" s="106"/>
      <c r="RH1835" s="106"/>
      <c r="RI1835" s="106"/>
      <c r="RJ1835" s="106"/>
      <c r="RK1835" s="106"/>
      <c r="RL1835" s="106"/>
    </row>
    <row r="1836" spans="48:480" x14ac:dyDescent="0.3">
      <c r="AV1836" s="103"/>
      <c r="CJ1836" s="103"/>
      <c r="FP1836" s="103"/>
      <c r="LL1836" s="103"/>
      <c r="NM1836" s="103"/>
      <c r="QT1836" s="106"/>
      <c r="QU1836" s="106"/>
      <c r="QV1836" s="106"/>
      <c r="QW1836" s="106"/>
      <c r="QX1836" s="106"/>
      <c r="QY1836" s="106"/>
      <c r="QZ1836" s="106"/>
      <c r="RA1836" s="106"/>
      <c r="RB1836" s="106"/>
      <c r="RC1836" s="106"/>
      <c r="RD1836" s="106"/>
      <c r="RE1836" s="106"/>
      <c r="RF1836" s="106"/>
      <c r="RG1836" s="106"/>
      <c r="RH1836" s="106"/>
      <c r="RI1836" s="106"/>
      <c r="RJ1836" s="106"/>
      <c r="RK1836" s="106"/>
      <c r="RL1836" s="106"/>
    </row>
    <row r="1837" spans="48:480" x14ac:dyDescent="0.3">
      <c r="AV1837" s="103"/>
      <c r="CJ1837" s="103"/>
      <c r="FP1837" s="103"/>
      <c r="LL1837" s="103"/>
      <c r="NM1837" s="103"/>
      <c r="QT1837" s="106"/>
      <c r="QU1837" s="106"/>
      <c r="QV1837" s="106"/>
      <c r="QW1837" s="106"/>
      <c r="QX1837" s="106"/>
      <c r="QY1837" s="106"/>
      <c r="QZ1837" s="106"/>
      <c r="RA1837" s="106"/>
      <c r="RB1837" s="106"/>
      <c r="RC1837" s="106"/>
      <c r="RD1837" s="106"/>
      <c r="RE1837" s="106"/>
      <c r="RF1837" s="106"/>
      <c r="RG1837" s="106"/>
      <c r="RH1837" s="106"/>
      <c r="RI1837" s="106"/>
      <c r="RJ1837" s="106"/>
      <c r="RK1837" s="106"/>
      <c r="RL1837" s="106"/>
    </row>
    <row r="1838" spans="48:480" x14ac:dyDescent="0.3">
      <c r="AV1838" s="103"/>
      <c r="CJ1838" s="103"/>
      <c r="FP1838" s="103"/>
      <c r="LL1838" s="103"/>
      <c r="NM1838" s="103"/>
      <c r="QT1838" s="106"/>
      <c r="QU1838" s="106"/>
      <c r="QV1838" s="106"/>
      <c r="QW1838" s="106"/>
      <c r="QX1838" s="106"/>
      <c r="QY1838" s="106"/>
      <c r="QZ1838" s="106"/>
      <c r="RA1838" s="106"/>
      <c r="RB1838" s="106"/>
      <c r="RC1838" s="106"/>
      <c r="RD1838" s="106"/>
      <c r="RE1838" s="106"/>
      <c r="RF1838" s="106"/>
      <c r="RG1838" s="106"/>
      <c r="RH1838" s="106"/>
      <c r="RI1838" s="106"/>
      <c r="RJ1838" s="106"/>
      <c r="RK1838" s="106"/>
      <c r="RL1838" s="106"/>
    </row>
    <row r="1839" spans="48:480" x14ac:dyDescent="0.3">
      <c r="AV1839" s="103"/>
      <c r="CJ1839" s="103"/>
      <c r="FP1839" s="103"/>
      <c r="LL1839" s="103"/>
      <c r="NM1839" s="103"/>
      <c r="QT1839" s="106"/>
      <c r="QU1839" s="106"/>
      <c r="QV1839" s="106"/>
      <c r="QW1839" s="106"/>
      <c r="QX1839" s="106"/>
      <c r="QY1839" s="106"/>
      <c r="QZ1839" s="106"/>
      <c r="RA1839" s="106"/>
      <c r="RB1839" s="106"/>
      <c r="RC1839" s="106"/>
      <c r="RD1839" s="106"/>
      <c r="RE1839" s="106"/>
      <c r="RF1839" s="106"/>
      <c r="RG1839" s="106"/>
      <c r="RH1839" s="106"/>
      <c r="RI1839" s="106"/>
      <c r="RJ1839" s="106"/>
      <c r="RK1839" s="106"/>
      <c r="RL1839" s="106"/>
    </row>
    <row r="1840" spans="48:480" x14ac:dyDescent="0.3">
      <c r="AV1840" s="103"/>
      <c r="CJ1840" s="103"/>
      <c r="FP1840" s="103"/>
      <c r="LL1840" s="103"/>
      <c r="NM1840" s="103"/>
      <c r="QT1840" s="106"/>
      <c r="QU1840" s="106"/>
      <c r="QV1840" s="106"/>
      <c r="QW1840" s="106"/>
      <c r="QX1840" s="106"/>
      <c r="QY1840" s="106"/>
      <c r="QZ1840" s="106"/>
      <c r="RA1840" s="106"/>
      <c r="RB1840" s="106"/>
      <c r="RC1840" s="106"/>
      <c r="RD1840" s="106"/>
      <c r="RE1840" s="106"/>
      <c r="RF1840" s="106"/>
      <c r="RG1840" s="106"/>
      <c r="RH1840" s="106"/>
      <c r="RI1840" s="106"/>
      <c r="RJ1840" s="106"/>
      <c r="RK1840" s="106"/>
      <c r="RL1840" s="106"/>
    </row>
    <row r="1841" spans="48:480" x14ac:dyDescent="0.3">
      <c r="AV1841" s="103"/>
      <c r="CJ1841" s="103"/>
      <c r="FP1841" s="103"/>
      <c r="LL1841" s="103"/>
      <c r="NM1841" s="103"/>
      <c r="QT1841" s="106"/>
      <c r="QU1841" s="106"/>
      <c r="QV1841" s="106"/>
      <c r="QW1841" s="106"/>
      <c r="QX1841" s="106"/>
      <c r="QY1841" s="106"/>
      <c r="QZ1841" s="106"/>
      <c r="RA1841" s="106"/>
      <c r="RB1841" s="106"/>
      <c r="RC1841" s="106"/>
      <c r="RD1841" s="106"/>
      <c r="RE1841" s="106"/>
      <c r="RF1841" s="106"/>
      <c r="RG1841" s="106"/>
      <c r="RH1841" s="106"/>
      <c r="RI1841" s="106"/>
      <c r="RJ1841" s="106"/>
      <c r="RK1841" s="106"/>
      <c r="RL1841" s="106"/>
    </row>
    <row r="1842" spans="48:480" x14ac:dyDescent="0.3">
      <c r="AV1842" s="103"/>
      <c r="CJ1842" s="103"/>
      <c r="FP1842" s="103"/>
      <c r="LL1842" s="103"/>
      <c r="NM1842" s="103"/>
      <c r="QT1842" s="106"/>
      <c r="QU1842" s="106"/>
      <c r="QV1842" s="106"/>
      <c r="QW1842" s="106"/>
      <c r="QX1842" s="106"/>
      <c r="QY1842" s="106"/>
      <c r="QZ1842" s="106"/>
      <c r="RA1842" s="106"/>
      <c r="RB1842" s="106"/>
      <c r="RC1842" s="106"/>
      <c r="RD1842" s="106"/>
      <c r="RE1842" s="106"/>
      <c r="RF1842" s="106"/>
      <c r="RG1842" s="106"/>
      <c r="RH1842" s="106"/>
      <c r="RI1842" s="106"/>
      <c r="RJ1842" s="106"/>
      <c r="RK1842" s="106"/>
      <c r="RL1842" s="106"/>
    </row>
    <row r="1843" spans="48:480" x14ac:dyDescent="0.3">
      <c r="AV1843" s="103"/>
      <c r="CJ1843" s="103"/>
      <c r="FP1843" s="103"/>
      <c r="LL1843" s="103"/>
      <c r="NM1843" s="103"/>
      <c r="QT1843" s="106"/>
      <c r="QU1843" s="106"/>
      <c r="QV1843" s="106"/>
      <c r="QW1843" s="106"/>
      <c r="QX1843" s="106"/>
      <c r="QY1843" s="106"/>
      <c r="QZ1843" s="106"/>
      <c r="RA1843" s="106"/>
      <c r="RB1843" s="106"/>
      <c r="RC1843" s="106"/>
      <c r="RD1843" s="106"/>
      <c r="RE1843" s="106"/>
      <c r="RF1843" s="106"/>
      <c r="RG1843" s="106"/>
      <c r="RH1843" s="106"/>
      <c r="RI1843" s="106"/>
      <c r="RJ1843" s="106"/>
      <c r="RK1843" s="106"/>
      <c r="RL1843" s="106"/>
    </row>
    <row r="1844" spans="48:480" x14ac:dyDescent="0.3">
      <c r="AV1844" s="103"/>
      <c r="CJ1844" s="103"/>
      <c r="FP1844" s="103"/>
      <c r="LL1844" s="103"/>
      <c r="NM1844" s="103"/>
      <c r="QT1844" s="106"/>
      <c r="QU1844" s="106"/>
      <c r="QV1844" s="106"/>
      <c r="QW1844" s="106"/>
      <c r="QX1844" s="106"/>
      <c r="QY1844" s="106"/>
      <c r="QZ1844" s="106"/>
      <c r="RA1844" s="106"/>
      <c r="RB1844" s="106"/>
      <c r="RC1844" s="106"/>
      <c r="RD1844" s="106"/>
      <c r="RE1844" s="106"/>
      <c r="RF1844" s="106"/>
      <c r="RG1844" s="106"/>
      <c r="RH1844" s="106"/>
      <c r="RI1844" s="106"/>
      <c r="RJ1844" s="106"/>
      <c r="RK1844" s="106"/>
      <c r="RL1844" s="106"/>
    </row>
    <row r="1845" spans="48:480" x14ac:dyDescent="0.3">
      <c r="AV1845" s="103"/>
      <c r="CJ1845" s="103"/>
      <c r="FP1845" s="103"/>
      <c r="LL1845" s="103"/>
      <c r="NM1845" s="103"/>
      <c r="QT1845" s="106"/>
      <c r="QU1845" s="106"/>
      <c r="QV1845" s="106"/>
      <c r="QW1845" s="106"/>
      <c r="QX1845" s="106"/>
      <c r="QY1845" s="106"/>
      <c r="QZ1845" s="106"/>
      <c r="RA1845" s="106"/>
      <c r="RB1845" s="106"/>
      <c r="RC1845" s="106"/>
      <c r="RD1845" s="106"/>
      <c r="RE1845" s="106"/>
      <c r="RF1845" s="106"/>
      <c r="RG1845" s="106"/>
      <c r="RH1845" s="106"/>
      <c r="RI1845" s="106"/>
      <c r="RJ1845" s="106"/>
      <c r="RK1845" s="106"/>
      <c r="RL1845" s="106"/>
    </row>
    <row r="1846" spans="48:480" x14ac:dyDescent="0.3">
      <c r="AV1846" s="103"/>
      <c r="CJ1846" s="103"/>
      <c r="FP1846" s="103"/>
      <c r="LL1846" s="103"/>
      <c r="NM1846" s="103"/>
      <c r="QT1846" s="106"/>
      <c r="QU1846" s="106"/>
      <c r="QV1846" s="106"/>
      <c r="QW1846" s="106"/>
      <c r="QX1846" s="106"/>
      <c r="QY1846" s="106"/>
      <c r="QZ1846" s="106"/>
      <c r="RA1846" s="106"/>
      <c r="RB1846" s="106"/>
      <c r="RC1846" s="106"/>
      <c r="RD1846" s="106"/>
      <c r="RE1846" s="106"/>
      <c r="RF1846" s="106"/>
      <c r="RG1846" s="106"/>
      <c r="RH1846" s="106"/>
      <c r="RI1846" s="106"/>
      <c r="RJ1846" s="106"/>
      <c r="RK1846" s="106"/>
      <c r="RL1846" s="106"/>
    </row>
    <row r="1847" spans="48:480" x14ac:dyDescent="0.3">
      <c r="AV1847" s="103"/>
      <c r="CJ1847" s="103"/>
      <c r="FP1847" s="103"/>
      <c r="LL1847" s="103"/>
      <c r="NM1847" s="103"/>
      <c r="QT1847" s="106"/>
      <c r="QU1847" s="106"/>
      <c r="QV1847" s="106"/>
      <c r="QW1847" s="106"/>
      <c r="QX1847" s="106"/>
      <c r="QY1847" s="106"/>
      <c r="QZ1847" s="106"/>
      <c r="RA1847" s="106"/>
      <c r="RB1847" s="106"/>
      <c r="RC1847" s="106"/>
      <c r="RD1847" s="106"/>
      <c r="RE1847" s="106"/>
      <c r="RF1847" s="106"/>
      <c r="RG1847" s="106"/>
      <c r="RH1847" s="106"/>
      <c r="RI1847" s="106"/>
      <c r="RJ1847" s="106"/>
      <c r="RK1847" s="106"/>
      <c r="RL1847" s="106"/>
    </row>
    <row r="1848" spans="48:480" x14ac:dyDescent="0.3">
      <c r="AV1848" s="103"/>
      <c r="CJ1848" s="103"/>
      <c r="FP1848" s="103"/>
      <c r="LL1848" s="103"/>
      <c r="NM1848" s="103"/>
      <c r="QT1848" s="106"/>
      <c r="QU1848" s="106"/>
      <c r="QV1848" s="106"/>
      <c r="QW1848" s="106"/>
      <c r="QX1848" s="106"/>
      <c r="QY1848" s="106"/>
      <c r="QZ1848" s="106"/>
      <c r="RA1848" s="106"/>
      <c r="RB1848" s="106"/>
      <c r="RC1848" s="106"/>
      <c r="RD1848" s="106"/>
      <c r="RE1848" s="106"/>
      <c r="RF1848" s="106"/>
      <c r="RG1848" s="106"/>
      <c r="RH1848" s="106"/>
      <c r="RI1848" s="106"/>
      <c r="RJ1848" s="106"/>
      <c r="RK1848" s="106"/>
      <c r="RL1848" s="106"/>
    </row>
    <row r="1849" spans="48:480" x14ac:dyDescent="0.3">
      <c r="AV1849" s="103"/>
      <c r="CJ1849" s="103"/>
      <c r="FP1849" s="103"/>
      <c r="LL1849" s="103"/>
      <c r="NM1849" s="103"/>
      <c r="QT1849" s="106"/>
      <c r="QU1849" s="106"/>
      <c r="QV1849" s="106"/>
      <c r="QW1849" s="106"/>
      <c r="QX1849" s="106"/>
      <c r="QY1849" s="106"/>
      <c r="QZ1849" s="106"/>
      <c r="RA1849" s="106"/>
      <c r="RB1849" s="106"/>
      <c r="RC1849" s="106"/>
      <c r="RD1849" s="106"/>
      <c r="RE1849" s="106"/>
      <c r="RF1849" s="106"/>
      <c r="RG1849" s="106"/>
      <c r="RH1849" s="106"/>
      <c r="RI1849" s="106"/>
      <c r="RJ1849" s="106"/>
      <c r="RK1849" s="106"/>
      <c r="RL1849" s="106"/>
    </row>
    <row r="1850" spans="48:480" x14ac:dyDescent="0.3">
      <c r="AV1850" s="103"/>
      <c r="CJ1850" s="103"/>
      <c r="FP1850" s="103"/>
      <c r="LL1850" s="103"/>
      <c r="NM1850" s="103"/>
      <c r="QT1850" s="106"/>
      <c r="QU1850" s="106"/>
      <c r="QV1850" s="106"/>
      <c r="QW1850" s="106"/>
      <c r="QX1850" s="106"/>
      <c r="QY1850" s="106"/>
      <c r="QZ1850" s="106"/>
      <c r="RA1850" s="106"/>
      <c r="RB1850" s="106"/>
      <c r="RC1850" s="106"/>
      <c r="RD1850" s="106"/>
      <c r="RE1850" s="106"/>
      <c r="RF1850" s="106"/>
      <c r="RG1850" s="106"/>
      <c r="RH1850" s="106"/>
      <c r="RI1850" s="106"/>
      <c r="RJ1850" s="106"/>
      <c r="RK1850" s="106"/>
      <c r="RL1850" s="106"/>
    </row>
    <row r="1851" spans="48:480" x14ac:dyDescent="0.3">
      <c r="AV1851" s="103"/>
      <c r="CJ1851" s="103"/>
      <c r="FP1851" s="103"/>
      <c r="LL1851" s="103"/>
      <c r="NM1851" s="103"/>
      <c r="QT1851" s="106"/>
      <c r="QU1851" s="106"/>
      <c r="QV1851" s="106"/>
      <c r="QW1851" s="106"/>
      <c r="QX1851" s="106"/>
      <c r="QY1851" s="106"/>
      <c r="QZ1851" s="106"/>
      <c r="RA1851" s="106"/>
      <c r="RB1851" s="106"/>
      <c r="RC1851" s="106"/>
      <c r="RD1851" s="106"/>
      <c r="RE1851" s="106"/>
      <c r="RF1851" s="106"/>
      <c r="RG1851" s="106"/>
      <c r="RH1851" s="106"/>
      <c r="RI1851" s="106"/>
      <c r="RJ1851" s="106"/>
      <c r="RK1851" s="106"/>
      <c r="RL1851" s="106"/>
    </row>
    <row r="1852" spans="48:480" x14ac:dyDescent="0.3">
      <c r="AV1852" s="103"/>
      <c r="CJ1852" s="103"/>
      <c r="FP1852" s="103"/>
      <c r="LL1852" s="103"/>
      <c r="NM1852" s="103"/>
      <c r="QT1852" s="106"/>
      <c r="QU1852" s="106"/>
      <c r="QV1852" s="106"/>
      <c r="QW1852" s="106"/>
      <c r="QX1852" s="106"/>
      <c r="QY1852" s="106"/>
      <c r="QZ1852" s="106"/>
      <c r="RA1852" s="106"/>
      <c r="RB1852" s="106"/>
      <c r="RC1852" s="106"/>
      <c r="RD1852" s="106"/>
      <c r="RE1852" s="106"/>
      <c r="RF1852" s="106"/>
      <c r="RG1852" s="106"/>
      <c r="RH1852" s="106"/>
      <c r="RI1852" s="106"/>
      <c r="RJ1852" s="106"/>
      <c r="RK1852" s="106"/>
      <c r="RL1852" s="106"/>
    </row>
    <row r="1853" spans="48:480" x14ac:dyDescent="0.3">
      <c r="AV1853" s="103"/>
      <c r="CJ1853" s="103"/>
      <c r="FP1853" s="103"/>
      <c r="LL1853" s="103"/>
      <c r="NM1853" s="103"/>
      <c r="QT1853" s="106"/>
      <c r="QU1853" s="106"/>
      <c r="QV1853" s="106"/>
      <c r="QW1853" s="106"/>
      <c r="QX1853" s="106"/>
      <c r="QY1853" s="106"/>
      <c r="QZ1853" s="106"/>
      <c r="RA1853" s="106"/>
      <c r="RB1853" s="106"/>
      <c r="RC1853" s="106"/>
      <c r="RD1853" s="106"/>
      <c r="RE1853" s="106"/>
      <c r="RF1853" s="106"/>
      <c r="RG1853" s="106"/>
      <c r="RH1853" s="106"/>
      <c r="RI1853" s="106"/>
      <c r="RJ1853" s="106"/>
      <c r="RK1853" s="106"/>
      <c r="RL1853" s="106"/>
    </row>
    <row r="1854" spans="48:480" x14ac:dyDescent="0.3">
      <c r="AV1854" s="103"/>
      <c r="CJ1854" s="103"/>
      <c r="FP1854" s="103"/>
      <c r="LL1854" s="103"/>
      <c r="NM1854" s="103"/>
      <c r="QT1854" s="106"/>
      <c r="QU1854" s="106"/>
      <c r="QV1854" s="106"/>
      <c r="QW1854" s="106"/>
      <c r="QX1854" s="106"/>
      <c r="QY1854" s="106"/>
      <c r="QZ1854" s="106"/>
      <c r="RA1854" s="106"/>
      <c r="RB1854" s="106"/>
      <c r="RC1854" s="106"/>
      <c r="RD1854" s="106"/>
      <c r="RE1854" s="106"/>
      <c r="RF1854" s="106"/>
      <c r="RG1854" s="106"/>
      <c r="RH1854" s="106"/>
      <c r="RI1854" s="106"/>
      <c r="RJ1854" s="106"/>
      <c r="RK1854" s="106"/>
      <c r="RL1854" s="106"/>
    </row>
    <row r="1855" spans="48:480" x14ac:dyDescent="0.3">
      <c r="AV1855" s="103"/>
      <c r="CJ1855" s="103"/>
      <c r="FP1855" s="103"/>
      <c r="LL1855" s="103"/>
      <c r="NM1855" s="103"/>
      <c r="QT1855" s="106"/>
      <c r="QU1855" s="106"/>
      <c r="QV1855" s="106"/>
      <c r="QW1855" s="106"/>
      <c r="QX1855" s="106"/>
      <c r="QY1855" s="106"/>
      <c r="QZ1855" s="106"/>
      <c r="RA1855" s="106"/>
      <c r="RB1855" s="106"/>
      <c r="RC1855" s="106"/>
      <c r="RD1855" s="106"/>
      <c r="RE1855" s="106"/>
      <c r="RF1855" s="106"/>
      <c r="RG1855" s="106"/>
      <c r="RH1855" s="106"/>
      <c r="RI1855" s="106"/>
      <c r="RJ1855" s="106"/>
      <c r="RK1855" s="106"/>
      <c r="RL1855" s="106"/>
    </row>
    <row r="1856" spans="48:480" x14ac:dyDescent="0.3">
      <c r="AV1856" s="103"/>
      <c r="CJ1856" s="103"/>
      <c r="FP1856" s="103"/>
      <c r="LL1856" s="103"/>
      <c r="NM1856" s="103"/>
      <c r="QT1856" s="106"/>
      <c r="QU1856" s="106"/>
      <c r="QV1856" s="106"/>
      <c r="QW1856" s="106"/>
      <c r="QX1856" s="106"/>
      <c r="QY1856" s="106"/>
      <c r="QZ1856" s="106"/>
      <c r="RA1856" s="106"/>
      <c r="RB1856" s="106"/>
      <c r="RC1856" s="106"/>
      <c r="RD1856" s="106"/>
      <c r="RE1856" s="106"/>
      <c r="RF1856" s="106"/>
      <c r="RG1856" s="106"/>
      <c r="RH1856" s="106"/>
      <c r="RI1856" s="106"/>
      <c r="RJ1856" s="106"/>
      <c r="RK1856" s="106"/>
      <c r="RL1856" s="106"/>
    </row>
    <row r="1857" spans="48:480" x14ac:dyDescent="0.3">
      <c r="AV1857" s="103"/>
      <c r="CJ1857" s="103"/>
      <c r="FP1857" s="103"/>
      <c r="LL1857" s="103"/>
      <c r="NM1857" s="103"/>
      <c r="QT1857" s="106"/>
      <c r="QU1857" s="106"/>
      <c r="QV1857" s="106"/>
      <c r="QW1857" s="106"/>
      <c r="QX1857" s="106"/>
      <c r="QY1857" s="106"/>
      <c r="QZ1857" s="106"/>
      <c r="RA1857" s="106"/>
      <c r="RB1857" s="106"/>
      <c r="RC1857" s="106"/>
      <c r="RD1857" s="106"/>
      <c r="RE1857" s="106"/>
      <c r="RF1857" s="106"/>
      <c r="RG1857" s="106"/>
      <c r="RH1857" s="106"/>
      <c r="RI1857" s="106"/>
      <c r="RJ1857" s="106"/>
      <c r="RK1857" s="106"/>
      <c r="RL1857" s="106"/>
    </row>
    <row r="1858" spans="48:480" x14ac:dyDescent="0.3">
      <c r="AV1858" s="103"/>
      <c r="CJ1858" s="103"/>
      <c r="FP1858" s="103"/>
      <c r="LL1858" s="103"/>
      <c r="NM1858" s="103"/>
      <c r="QT1858" s="106"/>
      <c r="QU1858" s="106"/>
      <c r="QV1858" s="106"/>
      <c r="QW1858" s="106"/>
      <c r="QX1858" s="106"/>
      <c r="QY1858" s="106"/>
      <c r="QZ1858" s="106"/>
      <c r="RA1858" s="106"/>
      <c r="RB1858" s="106"/>
      <c r="RC1858" s="106"/>
      <c r="RD1858" s="106"/>
      <c r="RE1858" s="106"/>
      <c r="RF1858" s="106"/>
      <c r="RG1858" s="106"/>
      <c r="RH1858" s="106"/>
      <c r="RI1858" s="106"/>
      <c r="RJ1858" s="106"/>
      <c r="RK1858" s="106"/>
      <c r="RL1858" s="106"/>
    </row>
    <row r="1859" spans="48:480" x14ac:dyDescent="0.3">
      <c r="AV1859" s="103"/>
      <c r="CJ1859" s="103"/>
      <c r="FP1859" s="103"/>
      <c r="LL1859" s="103"/>
      <c r="NM1859" s="103"/>
      <c r="QT1859" s="106"/>
      <c r="QU1859" s="106"/>
      <c r="QV1859" s="106"/>
      <c r="QW1859" s="106"/>
      <c r="QX1859" s="106"/>
      <c r="QY1859" s="106"/>
      <c r="QZ1859" s="106"/>
      <c r="RA1859" s="106"/>
      <c r="RB1859" s="106"/>
      <c r="RC1859" s="106"/>
      <c r="RD1859" s="106"/>
      <c r="RE1859" s="106"/>
      <c r="RF1859" s="106"/>
      <c r="RG1859" s="106"/>
      <c r="RH1859" s="106"/>
      <c r="RI1859" s="106"/>
      <c r="RJ1859" s="106"/>
      <c r="RK1859" s="106"/>
      <c r="RL1859" s="106"/>
    </row>
    <row r="1860" spans="48:480" x14ac:dyDescent="0.3">
      <c r="AV1860" s="103"/>
      <c r="CJ1860" s="103"/>
      <c r="FP1860" s="103"/>
      <c r="LL1860" s="103"/>
      <c r="NM1860" s="103"/>
      <c r="QT1860" s="106"/>
      <c r="QU1860" s="106"/>
      <c r="QV1860" s="106"/>
      <c r="QW1860" s="106"/>
      <c r="QX1860" s="106"/>
      <c r="QY1860" s="106"/>
      <c r="QZ1860" s="106"/>
      <c r="RA1860" s="106"/>
      <c r="RB1860" s="106"/>
      <c r="RC1860" s="106"/>
      <c r="RD1860" s="106"/>
      <c r="RE1860" s="106"/>
      <c r="RF1860" s="106"/>
      <c r="RG1860" s="106"/>
      <c r="RH1860" s="106"/>
      <c r="RI1860" s="106"/>
      <c r="RJ1860" s="106"/>
      <c r="RK1860" s="106"/>
      <c r="RL1860" s="106"/>
    </row>
    <row r="1861" spans="48:480" x14ac:dyDescent="0.3">
      <c r="AV1861" s="103"/>
      <c r="CJ1861" s="103"/>
      <c r="FP1861" s="103"/>
      <c r="LL1861" s="103"/>
      <c r="NM1861" s="103"/>
      <c r="QT1861" s="106"/>
      <c r="QU1861" s="106"/>
      <c r="QV1861" s="106"/>
      <c r="QW1861" s="106"/>
      <c r="QX1861" s="106"/>
      <c r="QY1861" s="106"/>
      <c r="QZ1861" s="106"/>
      <c r="RA1861" s="106"/>
      <c r="RB1861" s="106"/>
      <c r="RC1861" s="106"/>
      <c r="RD1861" s="106"/>
      <c r="RE1861" s="106"/>
      <c r="RF1861" s="106"/>
      <c r="RG1861" s="106"/>
      <c r="RH1861" s="106"/>
      <c r="RI1861" s="106"/>
      <c r="RJ1861" s="106"/>
      <c r="RK1861" s="106"/>
      <c r="RL1861" s="106"/>
    </row>
    <row r="1862" spans="48:480" x14ac:dyDescent="0.3">
      <c r="AV1862" s="103"/>
      <c r="CJ1862" s="103"/>
      <c r="FP1862" s="103"/>
      <c r="LL1862" s="103"/>
      <c r="NM1862" s="103"/>
      <c r="QT1862" s="106"/>
      <c r="QU1862" s="106"/>
      <c r="QV1862" s="106"/>
      <c r="QW1862" s="106"/>
      <c r="QX1862" s="106"/>
      <c r="QY1862" s="106"/>
      <c r="QZ1862" s="106"/>
      <c r="RA1862" s="106"/>
      <c r="RB1862" s="106"/>
      <c r="RC1862" s="106"/>
      <c r="RD1862" s="106"/>
      <c r="RE1862" s="106"/>
      <c r="RF1862" s="106"/>
      <c r="RG1862" s="106"/>
      <c r="RH1862" s="106"/>
      <c r="RI1862" s="106"/>
      <c r="RJ1862" s="106"/>
      <c r="RK1862" s="106"/>
      <c r="RL1862" s="106"/>
    </row>
    <row r="1863" spans="48:480" x14ac:dyDescent="0.3">
      <c r="AV1863" s="103"/>
      <c r="CJ1863" s="103"/>
      <c r="FP1863" s="103"/>
      <c r="LL1863" s="103"/>
      <c r="NM1863" s="103"/>
      <c r="QT1863" s="106"/>
      <c r="QU1863" s="106"/>
      <c r="QV1863" s="106"/>
      <c r="QW1863" s="106"/>
      <c r="QX1863" s="106"/>
      <c r="QY1863" s="106"/>
      <c r="QZ1863" s="106"/>
      <c r="RA1863" s="106"/>
      <c r="RB1863" s="106"/>
      <c r="RC1863" s="106"/>
      <c r="RD1863" s="106"/>
      <c r="RE1863" s="106"/>
      <c r="RF1863" s="106"/>
      <c r="RG1863" s="106"/>
      <c r="RH1863" s="106"/>
      <c r="RI1863" s="106"/>
      <c r="RJ1863" s="106"/>
      <c r="RK1863" s="106"/>
      <c r="RL1863" s="106"/>
    </row>
    <row r="1864" spans="48:480" x14ac:dyDescent="0.3">
      <c r="AV1864" s="103"/>
      <c r="CJ1864" s="103"/>
      <c r="FP1864" s="103"/>
      <c r="LL1864" s="103"/>
      <c r="NM1864" s="103"/>
      <c r="QT1864" s="106"/>
      <c r="QU1864" s="106"/>
      <c r="QV1864" s="106"/>
      <c r="QW1864" s="106"/>
      <c r="QX1864" s="106"/>
      <c r="QY1864" s="106"/>
      <c r="QZ1864" s="106"/>
      <c r="RA1864" s="106"/>
      <c r="RB1864" s="106"/>
      <c r="RC1864" s="106"/>
      <c r="RD1864" s="106"/>
      <c r="RE1864" s="106"/>
      <c r="RF1864" s="106"/>
      <c r="RG1864" s="106"/>
      <c r="RH1864" s="106"/>
      <c r="RI1864" s="106"/>
      <c r="RJ1864" s="106"/>
      <c r="RK1864" s="106"/>
      <c r="RL1864" s="106"/>
    </row>
    <row r="1865" spans="48:480" x14ac:dyDescent="0.3">
      <c r="AV1865" s="103"/>
      <c r="CJ1865" s="103"/>
      <c r="FP1865" s="103"/>
      <c r="LL1865" s="103"/>
      <c r="NM1865" s="103"/>
      <c r="QT1865" s="106"/>
      <c r="QU1865" s="106"/>
      <c r="QV1865" s="106"/>
      <c r="QW1865" s="106"/>
      <c r="QX1865" s="106"/>
      <c r="QY1865" s="106"/>
      <c r="QZ1865" s="106"/>
      <c r="RA1865" s="106"/>
      <c r="RB1865" s="106"/>
      <c r="RC1865" s="106"/>
      <c r="RD1865" s="106"/>
      <c r="RE1865" s="106"/>
      <c r="RF1865" s="106"/>
      <c r="RG1865" s="106"/>
      <c r="RH1865" s="106"/>
      <c r="RI1865" s="106"/>
      <c r="RJ1865" s="106"/>
      <c r="RK1865" s="106"/>
      <c r="RL1865" s="106"/>
    </row>
    <row r="1866" spans="48:480" x14ac:dyDescent="0.3">
      <c r="AV1866" s="103"/>
      <c r="CJ1866" s="103"/>
      <c r="FP1866" s="103"/>
      <c r="LL1866" s="103"/>
      <c r="NM1866" s="103"/>
      <c r="QT1866" s="106"/>
      <c r="QU1866" s="106"/>
      <c r="QV1866" s="106"/>
      <c r="QW1866" s="106"/>
      <c r="QX1866" s="106"/>
      <c r="QY1866" s="106"/>
      <c r="QZ1866" s="106"/>
      <c r="RA1866" s="106"/>
      <c r="RB1866" s="106"/>
      <c r="RC1866" s="106"/>
      <c r="RD1866" s="106"/>
      <c r="RE1866" s="106"/>
      <c r="RF1866" s="106"/>
      <c r="RG1866" s="106"/>
      <c r="RH1866" s="106"/>
      <c r="RI1866" s="106"/>
      <c r="RJ1866" s="106"/>
      <c r="RK1866" s="106"/>
      <c r="RL1866" s="106"/>
    </row>
    <row r="1867" spans="48:480" x14ac:dyDescent="0.3">
      <c r="AV1867" s="103"/>
      <c r="CJ1867" s="103"/>
      <c r="FP1867" s="103"/>
      <c r="LL1867" s="103"/>
      <c r="NM1867" s="103"/>
      <c r="QT1867" s="106"/>
      <c r="QU1867" s="106"/>
      <c r="QV1867" s="106"/>
      <c r="QW1867" s="106"/>
      <c r="QX1867" s="106"/>
      <c r="QY1867" s="106"/>
      <c r="QZ1867" s="106"/>
      <c r="RA1867" s="106"/>
      <c r="RB1867" s="106"/>
      <c r="RC1867" s="106"/>
      <c r="RD1867" s="106"/>
      <c r="RE1867" s="106"/>
      <c r="RF1867" s="106"/>
      <c r="RG1867" s="106"/>
      <c r="RH1867" s="106"/>
      <c r="RI1867" s="106"/>
      <c r="RJ1867" s="106"/>
      <c r="RK1867" s="106"/>
      <c r="RL1867" s="106"/>
    </row>
    <row r="1868" spans="48:480" x14ac:dyDescent="0.3">
      <c r="AV1868" s="103"/>
      <c r="CJ1868" s="103"/>
      <c r="FP1868" s="103"/>
      <c r="LL1868" s="103"/>
      <c r="NM1868" s="103"/>
      <c r="QT1868" s="106"/>
      <c r="QU1868" s="106"/>
      <c r="QV1868" s="106"/>
      <c r="QW1868" s="106"/>
      <c r="QX1868" s="106"/>
      <c r="QY1868" s="106"/>
      <c r="QZ1868" s="106"/>
      <c r="RA1868" s="106"/>
      <c r="RB1868" s="106"/>
      <c r="RC1868" s="106"/>
      <c r="RD1868" s="106"/>
      <c r="RE1868" s="106"/>
      <c r="RF1868" s="106"/>
      <c r="RG1868" s="106"/>
      <c r="RH1868" s="106"/>
      <c r="RI1868" s="106"/>
      <c r="RJ1868" s="106"/>
      <c r="RK1868" s="106"/>
      <c r="RL1868" s="106"/>
    </row>
    <row r="1869" spans="48:480" x14ac:dyDescent="0.3">
      <c r="AV1869" s="103"/>
      <c r="CJ1869" s="103"/>
      <c r="FP1869" s="103"/>
      <c r="LL1869" s="103"/>
      <c r="NM1869" s="103"/>
      <c r="QT1869" s="106"/>
      <c r="QU1869" s="106"/>
      <c r="QV1869" s="106"/>
      <c r="QW1869" s="106"/>
      <c r="QX1869" s="106"/>
      <c r="QY1869" s="106"/>
      <c r="QZ1869" s="106"/>
      <c r="RA1869" s="106"/>
      <c r="RB1869" s="106"/>
      <c r="RC1869" s="106"/>
      <c r="RD1869" s="106"/>
      <c r="RE1869" s="106"/>
      <c r="RF1869" s="106"/>
      <c r="RG1869" s="106"/>
      <c r="RH1869" s="106"/>
      <c r="RI1869" s="106"/>
      <c r="RJ1869" s="106"/>
      <c r="RK1869" s="106"/>
      <c r="RL1869" s="106"/>
    </row>
    <row r="1870" spans="48:480" x14ac:dyDescent="0.3">
      <c r="AV1870" s="103"/>
      <c r="CJ1870" s="103"/>
      <c r="FP1870" s="103"/>
      <c r="LL1870" s="103"/>
      <c r="NM1870" s="103"/>
      <c r="QT1870" s="106"/>
      <c r="QU1870" s="106"/>
      <c r="QV1870" s="106"/>
      <c r="QW1870" s="106"/>
      <c r="QX1870" s="106"/>
      <c r="QY1870" s="106"/>
      <c r="QZ1870" s="106"/>
      <c r="RA1870" s="106"/>
      <c r="RB1870" s="106"/>
      <c r="RC1870" s="106"/>
      <c r="RD1870" s="106"/>
      <c r="RE1870" s="106"/>
      <c r="RF1870" s="106"/>
      <c r="RG1870" s="106"/>
      <c r="RH1870" s="106"/>
      <c r="RI1870" s="106"/>
      <c r="RJ1870" s="106"/>
      <c r="RK1870" s="106"/>
      <c r="RL1870" s="106"/>
    </row>
    <row r="1871" spans="48:480" x14ac:dyDescent="0.3">
      <c r="AV1871" s="103"/>
      <c r="CJ1871" s="103"/>
      <c r="FP1871" s="103"/>
      <c r="LL1871" s="103"/>
      <c r="NM1871" s="103"/>
      <c r="QT1871" s="106"/>
      <c r="QU1871" s="106"/>
      <c r="QV1871" s="106"/>
      <c r="QW1871" s="106"/>
      <c r="QX1871" s="106"/>
      <c r="QY1871" s="106"/>
      <c r="QZ1871" s="106"/>
      <c r="RA1871" s="106"/>
      <c r="RB1871" s="106"/>
      <c r="RC1871" s="106"/>
      <c r="RD1871" s="106"/>
      <c r="RE1871" s="106"/>
      <c r="RF1871" s="106"/>
      <c r="RG1871" s="106"/>
      <c r="RH1871" s="106"/>
      <c r="RI1871" s="106"/>
      <c r="RJ1871" s="106"/>
      <c r="RK1871" s="106"/>
      <c r="RL1871" s="106"/>
    </row>
    <row r="1872" spans="48:480" x14ac:dyDescent="0.3">
      <c r="AV1872" s="103"/>
      <c r="CJ1872" s="103"/>
      <c r="FP1872" s="103"/>
      <c r="LL1872" s="103"/>
      <c r="NM1872" s="103"/>
      <c r="QT1872" s="106"/>
      <c r="QU1872" s="106"/>
      <c r="QV1872" s="106"/>
      <c r="QW1872" s="106"/>
      <c r="QX1872" s="106"/>
      <c r="QY1872" s="106"/>
      <c r="QZ1872" s="106"/>
      <c r="RA1872" s="106"/>
      <c r="RB1872" s="106"/>
      <c r="RC1872" s="106"/>
      <c r="RD1872" s="106"/>
      <c r="RE1872" s="106"/>
      <c r="RF1872" s="106"/>
      <c r="RG1872" s="106"/>
      <c r="RH1872" s="106"/>
      <c r="RI1872" s="106"/>
      <c r="RJ1872" s="106"/>
      <c r="RK1872" s="106"/>
      <c r="RL1872" s="106"/>
    </row>
    <row r="1873" spans="48:480" x14ac:dyDescent="0.3">
      <c r="AV1873" s="103"/>
      <c r="CJ1873" s="103"/>
      <c r="FP1873" s="103"/>
      <c r="LL1873" s="103"/>
      <c r="NM1873" s="103"/>
      <c r="QT1873" s="106"/>
      <c r="QU1873" s="106"/>
      <c r="QV1873" s="106"/>
      <c r="QW1873" s="106"/>
      <c r="QX1873" s="106"/>
      <c r="QY1873" s="106"/>
      <c r="QZ1873" s="106"/>
      <c r="RA1873" s="106"/>
      <c r="RB1873" s="106"/>
      <c r="RC1873" s="106"/>
      <c r="RD1873" s="106"/>
      <c r="RE1873" s="106"/>
      <c r="RF1873" s="106"/>
      <c r="RG1873" s="106"/>
      <c r="RH1873" s="106"/>
      <c r="RI1873" s="106"/>
      <c r="RJ1873" s="106"/>
      <c r="RK1873" s="106"/>
      <c r="RL1873" s="106"/>
    </row>
    <row r="1874" spans="48:480" x14ac:dyDescent="0.3">
      <c r="AV1874" s="103"/>
      <c r="CJ1874" s="103"/>
      <c r="FP1874" s="103"/>
      <c r="LL1874" s="103"/>
      <c r="NM1874" s="103"/>
      <c r="QT1874" s="106"/>
      <c r="QU1874" s="106"/>
      <c r="QV1874" s="106"/>
      <c r="QW1874" s="106"/>
      <c r="QX1874" s="106"/>
      <c r="QY1874" s="106"/>
      <c r="QZ1874" s="106"/>
      <c r="RA1874" s="106"/>
      <c r="RB1874" s="106"/>
      <c r="RC1874" s="106"/>
      <c r="RD1874" s="106"/>
      <c r="RE1874" s="106"/>
      <c r="RF1874" s="106"/>
      <c r="RG1874" s="106"/>
      <c r="RH1874" s="106"/>
      <c r="RI1874" s="106"/>
      <c r="RJ1874" s="106"/>
      <c r="RK1874" s="106"/>
      <c r="RL1874" s="106"/>
    </row>
    <row r="1875" spans="48:480" x14ac:dyDescent="0.3">
      <c r="AV1875" s="103"/>
      <c r="CJ1875" s="103"/>
      <c r="FP1875" s="103"/>
      <c r="LL1875" s="103"/>
      <c r="NM1875" s="103"/>
      <c r="QT1875" s="106"/>
      <c r="QU1875" s="106"/>
      <c r="QV1875" s="106"/>
      <c r="QW1875" s="106"/>
      <c r="QX1875" s="106"/>
      <c r="QY1875" s="106"/>
      <c r="QZ1875" s="106"/>
      <c r="RA1875" s="106"/>
      <c r="RB1875" s="106"/>
      <c r="RC1875" s="106"/>
      <c r="RD1875" s="106"/>
      <c r="RE1875" s="106"/>
      <c r="RF1875" s="106"/>
      <c r="RG1875" s="106"/>
      <c r="RH1875" s="106"/>
      <c r="RI1875" s="106"/>
      <c r="RJ1875" s="106"/>
      <c r="RK1875" s="106"/>
      <c r="RL1875" s="106"/>
    </row>
    <row r="1876" spans="48:480" x14ac:dyDescent="0.3">
      <c r="AV1876" s="103"/>
      <c r="CJ1876" s="103"/>
      <c r="FP1876" s="103"/>
      <c r="LL1876" s="103"/>
      <c r="NM1876" s="103"/>
      <c r="QT1876" s="106"/>
      <c r="QU1876" s="106"/>
      <c r="QV1876" s="106"/>
      <c r="QW1876" s="106"/>
      <c r="QX1876" s="106"/>
      <c r="QY1876" s="106"/>
      <c r="QZ1876" s="106"/>
      <c r="RA1876" s="106"/>
      <c r="RB1876" s="106"/>
      <c r="RC1876" s="106"/>
      <c r="RD1876" s="106"/>
      <c r="RE1876" s="106"/>
      <c r="RF1876" s="106"/>
      <c r="RG1876" s="106"/>
      <c r="RH1876" s="106"/>
      <c r="RI1876" s="106"/>
      <c r="RJ1876" s="106"/>
      <c r="RK1876" s="106"/>
      <c r="RL1876" s="106"/>
    </row>
    <row r="1877" spans="48:480" x14ac:dyDescent="0.3">
      <c r="AV1877" s="103"/>
      <c r="CJ1877" s="103"/>
      <c r="FP1877" s="103"/>
      <c r="LL1877" s="103"/>
      <c r="NM1877" s="103"/>
      <c r="QT1877" s="106"/>
      <c r="QU1877" s="106"/>
      <c r="QV1877" s="106"/>
      <c r="QW1877" s="106"/>
      <c r="QX1877" s="106"/>
      <c r="QY1877" s="106"/>
      <c r="QZ1877" s="106"/>
      <c r="RA1877" s="106"/>
      <c r="RB1877" s="106"/>
      <c r="RC1877" s="106"/>
      <c r="RD1877" s="106"/>
      <c r="RE1877" s="106"/>
      <c r="RF1877" s="106"/>
      <c r="RG1877" s="106"/>
      <c r="RH1877" s="106"/>
      <c r="RI1877" s="106"/>
      <c r="RJ1877" s="106"/>
      <c r="RK1877" s="106"/>
      <c r="RL1877" s="106"/>
    </row>
    <row r="1878" spans="48:480" x14ac:dyDescent="0.3">
      <c r="AV1878" s="103"/>
      <c r="CJ1878" s="103"/>
      <c r="FP1878" s="103"/>
      <c r="LL1878" s="103"/>
      <c r="NM1878" s="103"/>
      <c r="QT1878" s="106"/>
      <c r="QU1878" s="106"/>
      <c r="QV1878" s="106"/>
      <c r="QW1878" s="106"/>
      <c r="QX1878" s="106"/>
      <c r="QY1878" s="106"/>
      <c r="QZ1878" s="106"/>
      <c r="RA1878" s="106"/>
      <c r="RB1878" s="106"/>
      <c r="RC1878" s="106"/>
      <c r="RD1878" s="106"/>
      <c r="RE1878" s="106"/>
      <c r="RF1878" s="106"/>
      <c r="RG1878" s="106"/>
      <c r="RH1878" s="106"/>
      <c r="RI1878" s="106"/>
      <c r="RJ1878" s="106"/>
      <c r="RK1878" s="106"/>
      <c r="RL1878" s="106"/>
    </row>
    <row r="1879" spans="48:480" x14ac:dyDescent="0.3">
      <c r="AV1879" s="103"/>
      <c r="CJ1879" s="103"/>
      <c r="FP1879" s="103"/>
      <c r="LL1879" s="103"/>
      <c r="NM1879" s="103"/>
      <c r="QT1879" s="106"/>
      <c r="QU1879" s="106"/>
      <c r="QV1879" s="106"/>
      <c r="QW1879" s="106"/>
      <c r="QX1879" s="106"/>
      <c r="QY1879" s="106"/>
      <c r="QZ1879" s="106"/>
      <c r="RA1879" s="106"/>
      <c r="RB1879" s="106"/>
      <c r="RC1879" s="106"/>
      <c r="RD1879" s="106"/>
      <c r="RE1879" s="106"/>
      <c r="RF1879" s="106"/>
      <c r="RG1879" s="106"/>
      <c r="RH1879" s="106"/>
      <c r="RI1879" s="106"/>
      <c r="RJ1879" s="106"/>
      <c r="RK1879" s="106"/>
      <c r="RL1879" s="106"/>
    </row>
    <row r="1880" spans="48:480" x14ac:dyDescent="0.3">
      <c r="AV1880" s="103"/>
      <c r="CJ1880" s="103"/>
      <c r="FP1880" s="103"/>
      <c r="LL1880" s="103"/>
      <c r="NM1880" s="103"/>
      <c r="QT1880" s="106"/>
      <c r="QU1880" s="106"/>
      <c r="QV1880" s="106"/>
      <c r="QW1880" s="106"/>
      <c r="QX1880" s="106"/>
      <c r="QY1880" s="106"/>
      <c r="QZ1880" s="106"/>
      <c r="RA1880" s="106"/>
      <c r="RB1880" s="106"/>
      <c r="RC1880" s="106"/>
      <c r="RD1880" s="106"/>
      <c r="RE1880" s="106"/>
      <c r="RF1880" s="106"/>
      <c r="RG1880" s="106"/>
      <c r="RH1880" s="106"/>
      <c r="RI1880" s="106"/>
      <c r="RJ1880" s="106"/>
      <c r="RK1880" s="106"/>
      <c r="RL1880" s="106"/>
    </row>
    <row r="1881" spans="48:480" x14ac:dyDescent="0.3">
      <c r="AV1881" s="103"/>
      <c r="CJ1881" s="103"/>
      <c r="FP1881" s="103"/>
      <c r="LL1881" s="103"/>
      <c r="NM1881" s="103"/>
      <c r="QT1881" s="106"/>
      <c r="QU1881" s="106"/>
      <c r="QV1881" s="106"/>
      <c r="QW1881" s="106"/>
      <c r="QX1881" s="106"/>
      <c r="QY1881" s="106"/>
      <c r="QZ1881" s="106"/>
      <c r="RA1881" s="106"/>
      <c r="RB1881" s="106"/>
      <c r="RC1881" s="106"/>
      <c r="RD1881" s="106"/>
      <c r="RE1881" s="106"/>
      <c r="RF1881" s="106"/>
      <c r="RG1881" s="106"/>
      <c r="RH1881" s="106"/>
      <c r="RI1881" s="106"/>
      <c r="RJ1881" s="106"/>
      <c r="RK1881" s="106"/>
      <c r="RL1881" s="106"/>
    </row>
    <row r="1882" spans="48:480" x14ac:dyDescent="0.3">
      <c r="AV1882" s="103"/>
      <c r="CJ1882" s="103"/>
      <c r="FP1882" s="103"/>
      <c r="LL1882" s="103"/>
      <c r="NM1882" s="103"/>
      <c r="QT1882" s="106"/>
      <c r="QU1882" s="106"/>
      <c r="QV1882" s="106"/>
      <c r="QW1882" s="106"/>
      <c r="QX1882" s="106"/>
      <c r="QY1882" s="106"/>
      <c r="QZ1882" s="106"/>
      <c r="RA1882" s="106"/>
      <c r="RB1882" s="106"/>
      <c r="RC1882" s="106"/>
      <c r="RD1882" s="106"/>
      <c r="RE1882" s="106"/>
      <c r="RF1882" s="106"/>
      <c r="RG1882" s="106"/>
      <c r="RH1882" s="106"/>
      <c r="RI1882" s="106"/>
      <c r="RJ1882" s="106"/>
      <c r="RK1882" s="106"/>
      <c r="RL1882" s="106"/>
    </row>
    <row r="1883" spans="48:480" x14ac:dyDescent="0.3">
      <c r="AV1883" s="103"/>
      <c r="CJ1883" s="103"/>
      <c r="FP1883" s="103"/>
      <c r="LL1883" s="103"/>
      <c r="NM1883" s="103"/>
      <c r="QT1883" s="106"/>
      <c r="QU1883" s="106"/>
      <c r="QV1883" s="106"/>
      <c r="QW1883" s="106"/>
      <c r="QX1883" s="106"/>
      <c r="QY1883" s="106"/>
      <c r="QZ1883" s="106"/>
      <c r="RA1883" s="106"/>
      <c r="RB1883" s="106"/>
      <c r="RC1883" s="106"/>
      <c r="RD1883" s="106"/>
      <c r="RE1883" s="106"/>
      <c r="RF1883" s="106"/>
      <c r="RG1883" s="106"/>
      <c r="RH1883" s="106"/>
      <c r="RI1883" s="106"/>
      <c r="RJ1883" s="106"/>
      <c r="RK1883" s="106"/>
      <c r="RL1883" s="106"/>
    </row>
    <row r="1884" spans="48:480" x14ac:dyDescent="0.3">
      <c r="AV1884" s="103"/>
      <c r="CJ1884" s="103"/>
      <c r="FP1884" s="103"/>
      <c r="LL1884" s="103"/>
      <c r="NM1884" s="103"/>
      <c r="QT1884" s="106"/>
      <c r="QU1884" s="106"/>
      <c r="QV1884" s="106"/>
      <c r="QW1884" s="106"/>
      <c r="QX1884" s="106"/>
      <c r="QY1884" s="106"/>
      <c r="QZ1884" s="106"/>
      <c r="RA1884" s="106"/>
      <c r="RB1884" s="106"/>
      <c r="RC1884" s="106"/>
      <c r="RD1884" s="106"/>
      <c r="RE1884" s="106"/>
      <c r="RF1884" s="106"/>
      <c r="RG1884" s="106"/>
      <c r="RH1884" s="106"/>
      <c r="RI1884" s="106"/>
      <c r="RJ1884" s="106"/>
      <c r="RK1884" s="106"/>
      <c r="RL1884" s="106"/>
    </row>
    <row r="1885" spans="48:480" x14ac:dyDescent="0.3">
      <c r="AV1885" s="103"/>
      <c r="CJ1885" s="103"/>
      <c r="FP1885" s="103"/>
      <c r="LL1885" s="103"/>
      <c r="NM1885" s="103"/>
      <c r="QT1885" s="106"/>
      <c r="QU1885" s="106"/>
      <c r="QV1885" s="106"/>
      <c r="QW1885" s="106"/>
      <c r="QX1885" s="106"/>
      <c r="QY1885" s="106"/>
      <c r="QZ1885" s="106"/>
      <c r="RA1885" s="106"/>
      <c r="RB1885" s="106"/>
      <c r="RC1885" s="106"/>
      <c r="RD1885" s="106"/>
      <c r="RE1885" s="106"/>
      <c r="RF1885" s="106"/>
      <c r="RG1885" s="106"/>
      <c r="RH1885" s="106"/>
      <c r="RI1885" s="106"/>
      <c r="RJ1885" s="106"/>
      <c r="RK1885" s="106"/>
      <c r="RL1885" s="106"/>
    </row>
    <row r="1886" spans="48:480" x14ac:dyDescent="0.3">
      <c r="AV1886" s="103"/>
      <c r="CJ1886" s="103"/>
      <c r="FP1886" s="103"/>
      <c r="LL1886" s="103"/>
      <c r="NM1886" s="103"/>
      <c r="QT1886" s="106"/>
      <c r="QU1886" s="106"/>
      <c r="QV1886" s="106"/>
      <c r="QW1886" s="106"/>
      <c r="QX1886" s="106"/>
      <c r="QY1886" s="106"/>
      <c r="QZ1886" s="106"/>
      <c r="RA1886" s="106"/>
      <c r="RB1886" s="106"/>
      <c r="RC1886" s="106"/>
      <c r="RD1886" s="106"/>
      <c r="RE1886" s="106"/>
      <c r="RF1886" s="106"/>
      <c r="RG1886" s="106"/>
      <c r="RH1886" s="106"/>
      <c r="RI1886" s="106"/>
      <c r="RJ1886" s="106"/>
      <c r="RK1886" s="106"/>
      <c r="RL1886" s="106"/>
    </row>
    <row r="1887" spans="48:480" x14ac:dyDescent="0.3">
      <c r="AV1887" s="103"/>
      <c r="CJ1887" s="103"/>
      <c r="FP1887" s="103"/>
      <c r="LL1887" s="103"/>
      <c r="NM1887" s="103"/>
      <c r="QT1887" s="106"/>
      <c r="QU1887" s="106"/>
      <c r="QV1887" s="106"/>
      <c r="QW1887" s="106"/>
      <c r="QX1887" s="106"/>
      <c r="QY1887" s="106"/>
      <c r="QZ1887" s="106"/>
      <c r="RA1887" s="106"/>
      <c r="RB1887" s="106"/>
      <c r="RC1887" s="106"/>
      <c r="RD1887" s="106"/>
      <c r="RE1887" s="106"/>
      <c r="RF1887" s="106"/>
      <c r="RG1887" s="106"/>
      <c r="RH1887" s="106"/>
      <c r="RI1887" s="106"/>
      <c r="RJ1887" s="106"/>
      <c r="RK1887" s="106"/>
      <c r="RL1887" s="106"/>
    </row>
    <row r="1888" spans="48:480" x14ac:dyDescent="0.3">
      <c r="AV1888" s="103"/>
      <c r="CJ1888" s="103"/>
      <c r="FP1888" s="103"/>
      <c r="LL1888" s="103"/>
      <c r="NM1888" s="103"/>
      <c r="QT1888" s="106"/>
      <c r="QU1888" s="106"/>
      <c r="QV1888" s="106"/>
      <c r="QW1888" s="106"/>
      <c r="QX1888" s="106"/>
      <c r="QY1888" s="106"/>
      <c r="QZ1888" s="106"/>
      <c r="RA1888" s="106"/>
      <c r="RB1888" s="106"/>
      <c r="RC1888" s="106"/>
      <c r="RD1888" s="106"/>
      <c r="RE1888" s="106"/>
      <c r="RF1888" s="106"/>
      <c r="RG1888" s="106"/>
      <c r="RH1888" s="106"/>
      <c r="RI1888" s="106"/>
      <c r="RJ1888" s="106"/>
      <c r="RK1888" s="106"/>
      <c r="RL1888" s="106"/>
    </row>
    <row r="1889" spans="48:480" x14ac:dyDescent="0.3">
      <c r="AV1889" s="103"/>
      <c r="CJ1889" s="103"/>
      <c r="FP1889" s="103"/>
      <c r="LL1889" s="103"/>
      <c r="NM1889" s="103"/>
      <c r="QT1889" s="106"/>
      <c r="QU1889" s="106"/>
      <c r="QV1889" s="106"/>
      <c r="QW1889" s="106"/>
      <c r="QX1889" s="106"/>
      <c r="QY1889" s="106"/>
      <c r="QZ1889" s="106"/>
      <c r="RA1889" s="106"/>
      <c r="RB1889" s="106"/>
      <c r="RC1889" s="106"/>
      <c r="RD1889" s="106"/>
      <c r="RE1889" s="106"/>
      <c r="RF1889" s="106"/>
      <c r="RG1889" s="106"/>
      <c r="RH1889" s="106"/>
      <c r="RI1889" s="106"/>
      <c r="RJ1889" s="106"/>
      <c r="RK1889" s="106"/>
      <c r="RL1889" s="106"/>
    </row>
    <row r="1890" spans="48:480" x14ac:dyDescent="0.3">
      <c r="AV1890" s="103"/>
      <c r="CJ1890" s="103"/>
      <c r="FP1890" s="103"/>
      <c r="LL1890" s="103"/>
      <c r="NM1890" s="103"/>
      <c r="QT1890" s="106"/>
      <c r="QU1890" s="106"/>
      <c r="QV1890" s="106"/>
      <c r="QW1890" s="106"/>
      <c r="QX1890" s="106"/>
      <c r="QY1890" s="106"/>
      <c r="QZ1890" s="106"/>
      <c r="RA1890" s="106"/>
      <c r="RB1890" s="106"/>
      <c r="RC1890" s="106"/>
      <c r="RD1890" s="106"/>
      <c r="RE1890" s="106"/>
      <c r="RF1890" s="106"/>
      <c r="RG1890" s="106"/>
      <c r="RH1890" s="106"/>
      <c r="RI1890" s="106"/>
      <c r="RJ1890" s="106"/>
      <c r="RK1890" s="106"/>
      <c r="RL1890" s="106"/>
    </row>
    <row r="1891" spans="48:480" x14ac:dyDescent="0.3">
      <c r="AV1891" s="103"/>
      <c r="CJ1891" s="103"/>
      <c r="FP1891" s="103"/>
      <c r="LL1891" s="103"/>
      <c r="NM1891" s="103"/>
      <c r="QT1891" s="106"/>
      <c r="QU1891" s="106"/>
      <c r="QV1891" s="106"/>
      <c r="QW1891" s="106"/>
      <c r="QX1891" s="106"/>
      <c r="QY1891" s="106"/>
      <c r="QZ1891" s="106"/>
      <c r="RA1891" s="106"/>
      <c r="RB1891" s="106"/>
      <c r="RC1891" s="106"/>
      <c r="RD1891" s="106"/>
      <c r="RE1891" s="106"/>
      <c r="RF1891" s="106"/>
      <c r="RG1891" s="106"/>
      <c r="RH1891" s="106"/>
      <c r="RI1891" s="106"/>
      <c r="RJ1891" s="106"/>
      <c r="RK1891" s="106"/>
      <c r="RL1891" s="106"/>
    </row>
    <row r="1892" spans="48:480" x14ac:dyDescent="0.3">
      <c r="AV1892" s="103"/>
      <c r="CJ1892" s="103"/>
      <c r="FP1892" s="103"/>
      <c r="LL1892" s="103"/>
      <c r="NM1892" s="103"/>
      <c r="QT1892" s="106"/>
      <c r="QU1892" s="106"/>
      <c r="QV1892" s="106"/>
      <c r="QW1892" s="106"/>
      <c r="QX1892" s="106"/>
      <c r="QY1892" s="106"/>
      <c r="QZ1892" s="106"/>
      <c r="RA1892" s="106"/>
      <c r="RB1892" s="106"/>
      <c r="RC1892" s="106"/>
      <c r="RD1892" s="106"/>
      <c r="RE1892" s="106"/>
      <c r="RF1892" s="106"/>
      <c r="RG1892" s="106"/>
      <c r="RH1892" s="106"/>
      <c r="RI1892" s="106"/>
      <c r="RJ1892" s="106"/>
      <c r="RK1892" s="106"/>
      <c r="RL1892" s="106"/>
    </row>
    <row r="1893" spans="48:480" x14ac:dyDescent="0.3">
      <c r="AV1893" s="103"/>
      <c r="CJ1893" s="103"/>
      <c r="FP1893" s="103"/>
      <c r="LL1893" s="103"/>
      <c r="NM1893" s="103"/>
      <c r="QT1893" s="106"/>
      <c r="QU1893" s="106"/>
      <c r="QV1893" s="106"/>
      <c r="QW1893" s="106"/>
      <c r="QX1893" s="106"/>
      <c r="QY1893" s="106"/>
      <c r="QZ1893" s="106"/>
      <c r="RA1893" s="106"/>
      <c r="RB1893" s="106"/>
      <c r="RC1893" s="106"/>
      <c r="RD1893" s="106"/>
      <c r="RE1893" s="106"/>
      <c r="RF1893" s="106"/>
      <c r="RG1893" s="106"/>
      <c r="RH1893" s="106"/>
      <c r="RI1893" s="106"/>
      <c r="RJ1893" s="106"/>
      <c r="RK1893" s="106"/>
      <c r="RL1893" s="106"/>
    </row>
    <row r="1894" spans="48:480" x14ac:dyDescent="0.3">
      <c r="AV1894" s="103"/>
      <c r="CJ1894" s="103"/>
      <c r="FP1894" s="103"/>
      <c r="LL1894" s="103"/>
      <c r="NM1894" s="103"/>
      <c r="QT1894" s="106"/>
      <c r="QU1894" s="106"/>
      <c r="QV1894" s="106"/>
      <c r="QW1894" s="106"/>
      <c r="QX1894" s="106"/>
      <c r="QY1894" s="106"/>
      <c r="QZ1894" s="106"/>
      <c r="RA1894" s="106"/>
      <c r="RB1894" s="106"/>
      <c r="RC1894" s="106"/>
      <c r="RD1894" s="106"/>
      <c r="RE1894" s="106"/>
      <c r="RF1894" s="106"/>
      <c r="RG1894" s="106"/>
      <c r="RH1894" s="106"/>
      <c r="RI1894" s="106"/>
      <c r="RJ1894" s="106"/>
      <c r="RK1894" s="106"/>
      <c r="RL1894" s="106"/>
    </row>
    <row r="1895" spans="48:480" x14ac:dyDescent="0.3">
      <c r="AV1895" s="103"/>
      <c r="CJ1895" s="103"/>
      <c r="FP1895" s="103"/>
      <c r="LL1895" s="103"/>
      <c r="NM1895" s="103"/>
      <c r="QT1895" s="106"/>
      <c r="QU1895" s="106"/>
      <c r="QV1895" s="106"/>
      <c r="QW1895" s="106"/>
      <c r="QX1895" s="106"/>
      <c r="QY1895" s="106"/>
      <c r="QZ1895" s="106"/>
      <c r="RA1895" s="106"/>
      <c r="RB1895" s="106"/>
      <c r="RC1895" s="106"/>
      <c r="RD1895" s="106"/>
      <c r="RE1895" s="106"/>
      <c r="RF1895" s="106"/>
      <c r="RG1895" s="106"/>
      <c r="RH1895" s="106"/>
      <c r="RI1895" s="106"/>
      <c r="RJ1895" s="106"/>
      <c r="RK1895" s="106"/>
      <c r="RL1895" s="106"/>
    </row>
    <row r="1896" spans="48:480" x14ac:dyDescent="0.3">
      <c r="AV1896" s="103"/>
      <c r="CJ1896" s="103"/>
      <c r="FP1896" s="103"/>
      <c r="LL1896" s="103"/>
      <c r="NM1896" s="103"/>
      <c r="QT1896" s="106"/>
      <c r="QU1896" s="106"/>
      <c r="QV1896" s="106"/>
      <c r="QW1896" s="106"/>
      <c r="QX1896" s="106"/>
      <c r="QY1896" s="106"/>
      <c r="QZ1896" s="106"/>
      <c r="RA1896" s="106"/>
      <c r="RB1896" s="106"/>
      <c r="RC1896" s="106"/>
      <c r="RD1896" s="106"/>
      <c r="RE1896" s="106"/>
      <c r="RF1896" s="106"/>
      <c r="RG1896" s="106"/>
      <c r="RH1896" s="106"/>
      <c r="RI1896" s="106"/>
      <c r="RJ1896" s="106"/>
      <c r="RK1896" s="106"/>
      <c r="RL1896" s="106"/>
    </row>
    <row r="1897" spans="48:480" x14ac:dyDescent="0.3">
      <c r="AV1897" s="103"/>
      <c r="CJ1897" s="103"/>
      <c r="FP1897" s="103"/>
      <c r="LL1897" s="103"/>
      <c r="NM1897" s="103"/>
      <c r="QT1897" s="106"/>
      <c r="QU1897" s="106"/>
      <c r="QV1897" s="106"/>
      <c r="QW1897" s="106"/>
      <c r="QX1897" s="106"/>
      <c r="QY1897" s="106"/>
      <c r="QZ1897" s="106"/>
      <c r="RA1897" s="106"/>
      <c r="RB1897" s="106"/>
      <c r="RC1897" s="106"/>
      <c r="RD1897" s="106"/>
      <c r="RE1897" s="106"/>
      <c r="RF1897" s="106"/>
      <c r="RG1897" s="106"/>
      <c r="RH1897" s="106"/>
      <c r="RI1897" s="106"/>
      <c r="RJ1897" s="106"/>
      <c r="RK1897" s="106"/>
      <c r="RL1897" s="106"/>
    </row>
    <row r="1898" spans="48:480" x14ac:dyDescent="0.3">
      <c r="AV1898" s="103"/>
      <c r="CJ1898" s="103"/>
      <c r="FP1898" s="103"/>
      <c r="LL1898" s="103"/>
      <c r="NM1898" s="103"/>
      <c r="QT1898" s="106"/>
      <c r="QU1898" s="106"/>
      <c r="QV1898" s="106"/>
      <c r="QW1898" s="106"/>
      <c r="QX1898" s="106"/>
      <c r="QY1898" s="106"/>
      <c r="QZ1898" s="106"/>
      <c r="RA1898" s="106"/>
      <c r="RB1898" s="106"/>
      <c r="RC1898" s="106"/>
      <c r="RD1898" s="106"/>
      <c r="RE1898" s="106"/>
      <c r="RF1898" s="106"/>
      <c r="RG1898" s="106"/>
      <c r="RH1898" s="106"/>
      <c r="RI1898" s="106"/>
      <c r="RJ1898" s="106"/>
      <c r="RK1898" s="106"/>
      <c r="RL1898" s="106"/>
    </row>
    <row r="1899" spans="48:480" x14ac:dyDescent="0.3">
      <c r="AV1899" s="103"/>
      <c r="CJ1899" s="103"/>
      <c r="FP1899" s="103"/>
      <c r="LL1899" s="103"/>
      <c r="NM1899" s="103"/>
      <c r="QT1899" s="106"/>
      <c r="QU1899" s="106"/>
      <c r="QV1899" s="106"/>
      <c r="QW1899" s="106"/>
      <c r="QX1899" s="106"/>
      <c r="QY1899" s="106"/>
      <c r="QZ1899" s="106"/>
      <c r="RA1899" s="106"/>
      <c r="RB1899" s="106"/>
      <c r="RC1899" s="106"/>
      <c r="RD1899" s="106"/>
      <c r="RE1899" s="106"/>
      <c r="RF1899" s="106"/>
      <c r="RG1899" s="106"/>
      <c r="RH1899" s="106"/>
      <c r="RI1899" s="106"/>
      <c r="RJ1899" s="106"/>
      <c r="RK1899" s="106"/>
      <c r="RL1899" s="106"/>
    </row>
    <row r="1900" spans="48:480" x14ac:dyDescent="0.3">
      <c r="AV1900" s="103"/>
      <c r="CJ1900" s="103"/>
      <c r="FP1900" s="103"/>
      <c r="LL1900" s="103"/>
      <c r="NM1900" s="103"/>
      <c r="QT1900" s="106"/>
      <c r="QU1900" s="106"/>
      <c r="QV1900" s="106"/>
      <c r="QW1900" s="106"/>
      <c r="QX1900" s="106"/>
      <c r="QY1900" s="106"/>
      <c r="QZ1900" s="106"/>
      <c r="RA1900" s="106"/>
      <c r="RB1900" s="106"/>
      <c r="RC1900" s="106"/>
      <c r="RD1900" s="106"/>
      <c r="RE1900" s="106"/>
      <c r="RF1900" s="106"/>
      <c r="RG1900" s="106"/>
      <c r="RH1900" s="106"/>
      <c r="RI1900" s="106"/>
      <c r="RJ1900" s="106"/>
      <c r="RK1900" s="106"/>
      <c r="RL1900" s="106"/>
    </row>
    <row r="1901" spans="48:480" x14ac:dyDescent="0.3">
      <c r="AV1901" s="103"/>
      <c r="CJ1901" s="103"/>
      <c r="FP1901" s="103"/>
      <c r="LL1901" s="103"/>
      <c r="NM1901" s="103"/>
      <c r="QT1901" s="106"/>
      <c r="QU1901" s="106"/>
      <c r="QV1901" s="106"/>
      <c r="QW1901" s="106"/>
      <c r="QX1901" s="106"/>
      <c r="QY1901" s="106"/>
      <c r="QZ1901" s="106"/>
      <c r="RA1901" s="106"/>
      <c r="RB1901" s="106"/>
      <c r="RC1901" s="106"/>
      <c r="RD1901" s="106"/>
      <c r="RE1901" s="106"/>
      <c r="RF1901" s="106"/>
      <c r="RG1901" s="106"/>
      <c r="RH1901" s="106"/>
      <c r="RI1901" s="106"/>
      <c r="RJ1901" s="106"/>
      <c r="RK1901" s="106"/>
      <c r="RL1901" s="106"/>
    </row>
    <row r="1902" spans="48:480" x14ac:dyDescent="0.3">
      <c r="AV1902" s="103"/>
      <c r="CJ1902" s="103"/>
      <c r="FP1902" s="103"/>
      <c r="LL1902" s="103"/>
      <c r="NM1902" s="103"/>
      <c r="QT1902" s="106"/>
      <c r="QU1902" s="106"/>
      <c r="QV1902" s="106"/>
      <c r="QW1902" s="106"/>
      <c r="QX1902" s="106"/>
      <c r="QY1902" s="106"/>
      <c r="QZ1902" s="106"/>
      <c r="RA1902" s="106"/>
      <c r="RB1902" s="106"/>
      <c r="RC1902" s="106"/>
      <c r="RD1902" s="106"/>
      <c r="RE1902" s="106"/>
      <c r="RF1902" s="106"/>
      <c r="RG1902" s="106"/>
      <c r="RH1902" s="106"/>
      <c r="RI1902" s="106"/>
      <c r="RJ1902" s="106"/>
      <c r="RK1902" s="106"/>
      <c r="RL1902" s="106"/>
    </row>
    <row r="1903" spans="48:480" x14ac:dyDescent="0.3">
      <c r="AV1903" s="103"/>
      <c r="CJ1903" s="103"/>
      <c r="FP1903" s="103"/>
      <c r="LL1903" s="103"/>
      <c r="NM1903" s="103"/>
      <c r="QT1903" s="106"/>
      <c r="QU1903" s="106"/>
      <c r="QV1903" s="106"/>
      <c r="QW1903" s="106"/>
      <c r="QX1903" s="106"/>
      <c r="QY1903" s="106"/>
      <c r="QZ1903" s="106"/>
      <c r="RA1903" s="106"/>
      <c r="RB1903" s="106"/>
      <c r="RC1903" s="106"/>
      <c r="RD1903" s="106"/>
      <c r="RE1903" s="106"/>
      <c r="RF1903" s="106"/>
      <c r="RG1903" s="106"/>
      <c r="RH1903" s="106"/>
      <c r="RI1903" s="106"/>
      <c r="RJ1903" s="106"/>
      <c r="RK1903" s="106"/>
      <c r="RL1903" s="106"/>
    </row>
    <row r="1904" spans="48:480" x14ac:dyDescent="0.3">
      <c r="AV1904" s="103"/>
      <c r="CJ1904" s="103"/>
      <c r="FP1904" s="103"/>
      <c r="LL1904" s="103"/>
      <c r="NM1904" s="103"/>
      <c r="QT1904" s="106"/>
      <c r="QU1904" s="106"/>
      <c r="QV1904" s="106"/>
      <c r="QW1904" s="106"/>
      <c r="QX1904" s="106"/>
      <c r="QY1904" s="106"/>
      <c r="QZ1904" s="106"/>
      <c r="RA1904" s="106"/>
      <c r="RB1904" s="106"/>
      <c r="RC1904" s="106"/>
      <c r="RD1904" s="106"/>
      <c r="RE1904" s="106"/>
      <c r="RF1904" s="106"/>
      <c r="RG1904" s="106"/>
      <c r="RH1904" s="106"/>
      <c r="RI1904" s="106"/>
      <c r="RJ1904" s="106"/>
      <c r="RK1904" s="106"/>
      <c r="RL1904" s="106"/>
    </row>
    <row r="1905" spans="48:480" x14ac:dyDescent="0.3">
      <c r="AV1905" s="103"/>
      <c r="CJ1905" s="103"/>
      <c r="FP1905" s="103"/>
      <c r="LL1905" s="103"/>
      <c r="NM1905" s="103"/>
      <c r="QT1905" s="106"/>
      <c r="QU1905" s="106"/>
      <c r="QV1905" s="106"/>
      <c r="QW1905" s="106"/>
      <c r="QX1905" s="106"/>
      <c r="QY1905" s="106"/>
      <c r="QZ1905" s="106"/>
      <c r="RA1905" s="106"/>
      <c r="RB1905" s="106"/>
      <c r="RC1905" s="106"/>
      <c r="RD1905" s="106"/>
      <c r="RE1905" s="106"/>
      <c r="RF1905" s="106"/>
      <c r="RG1905" s="106"/>
      <c r="RH1905" s="106"/>
      <c r="RI1905" s="106"/>
      <c r="RJ1905" s="106"/>
      <c r="RK1905" s="106"/>
      <c r="RL1905" s="106"/>
    </row>
    <row r="1906" spans="48:480" x14ac:dyDescent="0.3">
      <c r="AV1906" s="103"/>
      <c r="CJ1906" s="103"/>
      <c r="FP1906" s="103"/>
      <c r="LL1906" s="103"/>
      <c r="NM1906" s="103"/>
      <c r="QT1906" s="106"/>
      <c r="QU1906" s="106"/>
      <c r="QV1906" s="106"/>
      <c r="QW1906" s="106"/>
      <c r="QX1906" s="106"/>
      <c r="QY1906" s="106"/>
      <c r="QZ1906" s="106"/>
      <c r="RA1906" s="106"/>
      <c r="RB1906" s="106"/>
      <c r="RC1906" s="106"/>
      <c r="RD1906" s="106"/>
      <c r="RE1906" s="106"/>
      <c r="RF1906" s="106"/>
      <c r="RG1906" s="106"/>
      <c r="RH1906" s="106"/>
      <c r="RI1906" s="106"/>
      <c r="RJ1906" s="106"/>
      <c r="RK1906" s="106"/>
      <c r="RL1906" s="106"/>
    </row>
    <row r="1907" spans="48:480" x14ac:dyDescent="0.3">
      <c r="AV1907" s="103"/>
      <c r="CJ1907" s="103"/>
      <c r="FP1907" s="103"/>
      <c r="LL1907" s="103"/>
      <c r="NM1907" s="103"/>
      <c r="QT1907" s="106"/>
      <c r="QU1907" s="106"/>
      <c r="QV1907" s="106"/>
      <c r="QW1907" s="106"/>
      <c r="QX1907" s="106"/>
      <c r="QY1907" s="106"/>
      <c r="QZ1907" s="106"/>
      <c r="RA1907" s="106"/>
      <c r="RB1907" s="106"/>
      <c r="RC1907" s="106"/>
      <c r="RD1907" s="106"/>
      <c r="RE1907" s="106"/>
      <c r="RF1907" s="106"/>
      <c r="RG1907" s="106"/>
      <c r="RH1907" s="106"/>
      <c r="RI1907" s="106"/>
      <c r="RJ1907" s="106"/>
      <c r="RK1907" s="106"/>
      <c r="RL1907" s="106"/>
    </row>
    <row r="1908" spans="48:480" x14ac:dyDescent="0.3">
      <c r="AV1908" s="103"/>
      <c r="CJ1908" s="103"/>
      <c r="FP1908" s="103"/>
      <c r="LL1908" s="103"/>
      <c r="NM1908" s="103"/>
      <c r="QT1908" s="106"/>
      <c r="QU1908" s="106"/>
      <c r="QV1908" s="106"/>
      <c r="QW1908" s="106"/>
      <c r="QX1908" s="106"/>
      <c r="QY1908" s="106"/>
      <c r="QZ1908" s="106"/>
      <c r="RA1908" s="106"/>
      <c r="RB1908" s="106"/>
      <c r="RC1908" s="106"/>
      <c r="RD1908" s="106"/>
      <c r="RE1908" s="106"/>
      <c r="RF1908" s="106"/>
      <c r="RG1908" s="106"/>
      <c r="RH1908" s="106"/>
      <c r="RI1908" s="106"/>
      <c r="RJ1908" s="106"/>
      <c r="RK1908" s="106"/>
      <c r="RL1908" s="106"/>
    </row>
    <row r="1909" spans="48:480" x14ac:dyDescent="0.3">
      <c r="AV1909" s="103"/>
      <c r="CJ1909" s="103"/>
      <c r="FP1909" s="103"/>
      <c r="LL1909" s="103"/>
      <c r="NM1909" s="103"/>
      <c r="QT1909" s="106"/>
      <c r="QU1909" s="106"/>
      <c r="QV1909" s="106"/>
      <c r="QW1909" s="106"/>
      <c r="QX1909" s="106"/>
      <c r="QY1909" s="106"/>
      <c r="QZ1909" s="106"/>
      <c r="RA1909" s="106"/>
      <c r="RB1909" s="106"/>
      <c r="RC1909" s="106"/>
      <c r="RD1909" s="106"/>
      <c r="RE1909" s="106"/>
      <c r="RF1909" s="106"/>
      <c r="RG1909" s="106"/>
      <c r="RH1909" s="106"/>
      <c r="RI1909" s="106"/>
      <c r="RJ1909" s="106"/>
      <c r="RK1909" s="106"/>
      <c r="RL1909" s="106"/>
    </row>
    <row r="1910" spans="48:480" x14ac:dyDescent="0.3">
      <c r="AV1910" s="103"/>
      <c r="CJ1910" s="103"/>
      <c r="FP1910" s="103"/>
      <c r="LL1910" s="103"/>
      <c r="NM1910" s="103"/>
      <c r="QT1910" s="106"/>
      <c r="QU1910" s="106"/>
      <c r="QV1910" s="106"/>
      <c r="QW1910" s="106"/>
      <c r="QX1910" s="106"/>
      <c r="QY1910" s="106"/>
      <c r="QZ1910" s="106"/>
      <c r="RA1910" s="106"/>
      <c r="RB1910" s="106"/>
      <c r="RC1910" s="106"/>
      <c r="RD1910" s="106"/>
      <c r="RE1910" s="106"/>
      <c r="RF1910" s="106"/>
      <c r="RG1910" s="106"/>
      <c r="RH1910" s="106"/>
      <c r="RI1910" s="106"/>
      <c r="RJ1910" s="106"/>
      <c r="RK1910" s="106"/>
      <c r="RL1910" s="106"/>
    </row>
    <row r="1911" spans="48:480" x14ac:dyDescent="0.3">
      <c r="AV1911" s="103"/>
      <c r="CJ1911" s="103"/>
      <c r="FP1911" s="103"/>
      <c r="LL1911" s="103"/>
      <c r="NM1911" s="103"/>
      <c r="QT1911" s="106"/>
      <c r="QU1911" s="106"/>
      <c r="QV1911" s="106"/>
      <c r="QW1911" s="106"/>
      <c r="QX1911" s="106"/>
      <c r="QY1911" s="106"/>
      <c r="QZ1911" s="106"/>
      <c r="RA1911" s="106"/>
      <c r="RB1911" s="106"/>
      <c r="RC1911" s="106"/>
      <c r="RD1911" s="106"/>
      <c r="RE1911" s="106"/>
      <c r="RF1911" s="106"/>
      <c r="RG1911" s="106"/>
      <c r="RH1911" s="106"/>
      <c r="RI1911" s="106"/>
      <c r="RJ1911" s="106"/>
      <c r="RK1911" s="106"/>
      <c r="RL1911" s="106"/>
    </row>
    <row r="1912" spans="48:480" x14ac:dyDescent="0.3">
      <c r="AV1912" s="103"/>
      <c r="CJ1912" s="103"/>
      <c r="FP1912" s="103"/>
      <c r="LL1912" s="103"/>
      <c r="NM1912" s="103"/>
      <c r="QT1912" s="106"/>
      <c r="QU1912" s="106"/>
      <c r="QV1912" s="106"/>
      <c r="QW1912" s="106"/>
      <c r="QX1912" s="106"/>
      <c r="QY1912" s="106"/>
      <c r="QZ1912" s="106"/>
      <c r="RA1912" s="106"/>
      <c r="RB1912" s="106"/>
      <c r="RC1912" s="106"/>
      <c r="RD1912" s="106"/>
      <c r="RE1912" s="106"/>
      <c r="RF1912" s="106"/>
      <c r="RG1912" s="106"/>
      <c r="RH1912" s="106"/>
      <c r="RI1912" s="106"/>
      <c r="RJ1912" s="106"/>
      <c r="RK1912" s="106"/>
      <c r="RL1912" s="106"/>
    </row>
    <row r="1913" spans="48:480" x14ac:dyDescent="0.3">
      <c r="AV1913" s="103"/>
      <c r="CJ1913" s="103"/>
      <c r="FP1913" s="103"/>
      <c r="LL1913" s="103"/>
      <c r="NM1913" s="103"/>
      <c r="QT1913" s="106"/>
      <c r="QU1913" s="106"/>
      <c r="QV1913" s="106"/>
      <c r="QW1913" s="106"/>
      <c r="QX1913" s="106"/>
      <c r="QY1913" s="106"/>
      <c r="QZ1913" s="106"/>
      <c r="RA1913" s="106"/>
      <c r="RB1913" s="106"/>
      <c r="RC1913" s="106"/>
      <c r="RD1913" s="106"/>
      <c r="RE1913" s="106"/>
      <c r="RF1913" s="106"/>
      <c r="RG1913" s="106"/>
      <c r="RH1913" s="106"/>
      <c r="RI1913" s="106"/>
      <c r="RJ1913" s="106"/>
      <c r="RK1913" s="106"/>
      <c r="RL1913" s="106"/>
    </row>
    <row r="1914" spans="48:480" x14ac:dyDescent="0.3">
      <c r="AV1914" s="103"/>
      <c r="CJ1914" s="103"/>
      <c r="FP1914" s="103"/>
      <c r="LL1914" s="103"/>
      <c r="NM1914" s="103"/>
      <c r="QT1914" s="106"/>
      <c r="QU1914" s="106"/>
      <c r="QV1914" s="106"/>
      <c r="QW1914" s="106"/>
      <c r="QX1914" s="106"/>
      <c r="QY1914" s="106"/>
      <c r="QZ1914" s="106"/>
      <c r="RA1914" s="106"/>
      <c r="RB1914" s="106"/>
      <c r="RC1914" s="106"/>
      <c r="RD1914" s="106"/>
      <c r="RE1914" s="106"/>
      <c r="RF1914" s="106"/>
      <c r="RG1914" s="106"/>
      <c r="RH1914" s="106"/>
      <c r="RI1914" s="106"/>
      <c r="RJ1914" s="106"/>
      <c r="RK1914" s="106"/>
      <c r="RL1914" s="106"/>
    </row>
    <row r="1915" spans="48:480" x14ac:dyDescent="0.3">
      <c r="AV1915" s="103"/>
      <c r="CJ1915" s="103"/>
      <c r="FP1915" s="103"/>
      <c r="LL1915" s="103"/>
      <c r="NM1915" s="103"/>
      <c r="QT1915" s="106"/>
      <c r="QU1915" s="106"/>
      <c r="QV1915" s="106"/>
      <c r="QW1915" s="106"/>
      <c r="QX1915" s="106"/>
      <c r="QY1915" s="106"/>
      <c r="QZ1915" s="106"/>
      <c r="RA1915" s="106"/>
      <c r="RB1915" s="106"/>
      <c r="RC1915" s="106"/>
      <c r="RD1915" s="106"/>
      <c r="RE1915" s="106"/>
      <c r="RF1915" s="106"/>
      <c r="RG1915" s="106"/>
      <c r="RH1915" s="106"/>
      <c r="RI1915" s="106"/>
      <c r="RJ1915" s="106"/>
      <c r="RK1915" s="106"/>
      <c r="RL1915" s="106"/>
    </row>
    <row r="1916" spans="48:480" x14ac:dyDescent="0.3">
      <c r="AV1916" s="103"/>
      <c r="CJ1916" s="103"/>
      <c r="FP1916" s="103"/>
      <c r="LL1916" s="103"/>
      <c r="NM1916" s="103"/>
      <c r="QT1916" s="106"/>
      <c r="QU1916" s="106"/>
      <c r="QV1916" s="106"/>
      <c r="QW1916" s="106"/>
      <c r="QX1916" s="106"/>
      <c r="QY1916" s="106"/>
      <c r="QZ1916" s="106"/>
      <c r="RA1916" s="106"/>
      <c r="RB1916" s="106"/>
      <c r="RC1916" s="106"/>
      <c r="RD1916" s="106"/>
      <c r="RE1916" s="106"/>
      <c r="RF1916" s="106"/>
      <c r="RG1916" s="106"/>
      <c r="RH1916" s="106"/>
      <c r="RI1916" s="106"/>
      <c r="RJ1916" s="106"/>
      <c r="RK1916" s="106"/>
      <c r="RL1916" s="106"/>
    </row>
    <row r="1917" spans="48:480" x14ac:dyDescent="0.3">
      <c r="AV1917" s="103"/>
      <c r="CJ1917" s="103"/>
      <c r="FP1917" s="103"/>
      <c r="LL1917" s="103"/>
      <c r="NM1917" s="103"/>
      <c r="QT1917" s="106"/>
      <c r="QU1917" s="106"/>
      <c r="QV1917" s="106"/>
      <c r="QW1917" s="106"/>
      <c r="QX1917" s="106"/>
      <c r="QY1917" s="106"/>
      <c r="QZ1917" s="106"/>
      <c r="RA1917" s="106"/>
      <c r="RB1917" s="106"/>
      <c r="RC1917" s="106"/>
      <c r="RD1917" s="106"/>
      <c r="RE1917" s="106"/>
      <c r="RF1917" s="106"/>
      <c r="RG1917" s="106"/>
      <c r="RH1917" s="106"/>
      <c r="RI1917" s="106"/>
      <c r="RJ1917" s="106"/>
      <c r="RK1917" s="106"/>
      <c r="RL1917" s="106"/>
    </row>
    <row r="1918" spans="48:480" x14ac:dyDescent="0.3">
      <c r="AV1918" s="103"/>
      <c r="CJ1918" s="103"/>
      <c r="FP1918" s="103"/>
      <c r="LL1918" s="103"/>
      <c r="NM1918" s="103"/>
      <c r="QT1918" s="106"/>
      <c r="QU1918" s="106"/>
      <c r="QV1918" s="106"/>
      <c r="QW1918" s="106"/>
      <c r="QX1918" s="106"/>
      <c r="QY1918" s="106"/>
      <c r="QZ1918" s="106"/>
      <c r="RA1918" s="106"/>
      <c r="RB1918" s="106"/>
      <c r="RC1918" s="106"/>
      <c r="RD1918" s="106"/>
      <c r="RE1918" s="106"/>
      <c r="RF1918" s="106"/>
      <c r="RG1918" s="106"/>
      <c r="RH1918" s="106"/>
      <c r="RI1918" s="106"/>
      <c r="RJ1918" s="106"/>
      <c r="RK1918" s="106"/>
      <c r="RL1918" s="106"/>
    </row>
    <row r="1919" spans="48:480" x14ac:dyDescent="0.3">
      <c r="AV1919" s="103"/>
      <c r="CJ1919" s="103"/>
      <c r="FP1919" s="103"/>
      <c r="LL1919" s="103"/>
      <c r="NM1919" s="103"/>
      <c r="QT1919" s="106"/>
      <c r="QU1919" s="106"/>
      <c r="QV1919" s="106"/>
      <c r="QW1919" s="106"/>
      <c r="QX1919" s="106"/>
      <c r="QY1919" s="106"/>
      <c r="QZ1919" s="106"/>
      <c r="RA1919" s="106"/>
      <c r="RB1919" s="106"/>
      <c r="RC1919" s="106"/>
      <c r="RD1919" s="106"/>
      <c r="RE1919" s="106"/>
      <c r="RF1919" s="106"/>
      <c r="RG1919" s="106"/>
      <c r="RH1919" s="106"/>
      <c r="RI1919" s="106"/>
      <c r="RJ1919" s="106"/>
      <c r="RK1919" s="106"/>
      <c r="RL1919" s="106"/>
    </row>
    <row r="1920" spans="48:480" x14ac:dyDescent="0.3">
      <c r="AV1920" s="103"/>
      <c r="CJ1920" s="103"/>
      <c r="FP1920" s="103"/>
      <c r="LL1920" s="103"/>
      <c r="NM1920" s="103"/>
      <c r="QT1920" s="106"/>
      <c r="QU1920" s="106"/>
      <c r="QV1920" s="106"/>
      <c r="QW1920" s="106"/>
      <c r="QX1920" s="106"/>
      <c r="QY1920" s="106"/>
      <c r="QZ1920" s="106"/>
      <c r="RA1920" s="106"/>
      <c r="RB1920" s="106"/>
      <c r="RC1920" s="106"/>
      <c r="RD1920" s="106"/>
      <c r="RE1920" s="106"/>
      <c r="RF1920" s="106"/>
      <c r="RG1920" s="106"/>
      <c r="RH1920" s="106"/>
      <c r="RI1920" s="106"/>
      <c r="RJ1920" s="106"/>
      <c r="RK1920" s="106"/>
      <c r="RL1920" s="106"/>
    </row>
    <row r="1921" spans="48:480" x14ac:dyDescent="0.3">
      <c r="AV1921" s="103"/>
      <c r="CJ1921" s="103"/>
      <c r="FP1921" s="103"/>
      <c r="LL1921" s="103"/>
      <c r="NM1921" s="103"/>
      <c r="QT1921" s="106"/>
      <c r="QU1921" s="106"/>
      <c r="QV1921" s="106"/>
      <c r="QW1921" s="106"/>
      <c r="QX1921" s="106"/>
      <c r="QY1921" s="106"/>
      <c r="QZ1921" s="106"/>
      <c r="RA1921" s="106"/>
      <c r="RB1921" s="106"/>
      <c r="RC1921" s="106"/>
      <c r="RD1921" s="106"/>
      <c r="RE1921" s="106"/>
      <c r="RF1921" s="106"/>
      <c r="RG1921" s="106"/>
      <c r="RH1921" s="106"/>
      <c r="RI1921" s="106"/>
      <c r="RJ1921" s="106"/>
      <c r="RK1921" s="106"/>
      <c r="RL1921" s="106"/>
    </row>
    <row r="1922" spans="48:480" x14ac:dyDescent="0.3">
      <c r="AV1922" s="103"/>
      <c r="CJ1922" s="103"/>
      <c r="FP1922" s="103"/>
      <c r="LL1922" s="103"/>
      <c r="NM1922" s="103"/>
      <c r="QT1922" s="106"/>
      <c r="QU1922" s="106"/>
      <c r="QV1922" s="106"/>
      <c r="QW1922" s="106"/>
      <c r="QX1922" s="106"/>
      <c r="QY1922" s="106"/>
      <c r="QZ1922" s="106"/>
      <c r="RA1922" s="106"/>
      <c r="RB1922" s="106"/>
      <c r="RC1922" s="106"/>
      <c r="RD1922" s="106"/>
      <c r="RE1922" s="106"/>
      <c r="RF1922" s="106"/>
      <c r="RG1922" s="106"/>
      <c r="RH1922" s="106"/>
      <c r="RI1922" s="106"/>
      <c r="RJ1922" s="106"/>
      <c r="RK1922" s="106"/>
      <c r="RL1922" s="106"/>
    </row>
    <row r="1923" spans="48:480" x14ac:dyDescent="0.3">
      <c r="AV1923" s="103"/>
      <c r="CJ1923" s="103"/>
      <c r="FP1923" s="103"/>
      <c r="LL1923" s="103"/>
      <c r="NM1923" s="103"/>
      <c r="QT1923" s="106"/>
      <c r="QU1923" s="106"/>
      <c r="QV1923" s="106"/>
      <c r="QW1923" s="106"/>
      <c r="QX1923" s="106"/>
      <c r="QY1923" s="106"/>
      <c r="QZ1923" s="106"/>
      <c r="RA1923" s="106"/>
      <c r="RB1923" s="106"/>
      <c r="RC1923" s="106"/>
      <c r="RD1923" s="106"/>
      <c r="RE1923" s="106"/>
      <c r="RF1923" s="106"/>
      <c r="RG1923" s="106"/>
      <c r="RH1923" s="106"/>
      <c r="RI1923" s="106"/>
      <c r="RJ1923" s="106"/>
      <c r="RK1923" s="106"/>
      <c r="RL1923" s="106"/>
    </row>
    <row r="1924" spans="48:480" x14ac:dyDescent="0.3">
      <c r="AV1924" s="103"/>
      <c r="CJ1924" s="103"/>
      <c r="FP1924" s="103"/>
      <c r="LL1924" s="103"/>
      <c r="NM1924" s="103"/>
      <c r="QT1924" s="106"/>
      <c r="QU1924" s="106"/>
      <c r="QV1924" s="106"/>
      <c r="QW1924" s="106"/>
      <c r="QX1924" s="106"/>
      <c r="QY1924" s="106"/>
      <c r="QZ1924" s="106"/>
      <c r="RA1924" s="106"/>
      <c r="RB1924" s="106"/>
      <c r="RC1924" s="106"/>
      <c r="RD1924" s="106"/>
      <c r="RE1924" s="106"/>
      <c r="RF1924" s="106"/>
      <c r="RG1924" s="106"/>
      <c r="RH1924" s="106"/>
      <c r="RI1924" s="106"/>
      <c r="RJ1924" s="106"/>
      <c r="RK1924" s="106"/>
      <c r="RL1924" s="106"/>
    </row>
    <row r="1925" spans="48:480" x14ac:dyDescent="0.3">
      <c r="AV1925" s="103"/>
      <c r="CJ1925" s="103"/>
      <c r="FP1925" s="103"/>
      <c r="LL1925" s="103"/>
      <c r="NM1925" s="103"/>
      <c r="QT1925" s="106"/>
      <c r="QU1925" s="106"/>
      <c r="QV1925" s="106"/>
      <c r="QW1925" s="106"/>
      <c r="QX1925" s="106"/>
      <c r="QY1925" s="106"/>
      <c r="QZ1925" s="106"/>
      <c r="RA1925" s="106"/>
      <c r="RB1925" s="106"/>
      <c r="RC1925" s="106"/>
      <c r="RD1925" s="106"/>
      <c r="RE1925" s="106"/>
      <c r="RF1925" s="106"/>
      <c r="RG1925" s="106"/>
      <c r="RH1925" s="106"/>
      <c r="RI1925" s="106"/>
      <c r="RJ1925" s="106"/>
      <c r="RK1925" s="106"/>
      <c r="RL1925" s="106"/>
    </row>
    <row r="1926" spans="48:480" x14ac:dyDescent="0.3">
      <c r="AV1926" s="103"/>
      <c r="CJ1926" s="103"/>
      <c r="FP1926" s="103"/>
      <c r="LL1926" s="103"/>
      <c r="NM1926" s="103"/>
      <c r="QT1926" s="106"/>
      <c r="QU1926" s="106"/>
      <c r="QV1926" s="106"/>
      <c r="QW1926" s="106"/>
      <c r="QX1926" s="106"/>
      <c r="QY1926" s="106"/>
      <c r="QZ1926" s="106"/>
      <c r="RA1926" s="106"/>
      <c r="RB1926" s="106"/>
      <c r="RC1926" s="106"/>
      <c r="RD1926" s="106"/>
      <c r="RE1926" s="106"/>
      <c r="RF1926" s="106"/>
      <c r="RG1926" s="106"/>
      <c r="RH1926" s="106"/>
      <c r="RI1926" s="106"/>
      <c r="RJ1926" s="106"/>
      <c r="RK1926" s="106"/>
      <c r="RL1926" s="106"/>
    </row>
    <row r="1927" spans="48:480" x14ac:dyDescent="0.3">
      <c r="AV1927" s="103"/>
      <c r="CJ1927" s="103"/>
      <c r="FP1927" s="103"/>
      <c r="LL1927" s="103"/>
      <c r="NM1927" s="103"/>
      <c r="QT1927" s="106"/>
      <c r="QU1927" s="106"/>
      <c r="QV1927" s="106"/>
      <c r="QW1927" s="106"/>
      <c r="QX1927" s="106"/>
      <c r="QY1927" s="106"/>
      <c r="QZ1927" s="106"/>
      <c r="RA1927" s="106"/>
      <c r="RB1927" s="106"/>
      <c r="RC1927" s="106"/>
      <c r="RD1927" s="106"/>
      <c r="RE1927" s="106"/>
      <c r="RF1927" s="106"/>
      <c r="RG1927" s="106"/>
      <c r="RH1927" s="106"/>
      <c r="RI1927" s="106"/>
      <c r="RJ1927" s="106"/>
      <c r="RK1927" s="106"/>
      <c r="RL1927" s="106"/>
    </row>
    <row r="1928" spans="48:480" x14ac:dyDescent="0.3">
      <c r="AV1928" s="103"/>
      <c r="CJ1928" s="103"/>
      <c r="FP1928" s="103"/>
      <c r="LL1928" s="103"/>
      <c r="NM1928" s="103"/>
      <c r="QT1928" s="106"/>
      <c r="QU1928" s="106"/>
      <c r="QV1928" s="106"/>
      <c r="QW1928" s="106"/>
      <c r="QX1928" s="106"/>
      <c r="QY1928" s="106"/>
      <c r="QZ1928" s="106"/>
      <c r="RA1928" s="106"/>
      <c r="RB1928" s="106"/>
      <c r="RC1928" s="106"/>
      <c r="RD1928" s="106"/>
      <c r="RE1928" s="106"/>
      <c r="RF1928" s="106"/>
      <c r="RG1928" s="106"/>
      <c r="RH1928" s="106"/>
      <c r="RI1928" s="106"/>
      <c r="RJ1928" s="106"/>
      <c r="RK1928" s="106"/>
      <c r="RL1928" s="106"/>
    </row>
    <row r="1929" spans="48:480" x14ac:dyDescent="0.3">
      <c r="AV1929" s="103"/>
      <c r="CJ1929" s="103"/>
      <c r="FP1929" s="103"/>
      <c r="LL1929" s="103"/>
      <c r="NM1929" s="103"/>
      <c r="QT1929" s="106"/>
      <c r="QU1929" s="106"/>
      <c r="QV1929" s="106"/>
      <c r="QW1929" s="106"/>
      <c r="QX1929" s="106"/>
      <c r="QY1929" s="106"/>
      <c r="QZ1929" s="106"/>
      <c r="RA1929" s="106"/>
      <c r="RB1929" s="106"/>
      <c r="RC1929" s="106"/>
      <c r="RD1929" s="106"/>
      <c r="RE1929" s="106"/>
      <c r="RF1929" s="106"/>
      <c r="RG1929" s="106"/>
      <c r="RH1929" s="106"/>
      <c r="RI1929" s="106"/>
      <c r="RJ1929" s="106"/>
      <c r="RK1929" s="106"/>
      <c r="RL1929" s="106"/>
    </row>
    <row r="1930" spans="48:480" x14ac:dyDescent="0.3">
      <c r="AV1930" s="103"/>
      <c r="CJ1930" s="103"/>
      <c r="FP1930" s="103"/>
      <c r="LL1930" s="103"/>
      <c r="NM1930" s="103"/>
      <c r="QT1930" s="106"/>
      <c r="QU1930" s="106"/>
      <c r="QV1930" s="106"/>
      <c r="QW1930" s="106"/>
      <c r="QX1930" s="106"/>
      <c r="QY1930" s="106"/>
      <c r="QZ1930" s="106"/>
      <c r="RA1930" s="106"/>
      <c r="RB1930" s="106"/>
      <c r="RC1930" s="106"/>
      <c r="RD1930" s="106"/>
      <c r="RE1930" s="106"/>
      <c r="RF1930" s="106"/>
      <c r="RG1930" s="106"/>
      <c r="RH1930" s="106"/>
      <c r="RI1930" s="106"/>
      <c r="RJ1930" s="106"/>
      <c r="RK1930" s="106"/>
      <c r="RL1930" s="106"/>
    </row>
    <row r="1931" spans="48:480" x14ac:dyDescent="0.3">
      <c r="AV1931" s="103"/>
      <c r="CJ1931" s="103"/>
      <c r="FP1931" s="103"/>
      <c r="LL1931" s="103"/>
      <c r="NM1931" s="103"/>
      <c r="QT1931" s="106"/>
      <c r="QU1931" s="106"/>
      <c r="QV1931" s="106"/>
      <c r="QW1931" s="106"/>
      <c r="QX1931" s="106"/>
      <c r="QY1931" s="106"/>
      <c r="QZ1931" s="106"/>
      <c r="RA1931" s="106"/>
      <c r="RB1931" s="106"/>
      <c r="RC1931" s="106"/>
      <c r="RD1931" s="106"/>
      <c r="RE1931" s="106"/>
      <c r="RF1931" s="106"/>
      <c r="RG1931" s="106"/>
      <c r="RH1931" s="106"/>
      <c r="RI1931" s="106"/>
      <c r="RJ1931" s="106"/>
      <c r="RK1931" s="106"/>
      <c r="RL1931" s="106"/>
    </row>
    <row r="1932" spans="48:480" x14ac:dyDescent="0.3">
      <c r="AV1932" s="103"/>
      <c r="CJ1932" s="103"/>
      <c r="FP1932" s="103"/>
      <c r="LL1932" s="103"/>
      <c r="NM1932" s="103"/>
      <c r="QT1932" s="106"/>
      <c r="QU1932" s="106"/>
      <c r="QV1932" s="106"/>
      <c r="QW1932" s="106"/>
      <c r="QX1932" s="106"/>
      <c r="QY1932" s="106"/>
      <c r="QZ1932" s="106"/>
      <c r="RA1932" s="106"/>
      <c r="RB1932" s="106"/>
      <c r="RC1932" s="106"/>
      <c r="RD1932" s="106"/>
      <c r="RE1932" s="106"/>
      <c r="RF1932" s="106"/>
      <c r="RG1932" s="106"/>
      <c r="RH1932" s="106"/>
      <c r="RI1932" s="106"/>
      <c r="RJ1932" s="106"/>
      <c r="RK1932" s="106"/>
      <c r="RL1932" s="106"/>
    </row>
    <row r="1933" spans="48:480" x14ac:dyDescent="0.3">
      <c r="AV1933" s="103"/>
      <c r="CJ1933" s="103"/>
      <c r="FP1933" s="103"/>
      <c r="LL1933" s="103"/>
      <c r="NM1933" s="103"/>
      <c r="QT1933" s="106"/>
      <c r="QU1933" s="106"/>
      <c r="QV1933" s="106"/>
      <c r="QW1933" s="106"/>
      <c r="QX1933" s="106"/>
      <c r="QY1933" s="106"/>
      <c r="QZ1933" s="106"/>
      <c r="RA1933" s="106"/>
      <c r="RB1933" s="106"/>
      <c r="RC1933" s="106"/>
      <c r="RD1933" s="106"/>
      <c r="RE1933" s="106"/>
      <c r="RF1933" s="106"/>
      <c r="RG1933" s="106"/>
      <c r="RH1933" s="106"/>
      <c r="RI1933" s="106"/>
      <c r="RJ1933" s="106"/>
      <c r="RK1933" s="106"/>
      <c r="RL1933" s="106"/>
    </row>
    <row r="1934" spans="48:480" x14ac:dyDescent="0.3">
      <c r="AV1934" s="103"/>
      <c r="CJ1934" s="103"/>
      <c r="FP1934" s="103"/>
      <c r="LL1934" s="103"/>
      <c r="NM1934" s="103"/>
      <c r="QT1934" s="106"/>
      <c r="QU1934" s="106"/>
      <c r="QV1934" s="106"/>
      <c r="QW1934" s="106"/>
      <c r="QX1934" s="106"/>
      <c r="QY1934" s="106"/>
      <c r="QZ1934" s="106"/>
      <c r="RA1934" s="106"/>
      <c r="RB1934" s="106"/>
      <c r="RC1934" s="106"/>
      <c r="RD1934" s="106"/>
      <c r="RE1934" s="106"/>
      <c r="RF1934" s="106"/>
      <c r="RG1934" s="106"/>
      <c r="RH1934" s="106"/>
      <c r="RI1934" s="106"/>
      <c r="RJ1934" s="106"/>
      <c r="RK1934" s="106"/>
      <c r="RL1934" s="106"/>
    </row>
    <row r="1935" spans="48:480" x14ac:dyDescent="0.3">
      <c r="AV1935" s="103"/>
      <c r="CJ1935" s="103"/>
      <c r="FP1935" s="103"/>
      <c r="LL1935" s="103"/>
      <c r="NM1935" s="103"/>
      <c r="QT1935" s="106"/>
      <c r="QU1935" s="106"/>
      <c r="QV1935" s="106"/>
      <c r="QW1935" s="106"/>
      <c r="QX1935" s="106"/>
      <c r="QY1935" s="106"/>
      <c r="QZ1935" s="106"/>
      <c r="RA1935" s="106"/>
      <c r="RB1935" s="106"/>
      <c r="RC1935" s="106"/>
      <c r="RD1935" s="106"/>
      <c r="RE1935" s="106"/>
      <c r="RF1935" s="106"/>
      <c r="RG1935" s="106"/>
      <c r="RH1935" s="106"/>
      <c r="RI1935" s="106"/>
      <c r="RJ1935" s="106"/>
      <c r="RK1935" s="106"/>
      <c r="RL1935" s="106"/>
    </row>
    <row r="1936" spans="48:480" x14ac:dyDescent="0.3">
      <c r="AV1936" s="103"/>
      <c r="CJ1936" s="103"/>
      <c r="FP1936" s="103"/>
      <c r="LL1936" s="103"/>
      <c r="NM1936" s="103"/>
      <c r="QT1936" s="106"/>
      <c r="QU1936" s="106"/>
      <c r="QV1936" s="106"/>
      <c r="QW1936" s="106"/>
      <c r="QX1936" s="106"/>
      <c r="QY1936" s="106"/>
      <c r="QZ1936" s="106"/>
      <c r="RA1936" s="106"/>
      <c r="RB1936" s="106"/>
      <c r="RC1936" s="106"/>
      <c r="RD1936" s="106"/>
      <c r="RE1936" s="106"/>
      <c r="RF1936" s="106"/>
      <c r="RG1936" s="106"/>
      <c r="RH1936" s="106"/>
      <c r="RI1936" s="106"/>
      <c r="RJ1936" s="106"/>
      <c r="RK1936" s="106"/>
      <c r="RL1936" s="106"/>
    </row>
    <row r="1937" spans="48:480" x14ac:dyDescent="0.3">
      <c r="AV1937" s="103"/>
      <c r="CJ1937" s="103"/>
      <c r="FP1937" s="103"/>
      <c r="LL1937" s="103"/>
      <c r="NM1937" s="103"/>
      <c r="QT1937" s="106"/>
      <c r="QU1937" s="106"/>
      <c r="QV1937" s="106"/>
      <c r="QW1937" s="106"/>
      <c r="QX1937" s="106"/>
      <c r="QY1937" s="106"/>
      <c r="QZ1937" s="106"/>
      <c r="RA1937" s="106"/>
      <c r="RB1937" s="106"/>
      <c r="RC1937" s="106"/>
      <c r="RD1937" s="106"/>
      <c r="RE1937" s="106"/>
      <c r="RF1937" s="106"/>
      <c r="RG1937" s="106"/>
      <c r="RH1937" s="106"/>
      <c r="RI1937" s="106"/>
      <c r="RJ1937" s="106"/>
      <c r="RK1937" s="106"/>
      <c r="RL1937" s="106"/>
    </row>
    <row r="1938" spans="48:480" x14ac:dyDescent="0.3">
      <c r="AV1938" s="103"/>
      <c r="CJ1938" s="103"/>
      <c r="FP1938" s="103"/>
      <c r="LL1938" s="103"/>
      <c r="NM1938" s="103"/>
      <c r="QT1938" s="106"/>
      <c r="QU1938" s="106"/>
      <c r="QV1938" s="106"/>
      <c r="QW1938" s="106"/>
      <c r="QX1938" s="106"/>
      <c r="QY1938" s="106"/>
      <c r="QZ1938" s="106"/>
      <c r="RA1938" s="106"/>
      <c r="RB1938" s="106"/>
      <c r="RC1938" s="106"/>
      <c r="RD1938" s="106"/>
      <c r="RE1938" s="106"/>
      <c r="RF1938" s="106"/>
      <c r="RG1938" s="106"/>
      <c r="RH1938" s="106"/>
      <c r="RI1938" s="106"/>
      <c r="RJ1938" s="106"/>
      <c r="RK1938" s="106"/>
      <c r="RL1938" s="106"/>
    </row>
    <row r="1939" spans="48:480" x14ac:dyDescent="0.3">
      <c r="AV1939" s="103"/>
      <c r="CJ1939" s="103"/>
      <c r="FP1939" s="103"/>
      <c r="LL1939" s="103"/>
      <c r="NM1939" s="103"/>
      <c r="QT1939" s="106"/>
      <c r="QU1939" s="106"/>
      <c r="QV1939" s="106"/>
      <c r="QW1939" s="106"/>
      <c r="QX1939" s="106"/>
      <c r="QY1939" s="106"/>
      <c r="QZ1939" s="106"/>
      <c r="RA1939" s="106"/>
      <c r="RB1939" s="106"/>
      <c r="RC1939" s="106"/>
      <c r="RD1939" s="106"/>
      <c r="RE1939" s="106"/>
      <c r="RF1939" s="106"/>
      <c r="RG1939" s="106"/>
      <c r="RH1939" s="106"/>
      <c r="RI1939" s="106"/>
      <c r="RJ1939" s="106"/>
      <c r="RK1939" s="106"/>
      <c r="RL1939" s="106"/>
    </row>
    <row r="1940" spans="48:480" x14ac:dyDescent="0.3">
      <c r="AV1940" s="103"/>
      <c r="CJ1940" s="103"/>
      <c r="FP1940" s="103"/>
      <c r="LL1940" s="103"/>
      <c r="NM1940" s="103"/>
      <c r="QT1940" s="106"/>
      <c r="QU1940" s="106"/>
      <c r="QV1940" s="106"/>
      <c r="QW1940" s="106"/>
      <c r="QX1940" s="106"/>
      <c r="QY1940" s="106"/>
      <c r="QZ1940" s="106"/>
      <c r="RA1940" s="106"/>
      <c r="RB1940" s="106"/>
      <c r="RC1940" s="106"/>
      <c r="RD1940" s="106"/>
      <c r="RE1940" s="106"/>
      <c r="RF1940" s="106"/>
      <c r="RG1940" s="106"/>
      <c r="RH1940" s="106"/>
      <c r="RI1940" s="106"/>
      <c r="RJ1940" s="106"/>
      <c r="RK1940" s="106"/>
      <c r="RL1940" s="106"/>
    </row>
    <row r="1941" spans="48:480" x14ac:dyDescent="0.3">
      <c r="AV1941" s="103"/>
      <c r="CJ1941" s="103"/>
      <c r="FP1941" s="103"/>
      <c r="LL1941" s="103"/>
      <c r="NM1941" s="103"/>
      <c r="QT1941" s="106"/>
      <c r="QU1941" s="106"/>
      <c r="QV1941" s="106"/>
      <c r="QW1941" s="106"/>
      <c r="QX1941" s="106"/>
      <c r="QY1941" s="106"/>
      <c r="QZ1941" s="106"/>
      <c r="RA1941" s="106"/>
      <c r="RB1941" s="106"/>
      <c r="RC1941" s="106"/>
      <c r="RD1941" s="106"/>
      <c r="RE1941" s="106"/>
      <c r="RF1941" s="106"/>
      <c r="RG1941" s="106"/>
      <c r="RH1941" s="106"/>
      <c r="RI1941" s="106"/>
      <c r="RJ1941" s="106"/>
      <c r="RK1941" s="106"/>
      <c r="RL1941" s="106"/>
    </row>
    <row r="1942" spans="48:480" x14ac:dyDescent="0.3">
      <c r="AV1942" s="103"/>
      <c r="CJ1942" s="103"/>
      <c r="FP1942" s="103"/>
      <c r="LL1942" s="103"/>
      <c r="NM1942" s="103"/>
      <c r="QT1942" s="106"/>
      <c r="QU1942" s="106"/>
      <c r="QV1942" s="106"/>
      <c r="QW1942" s="106"/>
      <c r="QX1942" s="106"/>
      <c r="QY1942" s="106"/>
      <c r="QZ1942" s="106"/>
      <c r="RA1942" s="106"/>
      <c r="RB1942" s="106"/>
      <c r="RC1942" s="106"/>
      <c r="RD1942" s="106"/>
      <c r="RE1942" s="106"/>
      <c r="RF1942" s="106"/>
      <c r="RG1942" s="106"/>
      <c r="RH1942" s="106"/>
      <c r="RI1942" s="106"/>
      <c r="RJ1942" s="106"/>
      <c r="RK1942" s="106"/>
      <c r="RL1942" s="106"/>
    </row>
    <row r="1943" spans="48:480" x14ac:dyDescent="0.3">
      <c r="AV1943" s="103"/>
      <c r="CJ1943" s="103"/>
      <c r="FP1943" s="103"/>
      <c r="LL1943" s="103"/>
      <c r="NM1943" s="103"/>
      <c r="QT1943" s="106"/>
      <c r="QU1943" s="106"/>
      <c r="QV1943" s="106"/>
      <c r="QW1943" s="106"/>
      <c r="QX1943" s="106"/>
      <c r="QY1943" s="106"/>
      <c r="QZ1943" s="106"/>
      <c r="RA1943" s="106"/>
      <c r="RB1943" s="106"/>
      <c r="RC1943" s="106"/>
      <c r="RD1943" s="106"/>
      <c r="RE1943" s="106"/>
      <c r="RF1943" s="106"/>
      <c r="RG1943" s="106"/>
      <c r="RH1943" s="106"/>
      <c r="RI1943" s="106"/>
      <c r="RJ1943" s="106"/>
      <c r="RK1943" s="106"/>
      <c r="RL1943" s="106"/>
    </row>
    <row r="1944" spans="48:480" x14ac:dyDescent="0.3">
      <c r="AV1944" s="103"/>
      <c r="CJ1944" s="103"/>
      <c r="FP1944" s="103"/>
      <c r="LL1944" s="103"/>
      <c r="NM1944" s="103"/>
      <c r="QT1944" s="106"/>
      <c r="QU1944" s="106"/>
      <c r="QV1944" s="106"/>
      <c r="QW1944" s="106"/>
      <c r="QX1944" s="106"/>
      <c r="QY1944" s="106"/>
      <c r="QZ1944" s="106"/>
      <c r="RA1944" s="106"/>
      <c r="RB1944" s="106"/>
      <c r="RC1944" s="106"/>
      <c r="RD1944" s="106"/>
      <c r="RE1944" s="106"/>
      <c r="RF1944" s="106"/>
      <c r="RG1944" s="106"/>
      <c r="RH1944" s="106"/>
      <c r="RI1944" s="106"/>
      <c r="RJ1944" s="106"/>
      <c r="RK1944" s="106"/>
      <c r="RL1944" s="106"/>
    </row>
    <row r="1945" spans="48:480" x14ac:dyDescent="0.3">
      <c r="AV1945" s="103"/>
      <c r="CJ1945" s="103"/>
      <c r="FP1945" s="103"/>
      <c r="LL1945" s="103"/>
      <c r="NM1945" s="103"/>
      <c r="QT1945" s="106"/>
      <c r="QU1945" s="106"/>
      <c r="QV1945" s="106"/>
      <c r="QW1945" s="106"/>
      <c r="QX1945" s="106"/>
      <c r="QY1945" s="106"/>
      <c r="QZ1945" s="106"/>
      <c r="RA1945" s="106"/>
      <c r="RB1945" s="106"/>
      <c r="RC1945" s="106"/>
      <c r="RD1945" s="106"/>
      <c r="RE1945" s="106"/>
      <c r="RF1945" s="106"/>
      <c r="RG1945" s="106"/>
      <c r="RH1945" s="106"/>
      <c r="RI1945" s="106"/>
      <c r="RJ1945" s="106"/>
      <c r="RK1945" s="106"/>
      <c r="RL1945" s="106"/>
    </row>
    <row r="1946" spans="48:480" x14ac:dyDescent="0.3">
      <c r="AV1946" s="103"/>
      <c r="CJ1946" s="103"/>
      <c r="FP1946" s="103"/>
      <c r="LL1946" s="103"/>
      <c r="NM1946" s="103"/>
      <c r="QT1946" s="106"/>
      <c r="QU1946" s="106"/>
      <c r="QV1946" s="106"/>
      <c r="QW1946" s="106"/>
      <c r="QX1946" s="106"/>
      <c r="QY1946" s="106"/>
      <c r="QZ1946" s="106"/>
      <c r="RA1946" s="106"/>
      <c r="RB1946" s="106"/>
      <c r="RC1946" s="106"/>
      <c r="RD1946" s="106"/>
      <c r="RE1946" s="106"/>
      <c r="RF1946" s="106"/>
      <c r="RG1946" s="106"/>
      <c r="RH1946" s="106"/>
      <c r="RI1946" s="106"/>
      <c r="RJ1946" s="106"/>
      <c r="RK1946" s="106"/>
      <c r="RL1946" s="106"/>
    </row>
    <row r="1947" spans="48:480" x14ac:dyDescent="0.3">
      <c r="AV1947" s="103"/>
      <c r="CJ1947" s="103"/>
      <c r="FP1947" s="103"/>
      <c r="LL1947" s="103"/>
      <c r="NM1947" s="103"/>
      <c r="QT1947" s="106"/>
      <c r="QU1947" s="106"/>
      <c r="QV1947" s="106"/>
      <c r="QW1947" s="106"/>
      <c r="QX1947" s="106"/>
      <c r="QY1947" s="106"/>
      <c r="QZ1947" s="106"/>
      <c r="RA1947" s="106"/>
      <c r="RB1947" s="106"/>
      <c r="RC1947" s="106"/>
      <c r="RD1947" s="106"/>
      <c r="RE1947" s="106"/>
      <c r="RF1947" s="106"/>
      <c r="RG1947" s="106"/>
      <c r="RH1947" s="106"/>
      <c r="RI1947" s="106"/>
      <c r="RJ1947" s="106"/>
      <c r="RK1947" s="106"/>
      <c r="RL1947" s="106"/>
    </row>
    <row r="1948" spans="48:480" x14ac:dyDescent="0.3">
      <c r="AV1948" s="103"/>
      <c r="CJ1948" s="103"/>
      <c r="FP1948" s="103"/>
      <c r="LL1948" s="103"/>
      <c r="NM1948" s="103"/>
      <c r="QT1948" s="106"/>
      <c r="QU1948" s="106"/>
      <c r="QV1948" s="106"/>
      <c r="QW1948" s="106"/>
      <c r="QX1948" s="106"/>
      <c r="QY1948" s="106"/>
      <c r="QZ1948" s="106"/>
      <c r="RA1948" s="106"/>
      <c r="RB1948" s="106"/>
      <c r="RC1948" s="106"/>
      <c r="RD1948" s="106"/>
      <c r="RE1948" s="106"/>
      <c r="RF1948" s="106"/>
      <c r="RG1948" s="106"/>
      <c r="RH1948" s="106"/>
      <c r="RI1948" s="106"/>
      <c r="RJ1948" s="106"/>
      <c r="RK1948" s="106"/>
      <c r="RL1948" s="106"/>
    </row>
    <row r="1949" spans="48:480" x14ac:dyDescent="0.3">
      <c r="AV1949" s="103"/>
      <c r="CJ1949" s="103"/>
      <c r="FP1949" s="103"/>
      <c r="LL1949" s="103"/>
      <c r="NM1949" s="103"/>
      <c r="QT1949" s="106"/>
      <c r="QU1949" s="106"/>
      <c r="QV1949" s="106"/>
      <c r="QW1949" s="106"/>
      <c r="QX1949" s="106"/>
      <c r="QY1949" s="106"/>
      <c r="QZ1949" s="106"/>
      <c r="RA1949" s="106"/>
      <c r="RB1949" s="106"/>
      <c r="RC1949" s="106"/>
      <c r="RD1949" s="106"/>
      <c r="RE1949" s="106"/>
      <c r="RF1949" s="106"/>
      <c r="RG1949" s="106"/>
      <c r="RH1949" s="106"/>
      <c r="RI1949" s="106"/>
      <c r="RJ1949" s="106"/>
      <c r="RK1949" s="106"/>
      <c r="RL1949" s="106"/>
    </row>
    <row r="1950" spans="48:480" x14ac:dyDescent="0.3">
      <c r="AV1950" s="103"/>
      <c r="CJ1950" s="103"/>
      <c r="FP1950" s="103"/>
      <c r="LL1950" s="103"/>
      <c r="NM1950" s="103"/>
      <c r="QT1950" s="106"/>
      <c r="QU1950" s="106"/>
      <c r="QV1950" s="106"/>
      <c r="QW1950" s="106"/>
      <c r="QX1950" s="106"/>
      <c r="QY1950" s="106"/>
      <c r="QZ1950" s="106"/>
      <c r="RA1950" s="106"/>
      <c r="RB1950" s="106"/>
      <c r="RC1950" s="106"/>
      <c r="RD1950" s="106"/>
      <c r="RE1950" s="106"/>
      <c r="RF1950" s="106"/>
      <c r="RG1950" s="106"/>
      <c r="RH1950" s="106"/>
      <c r="RI1950" s="106"/>
      <c r="RJ1950" s="106"/>
      <c r="RK1950" s="106"/>
      <c r="RL1950" s="106"/>
    </row>
    <row r="1951" spans="48:480" x14ac:dyDescent="0.3">
      <c r="AV1951" s="103"/>
      <c r="CJ1951" s="103"/>
      <c r="FP1951" s="103"/>
      <c r="LL1951" s="103"/>
      <c r="NM1951" s="103"/>
      <c r="QT1951" s="106"/>
      <c r="QU1951" s="106"/>
      <c r="QV1951" s="106"/>
      <c r="QW1951" s="106"/>
      <c r="QX1951" s="106"/>
      <c r="QY1951" s="106"/>
      <c r="QZ1951" s="106"/>
      <c r="RA1951" s="106"/>
      <c r="RB1951" s="106"/>
      <c r="RC1951" s="106"/>
      <c r="RD1951" s="106"/>
      <c r="RE1951" s="106"/>
      <c r="RF1951" s="106"/>
      <c r="RG1951" s="106"/>
      <c r="RH1951" s="106"/>
      <c r="RI1951" s="106"/>
      <c r="RJ1951" s="106"/>
      <c r="RK1951" s="106"/>
      <c r="RL1951" s="106"/>
    </row>
    <row r="1952" spans="48:480" x14ac:dyDescent="0.3">
      <c r="AV1952" s="103"/>
      <c r="CJ1952" s="103"/>
      <c r="FP1952" s="103"/>
      <c r="LL1952" s="103"/>
      <c r="NM1952" s="103"/>
      <c r="QT1952" s="106"/>
      <c r="QU1952" s="106"/>
      <c r="QV1952" s="106"/>
      <c r="QW1952" s="106"/>
      <c r="QX1952" s="106"/>
      <c r="QY1952" s="106"/>
      <c r="QZ1952" s="106"/>
      <c r="RA1952" s="106"/>
      <c r="RB1952" s="106"/>
      <c r="RC1952" s="106"/>
      <c r="RD1952" s="106"/>
      <c r="RE1952" s="106"/>
      <c r="RF1952" s="106"/>
      <c r="RG1952" s="106"/>
      <c r="RH1952" s="106"/>
      <c r="RI1952" s="106"/>
      <c r="RJ1952" s="106"/>
      <c r="RK1952" s="106"/>
      <c r="RL1952" s="106"/>
    </row>
    <row r="1953" spans="48:480" x14ac:dyDescent="0.3">
      <c r="AV1953" s="103"/>
      <c r="CJ1953" s="103"/>
      <c r="FP1953" s="103"/>
      <c r="LL1953" s="103"/>
      <c r="NM1953" s="103"/>
      <c r="QT1953" s="106"/>
      <c r="QU1953" s="106"/>
      <c r="QV1953" s="106"/>
      <c r="QW1953" s="106"/>
      <c r="QX1953" s="106"/>
      <c r="QY1953" s="106"/>
      <c r="QZ1953" s="106"/>
      <c r="RA1953" s="106"/>
      <c r="RB1953" s="106"/>
      <c r="RC1953" s="106"/>
      <c r="RD1953" s="106"/>
      <c r="RE1953" s="106"/>
      <c r="RF1953" s="106"/>
      <c r="RG1953" s="106"/>
      <c r="RH1953" s="106"/>
      <c r="RI1953" s="106"/>
      <c r="RJ1953" s="106"/>
      <c r="RK1953" s="106"/>
      <c r="RL1953" s="106"/>
    </row>
    <row r="1954" spans="48:480" x14ac:dyDescent="0.3">
      <c r="AV1954" s="103"/>
      <c r="CJ1954" s="103"/>
      <c r="FP1954" s="103"/>
      <c r="LL1954" s="103"/>
      <c r="NM1954" s="103"/>
      <c r="QT1954" s="106"/>
      <c r="QU1954" s="106"/>
      <c r="QV1954" s="106"/>
      <c r="QW1954" s="106"/>
      <c r="QX1954" s="106"/>
      <c r="QY1954" s="106"/>
      <c r="QZ1954" s="106"/>
      <c r="RA1954" s="106"/>
      <c r="RB1954" s="106"/>
      <c r="RC1954" s="106"/>
      <c r="RD1954" s="106"/>
      <c r="RE1954" s="106"/>
      <c r="RF1954" s="106"/>
      <c r="RG1954" s="106"/>
      <c r="RH1954" s="106"/>
      <c r="RI1954" s="106"/>
      <c r="RJ1954" s="106"/>
      <c r="RK1954" s="106"/>
      <c r="RL1954" s="106"/>
    </row>
    <row r="1955" spans="48:480" x14ac:dyDescent="0.3">
      <c r="AV1955" s="103"/>
      <c r="CJ1955" s="103"/>
      <c r="FP1955" s="103"/>
      <c r="LL1955" s="103"/>
      <c r="NM1955" s="103"/>
      <c r="QT1955" s="106"/>
      <c r="QU1955" s="106"/>
      <c r="QV1955" s="106"/>
      <c r="QW1955" s="106"/>
      <c r="QX1955" s="106"/>
      <c r="QY1955" s="106"/>
      <c r="QZ1955" s="106"/>
      <c r="RA1955" s="106"/>
      <c r="RB1955" s="106"/>
      <c r="RC1955" s="106"/>
      <c r="RD1955" s="106"/>
      <c r="RE1955" s="106"/>
      <c r="RF1955" s="106"/>
      <c r="RG1955" s="106"/>
      <c r="RH1955" s="106"/>
      <c r="RI1955" s="106"/>
      <c r="RJ1955" s="106"/>
      <c r="RK1955" s="106"/>
      <c r="RL1955" s="106"/>
    </row>
    <row r="1956" spans="48:480" x14ac:dyDescent="0.3">
      <c r="AV1956" s="103"/>
      <c r="CJ1956" s="103"/>
      <c r="FP1956" s="103"/>
      <c r="LL1956" s="103"/>
      <c r="NM1956" s="103"/>
      <c r="QT1956" s="106"/>
      <c r="QU1956" s="106"/>
      <c r="QV1956" s="106"/>
      <c r="QW1956" s="106"/>
      <c r="QX1956" s="106"/>
      <c r="QY1956" s="106"/>
      <c r="QZ1956" s="106"/>
      <c r="RA1956" s="106"/>
      <c r="RB1956" s="106"/>
      <c r="RC1956" s="106"/>
      <c r="RD1956" s="106"/>
      <c r="RE1956" s="106"/>
      <c r="RF1956" s="106"/>
      <c r="RG1956" s="106"/>
      <c r="RH1956" s="106"/>
      <c r="RI1956" s="106"/>
      <c r="RJ1956" s="106"/>
      <c r="RK1956" s="106"/>
      <c r="RL1956" s="106"/>
    </row>
    <row r="1957" spans="48:480" x14ac:dyDescent="0.3">
      <c r="AV1957" s="103"/>
      <c r="CJ1957" s="103"/>
      <c r="FP1957" s="103"/>
      <c r="LL1957" s="103"/>
      <c r="NM1957" s="103"/>
      <c r="QT1957" s="106"/>
      <c r="QU1957" s="106"/>
      <c r="QV1957" s="106"/>
      <c r="QW1957" s="106"/>
      <c r="QX1957" s="106"/>
      <c r="QY1957" s="106"/>
      <c r="QZ1957" s="106"/>
      <c r="RA1957" s="106"/>
      <c r="RB1957" s="106"/>
      <c r="RC1957" s="106"/>
      <c r="RD1957" s="106"/>
      <c r="RE1957" s="106"/>
      <c r="RF1957" s="106"/>
      <c r="RG1957" s="106"/>
      <c r="RH1957" s="106"/>
      <c r="RI1957" s="106"/>
      <c r="RJ1957" s="106"/>
      <c r="RK1957" s="106"/>
      <c r="RL1957" s="106"/>
    </row>
    <row r="1958" spans="48:480" x14ac:dyDescent="0.3">
      <c r="AV1958" s="103"/>
      <c r="CJ1958" s="103"/>
      <c r="FP1958" s="103"/>
      <c r="LL1958" s="103"/>
      <c r="NM1958" s="103"/>
      <c r="QT1958" s="106"/>
      <c r="QU1958" s="106"/>
      <c r="QV1958" s="106"/>
      <c r="QW1958" s="106"/>
      <c r="QX1958" s="106"/>
      <c r="QY1958" s="106"/>
      <c r="QZ1958" s="106"/>
      <c r="RA1958" s="106"/>
      <c r="RB1958" s="106"/>
      <c r="RC1958" s="106"/>
      <c r="RD1958" s="106"/>
      <c r="RE1958" s="106"/>
      <c r="RF1958" s="106"/>
      <c r="RG1958" s="106"/>
      <c r="RH1958" s="106"/>
      <c r="RI1958" s="106"/>
      <c r="RJ1958" s="106"/>
      <c r="RK1958" s="106"/>
      <c r="RL1958" s="106"/>
    </row>
    <row r="1959" spans="48:480" x14ac:dyDescent="0.3">
      <c r="AV1959" s="103"/>
      <c r="CJ1959" s="103"/>
      <c r="FP1959" s="103"/>
      <c r="LL1959" s="103"/>
      <c r="NM1959" s="103"/>
      <c r="QT1959" s="106"/>
      <c r="QU1959" s="106"/>
      <c r="QV1959" s="106"/>
      <c r="QW1959" s="106"/>
      <c r="QX1959" s="106"/>
      <c r="QY1959" s="106"/>
      <c r="QZ1959" s="106"/>
      <c r="RA1959" s="106"/>
      <c r="RB1959" s="106"/>
      <c r="RC1959" s="106"/>
      <c r="RD1959" s="106"/>
      <c r="RE1959" s="106"/>
      <c r="RF1959" s="106"/>
      <c r="RG1959" s="106"/>
      <c r="RH1959" s="106"/>
      <c r="RI1959" s="106"/>
      <c r="RJ1959" s="106"/>
      <c r="RK1959" s="106"/>
      <c r="RL1959" s="106"/>
    </row>
    <row r="1960" spans="48:480" x14ac:dyDescent="0.3">
      <c r="AV1960" s="103"/>
      <c r="CJ1960" s="103"/>
      <c r="FP1960" s="103"/>
      <c r="LL1960" s="103"/>
      <c r="NM1960" s="103"/>
      <c r="QT1960" s="106"/>
      <c r="QU1960" s="106"/>
      <c r="QV1960" s="106"/>
      <c r="QW1960" s="106"/>
      <c r="QX1960" s="106"/>
      <c r="QY1960" s="106"/>
      <c r="QZ1960" s="106"/>
      <c r="RA1960" s="106"/>
      <c r="RB1960" s="106"/>
      <c r="RC1960" s="106"/>
      <c r="RD1960" s="106"/>
      <c r="RE1960" s="106"/>
      <c r="RF1960" s="106"/>
      <c r="RG1960" s="106"/>
      <c r="RH1960" s="106"/>
      <c r="RI1960" s="106"/>
      <c r="RJ1960" s="106"/>
      <c r="RK1960" s="106"/>
      <c r="RL1960" s="106"/>
    </row>
    <row r="1961" spans="48:480" x14ac:dyDescent="0.3">
      <c r="AV1961" s="103"/>
      <c r="CJ1961" s="103"/>
      <c r="FP1961" s="103"/>
      <c r="LL1961" s="103"/>
      <c r="NM1961" s="103"/>
      <c r="QT1961" s="106"/>
      <c r="QU1961" s="106"/>
      <c r="QV1961" s="106"/>
      <c r="QW1961" s="106"/>
      <c r="QX1961" s="106"/>
      <c r="QY1961" s="106"/>
      <c r="QZ1961" s="106"/>
      <c r="RA1961" s="106"/>
      <c r="RB1961" s="106"/>
      <c r="RC1961" s="106"/>
      <c r="RD1961" s="106"/>
      <c r="RE1961" s="106"/>
      <c r="RF1961" s="106"/>
      <c r="RG1961" s="106"/>
      <c r="RH1961" s="106"/>
      <c r="RI1961" s="106"/>
      <c r="RJ1961" s="106"/>
      <c r="RK1961" s="106"/>
      <c r="RL1961" s="106"/>
    </row>
    <row r="1962" spans="48:480" x14ac:dyDescent="0.3">
      <c r="AV1962" s="103"/>
      <c r="CJ1962" s="103"/>
      <c r="FP1962" s="103"/>
      <c r="LL1962" s="103"/>
      <c r="NM1962" s="103"/>
      <c r="QT1962" s="106"/>
      <c r="QU1962" s="106"/>
      <c r="QV1962" s="106"/>
      <c r="QW1962" s="106"/>
      <c r="QX1962" s="106"/>
      <c r="QY1962" s="106"/>
      <c r="QZ1962" s="106"/>
      <c r="RA1962" s="106"/>
      <c r="RB1962" s="106"/>
      <c r="RC1962" s="106"/>
      <c r="RD1962" s="106"/>
      <c r="RE1962" s="106"/>
      <c r="RF1962" s="106"/>
      <c r="RG1962" s="106"/>
      <c r="RH1962" s="106"/>
      <c r="RI1962" s="106"/>
      <c r="RJ1962" s="106"/>
      <c r="RK1962" s="106"/>
      <c r="RL1962" s="106"/>
    </row>
    <row r="1963" spans="48:480" x14ac:dyDescent="0.3">
      <c r="AV1963" s="103"/>
      <c r="CJ1963" s="103"/>
      <c r="FP1963" s="103"/>
      <c r="LL1963" s="103"/>
      <c r="NM1963" s="103"/>
      <c r="QT1963" s="106"/>
      <c r="QU1963" s="106"/>
      <c r="QV1963" s="106"/>
      <c r="QW1963" s="106"/>
      <c r="QX1963" s="106"/>
      <c r="QY1963" s="106"/>
      <c r="QZ1963" s="106"/>
      <c r="RA1963" s="106"/>
      <c r="RB1963" s="106"/>
      <c r="RC1963" s="106"/>
      <c r="RD1963" s="106"/>
      <c r="RE1963" s="106"/>
      <c r="RF1963" s="106"/>
      <c r="RG1963" s="106"/>
      <c r="RH1963" s="106"/>
      <c r="RI1963" s="106"/>
      <c r="RJ1963" s="106"/>
      <c r="RK1963" s="106"/>
      <c r="RL1963" s="106"/>
    </row>
    <row r="1964" spans="48:480" x14ac:dyDescent="0.3">
      <c r="AV1964" s="103"/>
      <c r="CJ1964" s="103"/>
      <c r="FP1964" s="103"/>
      <c r="LL1964" s="103"/>
      <c r="NM1964" s="103"/>
      <c r="QT1964" s="106"/>
      <c r="QU1964" s="106"/>
      <c r="QV1964" s="106"/>
      <c r="QW1964" s="106"/>
      <c r="QX1964" s="106"/>
      <c r="QY1964" s="106"/>
      <c r="QZ1964" s="106"/>
      <c r="RA1964" s="106"/>
      <c r="RB1964" s="106"/>
      <c r="RC1964" s="106"/>
      <c r="RD1964" s="106"/>
      <c r="RE1964" s="106"/>
      <c r="RF1964" s="106"/>
      <c r="RG1964" s="106"/>
      <c r="RH1964" s="106"/>
      <c r="RI1964" s="106"/>
      <c r="RJ1964" s="106"/>
      <c r="RK1964" s="106"/>
      <c r="RL1964" s="106"/>
    </row>
    <row r="1965" spans="48:480" x14ac:dyDescent="0.3">
      <c r="AV1965" s="103"/>
      <c r="CJ1965" s="103"/>
      <c r="FP1965" s="103"/>
      <c r="LL1965" s="103"/>
      <c r="NM1965" s="103"/>
      <c r="QT1965" s="106"/>
      <c r="QU1965" s="106"/>
      <c r="QV1965" s="106"/>
      <c r="QW1965" s="106"/>
      <c r="QX1965" s="106"/>
      <c r="QY1965" s="106"/>
      <c r="QZ1965" s="106"/>
      <c r="RA1965" s="106"/>
      <c r="RB1965" s="106"/>
      <c r="RC1965" s="106"/>
      <c r="RD1965" s="106"/>
      <c r="RE1965" s="106"/>
      <c r="RF1965" s="106"/>
      <c r="RG1965" s="106"/>
      <c r="RH1965" s="106"/>
      <c r="RI1965" s="106"/>
      <c r="RJ1965" s="106"/>
      <c r="RK1965" s="106"/>
      <c r="RL1965" s="106"/>
    </row>
    <row r="1966" spans="48:480" x14ac:dyDescent="0.3">
      <c r="AV1966" s="103"/>
      <c r="CJ1966" s="103"/>
      <c r="FP1966" s="103"/>
      <c r="LL1966" s="103"/>
      <c r="NM1966" s="103"/>
      <c r="QT1966" s="106"/>
      <c r="QU1966" s="106"/>
      <c r="QV1966" s="106"/>
      <c r="QW1966" s="106"/>
      <c r="QX1966" s="106"/>
      <c r="QY1966" s="106"/>
      <c r="QZ1966" s="106"/>
      <c r="RA1966" s="106"/>
      <c r="RB1966" s="106"/>
      <c r="RC1966" s="106"/>
      <c r="RD1966" s="106"/>
      <c r="RE1966" s="106"/>
      <c r="RF1966" s="106"/>
      <c r="RG1966" s="106"/>
      <c r="RH1966" s="106"/>
      <c r="RI1966" s="106"/>
      <c r="RJ1966" s="106"/>
      <c r="RK1966" s="106"/>
      <c r="RL1966" s="106"/>
    </row>
    <row r="1967" spans="48:480" x14ac:dyDescent="0.3">
      <c r="AV1967" s="103"/>
      <c r="CJ1967" s="103"/>
      <c r="FP1967" s="103"/>
      <c r="LL1967" s="103"/>
      <c r="NM1967" s="103"/>
      <c r="QT1967" s="106"/>
      <c r="QU1967" s="106"/>
      <c r="QV1967" s="106"/>
      <c r="QW1967" s="106"/>
      <c r="QX1967" s="106"/>
      <c r="QY1967" s="106"/>
      <c r="QZ1967" s="106"/>
      <c r="RA1967" s="106"/>
      <c r="RB1967" s="106"/>
      <c r="RC1967" s="106"/>
      <c r="RD1967" s="106"/>
      <c r="RE1967" s="106"/>
      <c r="RF1967" s="106"/>
      <c r="RG1967" s="106"/>
      <c r="RH1967" s="106"/>
      <c r="RI1967" s="106"/>
      <c r="RJ1967" s="106"/>
      <c r="RK1967" s="106"/>
      <c r="RL1967" s="106"/>
    </row>
    <row r="1968" spans="48:480" x14ac:dyDescent="0.3">
      <c r="AV1968" s="103"/>
      <c r="CJ1968" s="103"/>
      <c r="FP1968" s="103"/>
      <c r="LL1968" s="103"/>
      <c r="NM1968" s="103"/>
      <c r="QT1968" s="106"/>
      <c r="QU1968" s="106"/>
      <c r="QV1968" s="106"/>
      <c r="QW1968" s="106"/>
      <c r="QX1968" s="106"/>
      <c r="QY1968" s="106"/>
      <c r="QZ1968" s="106"/>
      <c r="RA1968" s="106"/>
      <c r="RB1968" s="106"/>
      <c r="RC1968" s="106"/>
      <c r="RD1968" s="106"/>
      <c r="RE1968" s="106"/>
      <c r="RF1968" s="106"/>
      <c r="RG1968" s="106"/>
      <c r="RH1968" s="106"/>
      <c r="RI1968" s="106"/>
      <c r="RJ1968" s="106"/>
      <c r="RK1968" s="106"/>
      <c r="RL1968" s="106"/>
    </row>
    <row r="1969" spans="48:480" x14ac:dyDescent="0.3">
      <c r="AV1969" s="103"/>
      <c r="CJ1969" s="103"/>
      <c r="FP1969" s="103"/>
      <c r="LL1969" s="103"/>
      <c r="NM1969" s="103"/>
      <c r="QT1969" s="106"/>
      <c r="QU1969" s="106"/>
      <c r="QV1969" s="106"/>
      <c r="QW1969" s="106"/>
      <c r="QX1969" s="106"/>
      <c r="QY1969" s="106"/>
      <c r="QZ1969" s="106"/>
      <c r="RA1969" s="106"/>
      <c r="RB1969" s="106"/>
      <c r="RC1969" s="106"/>
      <c r="RD1969" s="106"/>
      <c r="RE1969" s="106"/>
      <c r="RF1969" s="106"/>
      <c r="RG1969" s="106"/>
      <c r="RH1969" s="106"/>
      <c r="RI1969" s="106"/>
      <c r="RJ1969" s="106"/>
      <c r="RK1969" s="106"/>
      <c r="RL1969" s="106"/>
    </row>
    <row r="1970" spans="48:480" x14ac:dyDescent="0.3">
      <c r="AV1970" s="103"/>
      <c r="CJ1970" s="103"/>
      <c r="FP1970" s="103"/>
      <c r="LL1970" s="103"/>
      <c r="NM1970" s="103"/>
      <c r="QT1970" s="106"/>
      <c r="QU1970" s="106"/>
      <c r="QV1970" s="106"/>
      <c r="QW1970" s="106"/>
      <c r="QX1970" s="106"/>
      <c r="QY1970" s="106"/>
      <c r="QZ1970" s="106"/>
      <c r="RA1970" s="106"/>
      <c r="RB1970" s="106"/>
      <c r="RC1970" s="106"/>
      <c r="RD1970" s="106"/>
      <c r="RE1970" s="106"/>
      <c r="RF1970" s="106"/>
      <c r="RG1970" s="106"/>
      <c r="RH1970" s="106"/>
      <c r="RI1970" s="106"/>
      <c r="RJ1970" s="106"/>
      <c r="RK1970" s="106"/>
      <c r="RL1970" s="106"/>
    </row>
    <row r="1971" spans="48:480" x14ac:dyDescent="0.3">
      <c r="AV1971" s="103"/>
      <c r="CJ1971" s="103"/>
      <c r="FP1971" s="103"/>
      <c r="LL1971" s="103"/>
      <c r="NM1971" s="103"/>
      <c r="QT1971" s="106"/>
      <c r="QU1971" s="106"/>
      <c r="QV1971" s="106"/>
      <c r="QW1971" s="106"/>
      <c r="QX1971" s="106"/>
      <c r="QY1971" s="106"/>
      <c r="QZ1971" s="106"/>
      <c r="RA1971" s="106"/>
      <c r="RB1971" s="106"/>
      <c r="RC1971" s="106"/>
      <c r="RD1971" s="106"/>
      <c r="RE1971" s="106"/>
      <c r="RF1971" s="106"/>
      <c r="RG1971" s="106"/>
      <c r="RH1971" s="106"/>
      <c r="RI1971" s="106"/>
      <c r="RJ1971" s="106"/>
      <c r="RK1971" s="106"/>
      <c r="RL1971" s="106"/>
    </row>
    <row r="1972" spans="48:480" x14ac:dyDescent="0.3">
      <c r="AV1972" s="103"/>
      <c r="CJ1972" s="103"/>
      <c r="FP1972" s="103"/>
      <c r="LL1972" s="103"/>
      <c r="NM1972" s="103"/>
      <c r="QT1972" s="106"/>
      <c r="QU1972" s="106"/>
      <c r="QV1972" s="106"/>
      <c r="QW1972" s="106"/>
      <c r="QX1972" s="106"/>
      <c r="QY1972" s="106"/>
      <c r="QZ1972" s="106"/>
      <c r="RA1972" s="106"/>
      <c r="RB1972" s="106"/>
      <c r="RC1972" s="106"/>
      <c r="RD1972" s="106"/>
      <c r="RE1972" s="106"/>
      <c r="RF1972" s="106"/>
      <c r="RG1972" s="106"/>
      <c r="RH1972" s="106"/>
      <c r="RI1972" s="106"/>
      <c r="RJ1972" s="106"/>
      <c r="RK1972" s="106"/>
      <c r="RL1972" s="106"/>
    </row>
    <row r="1973" spans="48:480" x14ac:dyDescent="0.3">
      <c r="AV1973" s="103"/>
      <c r="CJ1973" s="103"/>
      <c r="FP1973" s="103"/>
      <c r="LL1973" s="103"/>
      <c r="NM1973" s="103"/>
      <c r="QT1973" s="106"/>
      <c r="QU1973" s="106"/>
      <c r="QV1973" s="106"/>
      <c r="QW1973" s="106"/>
      <c r="QX1973" s="106"/>
      <c r="QY1973" s="106"/>
      <c r="QZ1973" s="106"/>
      <c r="RA1973" s="106"/>
      <c r="RB1973" s="106"/>
      <c r="RC1973" s="106"/>
      <c r="RD1973" s="106"/>
      <c r="RE1973" s="106"/>
      <c r="RF1973" s="106"/>
      <c r="RG1973" s="106"/>
      <c r="RH1973" s="106"/>
      <c r="RI1973" s="106"/>
      <c r="RJ1973" s="106"/>
      <c r="RK1973" s="106"/>
      <c r="RL1973" s="106"/>
    </row>
    <row r="1974" spans="48:480" x14ac:dyDescent="0.3">
      <c r="AV1974" s="103"/>
      <c r="CJ1974" s="103"/>
      <c r="FP1974" s="103"/>
      <c r="LL1974" s="103"/>
      <c r="NM1974" s="103"/>
      <c r="QT1974" s="106"/>
      <c r="QU1974" s="106"/>
      <c r="QV1974" s="106"/>
      <c r="QW1974" s="106"/>
      <c r="QX1974" s="106"/>
      <c r="QY1974" s="106"/>
      <c r="QZ1974" s="106"/>
      <c r="RA1974" s="106"/>
      <c r="RB1974" s="106"/>
      <c r="RC1974" s="106"/>
      <c r="RD1974" s="106"/>
      <c r="RE1974" s="106"/>
      <c r="RF1974" s="106"/>
      <c r="RG1974" s="106"/>
      <c r="RH1974" s="106"/>
      <c r="RI1974" s="106"/>
      <c r="RJ1974" s="106"/>
      <c r="RK1974" s="106"/>
      <c r="RL1974" s="106"/>
    </row>
    <row r="1975" spans="48:480" x14ac:dyDescent="0.3">
      <c r="AV1975" s="103"/>
      <c r="CJ1975" s="103"/>
      <c r="FP1975" s="103"/>
      <c r="LL1975" s="103"/>
      <c r="NM1975" s="103"/>
      <c r="QT1975" s="106"/>
      <c r="QU1975" s="106"/>
      <c r="QV1975" s="106"/>
      <c r="QW1975" s="106"/>
      <c r="QX1975" s="106"/>
      <c r="QY1975" s="106"/>
      <c r="QZ1975" s="106"/>
      <c r="RA1975" s="106"/>
      <c r="RB1975" s="106"/>
      <c r="RC1975" s="106"/>
      <c r="RD1975" s="106"/>
      <c r="RE1975" s="106"/>
      <c r="RF1975" s="106"/>
      <c r="RG1975" s="106"/>
      <c r="RH1975" s="106"/>
      <c r="RI1975" s="106"/>
      <c r="RJ1975" s="106"/>
      <c r="RK1975" s="106"/>
      <c r="RL1975" s="106"/>
    </row>
    <row r="1976" spans="48:480" x14ac:dyDescent="0.3">
      <c r="AV1976" s="103"/>
      <c r="CJ1976" s="103"/>
      <c r="FP1976" s="103"/>
      <c r="LL1976" s="103"/>
      <c r="NM1976" s="103"/>
      <c r="QT1976" s="106"/>
      <c r="QU1976" s="106"/>
      <c r="QV1976" s="106"/>
      <c r="QW1976" s="106"/>
      <c r="QX1976" s="106"/>
      <c r="QY1976" s="106"/>
      <c r="QZ1976" s="106"/>
      <c r="RA1976" s="106"/>
      <c r="RB1976" s="106"/>
      <c r="RC1976" s="106"/>
      <c r="RD1976" s="106"/>
      <c r="RE1976" s="106"/>
      <c r="RF1976" s="106"/>
      <c r="RG1976" s="106"/>
      <c r="RH1976" s="106"/>
      <c r="RI1976" s="106"/>
      <c r="RJ1976" s="106"/>
      <c r="RK1976" s="106"/>
      <c r="RL1976" s="106"/>
    </row>
    <row r="1977" spans="48:480" x14ac:dyDescent="0.3">
      <c r="AV1977" s="103"/>
      <c r="CJ1977" s="103"/>
      <c r="FP1977" s="103"/>
      <c r="LL1977" s="103"/>
      <c r="NM1977" s="103"/>
      <c r="QT1977" s="106"/>
      <c r="QU1977" s="106"/>
      <c r="QV1977" s="106"/>
      <c r="QW1977" s="106"/>
      <c r="QX1977" s="106"/>
      <c r="QY1977" s="106"/>
      <c r="QZ1977" s="106"/>
      <c r="RA1977" s="106"/>
      <c r="RB1977" s="106"/>
      <c r="RC1977" s="106"/>
      <c r="RD1977" s="106"/>
      <c r="RE1977" s="106"/>
      <c r="RF1977" s="106"/>
      <c r="RG1977" s="106"/>
      <c r="RH1977" s="106"/>
      <c r="RI1977" s="106"/>
      <c r="RJ1977" s="106"/>
      <c r="RK1977" s="106"/>
      <c r="RL1977" s="106"/>
    </row>
    <row r="1978" spans="48:480" x14ac:dyDescent="0.3">
      <c r="AV1978" s="103"/>
      <c r="CJ1978" s="103"/>
      <c r="FP1978" s="103"/>
      <c r="LL1978" s="103"/>
      <c r="NM1978" s="103"/>
      <c r="QT1978" s="106"/>
      <c r="QU1978" s="106"/>
      <c r="QV1978" s="106"/>
      <c r="QW1978" s="106"/>
      <c r="QX1978" s="106"/>
      <c r="QY1978" s="106"/>
      <c r="QZ1978" s="106"/>
      <c r="RA1978" s="106"/>
      <c r="RB1978" s="106"/>
      <c r="RC1978" s="106"/>
      <c r="RD1978" s="106"/>
      <c r="RE1978" s="106"/>
      <c r="RF1978" s="106"/>
      <c r="RG1978" s="106"/>
      <c r="RH1978" s="106"/>
      <c r="RI1978" s="106"/>
      <c r="RJ1978" s="106"/>
      <c r="RK1978" s="106"/>
      <c r="RL1978" s="106"/>
    </row>
    <row r="1979" spans="48:480" x14ac:dyDescent="0.3">
      <c r="AV1979" s="103"/>
      <c r="CJ1979" s="103"/>
      <c r="FP1979" s="103"/>
      <c r="LL1979" s="103"/>
      <c r="NM1979" s="103"/>
      <c r="QT1979" s="106"/>
      <c r="QU1979" s="106"/>
      <c r="QV1979" s="106"/>
      <c r="QW1979" s="106"/>
      <c r="QX1979" s="106"/>
      <c r="QY1979" s="106"/>
      <c r="QZ1979" s="106"/>
      <c r="RA1979" s="106"/>
      <c r="RB1979" s="106"/>
      <c r="RC1979" s="106"/>
      <c r="RD1979" s="106"/>
      <c r="RE1979" s="106"/>
      <c r="RF1979" s="106"/>
      <c r="RG1979" s="106"/>
      <c r="RH1979" s="106"/>
      <c r="RI1979" s="106"/>
      <c r="RJ1979" s="106"/>
      <c r="RK1979" s="106"/>
      <c r="RL1979" s="106"/>
    </row>
    <row r="1980" spans="48:480" x14ac:dyDescent="0.3">
      <c r="AV1980" s="103"/>
      <c r="CJ1980" s="103"/>
      <c r="FP1980" s="103"/>
      <c r="LL1980" s="103"/>
      <c r="NM1980" s="103"/>
      <c r="QT1980" s="106"/>
      <c r="QU1980" s="106"/>
      <c r="QV1980" s="106"/>
      <c r="QW1980" s="106"/>
      <c r="QX1980" s="106"/>
      <c r="QY1980" s="106"/>
      <c r="QZ1980" s="106"/>
      <c r="RA1980" s="106"/>
      <c r="RB1980" s="106"/>
      <c r="RC1980" s="106"/>
      <c r="RD1980" s="106"/>
      <c r="RE1980" s="106"/>
      <c r="RF1980" s="106"/>
      <c r="RG1980" s="106"/>
      <c r="RH1980" s="106"/>
      <c r="RI1980" s="106"/>
      <c r="RJ1980" s="106"/>
      <c r="RK1980" s="106"/>
      <c r="RL1980" s="106"/>
    </row>
    <row r="1981" spans="48:480" x14ac:dyDescent="0.3">
      <c r="AV1981" s="103"/>
      <c r="CJ1981" s="103"/>
      <c r="FP1981" s="103"/>
      <c r="LL1981" s="103"/>
      <c r="NM1981" s="103"/>
      <c r="QT1981" s="106"/>
      <c r="QU1981" s="106"/>
      <c r="QV1981" s="106"/>
      <c r="QW1981" s="106"/>
      <c r="QX1981" s="106"/>
      <c r="QY1981" s="106"/>
      <c r="QZ1981" s="106"/>
      <c r="RA1981" s="106"/>
      <c r="RB1981" s="106"/>
      <c r="RC1981" s="106"/>
      <c r="RD1981" s="106"/>
      <c r="RE1981" s="106"/>
      <c r="RF1981" s="106"/>
      <c r="RG1981" s="106"/>
      <c r="RH1981" s="106"/>
      <c r="RI1981" s="106"/>
      <c r="RJ1981" s="106"/>
      <c r="RK1981" s="106"/>
      <c r="RL1981" s="106"/>
    </row>
    <row r="1982" spans="48:480" x14ac:dyDescent="0.3">
      <c r="AV1982" s="103"/>
      <c r="CJ1982" s="103"/>
      <c r="FP1982" s="103"/>
      <c r="LL1982" s="103"/>
      <c r="NM1982" s="103"/>
      <c r="QT1982" s="106"/>
      <c r="QU1982" s="106"/>
      <c r="QV1982" s="106"/>
      <c r="QW1982" s="106"/>
      <c r="QX1982" s="106"/>
      <c r="QY1982" s="106"/>
      <c r="QZ1982" s="106"/>
      <c r="RA1982" s="106"/>
      <c r="RB1982" s="106"/>
      <c r="RC1982" s="106"/>
      <c r="RD1982" s="106"/>
      <c r="RE1982" s="106"/>
      <c r="RF1982" s="106"/>
      <c r="RG1982" s="106"/>
      <c r="RH1982" s="106"/>
      <c r="RI1982" s="106"/>
      <c r="RJ1982" s="106"/>
      <c r="RK1982" s="106"/>
      <c r="RL1982" s="106"/>
    </row>
    <row r="1983" spans="48:480" x14ac:dyDescent="0.3">
      <c r="AV1983" s="103"/>
      <c r="CJ1983" s="103"/>
      <c r="FP1983" s="103"/>
      <c r="LL1983" s="103"/>
      <c r="NM1983" s="103"/>
      <c r="QT1983" s="106"/>
      <c r="QU1983" s="106"/>
      <c r="QV1983" s="106"/>
      <c r="QW1983" s="106"/>
      <c r="QX1983" s="106"/>
      <c r="QY1983" s="106"/>
      <c r="QZ1983" s="106"/>
      <c r="RA1983" s="106"/>
      <c r="RB1983" s="106"/>
      <c r="RC1983" s="106"/>
      <c r="RD1983" s="106"/>
      <c r="RE1983" s="106"/>
      <c r="RF1983" s="106"/>
      <c r="RG1983" s="106"/>
      <c r="RH1983" s="106"/>
      <c r="RI1983" s="106"/>
      <c r="RJ1983" s="106"/>
      <c r="RK1983" s="106"/>
      <c r="RL1983" s="106"/>
    </row>
    <row r="1984" spans="48:480" x14ac:dyDescent="0.3">
      <c r="AV1984" s="103"/>
      <c r="CJ1984" s="103"/>
      <c r="FP1984" s="103"/>
      <c r="LL1984" s="103"/>
      <c r="NM1984" s="103"/>
      <c r="QT1984" s="106"/>
      <c r="QU1984" s="106"/>
      <c r="QV1984" s="106"/>
      <c r="QW1984" s="106"/>
      <c r="QX1984" s="106"/>
      <c r="QY1984" s="106"/>
      <c r="QZ1984" s="106"/>
      <c r="RA1984" s="106"/>
      <c r="RB1984" s="106"/>
      <c r="RC1984" s="106"/>
      <c r="RD1984" s="106"/>
      <c r="RE1984" s="106"/>
      <c r="RF1984" s="106"/>
      <c r="RG1984" s="106"/>
      <c r="RH1984" s="106"/>
      <c r="RI1984" s="106"/>
      <c r="RJ1984" s="106"/>
      <c r="RK1984" s="106"/>
      <c r="RL1984" s="106"/>
    </row>
    <row r="1985" spans="48:480" x14ac:dyDescent="0.3">
      <c r="AV1985" s="103"/>
      <c r="CJ1985" s="103"/>
      <c r="FP1985" s="103"/>
      <c r="LL1985" s="103"/>
      <c r="NM1985" s="103"/>
      <c r="QT1985" s="106"/>
      <c r="QU1985" s="106"/>
      <c r="QV1985" s="106"/>
      <c r="QW1985" s="106"/>
      <c r="QX1985" s="106"/>
      <c r="QY1985" s="106"/>
      <c r="QZ1985" s="106"/>
      <c r="RA1985" s="106"/>
      <c r="RB1985" s="106"/>
      <c r="RC1985" s="106"/>
      <c r="RD1985" s="106"/>
      <c r="RE1985" s="106"/>
      <c r="RF1985" s="106"/>
      <c r="RG1985" s="106"/>
      <c r="RH1985" s="106"/>
      <c r="RI1985" s="106"/>
      <c r="RJ1985" s="106"/>
      <c r="RK1985" s="106"/>
      <c r="RL1985" s="106"/>
    </row>
    <row r="1986" spans="48:480" x14ac:dyDescent="0.3">
      <c r="AV1986" s="103"/>
      <c r="CJ1986" s="103"/>
      <c r="FP1986" s="103"/>
      <c r="LL1986" s="103"/>
      <c r="NM1986" s="103"/>
      <c r="QT1986" s="106"/>
      <c r="QU1986" s="106"/>
      <c r="QV1986" s="106"/>
      <c r="QW1986" s="106"/>
      <c r="QX1986" s="106"/>
      <c r="QY1986" s="106"/>
      <c r="QZ1986" s="106"/>
      <c r="RA1986" s="106"/>
      <c r="RB1986" s="106"/>
      <c r="RC1986" s="106"/>
      <c r="RD1986" s="106"/>
      <c r="RE1986" s="106"/>
      <c r="RF1986" s="106"/>
      <c r="RG1986" s="106"/>
      <c r="RH1986" s="106"/>
      <c r="RI1986" s="106"/>
      <c r="RJ1986" s="106"/>
      <c r="RK1986" s="106"/>
      <c r="RL1986" s="106"/>
    </row>
    <row r="1987" spans="48:480" x14ac:dyDescent="0.3">
      <c r="AV1987" s="103"/>
      <c r="CJ1987" s="103"/>
      <c r="FP1987" s="103"/>
      <c r="LL1987" s="103"/>
      <c r="NM1987" s="103"/>
      <c r="QT1987" s="106"/>
      <c r="QU1987" s="106"/>
      <c r="QV1987" s="106"/>
      <c r="QW1987" s="106"/>
      <c r="QX1987" s="106"/>
      <c r="QY1987" s="106"/>
      <c r="QZ1987" s="106"/>
      <c r="RA1987" s="106"/>
      <c r="RB1987" s="106"/>
      <c r="RC1987" s="106"/>
      <c r="RD1987" s="106"/>
      <c r="RE1987" s="106"/>
      <c r="RF1987" s="106"/>
      <c r="RG1987" s="106"/>
      <c r="RH1987" s="106"/>
      <c r="RI1987" s="106"/>
      <c r="RJ1987" s="106"/>
      <c r="RK1987" s="106"/>
      <c r="RL1987" s="106"/>
    </row>
    <row r="1988" spans="48:480" x14ac:dyDescent="0.3">
      <c r="AV1988" s="103"/>
      <c r="CJ1988" s="103"/>
      <c r="FP1988" s="103"/>
      <c r="LL1988" s="103"/>
      <c r="NM1988" s="103"/>
      <c r="QT1988" s="106"/>
      <c r="QU1988" s="106"/>
      <c r="QV1988" s="106"/>
      <c r="QW1988" s="106"/>
      <c r="QX1988" s="106"/>
      <c r="QY1988" s="106"/>
      <c r="QZ1988" s="106"/>
      <c r="RA1988" s="106"/>
      <c r="RB1988" s="106"/>
      <c r="RC1988" s="106"/>
      <c r="RD1988" s="106"/>
      <c r="RE1988" s="106"/>
      <c r="RF1988" s="106"/>
      <c r="RG1988" s="106"/>
      <c r="RH1988" s="106"/>
      <c r="RI1988" s="106"/>
      <c r="RJ1988" s="106"/>
      <c r="RK1988" s="106"/>
      <c r="RL1988" s="106"/>
    </row>
    <row r="1989" spans="48:480" x14ac:dyDescent="0.3">
      <c r="AV1989" s="103"/>
      <c r="CJ1989" s="103"/>
      <c r="FP1989" s="103"/>
      <c r="LL1989" s="103"/>
      <c r="NM1989" s="103"/>
      <c r="QT1989" s="106"/>
      <c r="QU1989" s="106"/>
      <c r="QV1989" s="106"/>
      <c r="QW1989" s="106"/>
      <c r="QX1989" s="106"/>
      <c r="QY1989" s="106"/>
      <c r="QZ1989" s="106"/>
      <c r="RA1989" s="106"/>
      <c r="RB1989" s="106"/>
      <c r="RC1989" s="106"/>
      <c r="RD1989" s="106"/>
      <c r="RE1989" s="106"/>
      <c r="RF1989" s="106"/>
      <c r="RG1989" s="106"/>
      <c r="RH1989" s="106"/>
      <c r="RI1989" s="106"/>
      <c r="RJ1989" s="106"/>
      <c r="RK1989" s="106"/>
      <c r="RL1989" s="106"/>
    </row>
    <row r="1990" spans="48:480" x14ac:dyDescent="0.3">
      <c r="AV1990" s="103"/>
      <c r="CJ1990" s="103"/>
      <c r="FP1990" s="103"/>
      <c r="LL1990" s="103"/>
      <c r="NM1990" s="103"/>
      <c r="QT1990" s="106"/>
      <c r="QU1990" s="106"/>
      <c r="QV1990" s="106"/>
      <c r="QW1990" s="106"/>
      <c r="QX1990" s="106"/>
      <c r="QY1990" s="106"/>
      <c r="QZ1990" s="106"/>
      <c r="RA1990" s="106"/>
      <c r="RB1990" s="106"/>
      <c r="RC1990" s="106"/>
      <c r="RD1990" s="106"/>
      <c r="RE1990" s="106"/>
      <c r="RF1990" s="106"/>
      <c r="RG1990" s="106"/>
      <c r="RH1990" s="106"/>
      <c r="RI1990" s="106"/>
      <c r="RJ1990" s="106"/>
      <c r="RK1990" s="106"/>
      <c r="RL1990" s="106"/>
    </row>
    <row r="1991" spans="48:480" x14ac:dyDescent="0.3">
      <c r="AV1991" s="103"/>
      <c r="CJ1991" s="103"/>
      <c r="FP1991" s="103"/>
      <c r="LL1991" s="103"/>
      <c r="NM1991" s="103"/>
      <c r="QT1991" s="106"/>
      <c r="QU1991" s="106"/>
      <c r="QV1991" s="106"/>
      <c r="QW1991" s="106"/>
      <c r="QX1991" s="106"/>
      <c r="QY1991" s="106"/>
      <c r="QZ1991" s="106"/>
      <c r="RA1991" s="106"/>
      <c r="RB1991" s="106"/>
      <c r="RC1991" s="106"/>
      <c r="RD1991" s="106"/>
      <c r="RE1991" s="106"/>
      <c r="RF1991" s="106"/>
      <c r="RG1991" s="106"/>
      <c r="RH1991" s="106"/>
      <c r="RI1991" s="106"/>
      <c r="RJ1991" s="106"/>
      <c r="RK1991" s="106"/>
      <c r="RL1991" s="106"/>
    </row>
    <row r="1992" spans="48:480" x14ac:dyDescent="0.3">
      <c r="AV1992" s="103"/>
      <c r="CJ1992" s="103"/>
      <c r="FP1992" s="103"/>
      <c r="LL1992" s="103"/>
      <c r="NM1992" s="103"/>
      <c r="QT1992" s="106"/>
      <c r="QU1992" s="106"/>
      <c r="QV1992" s="106"/>
      <c r="QW1992" s="106"/>
      <c r="QX1992" s="106"/>
      <c r="QY1992" s="106"/>
      <c r="QZ1992" s="106"/>
      <c r="RA1992" s="106"/>
      <c r="RB1992" s="106"/>
      <c r="RC1992" s="106"/>
      <c r="RD1992" s="106"/>
      <c r="RE1992" s="106"/>
      <c r="RF1992" s="106"/>
      <c r="RG1992" s="106"/>
      <c r="RH1992" s="106"/>
      <c r="RI1992" s="106"/>
      <c r="RJ1992" s="106"/>
      <c r="RK1992" s="106"/>
      <c r="RL1992" s="106"/>
    </row>
    <row r="1993" spans="48:480" x14ac:dyDescent="0.3">
      <c r="AV1993" s="103"/>
      <c r="CJ1993" s="103"/>
      <c r="FP1993" s="103"/>
      <c r="LL1993" s="103"/>
      <c r="NM1993" s="103"/>
      <c r="QT1993" s="106"/>
      <c r="QU1993" s="106"/>
      <c r="QV1993" s="106"/>
      <c r="QW1993" s="106"/>
      <c r="QX1993" s="106"/>
      <c r="QY1993" s="106"/>
      <c r="QZ1993" s="106"/>
      <c r="RA1993" s="106"/>
      <c r="RB1993" s="106"/>
      <c r="RC1993" s="106"/>
      <c r="RD1993" s="106"/>
      <c r="RE1993" s="106"/>
      <c r="RF1993" s="106"/>
      <c r="RG1993" s="106"/>
      <c r="RH1993" s="106"/>
      <c r="RI1993" s="106"/>
      <c r="RJ1993" s="106"/>
      <c r="RK1993" s="106"/>
      <c r="RL1993" s="106"/>
    </row>
    <row r="1994" spans="48:480" x14ac:dyDescent="0.3">
      <c r="AV1994" s="103"/>
      <c r="CJ1994" s="103"/>
      <c r="FP1994" s="103"/>
      <c r="LL1994" s="103"/>
      <c r="NM1994" s="103"/>
      <c r="QT1994" s="106"/>
      <c r="QU1994" s="106"/>
      <c r="QV1994" s="106"/>
      <c r="QW1994" s="106"/>
      <c r="QX1994" s="106"/>
      <c r="QY1994" s="106"/>
      <c r="QZ1994" s="106"/>
      <c r="RA1994" s="106"/>
      <c r="RB1994" s="106"/>
      <c r="RC1994" s="106"/>
      <c r="RD1994" s="106"/>
      <c r="RE1994" s="106"/>
      <c r="RF1994" s="106"/>
      <c r="RG1994" s="106"/>
      <c r="RH1994" s="106"/>
      <c r="RI1994" s="106"/>
      <c r="RJ1994" s="106"/>
      <c r="RK1994" s="106"/>
      <c r="RL1994" s="106"/>
    </row>
    <row r="1995" spans="48:480" x14ac:dyDescent="0.3">
      <c r="AV1995" s="103"/>
      <c r="CJ1995" s="103"/>
      <c r="FP1995" s="103"/>
      <c r="LL1995" s="103"/>
      <c r="NM1995" s="103"/>
      <c r="QT1995" s="106"/>
      <c r="QU1995" s="106"/>
      <c r="QV1995" s="106"/>
      <c r="QW1995" s="106"/>
      <c r="QX1995" s="106"/>
      <c r="QY1995" s="106"/>
      <c r="QZ1995" s="106"/>
      <c r="RA1995" s="106"/>
      <c r="RB1995" s="106"/>
      <c r="RC1995" s="106"/>
      <c r="RD1995" s="106"/>
      <c r="RE1995" s="106"/>
      <c r="RF1995" s="106"/>
      <c r="RG1995" s="106"/>
      <c r="RH1995" s="106"/>
      <c r="RI1995" s="106"/>
      <c r="RJ1995" s="106"/>
      <c r="RK1995" s="106"/>
      <c r="RL1995" s="106"/>
    </row>
    <row r="1996" spans="48:480" x14ac:dyDescent="0.3">
      <c r="AV1996" s="103"/>
      <c r="CJ1996" s="103"/>
      <c r="FP1996" s="103"/>
      <c r="LL1996" s="103"/>
      <c r="NM1996" s="103"/>
      <c r="QT1996" s="106"/>
      <c r="QU1996" s="106"/>
      <c r="QV1996" s="106"/>
      <c r="QW1996" s="106"/>
      <c r="QX1996" s="106"/>
      <c r="QY1996" s="106"/>
      <c r="QZ1996" s="106"/>
      <c r="RA1996" s="106"/>
      <c r="RB1996" s="106"/>
      <c r="RC1996" s="106"/>
      <c r="RD1996" s="106"/>
      <c r="RE1996" s="106"/>
      <c r="RF1996" s="106"/>
      <c r="RG1996" s="106"/>
      <c r="RH1996" s="106"/>
      <c r="RI1996" s="106"/>
      <c r="RJ1996" s="106"/>
      <c r="RK1996" s="106"/>
      <c r="RL1996" s="106"/>
    </row>
    <row r="1997" spans="48:480" x14ac:dyDescent="0.3">
      <c r="AV1997" s="103"/>
      <c r="CJ1997" s="103"/>
      <c r="FP1997" s="103"/>
      <c r="LL1997" s="103"/>
      <c r="NM1997" s="103"/>
      <c r="QT1997" s="106"/>
      <c r="QU1997" s="106"/>
      <c r="QV1997" s="106"/>
      <c r="QW1997" s="106"/>
      <c r="QX1997" s="106"/>
      <c r="QY1997" s="106"/>
      <c r="QZ1997" s="106"/>
      <c r="RA1997" s="106"/>
      <c r="RB1997" s="106"/>
      <c r="RC1997" s="106"/>
      <c r="RD1997" s="106"/>
      <c r="RE1997" s="106"/>
      <c r="RF1997" s="106"/>
      <c r="RG1997" s="106"/>
      <c r="RH1997" s="106"/>
      <c r="RI1997" s="106"/>
      <c r="RJ1997" s="106"/>
      <c r="RK1997" s="106"/>
      <c r="RL1997" s="106"/>
    </row>
    <row r="1998" spans="48:480" x14ac:dyDescent="0.3">
      <c r="AV1998" s="103"/>
      <c r="CJ1998" s="103"/>
      <c r="FP1998" s="103"/>
      <c r="LL1998" s="103"/>
      <c r="NM1998" s="103"/>
      <c r="QT1998" s="106"/>
      <c r="QU1998" s="106"/>
      <c r="QV1998" s="106"/>
      <c r="QW1998" s="106"/>
      <c r="QX1998" s="106"/>
      <c r="QY1998" s="106"/>
      <c r="QZ1998" s="106"/>
      <c r="RA1998" s="106"/>
      <c r="RB1998" s="106"/>
      <c r="RC1998" s="106"/>
      <c r="RD1998" s="106"/>
      <c r="RE1998" s="106"/>
      <c r="RF1998" s="106"/>
      <c r="RG1998" s="106"/>
      <c r="RH1998" s="106"/>
      <c r="RI1998" s="106"/>
      <c r="RJ1998" s="106"/>
      <c r="RK1998" s="106"/>
      <c r="RL1998" s="106"/>
    </row>
    <row r="1999" spans="48:480" x14ac:dyDescent="0.3">
      <c r="AV1999" s="103"/>
      <c r="CJ1999" s="103"/>
      <c r="FP1999" s="103"/>
      <c r="LL1999" s="103"/>
      <c r="NM1999" s="103"/>
      <c r="QT1999" s="106"/>
      <c r="QU1999" s="106"/>
      <c r="QV1999" s="106"/>
      <c r="QW1999" s="106"/>
      <c r="QX1999" s="106"/>
      <c r="QY1999" s="106"/>
      <c r="QZ1999" s="106"/>
      <c r="RA1999" s="106"/>
      <c r="RB1999" s="106"/>
      <c r="RC1999" s="106"/>
      <c r="RD1999" s="106"/>
      <c r="RE1999" s="106"/>
      <c r="RF1999" s="106"/>
      <c r="RG1999" s="106"/>
      <c r="RH1999" s="106"/>
      <c r="RI1999" s="106"/>
      <c r="RJ1999" s="106"/>
      <c r="RK1999" s="106"/>
      <c r="RL1999" s="106"/>
    </row>
    <row r="2000" spans="48:480" x14ac:dyDescent="0.3">
      <c r="AV2000" s="103"/>
      <c r="CJ2000" s="103"/>
      <c r="FP2000" s="103"/>
      <c r="LL2000" s="103"/>
      <c r="NM2000" s="103"/>
      <c r="QT2000" s="106"/>
      <c r="QU2000" s="106"/>
      <c r="QV2000" s="106"/>
      <c r="QW2000" s="106"/>
      <c r="QX2000" s="106"/>
      <c r="QY2000" s="106"/>
      <c r="QZ2000" s="106"/>
      <c r="RA2000" s="106"/>
      <c r="RB2000" s="106"/>
      <c r="RC2000" s="106"/>
      <c r="RD2000" s="106"/>
      <c r="RE2000" s="106"/>
      <c r="RF2000" s="106"/>
      <c r="RG2000" s="106"/>
      <c r="RH2000" s="106"/>
      <c r="RI2000" s="106"/>
      <c r="RJ2000" s="106"/>
      <c r="RK2000" s="106"/>
      <c r="RL2000" s="106"/>
    </row>
    <row r="2001" spans="48:480" x14ac:dyDescent="0.3">
      <c r="AV2001" s="103"/>
      <c r="CJ2001" s="103"/>
      <c r="FP2001" s="103"/>
      <c r="LL2001" s="103"/>
      <c r="NM2001" s="103"/>
      <c r="QT2001" s="106"/>
      <c r="QU2001" s="106"/>
      <c r="QV2001" s="106"/>
      <c r="QW2001" s="106"/>
      <c r="QX2001" s="106"/>
      <c r="QY2001" s="106"/>
      <c r="QZ2001" s="106"/>
      <c r="RA2001" s="106"/>
      <c r="RB2001" s="106"/>
      <c r="RC2001" s="106"/>
      <c r="RD2001" s="106"/>
      <c r="RE2001" s="106"/>
      <c r="RF2001" s="106"/>
      <c r="RG2001" s="106"/>
      <c r="RH2001" s="106"/>
      <c r="RI2001" s="106"/>
      <c r="RJ2001" s="106"/>
      <c r="RK2001" s="106"/>
      <c r="RL2001" s="106"/>
    </row>
    <row r="2002" spans="48:480" x14ac:dyDescent="0.3">
      <c r="AV2002" s="103"/>
      <c r="CJ2002" s="103"/>
      <c r="FP2002" s="103"/>
      <c r="LL2002" s="103"/>
      <c r="NM2002" s="103"/>
      <c r="QT2002" s="106"/>
      <c r="QU2002" s="106"/>
      <c r="QV2002" s="106"/>
      <c r="QW2002" s="106"/>
      <c r="QX2002" s="106"/>
      <c r="QY2002" s="106"/>
      <c r="QZ2002" s="106"/>
      <c r="RA2002" s="106"/>
      <c r="RB2002" s="106"/>
      <c r="RC2002" s="106"/>
      <c r="RD2002" s="106"/>
      <c r="RE2002" s="106"/>
      <c r="RF2002" s="106"/>
      <c r="RG2002" s="106"/>
      <c r="RH2002" s="106"/>
      <c r="RI2002" s="106"/>
      <c r="RJ2002" s="106"/>
      <c r="RK2002" s="106"/>
      <c r="RL2002" s="106"/>
    </row>
    <row r="2003" spans="48:480" x14ac:dyDescent="0.3">
      <c r="AV2003" s="103"/>
      <c r="CJ2003" s="103"/>
      <c r="FP2003" s="103"/>
      <c r="LL2003" s="103"/>
      <c r="NM2003" s="103"/>
      <c r="QT2003" s="106"/>
      <c r="QU2003" s="106"/>
      <c r="QV2003" s="106"/>
      <c r="QW2003" s="106"/>
      <c r="QX2003" s="106"/>
      <c r="QY2003" s="106"/>
      <c r="QZ2003" s="106"/>
      <c r="RA2003" s="106"/>
      <c r="RB2003" s="106"/>
      <c r="RC2003" s="106"/>
      <c r="RD2003" s="106"/>
      <c r="RE2003" s="106"/>
      <c r="RF2003" s="106"/>
      <c r="RG2003" s="106"/>
      <c r="RH2003" s="106"/>
      <c r="RI2003" s="106"/>
      <c r="RJ2003" s="106"/>
      <c r="RK2003" s="106"/>
      <c r="RL2003" s="106"/>
    </row>
    <row r="2004" spans="48:480" x14ac:dyDescent="0.3">
      <c r="AV2004" s="103"/>
      <c r="CJ2004" s="103"/>
      <c r="FP2004" s="103"/>
      <c r="LL2004" s="103"/>
      <c r="NM2004" s="103"/>
      <c r="QT2004" s="106"/>
      <c r="QU2004" s="106"/>
      <c r="QV2004" s="106"/>
      <c r="QW2004" s="106"/>
      <c r="QX2004" s="106"/>
      <c r="QY2004" s="106"/>
      <c r="QZ2004" s="106"/>
      <c r="RA2004" s="106"/>
      <c r="RB2004" s="106"/>
      <c r="RC2004" s="106"/>
      <c r="RD2004" s="106"/>
      <c r="RE2004" s="106"/>
      <c r="RF2004" s="106"/>
      <c r="RG2004" s="106"/>
      <c r="RH2004" s="106"/>
      <c r="RI2004" s="106"/>
      <c r="RJ2004" s="106"/>
      <c r="RK2004" s="106"/>
      <c r="RL2004" s="106"/>
    </row>
    <row r="2005" spans="48:480" x14ac:dyDescent="0.3">
      <c r="AV2005" s="103"/>
      <c r="CJ2005" s="103"/>
      <c r="FP2005" s="103"/>
      <c r="LL2005" s="103"/>
      <c r="NM2005" s="103"/>
      <c r="QT2005" s="106"/>
      <c r="QU2005" s="106"/>
      <c r="QV2005" s="106"/>
      <c r="QW2005" s="106"/>
      <c r="QX2005" s="106"/>
      <c r="QY2005" s="106"/>
      <c r="QZ2005" s="106"/>
      <c r="RA2005" s="106"/>
      <c r="RB2005" s="106"/>
      <c r="RC2005" s="106"/>
      <c r="RD2005" s="106"/>
      <c r="RE2005" s="106"/>
      <c r="RF2005" s="106"/>
      <c r="RG2005" s="106"/>
      <c r="RH2005" s="106"/>
      <c r="RI2005" s="106"/>
      <c r="RJ2005" s="106"/>
      <c r="RK2005" s="106"/>
      <c r="RL2005" s="106"/>
    </row>
    <row r="2006" spans="48:480" x14ac:dyDescent="0.3">
      <c r="AV2006" s="103"/>
      <c r="CJ2006" s="103"/>
      <c r="FP2006" s="103"/>
      <c r="LL2006" s="103"/>
      <c r="NM2006" s="103"/>
      <c r="QT2006" s="106"/>
      <c r="QU2006" s="106"/>
      <c r="QV2006" s="106"/>
      <c r="QW2006" s="106"/>
      <c r="QX2006" s="106"/>
      <c r="QY2006" s="106"/>
      <c r="QZ2006" s="106"/>
      <c r="RA2006" s="106"/>
      <c r="RB2006" s="106"/>
      <c r="RC2006" s="106"/>
      <c r="RD2006" s="106"/>
      <c r="RE2006" s="106"/>
      <c r="RF2006" s="106"/>
      <c r="RG2006" s="106"/>
      <c r="RH2006" s="106"/>
      <c r="RI2006" s="106"/>
      <c r="RJ2006" s="106"/>
      <c r="RK2006" s="106"/>
      <c r="RL2006" s="106"/>
    </row>
    <row r="2007" spans="48:480" x14ac:dyDescent="0.3">
      <c r="AV2007" s="103"/>
      <c r="CJ2007" s="103"/>
      <c r="FP2007" s="103"/>
      <c r="LL2007" s="103"/>
      <c r="NM2007" s="103"/>
      <c r="QT2007" s="106"/>
      <c r="QU2007" s="106"/>
      <c r="QV2007" s="106"/>
      <c r="QW2007" s="106"/>
      <c r="QX2007" s="106"/>
      <c r="QY2007" s="106"/>
      <c r="QZ2007" s="106"/>
      <c r="RA2007" s="106"/>
      <c r="RB2007" s="106"/>
      <c r="RC2007" s="106"/>
      <c r="RD2007" s="106"/>
      <c r="RE2007" s="106"/>
      <c r="RF2007" s="106"/>
      <c r="RG2007" s="106"/>
      <c r="RH2007" s="106"/>
      <c r="RI2007" s="106"/>
      <c r="RJ2007" s="106"/>
      <c r="RK2007" s="106"/>
      <c r="RL2007" s="106"/>
    </row>
    <row r="2008" spans="48:480" x14ac:dyDescent="0.3">
      <c r="AV2008" s="103"/>
      <c r="CJ2008" s="103"/>
      <c r="FP2008" s="103"/>
      <c r="LL2008" s="103"/>
      <c r="NM2008" s="103"/>
      <c r="QT2008" s="106"/>
      <c r="QU2008" s="106"/>
      <c r="QV2008" s="106"/>
      <c r="QW2008" s="106"/>
      <c r="QX2008" s="106"/>
      <c r="QY2008" s="106"/>
      <c r="QZ2008" s="106"/>
      <c r="RA2008" s="106"/>
      <c r="RB2008" s="106"/>
      <c r="RC2008" s="106"/>
      <c r="RD2008" s="106"/>
      <c r="RE2008" s="106"/>
      <c r="RF2008" s="106"/>
      <c r="RG2008" s="106"/>
      <c r="RH2008" s="106"/>
      <c r="RI2008" s="106"/>
      <c r="RJ2008" s="106"/>
      <c r="RK2008" s="106"/>
      <c r="RL2008" s="106"/>
    </row>
    <row r="2009" spans="48:480" x14ac:dyDescent="0.3">
      <c r="AV2009" s="103"/>
      <c r="CJ2009" s="103"/>
      <c r="FP2009" s="103"/>
      <c r="LL2009" s="103"/>
      <c r="NM2009" s="103"/>
      <c r="QT2009" s="106"/>
      <c r="QU2009" s="106"/>
      <c r="QV2009" s="106"/>
      <c r="QW2009" s="106"/>
      <c r="QX2009" s="106"/>
      <c r="QY2009" s="106"/>
      <c r="QZ2009" s="106"/>
      <c r="RA2009" s="106"/>
      <c r="RB2009" s="106"/>
      <c r="RC2009" s="106"/>
      <c r="RD2009" s="106"/>
      <c r="RE2009" s="106"/>
      <c r="RF2009" s="106"/>
      <c r="RG2009" s="106"/>
      <c r="RH2009" s="106"/>
      <c r="RI2009" s="106"/>
      <c r="RJ2009" s="106"/>
      <c r="RK2009" s="106"/>
      <c r="RL2009" s="106"/>
    </row>
    <row r="2010" spans="48:480" x14ac:dyDescent="0.3">
      <c r="AV2010" s="103"/>
      <c r="CJ2010" s="103"/>
      <c r="FP2010" s="103"/>
      <c r="LL2010" s="103"/>
      <c r="NM2010" s="103"/>
      <c r="QT2010" s="106"/>
      <c r="QU2010" s="106"/>
      <c r="QV2010" s="106"/>
      <c r="QW2010" s="106"/>
      <c r="QX2010" s="106"/>
      <c r="QY2010" s="106"/>
      <c r="QZ2010" s="106"/>
      <c r="RA2010" s="106"/>
      <c r="RB2010" s="106"/>
      <c r="RC2010" s="106"/>
      <c r="RD2010" s="106"/>
      <c r="RE2010" s="106"/>
      <c r="RF2010" s="106"/>
      <c r="RG2010" s="106"/>
      <c r="RH2010" s="106"/>
      <c r="RI2010" s="106"/>
      <c r="RJ2010" s="106"/>
      <c r="RK2010" s="106"/>
      <c r="RL2010" s="106"/>
    </row>
    <row r="2011" spans="48:480" x14ac:dyDescent="0.3">
      <c r="AV2011" s="103"/>
      <c r="CJ2011" s="103"/>
      <c r="FP2011" s="103"/>
      <c r="LL2011" s="103"/>
      <c r="NM2011" s="103"/>
      <c r="QT2011" s="106"/>
      <c r="QU2011" s="106"/>
      <c r="QV2011" s="106"/>
      <c r="QW2011" s="106"/>
      <c r="QX2011" s="106"/>
      <c r="QY2011" s="106"/>
      <c r="QZ2011" s="106"/>
      <c r="RA2011" s="106"/>
      <c r="RB2011" s="106"/>
      <c r="RC2011" s="106"/>
      <c r="RD2011" s="106"/>
      <c r="RE2011" s="106"/>
      <c r="RF2011" s="106"/>
      <c r="RG2011" s="106"/>
      <c r="RH2011" s="106"/>
      <c r="RI2011" s="106"/>
      <c r="RJ2011" s="106"/>
      <c r="RK2011" s="106"/>
      <c r="RL2011" s="106"/>
    </row>
    <row r="2012" spans="48:480" x14ac:dyDescent="0.3">
      <c r="AV2012" s="103"/>
      <c r="CJ2012" s="103"/>
      <c r="FP2012" s="103"/>
      <c r="LL2012" s="103"/>
      <c r="NM2012" s="103"/>
      <c r="QT2012" s="106"/>
      <c r="QU2012" s="106"/>
      <c r="QV2012" s="106"/>
      <c r="QW2012" s="106"/>
      <c r="QX2012" s="106"/>
      <c r="QY2012" s="106"/>
      <c r="QZ2012" s="106"/>
      <c r="RA2012" s="106"/>
      <c r="RB2012" s="106"/>
      <c r="RC2012" s="106"/>
      <c r="RD2012" s="106"/>
      <c r="RE2012" s="106"/>
      <c r="RF2012" s="106"/>
      <c r="RG2012" s="106"/>
      <c r="RH2012" s="106"/>
      <c r="RI2012" s="106"/>
      <c r="RJ2012" s="106"/>
      <c r="RK2012" s="106"/>
      <c r="RL2012" s="106"/>
    </row>
    <row r="2013" spans="48:480" x14ac:dyDescent="0.3">
      <c r="AV2013" s="103"/>
      <c r="CJ2013" s="103"/>
      <c r="FP2013" s="103"/>
      <c r="LL2013" s="103"/>
      <c r="NM2013" s="103"/>
      <c r="QT2013" s="106"/>
      <c r="QU2013" s="106"/>
      <c r="QV2013" s="106"/>
      <c r="QW2013" s="106"/>
      <c r="QX2013" s="106"/>
      <c r="QY2013" s="106"/>
      <c r="QZ2013" s="106"/>
      <c r="RA2013" s="106"/>
      <c r="RB2013" s="106"/>
      <c r="RC2013" s="106"/>
      <c r="RD2013" s="106"/>
      <c r="RE2013" s="106"/>
      <c r="RF2013" s="106"/>
      <c r="RG2013" s="106"/>
      <c r="RH2013" s="106"/>
      <c r="RI2013" s="106"/>
      <c r="RJ2013" s="106"/>
      <c r="RK2013" s="106"/>
      <c r="RL2013" s="106"/>
    </row>
    <row r="2014" spans="48:480" x14ac:dyDescent="0.3">
      <c r="AV2014" s="103"/>
      <c r="CJ2014" s="103"/>
      <c r="FP2014" s="103"/>
      <c r="LL2014" s="103"/>
      <c r="NM2014" s="103"/>
      <c r="QT2014" s="106"/>
      <c r="QU2014" s="106"/>
      <c r="QV2014" s="106"/>
      <c r="QW2014" s="106"/>
      <c r="QX2014" s="106"/>
      <c r="QY2014" s="106"/>
      <c r="QZ2014" s="106"/>
      <c r="RA2014" s="106"/>
      <c r="RB2014" s="106"/>
      <c r="RC2014" s="106"/>
      <c r="RD2014" s="106"/>
      <c r="RE2014" s="106"/>
      <c r="RF2014" s="106"/>
      <c r="RG2014" s="106"/>
      <c r="RH2014" s="106"/>
      <c r="RI2014" s="106"/>
      <c r="RJ2014" s="106"/>
      <c r="RK2014" s="106"/>
      <c r="RL2014" s="106"/>
    </row>
    <row r="2015" spans="48:480" x14ac:dyDescent="0.3">
      <c r="AV2015" s="103"/>
      <c r="CJ2015" s="103"/>
      <c r="FP2015" s="103"/>
      <c r="LL2015" s="103"/>
      <c r="NM2015" s="103"/>
      <c r="QT2015" s="106"/>
      <c r="QU2015" s="106"/>
      <c r="QV2015" s="106"/>
      <c r="QW2015" s="106"/>
      <c r="QX2015" s="106"/>
      <c r="QY2015" s="106"/>
      <c r="QZ2015" s="106"/>
      <c r="RA2015" s="106"/>
      <c r="RB2015" s="106"/>
      <c r="RC2015" s="106"/>
      <c r="RD2015" s="106"/>
      <c r="RE2015" s="106"/>
      <c r="RF2015" s="106"/>
      <c r="RG2015" s="106"/>
      <c r="RH2015" s="106"/>
      <c r="RI2015" s="106"/>
      <c r="RJ2015" s="106"/>
      <c r="RK2015" s="106"/>
      <c r="RL2015" s="106"/>
    </row>
    <row r="2016" spans="48:480" x14ac:dyDescent="0.3">
      <c r="AV2016" s="103"/>
      <c r="CJ2016" s="103"/>
      <c r="FP2016" s="103"/>
      <c r="LL2016" s="103"/>
      <c r="NM2016" s="103"/>
      <c r="QT2016" s="106"/>
      <c r="QU2016" s="106"/>
      <c r="QV2016" s="106"/>
      <c r="QW2016" s="106"/>
      <c r="QX2016" s="106"/>
      <c r="QY2016" s="106"/>
      <c r="QZ2016" s="106"/>
      <c r="RA2016" s="106"/>
      <c r="RB2016" s="106"/>
      <c r="RC2016" s="106"/>
      <c r="RD2016" s="106"/>
      <c r="RE2016" s="106"/>
      <c r="RF2016" s="106"/>
      <c r="RG2016" s="106"/>
      <c r="RH2016" s="106"/>
      <c r="RI2016" s="106"/>
      <c r="RJ2016" s="106"/>
      <c r="RK2016" s="106"/>
      <c r="RL2016" s="106"/>
    </row>
    <row r="2017" spans="48:480" x14ac:dyDescent="0.3">
      <c r="AV2017" s="103"/>
      <c r="CJ2017" s="103"/>
      <c r="FP2017" s="103"/>
      <c r="LL2017" s="103"/>
      <c r="NM2017" s="103"/>
      <c r="QT2017" s="106"/>
      <c r="QU2017" s="106"/>
      <c r="QV2017" s="106"/>
      <c r="QW2017" s="106"/>
      <c r="QX2017" s="106"/>
      <c r="QY2017" s="106"/>
      <c r="QZ2017" s="106"/>
      <c r="RA2017" s="106"/>
      <c r="RB2017" s="106"/>
      <c r="RC2017" s="106"/>
      <c r="RD2017" s="106"/>
      <c r="RE2017" s="106"/>
      <c r="RF2017" s="106"/>
      <c r="RG2017" s="106"/>
      <c r="RH2017" s="106"/>
      <c r="RI2017" s="106"/>
      <c r="RJ2017" s="106"/>
      <c r="RK2017" s="106"/>
      <c r="RL2017" s="106"/>
    </row>
    <row r="2018" spans="48:480" x14ac:dyDescent="0.3">
      <c r="AV2018" s="103"/>
      <c r="CJ2018" s="103"/>
      <c r="FP2018" s="103"/>
      <c r="LL2018" s="103"/>
      <c r="NM2018" s="103"/>
      <c r="QT2018" s="106"/>
      <c r="QU2018" s="106"/>
      <c r="QV2018" s="106"/>
      <c r="QW2018" s="106"/>
      <c r="QX2018" s="106"/>
      <c r="QY2018" s="106"/>
      <c r="QZ2018" s="106"/>
      <c r="RA2018" s="106"/>
      <c r="RB2018" s="106"/>
      <c r="RC2018" s="106"/>
      <c r="RD2018" s="106"/>
      <c r="RE2018" s="106"/>
      <c r="RF2018" s="106"/>
      <c r="RG2018" s="106"/>
      <c r="RH2018" s="106"/>
      <c r="RI2018" s="106"/>
      <c r="RJ2018" s="106"/>
      <c r="RK2018" s="106"/>
      <c r="RL2018" s="106"/>
    </row>
    <row r="2019" spans="48:480" x14ac:dyDescent="0.3">
      <c r="AV2019" s="103"/>
      <c r="CJ2019" s="103"/>
      <c r="FP2019" s="103"/>
      <c r="LL2019" s="103"/>
      <c r="NM2019" s="103"/>
      <c r="QT2019" s="106"/>
      <c r="QU2019" s="106"/>
      <c r="QV2019" s="106"/>
      <c r="QW2019" s="106"/>
      <c r="QX2019" s="106"/>
      <c r="QY2019" s="106"/>
      <c r="QZ2019" s="106"/>
      <c r="RA2019" s="106"/>
      <c r="RB2019" s="106"/>
      <c r="RC2019" s="106"/>
      <c r="RD2019" s="106"/>
      <c r="RE2019" s="106"/>
      <c r="RF2019" s="106"/>
      <c r="RG2019" s="106"/>
      <c r="RH2019" s="106"/>
      <c r="RI2019" s="106"/>
      <c r="RJ2019" s="106"/>
      <c r="RK2019" s="106"/>
      <c r="RL2019" s="106"/>
    </row>
    <row r="2020" spans="48:480" x14ac:dyDescent="0.3">
      <c r="AV2020" s="103"/>
      <c r="CJ2020" s="103"/>
      <c r="FP2020" s="103"/>
      <c r="LL2020" s="103"/>
      <c r="NM2020" s="103"/>
      <c r="QT2020" s="106"/>
      <c r="QU2020" s="106"/>
      <c r="QV2020" s="106"/>
      <c r="QW2020" s="106"/>
      <c r="QX2020" s="106"/>
      <c r="QY2020" s="106"/>
      <c r="QZ2020" s="106"/>
      <c r="RA2020" s="106"/>
      <c r="RB2020" s="106"/>
      <c r="RC2020" s="106"/>
      <c r="RD2020" s="106"/>
      <c r="RE2020" s="106"/>
      <c r="RF2020" s="106"/>
      <c r="RG2020" s="106"/>
      <c r="RH2020" s="106"/>
      <c r="RI2020" s="106"/>
      <c r="RJ2020" s="106"/>
      <c r="RK2020" s="106"/>
      <c r="RL2020" s="106"/>
    </row>
    <row r="2021" spans="48:480" x14ac:dyDescent="0.3">
      <c r="AV2021" s="103"/>
      <c r="CJ2021" s="103"/>
      <c r="FP2021" s="103"/>
      <c r="LL2021" s="103"/>
      <c r="NM2021" s="103"/>
      <c r="QT2021" s="106"/>
      <c r="QU2021" s="106"/>
      <c r="QV2021" s="106"/>
      <c r="QW2021" s="106"/>
      <c r="QX2021" s="106"/>
      <c r="QY2021" s="106"/>
      <c r="QZ2021" s="106"/>
      <c r="RA2021" s="106"/>
      <c r="RB2021" s="106"/>
      <c r="RC2021" s="106"/>
      <c r="RD2021" s="106"/>
      <c r="RE2021" s="106"/>
      <c r="RF2021" s="106"/>
      <c r="RG2021" s="106"/>
      <c r="RH2021" s="106"/>
      <c r="RI2021" s="106"/>
      <c r="RJ2021" s="106"/>
      <c r="RK2021" s="106"/>
      <c r="RL2021" s="106"/>
    </row>
    <row r="2022" spans="48:480" x14ac:dyDescent="0.3">
      <c r="AV2022" s="103"/>
      <c r="CJ2022" s="103"/>
      <c r="FP2022" s="103"/>
      <c r="LL2022" s="103"/>
      <c r="NM2022" s="103"/>
      <c r="QT2022" s="106"/>
      <c r="QU2022" s="106"/>
      <c r="QV2022" s="106"/>
      <c r="QW2022" s="106"/>
      <c r="QX2022" s="106"/>
      <c r="QY2022" s="106"/>
      <c r="QZ2022" s="106"/>
      <c r="RA2022" s="106"/>
      <c r="RB2022" s="106"/>
      <c r="RC2022" s="106"/>
      <c r="RD2022" s="106"/>
      <c r="RE2022" s="106"/>
      <c r="RF2022" s="106"/>
      <c r="RG2022" s="106"/>
      <c r="RH2022" s="106"/>
      <c r="RI2022" s="106"/>
      <c r="RJ2022" s="106"/>
      <c r="RK2022" s="106"/>
      <c r="RL2022" s="106"/>
    </row>
    <row r="2023" spans="48:480" x14ac:dyDescent="0.3">
      <c r="AV2023" s="103"/>
      <c r="CJ2023" s="103"/>
      <c r="FP2023" s="103"/>
      <c r="LL2023" s="103"/>
      <c r="NM2023" s="103"/>
      <c r="QT2023" s="106"/>
      <c r="QU2023" s="106"/>
      <c r="QV2023" s="106"/>
      <c r="QW2023" s="106"/>
      <c r="QX2023" s="106"/>
      <c r="QY2023" s="106"/>
      <c r="QZ2023" s="106"/>
      <c r="RA2023" s="106"/>
      <c r="RB2023" s="106"/>
      <c r="RC2023" s="106"/>
      <c r="RD2023" s="106"/>
      <c r="RE2023" s="106"/>
      <c r="RF2023" s="106"/>
      <c r="RG2023" s="106"/>
      <c r="RH2023" s="106"/>
      <c r="RI2023" s="106"/>
      <c r="RJ2023" s="106"/>
      <c r="RK2023" s="106"/>
      <c r="RL2023" s="106"/>
    </row>
    <row r="2024" spans="48:480" x14ac:dyDescent="0.3">
      <c r="AV2024" s="103"/>
      <c r="CJ2024" s="103"/>
      <c r="FP2024" s="103"/>
      <c r="LL2024" s="103"/>
      <c r="NM2024" s="103"/>
      <c r="QT2024" s="106"/>
      <c r="QU2024" s="106"/>
      <c r="QV2024" s="106"/>
      <c r="QW2024" s="106"/>
      <c r="QX2024" s="106"/>
      <c r="QY2024" s="106"/>
      <c r="QZ2024" s="106"/>
      <c r="RA2024" s="106"/>
      <c r="RB2024" s="106"/>
      <c r="RC2024" s="106"/>
      <c r="RD2024" s="106"/>
      <c r="RE2024" s="106"/>
      <c r="RF2024" s="106"/>
      <c r="RG2024" s="106"/>
      <c r="RH2024" s="106"/>
      <c r="RI2024" s="106"/>
      <c r="RJ2024" s="106"/>
      <c r="RK2024" s="106"/>
      <c r="RL2024" s="106"/>
    </row>
    <row r="2025" spans="48:480" x14ac:dyDescent="0.3">
      <c r="AV2025" s="103"/>
      <c r="CJ2025" s="103"/>
      <c r="FP2025" s="103"/>
      <c r="LL2025" s="103"/>
      <c r="NM2025" s="103"/>
      <c r="QT2025" s="106"/>
      <c r="QU2025" s="106"/>
      <c r="QV2025" s="106"/>
      <c r="QW2025" s="106"/>
      <c r="QX2025" s="106"/>
      <c r="QY2025" s="106"/>
      <c r="QZ2025" s="106"/>
      <c r="RA2025" s="106"/>
      <c r="RB2025" s="106"/>
      <c r="RC2025" s="106"/>
      <c r="RD2025" s="106"/>
      <c r="RE2025" s="106"/>
      <c r="RF2025" s="106"/>
      <c r="RG2025" s="106"/>
      <c r="RH2025" s="106"/>
      <c r="RI2025" s="106"/>
      <c r="RJ2025" s="106"/>
      <c r="RK2025" s="106"/>
      <c r="RL2025" s="106"/>
    </row>
    <row r="2026" spans="48:480" x14ac:dyDescent="0.3">
      <c r="AV2026" s="103"/>
      <c r="CJ2026" s="103"/>
      <c r="FP2026" s="103"/>
      <c r="LL2026" s="103"/>
      <c r="NM2026" s="103"/>
      <c r="QT2026" s="106"/>
      <c r="QU2026" s="106"/>
      <c r="QV2026" s="106"/>
      <c r="QW2026" s="106"/>
      <c r="QX2026" s="106"/>
      <c r="QY2026" s="106"/>
      <c r="QZ2026" s="106"/>
      <c r="RA2026" s="106"/>
      <c r="RB2026" s="106"/>
      <c r="RC2026" s="106"/>
      <c r="RD2026" s="106"/>
      <c r="RE2026" s="106"/>
      <c r="RF2026" s="106"/>
      <c r="RG2026" s="106"/>
      <c r="RH2026" s="106"/>
      <c r="RI2026" s="106"/>
      <c r="RJ2026" s="106"/>
      <c r="RK2026" s="106"/>
      <c r="RL2026" s="106"/>
    </row>
    <row r="2027" spans="48:480" x14ac:dyDescent="0.3">
      <c r="AV2027" s="103"/>
      <c r="CJ2027" s="103"/>
      <c r="FP2027" s="103"/>
      <c r="LL2027" s="103"/>
      <c r="NM2027" s="103"/>
      <c r="QT2027" s="106"/>
      <c r="QU2027" s="106"/>
      <c r="QV2027" s="106"/>
      <c r="QW2027" s="106"/>
      <c r="QX2027" s="106"/>
      <c r="QY2027" s="106"/>
      <c r="QZ2027" s="106"/>
      <c r="RA2027" s="106"/>
      <c r="RB2027" s="106"/>
      <c r="RC2027" s="106"/>
      <c r="RD2027" s="106"/>
      <c r="RE2027" s="106"/>
      <c r="RF2027" s="106"/>
      <c r="RG2027" s="106"/>
      <c r="RH2027" s="106"/>
      <c r="RI2027" s="106"/>
      <c r="RJ2027" s="106"/>
      <c r="RK2027" s="106"/>
      <c r="RL2027" s="106"/>
    </row>
    <row r="2028" spans="48:480" x14ac:dyDescent="0.3">
      <c r="AV2028" s="103"/>
      <c r="CJ2028" s="103"/>
      <c r="FP2028" s="103"/>
      <c r="LL2028" s="103"/>
      <c r="NM2028" s="103"/>
      <c r="QT2028" s="106"/>
      <c r="QU2028" s="106"/>
      <c r="QV2028" s="106"/>
      <c r="QW2028" s="106"/>
      <c r="QX2028" s="106"/>
      <c r="QY2028" s="106"/>
      <c r="QZ2028" s="106"/>
      <c r="RA2028" s="106"/>
      <c r="RB2028" s="106"/>
      <c r="RC2028" s="106"/>
      <c r="RD2028" s="106"/>
      <c r="RE2028" s="106"/>
      <c r="RF2028" s="106"/>
      <c r="RG2028" s="106"/>
      <c r="RH2028" s="106"/>
      <c r="RI2028" s="106"/>
      <c r="RJ2028" s="106"/>
      <c r="RK2028" s="106"/>
      <c r="RL2028" s="106"/>
    </row>
    <row r="2029" spans="48:480" x14ac:dyDescent="0.3">
      <c r="AV2029" s="103"/>
      <c r="CJ2029" s="103"/>
      <c r="FP2029" s="103"/>
      <c r="LL2029" s="103"/>
      <c r="NM2029" s="103"/>
      <c r="QT2029" s="106"/>
      <c r="QU2029" s="106"/>
      <c r="QV2029" s="106"/>
      <c r="QW2029" s="106"/>
      <c r="QX2029" s="106"/>
      <c r="QY2029" s="106"/>
      <c r="QZ2029" s="106"/>
      <c r="RA2029" s="106"/>
      <c r="RB2029" s="106"/>
      <c r="RC2029" s="106"/>
      <c r="RD2029" s="106"/>
      <c r="RE2029" s="106"/>
      <c r="RF2029" s="106"/>
      <c r="RG2029" s="106"/>
      <c r="RH2029" s="106"/>
      <c r="RI2029" s="106"/>
      <c r="RJ2029" s="106"/>
      <c r="RK2029" s="106"/>
      <c r="RL2029" s="106"/>
    </row>
    <row r="2030" spans="48:480" x14ac:dyDescent="0.3">
      <c r="AV2030" s="103"/>
      <c r="CJ2030" s="103"/>
      <c r="FP2030" s="103"/>
      <c r="LL2030" s="103"/>
      <c r="NM2030" s="103"/>
      <c r="QT2030" s="106"/>
      <c r="QU2030" s="106"/>
      <c r="QV2030" s="106"/>
      <c r="QW2030" s="106"/>
      <c r="QX2030" s="106"/>
      <c r="QY2030" s="106"/>
      <c r="QZ2030" s="106"/>
      <c r="RA2030" s="106"/>
      <c r="RB2030" s="106"/>
      <c r="RC2030" s="106"/>
      <c r="RD2030" s="106"/>
      <c r="RE2030" s="106"/>
      <c r="RF2030" s="106"/>
      <c r="RG2030" s="106"/>
      <c r="RH2030" s="106"/>
      <c r="RI2030" s="106"/>
      <c r="RJ2030" s="106"/>
      <c r="RK2030" s="106"/>
      <c r="RL2030" s="106"/>
    </row>
    <row r="2031" spans="48:480" x14ac:dyDescent="0.3">
      <c r="AV2031" s="103"/>
      <c r="CJ2031" s="103"/>
      <c r="FP2031" s="103"/>
      <c r="LL2031" s="103"/>
      <c r="NM2031" s="103"/>
      <c r="QT2031" s="106"/>
      <c r="QU2031" s="106"/>
      <c r="QV2031" s="106"/>
      <c r="QW2031" s="106"/>
      <c r="QX2031" s="106"/>
      <c r="QY2031" s="106"/>
      <c r="QZ2031" s="106"/>
      <c r="RA2031" s="106"/>
      <c r="RB2031" s="106"/>
      <c r="RC2031" s="106"/>
      <c r="RD2031" s="106"/>
      <c r="RE2031" s="106"/>
      <c r="RF2031" s="106"/>
      <c r="RG2031" s="106"/>
      <c r="RH2031" s="106"/>
      <c r="RI2031" s="106"/>
      <c r="RJ2031" s="106"/>
      <c r="RK2031" s="106"/>
      <c r="RL2031" s="106"/>
    </row>
    <row r="2032" spans="48:480" x14ac:dyDescent="0.3">
      <c r="AV2032" s="103"/>
      <c r="CJ2032" s="103"/>
      <c r="FP2032" s="103"/>
      <c r="LL2032" s="103"/>
      <c r="NM2032" s="103"/>
      <c r="QT2032" s="106"/>
      <c r="QU2032" s="106"/>
      <c r="QV2032" s="106"/>
      <c r="QW2032" s="106"/>
      <c r="QX2032" s="106"/>
      <c r="QY2032" s="106"/>
      <c r="QZ2032" s="106"/>
      <c r="RA2032" s="106"/>
      <c r="RB2032" s="106"/>
      <c r="RC2032" s="106"/>
      <c r="RD2032" s="106"/>
      <c r="RE2032" s="106"/>
      <c r="RF2032" s="106"/>
      <c r="RG2032" s="106"/>
      <c r="RH2032" s="106"/>
      <c r="RI2032" s="106"/>
      <c r="RJ2032" s="106"/>
      <c r="RK2032" s="106"/>
      <c r="RL2032" s="106"/>
    </row>
    <row r="2033" spans="48:480" x14ac:dyDescent="0.3">
      <c r="AV2033" s="103"/>
      <c r="CJ2033" s="103"/>
      <c r="FP2033" s="103"/>
      <c r="LL2033" s="103"/>
      <c r="NM2033" s="103"/>
      <c r="QT2033" s="106"/>
      <c r="QU2033" s="106"/>
      <c r="QV2033" s="106"/>
      <c r="QW2033" s="106"/>
      <c r="QX2033" s="106"/>
      <c r="QY2033" s="106"/>
      <c r="QZ2033" s="106"/>
      <c r="RA2033" s="106"/>
      <c r="RB2033" s="106"/>
      <c r="RC2033" s="106"/>
      <c r="RD2033" s="106"/>
      <c r="RE2033" s="106"/>
      <c r="RF2033" s="106"/>
      <c r="RG2033" s="106"/>
      <c r="RH2033" s="106"/>
      <c r="RI2033" s="106"/>
      <c r="RJ2033" s="106"/>
      <c r="RK2033" s="106"/>
      <c r="RL2033" s="106"/>
    </row>
    <row r="2034" spans="48:480" x14ac:dyDescent="0.3">
      <c r="AV2034" s="103"/>
      <c r="CJ2034" s="103"/>
      <c r="FP2034" s="103"/>
      <c r="LL2034" s="103"/>
      <c r="NM2034" s="103"/>
      <c r="QT2034" s="106"/>
      <c r="QU2034" s="106"/>
      <c r="QV2034" s="106"/>
      <c r="QW2034" s="106"/>
      <c r="QX2034" s="106"/>
      <c r="QY2034" s="106"/>
      <c r="QZ2034" s="106"/>
      <c r="RA2034" s="106"/>
      <c r="RB2034" s="106"/>
      <c r="RC2034" s="106"/>
      <c r="RD2034" s="106"/>
      <c r="RE2034" s="106"/>
      <c r="RF2034" s="106"/>
      <c r="RG2034" s="106"/>
      <c r="RH2034" s="106"/>
      <c r="RI2034" s="106"/>
      <c r="RJ2034" s="106"/>
      <c r="RK2034" s="106"/>
      <c r="RL2034" s="106"/>
    </row>
    <row r="2035" spans="48:480" x14ac:dyDescent="0.3">
      <c r="AV2035" s="103"/>
      <c r="CJ2035" s="103"/>
      <c r="FP2035" s="103"/>
      <c r="LL2035" s="103"/>
      <c r="NM2035" s="103"/>
      <c r="QT2035" s="106"/>
      <c r="QU2035" s="106"/>
      <c r="QV2035" s="106"/>
      <c r="QW2035" s="106"/>
      <c r="QX2035" s="106"/>
      <c r="QY2035" s="106"/>
      <c r="QZ2035" s="106"/>
      <c r="RA2035" s="106"/>
      <c r="RB2035" s="106"/>
      <c r="RC2035" s="106"/>
      <c r="RD2035" s="106"/>
      <c r="RE2035" s="106"/>
      <c r="RF2035" s="106"/>
      <c r="RG2035" s="106"/>
      <c r="RH2035" s="106"/>
      <c r="RI2035" s="106"/>
      <c r="RJ2035" s="106"/>
      <c r="RK2035" s="106"/>
      <c r="RL2035" s="106"/>
    </row>
    <row r="2036" spans="48:480" x14ac:dyDescent="0.3">
      <c r="AV2036" s="103"/>
      <c r="CJ2036" s="103"/>
      <c r="FP2036" s="103"/>
      <c r="LL2036" s="103"/>
      <c r="NM2036" s="103"/>
      <c r="QT2036" s="106"/>
      <c r="QU2036" s="106"/>
      <c r="QV2036" s="106"/>
      <c r="QW2036" s="106"/>
      <c r="QX2036" s="106"/>
      <c r="QY2036" s="106"/>
      <c r="QZ2036" s="106"/>
      <c r="RA2036" s="106"/>
      <c r="RB2036" s="106"/>
      <c r="RC2036" s="106"/>
      <c r="RD2036" s="106"/>
      <c r="RE2036" s="106"/>
      <c r="RF2036" s="106"/>
      <c r="RG2036" s="106"/>
      <c r="RH2036" s="106"/>
      <c r="RI2036" s="106"/>
      <c r="RJ2036" s="106"/>
      <c r="RK2036" s="106"/>
      <c r="RL2036" s="106"/>
    </row>
    <row r="2037" spans="48:480" x14ac:dyDescent="0.3">
      <c r="AV2037" s="103"/>
      <c r="CJ2037" s="103"/>
      <c r="FP2037" s="103"/>
      <c r="LL2037" s="103"/>
      <c r="NM2037" s="103"/>
      <c r="QT2037" s="106"/>
      <c r="QU2037" s="106"/>
      <c r="QV2037" s="106"/>
      <c r="QW2037" s="106"/>
      <c r="QX2037" s="106"/>
      <c r="QY2037" s="106"/>
      <c r="QZ2037" s="106"/>
      <c r="RA2037" s="106"/>
      <c r="RB2037" s="106"/>
      <c r="RC2037" s="106"/>
      <c r="RD2037" s="106"/>
      <c r="RE2037" s="106"/>
      <c r="RF2037" s="106"/>
      <c r="RG2037" s="106"/>
      <c r="RH2037" s="106"/>
      <c r="RI2037" s="106"/>
      <c r="RJ2037" s="106"/>
      <c r="RK2037" s="106"/>
      <c r="RL2037" s="106"/>
    </row>
    <row r="2038" spans="48:480" x14ac:dyDescent="0.3">
      <c r="AV2038" s="103"/>
      <c r="CJ2038" s="103"/>
      <c r="FP2038" s="103"/>
      <c r="LL2038" s="103"/>
      <c r="NM2038" s="103"/>
      <c r="QT2038" s="106"/>
      <c r="QU2038" s="106"/>
      <c r="QV2038" s="106"/>
      <c r="QW2038" s="106"/>
      <c r="QX2038" s="106"/>
      <c r="QY2038" s="106"/>
      <c r="QZ2038" s="106"/>
      <c r="RA2038" s="106"/>
      <c r="RB2038" s="106"/>
      <c r="RC2038" s="106"/>
      <c r="RD2038" s="106"/>
      <c r="RE2038" s="106"/>
      <c r="RF2038" s="106"/>
      <c r="RG2038" s="106"/>
      <c r="RH2038" s="106"/>
      <c r="RI2038" s="106"/>
      <c r="RJ2038" s="106"/>
      <c r="RK2038" s="106"/>
      <c r="RL2038" s="106"/>
    </row>
    <row r="2039" spans="48:480" x14ac:dyDescent="0.3">
      <c r="AV2039" s="103"/>
      <c r="CJ2039" s="103"/>
      <c r="FP2039" s="103"/>
      <c r="LL2039" s="103"/>
      <c r="NM2039" s="103"/>
      <c r="QT2039" s="106"/>
      <c r="QU2039" s="106"/>
      <c r="QV2039" s="106"/>
      <c r="QW2039" s="106"/>
      <c r="QX2039" s="106"/>
      <c r="QY2039" s="106"/>
      <c r="QZ2039" s="106"/>
      <c r="RA2039" s="106"/>
      <c r="RB2039" s="106"/>
      <c r="RC2039" s="106"/>
      <c r="RD2039" s="106"/>
      <c r="RE2039" s="106"/>
      <c r="RF2039" s="106"/>
      <c r="RG2039" s="106"/>
      <c r="RH2039" s="106"/>
      <c r="RI2039" s="106"/>
      <c r="RJ2039" s="106"/>
      <c r="RK2039" s="106"/>
      <c r="RL2039" s="106"/>
    </row>
    <row r="2040" spans="48:480" x14ac:dyDescent="0.3">
      <c r="AV2040" s="103"/>
      <c r="CJ2040" s="103"/>
      <c r="FP2040" s="103"/>
      <c r="LL2040" s="103"/>
      <c r="NM2040" s="103"/>
      <c r="QT2040" s="106"/>
      <c r="QU2040" s="106"/>
      <c r="QV2040" s="106"/>
      <c r="QW2040" s="106"/>
      <c r="QX2040" s="106"/>
      <c r="QY2040" s="106"/>
      <c r="QZ2040" s="106"/>
      <c r="RA2040" s="106"/>
      <c r="RB2040" s="106"/>
      <c r="RC2040" s="106"/>
      <c r="RD2040" s="106"/>
      <c r="RE2040" s="106"/>
      <c r="RF2040" s="106"/>
      <c r="RG2040" s="106"/>
      <c r="RH2040" s="106"/>
      <c r="RI2040" s="106"/>
      <c r="RJ2040" s="106"/>
      <c r="RK2040" s="106"/>
      <c r="RL2040" s="106"/>
    </row>
    <row r="2041" spans="48:480" x14ac:dyDescent="0.3">
      <c r="AV2041" s="103"/>
      <c r="CJ2041" s="103"/>
      <c r="FP2041" s="103"/>
      <c r="LL2041" s="103"/>
      <c r="NM2041" s="103"/>
      <c r="QT2041" s="106"/>
      <c r="QU2041" s="106"/>
      <c r="QV2041" s="106"/>
      <c r="QW2041" s="106"/>
      <c r="QX2041" s="106"/>
      <c r="QY2041" s="106"/>
      <c r="QZ2041" s="106"/>
      <c r="RA2041" s="106"/>
      <c r="RB2041" s="106"/>
      <c r="RC2041" s="106"/>
      <c r="RD2041" s="106"/>
      <c r="RE2041" s="106"/>
      <c r="RF2041" s="106"/>
      <c r="RG2041" s="106"/>
      <c r="RH2041" s="106"/>
      <c r="RI2041" s="106"/>
      <c r="RJ2041" s="106"/>
      <c r="RK2041" s="106"/>
      <c r="RL2041" s="106"/>
    </row>
    <row r="2042" spans="48:480" x14ac:dyDescent="0.3">
      <c r="AV2042" s="103"/>
      <c r="CJ2042" s="103"/>
      <c r="FP2042" s="103"/>
      <c r="LL2042" s="103"/>
      <c r="NM2042" s="103"/>
      <c r="QT2042" s="106"/>
      <c r="QU2042" s="106"/>
      <c r="QV2042" s="106"/>
      <c r="QW2042" s="106"/>
      <c r="QX2042" s="106"/>
      <c r="QY2042" s="106"/>
      <c r="QZ2042" s="106"/>
      <c r="RA2042" s="106"/>
      <c r="RB2042" s="106"/>
      <c r="RC2042" s="106"/>
      <c r="RD2042" s="106"/>
      <c r="RE2042" s="106"/>
      <c r="RF2042" s="106"/>
      <c r="RG2042" s="106"/>
      <c r="RH2042" s="106"/>
      <c r="RI2042" s="106"/>
      <c r="RJ2042" s="106"/>
      <c r="RK2042" s="106"/>
      <c r="RL2042" s="106"/>
    </row>
    <row r="2043" spans="48:480" x14ac:dyDescent="0.3">
      <c r="AV2043" s="103"/>
      <c r="CJ2043" s="103"/>
      <c r="FP2043" s="103"/>
      <c r="LL2043" s="103"/>
      <c r="NM2043" s="103"/>
      <c r="QT2043" s="106"/>
      <c r="QU2043" s="106"/>
      <c r="QV2043" s="106"/>
      <c r="QW2043" s="106"/>
      <c r="QX2043" s="106"/>
      <c r="QY2043" s="106"/>
      <c r="QZ2043" s="106"/>
      <c r="RA2043" s="106"/>
      <c r="RB2043" s="106"/>
      <c r="RC2043" s="106"/>
      <c r="RD2043" s="106"/>
      <c r="RE2043" s="106"/>
      <c r="RF2043" s="106"/>
      <c r="RG2043" s="106"/>
      <c r="RH2043" s="106"/>
      <c r="RI2043" s="106"/>
      <c r="RJ2043" s="106"/>
      <c r="RK2043" s="106"/>
      <c r="RL2043" s="106"/>
    </row>
    <row r="2044" spans="48:480" x14ac:dyDescent="0.3">
      <c r="AV2044" s="103"/>
      <c r="CJ2044" s="103"/>
      <c r="FP2044" s="103"/>
      <c r="LL2044" s="103"/>
      <c r="NM2044" s="103"/>
      <c r="QT2044" s="106"/>
      <c r="QU2044" s="106"/>
      <c r="QV2044" s="106"/>
      <c r="QW2044" s="106"/>
      <c r="QX2044" s="106"/>
      <c r="QY2044" s="106"/>
      <c r="QZ2044" s="106"/>
      <c r="RA2044" s="106"/>
      <c r="RB2044" s="106"/>
      <c r="RC2044" s="106"/>
      <c r="RD2044" s="106"/>
      <c r="RE2044" s="106"/>
      <c r="RF2044" s="106"/>
      <c r="RG2044" s="106"/>
      <c r="RH2044" s="106"/>
      <c r="RI2044" s="106"/>
      <c r="RJ2044" s="106"/>
      <c r="RK2044" s="106"/>
      <c r="RL2044" s="106"/>
    </row>
    <row r="2045" spans="48:480" x14ac:dyDescent="0.3">
      <c r="AV2045" s="103"/>
      <c r="CJ2045" s="103"/>
      <c r="FP2045" s="103"/>
      <c r="LL2045" s="103"/>
      <c r="NM2045" s="103"/>
      <c r="QT2045" s="106"/>
      <c r="QU2045" s="106"/>
      <c r="QV2045" s="106"/>
      <c r="QW2045" s="106"/>
      <c r="QX2045" s="106"/>
      <c r="QY2045" s="106"/>
      <c r="QZ2045" s="106"/>
      <c r="RA2045" s="106"/>
      <c r="RB2045" s="106"/>
      <c r="RC2045" s="106"/>
      <c r="RD2045" s="106"/>
      <c r="RE2045" s="106"/>
      <c r="RF2045" s="106"/>
      <c r="RG2045" s="106"/>
      <c r="RH2045" s="106"/>
      <c r="RI2045" s="106"/>
      <c r="RJ2045" s="106"/>
      <c r="RK2045" s="106"/>
      <c r="RL2045" s="106"/>
    </row>
    <row r="2046" spans="48:480" x14ac:dyDescent="0.3">
      <c r="AV2046" s="103"/>
      <c r="CJ2046" s="103"/>
      <c r="FP2046" s="103"/>
      <c r="LL2046" s="103"/>
      <c r="NM2046" s="103"/>
      <c r="QT2046" s="106"/>
      <c r="QU2046" s="106"/>
      <c r="QV2046" s="106"/>
      <c r="QW2046" s="106"/>
      <c r="QX2046" s="106"/>
      <c r="QY2046" s="106"/>
      <c r="QZ2046" s="106"/>
      <c r="RA2046" s="106"/>
      <c r="RB2046" s="106"/>
      <c r="RC2046" s="106"/>
      <c r="RD2046" s="106"/>
      <c r="RE2046" s="106"/>
      <c r="RF2046" s="106"/>
      <c r="RG2046" s="106"/>
      <c r="RH2046" s="106"/>
      <c r="RI2046" s="106"/>
      <c r="RJ2046" s="106"/>
      <c r="RK2046" s="106"/>
      <c r="RL2046" s="106"/>
    </row>
    <row r="2047" spans="48:480" x14ac:dyDescent="0.3">
      <c r="AV2047" s="103"/>
      <c r="CJ2047" s="103"/>
      <c r="FP2047" s="103"/>
      <c r="LL2047" s="103"/>
      <c r="NM2047" s="103"/>
      <c r="QT2047" s="106"/>
      <c r="QU2047" s="106"/>
      <c r="QV2047" s="106"/>
      <c r="QW2047" s="106"/>
      <c r="QX2047" s="106"/>
      <c r="QY2047" s="106"/>
      <c r="QZ2047" s="106"/>
      <c r="RA2047" s="106"/>
      <c r="RB2047" s="106"/>
      <c r="RC2047" s="106"/>
      <c r="RD2047" s="106"/>
      <c r="RE2047" s="106"/>
      <c r="RF2047" s="106"/>
      <c r="RG2047" s="106"/>
      <c r="RH2047" s="106"/>
      <c r="RI2047" s="106"/>
      <c r="RJ2047" s="106"/>
      <c r="RK2047" s="106"/>
      <c r="RL2047" s="106"/>
    </row>
    <row r="2048" spans="48:480" x14ac:dyDescent="0.3">
      <c r="AV2048" s="103"/>
      <c r="CJ2048" s="103"/>
      <c r="FP2048" s="103"/>
      <c r="LL2048" s="103"/>
      <c r="NM2048" s="103"/>
      <c r="QT2048" s="106"/>
      <c r="QU2048" s="106"/>
      <c r="QV2048" s="106"/>
      <c r="QW2048" s="106"/>
      <c r="QX2048" s="106"/>
      <c r="QY2048" s="106"/>
      <c r="QZ2048" s="106"/>
      <c r="RA2048" s="106"/>
      <c r="RB2048" s="106"/>
      <c r="RC2048" s="106"/>
      <c r="RD2048" s="106"/>
      <c r="RE2048" s="106"/>
      <c r="RF2048" s="106"/>
      <c r="RG2048" s="106"/>
      <c r="RH2048" s="106"/>
      <c r="RI2048" s="106"/>
      <c r="RJ2048" s="106"/>
      <c r="RK2048" s="106"/>
      <c r="RL2048" s="106"/>
    </row>
    <row r="2049" spans="48:480" x14ac:dyDescent="0.3">
      <c r="AV2049" s="103"/>
      <c r="CJ2049" s="103"/>
      <c r="FP2049" s="103"/>
      <c r="LL2049" s="103"/>
      <c r="NM2049" s="103"/>
      <c r="QT2049" s="106"/>
      <c r="QU2049" s="106"/>
      <c r="QV2049" s="106"/>
      <c r="QW2049" s="106"/>
      <c r="QX2049" s="106"/>
      <c r="QY2049" s="106"/>
      <c r="QZ2049" s="106"/>
      <c r="RA2049" s="106"/>
      <c r="RB2049" s="106"/>
      <c r="RC2049" s="106"/>
      <c r="RD2049" s="106"/>
      <c r="RE2049" s="106"/>
      <c r="RF2049" s="106"/>
      <c r="RG2049" s="106"/>
      <c r="RH2049" s="106"/>
      <c r="RI2049" s="106"/>
      <c r="RJ2049" s="106"/>
      <c r="RK2049" s="106"/>
      <c r="RL2049" s="106"/>
    </row>
    <row r="2050" spans="48:480" x14ac:dyDescent="0.3">
      <c r="AV2050" s="103"/>
      <c r="CJ2050" s="103"/>
      <c r="FP2050" s="103"/>
      <c r="LL2050" s="103"/>
      <c r="NM2050" s="103"/>
      <c r="QT2050" s="106"/>
      <c r="QU2050" s="106"/>
      <c r="QV2050" s="106"/>
      <c r="QW2050" s="106"/>
      <c r="QX2050" s="106"/>
      <c r="QY2050" s="106"/>
      <c r="QZ2050" s="106"/>
      <c r="RA2050" s="106"/>
      <c r="RB2050" s="106"/>
      <c r="RC2050" s="106"/>
      <c r="RD2050" s="106"/>
      <c r="RE2050" s="106"/>
      <c r="RF2050" s="106"/>
      <c r="RG2050" s="106"/>
      <c r="RH2050" s="106"/>
      <c r="RI2050" s="106"/>
      <c r="RJ2050" s="106"/>
      <c r="RK2050" s="106"/>
      <c r="RL2050" s="106"/>
    </row>
    <row r="2051" spans="48:480" x14ac:dyDescent="0.3">
      <c r="AV2051" s="103"/>
      <c r="CJ2051" s="103"/>
      <c r="FP2051" s="103"/>
      <c r="LL2051" s="103"/>
      <c r="NM2051" s="103"/>
      <c r="QT2051" s="106"/>
      <c r="QU2051" s="106"/>
      <c r="QV2051" s="106"/>
      <c r="QW2051" s="106"/>
      <c r="QX2051" s="106"/>
      <c r="QY2051" s="106"/>
      <c r="QZ2051" s="106"/>
      <c r="RA2051" s="106"/>
      <c r="RB2051" s="106"/>
      <c r="RC2051" s="106"/>
      <c r="RD2051" s="106"/>
      <c r="RE2051" s="106"/>
      <c r="RF2051" s="106"/>
      <c r="RG2051" s="106"/>
      <c r="RH2051" s="106"/>
      <c r="RI2051" s="106"/>
      <c r="RJ2051" s="106"/>
      <c r="RK2051" s="106"/>
      <c r="RL2051" s="106"/>
    </row>
    <row r="2052" spans="48:480" x14ac:dyDescent="0.3">
      <c r="AV2052" s="103"/>
      <c r="CJ2052" s="103"/>
      <c r="FP2052" s="103"/>
      <c r="LL2052" s="103"/>
      <c r="NM2052" s="103"/>
      <c r="QT2052" s="106"/>
      <c r="QU2052" s="106"/>
      <c r="QV2052" s="106"/>
      <c r="QW2052" s="106"/>
      <c r="QX2052" s="106"/>
      <c r="QY2052" s="106"/>
      <c r="QZ2052" s="106"/>
      <c r="RA2052" s="106"/>
      <c r="RB2052" s="106"/>
      <c r="RC2052" s="106"/>
      <c r="RD2052" s="106"/>
      <c r="RE2052" s="106"/>
      <c r="RF2052" s="106"/>
      <c r="RG2052" s="106"/>
      <c r="RH2052" s="106"/>
      <c r="RI2052" s="106"/>
      <c r="RJ2052" s="106"/>
      <c r="RK2052" s="106"/>
      <c r="RL2052" s="106"/>
    </row>
    <row r="2053" spans="48:480" x14ac:dyDescent="0.3">
      <c r="AV2053" s="103"/>
      <c r="CJ2053" s="103"/>
      <c r="FP2053" s="103"/>
      <c r="LL2053" s="103"/>
      <c r="NM2053" s="103"/>
      <c r="QT2053" s="106"/>
      <c r="QU2053" s="106"/>
      <c r="QV2053" s="106"/>
      <c r="QW2053" s="106"/>
      <c r="QX2053" s="106"/>
      <c r="QY2053" s="106"/>
      <c r="QZ2053" s="106"/>
      <c r="RA2053" s="106"/>
      <c r="RB2053" s="106"/>
      <c r="RC2053" s="106"/>
      <c r="RD2053" s="106"/>
      <c r="RE2053" s="106"/>
      <c r="RF2053" s="106"/>
      <c r="RG2053" s="106"/>
      <c r="RH2053" s="106"/>
      <c r="RI2053" s="106"/>
      <c r="RJ2053" s="106"/>
      <c r="RK2053" s="106"/>
      <c r="RL2053" s="106"/>
    </row>
    <row r="2054" spans="48:480" x14ac:dyDescent="0.3">
      <c r="AV2054" s="103"/>
      <c r="CJ2054" s="103"/>
      <c r="FP2054" s="103"/>
      <c r="LL2054" s="103"/>
      <c r="NM2054" s="103"/>
      <c r="QT2054" s="106"/>
      <c r="QU2054" s="106"/>
      <c r="QV2054" s="106"/>
      <c r="QW2054" s="106"/>
      <c r="QX2054" s="106"/>
      <c r="QY2054" s="106"/>
      <c r="QZ2054" s="106"/>
      <c r="RA2054" s="106"/>
      <c r="RB2054" s="106"/>
      <c r="RC2054" s="106"/>
      <c r="RD2054" s="106"/>
      <c r="RE2054" s="106"/>
      <c r="RF2054" s="106"/>
      <c r="RG2054" s="106"/>
      <c r="RH2054" s="106"/>
      <c r="RI2054" s="106"/>
      <c r="RJ2054" s="106"/>
      <c r="RK2054" s="106"/>
      <c r="RL2054" s="106"/>
    </row>
    <row r="2055" spans="48:480" x14ac:dyDescent="0.3">
      <c r="AV2055" s="103"/>
      <c r="CJ2055" s="103"/>
      <c r="FP2055" s="103"/>
      <c r="LL2055" s="103"/>
      <c r="NM2055" s="103"/>
      <c r="QT2055" s="106"/>
      <c r="QU2055" s="106"/>
      <c r="QV2055" s="106"/>
      <c r="QW2055" s="106"/>
      <c r="QX2055" s="106"/>
      <c r="QY2055" s="106"/>
      <c r="QZ2055" s="106"/>
      <c r="RA2055" s="106"/>
      <c r="RB2055" s="106"/>
      <c r="RC2055" s="106"/>
      <c r="RD2055" s="106"/>
      <c r="RE2055" s="106"/>
      <c r="RF2055" s="106"/>
      <c r="RG2055" s="106"/>
      <c r="RH2055" s="106"/>
      <c r="RI2055" s="106"/>
      <c r="RJ2055" s="106"/>
      <c r="RK2055" s="106"/>
      <c r="RL2055" s="106"/>
    </row>
    <row r="2056" spans="48:480" x14ac:dyDescent="0.3">
      <c r="AV2056" s="103"/>
      <c r="CJ2056" s="103"/>
      <c r="FP2056" s="103"/>
      <c r="LL2056" s="103"/>
      <c r="NM2056" s="103"/>
      <c r="QT2056" s="106"/>
      <c r="QU2056" s="106"/>
      <c r="QV2056" s="106"/>
      <c r="QW2056" s="106"/>
      <c r="QX2056" s="106"/>
      <c r="QY2056" s="106"/>
      <c r="QZ2056" s="106"/>
      <c r="RA2056" s="106"/>
      <c r="RB2056" s="106"/>
      <c r="RC2056" s="106"/>
      <c r="RD2056" s="106"/>
      <c r="RE2056" s="106"/>
      <c r="RF2056" s="106"/>
      <c r="RG2056" s="106"/>
      <c r="RH2056" s="106"/>
      <c r="RI2056" s="106"/>
      <c r="RJ2056" s="106"/>
      <c r="RK2056" s="106"/>
      <c r="RL2056" s="106"/>
    </row>
    <row r="2057" spans="48:480" x14ac:dyDescent="0.3">
      <c r="AV2057" s="103"/>
      <c r="CJ2057" s="103"/>
      <c r="FP2057" s="103"/>
      <c r="LL2057" s="103"/>
      <c r="NM2057" s="103"/>
      <c r="QT2057" s="106"/>
      <c r="QU2057" s="106"/>
      <c r="QV2057" s="106"/>
      <c r="QW2057" s="106"/>
      <c r="QX2057" s="106"/>
      <c r="QY2057" s="106"/>
      <c r="QZ2057" s="106"/>
      <c r="RA2057" s="106"/>
      <c r="RB2057" s="106"/>
      <c r="RC2057" s="106"/>
      <c r="RD2057" s="106"/>
      <c r="RE2057" s="106"/>
      <c r="RF2057" s="106"/>
      <c r="RG2057" s="106"/>
      <c r="RH2057" s="106"/>
      <c r="RI2057" s="106"/>
      <c r="RJ2057" s="106"/>
      <c r="RK2057" s="106"/>
      <c r="RL2057" s="106"/>
    </row>
    <row r="2058" spans="48:480" x14ac:dyDescent="0.3">
      <c r="AV2058" s="103"/>
      <c r="CJ2058" s="103"/>
      <c r="FP2058" s="103"/>
      <c r="LL2058" s="103"/>
      <c r="NM2058" s="103"/>
      <c r="QT2058" s="106"/>
      <c r="QU2058" s="106"/>
      <c r="QV2058" s="106"/>
      <c r="QW2058" s="106"/>
      <c r="QX2058" s="106"/>
      <c r="QY2058" s="106"/>
      <c r="QZ2058" s="106"/>
      <c r="RA2058" s="106"/>
      <c r="RB2058" s="106"/>
      <c r="RC2058" s="106"/>
      <c r="RD2058" s="106"/>
      <c r="RE2058" s="106"/>
      <c r="RF2058" s="106"/>
      <c r="RG2058" s="106"/>
      <c r="RH2058" s="106"/>
      <c r="RI2058" s="106"/>
      <c r="RJ2058" s="106"/>
      <c r="RK2058" s="106"/>
      <c r="RL2058" s="106"/>
    </row>
    <row r="2059" spans="48:480" x14ac:dyDescent="0.3">
      <c r="AV2059" s="103"/>
      <c r="CJ2059" s="103"/>
      <c r="FP2059" s="103"/>
      <c r="LL2059" s="103"/>
      <c r="NM2059" s="103"/>
      <c r="QT2059" s="106"/>
      <c r="QU2059" s="106"/>
      <c r="QV2059" s="106"/>
      <c r="QW2059" s="106"/>
      <c r="QX2059" s="106"/>
      <c r="QY2059" s="106"/>
      <c r="QZ2059" s="106"/>
      <c r="RA2059" s="106"/>
      <c r="RB2059" s="106"/>
      <c r="RC2059" s="106"/>
      <c r="RD2059" s="106"/>
      <c r="RE2059" s="106"/>
      <c r="RF2059" s="106"/>
      <c r="RG2059" s="106"/>
      <c r="RH2059" s="106"/>
      <c r="RI2059" s="106"/>
      <c r="RJ2059" s="106"/>
      <c r="RK2059" s="106"/>
      <c r="RL2059" s="106"/>
    </row>
    <row r="2060" spans="48:480" x14ac:dyDescent="0.3">
      <c r="AV2060" s="103"/>
      <c r="CJ2060" s="103"/>
      <c r="FP2060" s="103"/>
      <c r="LL2060" s="103"/>
      <c r="NM2060" s="103"/>
      <c r="QT2060" s="106"/>
      <c r="QU2060" s="106"/>
      <c r="QV2060" s="106"/>
      <c r="QW2060" s="106"/>
      <c r="QX2060" s="106"/>
      <c r="QY2060" s="106"/>
      <c r="QZ2060" s="106"/>
      <c r="RA2060" s="106"/>
      <c r="RB2060" s="106"/>
      <c r="RC2060" s="106"/>
      <c r="RD2060" s="106"/>
      <c r="RE2060" s="106"/>
      <c r="RF2060" s="106"/>
      <c r="RG2060" s="106"/>
      <c r="RH2060" s="106"/>
      <c r="RI2060" s="106"/>
      <c r="RJ2060" s="106"/>
      <c r="RK2060" s="106"/>
      <c r="RL2060" s="106"/>
    </row>
    <row r="2061" spans="48:480" x14ac:dyDescent="0.3">
      <c r="AV2061" s="103"/>
      <c r="CJ2061" s="103"/>
      <c r="FP2061" s="103"/>
      <c r="LL2061" s="103"/>
      <c r="NM2061" s="103"/>
      <c r="QT2061" s="106"/>
      <c r="QU2061" s="106"/>
      <c r="QV2061" s="106"/>
      <c r="QW2061" s="106"/>
      <c r="QX2061" s="106"/>
      <c r="QY2061" s="106"/>
      <c r="QZ2061" s="106"/>
      <c r="RA2061" s="106"/>
      <c r="RB2061" s="106"/>
      <c r="RC2061" s="106"/>
      <c r="RD2061" s="106"/>
      <c r="RE2061" s="106"/>
      <c r="RF2061" s="106"/>
      <c r="RG2061" s="106"/>
      <c r="RH2061" s="106"/>
      <c r="RI2061" s="106"/>
      <c r="RJ2061" s="106"/>
      <c r="RK2061" s="106"/>
      <c r="RL2061" s="106"/>
    </row>
    <row r="2062" spans="48:480" x14ac:dyDescent="0.3">
      <c r="AV2062" s="103"/>
      <c r="CJ2062" s="103"/>
      <c r="FP2062" s="103"/>
      <c r="LL2062" s="103"/>
      <c r="NM2062" s="103"/>
      <c r="QT2062" s="106"/>
      <c r="QU2062" s="106"/>
      <c r="QV2062" s="106"/>
      <c r="QW2062" s="106"/>
      <c r="QX2062" s="106"/>
      <c r="QY2062" s="106"/>
      <c r="QZ2062" s="106"/>
      <c r="RA2062" s="106"/>
      <c r="RB2062" s="106"/>
      <c r="RC2062" s="106"/>
      <c r="RD2062" s="106"/>
      <c r="RE2062" s="106"/>
      <c r="RF2062" s="106"/>
      <c r="RG2062" s="106"/>
      <c r="RH2062" s="106"/>
      <c r="RI2062" s="106"/>
      <c r="RJ2062" s="106"/>
      <c r="RK2062" s="106"/>
      <c r="RL2062" s="106"/>
    </row>
    <row r="2063" spans="48:480" x14ac:dyDescent="0.3">
      <c r="AV2063" s="103"/>
      <c r="CJ2063" s="103"/>
      <c r="FP2063" s="103"/>
      <c r="LL2063" s="103"/>
      <c r="NM2063" s="103"/>
      <c r="QT2063" s="106"/>
      <c r="QU2063" s="106"/>
      <c r="QV2063" s="106"/>
      <c r="QW2063" s="106"/>
      <c r="QX2063" s="106"/>
      <c r="QY2063" s="106"/>
      <c r="QZ2063" s="106"/>
      <c r="RA2063" s="106"/>
      <c r="RB2063" s="106"/>
      <c r="RC2063" s="106"/>
      <c r="RD2063" s="106"/>
      <c r="RE2063" s="106"/>
      <c r="RF2063" s="106"/>
      <c r="RG2063" s="106"/>
      <c r="RH2063" s="106"/>
      <c r="RI2063" s="106"/>
      <c r="RJ2063" s="106"/>
      <c r="RK2063" s="106"/>
      <c r="RL2063" s="106"/>
    </row>
    <row r="2064" spans="48:480" x14ac:dyDescent="0.3">
      <c r="AV2064" s="103"/>
      <c r="CJ2064" s="103"/>
      <c r="FP2064" s="103"/>
      <c r="LL2064" s="103"/>
      <c r="NM2064" s="103"/>
      <c r="QT2064" s="106"/>
      <c r="QU2064" s="106"/>
      <c r="QV2064" s="106"/>
      <c r="QW2064" s="106"/>
      <c r="QX2064" s="106"/>
      <c r="QY2064" s="106"/>
      <c r="QZ2064" s="106"/>
      <c r="RA2064" s="106"/>
      <c r="RB2064" s="106"/>
      <c r="RC2064" s="106"/>
      <c r="RD2064" s="106"/>
      <c r="RE2064" s="106"/>
      <c r="RF2064" s="106"/>
      <c r="RG2064" s="106"/>
      <c r="RH2064" s="106"/>
      <c r="RI2064" s="106"/>
      <c r="RJ2064" s="106"/>
      <c r="RK2064" s="106"/>
      <c r="RL2064" s="106"/>
    </row>
    <row r="2065" spans="48:480" x14ac:dyDescent="0.3">
      <c r="AV2065" s="103"/>
      <c r="CJ2065" s="103"/>
      <c r="FP2065" s="103"/>
      <c r="LL2065" s="103"/>
      <c r="NM2065" s="103"/>
      <c r="QT2065" s="106"/>
      <c r="QU2065" s="106"/>
      <c r="QV2065" s="106"/>
      <c r="QW2065" s="106"/>
      <c r="QX2065" s="106"/>
      <c r="QY2065" s="106"/>
      <c r="QZ2065" s="106"/>
      <c r="RA2065" s="106"/>
      <c r="RB2065" s="106"/>
      <c r="RC2065" s="106"/>
      <c r="RD2065" s="106"/>
      <c r="RE2065" s="106"/>
      <c r="RF2065" s="106"/>
      <c r="RG2065" s="106"/>
      <c r="RH2065" s="106"/>
      <c r="RI2065" s="106"/>
      <c r="RJ2065" s="106"/>
      <c r="RK2065" s="106"/>
      <c r="RL2065" s="106"/>
    </row>
    <row r="2066" spans="48:480" x14ac:dyDescent="0.3">
      <c r="AV2066" s="103"/>
      <c r="CJ2066" s="103"/>
      <c r="FP2066" s="103"/>
      <c r="LL2066" s="103"/>
      <c r="NM2066" s="103"/>
      <c r="QT2066" s="106"/>
      <c r="QU2066" s="106"/>
      <c r="QV2066" s="106"/>
      <c r="QW2066" s="106"/>
      <c r="QX2066" s="106"/>
      <c r="QY2066" s="106"/>
      <c r="QZ2066" s="106"/>
      <c r="RA2066" s="106"/>
      <c r="RB2066" s="106"/>
      <c r="RC2066" s="106"/>
      <c r="RD2066" s="106"/>
      <c r="RE2066" s="106"/>
      <c r="RF2066" s="106"/>
      <c r="RG2066" s="106"/>
      <c r="RH2066" s="106"/>
      <c r="RI2066" s="106"/>
      <c r="RJ2066" s="106"/>
      <c r="RK2066" s="106"/>
      <c r="RL2066" s="106"/>
    </row>
    <row r="2067" spans="48:480" x14ac:dyDescent="0.3">
      <c r="AV2067" s="103"/>
      <c r="CJ2067" s="103"/>
      <c r="FP2067" s="103"/>
      <c r="LL2067" s="103"/>
      <c r="NM2067" s="103"/>
      <c r="QT2067" s="106"/>
      <c r="QU2067" s="106"/>
      <c r="QV2067" s="106"/>
      <c r="QW2067" s="106"/>
      <c r="QX2067" s="106"/>
      <c r="QY2067" s="106"/>
      <c r="QZ2067" s="106"/>
      <c r="RA2067" s="106"/>
      <c r="RB2067" s="106"/>
      <c r="RC2067" s="106"/>
      <c r="RD2067" s="106"/>
      <c r="RE2067" s="106"/>
      <c r="RF2067" s="106"/>
      <c r="RG2067" s="106"/>
      <c r="RH2067" s="106"/>
      <c r="RI2067" s="106"/>
      <c r="RJ2067" s="106"/>
      <c r="RK2067" s="106"/>
      <c r="RL2067" s="106"/>
    </row>
    <row r="2068" spans="48:480" x14ac:dyDescent="0.3">
      <c r="AV2068" s="103"/>
      <c r="CJ2068" s="103"/>
      <c r="FP2068" s="103"/>
      <c r="LL2068" s="103"/>
      <c r="NM2068" s="103"/>
      <c r="QT2068" s="106"/>
      <c r="QU2068" s="106"/>
      <c r="QV2068" s="106"/>
      <c r="QW2068" s="106"/>
      <c r="QX2068" s="106"/>
      <c r="QY2068" s="106"/>
      <c r="QZ2068" s="106"/>
      <c r="RA2068" s="106"/>
      <c r="RB2068" s="106"/>
      <c r="RC2068" s="106"/>
      <c r="RD2068" s="106"/>
      <c r="RE2068" s="106"/>
      <c r="RF2068" s="106"/>
      <c r="RG2068" s="106"/>
      <c r="RH2068" s="106"/>
      <c r="RI2068" s="106"/>
      <c r="RJ2068" s="106"/>
      <c r="RK2068" s="106"/>
      <c r="RL2068" s="106"/>
    </row>
    <row r="2069" spans="48:480" x14ac:dyDescent="0.3">
      <c r="AV2069" s="103"/>
      <c r="CJ2069" s="103"/>
      <c r="FP2069" s="103"/>
      <c r="LL2069" s="103"/>
      <c r="NM2069" s="103"/>
      <c r="QT2069" s="106"/>
      <c r="QU2069" s="106"/>
      <c r="QV2069" s="106"/>
      <c r="QW2069" s="106"/>
      <c r="QX2069" s="106"/>
      <c r="QY2069" s="106"/>
      <c r="QZ2069" s="106"/>
      <c r="RA2069" s="106"/>
      <c r="RB2069" s="106"/>
      <c r="RC2069" s="106"/>
      <c r="RD2069" s="106"/>
      <c r="RE2069" s="106"/>
      <c r="RF2069" s="106"/>
      <c r="RG2069" s="106"/>
      <c r="RH2069" s="106"/>
      <c r="RI2069" s="106"/>
      <c r="RJ2069" s="106"/>
      <c r="RK2069" s="106"/>
      <c r="RL2069" s="106"/>
    </row>
    <row r="2070" spans="48:480" x14ac:dyDescent="0.3">
      <c r="AV2070" s="103"/>
      <c r="CJ2070" s="103"/>
      <c r="FP2070" s="103"/>
      <c r="LL2070" s="103"/>
      <c r="NM2070" s="103"/>
      <c r="QT2070" s="106"/>
      <c r="QU2070" s="106"/>
      <c r="QV2070" s="106"/>
      <c r="QW2070" s="106"/>
      <c r="QX2070" s="106"/>
      <c r="QY2070" s="106"/>
      <c r="QZ2070" s="106"/>
      <c r="RA2070" s="106"/>
      <c r="RB2070" s="106"/>
      <c r="RC2070" s="106"/>
      <c r="RD2070" s="106"/>
      <c r="RE2070" s="106"/>
      <c r="RF2070" s="106"/>
      <c r="RG2070" s="106"/>
      <c r="RH2070" s="106"/>
      <c r="RI2070" s="106"/>
      <c r="RJ2070" s="106"/>
      <c r="RK2070" s="106"/>
      <c r="RL2070" s="106"/>
    </row>
    <row r="2071" spans="48:480" x14ac:dyDescent="0.3">
      <c r="AV2071" s="103"/>
      <c r="CJ2071" s="103"/>
      <c r="FP2071" s="103"/>
      <c r="LL2071" s="103"/>
      <c r="NM2071" s="103"/>
      <c r="QT2071" s="106"/>
      <c r="QU2071" s="106"/>
      <c r="QV2071" s="106"/>
      <c r="QW2071" s="106"/>
      <c r="QX2071" s="106"/>
      <c r="QY2071" s="106"/>
      <c r="QZ2071" s="106"/>
      <c r="RA2071" s="106"/>
      <c r="RB2071" s="106"/>
      <c r="RC2071" s="106"/>
      <c r="RD2071" s="106"/>
      <c r="RE2071" s="106"/>
      <c r="RF2071" s="106"/>
      <c r="RG2071" s="106"/>
      <c r="RH2071" s="106"/>
      <c r="RI2071" s="106"/>
      <c r="RJ2071" s="106"/>
      <c r="RK2071" s="106"/>
      <c r="RL2071" s="106"/>
    </row>
    <row r="2072" spans="48:480" x14ac:dyDescent="0.3">
      <c r="AV2072" s="103"/>
      <c r="CJ2072" s="103"/>
      <c r="FP2072" s="103"/>
      <c r="LL2072" s="103"/>
      <c r="NM2072" s="103"/>
      <c r="QT2072" s="106"/>
      <c r="QU2072" s="106"/>
      <c r="QV2072" s="106"/>
      <c r="QW2072" s="106"/>
      <c r="QX2072" s="106"/>
      <c r="QY2072" s="106"/>
      <c r="QZ2072" s="106"/>
      <c r="RA2072" s="106"/>
      <c r="RB2072" s="106"/>
      <c r="RC2072" s="106"/>
      <c r="RD2072" s="106"/>
      <c r="RE2072" s="106"/>
      <c r="RF2072" s="106"/>
      <c r="RG2072" s="106"/>
      <c r="RH2072" s="106"/>
      <c r="RI2072" s="106"/>
      <c r="RJ2072" s="106"/>
      <c r="RK2072" s="106"/>
      <c r="RL2072" s="106"/>
    </row>
    <row r="2073" spans="48:480" x14ac:dyDescent="0.3">
      <c r="AV2073" s="103"/>
      <c r="CJ2073" s="103"/>
      <c r="FP2073" s="103"/>
      <c r="LL2073" s="103"/>
      <c r="NM2073" s="103"/>
      <c r="QT2073" s="106"/>
      <c r="QU2073" s="106"/>
      <c r="QV2073" s="106"/>
      <c r="QW2073" s="106"/>
      <c r="QX2073" s="106"/>
      <c r="QY2073" s="106"/>
      <c r="QZ2073" s="106"/>
      <c r="RA2073" s="106"/>
      <c r="RB2073" s="106"/>
      <c r="RC2073" s="106"/>
      <c r="RD2073" s="106"/>
      <c r="RE2073" s="106"/>
      <c r="RF2073" s="106"/>
      <c r="RG2073" s="106"/>
      <c r="RH2073" s="106"/>
      <c r="RI2073" s="106"/>
      <c r="RJ2073" s="106"/>
      <c r="RK2073" s="106"/>
      <c r="RL2073" s="106"/>
    </row>
    <row r="2074" spans="48:480" x14ac:dyDescent="0.3">
      <c r="AV2074" s="103"/>
      <c r="CJ2074" s="103"/>
      <c r="FP2074" s="103"/>
      <c r="LL2074" s="103"/>
      <c r="NM2074" s="103"/>
      <c r="QT2074" s="106"/>
      <c r="QU2074" s="106"/>
      <c r="QV2074" s="106"/>
      <c r="QW2074" s="106"/>
      <c r="QX2074" s="106"/>
      <c r="QY2074" s="106"/>
      <c r="QZ2074" s="106"/>
      <c r="RA2074" s="106"/>
      <c r="RB2074" s="106"/>
      <c r="RC2074" s="106"/>
      <c r="RD2074" s="106"/>
      <c r="RE2074" s="106"/>
      <c r="RF2074" s="106"/>
      <c r="RG2074" s="106"/>
      <c r="RH2074" s="106"/>
      <c r="RI2074" s="106"/>
      <c r="RJ2074" s="106"/>
      <c r="RK2074" s="106"/>
      <c r="RL2074" s="106"/>
    </row>
    <row r="2075" spans="48:480" x14ac:dyDescent="0.3">
      <c r="AV2075" s="103"/>
      <c r="CJ2075" s="103"/>
      <c r="FP2075" s="103"/>
      <c r="LL2075" s="103"/>
      <c r="NM2075" s="103"/>
      <c r="QT2075" s="106"/>
      <c r="QU2075" s="106"/>
      <c r="QV2075" s="106"/>
      <c r="QW2075" s="106"/>
      <c r="QX2075" s="106"/>
      <c r="QY2075" s="106"/>
      <c r="QZ2075" s="106"/>
      <c r="RA2075" s="106"/>
      <c r="RB2075" s="106"/>
      <c r="RC2075" s="106"/>
      <c r="RD2075" s="106"/>
      <c r="RE2075" s="106"/>
      <c r="RF2075" s="106"/>
      <c r="RG2075" s="106"/>
      <c r="RH2075" s="106"/>
      <c r="RI2075" s="106"/>
      <c r="RJ2075" s="106"/>
      <c r="RK2075" s="106"/>
      <c r="RL2075" s="106"/>
    </row>
    <row r="2076" spans="48:480" x14ac:dyDescent="0.3">
      <c r="AV2076" s="103"/>
      <c r="CJ2076" s="103"/>
      <c r="FP2076" s="103"/>
      <c r="LL2076" s="103"/>
      <c r="NM2076" s="103"/>
      <c r="QT2076" s="106"/>
      <c r="QU2076" s="106"/>
      <c r="QV2076" s="106"/>
      <c r="QW2076" s="106"/>
      <c r="QX2076" s="106"/>
      <c r="QY2076" s="106"/>
      <c r="QZ2076" s="106"/>
      <c r="RA2076" s="106"/>
      <c r="RB2076" s="106"/>
      <c r="RC2076" s="106"/>
      <c r="RD2076" s="106"/>
      <c r="RE2076" s="106"/>
      <c r="RF2076" s="106"/>
      <c r="RG2076" s="106"/>
      <c r="RH2076" s="106"/>
      <c r="RI2076" s="106"/>
      <c r="RJ2076" s="106"/>
      <c r="RK2076" s="106"/>
      <c r="RL2076" s="106"/>
    </row>
    <row r="2077" spans="48:480" x14ac:dyDescent="0.3">
      <c r="AV2077" s="103"/>
      <c r="CJ2077" s="103"/>
      <c r="FP2077" s="103"/>
      <c r="LL2077" s="103"/>
      <c r="NM2077" s="103"/>
      <c r="QT2077" s="106"/>
      <c r="QU2077" s="106"/>
      <c r="QV2077" s="106"/>
      <c r="QW2077" s="106"/>
      <c r="QX2077" s="106"/>
      <c r="QY2077" s="106"/>
      <c r="QZ2077" s="106"/>
      <c r="RA2077" s="106"/>
      <c r="RB2077" s="106"/>
      <c r="RC2077" s="106"/>
      <c r="RD2077" s="106"/>
      <c r="RE2077" s="106"/>
      <c r="RF2077" s="106"/>
      <c r="RG2077" s="106"/>
      <c r="RH2077" s="106"/>
      <c r="RI2077" s="106"/>
      <c r="RJ2077" s="106"/>
      <c r="RK2077" s="106"/>
      <c r="RL2077" s="106"/>
    </row>
    <row r="2078" spans="48:480" x14ac:dyDescent="0.3">
      <c r="AV2078" s="103"/>
      <c r="CJ2078" s="103"/>
      <c r="FP2078" s="103"/>
      <c r="LL2078" s="103"/>
      <c r="NM2078" s="103"/>
      <c r="QT2078" s="106"/>
      <c r="QU2078" s="106"/>
      <c r="QV2078" s="106"/>
      <c r="QW2078" s="106"/>
      <c r="QX2078" s="106"/>
      <c r="QY2078" s="106"/>
      <c r="QZ2078" s="106"/>
      <c r="RA2078" s="106"/>
      <c r="RB2078" s="106"/>
      <c r="RC2078" s="106"/>
      <c r="RD2078" s="106"/>
      <c r="RE2078" s="106"/>
      <c r="RF2078" s="106"/>
      <c r="RG2078" s="106"/>
      <c r="RH2078" s="106"/>
      <c r="RI2078" s="106"/>
      <c r="RJ2078" s="106"/>
      <c r="RK2078" s="106"/>
      <c r="RL2078" s="106"/>
    </row>
    <row r="2079" spans="48:480" x14ac:dyDescent="0.3">
      <c r="AV2079" s="103"/>
      <c r="CJ2079" s="103"/>
      <c r="FP2079" s="103"/>
      <c r="LL2079" s="103"/>
      <c r="NM2079" s="103"/>
      <c r="QT2079" s="106"/>
      <c r="QU2079" s="106"/>
      <c r="QV2079" s="106"/>
      <c r="QW2079" s="106"/>
      <c r="QX2079" s="106"/>
      <c r="QY2079" s="106"/>
      <c r="QZ2079" s="106"/>
      <c r="RA2079" s="106"/>
      <c r="RB2079" s="106"/>
      <c r="RC2079" s="106"/>
      <c r="RD2079" s="106"/>
      <c r="RE2079" s="106"/>
      <c r="RF2079" s="106"/>
      <c r="RG2079" s="106"/>
      <c r="RH2079" s="106"/>
      <c r="RI2079" s="106"/>
      <c r="RJ2079" s="106"/>
      <c r="RK2079" s="106"/>
      <c r="RL2079" s="106"/>
    </row>
    <row r="2080" spans="48:480" x14ac:dyDescent="0.3">
      <c r="AV2080" s="103"/>
      <c r="CJ2080" s="103"/>
      <c r="FP2080" s="103"/>
      <c r="LL2080" s="103"/>
      <c r="NM2080" s="103"/>
      <c r="QT2080" s="106"/>
      <c r="QU2080" s="106"/>
      <c r="QV2080" s="106"/>
      <c r="QW2080" s="106"/>
      <c r="QX2080" s="106"/>
      <c r="QY2080" s="106"/>
      <c r="QZ2080" s="106"/>
      <c r="RA2080" s="106"/>
      <c r="RB2080" s="106"/>
      <c r="RC2080" s="106"/>
      <c r="RD2080" s="106"/>
      <c r="RE2080" s="106"/>
      <c r="RF2080" s="106"/>
      <c r="RG2080" s="106"/>
      <c r="RH2080" s="106"/>
      <c r="RI2080" s="106"/>
      <c r="RJ2080" s="106"/>
      <c r="RK2080" s="106"/>
      <c r="RL2080" s="106"/>
    </row>
    <row r="2081" spans="48:480" x14ac:dyDescent="0.3">
      <c r="AV2081" s="103"/>
      <c r="CJ2081" s="103"/>
      <c r="FP2081" s="103"/>
      <c r="LL2081" s="103"/>
      <c r="NM2081" s="103"/>
      <c r="QT2081" s="106"/>
      <c r="QU2081" s="106"/>
      <c r="QV2081" s="106"/>
      <c r="QW2081" s="106"/>
      <c r="QX2081" s="106"/>
      <c r="QY2081" s="106"/>
      <c r="QZ2081" s="106"/>
      <c r="RA2081" s="106"/>
      <c r="RB2081" s="106"/>
      <c r="RC2081" s="106"/>
      <c r="RD2081" s="106"/>
      <c r="RE2081" s="106"/>
      <c r="RF2081" s="106"/>
      <c r="RG2081" s="106"/>
      <c r="RH2081" s="106"/>
      <c r="RI2081" s="106"/>
      <c r="RJ2081" s="106"/>
      <c r="RK2081" s="106"/>
      <c r="RL2081" s="106"/>
    </row>
    <row r="2082" spans="48:480" x14ac:dyDescent="0.3">
      <c r="AV2082" s="103"/>
      <c r="CJ2082" s="103"/>
      <c r="FP2082" s="103"/>
      <c r="LL2082" s="103"/>
      <c r="NM2082" s="103"/>
      <c r="QT2082" s="106"/>
      <c r="QU2082" s="106"/>
      <c r="QV2082" s="106"/>
      <c r="QW2082" s="106"/>
      <c r="QX2082" s="106"/>
      <c r="QY2082" s="106"/>
      <c r="QZ2082" s="106"/>
      <c r="RA2082" s="106"/>
      <c r="RB2082" s="106"/>
      <c r="RC2082" s="106"/>
      <c r="RD2082" s="106"/>
      <c r="RE2082" s="106"/>
      <c r="RF2082" s="106"/>
      <c r="RG2082" s="106"/>
      <c r="RH2082" s="106"/>
      <c r="RI2082" s="106"/>
      <c r="RJ2082" s="106"/>
      <c r="RK2082" s="106"/>
      <c r="RL2082" s="106"/>
    </row>
    <row r="2083" spans="48:480" x14ac:dyDescent="0.3">
      <c r="AV2083" s="103"/>
      <c r="CJ2083" s="103"/>
      <c r="FP2083" s="103"/>
      <c r="LL2083" s="103"/>
      <c r="NM2083" s="103"/>
      <c r="QT2083" s="106"/>
      <c r="QU2083" s="106"/>
      <c r="QV2083" s="106"/>
      <c r="QW2083" s="106"/>
      <c r="QX2083" s="106"/>
      <c r="QY2083" s="106"/>
      <c r="QZ2083" s="106"/>
      <c r="RA2083" s="106"/>
      <c r="RB2083" s="106"/>
      <c r="RC2083" s="106"/>
      <c r="RD2083" s="106"/>
      <c r="RE2083" s="106"/>
      <c r="RF2083" s="106"/>
      <c r="RG2083" s="106"/>
      <c r="RH2083" s="106"/>
      <c r="RI2083" s="106"/>
      <c r="RJ2083" s="106"/>
      <c r="RK2083" s="106"/>
      <c r="RL2083" s="106"/>
    </row>
    <row r="2084" spans="48:480" x14ac:dyDescent="0.3">
      <c r="AV2084" s="103"/>
      <c r="CJ2084" s="103"/>
      <c r="FP2084" s="103"/>
      <c r="LL2084" s="103"/>
      <c r="NM2084" s="103"/>
      <c r="QT2084" s="106"/>
      <c r="QU2084" s="106"/>
      <c r="QV2084" s="106"/>
      <c r="QW2084" s="106"/>
      <c r="QX2084" s="106"/>
      <c r="QY2084" s="106"/>
      <c r="QZ2084" s="106"/>
      <c r="RA2084" s="106"/>
      <c r="RB2084" s="106"/>
      <c r="RC2084" s="106"/>
      <c r="RD2084" s="106"/>
      <c r="RE2084" s="106"/>
      <c r="RF2084" s="106"/>
      <c r="RG2084" s="106"/>
      <c r="RH2084" s="106"/>
      <c r="RI2084" s="106"/>
      <c r="RJ2084" s="106"/>
      <c r="RK2084" s="106"/>
      <c r="RL2084" s="106"/>
    </row>
    <row r="2085" spans="48:480" x14ac:dyDescent="0.3">
      <c r="AV2085" s="103"/>
      <c r="CJ2085" s="103"/>
      <c r="FP2085" s="103"/>
      <c r="LL2085" s="103"/>
      <c r="NM2085" s="103"/>
      <c r="QT2085" s="106"/>
      <c r="QU2085" s="106"/>
      <c r="QV2085" s="106"/>
      <c r="QW2085" s="106"/>
      <c r="QX2085" s="106"/>
      <c r="QY2085" s="106"/>
      <c r="QZ2085" s="106"/>
      <c r="RA2085" s="106"/>
      <c r="RB2085" s="106"/>
      <c r="RC2085" s="106"/>
      <c r="RD2085" s="106"/>
      <c r="RE2085" s="106"/>
      <c r="RF2085" s="106"/>
      <c r="RG2085" s="106"/>
      <c r="RH2085" s="106"/>
      <c r="RI2085" s="106"/>
      <c r="RJ2085" s="106"/>
      <c r="RK2085" s="106"/>
      <c r="RL2085" s="106"/>
    </row>
    <row r="2086" spans="48:480" x14ac:dyDescent="0.3">
      <c r="AV2086" s="103"/>
      <c r="CJ2086" s="103"/>
      <c r="FP2086" s="103"/>
      <c r="LL2086" s="103"/>
      <c r="NM2086" s="103"/>
      <c r="QT2086" s="106"/>
      <c r="QU2086" s="106"/>
      <c r="QV2086" s="106"/>
      <c r="QW2086" s="106"/>
      <c r="QX2086" s="106"/>
      <c r="QY2086" s="106"/>
      <c r="QZ2086" s="106"/>
      <c r="RA2086" s="106"/>
      <c r="RB2086" s="106"/>
      <c r="RC2086" s="106"/>
      <c r="RD2086" s="106"/>
      <c r="RE2086" s="106"/>
      <c r="RF2086" s="106"/>
      <c r="RG2086" s="106"/>
      <c r="RH2086" s="106"/>
      <c r="RI2086" s="106"/>
      <c r="RJ2086" s="106"/>
      <c r="RK2086" s="106"/>
      <c r="RL2086" s="106"/>
    </row>
    <row r="2087" spans="48:480" x14ac:dyDescent="0.3">
      <c r="AV2087" s="103"/>
      <c r="CJ2087" s="103"/>
      <c r="FP2087" s="103"/>
      <c r="LL2087" s="103"/>
      <c r="NM2087" s="103"/>
      <c r="QT2087" s="106"/>
      <c r="QU2087" s="106"/>
      <c r="QV2087" s="106"/>
      <c r="QW2087" s="106"/>
      <c r="QX2087" s="106"/>
      <c r="QY2087" s="106"/>
      <c r="QZ2087" s="106"/>
      <c r="RA2087" s="106"/>
      <c r="RB2087" s="106"/>
      <c r="RC2087" s="106"/>
      <c r="RD2087" s="106"/>
      <c r="RE2087" s="106"/>
      <c r="RF2087" s="106"/>
      <c r="RG2087" s="106"/>
      <c r="RH2087" s="106"/>
      <c r="RI2087" s="106"/>
      <c r="RJ2087" s="106"/>
      <c r="RK2087" s="106"/>
      <c r="RL2087" s="106"/>
    </row>
    <row r="2088" spans="48:480" x14ac:dyDescent="0.3">
      <c r="AV2088" s="103"/>
      <c r="CJ2088" s="103"/>
      <c r="FP2088" s="103"/>
      <c r="LL2088" s="103"/>
      <c r="NM2088" s="103"/>
      <c r="QT2088" s="106"/>
      <c r="QU2088" s="106"/>
      <c r="QV2088" s="106"/>
      <c r="QW2088" s="106"/>
      <c r="QX2088" s="106"/>
      <c r="QY2088" s="106"/>
      <c r="QZ2088" s="106"/>
      <c r="RA2088" s="106"/>
      <c r="RB2088" s="106"/>
      <c r="RC2088" s="106"/>
      <c r="RD2088" s="106"/>
      <c r="RE2088" s="106"/>
      <c r="RF2088" s="106"/>
      <c r="RG2088" s="106"/>
      <c r="RH2088" s="106"/>
      <c r="RI2088" s="106"/>
      <c r="RJ2088" s="106"/>
      <c r="RK2088" s="106"/>
      <c r="RL2088" s="106"/>
    </row>
    <row r="2089" spans="48:480" x14ac:dyDescent="0.3">
      <c r="AV2089" s="103"/>
      <c r="CJ2089" s="103"/>
      <c r="FP2089" s="103"/>
      <c r="LL2089" s="103"/>
      <c r="NM2089" s="103"/>
      <c r="QT2089" s="106"/>
      <c r="QU2089" s="106"/>
      <c r="QV2089" s="106"/>
      <c r="QW2089" s="106"/>
      <c r="QX2089" s="106"/>
      <c r="QY2089" s="106"/>
      <c r="QZ2089" s="106"/>
      <c r="RA2089" s="106"/>
      <c r="RB2089" s="106"/>
      <c r="RC2089" s="106"/>
      <c r="RD2089" s="106"/>
      <c r="RE2089" s="106"/>
      <c r="RF2089" s="106"/>
      <c r="RG2089" s="106"/>
      <c r="RH2089" s="106"/>
      <c r="RI2089" s="106"/>
      <c r="RJ2089" s="106"/>
      <c r="RK2089" s="106"/>
      <c r="RL2089" s="106"/>
    </row>
    <row r="2090" spans="48:480" x14ac:dyDescent="0.3">
      <c r="AV2090" s="103"/>
      <c r="CJ2090" s="103"/>
      <c r="FP2090" s="103"/>
      <c r="LL2090" s="103"/>
      <c r="NM2090" s="103"/>
      <c r="QT2090" s="106"/>
      <c r="QU2090" s="106"/>
      <c r="QV2090" s="106"/>
      <c r="QW2090" s="106"/>
      <c r="QX2090" s="106"/>
      <c r="QY2090" s="106"/>
      <c r="QZ2090" s="106"/>
      <c r="RA2090" s="106"/>
      <c r="RB2090" s="106"/>
      <c r="RC2090" s="106"/>
      <c r="RD2090" s="106"/>
      <c r="RE2090" s="106"/>
      <c r="RF2090" s="106"/>
      <c r="RG2090" s="106"/>
      <c r="RH2090" s="106"/>
      <c r="RI2090" s="106"/>
      <c r="RJ2090" s="106"/>
      <c r="RK2090" s="106"/>
      <c r="RL2090" s="106"/>
    </row>
    <row r="2091" spans="48:480" x14ac:dyDescent="0.3">
      <c r="AV2091" s="103"/>
      <c r="CJ2091" s="103"/>
      <c r="FP2091" s="103"/>
      <c r="LL2091" s="103"/>
      <c r="NM2091" s="103"/>
      <c r="QT2091" s="106"/>
      <c r="QU2091" s="106"/>
      <c r="QV2091" s="106"/>
      <c r="QW2091" s="106"/>
      <c r="QX2091" s="106"/>
      <c r="QY2091" s="106"/>
      <c r="QZ2091" s="106"/>
      <c r="RA2091" s="106"/>
      <c r="RB2091" s="106"/>
      <c r="RC2091" s="106"/>
      <c r="RD2091" s="106"/>
      <c r="RE2091" s="106"/>
      <c r="RF2091" s="106"/>
      <c r="RG2091" s="106"/>
      <c r="RH2091" s="106"/>
      <c r="RI2091" s="106"/>
      <c r="RJ2091" s="106"/>
      <c r="RK2091" s="106"/>
      <c r="RL2091" s="106"/>
    </row>
    <row r="2092" spans="48:480" x14ac:dyDescent="0.3">
      <c r="AV2092" s="103"/>
      <c r="CJ2092" s="103"/>
      <c r="FP2092" s="103"/>
      <c r="LL2092" s="103"/>
      <c r="NM2092" s="103"/>
      <c r="QT2092" s="106"/>
      <c r="QU2092" s="106"/>
      <c r="QV2092" s="106"/>
      <c r="QW2092" s="106"/>
      <c r="QX2092" s="106"/>
      <c r="QY2092" s="106"/>
      <c r="QZ2092" s="106"/>
      <c r="RA2092" s="106"/>
      <c r="RB2092" s="106"/>
      <c r="RC2092" s="106"/>
      <c r="RD2092" s="106"/>
      <c r="RE2092" s="106"/>
      <c r="RF2092" s="106"/>
      <c r="RG2092" s="106"/>
      <c r="RH2092" s="106"/>
      <c r="RI2092" s="106"/>
      <c r="RJ2092" s="106"/>
      <c r="RK2092" s="106"/>
      <c r="RL2092" s="106"/>
    </row>
    <row r="2093" spans="48:480" x14ac:dyDescent="0.3">
      <c r="AV2093" s="103"/>
      <c r="CJ2093" s="103"/>
      <c r="FP2093" s="103"/>
      <c r="LL2093" s="103"/>
      <c r="NM2093" s="103"/>
      <c r="QT2093" s="106"/>
      <c r="QU2093" s="106"/>
      <c r="QV2093" s="106"/>
      <c r="QW2093" s="106"/>
      <c r="QX2093" s="106"/>
      <c r="QY2093" s="106"/>
      <c r="QZ2093" s="106"/>
      <c r="RA2093" s="106"/>
      <c r="RB2093" s="106"/>
      <c r="RC2093" s="106"/>
      <c r="RD2093" s="106"/>
      <c r="RE2093" s="106"/>
      <c r="RF2093" s="106"/>
      <c r="RG2093" s="106"/>
      <c r="RH2093" s="106"/>
      <c r="RI2093" s="106"/>
      <c r="RJ2093" s="106"/>
      <c r="RK2093" s="106"/>
      <c r="RL2093" s="106"/>
    </row>
    <row r="2094" spans="48:480" x14ac:dyDescent="0.3">
      <c r="AV2094" s="103"/>
      <c r="CJ2094" s="103"/>
      <c r="FP2094" s="103"/>
      <c r="LL2094" s="103"/>
      <c r="NM2094" s="103"/>
      <c r="QT2094" s="106"/>
      <c r="QU2094" s="106"/>
      <c r="QV2094" s="106"/>
      <c r="QW2094" s="106"/>
      <c r="QX2094" s="106"/>
      <c r="QY2094" s="106"/>
      <c r="QZ2094" s="106"/>
      <c r="RA2094" s="106"/>
      <c r="RB2094" s="106"/>
      <c r="RC2094" s="106"/>
      <c r="RD2094" s="106"/>
      <c r="RE2094" s="106"/>
      <c r="RF2094" s="106"/>
      <c r="RG2094" s="106"/>
      <c r="RH2094" s="106"/>
      <c r="RI2094" s="106"/>
      <c r="RJ2094" s="106"/>
      <c r="RK2094" s="106"/>
      <c r="RL2094" s="106"/>
    </row>
    <row r="2095" spans="48:480" x14ac:dyDescent="0.3">
      <c r="AV2095" s="103"/>
      <c r="CJ2095" s="103"/>
      <c r="FP2095" s="103"/>
      <c r="LL2095" s="103"/>
      <c r="NM2095" s="103"/>
      <c r="QT2095" s="106"/>
      <c r="QU2095" s="106"/>
      <c r="QV2095" s="106"/>
      <c r="QW2095" s="106"/>
      <c r="QX2095" s="106"/>
      <c r="QY2095" s="106"/>
      <c r="QZ2095" s="106"/>
      <c r="RA2095" s="106"/>
      <c r="RB2095" s="106"/>
      <c r="RC2095" s="106"/>
      <c r="RD2095" s="106"/>
      <c r="RE2095" s="106"/>
      <c r="RF2095" s="106"/>
      <c r="RG2095" s="106"/>
      <c r="RH2095" s="106"/>
      <c r="RI2095" s="106"/>
      <c r="RJ2095" s="106"/>
      <c r="RK2095" s="106"/>
      <c r="RL2095" s="106"/>
    </row>
    <row r="2096" spans="48:480" x14ac:dyDescent="0.3">
      <c r="AV2096" s="103"/>
      <c r="CJ2096" s="103"/>
      <c r="FP2096" s="103"/>
      <c r="LL2096" s="103"/>
      <c r="NM2096" s="103"/>
      <c r="QT2096" s="106"/>
      <c r="QU2096" s="106"/>
      <c r="QV2096" s="106"/>
      <c r="QW2096" s="106"/>
      <c r="QX2096" s="106"/>
      <c r="QY2096" s="106"/>
      <c r="QZ2096" s="106"/>
      <c r="RA2096" s="106"/>
      <c r="RB2096" s="106"/>
      <c r="RC2096" s="106"/>
      <c r="RD2096" s="106"/>
      <c r="RE2096" s="106"/>
      <c r="RF2096" s="106"/>
      <c r="RG2096" s="106"/>
      <c r="RH2096" s="106"/>
      <c r="RI2096" s="106"/>
      <c r="RJ2096" s="106"/>
      <c r="RK2096" s="106"/>
      <c r="RL2096" s="106"/>
    </row>
    <row r="2097" spans="48:480" x14ac:dyDescent="0.3">
      <c r="AV2097" s="103"/>
      <c r="CJ2097" s="103"/>
      <c r="FP2097" s="103"/>
      <c r="LL2097" s="103"/>
      <c r="NM2097" s="103"/>
      <c r="QT2097" s="106"/>
      <c r="QU2097" s="106"/>
      <c r="QV2097" s="106"/>
      <c r="QW2097" s="106"/>
      <c r="QX2097" s="106"/>
      <c r="QY2097" s="106"/>
      <c r="QZ2097" s="106"/>
      <c r="RA2097" s="106"/>
      <c r="RB2097" s="106"/>
      <c r="RC2097" s="106"/>
      <c r="RD2097" s="106"/>
      <c r="RE2097" s="106"/>
      <c r="RF2097" s="106"/>
      <c r="RG2097" s="106"/>
      <c r="RH2097" s="106"/>
      <c r="RI2097" s="106"/>
      <c r="RJ2097" s="106"/>
      <c r="RK2097" s="106"/>
      <c r="RL2097" s="106"/>
    </row>
    <row r="2098" spans="48:480" x14ac:dyDescent="0.3">
      <c r="AV2098" s="103"/>
      <c r="CJ2098" s="103"/>
      <c r="FP2098" s="103"/>
      <c r="LL2098" s="103"/>
      <c r="NM2098" s="103"/>
      <c r="QT2098" s="106"/>
      <c r="QU2098" s="106"/>
      <c r="QV2098" s="106"/>
      <c r="QW2098" s="106"/>
      <c r="QX2098" s="106"/>
      <c r="QY2098" s="106"/>
      <c r="QZ2098" s="106"/>
      <c r="RA2098" s="106"/>
      <c r="RB2098" s="106"/>
      <c r="RC2098" s="106"/>
      <c r="RD2098" s="106"/>
      <c r="RE2098" s="106"/>
      <c r="RF2098" s="106"/>
      <c r="RG2098" s="106"/>
      <c r="RH2098" s="106"/>
      <c r="RI2098" s="106"/>
      <c r="RJ2098" s="106"/>
      <c r="RK2098" s="106"/>
      <c r="RL2098" s="106"/>
    </row>
    <row r="2099" spans="48:480" x14ac:dyDescent="0.3">
      <c r="AV2099" s="103"/>
      <c r="CJ2099" s="103"/>
      <c r="FP2099" s="103"/>
      <c r="LL2099" s="103"/>
      <c r="NM2099" s="103"/>
      <c r="QT2099" s="106"/>
      <c r="QU2099" s="106"/>
      <c r="QV2099" s="106"/>
      <c r="QW2099" s="106"/>
      <c r="QX2099" s="106"/>
      <c r="QY2099" s="106"/>
      <c r="QZ2099" s="106"/>
      <c r="RA2099" s="106"/>
      <c r="RB2099" s="106"/>
      <c r="RC2099" s="106"/>
      <c r="RD2099" s="106"/>
      <c r="RE2099" s="106"/>
      <c r="RF2099" s="106"/>
      <c r="RG2099" s="106"/>
      <c r="RH2099" s="106"/>
      <c r="RI2099" s="106"/>
      <c r="RJ2099" s="106"/>
      <c r="RK2099" s="106"/>
      <c r="RL2099" s="106"/>
    </row>
    <row r="2100" spans="48:480" x14ac:dyDescent="0.3">
      <c r="AV2100" s="103"/>
      <c r="CJ2100" s="103"/>
      <c r="FP2100" s="103"/>
      <c r="LL2100" s="103"/>
      <c r="NM2100" s="103"/>
      <c r="QT2100" s="106"/>
      <c r="QU2100" s="106"/>
      <c r="QV2100" s="106"/>
      <c r="QW2100" s="106"/>
      <c r="QX2100" s="106"/>
      <c r="QY2100" s="106"/>
      <c r="QZ2100" s="106"/>
      <c r="RA2100" s="106"/>
      <c r="RB2100" s="106"/>
      <c r="RC2100" s="106"/>
      <c r="RD2100" s="106"/>
      <c r="RE2100" s="106"/>
      <c r="RF2100" s="106"/>
      <c r="RG2100" s="106"/>
      <c r="RH2100" s="106"/>
      <c r="RI2100" s="106"/>
      <c r="RJ2100" s="106"/>
      <c r="RK2100" s="106"/>
      <c r="RL2100" s="106"/>
    </row>
    <row r="2101" spans="48:480" x14ac:dyDescent="0.3">
      <c r="AV2101" s="103"/>
      <c r="CJ2101" s="103"/>
      <c r="FP2101" s="103"/>
      <c r="LL2101" s="103"/>
      <c r="NM2101" s="103"/>
      <c r="QT2101" s="106"/>
      <c r="QU2101" s="106"/>
      <c r="QV2101" s="106"/>
      <c r="QW2101" s="106"/>
      <c r="QX2101" s="106"/>
      <c r="QY2101" s="106"/>
      <c r="QZ2101" s="106"/>
      <c r="RA2101" s="106"/>
      <c r="RB2101" s="106"/>
      <c r="RC2101" s="106"/>
      <c r="RD2101" s="106"/>
      <c r="RE2101" s="106"/>
      <c r="RF2101" s="106"/>
      <c r="RG2101" s="106"/>
      <c r="RH2101" s="106"/>
      <c r="RI2101" s="106"/>
      <c r="RJ2101" s="106"/>
      <c r="RK2101" s="106"/>
      <c r="RL2101" s="106"/>
    </row>
    <row r="2102" spans="48:480" x14ac:dyDescent="0.3">
      <c r="AV2102" s="103"/>
      <c r="CJ2102" s="103"/>
      <c r="FP2102" s="103"/>
      <c r="LL2102" s="103"/>
      <c r="NM2102" s="103"/>
      <c r="QT2102" s="106"/>
      <c r="QU2102" s="106"/>
      <c r="QV2102" s="106"/>
      <c r="QW2102" s="106"/>
      <c r="QX2102" s="106"/>
      <c r="QY2102" s="106"/>
      <c r="QZ2102" s="106"/>
      <c r="RA2102" s="106"/>
      <c r="RB2102" s="106"/>
      <c r="RC2102" s="106"/>
      <c r="RD2102" s="106"/>
      <c r="RE2102" s="106"/>
      <c r="RF2102" s="106"/>
      <c r="RG2102" s="106"/>
      <c r="RH2102" s="106"/>
      <c r="RI2102" s="106"/>
      <c r="RJ2102" s="106"/>
      <c r="RK2102" s="106"/>
      <c r="RL2102" s="106"/>
    </row>
    <row r="2103" spans="48:480" x14ac:dyDescent="0.3">
      <c r="AV2103" s="103"/>
      <c r="CJ2103" s="103"/>
      <c r="FP2103" s="103"/>
      <c r="LL2103" s="103"/>
      <c r="NM2103" s="103"/>
      <c r="QT2103" s="106"/>
      <c r="QU2103" s="106"/>
      <c r="QV2103" s="106"/>
      <c r="QW2103" s="106"/>
      <c r="QX2103" s="106"/>
      <c r="QY2103" s="106"/>
      <c r="QZ2103" s="106"/>
      <c r="RA2103" s="106"/>
      <c r="RB2103" s="106"/>
      <c r="RC2103" s="106"/>
      <c r="RD2103" s="106"/>
      <c r="RE2103" s="106"/>
      <c r="RF2103" s="106"/>
      <c r="RG2103" s="106"/>
      <c r="RH2103" s="106"/>
      <c r="RI2103" s="106"/>
      <c r="RJ2103" s="106"/>
      <c r="RK2103" s="106"/>
      <c r="RL2103" s="106"/>
    </row>
    <row r="2104" spans="48:480" x14ac:dyDescent="0.3">
      <c r="AV2104" s="103"/>
      <c r="CJ2104" s="103"/>
      <c r="FP2104" s="103"/>
      <c r="LL2104" s="103"/>
      <c r="NM2104" s="103"/>
      <c r="QT2104" s="106"/>
      <c r="QU2104" s="106"/>
      <c r="QV2104" s="106"/>
      <c r="QW2104" s="106"/>
      <c r="QX2104" s="106"/>
      <c r="QY2104" s="106"/>
      <c r="QZ2104" s="106"/>
      <c r="RA2104" s="106"/>
      <c r="RB2104" s="106"/>
      <c r="RC2104" s="106"/>
      <c r="RD2104" s="106"/>
      <c r="RE2104" s="106"/>
      <c r="RF2104" s="106"/>
      <c r="RG2104" s="106"/>
      <c r="RH2104" s="106"/>
      <c r="RI2104" s="106"/>
      <c r="RJ2104" s="106"/>
      <c r="RK2104" s="106"/>
      <c r="RL2104" s="106"/>
    </row>
    <row r="2105" spans="48:480" x14ac:dyDescent="0.3">
      <c r="AV2105" s="103"/>
      <c r="CJ2105" s="103"/>
      <c r="FP2105" s="103"/>
      <c r="LL2105" s="103"/>
      <c r="NM2105" s="103"/>
      <c r="QT2105" s="106"/>
      <c r="QU2105" s="106"/>
      <c r="QV2105" s="106"/>
      <c r="QW2105" s="106"/>
      <c r="QX2105" s="106"/>
      <c r="QY2105" s="106"/>
      <c r="QZ2105" s="106"/>
      <c r="RA2105" s="106"/>
      <c r="RB2105" s="106"/>
      <c r="RC2105" s="106"/>
      <c r="RD2105" s="106"/>
      <c r="RE2105" s="106"/>
      <c r="RF2105" s="106"/>
      <c r="RG2105" s="106"/>
      <c r="RH2105" s="106"/>
      <c r="RI2105" s="106"/>
      <c r="RJ2105" s="106"/>
      <c r="RK2105" s="106"/>
      <c r="RL2105" s="106"/>
    </row>
    <row r="2106" spans="48:480" x14ac:dyDescent="0.3">
      <c r="AV2106" s="103"/>
      <c r="CJ2106" s="103"/>
      <c r="FP2106" s="103"/>
      <c r="LL2106" s="103"/>
      <c r="NM2106" s="103"/>
      <c r="QT2106" s="106"/>
      <c r="QU2106" s="106"/>
      <c r="QV2106" s="106"/>
      <c r="QW2106" s="106"/>
      <c r="QX2106" s="106"/>
      <c r="QY2106" s="106"/>
      <c r="QZ2106" s="106"/>
      <c r="RA2106" s="106"/>
      <c r="RB2106" s="106"/>
      <c r="RC2106" s="106"/>
      <c r="RD2106" s="106"/>
      <c r="RE2106" s="106"/>
      <c r="RF2106" s="106"/>
      <c r="RG2106" s="106"/>
      <c r="RH2106" s="106"/>
      <c r="RI2106" s="106"/>
      <c r="RJ2106" s="106"/>
      <c r="RK2106" s="106"/>
      <c r="RL2106" s="106"/>
    </row>
    <row r="2107" spans="48:480" x14ac:dyDescent="0.3">
      <c r="AV2107" s="103"/>
      <c r="CJ2107" s="103"/>
      <c r="FP2107" s="103"/>
      <c r="LL2107" s="103"/>
      <c r="NM2107" s="103"/>
      <c r="QT2107" s="106"/>
      <c r="QU2107" s="106"/>
      <c r="QV2107" s="106"/>
      <c r="QW2107" s="106"/>
      <c r="QX2107" s="106"/>
      <c r="QY2107" s="106"/>
      <c r="QZ2107" s="106"/>
      <c r="RA2107" s="106"/>
      <c r="RB2107" s="106"/>
      <c r="RC2107" s="106"/>
      <c r="RD2107" s="106"/>
      <c r="RE2107" s="106"/>
      <c r="RF2107" s="106"/>
      <c r="RG2107" s="106"/>
      <c r="RH2107" s="106"/>
      <c r="RI2107" s="106"/>
      <c r="RJ2107" s="106"/>
      <c r="RK2107" s="106"/>
      <c r="RL2107" s="106"/>
    </row>
    <row r="2108" spans="48:480" x14ac:dyDescent="0.3">
      <c r="AV2108" s="103"/>
      <c r="CJ2108" s="103"/>
      <c r="FP2108" s="103"/>
      <c r="LL2108" s="103"/>
      <c r="NM2108" s="103"/>
      <c r="QT2108" s="106"/>
      <c r="QU2108" s="106"/>
      <c r="QV2108" s="106"/>
      <c r="QW2108" s="106"/>
      <c r="QX2108" s="106"/>
      <c r="QY2108" s="106"/>
      <c r="QZ2108" s="106"/>
      <c r="RA2108" s="106"/>
      <c r="RB2108" s="106"/>
      <c r="RC2108" s="106"/>
      <c r="RD2108" s="106"/>
      <c r="RE2108" s="106"/>
      <c r="RF2108" s="106"/>
      <c r="RG2108" s="106"/>
      <c r="RH2108" s="106"/>
      <c r="RI2108" s="106"/>
      <c r="RJ2108" s="106"/>
      <c r="RK2108" s="106"/>
      <c r="RL2108" s="106"/>
    </row>
    <row r="2109" spans="48:480" x14ac:dyDescent="0.3">
      <c r="AV2109" s="103"/>
      <c r="CJ2109" s="103"/>
      <c r="FP2109" s="103"/>
      <c r="LL2109" s="103"/>
      <c r="NM2109" s="103"/>
      <c r="QT2109" s="106"/>
      <c r="QU2109" s="106"/>
      <c r="QV2109" s="106"/>
      <c r="QW2109" s="106"/>
      <c r="QX2109" s="106"/>
      <c r="QY2109" s="106"/>
      <c r="QZ2109" s="106"/>
      <c r="RA2109" s="106"/>
      <c r="RB2109" s="106"/>
      <c r="RC2109" s="106"/>
      <c r="RD2109" s="106"/>
      <c r="RE2109" s="106"/>
      <c r="RF2109" s="106"/>
      <c r="RG2109" s="106"/>
      <c r="RH2109" s="106"/>
      <c r="RI2109" s="106"/>
      <c r="RJ2109" s="106"/>
      <c r="RK2109" s="106"/>
      <c r="RL2109" s="106"/>
    </row>
    <row r="2110" spans="48:480" x14ac:dyDescent="0.3">
      <c r="AV2110" s="103"/>
      <c r="CJ2110" s="103"/>
      <c r="FP2110" s="103"/>
      <c r="LL2110" s="103"/>
      <c r="NM2110" s="103"/>
      <c r="QT2110" s="106"/>
      <c r="QU2110" s="106"/>
      <c r="QV2110" s="106"/>
      <c r="QW2110" s="106"/>
      <c r="QX2110" s="106"/>
      <c r="QY2110" s="106"/>
      <c r="QZ2110" s="106"/>
      <c r="RA2110" s="106"/>
      <c r="RB2110" s="106"/>
      <c r="RC2110" s="106"/>
      <c r="RD2110" s="106"/>
      <c r="RE2110" s="106"/>
      <c r="RF2110" s="106"/>
      <c r="RG2110" s="106"/>
      <c r="RH2110" s="106"/>
      <c r="RI2110" s="106"/>
      <c r="RJ2110" s="106"/>
      <c r="RK2110" s="106"/>
      <c r="RL2110" s="106"/>
    </row>
    <row r="2111" spans="48:480" x14ac:dyDescent="0.3">
      <c r="AV2111" s="103"/>
      <c r="CJ2111" s="103"/>
      <c r="FP2111" s="103"/>
      <c r="LL2111" s="103"/>
      <c r="NM2111" s="103"/>
      <c r="QT2111" s="106"/>
      <c r="QU2111" s="106"/>
      <c r="QV2111" s="106"/>
      <c r="QW2111" s="106"/>
      <c r="QX2111" s="106"/>
      <c r="QY2111" s="106"/>
      <c r="QZ2111" s="106"/>
      <c r="RA2111" s="106"/>
      <c r="RB2111" s="106"/>
      <c r="RC2111" s="106"/>
      <c r="RD2111" s="106"/>
      <c r="RE2111" s="106"/>
      <c r="RF2111" s="106"/>
      <c r="RG2111" s="106"/>
      <c r="RH2111" s="106"/>
      <c r="RI2111" s="106"/>
      <c r="RJ2111" s="106"/>
      <c r="RK2111" s="106"/>
      <c r="RL2111" s="106"/>
    </row>
    <row r="2112" spans="48:480" x14ac:dyDescent="0.3">
      <c r="AV2112" s="103"/>
      <c r="CJ2112" s="103"/>
      <c r="FP2112" s="103"/>
      <c r="LL2112" s="103"/>
      <c r="NM2112" s="103"/>
      <c r="QT2112" s="106"/>
      <c r="QU2112" s="106"/>
      <c r="QV2112" s="106"/>
      <c r="QW2112" s="106"/>
      <c r="QX2112" s="106"/>
      <c r="QY2112" s="106"/>
      <c r="QZ2112" s="106"/>
      <c r="RA2112" s="106"/>
      <c r="RB2112" s="106"/>
      <c r="RC2112" s="106"/>
      <c r="RD2112" s="106"/>
      <c r="RE2112" s="106"/>
      <c r="RF2112" s="106"/>
      <c r="RG2112" s="106"/>
      <c r="RH2112" s="106"/>
      <c r="RI2112" s="106"/>
      <c r="RJ2112" s="106"/>
      <c r="RK2112" s="106"/>
      <c r="RL2112" s="106"/>
    </row>
    <row r="2113" spans="48:480" x14ac:dyDescent="0.3">
      <c r="AV2113" s="103"/>
      <c r="CJ2113" s="103"/>
      <c r="FP2113" s="103"/>
      <c r="LL2113" s="103"/>
      <c r="NM2113" s="103"/>
      <c r="QT2113" s="106"/>
      <c r="QU2113" s="106"/>
      <c r="QV2113" s="106"/>
      <c r="QW2113" s="106"/>
      <c r="QX2113" s="106"/>
      <c r="QY2113" s="106"/>
      <c r="QZ2113" s="106"/>
      <c r="RA2113" s="106"/>
      <c r="RB2113" s="106"/>
      <c r="RC2113" s="106"/>
      <c r="RD2113" s="106"/>
      <c r="RE2113" s="106"/>
      <c r="RF2113" s="106"/>
      <c r="RG2113" s="106"/>
      <c r="RH2113" s="106"/>
      <c r="RI2113" s="106"/>
      <c r="RJ2113" s="106"/>
      <c r="RK2113" s="106"/>
      <c r="RL2113" s="106"/>
    </row>
    <row r="2114" spans="48:480" x14ac:dyDescent="0.3">
      <c r="AV2114" s="103"/>
      <c r="CJ2114" s="103"/>
      <c r="FP2114" s="103"/>
      <c r="LL2114" s="103"/>
      <c r="NM2114" s="103"/>
      <c r="QT2114" s="106"/>
      <c r="QU2114" s="106"/>
      <c r="QV2114" s="106"/>
      <c r="QW2114" s="106"/>
      <c r="QX2114" s="106"/>
      <c r="QY2114" s="106"/>
      <c r="QZ2114" s="106"/>
      <c r="RA2114" s="106"/>
      <c r="RB2114" s="106"/>
      <c r="RC2114" s="106"/>
      <c r="RD2114" s="106"/>
      <c r="RE2114" s="106"/>
      <c r="RF2114" s="106"/>
      <c r="RG2114" s="106"/>
      <c r="RH2114" s="106"/>
      <c r="RI2114" s="106"/>
      <c r="RJ2114" s="106"/>
      <c r="RK2114" s="106"/>
      <c r="RL2114" s="106"/>
    </row>
    <row r="2115" spans="48:480" x14ac:dyDescent="0.3">
      <c r="AV2115" s="103"/>
      <c r="CJ2115" s="103"/>
      <c r="FP2115" s="103"/>
      <c r="LL2115" s="103"/>
      <c r="NM2115" s="103"/>
      <c r="QT2115" s="106"/>
      <c r="QU2115" s="106"/>
      <c r="QV2115" s="106"/>
      <c r="QW2115" s="106"/>
      <c r="QX2115" s="106"/>
      <c r="QY2115" s="106"/>
      <c r="QZ2115" s="106"/>
      <c r="RA2115" s="106"/>
      <c r="RB2115" s="106"/>
      <c r="RC2115" s="106"/>
      <c r="RD2115" s="106"/>
      <c r="RE2115" s="106"/>
      <c r="RF2115" s="106"/>
      <c r="RG2115" s="106"/>
      <c r="RH2115" s="106"/>
      <c r="RI2115" s="106"/>
      <c r="RJ2115" s="106"/>
      <c r="RK2115" s="106"/>
      <c r="RL2115" s="106"/>
    </row>
    <row r="2116" spans="48:480" x14ac:dyDescent="0.3">
      <c r="AV2116" s="103"/>
      <c r="CJ2116" s="103"/>
      <c r="FP2116" s="103"/>
      <c r="LL2116" s="103"/>
      <c r="NM2116" s="103"/>
      <c r="QT2116" s="106"/>
      <c r="QU2116" s="106"/>
      <c r="QV2116" s="106"/>
      <c r="QW2116" s="106"/>
      <c r="QX2116" s="106"/>
      <c r="QY2116" s="106"/>
      <c r="QZ2116" s="106"/>
      <c r="RA2116" s="106"/>
      <c r="RB2116" s="106"/>
      <c r="RC2116" s="106"/>
      <c r="RD2116" s="106"/>
      <c r="RE2116" s="106"/>
      <c r="RF2116" s="106"/>
      <c r="RG2116" s="106"/>
      <c r="RH2116" s="106"/>
      <c r="RI2116" s="106"/>
      <c r="RJ2116" s="106"/>
      <c r="RK2116" s="106"/>
      <c r="RL2116" s="106"/>
    </row>
    <row r="2117" spans="48:480" x14ac:dyDescent="0.3">
      <c r="AV2117" s="103"/>
      <c r="CJ2117" s="103"/>
      <c r="FP2117" s="103"/>
      <c r="LL2117" s="103"/>
      <c r="NM2117" s="103"/>
      <c r="QT2117" s="106"/>
      <c r="QU2117" s="106"/>
      <c r="QV2117" s="106"/>
      <c r="QW2117" s="106"/>
      <c r="QX2117" s="106"/>
      <c r="QY2117" s="106"/>
      <c r="QZ2117" s="106"/>
      <c r="RA2117" s="106"/>
      <c r="RB2117" s="106"/>
      <c r="RC2117" s="106"/>
      <c r="RD2117" s="106"/>
      <c r="RE2117" s="106"/>
      <c r="RF2117" s="106"/>
      <c r="RG2117" s="106"/>
      <c r="RH2117" s="106"/>
      <c r="RI2117" s="106"/>
      <c r="RJ2117" s="106"/>
      <c r="RK2117" s="106"/>
      <c r="RL2117" s="106"/>
    </row>
    <row r="2118" spans="48:480" x14ac:dyDescent="0.3">
      <c r="AV2118" s="103"/>
      <c r="CJ2118" s="103"/>
      <c r="FP2118" s="103"/>
      <c r="LL2118" s="103"/>
      <c r="NM2118" s="103"/>
      <c r="QT2118" s="106"/>
      <c r="QU2118" s="106"/>
      <c r="QV2118" s="106"/>
      <c r="QW2118" s="106"/>
      <c r="QX2118" s="106"/>
      <c r="QY2118" s="106"/>
      <c r="QZ2118" s="106"/>
      <c r="RA2118" s="106"/>
      <c r="RB2118" s="106"/>
      <c r="RC2118" s="106"/>
      <c r="RD2118" s="106"/>
      <c r="RE2118" s="106"/>
      <c r="RF2118" s="106"/>
      <c r="RG2118" s="106"/>
      <c r="RH2118" s="106"/>
      <c r="RI2118" s="106"/>
      <c r="RJ2118" s="106"/>
      <c r="RK2118" s="106"/>
      <c r="RL2118" s="106"/>
    </row>
    <row r="2119" spans="48:480" x14ac:dyDescent="0.3">
      <c r="AV2119" s="103"/>
      <c r="CJ2119" s="103"/>
      <c r="FP2119" s="103"/>
      <c r="LL2119" s="103"/>
      <c r="NM2119" s="103"/>
      <c r="QT2119" s="106"/>
      <c r="QU2119" s="106"/>
      <c r="QV2119" s="106"/>
      <c r="QW2119" s="106"/>
      <c r="QX2119" s="106"/>
      <c r="QY2119" s="106"/>
      <c r="QZ2119" s="106"/>
      <c r="RA2119" s="106"/>
      <c r="RB2119" s="106"/>
      <c r="RC2119" s="106"/>
      <c r="RD2119" s="106"/>
      <c r="RE2119" s="106"/>
      <c r="RF2119" s="106"/>
      <c r="RG2119" s="106"/>
      <c r="RH2119" s="106"/>
      <c r="RI2119" s="106"/>
      <c r="RJ2119" s="106"/>
      <c r="RK2119" s="106"/>
      <c r="RL2119" s="106"/>
    </row>
    <row r="2120" spans="48:480" x14ac:dyDescent="0.3">
      <c r="AV2120" s="103"/>
      <c r="CJ2120" s="103"/>
      <c r="FP2120" s="103"/>
      <c r="LL2120" s="103"/>
      <c r="NM2120" s="103"/>
      <c r="QT2120" s="106"/>
      <c r="QU2120" s="106"/>
      <c r="QV2120" s="106"/>
      <c r="QW2120" s="106"/>
      <c r="QX2120" s="106"/>
      <c r="QY2120" s="106"/>
      <c r="QZ2120" s="106"/>
      <c r="RA2120" s="106"/>
      <c r="RB2120" s="106"/>
      <c r="RC2120" s="106"/>
      <c r="RD2120" s="106"/>
      <c r="RE2120" s="106"/>
      <c r="RF2120" s="106"/>
      <c r="RG2120" s="106"/>
      <c r="RH2120" s="106"/>
      <c r="RI2120" s="106"/>
      <c r="RJ2120" s="106"/>
      <c r="RK2120" s="106"/>
      <c r="RL2120" s="106"/>
    </row>
    <row r="2121" spans="48:480" x14ac:dyDescent="0.3">
      <c r="AV2121" s="103"/>
      <c r="CJ2121" s="103"/>
      <c r="FP2121" s="103"/>
      <c r="LL2121" s="103"/>
      <c r="NM2121" s="103"/>
      <c r="QT2121" s="106"/>
      <c r="QU2121" s="106"/>
      <c r="QV2121" s="106"/>
      <c r="QW2121" s="106"/>
      <c r="QX2121" s="106"/>
      <c r="QY2121" s="106"/>
      <c r="QZ2121" s="106"/>
      <c r="RA2121" s="106"/>
      <c r="RB2121" s="106"/>
      <c r="RC2121" s="106"/>
      <c r="RD2121" s="106"/>
      <c r="RE2121" s="106"/>
      <c r="RF2121" s="106"/>
      <c r="RG2121" s="106"/>
      <c r="RH2121" s="106"/>
      <c r="RI2121" s="106"/>
      <c r="RJ2121" s="106"/>
      <c r="RK2121" s="106"/>
      <c r="RL2121" s="106"/>
    </row>
    <row r="2122" spans="48:480" x14ac:dyDescent="0.3">
      <c r="AV2122" s="103"/>
      <c r="CJ2122" s="103"/>
      <c r="FP2122" s="103"/>
      <c r="LL2122" s="103"/>
      <c r="NM2122" s="103"/>
      <c r="QT2122" s="106"/>
      <c r="QU2122" s="106"/>
      <c r="QV2122" s="106"/>
      <c r="QW2122" s="106"/>
      <c r="QX2122" s="106"/>
      <c r="QY2122" s="106"/>
      <c r="QZ2122" s="106"/>
      <c r="RA2122" s="106"/>
      <c r="RB2122" s="106"/>
      <c r="RC2122" s="106"/>
      <c r="RD2122" s="106"/>
      <c r="RE2122" s="106"/>
      <c r="RF2122" s="106"/>
      <c r="RG2122" s="106"/>
      <c r="RH2122" s="106"/>
      <c r="RI2122" s="106"/>
      <c r="RJ2122" s="106"/>
      <c r="RK2122" s="106"/>
      <c r="RL2122" s="106"/>
    </row>
    <row r="2123" spans="48:480" x14ac:dyDescent="0.3">
      <c r="AV2123" s="103"/>
      <c r="CJ2123" s="103"/>
      <c r="FP2123" s="103"/>
      <c r="LL2123" s="103"/>
      <c r="NM2123" s="103"/>
      <c r="QT2123" s="106"/>
      <c r="QU2123" s="106"/>
      <c r="QV2123" s="106"/>
      <c r="QW2123" s="106"/>
      <c r="QX2123" s="106"/>
      <c r="QY2123" s="106"/>
      <c r="QZ2123" s="106"/>
      <c r="RA2123" s="106"/>
      <c r="RB2123" s="106"/>
      <c r="RC2123" s="106"/>
      <c r="RD2123" s="106"/>
      <c r="RE2123" s="106"/>
      <c r="RF2123" s="106"/>
      <c r="RG2123" s="106"/>
      <c r="RH2123" s="106"/>
      <c r="RI2123" s="106"/>
      <c r="RJ2123" s="106"/>
      <c r="RK2123" s="106"/>
      <c r="RL2123" s="106"/>
    </row>
    <row r="2124" spans="48:480" x14ac:dyDescent="0.3">
      <c r="AV2124" s="103"/>
      <c r="CJ2124" s="103"/>
      <c r="FP2124" s="103"/>
      <c r="LL2124" s="103"/>
      <c r="NM2124" s="103"/>
      <c r="QT2124" s="106"/>
      <c r="QU2124" s="106"/>
      <c r="QV2124" s="106"/>
      <c r="QW2124" s="106"/>
      <c r="QX2124" s="106"/>
      <c r="QY2124" s="106"/>
      <c r="QZ2124" s="106"/>
      <c r="RA2124" s="106"/>
      <c r="RB2124" s="106"/>
      <c r="RC2124" s="106"/>
      <c r="RD2124" s="106"/>
      <c r="RE2124" s="106"/>
      <c r="RF2124" s="106"/>
      <c r="RG2124" s="106"/>
      <c r="RH2124" s="106"/>
      <c r="RI2124" s="106"/>
      <c r="RJ2124" s="106"/>
      <c r="RK2124" s="106"/>
      <c r="RL2124" s="106"/>
    </row>
    <row r="2125" spans="48:480" x14ac:dyDescent="0.3">
      <c r="AV2125" s="103"/>
      <c r="CJ2125" s="103"/>
      <c r="FP2125" s="103"/>
      <c r="LL2125" s="103"/>
      <c r="NM2125" s="103"/>
      <c r="QT2125" s="106"/>
      <c r="QU2125" s="106"/>
      <c r="QV2125" s="106"/>
      <c r="QW2125" s="106"/>
      <c r="QX2125" s="106"/>
      <c r="QY2125" s="106"/>
      <c r="QZ2125" s="106"/>
      <c r="RA2125" s="106"/>
      <c r="RB2125" s="106"/>
      <c r="RC2125" s="106"/>
      <c r="RD2125" s="106"/>
      <c r="RE2125" s="106"/>
      <c r="RF2125" s="106"/>
      <c r="RG2125" s="106"/>
      <c r="RH2125" s="106"/>
      <c r="RI2125" s="106"/>
      <c r="RJ2125" s="106"/>
      <c r="RK2125" s="106"/>
      <c r="RL2125" s="106"/>
    </row>
    <row r="2126" spans="48:480" x14ac:dyDescent="0.3">
      <c r="AV2126" s="103"/>
      <c r="CJ2126" s="103"/>
      <c r="FP2126" s="103"/>
      <c r="LL2126" s="103"/>
      <c r="NM2126" s="103"/>
      <c r="QT2126" s="106"/>
      <c r="QU2126" s="106"/>
      <c r="QV2126" s="106"/>
      <c r="QW2126" s="106"/>
      <c r="QX2126" s="106"/>
      <c r="QY2126" s="106"/>
      <c r="QZ2126" s="106"/>
      <c r="RA2126" s="106"/>
      <c r="RB2126" s="106"/>
      <c r="RC2126" s="106"/>
      <c r="RD2126" s="106"/>
      <c r="RE2126" s="106"/>
      <c r="RF2126" s="106"/>
      <c r="RG2126" s="106"/>
      <c r="RH2126" s="106"/>
      <c r="RI2126" s="106"/>
      <c r="RJ2126" s="106"/>
      <c r="RK2126" s="106"/>
      <c r="RL2126" s="106"/>
    </row>
    <row r="2127" spans="48:480" x14ac:dyDescent="0.3">
      <c r="AV2127" s="103"/>
      <c r="CJ2127" s="103"/>
      <c r="FP2127" s="103"/>
      <c r="LL2127" s="103"/>
      <c r="NM2127" s="103"/>
      <c r="QT2127" s="106"/>
      <c r="QU2127" s="106"/>
      <c r="QV2127" s="106"/>
      <c r="QW2127" s="106"/>
      <c r="QX2127" s="106"/>
      <c r="QY2127" s="106"/>
      <c r="QZ2127" s="106"/>
      <c r="RA2127" s="106"/>
      <c r="RB2127" s="106"/>
      <c r="RC2127" s="106"/>
      <c r="RD2127" s="106"/>
      <c r="RE2127" s="106"/>
      <c r="RF2127" s="106"/>
      <c r="RG2127" s="106"/>
      <c r="RH2127" s="106"/>
      <c r="RI2127" s="106"/>
      <c r="RJ2127" s="106"/>
      <c r="RK2127" s="106"/>
      <c r="RL2127" s="106"/>
    </row>
    <row r="2128" spans="48:480" x14ac:dyDescent="0.3">
      <c r="AV2128" s="103"/>
      <c r="CJ2128" s="103"/>
      <c r="FP2128" s="103"/>
      <c r="LL2128" s="103"/>
      <c r="NM2128" s="103"/>
      <c r="QT2128" s="106"/>
      <c r="QU2128" s="106"/>
      <c r="QV2128" s="106"/>
      <c r="QW2128" s="106"/>
      <c r="QX2128" s="106"/>
      <c r="QY2128" s="106"/>
      <c r="QZ2128" s="106"/>
      <c r="RA2128" s="106"/>
      <c r="RB2128" s="106"/>
      <c r="RC2128" s="106"/>
      <c r="RD2128" s="106"/>
      <c r="RE2128" s="106"/>
      <c r="RF2128" s="106"/>
      <c r="RG2128" s="106"/>
      <c r="RH2128" s="106"/>
      <c r="RI2128" s="106"/>
      <c r="RJ2128" s="106"/>
      <c r="RK2128" s="106"/>
      <c r="RL2128" s="106"/>
    </row>
    <row r="2129" spans="48:480" x14ac:dyDescent="0.3">
      <c r="AV2129" s="103"/>
      <c r="CJ2129" s="103"/>
      <c r="FP2129" s="103"/>
      <c r="LL2129" s="103"/>
      <c r="NM2129" s="103"/>
      <c r="QT2129" s="106"/>
      <c r="QU2129" s="106"/>
      <c r="QV2129" s="106"/>
      <c r="QW2129" s="106"/>
      <c r="QX2129" s="106"/>
      <c r="QY2129" s="106"/>
      <c r="QZ2129" s="106"/>
      <c r="RA2129" s="106"/>
      <c r="RB2129" s="106"/>
      <c r="RC2129" s="106"/>
      <c r="RD2129" s="106"/>
      <c r="RE2129" s="106"/>
      <c r="RF2129" s="106"/>
      <c r="RG2129" s="106"/>
      <c r="RH2129" s="106"/>
      <c r="RI2129" s="106"/>
      <c r="RJ2129" s="106"/>
      <c r="RK2129" s="106"/>
      <c r="RL2129" s="106"/>
    </row>
    <row r="2130" spans="48:480" x14ac:dyDescent="0.3">
      <c r="AV2130" s="103"/>
      <c r="CJ2130" s="103"/>
      <c r="FP2130" s="103"/>
      <c r="LL2130" s="103"/>
      <c r="NM2130" s="103"/>
      <c r="QT2130" s="106"/>
      <c r="QU2130" s="106"/>
      <c r="QV2130" s="106"/>
      <c r="QW2130" s="106"/>
      <c r="QX2130" s="106"/>
      <c r="QY2130" s="106"/>
      <c r="QZ2130" s="106"/>
      <c r="RA2130" s="106"/>
      <c r="RB2130" s="106"/>
      <c r="RC2130" s="106"/>
      <c r="RD2130" s="106"/>
      <c r="RE2130" s="106"/>
      <c r="RF2130" s="106"/>
      <c r="RG2130" s="106"/>
      <c r="RH2130" s="106"/>
      <c r="RI2130" s="106"/>
      <c r="RJ2130" s="106"/>
      <c r="RK2130" s="106"/>
      <c r="RL2130" s="106"/>
    </row>
    <row r="2131" spans="48:480" x14ac:dyDescent="0.3">
      <c r="AV2131" s="103"/>
      <c r="CJ2131" s="103"/>
      <c r="FP2131" s="103"/>
      <c r="LL2131" s="103"/>
      <c r="NM2131" s="103"/>
      <c r="QT2131" s="106"/>
      <c r="QU2131" s="106"/>
      <c r="QV2131" s="106"/>
      <c r="QW2131" s="106"/>
      <c r="QX2131" s="106"/>
      <c r="QY2131" s="106"/>
      <c r="QZ2131" s="106"/>
      <c r="RA2131" s="106"/>
      <c r="RB2131" s="106"/>
      <c r="RC2131" s="106"/>
      <c r="RD2131" s="106"/>
      <c r="RE2131" s="106"/>
      <c r="RF2131" s="106"/>
      <c r="RG2131" s="106"/>
      <c r="RH2131" s="106"/>
      <c r="RI2131" s="106"/>
      <c r="RJ2131" s="106"/>
      <c r="RK2131" s="106"/>
      <c r="RL2131" s="106"/>
    </row>
    <row r="2132" spans="48:480" x14ac:dyDescent="0.3">
      <c r="AV2132" s="103"/>
      <c r="CJ2132" s="103"/>
      <c r="FP2132" s="103"/>
      <c r="LL2132" s="103"/>
      <c r="NM2132" s="103"/>
      <c r="QT2132" s="106"/>
      <c r="QU2132" s="106"/>
      <c r="QV2132" s="106"/>
      <c r="QW2132" s="106"/>
      <c r="QX2132" s="106"/>
      <c r="QY2132" s="106"/>
      <c r="QZ2132" s="106"/>
      <c r="RA2132" s="106"/>
      <c r="RB2132" s="106"/>
      <c r="RC2132" s="106"/>
      <c r="RD2132" s="106"/>
      <c r="RE2132" s="106"/>
      <c r="RF2132" s="106"/>
      <c r="RG2132" s="106"/>
      <c r="RH2132" s="106"/>
      <c r="RI2132" s="106"/>
      <c r="RJ2132" s="106"/>
      <c r="RK2132" s="106"/>
      <c r="RL2132" s="106"/>
    </row>
    <row r="2133" spans="48:480" x14ac:dyDescent="0.3">
      <c r="AV2133" s="103"/>
      <c r="CJ2133" s="103"/>
      <c r="FP2133" s="103"/>
      <c r="LL2133" s="103"/>
      <c r="NM2133" s="103"/>
      <c r="QT2133" s="106"/>
      <c r="QU2133" s="106"/>
      <c r="QV2133" s="106"/>
      <c r="QW2133" s="106"/>
      <c r="QX2133" s="106"/>
      <c r="QY2133" s="106"/>
      <c r="QZ2133" s="106"/>
      <c r="RA2133" s="106"/>
      <c r="RB2133" s="106"/>
      <c r="RC2133" s="106"/>
      <c r="RD2133" s="106"/>
      <c r="RE2133" s="106"/>
      <c r="RF2133" s="106"/>
      <c r="RG2133" s="106"/>
      <c r="RH2133" s="106"/>
      <c r="RI2133" s="106"/>
      <c r="RJ2133" s="106"/>
      <c r="RK2133" s="106"/>
      <c r="RL2133" s="106"/>
    </row>
    <row r="2134" spans="48:480" x14ac:dyDescent="0.3">
      <c r="AV2134" s="103"/>
      <c r="CJ2134" s="103"/>
      <c r="FP2134" s="103"/>
      <c r="LL2134" s="103"/>
      <c r="NM2134" s="103"/>
      <c r="QT2134" s="106"/>
      <c r="QU2134" s="106"/>
      <c r="QV2134" s="106"/>
      <c r="QW2134" s="106"/>
      <c r="QX2134" s="106"/>
      <c r="QY2134" s="106"/>
      <c r="QZ2134" s="106"/>
      <c r="RA2134" s="106"/>
      <c r="RB2134" s="106"/>
      <c r="RC2134" s="106"/>
      <c r="RD2134" s="106"/>
      <c r="RE2134" s="106"/>
      <c r="RF2134" s="106"/>
      <c r="RG2134" s="106"/>
      <c r="RH2134" s="106"/>
      <c r="RI2134" s="106"/>
      <c r="RJ2134" s="106"/>
      <c r="RK2134" s="106"/>
      <c r="RL2134" s="106"/>
    </row>
    <row r="2135" spans="48:480" x14ac:dyDescent="0.3">
      <c r="AV2135" s="103"/>
      <c r="CJ2135" s="103"/>
      <c r="FP2135" s="103"/>
      <c r="LL2135" s="103"/>
      <c r="NM2135" s="103"/>
      <c r="QT2135" s="106"/>
      <c r="QU2135" s="106"/>
      <c r="QV2135" s="106"/>
      <c r="QW2135" s="106"/>
      <c r="QX2135" s="106"/>
      <c r="QY2135" s="106"/>
      <c r="QZ2135" s="106"/>
      <c r="RA2135" s="106"/>
      <c r="RB2135" s="106"/>
      <c r="RC2135" s="106"/>
      <c r="RD2135" s="106"/>
      <c r="RE2135" s="106"/>
      <c r="RF2135" s="106"/>
      <c r="RG2135" s="106"/>
      <c r="RH2135" s="106"/>
      <c r="RI2135" s="106"/>
      <c r="RJ2135" s="106"/>
      <c r="RK2135" s="106"/>
      <c r="RL2135" s="106"/>
    </row>
    <row r="2136" spans="48:480" x14ac:dyDescent="0.3">
      <c r="AV2136" s="103"/>
      <c r="CJ2136" s="103"/>
      <c r="FP2136" s="103"/>
      <c r="LL2136" s="103"/>
      <c r="NM2136" s="103"/>
      <c r="QT2136" s="106"/>
      <c r="QU2136" s="106"/>
      <c r="QV2136" s="106"/>
      <c r="QW2136" s="106"/>
      <c r="QX2136" s="106"/>
      <c r="QY2136" s="106"/>
      <c r="QZ2136" s="106"/>
      <c r="RA2136" s="106"/>
      <c r="RB2136" s="106"/>
      <c r="RC2136" s="106"/>
      <c r="RD2136" s="106"/>
      <c r="RE2136" s="106"/>
      <c r="RF2136" s="106"/>
      <c r="RG2136" s="106"/>
      <c r="RH2136" s="106"/>
      <c r="RI2136" s="106"/>
      <c r="RJ2136" s="106"/>
      <c r="RK2136" s="106"/>
      <c r="RL2136" s="106"/>
    </row>
    <row r="2137" spans="48:480" x14ac:dyDescent="0.3">
      <c r="AV2137" s="103"/>
      <c r="CJ2137" s="103"/>
      <c r="FP2137" s="103"/>
      <c r="LL2137" s="103"/>
      <c r="NM2137" s="103"/>
      <c r="QT2137" s="106"/>
      <c r="QU2137" s="106"/>
      <c r="QV2137" s="106"/>
      <c r="QW2137" s="106"/>
      <c r="QX2137" s="106"/>
      <c r="QY2137" s="106"/>
      <c r="QZ2137" s="106"/>
      <c r="RA2137" s="106"/>
      <c r="RB2137" s="106"/>
      <c r="RC2137" s="106"/>
      <c r="RD2137" s="106"/>
      <c r="RE2137" s="106"/>
      <c r="RF2137" s="106"/>
      <c r="RG2137" s="106"/>
      <c r="RH2137" s="106"/>
      <c r="RI2137" s="106"/>
      <c r="RJ2137" s="106"/>
      <c r="RK2137" s="106"/>
      <c r="RL2137" s="106"/>
    </row>
    <row r="2138" spans="48:480" x14ac:dyDescent="0.3">
      <c r="AV2138" s="103"/>
      <c r="CJ2138" s="103"/>
      <c r="FP2138" s="103"/>
      <c r="LL2138" s="103"/>
      <c r="NM2138" s="103"/>
      <c r="QT2138" s="106"/>
      <c r="QU2138" s="106"/>
      <c r="QV2138" s="106"/>
      <c r="QW2138" s="106"/>
      <c r="QX2138" s="106"/>
      <c r="QY2138" s="106"/>
      <c r="QZ2138" s="106"/>
      <c r="RA2138" s="106"/>
      <c r="RB2138" s="106"/>
      <c r="RC2138" s="106"/>
      <c r="RD2138" s="106"/>
      <c r="RE2138" s="106"/>
      <c r="RF2138" s="106"/>
      <c r="RG2138" s="106"/>
      <c r="RH2138" s="106"/>
      <c r="RI2138" s="106"/>
      <c r="RJ2138" s="106"/>
      <c r="RK2138" s="106"/>
      <c r="RL2138" s="106"/>
    </row>
    <row r="2139" spans="48:480" x14ac:dyDescent="0.3">
      <c r="AV2139" s="103"/>
      <c r="CJ2139" s="103"/>
      <c r="FP2139" s="103"/>
      <c r="LL2139" s="103"/>
      <c r="NM2139" s="103"/>
      <c r="QT2139" s="106"/>
      <c r="QU2139" s="106"/>
      <c r="QV2139" s="106"/>
      <c r="QW2139" s="106"/>
      <c r="QX2139" s="106"/>
      <c r="QY2139" s="106"/>
      <c r="QZ2139" s="106"/>
      <c r="RA2139" s="106"/>
      <c r="RB2139" s="106"/>
      <c r="RC2139" s="106"/>
      <c r="RD2139" s="106"/>
      <c r="RE2139" s="106"/>
      <c r="RF2139" s="106"/>
      <c r="RG2139" s="106"/>
      <c r="RH2139" s="106"/>
      <c r="RI2139" s="106"/>
      <c r="RJ2139" s="106"/>
      <c r="RK2139" s="106"/>
      <c r="RL2139" s="106"/>
    </row>
    <row r="2140" spans="48:480" x14ac:dyDescent="0.3">
      <c r="AV2140" s="103"/>
      <c r="CJ2140" s="103"/>
      <c r="FP2140" s="103"/>
      <c r="LL2140" s="103"/>
      <c r="NM2140" s="103"/>
      <c r="QT2140" s="106"/>
      <c r="QU2140" s="106"/>
      <c r="QV2140" s="106"/>
      <c r="QW2140" s="106"/>
      <c r="QX2140" s="106"/>
      <c r="QY2140" s="106"/>
      <c r="QZ2140" s="106"/>
      <c r="RA2140" s="106"/>
      <c r="RB2140" s="106"/>
      <c r="RC2140" s="106"/>
      <c r="RD2140" s="106"/>
      <c r="RE2140" s="106"/>
      <c r="RF2140" s="106"/>
      <c r="RG2140" s="106"/>
      <c r="RH2140" s="106"/>
      <c r="RI2140" s="106"/>
      <c r="RJ2140" s="106"/>
      <c r="RK2140" s="106"/>
      <c r="RL2140" s="106"/>
    </row>
    <row r="2141" spans="48:480" x14ac:dyDescent="0.3">
      <c r="AV2141" s="103"/>
      <c r="CJ2141" s="103"/>
      <c r="FP2141" s="103"/>
      <c r="LL2141" s="103"/>
      <c r="NM2141" s="103"/>
      <c r="QT2141" s="106"/>
      <c r="QU2141" s="106"/>
      <c r="QV2141" s="106"/>
      <c r="QW2141" s="106"/>
      <c r="QX2141" s="106"/>
      <c r="QY2141" s="106"/>
      <c r="QZ2141" s="106"/>
      <c r="RA2141" s="106"/>
      <c r="RB2141" s="106"/>
      <c r="RC2141" s="106"/>
      <c r="RD2141" s="106"/>
      <c r="RE2141" s="106"/>
      <c r="RF2141" s="106"/>
      <c r="RG2141" s="106"/>
      <c r="RH2141" s="106"/>
      <c r="RI2141" s="106"/>
      <c r="RJ2141" s="106"/>
      <c r="RK2141" s="106"/>
      <c r="RL2141" s="106"/>
    </row>
    <row r="2142" spans="48:480" x14ac:dyDescent="0.3">
      <c r="AV2142" s="103"/>
      <c r="CJ2142" s="103"/>
      <c r="FP2142" s="103"/>
      <c r="LL2142" s="103"/>
      <c r="NM2142" s="103"/>
      <c r="QT2142" s="106"/>
      <c r="QU2142" s="106"/>
      <c r="QV2142" s="106"/>
      <c r="QW2142" s="106"/>
      <c r="QX2142" s="106"/>
      <c r="QY2142" s="106"/>
      <c r="QZ2142" s="106"/>
      <c r="RA2142" s="106"/>
      <c r="RB2142" s="106"/>
      <c r="RC2142" s="106"/>
      <c r="RD2142" s="106"/>
      <c r="RE2142" s="106"/>
      <c r="RF2142" s="106"/>
      <c r="RG2142" s="106"/>
      <c r="RH2142" s="106"/>
      <c r="RI2142" s="106"/>
      <c r="RJ2142" s="106"/>
      <c r="RK2142" s="106"/>
      <c r="RL2142" s="106"/>
    </row>
    <row r="2143" spans="48:480" x14ac:dyDescent="0.3">
      <c r="AV2143" s="103"/>
      <c r="CJ2143" s="103"/>
      <c r="FP2143" s="103"/>
      <c r="LL2143" s="103"/>
      <c r="NM2143" s="103"/>
      <c r="QT2143" s="106"/>
      <c r="QU2143" s="106"/>
      <c r="QV2143" s="106"/>
      <c r="QW2143" s="106"/>
      <c r="QX2143" s="106"/>
      <c r="QY2143" s="106"/>
      <c r="QZ2143" s="106"/>
      <c r="RA2143" s="106"/>
      <c r="RB2143" s="106"/>
      <c r="RC2143" s="106"/>
      <c r="RD2143" s="106"/>
      <c r="RE2143" s="106"/>
      <c r="RF2143" s="106"/>
      <c r="RG2143" s="106"/>
      <c r="RH2143" s="106"/>
      <c r="RI2143" s="106"/>
      <c r="RJ2143" s="106"/>
      <c r="RK2143" s="106"/>
      <c r="RL2143" s="106"/>
    </row>
    <row r="2144" spans="48:480" x14ac:dyDescent="0.3">
      <c r="AV2144" s="103"/>
      <c r="CJ2144" s="103"/>
      <c r="FP2144" s="103"/>
      <c r="LL2144" s="103"/>
      <c r="NM2144" s="103"/>
      <c r="QT2144" s="106"/>
      <c r="QU2144" s="106"/>
      <c r="QV2144" s="106"/>
      <c r="QW2144" s="106"/>
      <c r="QX2144" s="106"/>
      <c r="QY2144" s="106"/>
      <c r="QZ2144" s="106"/>
      <c r="RA2144" s="106"/>
      <c r="RB2144" s="106"/>
      <c r="RC2144" s="106"/>
      <c r="RD2144" s="106"/>
      <c r="RE2144" s="106"/>
      <c r="RF2144" s="106"/>
      <c r="RG2144" s="106"/>
      <c r="RH2144" s="106"/>
      <c r="RI2144" s="106"/>
      <c r="RJ2144" s="106"/>
      <c r="RK2144" s="106"/>
      <c r="RL2144" s="106"/>
    </row>
    <row r="2145" spans="48:480" x14ac:dyDescent="0.3">
      <c r="AV2145" s="103"/>
      <c r="CJ2145" s="103"/>
      <c r="FP2145" s="103"/>
      <c r="LL2145" s="103"/>
      <c r="NM2145" s="103"/>
      <c r="QT2145" s="106"/>
      <c r="QU2145" s="106"/>
      <c r="QV2145" s="106"/>
      <c r="QW2145" s="106"/>
      <c r="QX2145" s="106"/>
      <c r="QY2145" s="106"/>
      <c r="QZ2145" s="106"/>
      <c r="RA2145" s="106"/>
      <c r="RB2145" s="106"/>
      <c r="RC2145" s="106"/>
      <c r="RD2145" s="106"/>
      <c r="RE2145" s="106"/>
      <c r="RF2145" s="106"/>
      <c r="RG2145" s="106"/>
      <c r="RH2145" s="106"/>
      <c r="RI2145" s="106"/>
      <c r="RJ2145" s="106"/>
      <c r="RK2145" s="106"/>
      <c r="RL2145" s="106"/>
    </row>
    <row r="2146" spans="48:480" x14ac:dyDescent="0.3">
      <c r="AV2146" s="103"/>
      <c r="CJ2146" s="103"/>
      <c r="FP2146" s="103"/>
      <c r="LL2146" s="103"/>
      <c r="NM2146" s="103"/>
      <c r="QT2146" s="106"/>
      <c r="QU2146" s="106"/>
      <c r="QV2146" s="106"/>
      <c r="QW2146" s="106"/>
      <c r="QX2146" s="106"/>
      <c r="QY2146" s="106"/>
      <c r="QZ2146" s="106"/>
      <c r="RA2146" s="106"/>
      <c r="RB2146" s="106"/>
      <c r="RC2146" s="106"/>
      <c r="RD2146" s="106"/>
      <c r="RE2146" s="106"/>
      <c r="RF2146" s="106"/>
      <c r="RG2146" s="106"/>
      <c r="RH2146" s="106"/>
      <c r="RI2146" s="106"/>
      <c r="RJ2146" s="106"/>
      <c r="RK2146" s="106"/>
      <c r="RL2146" s="106"/>
    </row>
    <row r="2147" spans="48:480" x14ac:dyDescent="0.3">
      <c r="AV2147" s="103"/>
      <c r="CJ2147" s="103"/>
      <c r="FP2147" s="103"/>
      <c r="LL2147" s="103"/>
      <c r="NM2147" s="103"/>
      <c r="QT2147" s="106"/>
      <c r="QU2147" s="106"/>
      <c r="QV2147" s="106"/>
      <c r="QW2147" s="106"/>
      <c r="QX2147" s="106"/>
      <c r="QY2147" s="106"/>
      <c r="QZ2147" s="106"/>
      <c r="RA2147" s="106"/>
      <c r="RB2147" s="106"/>
      <c r="RC2147" s="106"/>
      <c r="RD2147" s="106"/>
      <c r="RE2147" s="106"/>
      <c r="RF2147" s="106"/>
      <c r="RG2147" s="106"/>
      <c r="RH2147" s="106"/>
      <c r="RI2147" s="106"/>
      <c r="RJ2147" s="106"/>
      <c r="RK2147" s="106"/>
      <c r="RL2147" s="106"/>
    </row>
    <row r="2148" spans="48:480" x14ac:dyDescent="0.3">
      <c r="AV2148" s="103"/>
      <c r="CJ2148" s="103"/>
      <c r="FP2148" s="103"/>
      <c r="LL2148" s="103"/>
      <c r="NM2148" s="103"/>
      <c r="QT2148" s="106"/>
      <c r="QU2148" s="106"/>
      <c r="QV2148" s="106"/>
      <c r="QW2148" s="106"/>
      <c r="QX2148" s="106"/>
      <c r="QY2148" s="106"/>
      <c r="QZ2148" s="106"/>
      <c r="RA2148" s="106"/>
      <c r="RB2148" s="106"/>
      <c r="RC2148" s="106"/>
      <c r="RD2148" s="106"/>
      <c r="RE2148" s="106"/>
      <c r="RF2148" s="106"/>
      <c r="RG2148" s="106"/>
      <c r="RH2148" s="106"/>
      <c r="RI2148" s="106"/>
      <c r="RJ2148" s="106"/>
      <c r="RK2148" s="106"/>
      <c r="RL2148" s="106"/>
    </row>
    <row r="2149" spans="48:480" x14ac:dyDescent="0.3">
      <c r="AV2149" s="103"/>
      <c r="CJ2149" s="103"/>
      <c r="FP2149" s="103"/>
      <c r="LL2149" s="103"/>
      <c r="NM2149" s="103"/>
      <c r="QT2149" s="106"/>
      <c r="QU2149" s="106"/>
      <c r="QV2149" s="106"/>
      <c r="QW2149" s="106"/>
      <c r="QX2149" s="106"/>
      <c r="QY2149" s="106"/>
      <c r="QZ2149" s="106"/>
      <c r="RA2149" s="106"/>
      <c r="RB2149" s="106"/>
      <c r="RC2149" s="106"/>
      <c r="RD2149" s="106"/>
      <c r="RE2149" s="106"/>
      <c r="RF2149" s="106"/>
      <c r="RG2149" s="106"/>
      <c r="RH2149" s="106"/>
      <c r="RI2149" s="106"/>
      <c r="RJ2149" s="106"/>
      <c r="RK2149" s="106"/>
      <c r="RL2149" s="106"/>
    </row>
    <row r="2150" spans="48:480" x14ac:dyDescent="0.3">
      <c r="AV2150" s="103"/>
      <c r="CJ2150" s="103"/>
      <c r="FP2150" s="103"/>
      <c r="LL2150" s="103"/>
      <c r="NM2150" s="103"/>
      <c r="QT2150" s="106"/>
      <c r="QU2150" s="106"/>
      <c r="QV2150" s="106"/>
      <c r="QW2150" s="106"/>
      <c r="QX2150" s="106"/>
      <c r="QY2150" s="106"/>
      <c r="QZ2150" s="106"/>
      <c r="RA2150" s="106"/>
      <c r="RB2150" s="106"/>
      <c r="RC2150" s="106"/>
      <c r="RD2150" s="106"/>
      <c r="RE2150" s="106"/>
      <c r="RF2150" s="106"/>
      <c r="RG2150" s="106"/>
      <c r="RH2150" s="106"/>
      <c r="RI2150" s="106"/>
      <c r="RJ2150" s="106"/>
      <c r="RK2150" s="106"/>
      <c r="RL2150" s="106"/>
    </row>
    <row r="2151" spans="48:480" x14ac:dyDescent="0.3">
      <c r="AV2151" s="103"/>
      <c r="CJ2151" s="103"/>
      <c r="FP2151" s="103"/>
      <c r="LL2151" s="103"/>
      <c r="NM2151" s="103"/>
      <c r="QT2151" s="106"/>
      <c r="QU2151" s="106"/>
      <c r="QV2151" s="106"/>
      <c r="QW2151" s="106"/>
      <c r="QX2151" s="106"/>
      <c r="QY2151" s="106"/>
      <c r="QZ2151" s="106"/>
      <c r="RA2151" s="106"/>
      <c r="RB2151" s="106"/>
      <c r="RC2151" s="106"/>
      <c r="RD2151" s="106"/>
      <c r="RE2151" s="106"/>
      <c r="RF2151" s="106"/>
      <c r="RG2151" s="106"/>
      <c r="RH2151" s="106"/>
      <c r="RI2151" s="106"/>
      <c r="RJ2151" s="106"/>
      <c r="RK2151" s="106"/>
      <c r="RL2151" s="106"/>
    </row>
    <row r="2152" spans="48:480" x14ac:dyDescent="0.3">
      <c r="AV2152" s="103"/>
      <c r="CJ2152" s="103"/>
      <c r="FP2152" s="103"/>
      <c r="LL2152" s="103"/>
      <c r="NM2152" s="103"/>
      <c r="QT2152" s="106"/>
      <c r="QU2152" s="106"/>
      <c r="QV2152" s="106"/>
      <c r="QW2152" s="106"/>
      <c r="QX2152" s="106"/>
      <c r="QY2152" s="106"/>
      <c r="QZ2152" s="106"/>
      <c r="RA2152" s="106"/>
      <c r="RB2152" s="106"/>
      <c r="RC2152" s="106"/>
      <c r="RD2152" s="106"/>
      <c r="RE2152" s="106"/>
      <c r="RF2152" s="106"/>
      <c r="RG2152" s="106"/>
      <c r="RH2152" s="106"/>
      <c r="RI2152" s="106"/>
      <c r="RJ2152" s="106"/>
      <c r="RK2152" s="106"/>
      <c r="RL2152" s="106"/>
    </row>
    <row r="2153" spans="48:480" x14ac:dyDescent="0.3">
      <c r="AV2153" s="103"/>
      <c r="CJ2153" s="103"/>
      <c r="FP2153" s="103"/>
      <c r="LL2153" s="103"/>
      <c r="NM2153" s="103"/>
      <c r="QT2153" s="106"/>
      <c r="QU2153" s="106"/>
      <c r="QV2153" s="106"/>
      <c r="QW2153" s="106"/>
      <c r="QX2153" s="106"/>
      <c r="QY2153" s="106"/>
      <c r="QZ2153" s="106"/>
      <c r="RA2153" s="106"/>
      <c r="RB2153" s="106"/>
      <c r="RC2153" s="106"/>
      <c r="RD2153" s="106"/>
      <c r="RE2153" s="106"/>
      <c r="RF2153" s="106"/>
      <c r="RG2153" s="106"/>
      <c r="RH2153" s="106"/>
      <c r="RI2153" s="106"/>
      <c r="RJ2153" s="106"/>
      <c r="RK2153" s="106"/>
      <c r="RL2153" s="106"/>
    </row>
    <row r="2154" spans="48:480" x14ac:dyDescent="0.3">
      <c r="AV2154" s="103"/>
      <c r="CJ2154" s="103"/>
      <c r="FP2154" s="103"/>
      <c r="LL2154" s="103"/>
      <c r="NM2154" s="103"/>
      <c r="QT2154" s="106"/>
      <c r="QU2154" s="106"/>
      <c r="QV2154" s="106"/>
      <c r="QW2154" s="106"/>
      <c r="QX2154" s="106"/>
      <c r="QY2154" s="106"/>
      <c r="QZ2154" s="106"/>
      <c r="RA2154" s="106"/>
      <c r="RB2154" s="106"/>
      <c r="RC2154" s="106"/>
      <c r="RD2154" s="106"/>
      <c r="RE2154" s="106"/>
      <c r="RF2154" s="106"/>
      <c r="RG2154" s="106"/>
      <c r="RH2154" s="106"/>
      <c r="RI2154" s="106"/>
      <c r="RJ2154" s="106"/>
      <c r="RK2154" s="106"/>
      <c r="RL2154" s="106"/>
    </row>
    <row r="2155" spans="48:480" x14ac:dyDescent="0.3">
      <c r="AV2155" s="103"/>
      <c r="CJ2155" s="103"/>
      <c r="FP2155" s="103"/>
      <c r="LL2155" s="103"/>
      <c r="NM2155" s="103"/>
      <c r="QT2155" s="106"/>
      <c r="QU2155" s="106"/>
      <c r="QV2155" s="106"/>
      <c r="QW2155" s="106"/>
      <c r="QX2155" s="106"/>
      <c r="QY2155" s="106"/>
      <c r="QZ2155" s="106"/>
      <c r="RA2155" s="106"/>
      <c r="RB2155" s="106"/>
      <c r="RC2155" s="106"/>
      <c r="RD2155" s="106"/>
      <c r="RE2155" s="106"/>
      <c r="RF2155" s="106"/>
      <c r="RG2155" s="106"/>
      <c r="RH2155" s="106"/>
      <c r="RI2155" s="106"/>
      <c r="RJ2155" s="106"/>
      <c r="RK2155" s="106"/>
      <c r="RL2155" s="106"/>
    </row>
    <row r="2156" spans="48:480" x14ac:dyDescent="0.3">
      <c r="AV2156" s="103"/>
      <c r="CJ2156" s="103"/>
      <c r="FP2156" s="103"/>
      <c r="LL2156" s="103"/>
      <c r="NM2156" s="103"/>
      <c r="QT2156" s="106"/>
      <c r="QU2156" s="106"/>
      <c r="QV2156" s="106"/>
      <c r="QW2156" s="106"/>
      <c r="QX2156" s="106"/>
      <c r="QY2156" s="106"/>
      <c r="QZ2156" s="106"/>
      <c r="RA2156" s="106"/>
      <c r="RB2156" s="106"/>
      <c r="RC2156" s="106"/>
      <c r="RD2156" s="106"/>
      <c r="RE2156" s="106"/>
      <c r="RF2156" s="106"/>
      <c r="RG2156" s="106"/>
      <c r="RH2156" s="106"/>
      <c r="RI2156" s="106"/>
      <c r="RJ2156" s="106"/>
      <c r="RK2156" s="106"/>
      <c r="RL2156" s="106"/>
    </row>
    <row r="2157" spans="48:480" x14ac:dyDescent="0.3">
      <c r="AV2157" s="103"/>
      <c r="CJ2157" s="103"/>
      <c r="FP2157" s="103"/>
      <c r="LL2157" s="103"/>
      <c r="NM2157" s="103"/>
      <c r="QT2157" s="106"/>
      <c r="QU2157" s="106"/>
      <c r="QV2157" s="106"/>
      <c r="QW2157" s="106"/>
      <c r="QX2157" s="106"/>
      <c r="QY2157" s="106"/>
      <c r="QZ2157" s="106"/>
      <c r="RA2157" s="106"/>
      <c r="RB2157" s="106"/>
      <c r="RC2157" s="106"/>
      <c r="RD2157" s="106"/>
      <c r="RE2157" s="106"/>
      <c r="RF2157" s="106"/>
      <c r="RG2157" s="106"/>
      <c r="RH2157" s="106"/>
      <c r="RI2157" s="106"/>
      <c r="RJ2157" s="106"/>
      <c r="RK2157" s="106"/>
      <c r="RL2157" s="106"/>
    </row>
    <row r="2158" spans="48:480" x14ac:dyDescent="0.3">
      <c r="AV2158" s="103"/>
      <c r="CJ2158" s="103"/>
      <c r="FP2158" s="103"/>
      <c r="LL2158" s="103"/>
      <c r="NM2158" s="103"/>
      <c r="QT2158" s="106"/>
      <c r="QU2158" s="106"/>
      <c r="QV2158" s="106"/>
      <c r="QW2158" s="106"/>
      <c r="QX2158" s="106"/>
      <c r="QY2158" s="106"/>
      <c r="QZ2158" s="106"/>
      <c r="RA2158" s="106"/>
      <c r="RB2158" s="106"/>
      <c r="RC2158" s="106"/>
      <c r="RD2158" s="106"/>
      <c r="RE2158" s="106"/>
      <c r="RF2158" s="106"/>
      <c r="RG2158" s="106"/>
      <c r="RH2158" s="106"/>
      <c r="RI2158" s="106"/>
      <c r="RJ2158" s="106"/>
      <c r="RK2158" s="106"/>
      <c r="RL2158" s="106"/>
    </row>
    <row r="2159" spans="48:480" x14ac:dyDescent="0.3">
      <c r="AV2159" s="103"/>
      <c r="CJ2159" s="103"/>
      <c r="FP2159" s="103"/>
      <c r="LL2159" s="103"/>
      <c r="NM2159" s="103"/>
      <c r="QT2159" s="106"/>
      <c r="QU2159" s="106"/>
      <c r="QV2159" s="106"/>
      <c r="QW2159" s="106"/>
      <c r="QX2159" s="106"/>
      <c r="QY2159" s="106"/>
      <c r="QZ2159" s="106"/>
      <c r="RA2159" s="106"/>
      <c r="RB2159" s="106"/>
      <c r="RC2159" s="106"/>
      <c r="RD2159" s="106"/>
      <c r="RE2159" s="106"/>
      <c r="RF2159" s="106"/>
      <c r="RG2159" s="106"/>
      <c r="RH2159" s="106"/>
      <c r="RI2159" s="106"/>
      <c r="RJ2159" s="106"/>
      <c r="RK2159" s="106"/>
      <c r="RL2159" s="106"/>
    </row>
    <row r="2160" spans="48:480" x14ac:dyDescent="0.3">
      <c r="AV2160" s="103"/>
      <c r="CJ2160" s="103"/>
      <c r="FP2160" s="103"/>
      <c r="LL2160" s="103"/>
      <c r="NM2160" s="103"/>
      <c r="QT2160" s="106"/>
      <c r="QU2160" s="106"/>
      <c r="QV2160" s="106"/>
      <c r="QW2160" s="106"/>
      <c r="QX2160" s="106"/>
      <c r="QY2160" s="106"/>
      <c r="QZ2160" s="106"/>
      <c r="RA2160" s="106"/>
      <c r="RB2160" s="106"/>
      <c r="RC2160" s="106"/>
      <c r="RD2160" s="106"/>
      <c r="RE2160" s="106"/>
      <c r="RF2160" s="106"/>
      <c r="RG2160" s="106"/>
      <c r="RH2160" s="106"/>
      <c r="RI2160" s="106"/>
      <c r="RJ2160" s="106"/>
      <c r="RK2160" s="106"/>
      <c r="RL2160" s="106"/>
    </row>
    <row r="2161" spans="48:480" x14ac:dyDescent="0.3">
      <c r="AV2161" s="103"/>
      <c r="CJ2161" s="103"/>
      <c r="FP2161" s="103"/>
      <c r="LL2161" s="103"/>
      <c r="NM2161" s="103"/>
      <c r="QT2161" s="106"/>
      <c r="QU2161" s="106"/>
      <c r="QV2161" s="106"/>
      <c r="QW2161" s="106"/>
      <c r="QX2161" s="106"/>
      <c r="QY2161" s="106"/>
      <c r="QZ2161" s="106"/>
      <c r="RA2161" s="106"/>
      <c r="RB2161" s="106"/>
      <c r="RC2161" s="106"/>
      <c r="RD2161" s="106"/>
      <c r="RE2161" s="106"/>
      <c r="RF2161" s="106"/>
      <c r="RG2161" s="106"/>
      <c r="RH2161" s="106"/>
      <c r="RI2161" s="106"/>
      <c r="RJ2161" s="106"/>
      <c r="RK2161" s="106"/>
      <c r="RL2161" s="106"/>
    </row>
    <row r="2162" spans="48:480" x14ac:dyDescent="0.3">
      <c r="AV2162" s="103"/>
      <c r="CJ2162" s="103"/>
      <c r="FP2162" s="103"/>
      <c r="LL2162" s="103"/>
      <c r="NM2162" s="103"/>
      <c r="QT2162" s="106"/>
      <c r="QU2162" s="106"/>
      <c r="QV2162" s="106"/>
      <c r="QW2162" s="106"/>
      <c r="QX2162" s="106"/>
      <c r="QY2162" s="106"/>
      <c r="QZ2162" s="106"/>
      <c r="RA2162" s="106"/>
      <c r="RB2162" s="106"/>
      <c r="RC2162" s="106"/>
      <c r="RD2162" s="106"/>
      <c r="RE2162" s="106"/>
      <c r="RF2162" s="106"/>
      <c r="RG2162" s="106"/>
      <c r="RH2162" s="106"/>
      <c r="RI2162" s="106"/>
      <c r="RJ2162" s="106"/>
      <c r="RK2162" s="106"/>
      <c r="RL2162" s="106"/>
    </row>
    <row r="2163" spans="48:480" x14ac:dyDescent="0.3">
      <c r="AV2163" s="103"/>
      <c r="CJ2163" s="103"/>
      <c r="FP2163" s="103"/>
      <c r="LL2163" s="103"/>
      <c r="NM2163" s="103"/>
      <c r="QT2163" s="106"/>
      <c r="QU2163" s="106"/>
      <c r="QV2163" s="106"/>
      <c r="QW2163" s="106"/>
      <c r="QX2163" s="106"/>
      <c r="QY2163" s="106"/>
      <c r="QZ2163" s="106"/>
      <c r="RA2163" s="106"/>
      <c r="RB2163" s="106"/>
      <c r="RC2163" s="106"/>
      <c r="RD2163" s="106"/>
      <c r="RE2163" s="106"/>
      <c r="RF2163" s="106"/>
      <c r="RG2163" s="106"/>
      <c r="RH2163" s="106"/>
      <c r="RI2163" s="106"/>
      <c r="RJ2163" s="106"/>
      <c r="RK2163" s="106"/>
      <c r="RL2163" s="106"/>
    </row>
    <row r="2164" spans="48:480" x14ac:dyDescent="0.3">
      <c r="AV2164" s="103"/>
      <c r="CJ2164" s="103"/>
      <c r="FP2164" s="103"/>
      <c r="LL2164" s="103"/>
      <c r="NM2164" s="103"/>
      <c r="QT2164" s="106"/>
      <c r="QU2164" s="106"/>
      <c r="QV2164" s="106"/>
      <c r="QW2164" s="106"/>
      <c r="QX2164" s="106"/>
      <c r="QY2164" s="106"/>
      <c r="QZ2164" s="106"/>
      <c r="RA2164" s="106"/>
      <c r="RB2164" s="106"/>
      <c r="RC2164" s="106"/>
      <c r="RD2164" s="106"/>
      <c r="RE2164" s="106"/>
      <c r="RF2164" s="106"/>
      <c r="RG2164" s="106"/>
      <c r="RH2164" s="106"/>
      <c r="RI2164" s="106"/>
      <c r="RJ2164" s="106"/>
      <c r="RK2164" s="106"/>
      <c r="RL2164" s="106"/>
    </row>
    <row r="2165" spans="48:480" x14ac:dyDescent="0.3">
      <c r="AV2165" s="103"/>
      <c r="CJ2165" s="103"/>
      <c r="FP2165" s="103"/>
      <c r="LL2165" s="103"/>
      <c r="NM2165" s="103"/>
      <c r="QT2165" s="106"/>
      <c r="QU2165" s="106"/>
      <c r="QV2165" s="106"/>
      <c r="QW2165" s="106"/>
      <c r="QX2165" s="106"/>
      <c r="QY2165" s="106"/>
      <c r="QZ2165" s="106"/>
      <c r="RA2165" s="106"/>
      <c r="RB2165" s="106"/>
      <c r="RC2165" s="106"/>
      <c r="RD2165" s="106"/>
      <c r="RE2165" s="106"/>
      <c r="RF2165" s="106"/>
      <c r="RG2165" s="106"/>
      <c r="RH2165" s="106"/>
      <c r="RI2165" s="106"/>
      <c r="RJ2165" s="106"/>
      <c r="RK2165" s="106"/>
      <c r="RL2165" s="106"/>
    </row>
    <row r="2166" spans="48:480" x14ac:dyDescent="0.3">
      <c r="AV2166" s="103"/>
      <c r="CJ2166" s="103"/>
      <c r="FP2166" s="103"/>
      <c r="LL2166" s="103"/>
      <c r="NM2166" s="103"/>
      <c r="QT2166" s="106"/>
      <c r="QU2166" s="106"/>
      <c r="QV2166" s="106"/>
      <c r="QW2166" s="106"/>
      <c r="QX2166" s="106"/>
      <c r="QY2166" s="106"/>
      <c r="QZ2166" s="106"/>
      <c r="RA2166" s="106"/>
      <c r="RB2166" s="106"/>
      <c r="RC2166" s="106"/>
      <c r="RD2166" s="106"/>
      <c r="RE2166" s="106"/>
      <c r="RF2166" s="106"/>
      <c r="RG2166" s="106"/>
      <c r="RH2166" s="106"/>
      <c r="RI2166" s="106"/>
      <c r="RJ2166" s="106"/>
      <c r="RK2166" s="106"/>
      <c r="RL2166" s="106"/>
    </row>
    <row r="2167" spans="48:480" x14ac:dyDescent="0.3">
      <c r="AV2167" s="103"/>
      <c r="CJ2167" s="103"/>
      <c r="FP2167" s="103"/>
      <c r="LL2167" s="103"/>
      <c r="NM2167" s="103"/>
      <c r="QT2167" s="106"/>
      <c r="QU2167" s="106"/>
      <c r="QV2167" s="106"/>
      <c r="QW2167" s="106"/>
      <c r="QX2167" s="106"/>
      <c r="QY2167" s="106"/>
      <c r="QZ2167" s="106"/>
      <c r="RA2167" s="106"/>
      <c r="RB2167" s="106"/>
      <c r="RC2167" s="106"/>
      <c r="RD2167" s="106"/>
      <c r="RE2167" s="106"/>
      <c r="RF2167" s="106"/>
      <c r="RG2167" s="106"/>
      <c r="RH2167" s="106"/>
      <c r="RI2167" s="106"/>
      <c r="RJ2167" s="106"/>
      <c r="RK2167" s="106"/>
      <c r="RL2167" s="106"/>
    </row>
    <row r="2168" spans="48:480" x14ac:dyDescent="0.3">
      <c r="AV2168" s="103"/>
      <c r="CJ2168" s="103"/>
      <c r="FP2168" s="103"/>
      <c r="LL2168" s="103"/>
      <c r="NM2168" s="103"/>
      <c r="QT2168" s="106"/>
      <c r="QU2168" s="106"/>
      <c r="QV2168" s="106"/>
      <c r="QW2168" s="106"/>
      <c r="QX2168" s="106"/>
      <c r="QY2168" s="106"/>
      <c r="QZ2168" s="106"/>
      <c r="RA2168" s="106"/>
      <c r="RB2168" s="106"/>
      <c r="RC2168" s="106"/>
      <c r="RD2168" s="106"/>
      <c r="RE2168" s="106"/>
      <c r="RF2168" s="106"/>
      <c r="RG2168" s="106"/>
      <c r="RH2168" s="106"/>
      <c r="RI2168" s="106"/>
      <c r="RJ2168" s="106"/>
      <c r="RK2168" s="106"/>
      <c r="RL2168" s="106"/>
    </row>
    <row r="2169" spans="48:480" x14ac:dyDescent="0.3">
      <c r="AV2169" s="103"/>
      <c r="CJ2169" s="103"/>
      <c r="FP2169" s="103"/>
      <c r="LL2169" s="103"/>
      <c r="NM2169" s="103"/>
      <c r="QT2169" s="106"/>
      <c r="QU2169" s="106"/>
      <c r="QV2169" s="106"/>
      <c r="QW2169" s="106"/>
      <c r="QX2169" s="106"/>
      <c r="QY2169" s="106"/>
      <c r="QZ2169" s="106"/>
      <c r="RA2169" s="106"/>
      <c r="RB2169" s="106"/>
      <c r="RC2169" s="106"/>
      <c r="RD2169" s="106"/>
      <c r="RE2169" s="106"/>
      <c r="RF2169" s="106"/>
      <c r="RG2169" s="106"/>
      <c r="RH2169" s="106"/>
      <c r="RI2169" s="106"/>
      <c r="RJ2169" s="106"/>
      <c r="RK2169" s="106"/>
      <c r="RL2169" s="106"/>
    </row>
    <row r="2170" spans="48:480" x14ac:dyDescent="0.3">
      <c r="AV2170" s="103"/>
      <c r="CJ2170" s="103"/>
      <c r="FP2170" s="103"/>
      <c r="LL2170" s="103"/>
      <c r="NM2170" s="103"/>
      <c r="QT2170" s="106"/>
      <c r="QU2170" s="106"/>
      <c r="QV2170" s="106"/>
      <c r="QW2170" s="106"/>
      <c r="QX2170" s="106"/>
      <c r="QY2170" s="106"/>
      <c r="QZ2170" s="106"/>
      <c r="RA2170" s="106"/>
      <c r="RB2170" s="106"/>
      <c r="RC2170" s="106"/>
      <c r="RD2170" s="106"/>
      <c r="RE2170" s="106"/>
      <c r="RF2170" s="106"/>
      <c r="RG2170" s="106"/>
      <c r="RH2170" s="106"/>
      <c r="RI2170" s="106"/>
      <c r="RJ2170" s="106"/>
      <c r="RK2170" s="106"/>
      <c r="RL2170" s="106"/>
    </row>
    <row r="2171" spans="48:480" x14ac:dyDescent="0.3">
      <c r="AV2171" s="103"/>
      <c r="CJ2171" s="103"/>
      <c r="FP2171" s="103"/>
      <c r="LL2171" s="103"/>
      <c r="NM2171" s="103"/>
      <c r="QT2171" s="106"/>
      <c r="QU2171" s="106"/>
      <c r="QV2171" s="106"/>
      <c r="QW2171" s="106"/>
      <c r="QX2171" s="106"/>
      <c r="QY2171" s="106"/>
      <c r="QZ2171" s="106"/>
      <c r="RA2171" s="106"/>
      <c r="RB2171" s="106"/>
      <c r="RC2171" s="106"/>
      <c r="RD2171" s="106"/>
      <c r="RE2171" s="106"/>
      <c r="RF2171" s="106"/>
      <c r="RG2171" s="106"/>
      <c r="RH2171" s="106"/>
      <c r="RI2171" s="106"/>
      <c r="RJ2171" s="106"/>
      <c r="RK2171" s="106"/>
      <c r="RL2171" s="106"/>
    </row>
    <row r="2172" spans="48:480" x14ac:dyDescent="0.3">
      <c r="AV2172" s="103"/>
      <c r="CJ2172" s="103"/>
      <c r="FP2172" s="103"/>
      <c r="LL2172" s="103"/>
      <c r="NM2172" s="103"/>
      <c r="QT2172" s="106"/>
      <c r="QU2172" s="106"/>
      <c r="QV2172" s="106"/>
      <c r="QW2172" s="106"/>
      <c r="QX2172" s="106"/>
      <c r="QY2172" s="106"/>
      <c r="QZ2172" s="106"/>
      <c r="RA2172" s="106"/>
      <c r="RB2172" s="106"/>
      <c r="RC2172" s="106"/>
      <c r="RD2172" s="106"/>
      <c r="RE2172" s="106"/>
      <c r="RF2172" s="106"/>
      <c r="RG2172" s="106"/>
      <c r="RH2172" s="106"/>
      <c r="RI2172" s="106"/>
      <c r="RJ2172" s="106"/>
      <c r="RK2172" s="106"/>
      <c r="RL2172" s="106"/>
    </row>
    <row r="2173" spans="48:480" x14ac:dyDescent="0.3">
      <c r="AV2173" s="103"/>
      <c r="CJ2173" s="103"/>
      <c r="FP2173" s="103"/>
      <c r="LL2173" s="103"/>
      <c r="NM2173" s="103"/>
      <c r="QT2173" s="106"/>
      <c r="QU2173" s="106"/>
      <c r="QV2173" s="106"/>
      <c r="QW2173" s="106"/>
      <c r="QX2173" s="106"/>
      <c r="QY2173" s="106"/>
      <c r="QZ2173" s="106"/>
      <c r="RA2173" s="106"/>
      <c r="RB2173" s="106"/>
      <c r="RC2173" s="106"/>
      <c r="RD2173" s="106"/>
      <c r="RE2173" s="106"/>
      <c r="RF2173" s="106"/>
      <c r="RG2173" s="106"/>
      <c r="RH2173" s="106"/>
      <c r="RI2173" s="106"/>
      <c r="RJ2173" s="106"/>
      <c r="RK2173" s="106"/>
      <c r="RL2173" s="106"/>
    </row>
    <row r="2174" spans="48:480" x14ac:dyDescent="0.3">
      <c r="AV2174" s="103"/>
      <c r="CJ2174" s="103"/>
      <c r="FP2174" s="103"/>
      <c r="LL2174" s="103"/>
      <c r="NM2174" s="103"/>
      <c r="QT2174" s="106"/>
      <c r="QU2174" s="106"/>
      <c r="QV2174" s="106"/>
      <c r="QW2174" s="106"/>
      <c r="QX2174" s="106"/>
      <c r="QY2174" s="106"/>
      <c r="QZ2174" s="106"/>
      <c r="RA2174" s="106"/>
      <c r="RB2174" s="106"/>
      <c r="RC2174" s="106"/>
      <c r="RD2174" s="106"/>
      <c r="RE2174" s="106"/>
      <c r="RF2174" s="106"/>
      <c r="RG2174" s="106"/>
      <c r="RH2174" s="106"/>
      <c r="RI2174" s="106"/>
      <c r="RJ2174" s="106"/>
      <c r="RK2174" s="106"/>
      <c r="RL2174" s="106"/>
    </row>
    <row r="2175" spans="48:480" x14ac:dyDescent="0.3">
      <c r="AV2175" s="103"/>
      <c r="CJ2175" s="103"/>
      <c r="FP2175" s="103"/>
      <c r="LL2175" s="103"/>
      <c r="NM2175" s="103"/>
      <c r="QT2175" s="106"/>
      <c r="QU2175" s="106"/>
      <c r="QV2175" s="106"/>
      <c r="QW2175" s="106"/>
      <c r="QX2175" s="106"/>
      <c r="QY2175" s="106"/>
      <c r="QZ2175" s="106"/>
      <c r="RA2175" s="106"/>
      <c r="RB2175" s="106"/>
      <c r="RC2175" s="106"/>
      <c r="RD2175" s="106"/>
      <c r="RE2175" s="106"/>
      <c r="RF2175" s="106"/>
      <c r="RG2175" s="106"/>
      <c r="RH2175" s="106"/>
      <c r="RI2175" s="106"/>
      <c r="RJ2175" s="106"/>
      <c r="RK2175" s="106"/>
      <c r="RL2175" s="106"/>
    </row>
    <row r="2176" spans="48:480" x14ac:dyDescent="0.3">
      <c r="AV2176" s="103"/>
      <c r="CJ2176" s="103"/>
      <c r="FP2176" s="103"/>
      <c r="LL2176" s="103"/>
      <c r="NM2176" s="103"/>
      <c r="QT2176" s="106"/>
      <c r="QU2176" s="106"/>
      <c r="QV2176" s="106"/>
      <c r="QW2176" s="106"/>
      <c r="QX2176" s="106"/>
      <c r="QY2176" s="106"/>
      <c r="QZ2176" s="106"/>
      <c r="RA2176" s="106"/>
      <c r="RB2176" s="106"/>
      <c r="RC2176" s="106"/>
      <c r="RD2176" s="106"/>
      <c r="RE2176" s="106"/>
      <c r="RF2176" s="106"/>
      <c r="RG2176" s="106"/>
      <c r="RH2176" s="106"/>
      <c r="RI2176" s="106"/>
      <c r="RJ2176" s="106"/>
      <c r="RK2176" s="106"/>
      <c r="RL2176" s="106"/>
    </row>
    <row r="2177" spans="48:480" x14ac:dyDescent="0.3">
      <c r="AV2177" s="103"/>
      <c r="CJ2177" s="103"/>
      <c r="FP2177" s="103"/>
      <c r="LL2177" s="103"/>
      <c r="NM2177" s="103"/>
      <c r="QT2177" s="106"/>
      <c r="QU2177" s="106"/>
      <c r="QV2177" s="106"/>
      <c r="QW2177" s="106"/>
      <c r="QX2177" s="106"/>
      <c r="QY2177" s="106"/>
      <c r="QZ2177" s="106"/>
      <c r="RA2177" s="106"/>
      <c r="RB2177" s="106"/>
      <c r="RC2177" s="106"/>
      <c r="RD2177" s="106"/>
      <c r="RE2177" s="106"/>
      <c r="RF2177" s="106"/>
      <c r="RG2177" s="106"/>
      <c r="RH2177" s="106"/>
      <c r="RI2177" s="106"/>
      <c r="RJ2177" s="106"/>
      <c r="RK2177" s="106"/>
      <c r="RL2177" s="106"/>
    </row>
    <row r="2178" spans="48:480" x14ac:dyDescent="0.3">
      <c r="AV2178" s="103"/>
      <c r="CJ2178" s="103"/>
      <c r="FP2178" s="103"/>
      <c r="LL2178" s="103"/>
      <c r="NM2178" s="103"/>
      <c r="QT2178" s="106"/>
      <c r="QU2178" s="106"/>
      <c r="QV2178" s="106"/>
      <c r="QW2178" s="106"/>
      <c r="QX2178" s="106"/>
      <c r="QY2178" s="106"/>
      <c r="QZ2178" s="106"/>
      <c r="RA2178" s="106"/>
      <c r="RB2178" s="106"/>
      <c r="RC2178" s="106"/>
      <c r="RD2178" s="106"/>
      <c r="RE2178" s="106"/>
      <c r="RF2178" s="106"/>
      <c r="RG2178" s="106"/>
      <c r="RH2178" s="106"/>
      <c r="RI2178" s="106"/>
      <c r="RJ2178" s="106"/>
      <c r="RK2178" s="106"/>
      <c r="RL2178" s="106"/>
    </row>
    <row r="2179" spans="48:480" x14ac:dyDescent="0.3">
      <c r="AV2179" s="103"/>
      <c r="CJ2179" s="103"/>
      <c r="FP2179" s="103"/>
      <c r="LL2179" s="103"/>
      <c r="NM2179" s="103"/>
      <c r="QT2179" s="106"/>
      <c r="QU2179" s="106"/>
      <c r="QV2179" s="106"/>
      <c r="QW2179" s="106"/>
      <c r="QX2179" s="106"/>
      <c r="QY2179" s="106"/>
      <c r="QZ2179" s="106"/>
      <c r="RA2179" s="106"/>
      <c r="RB2179" s="106"/>
      <c r="RC2179" s="106"/>
      <c r="RD2179" s="106"/>
      <c r="RE2179" s="106"/>
      <c r="RF2179" s="106"/>
      <c r="RG2179" s="106"/>
      <c r="RH2179" s="106"/>
      <c r="RI2179" s="106"/>
      <c r="RJ2179" s="106"/>
      <c r="RK2179" s="106"/>
      <c r="RL2179" s="106"/>
    </row>
    <row r="2180" spans="48:480" x14ac:dyDescent="0.3">
      <c r="AV2180" s="103"/>
      <c r="CJ2180" s="103"/>
      <c r="FP2180" s="103"/>
      <c r="LL2180" s="103"/>
      <c r="NM2180" s="103"/>
      <c r="QT2180" s="106"/>
      <c r="QU2180" s="106"/>
      <c r="QV2180" s="106"/>
      <c r="QW2180" s="106"/>
      <c r="QX2180" s="106"/>
      <c r="QY2180" s="106"/>
      <c r="QZ2180" s="106"/>
      <c r="RA2180" s="106"/>
      <c r="RB2180" s="106"/>
      <c r="RC2180" s="106"/>
      <c r="RD2180" s="106"/>
      <c r="RE2180" s="106"/>
      <c r="RF2180" s="106"/>
      <c r="RG2180" s="106"/>
      <c r="RH2180" s="106"/>
      <c r="RI2180" s="106"/>
      <c r="RJ2180" s="106"/>
      <c r="RK2180" s="106"/>
      <c r="RL2180" s="106"/>
    </row>
    <row r="2181" spans="48:480" x14ac:dyDescent="0.3">
      <c r="AV2181" s="103"/>
      <c r="CJ2181" s="103"/>
      <c r="FP2181" s="103"/>
      <c r="LL2181" s="103"/>
      <c r="NM2181" s="103"/>
      <c r="QT2181" s="106"/>
      <c r="QU2181" s="106"/>
      <c r="QV2181" s="106"/>
      <c r="QW2181" s="106"/>
      <c r="QX2181" s="106"/>
      <c r="QY2181" s="106"/>
      <c r="QZ2181" s="106"/>
      <c r="RA2181" s="106"/>
      <c r="RB2181" s="106"/>
      <c r="RC2181" s="106"/>
      <c r="RD2181" s="106"/>
      <c r="RE2181" s="106"/>
      <c r="RF2181" s="106"/>
      <c r="RG2181" s="106"/>
      <c r="RH2181" s="106"/>
      <c r="RI2181" s="106"/>
      <c r="RJ2181" s="106"/>
      <c r="RK2181" s="106"/>
      <c r="RL2181" s="106"/>
    </row>
    <row r="2182" spans="48:480" x14ac:dyDescent="0.3">
      <c r="AV2182" s="103"/>
      <c r="CJ2182" s="103"/>
      <c r="FP2182" s="103"/>
      <c r="LL2182" s="103"/>
      <c r="NM2182" s="103"/>
      <c r="QT2182" s="106"/>
      <c r="QU2182" s="106"/>
      <c r="QV2182" s="106"/>
      <c r="QW2182" s="106"/>
      <c r="QX2182" s="106"/>
      <c r="QY2182" s="106"/>
      <c r="QZ2182" s="106"/>
      <c r="RA2182" s="106"/>
      <c r="RB2182" s="106"/>
      <c r="RC2182" s="106"/>
      <c r="RD2182" s="106"/>
      <c r="RE2182" s="106"/>
      <c r="RF2182" s="106"/>
      <c r="RG2182" s="106"/>
      <c r="RH2182" s="106"/>
      <c r="RI2182" s="106"/>
      <c r="RJ2182" s="106"/>
      <c r="RK2182" s="106"/>
      <c r="RL2182" s="106"/>
    </row>
    <row r="2183" spans="48:480" x14ac:dyDescent="0.3">
      <c r="AV2183" s="103"/>
      <c r="CJ2183" s="103"/>
      <c r="FP2183" s="103"/>
      <c r="LL2183" s="103"/>
      <c r="NM2183" s="103"/>
      <c r="QT2183" s="106"/>
      <c r="QU2183" s="106"/>
      <c r="QV2183" s="106"/>
      <c r="QW2183" s="106"/>
      <c r="QX2183" s="106"/>
      <c r="QY2183" s="106"/>
      <c r="QZ2183" s="106"/>
      <c r="RA2183" s="106"/>
      <c r="RB2183" s="106"/>
      <c r="RC2183" s="106"/>
      <c r="RD2183" s="106"/>
      <c r="RE2183" s="106"/>
      <c r="RF2183" s="106"/>
      <c r="RG2183" s="106"/>
      <c r="RH2183" s="106"/>
      <c r="RI2183" s="106"/>
      <c r="RJ2183" s="106"/>
      <c r="RK2183" s="106"/>
      <c r="RL2183" s="106"/>
    </row>
    <row r="2184" spans="48:480" x14ac:dyDescent="0.3">
      <c r="AV2184" s="103"/>
      <c r="CJ2184" s="103"/>
      <c r="FP2184" s="103"/>
      <c r="LL2184" s="103"/>
      <c r="NM2184" s="103"/>
      <c r="QT2184" s="106"/>
      <c r="QU2184" s="106"/>
      <c r="QV2184" s="106"/>
      <c r="QW2184" s="106"/>
      <c r="QX2184" s="106"/>
      <c r="QY2184" s="106"/>
      <c r="QZ2184" s="106"/>
      <c r="RA2184" s="106"/>
      <c r="RB2184" s="106"/>
      <c r="RC2184" s="106"/>
      <c r="RD2184" s="106"/>
      <c r="RE2184" s="106"/>
      <c r="RF2184" s="106"/>
      <c r="RG2184" s="106"/>
      <c r="RH2184" s="106"/>
      <c r="RI2184" s="106"/>
      <c r="RJ2184" s="106"/>
      <c r="RK2184" s="106"/>
      <c r="RL2184" s="106"/>
    </row>
    <row r="2185" spans="48:480" x14ac:dyDescent="0.3">
      <c r="AV2185" s="103"/>
      <c r="CJ2185" s="103"/>
      <c r="FP2185" s="103"/>
      <c r="LL2185" s="103"/>
      <c r="NM2185" s="103"/>
      <c r="QT2185" s="106"/>
      <c r="QU2185" s="106"/>
      <c r="QV2185" s="106"/>
      <c r="QW2185" s="106"/>
      <c r="QX2185" s="106"/>
      <c r="QY2185" s="106"/>
      <c r="QZ2185" s="106"/>
      <c r="RA2185" s="106"/>
      <c r="RB2185" s="106"/>
      <c r="RC2185" s="106"/>
      <c r="RD2185" s="106"/>
      <c r="RE2185" s="106"/>
      <c r="RF2185" s="106"/>
      <c r="RG2185" s="106"/>
      <c r="RH2185" s="106"/>
      <c r="RI2185" s="106"/>
      <c r="RJ2185" s="106"/>
      <c r="RK2185" s="106"/>
      <c r="RL2185" s="106"/>
    </row>
    <row r="2186" spans="48:480" x14ac:dyDescent="0.3">
      <c r="AV2186" s="103"/>
      <c r="CJ2186" s="103"/>
      <c r="FP2186" s="103"/>
      <c r="LL2186" s="103"/>
      <c r="NM2186" s="103"/>
      <c r="QT2186" s="106"/>
      <c r="QU2186" s="106"/>
      <c r="QV2186" s="106"/>
      <c r="QW2186" s="106"/>
      <c r="QX2186" s="106"/>
      <c r="QY2186" s="106"/>
      <c r="QZ2186" s="106"/>
      <c r="RA2186" s="106"/>
      <c r="RB2186" s="106"/>
      <c r="RC2186" s="106"/>
      <c r="RD2186" s="106"/>
      <c r="RE2186" s="106"/>
      <c r="RF2186" s="106"/>
      <c r="RG2186" s="106"/>
      <c r="RH2186" s="106"/>
      <c r="RI2186" s="106"/>
      <c r="RJ2186" s="106"/>
      <c r="RK2186" s="106"/>
      <c r="RL2186" s="106"/>
    </row>
    <row r="2187" spans="48:480" x14ac:dyDescent="0.3">
      <c r="AV2187" s="103"/>
      <c r="CJ2187" s="103"/>
      <c r="FP2187" s="103"/>
      <c r="LL2187" s="103"/>
      <c r="NM2187" s="103"/>
      <c r="QT2187" s="106"/>
      <c r="QU2187" s="106"/>
      <c r="QV2187" s="106"/>
      <c r="QW2187" s="106"/>
      <c r="QX2187" s="106"/>
      <c r="QY2187" s="106"/>
      <c r="QZ2187" s="106"/>
      <c r="RA2187" s="106"/>
      <c r="RB2187" s="106"/>
      <c r="RC2187" s="106"/>
      <c r="RD2187" s="106"/>
      <c r="RE2187" s="106"/>
      <c r="RF2187" s="106"/>
      <c r="RG2187" s="106"/>
      <c r="RH2187" s="106"/>
      <c r="RI2187" s="106"/>
      <c r="RJ2187" s="106"/>
      <c r="RK2187" s="106"/>
      <c r="RL2187" s="106"/>
    </row>
    <row r="2188" spans="48:480" x14ac:dyDescent="0.3">
      <c r="AV2188" s="103"/>
      <c r="CJ2188" s="103"/>
      <c r="FP2188" s="103"/>
      <c r="LL2188" s="103"/>
      <c r="NM2188" s="103"/>
      <c r="QT2188" s="106"/>
      <c r="QU2188" s="106"/>
      <c r="QV2188" s="106"/>
      <c r="QW2188" s="106"/>
      <c r="QX2188" s="106"/>
      <c r="QY2188" s="106"/>
      <c r="QZ2188" s="106"/>
      <c r="RA2188" s="106"/>
      <c r="RB2188" s="106"/>
      <c r="RC2188" s="106"/>
      <c r="RD2188" s="106"/>
      <c r="RE2188" s="106"/>
      <c r="RF2188" s="106"/>
      <c r="RG2188" s="106"/>
      <c r="RH2188" s="106"/>
      <c r="RI2188" s="106"/>
      <c r="RJ2188" s="106"/>
      <c r="RK2188" s="106"/>
      <c r="RL2188" s="106"/>
    </row>
    <row r="2189" spans="48:480" x14ac:dyDescent="0.3">
      <c r="AV2189" s="103"/>
      <c r="CJ2189" s="103"/>
      <c r="FP2189" s="103"/>
      <c r="LL2189" s="103"/>
      <c r="NM2189" s="103"/>
      <c r="QT2189" s="106"/>
      <c r="QU2189" s="106"/>
      <c r="QV2189" s="106"/>
      <c r="QW2189" s="106"/>
      <c r="QX2189" s="106"/>
      <c r="QY2189" s="106"/>
      <c r="QZ2189" s="106"/>
      <c r="RA2189" s="106"/>
      <c r="RB2189" s="106"/>
      <c r="RC2189" s="106"/>
      <c r="RD2189" s="106"/>
      <c r="RE2189" s="106"/>
      <c r="RF2189" s="106"/>
      <c r="RG2189" s="106"/>
      <c r="RH2189" s="106"/>
      <c r="RI2189" s="106"/>
      <c r="RJ2189" s="106"/>
      <c r="RK2189" s="106"/>
      <c r="RL2189" s="106"/>
    </row>
    <row r="2190" spans="48:480" x14ac:dyDescent="0.3">
      <c r="AV2190" s="103"/>
      <c r="CJ2190" s="103"/>
      <c r="FP2190" s="103"/>
      <c r="LL2190" s="103"/>
      <c r="NM2190" s="103"/>
      <c r="QT2190" s="106"/>
      <c r="QU2190" s="106"/>
      <c r="QV2190" s="106"/>
      <c r="QW2190" s="106"/>
      <c r="QX2190" s="106"/>
      <c r="QY2190" s="106"/>
      <c r="QZ2190" s="106"/>
      <c r="RA2190" s="106"/>
      <c r="RB2190" s="106"/>
      <c r="RC2190" s="106"/>
      <c r="RD2190" s="106"/>
      <c r="RE2190" s="106"/>
      <c r="RF2190" s="106"/>
      <c r="RG2190" s="106"/>
      <c r="RH2190" s="106"/>
      <c r="RI2190" s="106"/>
      <c r="RJ2190" s="106"/>
      <c r="RK2190" s="106"/>
      <c r="RL2190" s="106"/>
    </row>
    <row r="2191" spans="48:480" x14ac:dyDescent="0.3">
      <c r="AV2191" s="103"/>
      <c r="CJ2191" s="103"/>
      <c r="FP2191" s="103"/>
      <c r="LL2191" s="103"/>
      <c r="NM2191" s="103"/>
      <c r="QT2191" s="106"/>
      <c r="QU2191" s="106"/>
      <c r="QV2191" s="106"/>
      <c r="QW2191" s="106"/>
      <c r="QX2191" s="106"/>
      <c r="QY2191" s="106"/>
      <c r="QZ2191" s="106"/>
      <c r="RA2191" s="106"/>
      <c r="RB2191" s="106"/>
      <c r="RC2191" s="106"/>
      <c r="RD2191" s="106"/>
      <c r="RE2191" s="106"/>
      <c r="RF2191" s="106"/>
      <c r="RG2191" s="106"/>
      <c r="RH2191" s="106"/>
      <c r="RI2191" s="106"/>
      <c r="RJ2191" s="106"/>
      <c r="RK2191" s="106"/>
      <c r="RL2191" s="106"/>
    </row>
    <row r="2192" spans="48:480" x14ac:dyDescent="0.3">
      <c r="AV2192" s="103"/>
      <c r="CJ2192" s="103"/>
      <c r="FP2192" s="103"/>
      <c r="LL2192" s="103"/>
      <c r="NM2192" s="103"/>
      <c r="QT2192" s="106"/>
      <c r="QU2192" s="106"/>
      <c r="QV2192" s="106"/>
      <c r="QW2192" s="106"/>
      <c r="QX2192" s="106"/>
      <c r="QY2192" s="106"/>
      <c r="QZ2192" s="106"/>
      <c r="RA2192" s="106"/>
      <c r="RB2192" s="106"/>
      <c r="RC2192" s="106"/>
      <c r="RD2192" s="106"/>
      <c r="RE2192" s="106"/>
      <c r="RF2192" s="106"/>
      <c r="RG2192" s="106"/>
      <c r="RH2192" s="106"/>
      <c r="RI2192" s="106"/>
      <c r="RJ2192" s="106"/>
      <c r="RK2192" s="106"/>
      <c r="RL2192" s="106"/>
    </row>
    <row r="2193" spans="48:480" x14ac:dyDescent="0.3">
      <c r="AV2193" s="103"/>
      <c r="CJ2193" s="103"/>
      <c r="FP2193" s="103"/>
      <c r="LL2193" s="103"/>
      <c r="NM2193" s="103"/>
      <c r="QT2193" s="106"/>
      <c r="QU2193" s="106"/>
      <c r="QV2193" s="106"/>
      <c r="QW2193" s="106"/>
      <c r="QX2193" s="106"/>
      <c r="QY2193" s="106"/>
      <c r="QZ2193" s="106"/>
      <c r="RA2193" s="106"/>
      <c r="RB2193" s="106"/>
      <c r="RC2193" s="106"/>
      <c r="RD2193" s="106"/>
      <c r="RE2193" s="106"/>
      <c r="RF2193" s="106"/>
      <c r="RG2193" s="106"/>
      <c r="RH2193" s="106"/>
      <c r="RI2193" s="106"/>
      <c r="RJ2193" s="106"/>
      <c r="RK2193" s="106"/>
      <c r="RL2193" s="106"/>
    </row>
    <row r="2194" spans="48:480" x14ac:dyDescent="0.3">
      <c r="AV2194" s="103"/>
      <c r="CJ2194" s="103"/>
      <c r="FP2194" s="103"/>
      <c r="LL2194" s="103"/>
      <c r="NM2194" s="103"/>
      <c r="QT2194" s="106"/>
      <c r="QU2194" s="106"/>
      <c r="QV2194" s="106"/>
      <c r="QW2194" s="106"/>
      <c r="QX2194" s="106"/>
      <c r="QY2194" s="106"/>
      <c r="QZ2194" s="106"/>
      <c r="RA2194" s="106"/>
      <c r="RB2194" s="106"/>
      <c r="RC2194" s="106"/>
      <c r="RD2194" s="106"/>
      <c r="RE2194" s="106"/>
      <c r="RF2194" s="106"/>
      <c r="RG2194" s="106"/>
      <c r="RH2194" s="106"/>
      <c r="RI2194" s="106"/>
      <c r="RJ2194" s="106"/>
      <c r="RK2194" s="106"/>
      <c r="RL2194" s="106"/>
    </row>
    <row r="2195" spans="48:480" x14ac:dyDescent="0.3">
      <c r="AV2195" s="103"/>
      <c r="CJ2195" s="103"/>
      <c r="FP2195" s="103"/>
      <c r="LL2195" s="103"/>
      <c r="NM2195" s="103"/>
      <c r="QT2195" s="106"/>
      <c r="QU2195" s="106"/>
      <c r="QV2195" s="106"/>
      <c r="QW2195" s="106"/>
      <c r="QX2195" s="106"/>
      <c r="QY2195" s="106"/>
      <c r="QZ2195" s="106"/>
      <c r="RA2195" s="106"/>
      <c r="RB2195" s="106"/>
      <c r="RC2195" s="106"/>
      <c r="RD2195" s="106"/>
      <c r="RE2195" s="106"/>
      <c r="RF2195" s="106"/>
      <c r="RG2195" s="106"/>
      <c r="RH2195" s="106"/>
      <c r="RI2195" s="106"/>
      <c r="RJ2195" s="106"/>
      <c r="RK2195" s="106"/>
      <c r="RL2195" s="106"/>
    </row>
    <row r="2196" spans="48:480" x14ac:dyDescent="0.3">
      <c r="AV2196" s="103"/>
      <c r="CJ2196" s="103"/>
      <c r="FP2196" s="103"/>
      <c r="LL2196" s="103"/>
      <c r="NM2196" s="103"/>
      <c r="QT2196" s="106"/>
      <c r="QU2196" s="106"/>
      <c r="QV2196" s="106"/>
      <c r="QW2196" s="106"/>
      <c r="QX2196" s="106"/>
      <c r="QY2196" s="106"/>
      <c r="QZ2196" s="106"/>
      <c r="RA2196" s="106"/>
      <c r="RB2196" s="106"/>
      <c r="RC2196" s="106"/>
      <c r="RD2196" s="106"/>
      <c r="RE2196" s="106"/>
      <c r="RF2196" s="106"/>
      <c r="RG2196" s="106"/>
      <c r="RH2196" s="106"/>
      <c r="RI2196" s="106"/>
      <c r="RJ2196" s="106"/>
      <c r="RK2196" s="106"/>
      <c r="RL2196" s="106"/>
    </row>
    <row r="2197" spans="48:480" x14ac:dyDescent="0.3">
      <c r="AV2197" s="103"/>
      <c r="CJ2197" s="103"/>
      <c r="FP2197" s="103"/>
      <c r="LL2197" s="103"/>
      <c r="NM2197" s="103"/>
      <c r="QT2197" s="106"/>
      <c r="QU2197" s="106"/>
      <c r="QV2197" s="106"/>
      <c r="QW2197" s="106"/>
      <c r="QX2197" s="106"/>
      <c r="QY2197" s="106"/>
      <c r="QZ2197" s="106"/>
      <c r="RA2197" s="106"/>
      <c r="RB2197" s="106"/>
      <c r="RC2197" s="106"/>
      <c r="RD2197" s="106"/>
      <c r="RE2197" s="106"/>
      <c r="RF2197" s="106"/>
      <c r="RG2197" s="106"/>
      <c r="RH2197" s="106"/>
      <c r="RI2197" s="106"/>
      <c r="RJ2197" s="106"/>
      <c r="RK2197" s="106"/>
      <c r="RL2197" s="106"/>
    </row>
    <row r="2198" spans="48:480" x14ac:dyDescent="0.3">
      <c r="AV2198" s="103"/>
      <c r="CJ2198" s="103"/>
      <c r="FP2198" s="103"/>
      <c r="LL2198" s="103"/>
      <c r="NM2198" s="103"/>
      <c r="QT2198" s="106"/>
      <c r="QU2198" s="106"/>
      <c r="QV2198" s="106"/>
      <c r="QW2198" s="106"/>
      <c r="QX2198" s="106"/>
      <c r="QY2198" s="106"/>
      <c r="QZ2198" s="106"/>
      <c r="RA2198" s="106"/>
      <c r="RB2198" s="106"/>
      <c r="RC2198" s="106"/>
      <c r="RD2198" s="106"/>
      <c r="RE2198" s="106"/>
      <c r="RF2198" s="106"/>
      <c r="RG2198" s="106"/>
      <c r="RH2198" s="106"/>
      <c r="RI2198" s="106"/>
      <c r="RJ2198" s="106"/>
      <c r="RK2198" s="106"/>
      <c r="RL2198" s="106"/>
    </row>
    <row r="2199" spans="48:480" x14ac:dyDescent="0.3">
      <c r="AV2199" s="103"/>
      <c r="CJ2199" s="103"/>
      <c r="FP2199" s="103"/>
      <c r="LL2199" s="103"/>
      <c r="NM2199" s="103"/>
      <c r="QT2199" s="106"/>
      <c r="QU2199" s="106"/>
      <c r="QV2199" s="106"/>
      <c r="QW2199" s="106"/>
      <c r="QX2199" s="106"/>
      <c r="QY2199" s="106"/>
      <c r="QZ2199" s="106"/>
      <c r="RA2199" s="106"/>
      <c r="RB2199" s="106"/>
      <c r="RC2199" s="106"/>
      <c r="RD2199" s="106"/>
      <c r="RE2199" s="106"/>
      <c r="RF2199" s="106"/>
      <c r="RG2199" s="106"/>
      <c r="RH2199" s="106"/>
      <c r="RI2199" s="106"/>
      <c r="RJ2199" s="106"/>
      <c r="RK2199" s="106"/>
      <c r="RL2199" s="106"/>
    </row>
    <row r="2200" spans="48:480" x14ac:dyDescent="0.3">
      <c r="AV2200" s="103"/>
      <c r="CJ2200" s="103"/>
      <c r="FP2200" s="103"/>
      <c r="LL2200" s="103"/>
      <c r="NM2200" s="103"/>
      <c r="QT2200" s="106"/>
      <c r="QU2200" s="106"/>
      <c r="QV2200" s="106"/>
      <c r="QW2200" s="106"/>
      <c r="QX2200" s="106"/>
      <c r="QY2200" s="106"/>
      <c r="QZ2200" s="106"/>
      <c r="RA2200" s="106"/>
      <c r="RB2200" s="106"/>
      <c r="RC2200" s="106"/>
      <c r="RD2200" s="106"/>
      <c r="RE2200" s="106"/>
      <c r="RF2200" s="106"/>
      <c r="RG2200" s="106"/>
      <c r="RH2200" s="106"/>
      <c r="RI2200" s="106"/>
      <c r="RJ2200" s="106"/>
      <c r="RK2200" s="106"/>
      <c r="RL2200" s="106"/>
    </row>
    <row r="2201" spans="48:480" x14ac:dyDescent="0.3">
      <c r="AV2201" s="103"/>
      <c r="CJ2201" s="103"/>
      <c r="FP2201" s="103"/>
      <c r="LL2201" s="103"/>
      <c r="NM2201" s="103"/>
      <c r="QT2201" s="106"/>
      <c r="QU2201" s="106"/>
      <c r="QV2201" s="106"/>
      <c r="QW2201" s="106"/>
      <c r="QX2201" s="106"/>
      <c r="QY2201" s="106"/>
      <c r="QZ2201" s="106"/>
      <c r="RA2201" s="106"/>
      <c r="RB2201" s="106"/>
      <c r="RC2201" s="106"/>
      <c r="RD2201" s="106"/>
      <c r="RE2201" s="106"/>
      <c r="RF2201" s="106"/>
      <c r="RG2201" s="106"/>
      <c r="RH2201" s="106"/>
      <c r="RI2201" s="106"/>
      <c r="RJ2201" s="106"/>
      <c r="RK2201" s="106"/>
      <c r="RL2201" s="106"/>
    </row>
    <row r="2202" spans="48:480" x14ac:dyDescent="0.3">
      <c r="AV2202" s="103"/>
      <c r="CJ2202" s="103"/>
      <c r="FP2202" s="103"/>
      <c r="LL2202" s="103"/>
      <c r="NM2202" s="103"/>
      <c r="QT2202" s="106"/>
      <c r="QU2202" s="106"/>
      <c r="QV2202" s="106"/>
      <c r="QW2202" s="106"/>
      <c r="QX2202" s="106"/>
      <c r="QY2202" s="106"/>
      <c r="QZ2202" s="106"/>
      <c r="RA2202" s="106"/>
      <c r="RB2202" s="106"/>
      <c r="RC2202" s="106"/>
      <c r="RD2202" s="106"/>
      <c r="RE2202" s="106"/>
      <c r="RF2202" s="106"/>
      <c r="RG2202" s="106"/>
      <c r="RH2202" s="106"/>
      <c r="RI2202" s="106"/>
      <c r="RJ2202" s="106"/>
      <c r="RK2202" s="106"/>
      <c r="RL2202" s="106"/>
    </row>
    <row r="2203" spans="48:480" x14ac:dyDescent="0.3">
      <c r="AV2203" s="103"/>
      <c r="CJ2203" s="103"/>
      <c r="FP2203" s="103"/>
      <c r="LL2203" s="103"/>
      <c r="NM2203" s="103"/>
      <c r="QT2203" s="106"/>
      <c r="QU2203" s="106"/>
      <c r="QV2203" s="106"/>
      <c r="QW2203" s="106"/>
      <c r="QX2203" s="106"/>
      <c r="QY2203" s="106"/>
      <c r="QZ2203" s="106"/>
      <c r="RA2203" s="106"/>
      <c r="RB2203" s="106"/>
      <c r="RC2203" s="106"/>
      <c r="RD2203" s="106"/>
      <c r="RE2203" s="106"/>
      <c r="RF2203" s="106"/>
      <c r="RG2203" s="106"/>
      <c r="RH2203" s="106"/>
      <c r="RI2203" s="106"/>
      <c r="RJ2203" s="106"/>
      <c r="RK2203" s="106"/>
      <c r="RL2203" s="106"/>
    </row>
    <row r="2204" spans="48:480" x14ac:dyDescent="0.3">
      <c r="AV2204" s="103"/>
      <c r="CJ2204" s="103"/>
      <c r="FP2204" s="103"/>
      <c r="LL2204" s="103"/>
      <c r="NM2204" s="103"/>
      <c r="QT2204" s="106"/>
      <c r="QU2204" s="106"/>
      <c r="QV2204" s="106"/>
      <c r="QW2204" s="106"/>
      <c r="QX2204" s="106"/>
      <c r="QY2204" s="106"/>
      <c r="QZ2204" s="106"/>
      <c r="RA2204" s="106"/>
      <c r="RB2204" s="106"/>
      <c r="RC2204" s="106"/>
      <c r="RD2204" s="106"/>
      <c r="RE2204" s="106"/>
      <c r="RF2204" s="106"/>
      <c r="RG2204" s="106"/>
      <c r="RH2204" s="106"/>
      <c r="RI2204" s="106"/>
      <c r="RJ2204" s="106"/>
      <c r="RK2204" s="106"/>
      <c r="RL2204" s="106"/>
    </row>
    <row r="2205" spans="48:480" x14ac:dyDescent="0.3">
      <c r="AV2205" s="103"/>
      <c r="CJ2205" s="103"/>
      <c r="FP2205" s="103"/>
      <c r="LL2205" s="103"/>
      <c r="NM2205" s="103"/>
      <c r="QT2205" s="106"/>
      <c r="QU2205" s="106"/>
      <c r="QV2205" s="106"/>
      <c r="QW2205" s="106"/>
      <c r="QX2205" s="106"/>
      <c r="QY2205" s="106"/>
      <c r="QZ2205" s="106"/>
      <c r="RA2205" s="106"/>
      <c r="RB2205" s="106"/>
      <c r="RC2205" s="106"/>
      <c r="RD2205" s="106"/>
      <c r="RE2205" s="106"/>
      <c r="RF2205" s="106"/>
      <c r="RG2205" s="106"/>
      <c r="RH2205" s="106"/>
      <c r="RI2205" s="106"/>
      <c r="RJ2205" s="106"/>
      <c r="RK2205" s="106"/>
      <c r="RL2205" s="106"/>
    </row>
    <row r="2206" spans="48:480" x14ac:dyDescent="0.3">
      <c r="AV2206" s="103"/>
      <c r="CJ2206" s="103"/>
      <c r="FP2206" s="103"/>
      <c r="LL2206" s="103"/>
      <c r="NM2206" s="103"/>
      <c r="QT2206" s="106"/>
      <c r="QU2206" s="106"/>
      <c r="QV2206" s="106"/>
      <c r="QW2206" s="106"/>
      <c r="QX2206" s="106"/>
      <c r="QY2206" s="106"/>
      <c r="QZ2206" s="106"/>
      <c r="RA2206" s="106"/>
      <c r="RB2206" s="106"/>
      <c r="RC2206" s="106"/>
      <c r="RD2206" s="106"/>
      <c r="RE2206" s="106"/>
      <c r="RF2206" s="106"/>
      <c r="RG2206" s="106"/>
      <c r="RH2206" s="106"/>
      <c r="RI2206" s="106"/>
      <c r="RJ2206" s="106"/>
      <c r="RK2206" s="106"/>
      <c r="RL2206" s="106"/>
    </row>
    <row r="2207" spans="48:480" x14ac:dyDescent="0.3">
      <c r="CJ2207" s="103"/>
      <c r="FP2207" s="103"/>
      <c r="LL2207" s="103"/>
      <c r="NM2207" s="103"/>
      <c r="QT2207" s="106"/>
      <c r="QU2207" s="106"/>
      <c r="QV2207" s="106"/>
      <c r="QW2207" s="106"/>
      <c r="QX2207" s="106"/>
      <c r="QY2207" s="106"/>
      <c r="QZ2207" s="106"/>
      <c r="RA2207" s="106"/>
      <c r="RB2207" s="106"/>
      <c r="RC2207" s="106"/>
      <c r="RD2207" s="106"/>
      <c r="RE2207" s="106"/>
      <c r="RF2207" s="106"/>
      <c r="RG2207" s="106"/>
      <c r="RH2207" s="106"/>
      <c r="RI2207" s="106"/>
      <c r="RJ2207" s="106"/>
      <c r="RK2207" s="106"/>
      <c r="RL2207" s="106"/>
    </row>
    <row r="2208" spans="48:480" x14ac:dyDescent="0.3">
      <c r="AV2208" s="103"/>
      <c r="CJ2208" s="103"/>
      <c r="FP2208" s="103"/>
      <c r="LL2208" s="103"/>
      <c r="NM2208" s="103"/>
      <c r="QT2208" s="106"/>
      <c r="QU2208" s="106"/>
      <c r="QV2208" s="106"/>
      <c r="QW2208" s="106"/>
      <c r="QX2208" s="106"/>
      <c r="QY2208" s="106"/>
      <c r="QZ2208" s="106"/>
      <c r="RA2208" s="106"/>
      <c r="RB2208" s="106"/>
      <c r="RC2208" s="106"/>
      <c r="RD2208" s="106"/>
      <c r="RE2208" s="106"/>
      <c r="RF2208" s="106"/>
      <c r="RG2208" s="106"/>
      <c r="RH2208" s="106"/>
      <c r="RI2208" s="106"/>
      <c r="RJ2208" s="106"/>
      <c r="RK2208" s="106"/>
      <c r="RL2208" s="106"/>
    </row>
    <row r="2209" spans="48:480" x14ac:dyDescent="0.3">
      <c r="AV2209" s="103"/>
      <c r="CJ2209" s="103"/>
      <c r="FP2209" s="103"/>
      <c r="LL2209" s="103"/>
      <c r="NM2209" s="103"/>
      <c r="QT2209" s="106"/>
      <c r="QU2209" s="106"/>
      <c r="QV2209" s="106"/>
      <c r="QW2209" s="106"/>
      <c r="QX2209" s="106"/>
      <c r="QY2209" s="106"/>
      <c r="QZ2209" s="106"/>
      <c r="RA2209" s="106"/>
      <c r="RB2209" s="106"/>
      <c r="RC2209" s="106"/>
      <c r="RD2209" s="106"/>
      <c r="RE2209" s="106"/>
      <c r="RF2209" s="106"/>
      <c r="RG2209" s="106"/>
      <c r="RH2209" s="106"/>
      <c r="RI2209" s="106"/>
      <c r="RJ2209" s="106"/>
      <c r="RK2209" s="106"/>
      <c r="RL2209" s="106"/>
    </row>
    <row r="2210" spans="48:480" x14ac:dyDescent="0.3">
      <c r="AV2210" s="103"/>
      <c r="CJ2210" s="103"/>
      <c r="FP2210" s="103"/>
      <c r="LL2210" s="103"/>
      <c r="NM2210" s="103"/>
      <c r="QT2210" s="106"/>
      <c r="QU2210" s="106"/>
      <c r="QV2210" s="106"/>
      <c r="QW2210" s="106"/>
      <c r="QX2210" s="106"/>
      <c r="QY2210" s="106"/>
      <c r="QZ2210" s="106"/>
      <c r="RA2210" s="106"/>
      <c r="RB2210" s="106"/>
      <c r="RC2210" s="106"/>
      <c r="RD2210" s="106"/>
      <c r="RE2210" s="106"/>
      <c r="RF2210" s="106"/>
      <c r="RG2210" s="106"/>
      <c r="RH2210" s="106"/>
      <c r="RI2210" s="106"/>
      <c r="RJ2210" s="106"/>
      <c r="RK2210" s="106"/>
      <c r="RL2210" s="106"/>
    </row>
    <row r="2211" spans="48:480" x14ac:dyDescent="0.3">
      <c r="AV2211" s="103"/>
      <c r="CJ2211" s="103"/>
      <c r="FP2211" s="103"/>
      <c r="LL2211" s="103"/>
      <c r="NM2211" s="103"/>
      <c r="QT2211" s="106"/>
      <c r="QU2211" s="106"/>
      <c r="QV2211" s="106"/>
      <c r="QW2211" s="106"/>
      <c r="QX2211" s="106"/>
      <c r="QY2211" s="106"/>
      <c r="QZ2211" s="106"/>
      <c r="RA2211" s="106"/>
      <c r="RB2211" s="106"/>
      <c r="RC2211" s="106"/>
      <c r="RD2211" s="106"/>
      <c r="RE2211" s="106"/>
      <c r="RF2211" s="106"/>
      <c r="RG2211" s="106"/>
      <c r="RH2211" s="106"/>
      <c r="RI2211" s="106"/>
      <c r="RJ2211" s="106"/>
      <c r="RK2211" s="106"/>
      <c r="RL2211" s="106"/>
    </row>
    <row r="2212" spans="48:480" x14ac:dyDescent="0.3">
      <c r="AV2212" s="103"/>
      <c r="CJ2212" s="103"/>
      <c r="FP2212" s="103"/>
      <c r="LL2212" s="103"/>
      <c r="NM2212" s="103"/>
      <c r="QT2212" s="106"/>
      <c r="QU2212" s="106"/>
      <c r="QV2212" s="106"/>
      <c r="QW2212" s="106"/>
      <c r="QX2212" s="106"/>
      <c r="QY2212" s="106"/>
      <c r="QZ2212" s="106"/>
      <c r="RA2212" s="106"/>
      <c r="RB2212" s="106"/>
      <c r="RC2212" s="106"/>
      <c r="RD2212" s="106"/>
      <c r="RE2212" s="106"/>
      <c r="RF2212" s="106"/>
      <c r="RG2212" s="106"/>
      <c r="RH2212" s="106"/>
      <c r="RI2212" s="106"/>
      <c r="RJ2212" s="106"/>
      <c r="RK2212" s="106"/>
      <c r="RL2212" s="106"/>
    </row>
    <row r="2213" spans="48:480" x14ac:dyDescent="0.3">
      <c r="AV2213" s="103"/>
      <c r="CJ2213" s="103"/>
      <c r="FP2213" s="103"/>
      <c r="LL2213" s="103"/>
      <c r="NM2213" s="103"/>
      <c r="QT2213" s="106"/>
      <c r="QU2213" s="106"/>
      <c r="QV2213" s="106"/>
      <c r="QW2213" s="106"/>
      <c r="QX2213" s="106"/>
      <c r="QY2213" s="106"/>
      <c r="QZ2213" s="106"/>
      <c r="RA2213" s="106"/>
      <c r="RB2213" s="106"/>
      <c r="RC2213" s="106"/>
      <c r="RD2213" s="106"/>
      <c r="RE2213" s="106"/>
      <c r="RF2213" s="106"/>
      <c r="RG2213" s="106"/>
      <c r="RH2213" s="106"/>
      <c r="RI2213" s="106"/>
      <c r="RJ2213" s="106"/>
      <c r="RK2213" s="106"/>
      <c r="RL2213" s="106"/>
    </row>
    <row r="2214" spans="48:480" x14ac:dyDescent="0.3">
      <c r="AV2214" s="103"/>
      <c r="CJ2214" s="103"/>
      <c r="FP2214" s="103"/>
      <c r="LL2214" s="103"/>
      <c r="NM2214" s="103"/>
      <c r="QT2214" s="106"/>
      <c r="QU2214" s="106"/>
      <c r="QV2214" s="106"/>
      <c r="QW2214" s="106"/>
      <c r="QX2214" s="106"/>
      <c r="QY2214" s="106"/>
      <c r="QZ2214" s="106"/>
      <c r="RA2214" s="106"/>
      <c r="RB2214" s="106"/>
      <c r="RC2214" s="106"/>
      <c r="RD2214" s="106"/>
      <c r="RE2214" s="106"/>
      <c r="RF2214" s="106"/>
      <c r="RG2214" s="106"/>
      <c r="RH2214" s="106"/>
      <c r="RI2214" s="106"/>
      <c r="RJ2214" s="106"/>
      <c r="RK2214" s="106"/>
      <c r="RL2214" s="106"/>
    </row>
    <row r="2215" spans="48:480" x14ac:dyDescent="0.3">
      <c r="AV2215" s="103"/>
      <c r="CJ2215" s="103"/>
      <c r="FP2215" s="103"/>
      <c r="LL2215" s="103"/>
      <c r="NM2215" s="103"/>
      <c r="QT2215" s="106"/>
      <c r="QU2215" s="106"/>
      <c r="QV2215" s="106"/>
      <c r="QW2215" s="106"/>
      <c r="QX2215" s="106"/>
      <c r="QY2215" s="106"/>
      <c r="QZ2215" s="106"/>
      <c r="RA2215" s="106"/>
      <c r="RB2215" s="106"/>
      <c r="RC2215" s="106"/>
      <c r="RD2215" s="106"/>
      <c r="RE2215" s="106"/>
      <c r="RF2215" s="106"/>
      <c r="RG2215" s="106"/>
      <c r="RH2215" s="106"/>
      <c r="RI2215" s="106"/>
      <c r="RJ2215" s="106"/>
      <c r="RK2215" s="106"/>
      <c r="RL2215" s="106"/>
    </row>
    <row r="2216" spans="48:480" x14ac:dyDescent="0.3">
      <c r="AV2216" s="103"/>
      <c r="CJ2216" s="103"/>
      <c r="FP2216" s="103"/>
      <c r="LL2216" s="103"/>
      <c r="NM2216" s="103"/>
      <c r="QT2216" s="106"/>
      <c r="QU2216" s="106"/>
      <c r="QV2216" s="106"/>
      <c r="QW2216" s="106"/>
      <c r="QX2216" s="106"/>
      <c r="QY2216" s="106"/>
      <c r="QZ2216" s="106"/>
      <c r="RA2216" s="106"/>
      <c r="RB2216" s="106"/>
      <c r="RC2216" s="106"/>
      <c r="RD2216" s="106"/>
      <c r="RE2216" s="106"/>
      <c r="RF2216" s="106"/>
      <c r="RG2216" s="106"/>
      <c r="RH2216" s="106"/>
      <c r="RI2216" s="106"/>
      <c r="RJ2216" s="106"/>
      <c r="RK2216" s="106"/>
      <c r="RL2216" s="106"/>
    </row>
    <row r="2217" spans="48:480" x14ac:dyDescent="0.3">
      <c r="AV2217" s="103"/>
      <c r="CJ2217" s="103"/>
      <c r="FP2217" s="103"/>
      <c r="LL2217" s="103"/>
      <c r="NM2217" s="103"/>
      <c r="QT2217" s="106"/>
      <c r="QU2217" s="106"/>
      <c r="QV2217" s="106"/>
      <c r="QW2217" s="106"/>
      <c r="QX2217" s="106"/>
      <c r="QY2217" s="106"/>
      <c r="QZ2217" s="106"/>
      <c r="RA2217" s="106"/>
      <c r="RB2217" s="106"/>
      <c r="RC2217" s="106"/>
      <c r="RD2217" s="106"/>
      <c r="RE2217" s="106"/>
      <c r="RF2217" s="106"/>
      <c r="RG2217" s="106"/>
      <c r="RH2217" s="106"/>
      <c r="RI2217" s="106"/>
      <c r="RJ2217" s="106"/>
      <c r="RK2217" s="106"/>
      <c r="RL2217" s="106"/>
    </row>
    <row r="2218" spans="48:480" x14ac:dyDescent="0.3">
      <c r="AV2218" s="103"/>
      <c r="CJ2218" s="103"/>
      <c r="FP2218" s="103"/>
      <c r="LL2218" s="103"/>
      <c r="NM2218" s="103"/>
      <c r="QT2218" s="106"/>
      <c r="QU2218" s="106"/>
      <c r="QV2218" s="106"/>
      <c r="QW2218" s="106"/>
      <c r="QX2218" s="106"/>
      <c r="QY2218" s="106"/>
      <c r="QZ2218" s="106"/>
      <c r="RA2218" s="106"/>
      <c r="RB2218" s="106"/>
      <c r="RC2218" s="106"/>
      <c r="RD2218" s="106"/>
      <c r="RE2218" s="106"/>
      <c r="RF2218" s="106"/>
      <c r="RG2218" s="106"/>
      <c r="RH2218" s="106"/>
      <c r="RI2218" s="106"/>
      <c r="RJ2218" s="106"/>
      <c r="RK2218" s="106"/>
      <c r="RL2218" s="106"/>
    </row>
    <row r="2219" spans="48:480" x14ac:dyDescent="0.3">
      <c r="AV2219" s="103"/>
      <c r="CJ2219" s="103"/>
      <c r="FP2219" s="103"/>
      <c r="LL2219" s="103"/>
      <c r="NM2219" s="103"/>
      <c r="QT2219" s="106"/>
      <c r="QU2219" s="106"/>
      <c r="QV2219" s="106"/>
      <c r="QW2219" s="106"/>
      <c r="QX2219" s="106"/>
      <c r="QY2219" s="106"/>
      <c r="QZ2219" s="106"/>
      <c r="RA2219" s="106"/>
      <c r="RB2219" s="106"/>
      <c r="RC2219" s="106"/>
      <c r="RD2219" s="106"/>
      <c r="RE2219" s="106"/>
      <c r="RF2219" s="106"/>
      <c r="RG2219" s="106"/>
      <c r="RH2219" s="106"/>
      <c r="RI2219" s="106"/>
      <c r="RJ2219" s="106"/>
      <c r="RK2219" s="106"/>
      <c r="RL2219" s="106"/>
    </row>
    <row r="2220" spans="48:480" x14ac:dyDescent="0.3">
      <c r="AV2220" s="103"/>
      <c r="CJ2220" s="103"/>
      <c r="FP2220" s="103"/>
      <c r="LL2220" s="103"/>
      <c r="NM2220" s="103"/>
      <c r="QT2220" s="106"/>
      <c r="QU2220" s="106"/>
      <c r="QV2220" s="106"/>
      <c r="QW2220" s="106"/>
      <c r="QX2220" s="106"/>
      <c r="QY2220" s="106"/>
      <c r="QZ2220" s="106"/>
      <c r="RA2220" s="106"/>
      <c r="RB2220" s="106"/>
      <c r="RC2220" s="106"/>
      <c r="RD2220" s="106"/>
      <c r="RE2220" s="106"/>
      <c r="RF2220" s="106"/>
      <c r="RG2220" s="106"/>
      <c r="RH2220" s="106"/>
      <c r="RI2220" s="106"/>
      <c r="RJ2220" s="106"/>
      <c r="RK2220" s="106"/>
      <c r="RL2220" s="106"/>
    </row>
    <row r="2221" spans="48:480" x14ac:dyDescent="0.3">
      <c r="AV2221" s="103"/>
      <c r="CJ2221" s="103"/>
      <c r="FP2221" s="103"/>
      <c r="LL2221" s="103"/>
      <c r="NM2221" s="103"/>
      <c r="QT2221" s="106"/>
      <c r="QU2221" s="106"/>
      <c r="QV2221" s="106"/>
      <c r="QW2221" s="106"/>
      <c r="QX2221" s="106"/>
      <c r="QY2221" s="106"/>
      <c r="QZ2221" s="106"/>
      <c r="RA2221" s="106"/>
      <c r="RB2221" s="106"/>
      <c r="RC2221" s="106"/>
      <c r="RD2221" s="106"/>
      <c r="RE2221" s="106"/>
      <c r="RF2221" s="106"/>
      <c r="RG2221" s="106"/>
      <c r="RH2221" s="106"/>
      <c r="RI2221" s="106"/>
      <c r="RJ2221" s="106"/>
      <c r="RK2221" s="106"/>
      <c r="RL2221" s="106"/>
    </row>
    <row r="2222" spans="48:480" x14ac:dyDescent="0.3">
      <c r="AV2222" s="103"/>
      <c r="CJ2222" s="103"/>
      <c r="FP2222" s="103"/>
      <c r="LL2222" s="103"/>
      <c r="NM2222" s="103"/>
      <c r="QT2222" s="106"/>
      <c r="QU2222" s="106"/>
      <c r="QV2222" s="106"/>
      <c r="QW2222" s="106"/>
      <c r="QX2222" s="106"/>
      <c r="QY2222" s="106"/>
      <c r="QZ2222" s="106"/>
      <c r="RA2222" s="106"/>
      <c r="RB2222" s="106"/>
      <c r="RC2222" s="106"/>
      <c r="RD2222" s="106"/>
      <c r="RE2222" s="106"/>
      <c r="RF2222" s="106"/>
      <c r="RG2222" s="106"/>
      <c r="RH2222" s="106"/>
      <c r="RI2222" s="106"/>
      <c r="RJ2222" s="106"/>
      <c r="RK2222" s="106"/>
      <c r="RL2222" s="106"/>
    </row>
    <row r="2223" spans="48:480" x14ac:dyDescent="0.3">
      <c r="AV2223" s="103"/>
      <c r="CJ2223" s="103"/>
      <c r="FP2223" s="103"/>
      <c r="LL2223" s="103"/>
      <c r="NM2223" s="103"/>
      <c r="QT2223" s="106"/>
      <c r="QU2223" s="106"/>
      <c r="QV2223" s="106"/>
      <c r="QW2223" s="106"/>
      <c r="QX2223" s="106"/>
      <c r="QY2223" s="106"/>
      <c r="QZ2223" s="106"/>
      <c r="RA2223" s="106"/>
      <c r="RB2223" s="106"/>
      <c r="RC2223" s="106"/>
      <c r="RD2223" s="106"/>
      <c r="RE2223" s="106"/>
      <c r="RF2223" s="106"/>
      <c r="RG2223" s="106"/>
      <c r="RH2223" s="106"/>
      <c r="RI2223" s="106"/>
      <c r="RJ2223" s="106"/>
      <c r="RK2223" s="106"/>
      <c r="RL2223" s="106"/>
    </row>
    <row r="2224" spans="48:480" x14ac:dyDescent="0.3">
      <c r="AV2224" s="103"/>
      <c r="CJ2224" s="103"/>
      <c r="FP2224" s="103"/>
      <c r="LL2224" s="103"/>
      <c r="NM2224" s="103"/>
      <c r="QT2224" s="106"/>
      <c r="QU2224" s="106"/>
      <c r="QV2224" s="106"/>
      <c r="QW2224" s="106"/>
      <c r="QX2224" s="106"/>
      <c r="QY2224" s="106"/>
      <c r="QZ2224" s="106"/>
      <c r="RA2224" s="106"/>
      <c r="RB2224" s="106"/>
      <c r="RC2224" s="106"/>
      <c r="RD2224" s="106"/>
      <c r="RE2224" s="106"/>
      <c r="RF2224" s="106"/>
      <c r="RG2224" s="106"/>
      <c r="RH2224" s="106"/>
      <c r="RI2224" s="106"/>
      <c r="RJ2224" s="106"/>
      <c r="RK2224" s="106"/>
      <c r="RL2224" s="106"/>
    </row>
    <row r="2225" spans="48:480" x14ac:dyDescent="0.3">
      <c r="AV2225" s="103"/>
      <c r="CJ2225" s="103"/>
      <c r="FP2225" s="103"/>
      <c r="LL2225" s="103"/>
      <c r="NM2225" s="103"/>
      <c r="QT2225" s="106"/>
      <c r="QU2225" s="106"/>
      <c r="QV2225" s="106"/>
      <c r="QW2225" s="106"/>
      <c r="QX2225" s="106"/>
      <c r="QY2225" s="106"/>
      <c r="QZ2225" s="106"/>
      <c r="RA2225" s="106"/>
      <c r="RB2225" s="106"/>
      <c r="RC2225" s="106"/>
      <c r="RD2225" s="106"/>
      <c r="RE2225" s="106"/>
      <c r="RF2225" s="106"/>
      <c r="RG2225" s="106"/>
      <c r="RH2225" s="106"/>
      <c r="RI2225" s="106"/>
      <c r="RJ2225" s="106"/>
      <c r="RK2225" s="106"/>
      <c r="RL2225" s="106"/>
    </row>
    <row r="2226" spans="48:480" x14ac:dyDescent="0.3">
      <c r="AV2226" s="103"/>
      <c r="CJ2226" s="103"/>
      <c r="FP2226" s="103"/>
      <c r="LL2226" s="103"/>
      <c r="NM2226" s="103"/>
      <c r="QT2226" s="106"/>
      <c r="QU2226" s="106"/>
      <c r="QV2226" s="106"/>
      <c r="QW2226" s="106"/>
      <c r="QX2226" s="106"/>
      <c r="QY2226" s="106"/>
      <c r="QZ2226" s="106"/>
      <c r="RA2226" s="106"/>
      <c r="RB2226" s="106"/>
      <c r="RC2226" s="106"/>
      <c r="RD2226" s="106"/>
      <c r="RE2226" s="106"/>
      <c r="RF2226" s="106"/>
      <c r="RG2226" s="106"/>
      <c r="RH2226" s="106"/>
      <c r="RI2226" s="106"/>
      <c r="RJ2226" s="106"/>
      <c r="RK2226" s="106"/>
      <c r="RL2226" s="106"/>
    </row>
    <row r="2227" spans="48:480" x14ac:dyDescent="0.3">
      <c r="AV2227" s="103"/>
      <c r="CJ2227" s="103"/>
      <c r="FP2227" s="103"/>
      <c r="LL2227" s="103"/>
      <c r="NM2227" s="103"/>
      <c r="QT2227" s="106"/>
      <c r="QU2227" s="106"/>
      <c r="QV2227" s="106"/>
      <c r="QW2227" s="106"/>
      <c r="QX2227" s="106"/>
      <c r="QY2227" s="106"/>
      <c r="QZ2227" s="106"/>
      <c r="RA2227" s="106"/>
      <c r="RB2227" s="106"/>
      <c r="RC2227" s="106"/>
      <c r="RD2227" s="106"/>
      <c r="RE2227" s="106"/>
      <c r="RF2227" s="106"/>
      <c r="RG2227" s="106"/>
      <c r="RH2227" s="106"/>
      <c r="RI2227" s="106"/>
      <c r="RJ2227" s="106"/>
      <c r="RK2227" s="106"/>
      <c r="RL2227" s="106"/>
    </row>
    <row r="2228" spans="48:480" x14ac:dyDescent="0.3">
      <c r="AV2228" s="103"/>
      <c r="CJ2228" s="103"/>
      <c r="FP2228" s="103"/>
      <c r="LL2228" s="103"/>
      <c r="NM2228" s="103"/>
      <c r="QT2228" s="106"/>
      <c r="QU2228" s="106"/>
      <c r="QV2228" s="106"/>
      <c r="QW2228" s="106"/>
      <c r="QX2228" s="106"/>
      <c r="QY2228" s="106"/>
      <c r="QZ2228" s="106"/>
      <c r="RA2228" s="106"/>
      <c r="RB2228" s="106"/>
      <c r="RC2228" s="106"/>
      <c r="RD2228" s="106"/>
      <c r="RE2228" s="106"/>
      <c r="RF2228" s="106"/>
      <c r="RG2228" s="106"/>
      <c r="RH2228" s="106"/>
      <c r="RI2228" s="106"/>
      <c r="RJ2228" s="106"/>
      <c r="RK2228" s="106"/>
      <c r="RL2228" s="106"/>
    </row>
    <row r="2229" spans="48:480" x14ac:dyDescent="0.3">
      <c r="AV2229" s="103"/>
      <c r="CJ2229" s="103"/>
      <c r="FP2229" s="103"/>
      <c r="LL2229" s="103"/>
      <c r="NM2229" s="103"/>
      <c r="QT2229" s="106"/>
      <c r="QU2229" s="106"/>
      <c r="QV2229" s="106"/>
      <c r="QW2229" s="106"/>
      <c r="QX2229" s="106"/>
      <c r="QY2229" s="106"/>
      <c r="QZ2229" s="106"/>
      <c r="RA2229" s="106"/>
      <c r="RB2229" s="106"/>
      <c r="RC2229" s="106"/>
      <c r="RD2229" s="106"/>
      <c r="RE2229" s="106"/>
      <c r="RF2229" s="106"/>
      <c r="RG2229" s="106"/>
      <c r="RH2229" s="106"/>
      <c r="RI2229" s="106"/>
      <c r="RJ2229" s="106"/>
      <c r="RK2229" s="106"/>
      <c r="RL2229" s="106"/>
    </row>
    <row r="2230" spans="48:480" x14ac:dyDescent="0.3">
      <c r="AV2230" s="103"/>
      <c r="CJ2230" s="103"/>
      <c r="FP2230" s="103"/>
      <c r="LL2230" s="103"/>
      <c r="NM2230" s="103"/>
      <c r="QT2230" s="106"/>
      <c r="QU2230" s="106"/>
      <c r="QV2230" s="106"/>
      <c r="QW2230" s="106"/>
      <c r="QX2230" s="106"/>
      <c r="QY2230" s="106"/>
      <c r="QZ2230" s="106"/>
      <c r="RA2230" s="106"/>
      <c r="RB2230" s="106"/>
      <c r="RC2230" s="106"/>
      <c r="RD2230" s="106"/>
      <c r="RE2230" s="106"/>
      <c r="RF2230" s="106"/>
      <c r="RG2230" s="106"/>
      <c r="RH2230" s="106"/>
      <c r="RI2230" s="106"/>
      <c r="RJ2230" s="106"/>
      <c r="RK2230" s="106"/>
      <c r="RL2230" s="106"/>
    </row>
    <row r="2231" spans="48:480" x14ac:dyDescent="0.3">
      <c r="AV2231" s="103"/>
      <c r="CJ2231" s="103"/>
      <c r="FP2231" s="103"/>
      <c r="LL2231" s="103"/>
      <c r="NM2231" s="103"/>
      <c r="QT2231" s="106"/>
      <c r="QU2231" s="106"/>
      <c r="QV2231" s="106"/>
      <c r="QW2231" s="106"/>
      <c r="QX2231" s="106"/>
      <c r="QY2231" s="106"/>
      <c r="QZ2231" s="106"/>
      <c r="RA2231" s="106"/>
      <c r="RB2231" s="106"/>
      <c r="RC2231" s="106"/>
      <c r="RD2231" s="106"/>
      <c r="RE2231" s="106"/>
      <c r="RF2231" s="106"/>
      <c r="RG2231" s="106"/>
      <c r="RH2231" s="106"/>
      <c r="RI2231" s="106"/>
      <c r="RJ2231" s="106"/>
      <c r="RK2231" s="106"/>
      <c r="RL2231" s="106"/>
    </row>
    <row r="2232" spans="48:480" x14ac:dyDescent="0.3">
      <c r="AV2232" s="103"/>
      <c r="CJ2232" s="103"/>
      <c r="FP2232" s="103"/>
      <c r="LL2232" s="103"/>
      <c r="NM2232" s="103"/>
      <c r="QT2232" s="106"/>
      <c r="QU2232" s="106"/>
      <c r="QV2232" s="106"/>
      <c r="QW2232" s="106"/>
      <c r="QX2232" s="106"/>
      <c r="QY2232" s="106"/>
      <c r="QZ2232" s="106"/>
      <c r="RA2232" s="106"/>
      <c r="RB2232" s="106"/>
      <c r="RC2232" s="106"/>
      <c r="RD2232" s="106"/>
      <c r="RE2232" s="106"/>
      <c r="RF2232" s="106"/>
      <c r="RG2232" s="106"/>
      <c r="RH2232" s="106"/>
      <c r="RI2232" s="106"/>
      <c r="RJ2232" s="106"/>
      <c r="RK2232" s="106"/>
      <c r="RL2232" s="106"/>
    </row>
    <row r="2233" spans="48:480" x14ac:dyDescent="0.3">
      <c r="AV2233" s="103"/>
      <c r="CJ2233" s="103"/>
      <c r="FP2233" s="103"/>
      <c r="LL2233" s="103"/>
      <c r="NM2233" s="103"/>
      <c r="QT2233" s="106"/>
      <c r="QU2233" s="106"/>
      <c r="QV2233" s="106"/>
      <c r="QW2233" s="106"/>
      <c r="QX2233" s="106"/>
      <c r="QY2233" s="106"/>
      <c r="QZ2233" s="106"/>
      <c r="RA2233" s="106"/>
      <c r="RB2233" s="106"/>
      <c r="RC2233" s="106"/>
      <c r="RD2233" s="106"/>
      <c r="RE2233" s="106"/>
      <c r="RF2233" s="106"/>
      <c r="RG2233" s="106"/>
      <c r="RH2233" s="106"/>
      <c r="RI2233" s="106"/>
      <c r="RJ2233" s="106"/>
      <c r="RK2233" s="106"/>
      <c r="RL2233" s="106"/>
    </row>
    <row r="2234" spans="48:480" x14ac:dyDescent="0.3">
      <c r="AV2234" s="103"/>
      <c r="CJ2234" s="103"/>
      <c r="FP2234" s="103"/>
      <c r="LL2234" s="103"/>
      <c r="NM2234" s="103"/>
      <c r="QT2234" s="106"/>
      <c r="QU2234" s="106"/>
      <c r="QV2234" s="106"/>
      <c r="QW2234" s="106"/>
      <c r="QX2234" s="106"/>
      <c r="QY2234" s="106"/>
      <c r="QZ2234" s="106"/>
      <c r="RA2234" s="106"/>
      <c r="RB2234" s="106"/>
      <c r="RC2234" s="106"/>
      <c r="RD2234" s="106"/>
      <c r="RE2234" s="106"/>
      <c r="RF2234" s="106"/>
      <c r="RG2234" s="106"/>
      <c r="RH2234" s="106"/>
      <c r="RI2234" s="106"/>
      <c r="RJ2234" s="106"/>
      <c r="RK2234" s="106"/>
      <c r="RL2234" s="106"/>
    </row>
    <row r="2235" spans="48:480" x14ac:dyDescent="0.3">
      <c r="AV2235" s="103"/>
      <c r="CJ2235" s="103"/>
      <c r="FP2235" s="103"/>
      <c r="LL2235" s="103"/>
      <c r="NM2235" s="103"/>
      <c r="QT2235" s="106"/>
      <c r="QU2235" s="106"/>
      <c r="QV2235" s="106"/>
      <c r="QW2235" s="106"/>
      <c r="QX2235" s="106"/>
      <c r="QY2235" s="106"/>
      <c r="QZ2235" s="106"/>
      <c r="RA2235" s="106"/>
      <c r="RB2235" s="106"/>
      <c r="RC2235" s="106"/>
      <c r="RD2235" s="106"/>
      <c r="RE2235" s="106"/>
      <c r="RF2235" s="106"/>
      <c r="RG2235" s="106"/>
      <c r="RH2235" s="106"/>
      <c r="RI2235" s="106"/>
      <c r="RJ2235" s="106"/>
      <c r="RK2235" s="106"/>
      <c r="RL2235" s="106"/>
    </row>
    <row r="2236" spans="48:480" x14ac:dyDescent="0.3">
      <c r="AV2236" s="103"/>
      <c r="CJ2236" s="103"/>
      <c r="FP2236" s="103"/>
      <c r="LL2236" s="103"/>
      <c r="NM2236" s="103"/>
      <c r="QT2236" s="106"/>
      <c r="QU2236" s="106"/>
      <c r="QV2236" s="106"/>
      <c r="QW2236" s="106"/>
      <c r="QX2236" s="106"/>
      <c r="QY2236" s="106"/>
      <c r="QZ2236" s="106"/>
      <c r="RA2236" s="106"/>
      <c r="RB2236" s="106"/>
      <c r="RC2236" s="106"/>
      <c r="RD2236" s="106"/>
      <c r="RE2236" s="106"/>
      <c r="RF2236" s="106"/>
      <c r="RG2236" s="106"/>
      <c r="RH2236" s="106"/>
      <c r="RI2236" s="106"/>
      <c r="RJ2236" s="106"/>
      <c r="RK2236" s="106"/>
      <c r="RL2236" s="106"/>
    </row>
    <row r="2237" spans="48:480" x14ac:dyDescent="0.3">
      <c r="AV2237" s="103"/>
      <c r="CJ2237" s="103"/>
      <c r="FP2237" s="103"/>
      <c r="LL2237" s="103"/>
      <c r="NM2237" s="103"/>
      <c r="QT2237" s="106"/>
      <c r="QU2237" s="106"/>
      <c r="QV2237" s="106"/>
      <c r="QW2237" s="106"/>
      <c r="QX2237" s="106"/>
      <c r="QY2237" s="106"/>
      <c r="QZ2237" s="106"/>
      <c r="RA2237" s="106"/>
      <c r="RB2237" s="106"/>
      <c r="RC2237" s="106"/>
      <c r="RD2237" s="106"/>
      <c r="RE2237" s="106"/>
      <c r="RF2237" s="106"/>
      <c r="RG2237" s="106"/>
      <c r="RH2237" s="106"/>
      <c r="RI2237" s="106"/>
      <c r="RJ2237" s="106"/>
      <c r="RK2237" s="106"/>
      <c r="RL2237" s="106"/>
    </row>
    <row r="2238" spans="48:480" x14ac:dyDescent="0.3">
      <c r="AV2238" s="103"/>
      <c r="CJ2238" s="103"/>
      <c r="FP2238" s="103"/>
      <c r="LL2238" s="103"/>
      <c r="NM2238" s="103"/>
      <c r="QT2238" s="106"/>
      <c r="QU2238" s="106"/>
      <c r="QV2238" s="106"/>
      <c r="QW2238" s="106"/>
      <c r="QX2238" s="106"/>
      <c r="QY2238" s="106"/>
      <c r="QZ2238" s="106"/>
      <c r="RA2238" s="106"/>
      <c r="RB2238" s="106"/>
      <c r="RC2238" s="106"/>
      <c r="RD2238" s="106"/>
      <c r="RE2238" s="106"/>
      <c r="RF2238" s="106"/>
      <c r="RG2238" s="106"/>
      <c r="RH2238" s="106"/>
      <c r="RI2238" s="106"/>
      <c r="RJ2238" s="106"/>
      <c r="RK2238" s="106"/>
      <c r="RL2238" s="106"/>
    </row>
    <row r="2239" spans="48:480" x14ac:dyDescent="0.3">
      <c r="AV2239" s="103"/>
      <c r="CJ2239" s="103"/>
      <c r="FP2239" s="103"/>
      <c r="LL2239" s="103"/>
      <c r="NM2239" s="103"/>
      <c r="QT2239" s="106"/>
      <c r="QU2239" s="106"/>
      <c r="QV2239" s="106"/>
      <c r="QW2239" s="106"/>
      <c r="QX2239" s="106"/>
      <c r="QY2239" s="106"/>
      <c r="QZ2239" s="106"/>
      <c r="RA2239" s="106"/>
      <c r="RB2239" s="106"/>
      <c r="RC2239" s="106"/>
      <c r="RD2239" s="106"/>
      <c r="RE2239" s="106"/>
      <c r="RF2239" s="106"/>
      <c r="RG2239" s="106"/>
      <c r="RH2239" s="106"/>
      <c r="RI2239" s="106"/>
      <c r="RJ2239" s="106"/>
      <c r="RK2239" s="106"/>
      <c r="RL2239" s="106"/>
    </row>
    <row r="2240" spans="48:480" x14ac:dyDescent="0.3">
      <c r="AV2240" s="103"/>
      <c r="CJ2240" s="103"/>
      <c r="FP2240" s="103"/>
      <c r="LL2240" s="103"/>
      <c r="NM2240" s="103"/>
      <c r="QT2240" s="106"/>
      <c r="QU2240" s="106"/>
      <c r="QV2240" s="106"/>
      <c r="QW2240" s="106"/>
      <c r="QX2240" s="106"/>
      <c r="QY2240" s="106"/>
      <c r="QZ2240" s="106"/>
      <c r="RA2240" s="106"/>
      <c r="RB2240" s="106"/>
      <c r="RC2240" s="106"/>
      <c r="RD2240" s="106"/>
      <c r="RE2240" s="106"/>
      <c r="RF2240" s="106"/>
      <c r="RG2240" s="106"/>
      <c r="RH2240" s="106"/>
      <c r="RI2240" s="106"/>
      <c r="RJ2240" s="106"/>
      <c r="RK2240" s="106"/>
      <c r="RL2240" s="106"/>
    </row>
    <row r="2241" spans="48:480" x14ac:dyDescent="0.3">
      <c r="AV2241" s="103"/>
      <c r="CJ2241" s="103"/>
      <c r="FP2241" s="103"/>
      <c r="LL2241" s="103"/>
      <c r="NM2241" s="103"/>
      <c r="QT2241" s="106"/>
      <c r="QU2241" s="106"/>
      <c r="QV2241" s="106"/>
      <c r="QW2241" s="106"/>
      <c r="QX2241" s="106"/>
      <c r="QY2241" s="106"/>
      <c r="QZ2241" s="106"/>
      <c r="RA2241" s="106"/>
      <c r="RB2241" s="106"/>
      <c r="RC2241" s="106"/>
      <c r="RD2241" s="106"/>
      <c r="RE2241" s="106"/>
      <c r="RF2241" s="106"/>
      <c r="RG2241" s="106"/>
      <c r="RH2241" s="106"/>
      <c r="RI2241" s="106"/>
      <c r="RJ2241" s="106"/>
      <c r="RK2241" s="106"/>
      <c r="RL2241" s="106"/>
    </row>
    <row r="2242" spans="48:480" x14ac:dyDescent="0.3">
      <c r="AV2242" s="103"/>
      <c r="CJ2242" s="103"/>
      <c r="FP2242" s="103"/>
      <c r="LL2242" s="103"/>
      <c r="NM2242" s="103"/>
      <c r="QT2242" s="106"/>
      <c r="QU2242" s="106"/>
      <c r="QV2242" s="106"/>
      <c r="QW2242" s="106"/>
      <c r="QX2242" s="106"/>
      <c r="QY2242" s="106"/>
      <c r="QZ2242" s="106"/>
      <c r="RA2242" s="106"/>
      <c r="RB2242" s="106"/>
      <c r="RC2242" s="106"/>
      <c r="RD2242" s="106"/>
      <c r="RE2242" s="106"/>
      <c r="RF2242" s="106"/>
      <c r="RG2242" s="106"/>
      <c r="RH2242" s="106"/>
      <c r="RI2242" s="106"/>
      <c r="RJ2242" s="106"/>
      <c r="RK2242" s="106"/>
      <c r="RL2242" s="106"/>
    </row>
    <row r="2243" spans="48:480" x14ac:dyDescent="0.3">
      <c r="AV2243" s="103"/>
      <c r="CJ2243" s="103"/>
      <c r="FP2243" s="103"/>
      <c r="LL2243" s="103"/>
      <c r="NM2243" s="103"/>
      <c r="QT2243" s="106"/>
      <c r="QU2243" s="106"/>
      <c r="QV2243" s="106"/>
      <c r="QW2243" s="106"/>
      <c r="QX2243" s="106"/>
      <c r="QY2243" s="106"/>
      <c r="QZ2243" s="106"/>
      <c r="RA2243" s="106"/>
      <c r="RB2243" s="106"/>
      <c r="RC2243" s="106"/>
      <c r="RD2243" s="106"/>
      <c r="RE2243" s="106"/>
      <c r="RF2243" s="106"/>
      <c r="RG2243" s="106"/>
      <c r="RH2243" s="106"/>
      <c r="RI2243" s="106"/>
      <c r="RJ2243" s="106"/>
      <c r="RK2243" s="106"/>
      <c r="RL2243" s="106"/>
    </row>
    <row r="2244" spans="48:480" x14ac:dyDescent="0.3">
      <c r="AV2244" s="103"/>
      <c r="CJ2244" s="103"/>
      <c r="FP2244" s="103"/>
      <c r="LL2244" s="103"/>
      <c r="NM2244" s="103"/>
      <c r="QT2244" s="106"/>
      <c r="QU2244" s="106"/>
      <c r="QV2244" s="106"/>
      <c r="QW2244" s="106"/>
      <c r="QX2244" s="106"/>
      <c r="QY2244" s="106"/>
      <c r="QZ2244" s="106"/>
      <c r="RA2244" s="106"/>
      <c r="RB2244" s="106"/>
      <c r="RC2244" s="106"/>
      <c r="RD2244" s="106"/>
      <c r="RE2244" s="106"/>
      <c r="RF2244" s="106"/>
      <c r="RG2244" s="106"/>
      <c r="RH2244" s="106"/>
      <c r="RI2244" s="106"/>
      <c r="RJ2244" s="106"/>
      <c r="RK2244" s="106"/>
      <c r="RL2244" s="106"/>
    </row>
    <row r="2245" spans="48:480" x14ac:dyDescent="0.3">
      <c r="AV2245" s="103"/>
      <c r="CJ2245" s="103"/>
      <c r="FP2245" s="103"/>
      <c r="LL2245" s="103"/>
      <c r="NM2245" s="103"/>
      <c r="QT2245" s="106"/>
      <c r="QU2245" s="106"/>
      <c r="QV2245" s="106"/>
      <c r="QW2245" s="106"/>
      <c r="QX2245" s="106"/>
      <c r="QY2245" s="106"/>
      <c r="QZ2245" s="106"/>
      <c r="RA2245" s="106"/>
      <c r="RB2245" s="106"/>
      <c r="RC2245" s="106"/>
      <c r="RD2245" s="106"/>
      <c r="RE2245" s="106"/>
      <c r="RF2245" s="106"/>
      <c r="RG2245" s="106"/>
      <c r="RH2245" s="106"/>
      <c r="RI2245" s="106"/>
      <c r="RJ2245" s="106"/>
      <c r="RK2245" s="106"/>
      <c r="RL2245" s="106"/>
    </row>
    <row r="2246" spans="48:480" x14ac:dyDescent="0.3">
      <c r="AV2246" s="103"/>
      <c r="CJ2246" s="103"/>
      <c r="FP2246" s="103"/>
      <c r="LL2246" s="103"/>
      <c r="NM2246" s="103"/>
      <c r="QT2246" s="106"/>
      <c r="QU2246" s="106"/>
      <c r="QV2246" s="106"/>
      <c r="QW2246" s="106"/>
      <c r="QX2246" s="106"/>
      <c r="QY2246" s="106"/>
      <c r="QZ2246" s="106"/>
      <c r="RA2246" s="106"/>
      <c r="RB2246" s="106"/>
      <c r="RC2246" s="106"/>
      <c r="RD2246" s="106"/>
      <c r="RE2246" s="106"/>
      <c r="RF2246" s="106"/>
      <c r="RG2246" s="106"/>
      <c r="RH2246" s="106"/>
      <c r="RI2246" s="106"/>
      <c r="RJ2246" s="106"/>
      <c r="RK2246" s="106"/>
      <c r="RL2246" s="106"/>
    </row>
    <row r="2247" spans="48:480" x14ac:dyDescent="0.3">
      <c r="AV2247" s="103"/>
      <c r="CJ2247" s="103"/>
      <c r="FP2247" s="103"/>
      <c r="LL2247" s="103"/>
      <c r="NM2247" s="103"/>
      <c r="QT2247" s="106"/>
      <c r="QU2247" s="106"/>
      <c r="QV2247" s="106"/>
      <c r="QW2247" s="106"/>
      <c r="QX2247" s="106"/>
      <c r="QY2247" s="106"/>
      <c r="QZ2247" s="106"/>
      <c r="RA2247" s="106"/>
      <c r="RB2247" s="106"/>
      <c r="RC2247" s="106"/>
      <c r="RD2247" s="106"/>
      <c r="RE2247" s="106"/>
      <c r="RF2247" s="106"/>
      <c r="RG2247" s="106"/>
      <c r="RH2247" s="106"/>
      <c r="RI2247" s="106"/>
      <c r="RJ2247" s="106"/>
      <c r="RK2247" s="106"/>
      <c r="RL2247" s="106"/>
    </row>
    <row r="2248" spans="48:480" x14ac:dyDescent="0.3">
      <c r="AV2248" s="103"/>
      <c r="CJ2248" s="103"/>
      <c r="FP2248" s="103"/>
      <c r="LL2248" s="103"/>
      <c r="NM2248" s="103"/>
      <c r="QT2248" s="106"/>
      <c r="QU2248" s="106"/>
      <c r="QV2248" s="106"/>
      <c r="QW2248" s="106"/>
      <c r="QX2248" s="106"/>
      <c r="QY2248" s="106"/>
      <c r="QZ2248" s="106"/>
      <c r="RA2248" s="106"/>
      <c r="RB2248" s="106"/>
      <c r="RC2248" s="106"/>
      <c r="RD2248" s="106"/>
      <c r="RE2248" s="106"/>
      <c r="RF2248" s="106"/>
      <c r="RG2248" s="106"/>
      <c r="RH2248" s="106"/>
      <c r="RI2248" s="106"/>
      <c r="RJ2248" s="106"/>
      <c r="RK2248" s="106"/>
      <c r="RL2248" s="106"/>
    </row>
    <row r="2249" spans="48:480" x14ac:dyDescent="0.3">
      <c r="AV2249" s="103"/>
      <c r="CJ2249" s="103"/>
      <c r="FP2249" s="103"/>
      <c r="LL2249" s="103"/>
      <c r="NM2249" s="103"/>
      <c r="QT2249" s="106"/>
      <c r="QU2249" s="106"/>
      <c r="QV2249" s="106"/>
      <c r="QW2249" s="106"/>
      <c r="QX2249" s="106"/>
      <c r="QY2249" s="106"/>
      <c r="QZ2249" s="106"/>
      <c r="RA2249" s="106"/>
      <c r="RB2249" s="106"/>
      <c r="RC2249" s="106"/>
      <c r="RD2249" s="106"/>
      <c r="RE2249" s="106"/>
      <c r="RF2249" s="106"/>
      <c r="RG2249" s="106"/>
      <c r="RH2249" s="106"/>
      <c r="RI2249" s="106"/>
      <c r="RJ2249" s="106"/>
      <c r="RK2249" s="106"/>
      <c r="RL2249" s="106"/>
    </row>
    <row r="2250" spans="48:480" x14ac:dyDescent="0.3">
      <c r="AV2250" s="103"/>
      <c r="CJ2250" s="103"/>
      <c r="FP2250" s="103"/>
      <c r="LL2250" s="103"/>
      <c r="NM2250" s="103"/>
      <c r="QT2250" s="106"/>
      <c r="QU2250" s="106"/>
      <c r="QV2250" s="106"/>
      <c r="QW2250" s="106"/>
      <c r="QX2250" s="106"/>
      <c r="QY2250" s="106"/>
      <c r="QZ2250" s="106"/>
      <c r="RA2250" s="106"/>
      <c r="RB2250" s="106"/>
      <c r="RC2250" s="106"/>
      <c r="RD2250" s="106"/>
      <c r="RE2250" s="106"/>
      <c r="RF2250" s="106"/>
      <c r="RG2250" s="106"/>
      <c r="RH2250" s="106"/>
      <c r="RI2250" s="106"/>
      <c r="RJ2250" s="106"/>
      <c r="RK2250" s="106"/>
      <c r="RL2250" s="106"/>
    </row>
    <row r="2251" spans="48:480" x14ac:dyDescent="0.3">
      <c r="AV2251" s="103"/>
      <c r="CJ2251" s="103"/>
      <c r="FP2251" s="103"/>
      <c r="LL2251" s="103"/>
      <c r="NM2251" s="103"/>
      <c r="QT2251" s="106"/>
      <c r="QU2251" s="106"/>
      <c r="QV2251" s="106"/>
      <c r="QW2251" s="106"/>
      <c r="QX2251" s="106"/>
      <c r="QY2251" s="106"/>
      <c r="QZ2251" s="106"/>
      <c r="RA2251" s="106"/>
      <c r="RB2251" s="106"/>
      <c r="RC2251" s="106"/>
      <c r="RD2251" s="106"/>
      <c r="RE2251" s="106"/>
      <c r="RF2251" s="106"/>
      <c r="RG2251" s="106"/>
      <c r="RH2251" s="106"/>
      <c r="RI2251" s="106"/>
      <c r="RJ2251" s="106"/>
      <c r="RK2251" s="106"/>
      <c r="RL2251" s="106"/>
    </row>
    <row r="2252" spans="48:480" x14ac:dyDescent="0.3">
      <c r="AV2252" s="103"/>
      <c r="CJ2252" s="103"/>
      <c r="FP2252" s="103"/>
      <c r="LL2252" s="103"/>
      <c r="NM2252" s="103"/>
      <c r="QT2252" s="106"/>
      <c r="QU2252" s="106"/>
      <c r="QV2252" s="106"/>
      <c r="QW2252" s="106"/>
      <c r="QX2252" s="106"/>
      <c r="QY2252" s="106"/>
      <c r="QZ2252" s="106"/>
      <c r="RA2252" s="106"/>
      <c r="RB2252" s="106"/>
      <c r="RC2252" s="106"/>
      <c r="RD2252" s="106"/>
      <c r="RE2252" s="106"/>
      <c r="RF2252" s="106"/>
      <c r="RG2252" s="106"/>
      <c r="RH2252" s="106"/>
      <c r="RI2252" s="106"/>
      <c r="RJ2252" s="106"/>
      <c r="RK2252" s="106"/>
      <c r="RL2252" s="106"/>
    </row>
    <row r="2253" spans="48:480" x14ac:dyDescent="0.3">
      <c r="AV2253" s="103"/>
      <c r="CJ2253" s="103"/>
      <c r="FP2253" s="103"/>
      <c r="LL2253" s="103"/>
      <c r="NM2253" s="103"/>
      <c r="QT2253" s="106"/>
      <c r="QU2253" s="106"/>
      <c r="QV2253" s="106"/>
      <c r="QW2253" s="106"/>
      <c r="QX2253" s="106"/>
      <c r="QY2253" s="106"/>
      <c r="QZ2253" s="106"/>
      <c r="RA2253" s="106"/>
      <c r="RB2253" s="106"/>
      <c r="RC2253" s="106"/>
      <c r="RD2253" s="106"/>
      <c r="RE2253" s="106"/>
      <c r="RF2253" s="106"/>
      <c r="RG2253" s="106"/>
      <c r="RH2253" s="106"/>
      <c r="RI2253" s="106"/>
      <c r="RJ2253" s="106"/>
      <c r="RK2253" s="106"/>
      <c r="RL2253" s="106"/>
    </row>
    <row r="2254" spans="48:480" x14ac:dyDescent="0.3">
      <c r="AV2254" s="103"/>
      <c r="CJ2254" s="103"/>
      <c r="FP2254" s="103"/>
      <c r="LL2254" s="103"/>
      <c r="NM2254" s="103"/>
      <c r="QT2254" s="106"/>
      <c r="QU2254" s="106"/>
      <c r="QV2254" s="106"/>
      <c r="QW2254" s="106"/>
      <c r="QX2254" s="106"/>
      <c r="QY2254" s="106"/>
      <c r="QZ2254" s="106"/>
      <c r="RA2254" s="106"/>
      <c r="RB2254" s="106"/>
      <c r="RC2254" s="106"/>
      <c r="RD2254" s="106"/>
      <c r="RE2254" s="106"/>
      <c r="RF2254" s="106"/>
      <c r="RG2254" s="106"/>
      <c r="RH2254" s="106"/>
      <c r="RI2254" s="106"/>
      <c r="RJ2254" s="106"/>
      <c r="RK2254" s="106"/>
      <c r="RL2254" s="106"/>
    </row>
    <row r="2255" spans="48:480" x14ac:dyDescent="0.3">
      <c r="AV2255" s="103"/>
      <c r="CJ2255" s="103"/>
      <c r="FP2255" s="103"/>
      <c r="LL2255" s="103"/>
      <c r="NM2255" s="103"/>
      <c r="QT2255" s="106"/>
      <c r="QU2255" s="106"/>
      <c r="QV2255" s="106"/>
      <c r="QW2255" s="106"/>
      <c r="QX2255" s="106"/>
      <c r="QY2255" s="106"/>
      <c r="QZ2255" s="106"/>
      <c r="RA2255" s="106"/>
      <c r="RB2255" s="106"/>
      <c r="RC2255" s="106"/>
      <c r="RD2255" s="106"/>
      <c r="RE2255" s="106"/>
      <c r="RF2255" s="106"/>
      <c r="RG2255" s="106"/>
      <c r="RH2255" s="106"/>
      <c r="RI2255" s="106"/>
      <c r="RJ2255" s="106"/>
      <c r="RK2255" s="106"/>
      <c r="RL2255" s="106"/>
    </row>
    <row r="2256" spans="48:480" x14ac:dyDescent="0.3">
      <c r="AV2256" s="103"/>
      <c r="CJ2256" s="103"/>
      <c r="FP2256" s="103"/>
      <c r="LL2256" s="103"/>
      <c r="NM2256" s="103"/>
      <c r="QT2256" s="106"/>
      <c r="QU2256" s="106"/>
      <c r="QV2256" s="106"/>
      <c r="QW2256" s="106"/>
      <c r="QX2256" s="106"/>
      <c r="QY2256" s="106"/>
      <c r="QZ2256" s="106"/>
      <c r="RA2256" s="106"/>
      <c r="RB2256" s="106"/>
      <c r="RC2256" s="106"/>
      <c r="RD2256" s="106"/>
      <c r="RE2256" s="106"/>
      <c r="RF2256" s="106"/>
      <c r="RG2256" s="106"/>
      <c r="RH2256" s="106"/>
      <c r="RI2256" s="106"/>
      <c r="RJ2256" s="106"/>
      <c r="RK2256" s="106"/>
      <c r="RL2256" s="106"/>
    </row>
    <row r="2257" spans="48:480" x14ac:dyDescent="0.3">
      <c r="AV2257" s="103"/>
      <c r="CJ2257" s="103"/>
      <c r="FP2257" s="103"/>
      <c r="LL2257" s="103"/>
      <c r="NM2257" s="103"/>
      <c r="QT2257" s="106"/>
      <c r="QU2257" s="106"/>
      <c r="QV2257" s="106"/>
      <c r="QW2257" s="106"/>
      <c r="QX2257" s="106"/>
      <c r="QY2257" s="106"/>
      <c r="QZ2257" s="106"/>
      <c r="RA2257" s="106"/>
      <c r="RB2257" s="106"/>
      <c r="RC2257" s="106"/>
      <c r="RD2257" s="106"/>
      <c r="RE2257" s="106"/>
      <c r="RF2257" s="106"/>
      <c r="RG2257" s="106"/>
      <c r="RH2257" s="106"/>
      <c r="RI2257" s="106"/>
      <c r="RJ2257" s="106"/>
      <c r="RK2257" s="106"/>
      <c r="RL2257" s="106"/>
    </row>
    <row r="2258" spans="48:480" x14ac:dyDescent="0.3">
      <c r="AV2258" s="103"/>
      <c r="CJ2258" s="103"/>
      <c r="FP2258" s="103"/>
      <c r="LL2258" s="103"/>
      <c r="NM2258" s="103"/>
      <c r="QT2258" s="106"/>
      <c r="QU2258" s="106"/>
      <c r="QV2258" s="106"/>
      <c r="QW2258" s="106"/>
      <c r="QX2258" s="106"/>
      <c r="QY2258" s="106"/>
      <c r="QZ2258" s="106"/>
      <c r="RA2258" s="106"/>
      <c r="RB2258" s="106"/>
      <c r="RC2258" s="106"/>
      <c r="RD2258" s="106"/>
      <c r="RE2258" s="106"/>
      <c r="RF2258" s="106"/>
      <c r="RG2258" s="106"/>
      <c r="RH2258" s="106"/>
      <c r="RI2258" s="106"/>
      <c r="RJ2258" s="106"/>
      <c r="RK2258" s="106"/>
      <c r="RL2258" s="106"/>
    </row>
    <row r="2259" spans="48:480" x14ac:dyDescent="0.3">
      <c r="AV2259" s="103"/>
      <c r="CJ2259" s="103"/>
      <c r="FP2259" s="103"/>
      <c r="LL2259" s="103"/>
      <c r="NM2259" s="103"/>
      <c r="QT2259" s="106"/>
      <c r="QU2259" s="106"/>
      <c r="QV2259" s="106"/>
      <c r="QW2259" s="106"/>
      <c r="QX2259" s="106"/>
      <c r="QY2259" s="106"/>
      <c r="QZ2259" s="106"/>
      <c r="RA2259" s="106"/>
      <c r="RB2259" s="106"/>
      <c r="RC2259" s="106"/>
      <c r="RD2259" s="106"/>
      <c r="RE2259" s="106"/>
      <c r="RF2259" s="106"/>
      <c r="RG2259" s="106"/>
      <c r="RH2259" s="106"/>
      <c r="RI2259" s="106"/>
      <c r="RJ2259" s="106"/>
      <c r="RK2259" s="106"/>
      <c r="RL2259" s="106"/>
    </row>
    <row r="2260" spans="48:480" x14ac:dyDescent="0.3">
      <c r="AV2260" s="103"/>
      <c r="CJ2260" s="103"/>
      <c r="FP2260" s="103"/>
      <c r="LL2260" s="103"/>
      <c r="NM2260" s="103"/>
      <c r="QT2260" s="106"/>
      <c r="QU2260" s="106"/>
      <c r="QV2260" s="106"/>
      <c r="QW2260" s="106"/>
      <c r="QX2260" s="106"/>
      <c r="QY2260" s="106"/>
      <c r="QZ2260" s="106"/>
      <c r="RA2260" s="106"/>
      <c r="RB2260" s="106"/>
      <c r="RC2260" s="106"/>
      <c r="RD2260" s="106"/>
      <c r="RE2260" s="106"/>
      <c r="RF2260" s="106"/>
      <c r="RG2260" s="106"/>
      <c r="RH2260" s="106"/>
      <c r="RI2260" s="106"/>
      <c r="RJ2260" s="106"/>
      <c r="RK2260" s="106"/>
      <c r="RL2260" s="106"/>
    </row>
    <row r="2261" spans="48:480" x14ac:dyDescent="0.3">
      <c r="AV2261" s="103"/>
      <c r="CJ2261" s="103"/>
      <c r="FP2261" s="103"/>
      <c r="LL2261" s="103"/>
      <c r="NM2261" s="103"/>
      <c r="QT2261" s="106"/>
      <c r="QU2261" s="106"/>
      <c r="QV2261" s="106"/>
      <c r="QW2261" s="106"/>
      <c r="QX2261" s="106"/>
      <c r="QY2261" s="106"/>
      <c r="QZ2261" s="106"/>
      <c r="RA2261" s="106"/>
      <c r="RB2261" s="106"/>
      <c r="RC2261" s="106"/>
      <c r="RD2261" s="106"/>
      <c r="RE2261" s="106"/>
      <c r="RF2261" s="106"/>
      <c r="RG2261" s="106"/>
      <c r="RH2261" s="106"/>
      <c r="RI2261" s="106"/>
      <c r="RJ2261" s="106"/>
      <c r="RK2261" s="106"/>
      <c r="RL2261" s="106"/>
    </row>
    <row r="2262" spans="48:480" x14ac:dyDescent="0.3">
      <c r="AV2262" s="103"/>
      <c r="CJ2262" s="103"/>
      <c r="FP2262" s="103"/>
      <c r="LL2262" s="103"/>
      <c r="NM2262" s="103"/>
      <c r="QT2262" s="106"/>
      <c r="QU2262" s="106"/>
      <c r="QV2262" s="106"/>
      <c r="QW2262" s="106"/>
      <c r="QX2262" s="106"/>
      <c r="QY2262" s="106"/>
      <c r="QZ2262" s="106"/>
      <c r="RA2262" s="106"/>
      <c r="RB2262" s="106"/>
      <c r="RC2262" s="106"/>
      <c r="RD2262" s="106"/>
      <c r="RE2262" s="106"/>
      <c r="RF2262" s="106"/>
      <c r="RG2262" s="106"/>
      <c r="RH2262" s="106"/>
      <c r="RI2262" s="106"/>
      <c r="RJ2262" s="106"/>
      <c r="RK2262" s="106"/>
      <c r="RL2262" s="106"/>
    </row>
    <row r="2263" spans="48:480" x14ac:dyDescent="0.3">
      <c r="AV2263" s="103"/>
      <c r="CJ2263" s="103"/>
      <c r="FP2263" s="103"/>
      <c r="LL2263" s="103"/>
      <c r="NM2263" s="103"/>
      <c r="QT2263" s="106"/>
      <c r="QU2263" s="106"/>
      <c r="QV2263" s="106"/>
      <c r="QW2263" s="106"/>
      <c r="QX2263" s="106"/>
      <c r="QY2263" s="106"/>
      <c r="QZ2263" s="106"/>
      <c r="RA2263" s="106"/>
      <c r="RB2263" s="106"/>
      <c r="RC2263" s="106"/>
      <c r="RD2263" s="106"/>
      <c r="RE2263" s="106"/>
      <c r="RF2263" s="106"/>
      <c r="RG2263" s="106"/>
      <c r="RH2263" s="106"/>
      <c r="RI2263" s="106"/>
      <c r="RJ2263" s="106"/>
      <c r="RK2263" s="106"/>
      <c r="RL2263" s="106"/>
    </row>
    <row r="2264" spans="48:480" x14ac:dyDescent="0.3">
      <c r="AV2264" s="103"/>
      <c r="CJ2264" s="103"/>
      <c r="FP2264" s="103"/>
      <c r="LL2264" s="103"/>
      <c r="NM2264" s="103"/>
      <c r="QT2264" s="106"/>
      <c r="QU2264" s="106"/>
      <c r="QV2264" s="106"/>
      <c r="QW2264" s="106"/>
      <c r="QX2264" s="106"/>
      <c r="QY2264" s="106"/>
      <c r="QZ2264" s="106"/>
      <c r="RA2264" s="106"/>
      <c r="RB2264" s="106"/>
      <c r="RC2264" s="106"/>
      <c r="RD2264" s="106"/>
      <c r="RE2264" s="106"/>
      <c r="RF2264" s="106"/>
      <c r="RG2264" s="106"/>
      <c r="RH2264" s="106"/>
      <c r="RI2264" s="106"/>
      <c r="RJ2264" s="106"/>
      <c r="RK2264" s="106"/>
      <c r="RL2264" s="106"/>
    </row>
    <row r="2265" spans="48:480" x14ac:dyDescent="0.3">
      <c r="AV2265" s="103"/>
      <c r="CJ2265" s="103"/>
      <c r="FP2265" s="103"/>
      <c r="LL2265" s="103"/>
      <c r="NM2265" s="103"/>
      <c r="QT2265" s="106"/>
      <c r="QU2265" s="106"/>
      <c r="QV2265" s="106"/>
      <c r="QW2265" s="106"/>
      <c r="QX2265" s="106"/>
      <c r="QY2265" s="106"/>
      <c r="QZ2265" s="106"/>
      <c r="RA2265" s="106"/>
      <c r="RB2265" s="106"/>
      <c r="RC2265" s="106"/>
      <c r="RD2265" s="106"/>
      <c r="RE2265" s="106"/>
      <c r="RF2265" s="106"/>
      <c r="RG2265" s="106"/>
      <c r="RH2265" s="106"/>
      <c r="RI2265" s="106"/>
      <c r="RJ2265" s="106"/>
      <c r="RK2265" s="106"/>
      <c r="RL2265" s="106"/>
    </row>
    <row r="2266" spans="48:480" x14ac:dyDescent="0.3">
      <c r="AV2266" s="103"/>
      <c r="CJ2266" s="103"/>
      <c r="FP2266" s="103"/>
      <c r="LL2266" s="103"/>
      <c r="NM2266" s="103"/>
      <c r="QT2266" s="106"/>
      <c r="QU2266" s="106"/>
      <c r="QV2266" s="106"/>
      <c r="QW2266" s="106"/>
      <c r="QX2266" s="106"/>
      <c r="QY2266" s="106"/>
      <c r="QZ2266" s="106"/>
      <c r="RA2266" s="106"/>
      <c r="RB2266" s="106"/>
      <c r="RC2266" s="106"/>
      <c r="RD2266" s="106"/>
      <c r="RE2266" s="106"/>
      <c r="RF2266" s="106"/>
      <c r="RG2266" s="106"/>
      <c r="RH2266" s="106"/>
      <c r="RI2266" s="106"/>
      <c r="RJ2266" s="106"/>
      <c r="RK2266" s="106"/>
      <c r="RL2266" s="106"/>
    </row>
    <row r="2267" spans="48:480" x14ac:dyDescent="0.3">
      <c r="AV2267" s="103"/>
      <c r="CJ2267" s="103"/>
      <c r="FP2267" s="103"/>
      <c r="LL2267" s="103"/>
      <c r="NM2267" s="103"/>
      <c r="QT2267" s="106"/>
      <c r="QU2267" s="106"/>
      <c r="QV2267" s="106"/>
      <c r="QW2267" s="106"/>
      <c r="QX2267" s="106"/>
      <c r="QY2267" s="106"/>
      <c r="QZ2267" s="106"/>
      <c r="RA2267" s="106"/>
      <c r="RB2267" s="106"/>
      <c r="RC2267" s="106"/>
      <c r="RD2267" s="106"/>
      <c r="RE2267" s="106"/>
      <c r="RF2267" s="106"/>
      <c r="RG2267" s="106"/>
      <c r="RH2267" s="106"/>
      <c r="RI2267" s="106"/>
      <c r="RJ2267" s="106"/>
      <c r="RK2267" s="106"/>
      <c r="RL2267" s="106"/>
    </row>
    <row r="2268" spans="48:480" x14ac:dyDescent="0.3">
      <c r="AV2268" s="103"/>
      <c r="CJ2268" s="103"/>
      <c r="FP2268" s="103"/>
      <c r="LL2268" s="103"/>
      <c r="NM2268" s="103"/>
      <c r="QT2268" s="106"/>
      <c r="QU2268" s="106"/>
      <c r="QV2268" s="106"/>
      <c r="QW2268" s="106"/>
      <c r="QX2268" s="106"/>
      <c r="QY2268" s="106"/>
      <c r="QZ2268" s="106"/>
      <c r="RA2268" s="106"/>
      <c r="RB2268" s="106"/>
      <c r="RC2268" s="106"/>
      <c r="RD2268" s="106"/>
      <c r="RE2268" s="106"/>
      <c r="RF2268" s="106"/>
      <c r="RG2268" s="106"/>
      <c r="RH2268" s="106"/>
      <c r="RI2268" s="106"/>
      <c r="RJ2268" s="106"/>
      <c r="RK2268" s="106"/>
      <c r="RL2268" s="106"/>
    </row>
    <row r="2269" spans="48:480" x14ac:dyDescent="0.3">
      <c r="AV2269" s="103"/>
      <c r="CJ2269" s="103"/>
      <c r="FP2269" s="103"/>
      <c r="LL2269" s="103"/>
      <c r="NM2269" s="103"/>
      <c r="QT2269" s="106"/>
      <c r="QU2269" s="106"/>
      <c r="QV2269" s="106"/>
      <c r="QW2269" s="106"/>
      <c r="QX2269" s="106"/>
      <c r="QY2269" s="106"/>
      <c r="QZ2269" s="106"/>
      <c r="RA2269" s="106"/>
      <c r="RB2269" s="106"/>
      <c r="RC2269" s="106"/>
      <c r="RD2269" s="106"/>
      <c r="RE2269" s="106"/>
      <c r="RF2269" s="106"/>
      <c r="RG2269" s="106"/>
      <c r="RH2269" s="106"/>
      <c r="RI2269" s="106"/>
      <c r="RJ2269" s="106"/>
      <c r="RK2269" s="106"/>
      <c r="RL2269" s="106"/>
    </row>
    <row r="2270" spans="48:480" x14ac:dyDescent="0.3">
      <c r="AV2270" s="103"/>
      <c r="CJ2270" s="103"/>
      <c r="FP2270" s="103"/>
      <c r="LL2270" s="103"/>
      <c r="NM2270" s="103"/>
      <c r="QT2270" s="106"/>
      <c r="QU2270" s="106"/>
      <c r="QV2270" s="106"/>
      <c r="QW2270" s="106"/>
      <c r="QX2270" s="106"/>
      <c r="QY2270" s="106"/>
      <c r="QZ2270" s="106"/>
      <c r="RA2270" s="106"/>
      <c r="RB2270" s="106"/>
      <c r="RC2270" s="106"/>
      <c r="RD2270" s="106"/>
      <c r="RE2270" s="106"/>
      <c r="RF2270" s="106"/>
      <c r="RG2270" s="106"/>
      <c r="RH2270" s="106"/>
      <c r="RI2270" s="106"/>
      <c r="RJ2270" s="106"/>
      <c r="RK2270" s="106"/>
      <c r="RL2270" s="106"/>
    </row>
    <row r="2271" spans="48:480" x14ac:dyDescent="0.3">
      <c r="AV2271" s="103"/>
      <c r="CJ2271" s="103"/>
      <c r="FP2271" s="103"/>
      <c r="LL2271" s="103"/>
      <c r="NM2271" s="103"/>
      <c r="QT2271" s="106"/>
      <c r="QU2271" s="106"/>
      <c r="QV2271" s="106"/>
      <c r="QW2271" s="106"/>
      <c r="QX2271" s="106"/>
      <c r="QY2271" s="106"/>
      <c r="QZ2271" s="106"/>
      <c r="RA2271" s="106"/>
      <c r="RB2271" s="106"/>
      <c r="RC2271" s="106"/>
      <c r="RD2271" s="106"/>
      <c r="RE2271" s="106"/>
      <c r="RF2271" s="106"/>
      <c r="RG2271" s="106"/>
      <c r="RH2271" s="106"/>
      <c r="RI2271" s="106"/>
      <c r="RJ2271" s="106"/>
      <c r="RK2271" s="106"/>
      <c r="RL2271" s="106"/>
    </row>
    <row r="2272" spans="48:480" x14ac:dyDescent="0.3">
      <c r="AV2272" s="103"/>
      <c r="CJ2272" s="103"/>
      <c r="FP2272" s="103"/>
      <c r="LL2272" s="103"/>
      <c r="NM2272" s="103"/>
      <c r="QT2272" s="106"/>
      <c r="QU2272" s="106"/>
      <c r="QV2272" s="106"/>
      <c r="QW2272" s="106"/>
      <c r="QX2272" s="106"/>
      <c r="QY2272" s="106"/>
      <c r="QZ2272" s="106"/>
      <c r="RA2272" s="106"/>
      <c r="RB2272" s="106"/>
      <c r="RC2272" s="106"/>
      <c r="RD2272" s="106"/>
      <c r="RE2272" s="106"/>
      <c r="RF2272" s="106"/>
      <c r="RG2272" s="106"/>
      <c r="RH2272" s="106"/>
      <c r="RI2272" s="106"/>
      <c r="RJ2272" s="106"/>
      <c r="RK2272" s="106"/>
      <c r="RL2272" s="106"/>
    </row>
    <row r="2273" spans="48:480" x14ac:dyDescent="0.3">
      <c r="AV2273" s="103"/>
      <c r="CJ2273" s="103"/>
      <c r="FP2273" s="103"/>
      <c r="LL2273" s="103"/>
      <c r="NM2273" s="103"/>
      <c r="QT2273" s="106"/>
      <c r="QU2273" s="106"/>
      <c r="QV2273" s="106"/>
      <c r="QW2273" s="106"/>
      <c r="QX2273" s="106"/>
      <c r="QY2273" s="106"/>
      <c r="QZ2273" s="106"/>
      <c r="RA2273" s="106"/>
      <c r="RB2273" s="106"/>
      <c r="RC2273" s="106"/>
      <c r="RD2273" s="106"/>
      <c r="RE2273" s="106"/>
      <c r="RF2273" s="106"/>
      <c r="RG2273" s="106"/>
      <c r="RH2273" s="106"/>
      <c r="RI2273" s="106"/>
      <c r="RJ2273" s="106"/>
      <c r="RK2273" s="106"/>
      <c r="RL2273" s="106"/>
    </row>
    <row r="2274" spans="48:480" x14ac:dyDescent="0.3">
      <c r="AV2274" s="103"/>
      <c r="CJ2274" s="103"/>
      <c r="FP2274" s="103"/>
      <c r="LL2274" s="103"/>
      <c r="NM2274" s="103"/>
      <c r="QT2274" s="106"/>
      <c r="QU2274" s="106"/>
      <c r="QV2274" s="106"/>
      <c r="QW2274" s="106"/>
      <c r="QX2274" s="106"/>
      <c r="QY2274" s="106"/>
      <c r="QZ2274" s="106"/>
      <c r="RA2274" s="106"/>
      <c r="RB2274" s="106"/>
      <c r="RC2274" s="106"/>
      <c r="RD2274" s="106"/>
      <c r="RE2274" s="106"/>
      <c r="RF2274" s="106"/>
      <c r="RG2274" s="106"/>
      <c r="RH2274" s="106"/>
      <c r="RI2274" s="106"/>
      <c r="RJ2274" s="106"/>
      <c r="RK2274" s="106"/>
      <c r="RL2274" s="106"/>
    </row>
    <row r="2275" spans="48:480" x14ac:dyDescent="0.3">
      <c r="AV2275" s="103"/>
      <c r="CJ2275" s="103"/>
      <c r="FP2275" s="103"/>
      <c r="LL2275" s="103"/>
      <c r="NM2275" s="103"/>
      <c r="QT2275" s="106"/>
      <c r="QU2275" s="106"/>
      <c r="QV2275" s="106"/>
      <c r="QW2275" s="106"/>
      <c r="QX2275" s="106"/>
      <c r="QY2275" s="106"/>
      <c r="QZ2275" s="106"/>
      <c r="RA2275" s="106"/>
      <c r="RB2275" s="106"/>
      <c r="RC2275" s="106"/>
      <c r="RD2275" s="106"/>
      <c r="RE2275" s="106"/>
      <c r="RF2275" s="106"/>
      <c r="RG2275" s="106"/>
      <c r="RH2275" s="106"/>
      <c r="RI2275" s="106"/>
      <c r="RJ2275" s="106"/>
      <c r="RK2275" s="106"/>
      <c r="RL2275" s="106"/>
    </row>
    <row r="2276" spans="48:480" x14ac:dyDescent="0.3">
      <c r="AV2276" s="103"/>
      <c r="CJ2276" s="103"/>
      <c r="FP2276" s="103"/>
      <c r="LL2276" s="103"/>
      <c r="NM2276" s="103"/>
      <c r="QT2276" s="106"/>
      <c r="QU2276" s="106"/>
      <c r="QV2276" s="106"/>
      <c r="QW2276" s="106"/>
      <c r="QX2276" s="106"/>
      <c r="QY2276" s="106"/>
      <c r="QZ2276" s="106"/>
      <c r="RA2276" s="106"/>
      <c r="RB2276" s="106"/>
      <c r="RC2276" s="106"/>
      <c r="RD2276" s="106"/>
      <c r="RE2276" s="106"/>
      <c r="RF2276" s="106"/>
      <c r="RG2276" s="106"/>
      <c r="RH2276" s="106"/>
      <c r="RI2276" s="106"/>
      <c r="RJ2276" s="106"/>
      <c r="RK2276" s="106"/>
      <c r="RL2276" s="106"/>
    </row>
    <row r="2277" spans="48:480" x14ac:dyDescent="0.3">
      <c r="AV2277" s="103"/>
      <c r="CJ2277" s="103"/>
      <c r="FP2277" s="103"/>
      <c r="LL2277" s="103"/>
      <c r="NM2277" s="103"/>
      <c r="QT2277" s="106"/>
      <c r="QU2277" s="106"/>
      <c r="QV2277" s="106"/>
      <c r="QW2277" s="106"/>
      <c r="QX2277" s="106"/>
      <c r="QY2277" s="106"/>
      <c r="QZ2277" s="106"/>
      <c r="RA2277" s="106"/>
      <c r="RB2277" s="106"/>
      <c r="RC2277" s="106"/>
      <c r="RD2277" s="106"/>
      <c r="RE2277" s="106"/>
      <c r="RF2277" s="106"/>
      <c r="RG2277" s="106"/>
      <c r="RH2277" s="106"/>
      <c r="RI2277" s="106"/>
      <c r="RJ2277" s="106"/>
      <c r="RK2277" s="106"/>
      <c r="RL2277" s="106"/>
    </row>
    <row r="2278" spans="48:480" x14ac:dyDescent="0.3">
      <c r="AV2278" s="103"/>
      <c r="CJ2278" s="103"/>
      <c r="FP2278" s="103"/>
      <c r="LL2278" s="103"/>
      <c r="NM2278" s="103"/>
      <c r="QT2278" s="106"/>
      <c r="QU2278" s="106"/>
      <c r="QV2278" s="106"/>
      <c r="QW2278" s="106"/>
      <c r="QX2278" s="106"/>
      <c r="QY2278" s="106"/>
      <c r="QZ2278" s="106"/>
      <c r="RA2278" s="106"/>
      <c r="RB2278" s="106"/>
      <c r="RC2278" s="106"/>
      <c r="RD2278" s="106"/>
      <c r="RE2278" s="106"/>
      <c r="RF2278" s="106"/>
      <c r="RG2278" s="106"/>
      <c r="RH2278" s="106"/>
      <c r="RI2278" s="106"/>
      <c r="RJ2278" s="106"/>
      <c r="RK2278" s="106"/>
      <c r="RL2278" s="106"/>
    </row>
    <row r="2279" spans="48:480" x14ac:dyDescent="0.3">
      <c r="AV2279" s="103"/>
      <c r="CJ2279" s="103"/>
      <c r="FP2279" s="103"/>
      <c r="LL2279" s="103"/>
      <c r="NM2279" s="103"/>
      <c r="QT2279" s="106"/>
      <c r="QU2279" s="106"/>
      <c r="QV2279" s="106"/>
      <c r="QW2279" s="106"/>
      <c r="QX2279" s="106"/>
      <c r="QY2279" s="106"/>
      <c r="QZ2279" s="106"/>
      <c r="RA2279" s="106"/>
      <c r="RB2279" s="106"/>
      <c r="RC2279" s="106"/>
      <c r="RD2279" s="106"/>
      <c r="RE2279" s="106"/>
      <c r="RF2279" s="106"/>
      <c r="RG2279" s="106"/>
      <c r="RH2279" s="106"/>
      <c r="RI2279" s="106"/>
      <c r="RJ2279" s="106"/>
      <c r="RK2279" s="106"/>
      <c r="RL2279" s="106"/>
    </row>
    <row r="2280" spans="48:480" x14ac:dyDescent="0.3">
      <c r="AV2280" s="103"/>
      <c r="CJ2280" s="103"/>
      <c r="FP2280" s="103"/>
      <c r="LL2280" s="103"/>
      <c r="NM2280" s="103"/>
      <c r="QT2280" s="106"/>
      <c r="QU2280" s="106"/>
      <c r="QV2280" s="106"/>
      <c r="QW2280" s="106"/>
      <c r="QX2280" s="106"/>
      <c r="QY2280" s="106"/>
      <c r="QZ2280" s="106"/>
      <c r="RA2280" s="106"/>
      <c r="RB2280" s="106"/>
      <c r="RC2280" s="106"/>
      <c r="RD2280" s="106"/>
      <c r="RE2280" s="106"/>
      <c r="RF2280" s="106"/>
      <c r="RG2280" s="106"/>
      <c r="RH2280" s="106"/>
      <c r="RI2280" s="106"/>
      <c r="RJ2280" s="106"/>
      <c r="RK2280" s="106"/>
      <c r="RL2280" s="106"/>
    </row>
    <row r="2281" spans="48:480" x14ac:dyDescent="0.3">
      <c r="AV2281" s="103"/>
      <c r="CJ2281" s="103"/>
      <c r="FP2281" s="103"/>
      <c r="LL2281" s="103"/>
      <c r="NM2281" s="103"/>
      <c r="QT2281" s="106"/>
      <c r="QU2281" s="106"/>
      <c r="QV2281" s="106"/>
      <c r="QW2281" s="106"/>
      <c r="QX2281" s="106"/>
      <c r="QY2281" s="106"/>
      <c r="QZ2281" s="106"/>
      <c r="RA2281" s="106"/>
      <c r="RB2281" s="106"/>
      <c r="RC2281" s="106"/>
      <c r="RD2281" s="106"/>
      <c r="RE2281" s="106"/>
      <c r="RF2281" s="106"/>
      <c r="RG2281" s="106"/>
      <c r="RH2281" s="106"/>
      <c r="RI2281" s="106"/>
      <c r="RJ2281" s="106"/>
      <c r="RK2281" s="106"/>
      <c r="RL2281" s="106"/>
    </row>
    <row r="2282" spans="48:480" x14ac:dyDescent="0.3">
      <c r="AV2282" s="103"/>
      <c r="CJ2282" s="103"/>
      <c r="FP2282" s="103"/>
      <c r="LL2282" s="103"/>
      <c r="NM2282" s="103"/>
      <c r="QT2282" s="106"/>
      <c r="QU2282" s="106"/>
      <c r="QV2282" s="106"/>
      <c r="QW2282" s="106"/>
      <c r="QX2282" s="106"/>
      <c r="QY2282" s="106"/>
      <c r="QZ2282" s="106"/>
      <c r="RA2282" s="106"/>
      <c r="RB2282" s="106"/>
      <c r="RC2282" s="106"/>
      <c r="RD2282" s="106"/>
      <c r="RE2282" s="106"/>
      <c r="RF2282" s="106"/>
      <c r="RG2282" s="106"/>
      <c r="RH2282" s="106"/>
      <c r="RI2282" s="106"/>
      <c r="RJ2282" s="106"/>
      <c r="RK2282" s="106"/>
      <c r="RL2282" s="106"/>
    </row>
    <row r="2283" spans="48:480" x14ac:dyDescent="0.3">
      <c r="AV2283" s="103"/>
      <c r="CJ2283" s="103"/>
      <c r="FP2283" s="103"/>
      <c r="LL2283" s="103"/>
      <c r="NM2283" s="103"/>
      <c r="QT2283" s="106"/>
      <c r="QU2283" s="106"/>
      <c r="QV2283" s="106"/>
      <c r="QW2283" s="106"/>
      <c r="QX2283" s="106"/>
      <c r="QY2283" s="106"/>
      <c r="QZ2283" s="106"/>
      <c r="RA2283" s="106"/>
      <c r="RB2283" s="106"/>
      <c r="RC2283" s="106"/>
      <c r="RD2283" s="106"/>
      <c r="RE2283" s="106"/>
      <c r="RF2283" s="106"/>
      <c r="RG2283" s="106"/>
      <c r="RH2283" s="106"/>
      <c r="RI2283" s="106"/>
      <c r="RJ2283" s="106"/>
      <c r="RK2283" s="106"/>
      <c r="RL2283" s="106"/>
    </row>
    <row r="2284" spans="48:480" x14ac:dyDescent="0.3">
      <c r="AV2284" s="103"/>
      <c r="CJ2284" s="103"/>
      <c r="FP2284" s="103"/>
      <c r="LL2284" s="103"/>
      <c r="NM2284" s="103"/>
      <c r="QT2284" s="106"/>
      <c r="QU2284" s="106"/>
      <c r="QV2284" s="106"/>
      <c r="QW2284" s="106"/>
      <c r="QX2284" s="106"/>
      <c r="QY2284" s="106"/>
      <c r="QZ2284" s="106"/>
      <c r="RA2284" s="106"/>
      <c r="RB2284" s="106"/>
      <c r="RC2284" s="106"/>
      <c r="RD2284" s="106"/>
      <c r="RE2284" s="106"/>
      <c r="RF2284" s="106"/>
      <c r="RG2284" s="106"/>
      <c r="RH2284" s="106"/>
      <c r="RI2284" s="106"/>
      <c r="RJ2284" s="106"/>
      <c r="RK2284" s="106"/>
      <c r="RL2284" s="106"/>
    </row>
    <row r="2285" spans="48:480" x14ac:dyDescent="0.3">
      <c r="AV2285" s="103"/>
      <c r="CJ2285" s="103"/>
      <c r="FP2285" s="103"/>
      <c r="LL2285" s="103"/>
      <c r="NM2285" s="103"/>
      <c r="QT2285" s="106"/>
      <c r="QU2285" s="106"/>
      <c r="QV2285" s="106"/>
      <c r="QW2285" s="106"/>
      <c r="QX2285" s="106"/>
      <c r="QY2285" s="106"/>
      <c r="QZ2285" s="106"/>
      <c r="RA2285" s="106"/>
      <c r="RB2285" s="106"/>
      <c r="RC2285" s="106"/>
      <c r="RD2285" s="106"/>
      <c r="RE2285" s="106"/>
      <c r="RF2285" s="106"/>
      <c r="RG2285" s="106"/>
      <c r="RH2285" s="106"/>
      <c r="RI2285" s="106"/>
      <c r="RJ2285" s="106"/>
      <c r="RK2285" s="106"/>
      <c r="RL2285" s="106"/>
    </row>
    <row r="2286" spans="48:480" x14ac:dyDescent="0.3">
      <c r="AV2286" s="103"/>
      <c r="CJ2286" s="103"/>
      <c r="FP2286" s="103"/>
      <c r="LL2286" s="103"/>
      <c r="NM2286" s="103"/>
      <c r="QT2286" s="106"/>
      <c r="QU2286" s="106"/>
      <c r="QV2286" s="106"/>
      <c r="QW2286" s="106"/>
      <c r="QX2286" s="106"/>
      <c r="QY2286" s="106"/>
      <c r="QZ2286" s="106"/>
      <c r="RA2286" s="106"/>
      <c r="RB2286" s="106"/>
      <c r="RC2286" s="106"/>
      <c r="RD2286" s="106"/>
      <c r="RE2286" s="106"/>
      <c r="RF2286" s="106"/>
      <c r="RG2286" s="106"/>
      <c r="RH2286" s="106"/>
      <c r="RI2286" s="106"/>
      <c r="RJ2286" s="106"/>
      <c r="RK2286" s="106"/>
      <c r="RL2286" s="106"/>
    </row>
    <row r="2287" spans="48:480" x14ac:dyDescent="0.3">
      <c r="AV2287" s="103"/>
      <c r="CJ2287" s="103"/>
      <c r="FP2287" s="103"/>
      <c r="LL2287" s="103"/>
      <c r="NM2287" s="103"/>
      <c r="QT2287" s="106"/>
      <c r="QU2287" s="106"/>
      <c r="QV2287" s="106"/>
      <c r="QW2287" s="106"/>
      <c r="QX2287" s="106"/>
      <c r="QY2287" s="106"/>
      <c r="QZ2287" s="106"/>
      <c r="RA2287" s="106"/>
      <c r="RB2287" s="106"/>
      <c r="RC2287" s="106"/>
      <c r="RD2287" s="106"/>
      <c r="RE2287" s="106"/>
      <c r="RF2287" s="106"/>
      <c r="RG2287" s="106"/>
      <c r="RH2287" s="106"/>
      <c r="RI2287" s="106"/>
      <c r="RJ2287" s="106"/>
      <c r="RK2287" s="106"/>
      <c r="RL2287" s="106"/>
    </row>
    <row r="2288" spans="48:480" x14ac:dyDescent="0.3">
      <c r="AV2288" s="103"/>
      <c r="CJ2288" s="103"/>
      <c r="FP2288" s="103"/>
      <c r="LL2288" s="103"/>
      <c r="NM2288" s="103"/>
      <c r="QT2288" s="106"/>
      <c r="QU2288" s="106"/>
      <c r="QV2288" s="106"/>
      <c r="QW2288" s="106"/>
      <c r="QX2288" s="106"/>
      <c r="QY2288" s="106"/>
      <c r="QZ2288" s="106"/>
      <c r="RA2288" s="106"/>
      <c r="RB2288" s="106"/>
      <c r="RC2288" s="106"/>
      <c r="RD2288" s="106"/>
      <c r="RE2288" s="106"/>
      <c r="RF2288" s="106"/>
      <c r="RG2288" s="106"/>
      <c r="RH2288" s="106"/>
      <c r="RI2288" s="106"/>
      <c r="RJ2288" s="106"/>
      <c r="RK2288" s="106"/>
      <c r="RL2288" s="106"/>
    </row>
    <row r="2289" spans="48:480" x14ac:dyDescent="0.3">
      <c r="AV2289" s="103"/>
      <c r="CJ2289" s="103"/>
      <c r="FP2289" s="103"/>
      <c r="LL2289" s="103"/>
      <c r="NM2289" s="103"/>
      <c r="QT2289" s="106"/>
      <c r="QU2289" s="106"/>
      <c r="QV2289" s="106"/>
      <c r="QW2289" s="106"/>
      <c r="QX2289" s="106"/>
      <c r="QY2289" s="106"/>
      <c r="QZ2289" s="106"/>
      <c r="RA2289" s="106"/>
      <c r="RB2289" s="106"/>
      <c r="RC2289" s="106"/>
      <c r="RD2289" s="106"/>
      <c r="RE2289" s="106"/>
      <c r="RF2289" s="106"/>
      <c r="RG2289" s="106"/>
      <c r="RH2289" s="106"/>
      <c r="RI2289" s="106"/>
      <c r="RJ2289" s="106"/>
      <c r="RK2289" s="106"/>
      <c r="RL2289" s="106"/>
    </row>
    <row r="2290" spans="48:480" x14ac:dyDescent="0.3">
      <c r="AV2290" s="103"/>
      <c r="CJ2290" s="103"/>
      <c r="FP2290" s="103"/>
      <c r="LL2290" s="103"/>
      <c r="NM2290" s="103"/>
      <c r="QT2290" s="106"/>
      <c r="QU2290" s="106"/>
      <c r="QV2290" s="106"/>
      <c r="QW2290" s="106"/>
      <c r="QX2290" s="106"/>
      <c r="QY2290" s="106"/>
      <c r="QZ2290" s="106"/>
      <c r="RA2290" s="106"/>
      <c r="RB2290" s="106"/>
      <c r="RC2290" s="106"/>
      <c r="RD2290" s="106"/>
      <c r="RE2290" s="106"/>
      <c r="RF2290" s="106"/>
      <c r="RG2290" s="106"/>
      <c r="RH2290" s="106"/>
      <c r="RI2290" s="106"/>
      <c r="RJ2290" s="106"/>
      <c r="RK2290" s="106"/>
      <c r="RL2290" s="106"/>
    </row>
    <row r="2291" spans="48:480" x14ac:dyDescent="0.3">
      <c r="AV2291" s="103"/>
      <c r="CJ2291" s="103"/>
      <c r="FP2291" s="103"/>
      <c r="LL2291" s="103"/>
      <c r="NM2291" s="103"/>
      <c r="QT2291" s="106"/>
      <c r="QU2291" s="106"/>
      <c r="QV2291" s="106"/>
      <c r="QW2291" s="106"/>
      <c r="QX2291" s="106"/>
      <c r="QY2291" s="106"/>
      <c r="QZ2291" s="106"/>
      <c r="RA2291" s="106"/>
      <c r="RB2291" s="106"/>
      <c r="RC2291" s="106"/>
      <c r="RD2291" s="106"/>
      <c r="RE2291" s="106"/>
      <c r="RF2291" s="106"/>
      <c r="RG2291" s="106"/>
      <c r="RH2291" s="106"/>
      <c r="RI2291" s="106"/>
      <c r="RJ2291" s="106"/>
      <c r="RK2291" s="106"/>
      <c r="RL2291" s="106"/>
    </row>
    <row r="2292" spans="48:480" x14ac:dyDescent="0.3">
      <c r="AV2292" s="103"/>
      <c r="CJ2292" s="103"/>
      <c r="FP2292" s="103"/>
      <c r="LL2292" s="103"/>
      <c r="NM2292" s="103"/>
      <c r="QT2292" s="106"/>
      <c r="QU2292" s="106"/>
      <c r="QV2292" s="106"/>
      <c r="QW2292" s="106"/>
      <c r="QX2292" s="106"/>
      <c r="QY2292" s="106"/>
      <c r="QZ2292" s="106"/>
      <c r="RA2292" s="106"/>
      <c r="RB2292" s="106"/>
      <c r="RC2292" s="106"/>
      <c r="RD2292" s="106"/>
      <c r="RE2292" s="106"/>
      <c r="RF2292" s="106"/>
      <c r="RG2292" s="106"/>
      <c r="RH2292" s="106"/>
      <c r="RI2292" s="106"/>
      <c r="RJ2292" s="106"/>
      <c r="RK2292" s="106"/>
      <c r="RL2292" s="106"/>
    </row>
    <row r="2293" spans="48:480" x14ac:dyDescent="0.3">
      <c r="AV2293" s="103"/>
      <c r="CJ2293" s="103"/>
      <c r="FP2293" s="103"/>
      <c r="LL2293" s="103"/>
      <c r="NM2293" s="103"/>
      <c r="QT2293" s="106"/>
      <c r="QU2293" s="106"/>
      <c r="QV2293" s="106"/>
      <c r="QW2293" s="106"/>
      <c r="QX2293" s="106"/>
      <c r="QY2293" s="106"/>
      <c r="QZ2293" s="106"/>
      <c r="RA2293" s="106"/>
      <c r="RB2293" s="106"/>
      <c r="RC2293" s="106"/>
      <c r="RD2293" s="106"/>
      <c r="RE2293" s="106"/>
      <c r="RF2293" s="106"/>
      <c r="RG2293" s="106"/>
      <c r="RH2293" s="106"/>
      <c r="RI2293" s="106"/>
      <c r="RJ2293" s="106"/>
      <c r="RK2293" s="106"/>
      <c r="RL2293" s="106"/>
    </row>
    <row r="2294" spans="48:480" x14ac:dyDescent="0.3">
      <c r="AV2294" s="103"/>
      <c r="CJ2294" s="103"/>
      <c r="FP2294" s="103"/>
      <c r="LL2294" s="103"/>
      <c r="NM2294" s="103"/>
      <c r="QT2294" s="106"/>
      <c r="QU2294" s="106"/>
      <c r="QV2294" s="106"/>
      <c r="QW2294" s="106"/>
      <c r="QX2294" s="106"/>
      <c r="QY2294" s="106"/>
      <c r="QZ2294" s="106"/>
      <c r="RA2294" s="106"/>
      <c r="RB2294" s="106"/>
      <c r="RC2294" s="106"/>
      <c r="RD2294" s="106"/>
      <c r="RE2294" s="106"/>
      <c r="RF2294" s="106"/>
      <c r="RG2294" s="106"/>
      <c r="RH2294" s="106"/>
      <c r="RI2294" s="106"/>
      <c r="RJ2294" s="106"/>
      <c r="RK2294" s="106"/>
      <c r="RL2294" s="106"/>
    </row>
    <row r="2295" spans="48:480" x14ac:dyDescent="0.3">
      <c r="AV2295" s="103"/>
      <c r="CJ2295" s="103"/>
      <c r="FP2295" s="103"/>
      <c r="LL2295" s="103"/>
      <c r="NM2295" s="103"/>
      <c r="QT2295" s="106"/>
      <c r="QU2295" s="106"/>
      <c r="QV2295" s="106"/>
      <c r="QW2295" s="106"/>
      <c r="QX2295" s="106"/>
      <c r="QY2295" s="106"/>
      <c r="QZ2295" s="106"/>
      <c r="RA2295" s="106"/>
      <c r="RB2295" s="106"/>
      <c r="RC2295" s="106"/>
      <c r="RD2295" s="106"/>
      <c r="RE2295" s="106"/>
      <c r="RF2295" s="106"/>
      <c r="RG2295" s="106"/>
      <c r="RH2295" s="106"/>
      <c r="RI2295" s="106"/>
      <c r="RJ2295" s="106"/>
      <c r="RK2295" s="106"/>
      <c r="RL2295" s="106"/>
    </row>
    <row r="2296" spans="48:480" x14ac:dyDescent="0.3">
      <c r="AV2296" s="103"/>
      <c r="CJ2296" s="103"/>
      <c r="FP2296" s="103"/>
      <c r="LL2296" s="103"/>
      <c r="NM2296" s="103"/>
      <c r="QT2296" s="106"/>
      <c r="QU2296" s="106"/>
      <c r="QV2296" s="106"/>
      <c r="QW2296" s="106"/>
      <c r="QX2296" s="106"/>
      <c r="QY2296" s="106"/>
      <c r="QZ2296" s="106"/>
      <c r="RA2296" s="106"/>
      <c r="RB2296" s="106"/>
      <c r="RC2296" s="106"/>
      <c r="RD2296" s="106"/>
      <c r="RE2296" s="106"/>
      <c r="RF2296" s="106"/>
      <c r="RG2296" s="106"/>
      <c r="RH2296" s="106"/>
      <c r="RI2296" s="106"/>
      <c r="RJ2296" s="106"/>
      <c r="RK2296" s="106"/>
      <c r="RL2296" s="106"/>
    </row>
    <row r="2297" spans="48:480" x14ac:dyDescent="0.3">
      <c r="AV2297" s="103"/>
      <c r="CJ2297" s="103"/>
      <c r="FP2297" s="103"/>
      <c r="LL2297" s="103"/>
      <c r="NM2297" s="103"/>
      <c r="QT2297" s="106"/>
      <c r="QU2297" s="106"/>
      <c r="QV2297" s="106"/>
      <c r="QW2297" s="106"/>
      <c r="QX2297" s="106"/>
      <c r="QY2297" s="106"/>
      <c r="QZ2297" s="106"/>
      <c r="RA2297" s="106"/>
      <c r="RB2297" s="106"/>
      <c r="RC2297" s="106"/>
      <c r="RD2297" s="106"/>
      <c r="RE2297" s="106"/>
      <c r="RF2297" s="106"/>
      <c r="RG2297" s="106"/>
      <c r="RH2297" s="106"/>
      <c r="RI2297" s="106"/>
      <c r="RJ2297" s="106"/>
      <c r="RK2297" s="106"/>
      <c r="RL2297" s="106"/>
    </row>
    <row r="2298" spans="48:480" x14ac:dyDescent="0.3">
      <c r="AV2298" s="103"/>
      <c r="CJ2298" s="103"/>
      <c r="FP2298" s="103"/>
      <c r="LL2298" s="103"/>
      <c r="NM2298" s="103"/>
      <c r="QT2298" s="106"/>
      <c r="QU2298" s="106"/>
      <c r="QV2298" s="106"/>
      <c r="QW2298" s="106"/>
      <c r="QX2298" s="106"/>
      <c r="QY2298" s="106"/>
      <c r="QZ2298" s="106"/>
      <c r="RA2298" s="106"/>
      <c r="RB2298" s="106"/>
      <c r="RC2298" s="106"/>
      <c r="RD2298" s="106"/>
      <c r="RE2298" s="106"/>
      <c r="RF2298" s="106"/>
      <c r="RG2298" s="106"/>
      <c r="RH2298" s="106"/>
      <c r="RI2298" s="106"/>
      <c r="RJ2298" s="106"/>
      <c r="RK2298" s="106"/>
      <c r="RL2298" s="106"/>
    </row>
    <row r="2299" spans="48:480" x14ac:dyDescent="0.3">
      <c r="AV2299" s="103"/>
      <c r="CJ2299" s="103"/>
      <c r="FP2299" s="103"/>
      <c r="LL2299" s="103"/>
      <c r="NM2299" s="103"/>
      <c r="QT2299" s="106"/>
      <c r="QU2299" s="106"/>
      <c r="QV2299" s="106"/>
      <c r="QW2299" s="106"/>
      <c r="QX2299" s="106"/>
      <c r="QY2299" s="106"/>
      <c r="QZ2299" s="106"/>
      <c r="RA2299" s="106"/>
      <c r="RB2299" s="106"/>
      <c r="RC2299" s="106"/>
      <c r="RD2299" s="106"/>
      <c r="RE2299" s="106"/>
      <c r="RF2299" s="106"/>
      <c r="RG2299" s="106"/>
      <c r="RH2299" s="106"/>
      <c r="RI2299" s="106"/>
      <c r="RJ2299" s="106"/>
      <c r="RK2299" s="106"/>
      <c r="RL2299" s="106"/>
    </row>
    <row r="2300" spans="48:480" x14ac:dyDescent="0.3">
      <c r="AV2300" s="103"/>
      <c r="CJ2300" s="103"/>
      <c r="FP2300" s="103"/>
      <c r="LL2300" s="103"/>
      <c r="NM2300" s="103"/>
      <c r="QT2300" s="106"/>
      <c r="QU2300" s="106"/>
      <c r="QV2300" s="106"/>
      <c r="QW2300" s="106"/>
      <c r="QX2300" s="106"/>
      <c r="QY2300" s="106"/>
      <c r="QZ2300" s="106"/>
      <c r="RA2300" s="106"/>
      <c r="RB2300" s="106"/>
      <c r="RC2300" s="106"/>
      <c r="RD2300" s="106"/>
      <c r="RE2300" s="106"/>
      <c r="RF2300" s="106"/>
      <c r="RG2300" s="106"/>
      <c r="RH2300" s="106"/>
      <c r="RI2300" s="106"/>
      <c r="RJ2300" s="106"/>
      <c r="RK2300" s="106"/>
      <c r="RL2300" s="106"/>
    </row>
    <row r="2301" spans="48:480" x14ac:dyDescent="0.3">
      <c r="AV2301" s="103"/>
      <c r="CJ2301" s="103"/>
      <c r="FP2301" s="103"/>
      <c r="LL2301" s="103"/>
      <c r="NM2301" s="103"/>
      <c r="QT2301" s="106"/>
      <c r="QU2301" s="106"/>
      <c r="QV2301" s="106"/>
      <c r="QW2301" s="106"/>
      <c r="QX2301" s="106"/>
      <c r="QY2301" s="106"/>
      <c r="QZ2301" s="106"/>
      <c r="RA2301" s="106"/>
      <c r="RB2301" s="106"/>
      <c r="RC2301" s="106"/>
      <c r="RD2301" s="106"/>
      <c r="RE2301" s="106"/>
      <c r="RF2301" s="106"/>
      <c r="RG2301" s="106"/>
      <c r="RH2301" s="106"/>
      <c r="RI2301" s="106"/>
      <c r="RJ2301" s="106"/>
      <c r="RK2301" s="106"/>
      <c r="RL2301" s="106"/>
    </row>
    <row r="2302" spans="48:480" x14ac:dyDescent="0.3">
      <c r="AV2302" s="103"/>
      <c r="CJ2302" s="103"/>
      <c r="FP2302" s="103"/>
      <c r="LL2302" s="103"/>
      <c r="NM2302" s="103"/>
      <c r="QT2302" s="106"/>
      <c r="QU2302" s="106"/>
      <c r="QV2302" s="106"/>
      <c r="QW2302" s="106"/>
      <c r="QX2302" s="106"/>
      <c r="QY2302" s="106"/>
      <c r="QZ2302" s="106"/>
      <c r="RA2302" s="106"/>
      <c r="RB2302" s="106"/>
      <c r="RC2302" s="106"/>
      <c r="RD2302" s="106"/>
      <c r="RE2302" s="106"/>
      <c r="RF2302" s="106"/>
      <c r="RG2302" s="106"/>
      <c r="RH2302" s="106"/>
      <c r="RI2302" s="106"/>
      <c r="RJ2302" s="106"/>
      <c r="RK2302" s="106"/>
      <c r="RL2302" s="106"/>
    </row>
    <row r="2303" spans="48:480" x14ac:dyDescent="0.3">
      <c r="AV2303" s="103"/>
      <c r="CJ2303" s="103"/>
      <c r="FP2303" s="103"/>
      <c r="LL2303" s="103"/>
      <c r="NM2303" s="103"/>
      <c r="QT2303" s="106"/>
      <c r="QU2303" s="106"/>
      <c r="QV2303" s="106"/>
      <c r="QW2303" s="106"/>
      <c r="QX2303" s="106"/>
      <c r="QY2303" s="106"/>
      <c r="QZ2303" s="106"/>
      <c r="RA2303" s="106"/>
      <c r="RB2303" s="106"/>
      <c r="RC2303" s="106"/>
      <c r="RD2303" s="106"/>
      <c r="RE2303" s="106"/>
      <c r="RF2303" s="106"/>
      <c r="RG2303" s="106"/>
      <c r="RH2303" s="106"/>
      <c r="RI2303" s="106"/>
      <c r="RJ2303" s="106"/>
      <c r="RK2303" s="106"/>
      <c r="RL2303" s="106"/>
    </row>
    <row r="2304" spans="48:480" x14ac:dyDescent="0.3">
      <c r="AV2304" s="103"/>
      <c r="CJ2304" s="103"/>
      <c r="FP2304" s="103"/>
      <c r="LL2304" s="103"/>
      <c r="NM2304" s="103"/>
      <c r="QT2304" s="106"/>
      <c r="QU2304" s="106"/>
      <c r="QV2304" s="106"/>
      <c r="QW2304" s="106"/>
      <c r="QX2304" s="106"/>
      <c r="QY2304" s="106"/>
      <c r="QZ2304" s="106"/>
      <c r="RA2304" s="106"/>
      <c r="RB2304" s="106"/>
      <c r="RC2304" s="106"/>
      <c r="RD2304" s="106"/>
      <c r="RE2304" s="106"/>
      <c r="RF2304" s="106"/>
      <c r="RG2304" s="106"/>
      <c r="RH2304" s="106"/>
      <c r="RI2304" s="106"/>
      <c r="RJ2304" s="106"/>
      <c r="RK2304" s="106"/>
      <c r="RL2304" s="106"/>
    </row>
    <row r="2305" spans="48:480" x14ac:dyDescent="0.3">
      <c r="AV2305" s="103"/>
      <c r="CJ2305" s="103"/>
      <c r="FP2305" s="103"/>
      <c r="LL2305" s="103"/>
      <c r="NM2305" s="103"/>
      <c r="QT2305" s="106"/>
      <c r="QU2305" s="106"/>
      <c r="QV2305" s="106"/>
      <c r="QW2305" s="106"/>
      <c r="QX2305" s="106"/>
      <c r="QY2305" s="106"/>
      <c r="QZ2305" s="106"/>
      <c r="RA2305" s="106"/>
      <c r="RB2305" s="106"/>
      <c r="RC2305" s="106"/>
      <c r="RD2305" s="106"/>
      <c r="RE2305" s="106"/>
      <c r="RF2305" s="106"/>
      <c r="RG2305" s="106"/>
      <c r="RH2305" s="106"/>
      <c r="RI2305" s="106"/>
      <c r="RJ2305" s="106"/>
      <c r="RK2305" s="106"/>
      <c r="RL2305" s="106"/>
    </row>
    <row r="2306" spans="48:480" x14ac:dyDescent="0.3">
      <c r="AV2306" s="103"/>
      <c r="CJ2306" s="103"/>
      <c r="FP2306" s="103"/>
      <c r="LL2306" s="103"/>
      <c r="NM2306" s="103"/>
      <c r="QT2306" s="106"/>
      <c r="QU2306" s="106"/>
      <c r="QV2306" s="106"/>
      <c r="QW2306" s="106"/>
      <c r="QX2306" s="106"/>
      <c r="QY2306" s="106"/>
      <c r="QZ2306" s="106"/>
      <c r="RA2306" s="106"/>
      <c r="RB2306" s="106"/>
      <c r="RC2306" s="106"/>
      <c r="RD2306" s="106"/>
      <c r="RE2306" s="106"/>
      <c r="RF2306" s="106"/>
      <c r="RG2306" s="106"/>
      <c r="RH2306" s="106"/>
      <c r="RI2306" s="106"/>
      <c r="RJ2306" s="106"/>
      <c r="RK2306" s="106"/>
      <c r="RL2306" s="106"/>
    </row>
    <row r="2307" spans="48:480" x14ac:dyDescent="0.3">
      <c r="AV2307" s="103"/>
      <c r="CJ2307" s="103"/>
      <c r="FP2307" s="103"/>
      <c r="LL2307" s="103"/>
      <c r="NM2307" s="103"/>
      <c r="QT2307" s="106"/>
      <c r="QU2307" s="106"/>
      <c r="QV2307" s="106"/>
      <c r="QW2307" s="106"/>
      <c r="QX2307" s="106"/>
      <c r="QY2307" s="106"/>
      <c r="QZ2307" s="106"/>
      <c r="RA2307" s="106"/>
      <c r="RB2307" s="106"/>
      <c r="RC2307" s="106"/>
      <c r="RD2307" s="106"/>
      <c r="RE2307" s="106"/>
      <c r="RF2307" s="106"/>
      <c r="RG2307" s="106"/>
      <c r="RH2307" s="106"/>
      <c r="RI2307" s="106"/>
      <c r="RJ2307" s="106"/>
      <c r="RK2307" s="106"/>
      <c r="RL2307" s="106"/>
    </row>
    <row r="2308" spans="48:480" x14ac:dyDescent="0.3">
      <c r="AV2308" s="103"/>
      <c r="CJ2308" s="103"/>
      <c r="FP2308" s="103"/>
      <c r="LL2308" s="103"/>
      <c r="NM2308" s="103"/>
      <c r="QT2308" s="106"/>
      <c r="QU2308" s="106"/>
      <c r="QV2308" s="106"/>
      <c r="QW2308" s="106"/>
      <c r="QX2308" s="106"/>
      <c r="QY2308" s="106"/>
      <c r="QZ2308" s="106"/>
      <c r="RA2308" s="106"/>
      <c r="RB2308" s="106"/>
      <c r="RC2308" s="106"/>
      <c r="RD2308" s="106"/>
      <c r="RE2308" s="106"/>
      <c r="RF2308" s="106"/>
      <c r="RG2308" s="106"/>
      <c r="RH2308" s="106"/>
      <c r="RI2308" s="106"/>
      <c r="RJ2308" s="106"/>
      <c r="RK2308" s="106"/>
      <c r="RL2308" s="106"/>
    </row>
    <row r="2309" spans="48:480" x14ac:dyDescent="0.3">
      <c r="AV2309" s="103"/>
      <c r="CJ2309" s="103"/>
      <c r="FP2309" s="103"/>
      <c r="LL2309" s="103"/>
      <c r="NM2309" s="103"/>
      <c r="QT2309" s="106"/>
      <c r="QU2309" s="106"/>
      <c r="QV2309" s="106"/>
      <c r="QW2309" s="106"/>
      <c r="QX2309" s="106"/>
      <c r="QY2309" s="106"/>
      <c r="QZ2309" s="106"/>
      <c r="RA2309" s="106"/>
      <c r="RB2309" s="106"/>
      <c r="RC2309" s="106"/>
      <c r="RD2309" s="106"/>
      <c r="RE2309" s="106"/>
      <c r="RF2309" s="106"/>
      <c r="RG2309" s="106"/>
      <c r="RH2309" s="106"/>
      <c r="RI2309" s="106"/>
      <c r="RJ2309" s="106"/>
      <c r="RK2309" s="106"/>
      <c r="RL2309" s="106"/>
    </row>
    <row r="2310" spans="48:480" x14ac:dyDescent="0.3">
      <c r="AV2310" s="103"/>
      <c r="CJ2310" s="103"/>
      <c r="FP2310" s="103"/>
      <c r="LL2310" s="103"/>
      <c r="NM2310" s="103"/>
      <c r="QT2310" s="106"/>
      <c r="QU2310" s="106"/>
      <c r="QV2310" s="106"/>
      <c r="QW2310" s="106"/>
      <c r="QX2310" s="106"/>
      <c r="QY2310" s="106"/>
      <c r="QZ2310" s="106"/>
      <c r="RA2310" s="106"/>
      <c r="RB2310" s="106"/>
      <c r="RC2310" s="106"/>
      <c r="RD2310" s="106"/>
      <c r="RE2310" s="106"/>
      <c r="RF2310" s="106"/>
      <c r="RG2310" s="106"/>
      <c r="RH2310" s="106"/>
      <c r="RI2310" s="106"/>
      <c r="RJ2310" s="106"/>
      <c r="RK2310" s="106"/>
      <c r="RL2310" s="106"/>
    </row>
    <row r="2311" spans="48:480" x14ac:dyDescent="0.3">
      <c r="AV2311" s="103"/>
      <c r="CJ2311" s="103"/>
      <c r="FP2311" s="103"/>
      <c r="LL2311" s="103"/>
      <c r="NM2311" s="103"/>
      <c r="QT2311" s="106"/>
      <c r="QU2311" s="106"/>
      <c r="QV2311" s="106"/>
      <c r="QW2311" s="106"/>
      <c r="QX2311" s="106"/>
      <c r="QY2311" s="106"/>
      <c r="QZ2311" s="106"/>
      <c r="RA2311" s="106"/>
      <c r="RB2311" s="106"/>
      <c r="RC2311" s="106"/>
      <c r="RD2311" s="106"/>
      <c r="RE2311" s="106"/>
      <c r="RF2311" s="106"/>
      <c r="RG2311" s="106"/>
      <c r="RH2311" s="106"/>
      <c r="RI2311" s="106"/>
      <c r="RJ2311" s="106"/>
      <c r="RK2311" s="106"/>
      <c r="RL2311" s="106"/>
    </row>
    <row r="2312" spans="48:480" x14ac:dyDescent="0.3">
      <c r="AV2312" s="103"/>
      <c r="CJ2312" s="103"/>
      <c r="FP2312" s="103"/>
      <c r="LL2312" s="103"/>
      <c r="NM2312" s="103"/>
      <c r="QT2312" s="106"/>
      <c r="QU2312" s="106"/>
      <c r="QV2312" s="106"/>
      <c r="QW2312" s="106"/>
      <c r="QX2312" s="106"/>
      <c r="QY2312" s="106"/>
      <c r="QZ2312" s="106"/>
      <c r="RA2312" s="106"/>
      <c r="RB2312" s="106"/>
      <c r="RC2312" s="106"/>
      <c r="RD2312" s="106"/>
      <c r="RE2312" s="106"/>
      <c r="RF2312" s="106"/>
      <c r="RG2312" s="106"/>
      <c r="RH2312" s="106"/>
      <c r="RI2312" s="106"/>
      <c r="RJ2312" s="106"/>
      <c r="RK2312" s="106"/>
      <c r="RL2312" s="106"/>
    </row>
    <row r="2313" spans="48:480" x14ac:dyDescent="0.3">
      <c r="AV2313" s="103"/>
      <c r="CJ2313" s="103"/>
      <c r="FP2313" s="103"/>
      <c r="LL2313" s="103"/>
      <c r="NM2313" s="103"/>
      <c r="QT2313" s="106"/>
      <c r="QU2313" s="106"/>
      <c r="QV2313" s="106"/>
      <c r="QW2313" s="106"/>
      <c r="QX2313" s="106"/>
      <c r="QY2313" s="106"/>
      <c r="QZ2313" s="106"/>
      <c r="RA2313" s="106"/>
      <c r="RB2313" s="106"/>
      <c r="RC2313" s="106"/>
      <c r="RD2313" s="106"/>
      <c r="RE2313" s="106"/>
      <c r="RF2313" s="106"/>
      <c r="RG2313" s="106"/>
      <c r="RH2313" s="106"/>
      <c r="RI2313" s="106"/>
      <c r="RJ2313" s="106"/>
      <c r="RK2313" s="106"/>
      <c r="RL2313" s="106"/>
    </row>
    <row r="2314" spans="48:480" x14ac:dyDescent="0.3">
      <c r="AV2314" s="103"/>
      <c r="CJ2314" s="103"/>
      <c r="FP2314" s="103"/>
      <c r="LL2314" s="103"/>
      <c r="NM2314" s="103"/>
      <c r="QT2314" s="106"/>
      <c r="QU2314" s="106"/>
      <c r="QV2314" s="106"/>
      <c r="QW2314" s="106"/>
      <c r="QX2314" s="106"/>
      <c r="QY2314" s="106"/>
      <c r="QZ2314" s="106"/>
      <c r="RA2314" s="106"/>
      <c r="RB2314" s="106"/>
      <c r="RC2314" s="106"/>
      <c r="RD2314" s="106"/>
      <c r="RE2314" s="106"/>
      <c r="RF2314" s="106"/>
      <c r="RG2314" s="106"/>
      <c r="RH2314" s="106"/>
      <c r="RI2314" s="106"/>
      <c r="RJ2314" s="106"/>
      <c r="RK2314" s="106"/>
      <c r="RL2314" s="106"/>
    </row>
    <row r="2315" spans="48:480" x14ac:dyDescent="0.3">
      <c r="AV2315" s="103"/>
      <c r="CJ2315" s="103"/>
      <c r="FP2315" s="103"/>
      <c r="LL2315" s="103"/>
      <c r="NM2315" s="103"/>
      <c r="QT2315" s="106"/>
      <c r="QU2315" s="106"/>
      <c r="QV2315" s="106"/>
      <c r="QW2315" s="106"/>
      <c r="QX2315" s="106"/>
      <c r="QY2315" s="106"/>
      <c r="QZ2315" s="106"/>
      <c r="RA2315" s="106"/>
      <c r="RB2315" s="106"/>
      <c r="RC2315" s="106"/>
      <c r="RD2315" s="106"/>
      <c r="RE2315" s="106"/>
      <c r="RF2315" s="106"/>
      <c r="RG2315" s="106"/>
      <c r="RH2315" s="106"/>
      <c r="RI2315" s="106"/>
      <c r="RJ2315" s="106"/>
      <c r="RK2315" s="106"/>
      <c r="RL2315" s="106"/>
    </row>
    <row r="2316" spans="48:480" x14ac:dyDescent="0.3">
      <c r="AV2316" s="103"/>
      <c r="CJ2316" s="103"/>
      <c r="FP2316" s="103"/>
      <c r="LL2316" s="103"/>
      <c r="NM2316" s="103"/>
      <c r="QT2316" s="106"/>
      <c r="QU2316" s="106"/>
      <c r="QV2316" s="106"/>
      <c r="QW2316" s="106"/>
      <c r="QX2316" s="106"/>
      <c r="QY2316" s="106"/>
      <c r="QZ2316" s="106"/>
      <c r="RA2316" s="106"/>
      <c r="RB2316" s="106"/>
      <c r="RC2316" s="106"/>
      <c r="RD2316" s="106"/>
      <c r="RE2316" s="106"/>
      <c r="RF2316" s="106"/>
      <c r="RG2316" s="106"/>
      <c r="RH2316" s="106"/>
      <c r="RI2316" s="106"/>
      <c r="RJ2316" s="106"/>
      <c r="RK2316" s="106"/>
      <c r="RL2316" s="106"/>
    </row>
    <row r="2317" spans="48:480" x14ac:dyDescent="0.3">
      <c r="AV2317" s="103"/>
      <c r="CJ2317" s="103"/>
      <c r="FP2317" s="103"/>
      <c r="LL2317" s="103"/>
      <c r="NM2317" s="103"/>
      <c r="QT2317" s="106"/>
      <c r="QU2317" s="106"/>
      <c r="QV2317" s="106"/>
      <c r="QW2317" s="106"/>
      <c r="QX2317" s="106"/>
      <c r="QY2317" s="106"/>
      <c r="QZ2317" s="106"/>
      <c r="RA2317" s="106"/>
      <c r="RB2317" s="106"/>
      <c r="RC2317" s="106"/>
      <c r="RD2317" s="106"/>
      <c r="RE2317" s="106"/>
      <c r="RF2317" s="106"/>
      <c r="RG2317" s="106"/>
      <c r="RH2317" s="106"/>
      <c r="RI2317" s="106"/>
      <c r="RJ2317" s="106"/>
      <c r="RK2317" s="106"/>
      <c r="RL2317" s="106"/>
    </row>
    <row r="2318" spans="48:480" x14ac:dyDescent="0.3">
      <c r="AV2318" s="103"/>
      <c r="CJ2318" s="103"/>
      <c r="FP2318" s="103"/>
      <c r="LL2318" s="103"/>
      <c r="NM2318" s="103"/>
      <c r="QT2318" s="106"/>
      <c r="QU2318" s="106"/>
      <c r="QV2318" s="106"/>
      <c r="QW2318" s="106"/>
      <c r="QX2318" s="106"/>
      <c r="QY2318" s="106"/>
      <c r="QZ2318" s="106"/>
      <c r="RA2318" s="106"/>
      <c r="RB2318" s="106"/>
      <c r="RC2318" s="106"/>
      <c r="RD2318" s="106"/>
      <c r="RE2318" s="106"/>
      <c r="RF2318" s="106"/>
      <c r="RG2318" s="106"/>
      <c r="RH2318" s="106"/>
      <c r="RI2318" s="106"/>
      <c r="RJ2318" s="106"/>
      <c r="RK2318" s="106"/>
      <c r="RL2318" s="106"/>
    </row>
    <row r="2319" spans="48:480" x14ac:dyDescent="0.3">
      <c r="AV2319" s="103"/>
      <c r="CJ2319" s="103"/>
      <c r="FP2319" s="103"/>
      <c r="LL2319" s="103"/>
      <c r="NM2319" s="103"/>
      <c r="QT2319" s="106"/>
      <c r="QU2319" s="106"/>
      <c r="QV2319" s="106"/>
      <c r="QW2319" s="106"/>
      <c r="QX2319" s="106"/>
      <c r="QY2319" s="106"/>
      <c r="QZ2319" s="106"/>
      <c r="RA2319" s="106"/>
      <c r="RB2319" s="106"/>
      <c r="RC2319" s="106"/>
      <c r="RD2319" s="106"/>
      <c r="RE2319" s="106"/>
      <c r="RF2319" s="106"/>
      <c r="RG2319" s="106"/>
      <c r="RH2319" s="106"/>
      <c r="RI2319" s="106"/>
      <c r="RJ2319" s="106"/>
      <c r="RK2319" s="106"/>
      <c r="RL2319" s="106"/>
    </row>
    <row r="2320" spans="48:480" x14ac:dyDescent="0.3">
      <c r="AV2320" s="103"/>
      <c r="CJ2320" s="103"/>
      <c r="FP2320" s="103"/>
      <c r="LL2320" s="103"/>
      <c r="NM2320" s="103"/>
      <c r="QT2320" s="106"/>
      <c r="QU2320" s="106"/>
      <c r="QV2320" s="106"/>
      <c r="QW2320" s="106"/>
      <c r="QX2320" s="106"/>
      <c r="QY2320" s="106"/>
      <c r="QZ2320" s="106"/>
      <c r="RA2320" s="106"/>
      <c r="RB2320" s="106"/>
      <c r="RC2320" s="106"/>
      <c r="RD2320" s="106"/>
      <c r="RE2320" s="106"/>
      <c r="RF2320" s="106"/>
      <c r="RG2320" s="106"/>
      <c r="RH2320" s="106"/>
      <c r="RI2320" s="106"/>
      <c r="RJ2320" s="106"/>
      <c r="RK2320" s="106"/>
      <c r="RL2320" s="106"/>
    </row>
    <row r="2321" spans="48:480" x14ac:dyDescent="0.3">
      <c r="AV2321" s="103"/>
      <c r="CJ2321" s="103"/>
      <c r="FP2321" s="103"/>
      <c r="LL2321" s="103"/>
      <c r="NM2321" s="103"/>
      <c r="QT2321" s="106"/>
      <c r="QU2321" s="106"/>
      <c r="QV2321" s="106"/>
      <c r="QW2321" s="106"/>
      <c r="QX2321" s="106"/>
      <c r="QY2321" s="106"/>
      <c r="QZ2321" s="106"/>
      <c r="RA2321" s="106"/>
      <c r="RB2321" s="106"/>
      <c r="RC2321" s="106"/>
      <c r="RD2321" s="106"/>
      <c r="RE2321" s="106"/>
      <c r="RF2321" s="106"/>
      <c r="RG2321" s="106"/>
      <c r="RH2321" s="106"/>
      <c r="RI2321" s="106"/>
      <c r="RJ2321" s="106"/>
      <c r="RK2321" s="106"/>
      <c r="RL2321" s="106"/>
    </row>
    <row r="2322" spans="48:480" x14ac:dyDescent="0.3">
      <c r="AV2322" s="103"/>
      <c r="CJ2322" s="103"/>
      <c r="FP2322" s="103"/>
      <c r="LL2322" s="103"/>
      <c r="NM2322" s="103"/>
      <c r="QT2322" s="106"/>
      <c r="QU2322" s="106"/>
      <c r="QV2322" s="106"/>
      <c r="QW2322" s="106"/>
      <c r="QX2322" s="106"/>
      <c r="QY2322" s="106"/>
      <c r="QZ2322" s="106"/>
      <c r="RA2322" s="106"/>
      <c r="RB2322" s="106"/>
      <c r="RC2322" s="106"/>
      <c r="RD2322" s="106"/>
      <c r="RE2322" s="106"/>
      <c r="RF2322" s="106"/>
      <c r="RG2322" s="106"/>
      <c r="RH2322" s="106"/>
      <c r="RI2322" s="106"/>
      <c r="RJ2322" s="106"/>
      <c r="RK2322" s="106"/>
      <c r="RL2322" s="106"/>
    </row>
    <row r="2323" spans="48:480" x14ac:dyDescent="0.3">
      <c r="AV2323" s="103"/>
      <c r="CJ2323" s="103"/>
      <c r="FP2323" s="103"/>
      <c r="LL2323" s="103"/>
      <c r="NM2323" s="103"/>
      <c r="QT2323" s="106"/>
      <c r="QU2323" s="106"/>
      <c r="QV2323" s="106"/>
      <c r="QW2323" s="106"/>
      <c r="QX2323" s="106"/>
      <c r="QY2323" s="106"/>
      <c r="QZ2323" s="106"/>
      <c r="RA2323" s="106"/>
      <c r="RB2323" s="106"/>
      <c r="RC2323" s="106"/>
      <c r="RD2323" s="106"/>
      <c r="RE2323" s="106"/>
      <c r="RF2323" s="106"/>
      <c r="RG2323" s="106"/>
      <c r="RH2323" s="106"/>
      <c r="RI2323" s="106"/>
      <c r="RJ2323" s="106"/>
      <c r="RK2323" s="106"/>
      <c r="RL2323" s="106"/>
    </row>
    <row r="2324" spans="48:480" x14ac:dyDescent="0.3">
      <c r="AV2324" s="103"/>
      <c r="CJ2324" s="103"/>
      <c r="FP2324" s="103"/>
      <c r="LL2324" s="103"/>
      <c r="NM2324" s="103"/>
      <c r="QT2324" s="106"/>
      <c r="QU2324" s="106"/>
      <c r="QV2324" s="106"/>
      <c r="QW2324" s="106"/>
      <c r="QX2324" s="106"/>
      <c r="QY2324" s="106"/>
      <c r="QZ2324" s="106"/>
      <c r="RA2324" s="106"/>
      <c r="RB2324" s="106"/>
      <c r="RC2324" s="106"/>
      <c r="RD2324" s="106"/>
      <c r="RE2324" s="106"/>
      <c r="RF2324" s="106"/>
      <c r="RG2324" s="106"/>
      <c r="RH2324" s="106"/>
      <c r="RI2324" s="106"/>
      <c r="RJ2324" s="106"/>
      <c r="RK2324" s="106"/>
      <c r="RL2324" s="106"/>
    </row>
    <row r="2325" spans="48:480" x14ac:dyDescent="0.3">
      <c r="AV2325" s="103"/>
      <c r="CJ2325" s="103"/>
      <c r="FP2325" s="103"/>
      <c r="LL2325" s="103"/>
      <c r="NM2325" s="103"/>
      <c r="QT2325" s="106"/>
      <c r="QU2325" s="106"/>
      <c r="QV2325" s="106"/>
      <c r="QW2325" s="106"/>
      <c r="QX2325" s="106"/>
      <c r="QY2325" s="106"/>
      <c r="QZ2325" s="106"/>
      <c r="RA2325" s="106"/>
      <c r="RB2325" s="106"/>
      <c r="RC2325" s="106"/>
      <c r="RD2325" s="106"/>
      <c r="RE2325" s="106"/>
      <c r="RF2325" s="106"/>
      <c r="RG2325" s="106"/>
      <c r="RH2325" s="106"/>
      <c r="RI2325" s="106"/>
      <c r="RJ2325" s="106"/>
      <c r="RK2325" s="106"/>
      <c r="RL2325" s="106"/>
    </row>
    <row r="2326" spans="48:480" x14ac:dyDescent="0.3">
      <c r="AV2326" s="103"/>
      <c r="CJ2326" s="103"/>
      <c r="FP2326" s="103"/>
      <c r="LL2326" s="103"/>
      <c r="NM2326" s="103"/>
      <c r="QT2326" s="106"/>
      <c r="QU2326" s="106"/>
      <c r="QV2326" s="106"/>
      <c r="QW2326" s="106"/>
      <c r="QX2326" s="106"/>
      <c r="QY2326" s="106"/>
      <c r="QZ2326" s="106"/>
      <c r="RA2326" s="106"/>
      <c r="RB2326" s="106"/>
      <c r="RC2326" s="106"/>
      <c r="RD2326" s="106"/>
      <c r="RE2326" s="106"/>
      <c r="RF2326" s="106"/>
      <c r="RG2326" s="106"/>
      <c r="RH2326" s="106"/>
      <c r="RI2326" s="106"/>
      <c r="RJ2326" s="106"/>
      <c r="RK2326" s="106"/>
      <c r="RL2326" s="106"/>
    </row>
    <row r="2327" spans="48:480" x14ac:dyDescent="0.3">
      <c r="AV2327" s="103"/>
      <c r="CJ2327" s="103"/>
      <c r="FP2327" s="103"/>
      <c r="LL2327" s="103"/>
      <c r="NM2327" s="103"/>
      <c r="QT2327" s="106"/>
      <c r="QU2327" s="106"/>
      <c r="QV2327" s="106"/>
      <c r="QW2327" s="106"/>
      <c r="QX2327" s="106"/>
      <c r="QY2327" s="106"/>
      <c r="QZ2327" s="106"/>
      <c r="RA2327" s="106"/>
      <c r="RB2327" s="106"/>
      <c r="RC2327" s="106"/>
      <c r="RD2327" s="106"/>
      <c r="RE2327" s="106"/>
      <c r="RF2327" s="106"/>
      <c r="RG2327" s="106"/>
      <c r="RH2327" s="106"/>
      <c r="RI2327" s="106"/>
      <c r="RJ2327" s="106"/>
      <c r="RK2327" s="106"/>
      <c r="RL2327" s="106"/>
    </row>
    <row r="2328" spans="48:480" x14ac:dyDescent="0.3">
      <c r="AV2328" s="103"/>
      <c r="CJ2328" s="103"/>
      <c r="FP2328" s="103"/>
      <c r="LL2328" s="103"/>
      <c r="NM2328" s="103"/>
      <c r="QT2328" s="106"/>
      <c r="QU2328" s="106"/>
      <c r="QV2328" s="106"/>
      <c r="QW2328" s="106"/>
      <c r="QX2328" s="106"/>
      <c r="QY2328" s="106"/>
      <c r="QZ2328" s="106"/>
      <c r="RA2328" s="106"/>
      <c r="RB2328" s="106"/>
      <c r="RC2328" s="106"/>
      <c r="RD2328" s="106"/>
      <c r="RE2328" s="106"/>
      <c r="RF2328" s="106"/>
      <c r="RG2328" s="106"/>
      <c r="RH2328" s="106"/>
      <c r="RI2328" s="106"/>
      <c r="RJ2328" s="106"/>
      <c r="RK2328" s="106"/>
      <c r="RL2328" s="106"/>
    </row>
    <row r="2329" spans="48:480" x14ac:dyDescent="0.3">
      <c r="AV2329" s="103"/>
      <c r="CJ2329" s="103"/>
      <c r="FP2329" s="103"/>
      <c r="LL2329" s="103"/>
      <c r="NM2329" s="103"/>
      <c r="QT2329" s="106"/>
      <c r="QU2329" s="106"/>
      <c r="QV2329" s="106"/>
      <c r="QW2329" s="106"/>
      <c r="QX2329" s="106"/>
      <c r="QY2329" s="106"/>
      <c r="QZ2329" s="106"/>
      <c r="RA2329" s="106"/>
      <c r="RB2329" s="106"/>
      <c r="RC2329" s="106"/>
      <c r="RD2329" s="106"/>
      <c r="RE2329" s="106"/>
      <c r="RF2329" s="106"/>
      <c r="RG2329" s="106"/>
      <c r="RH2329" s="106"/>
      <c r="RI2329" s="106"/>
      <c r="RJ2329" s="106"/>
      <c r="RK2329" s="106"/>
      <c r="RL2329" s="106"/>
    </row>
    <row r="2330" spans="48:480" x14ac:dyDescent="0.3">
      <c r="AV2330" s="103"/>
      <c r="CJ2330" s="103"/>
      <c r="FP2330" s="103"/>
      <c r="LL2330" s="103"/>
      <c r="NM2330" s="103"/>
      <c r="QT2330" s="106"/>
      <c r="QU2330" s="106"/>
      <c r="QV2330" s="106"/>
      <c r="QW2330" s="106"/>
      <c r="QX2330" s="106"/>
      <c r="QY2330" s="106"/>
      <c r="QZ2330" s="106"/>
      <c r="RA2330" s="106"/>
      <c r="RB2330" s="106"/>
      <c r="RC2330" s="106"/>
      <c r="RD2330" s="106"/>
      <c r="RE2330" s="106"/>
      <c r="RF2330" s="106"/>
      <c r="RG2330" s="106"/>
      <c r="RH2330" s="106"/>
      <c r="RI2330" s="106"/>
      <c r="RJ2330" s="106"/>
      <c r="RK2330" s="106"/>
      <c r="RL2330" s="106"/>
    </row>
    <row r="2331" spans="48:480" x14ac:dyDescent="0.3">
      <c r="AV2331" s="103"/>
      <c r="CJ2331" s="103"/>
      <c r="FP2331" s="103"/>
      <c r="LL2331" s="103"/>
      <c r="NM2331" s="103"/>
      <c r="QT2331" s="106"/>
      <c r="QU2331" s="106"/>
      <c r="QV2331" s="106"/>
      <c r="QW2331" s="106"/>
      <c r="QX2331" s="106"/>
      <c r="QY2331" s="106"/>
      <c r="QZ2331" s="106"/>
      <c r="RA2331" s="106"/>
      <c r="RB2331" s="106"/>
      <c r="RC2331" s="106"/>
      <c r="RD2331" s="106"/>
      <c r="RE2331" s="106"/>
      <c r="RF2331" s="106"/>
      <c r="RG2331" s="106"/>
      <c r="RH2331" s="106"/>
      <c r="RI2331" s="106"/>
      <c r="RJ2331" s="106"/>
      <c r="RK2331" s="106"/>
      <c r="RL2331" s="106"/>
    </row>
    <row r="2332" spans="48:480" x14ac:dyDescent="0.3">
      <c r="AV2332" s="103"/>
      <c r="CJ2332" s="103"/>
      <c r="FP2332" s="103"/>
      <c r="LL2332" s="103"/>
      <c r="NM2332" s="103"/>
      <c r="QT2332" s="106"/>
      <c r="QU2332" s="106"/>
      <c r="QV2332" s="106"/>
      <c r="QW2332" s="106"/>
      <c r="QX2332" s="106"/>
      <c r="QY2332" s="106"/>
      <c r="QZ2332" s="106"/>
      <c r="RA2332" s="106"/>
      <c r="RB2332" s="106"/>
      <c r="RC2332" s="106"/>
      <c r="RD2332" s="106"/>
      <c r="RE2332" s="106"/>
      <c r="RF2332" s="106"/>
      <c r="RG2332" s="106"/>
      <c r="RH2332" s="106"/>
      <c r="RI2332" s="106"/>
      <c r="RJ2332" s="106"/>
      <c r="RK2332" s="106"/>
      <c r="RL2332" s="106"/>
    </row>
    <row r="2333" spans="48:480" x14ac:dyDescent="0.3">
      <c r="AV2333" s="103"/>
      <c r="CJ2333" s="103"/>
      <c r="FP2333" s="103"/>
      <c r="LL2333" s="103"/>
      <c r="NM2333" s="103"/>
      <c r="QT2333" s="106"/>
      <c r="QU2333" s="106"/>
      <c r="QV2333" s="106"/>
      <c r="QW2333" s="106"/>
      <c r="QX2333" s="106"/>
      <c r="QY2333" s="106"/>
      <c r="QZ2333" s="106"/>
      <c r="RA2333" s="106"/>
      <c r="RB2333" s="106"/>
      <c r="RC2333" s="106"/>
      <c r="RD2333" s="106"/>
      <c r="RE2333" s="106"/>
      <c r="RF2333" s="106"/>
      <c r="RG2333" s="106"/>
      <c r="RH2333" s="106"/>
      <c r="RI2333" s="106"/>
      <c r="RJ2333" s="106"/>
      <c r="RK2333" s="106"/>
      <c r="RL2333" s="106"/>
    </row>
    <row r="2334" spans="48:480" x14ac:dyDescent="0.3">
      <c r="AV2334" s="103"/>
      <c r="CJ2334" s="103"/>
      <c r="FP2334" s="103"/>
      <c r="LL2334" s="103"/>
      <c r="NM2334" s="103"/>
      <c r="QT2334" s="106"/>
      <c r="QU2334" s="106"/>
      <c r="QV2334" s="106"/>
      <c r="QW2334" s="106"/>
      <c r="QX2334" s="106"/>
      <c r="QY2334" s="106"/>
      <c r="QZ2334" s="106"/>
      <c r="RA2334" s="106"/>
      <c r="RB2334" s="106"/>
      <c r="RC2334" s="106"/>
      <c r="RD2334" s="106"/>
      <c r="RE2334" s="106"/>
      <c r="RF2334" s="106"/>
      <c r="RG2334" s="106"/>
      <c r="RH2334" s="106"/>
      <c r="RI2334" s="106"/>
      <c r="RJ2334" s="106"/>
      <c r="RK2334" s="106"/>
      <c r="RL2334" s="106"/>
    </row>
    <row r="2335" spans="48:480" x14ac:dyDescent="0.3">
      <c r="AV2335" s="103"/>
      <c r="CJ2335" s="103"/>
      <c r="FP2335" s="103"/>
      <c r="LL2335" s="103"/>
      <c r="NM2335" s="103"/>
      <c r="QT2335" s="106"/>
      <c r="QU2335" s="106"/>
      <c r="QV2335" s="106"/>
      <c r="QW2335" s="106"/>
      <c r="QX2335" s="106"/>
      <c r="QY2335" s="106"/>
      <c r="QZ2335" s="106"/>
      <c r="RA2335" s="106"/>
      <c r="RB2335" s="106"/>
      <c r="RC2335" s="106"/>
      <c r="RD2335" s="106"/>
      <c r="RE2335" s="106"/>
      <c r="RF2335" s="106"/>
      <c r="RG2335" s="106"/>
      <c r="RH2335" s="106"/>
      <c r="RI2335" s="106"/>
      <c r="RJ2335" s="106"/>
      <c r="RK2335" s="106"/>
      <c r="RL2335" s="106"/>
    </row>
    <row r="2336" spans="48:480" x14ac:dyDescent="0.3">
      <c r="AV2336" s="103"/>
      <c r="CJ2336" s="103"/>
      <c r="FP2336" s="103"/>
      <c r="LL2336" s="103"/>
      <c r="NM2336" s="103"/>
      <c r="QT2336" s="106"/>
      <c r="QU2336" s="106"/>
      <c r="QV2336" s="106"/>
      <c r="QW2336" s="106"/>
      <c r="QX2336" s="106"/>
      <c r="QY2336" s="106"/>
      <c r="QZ2336" s="106"/>
      <c r="RA2336" s="106"/>
      <c r="RB2336" s="106"/>
      <c r="RC2336" s="106"/>
      <c r="RD2336" s="106"/>
      <c r="RE2336" s="106"/>
      <c r="RF2336" s="106"/>
      <c r="RG2336" s="106"/>
      <c r="RH2336" s="106"/>
      <c r="RI2336" s="106"/>
      <c r="RJ2336" s="106"/>
      <c r="RK2336" s="106"/>
      <c r="RL2336" s="106"/>
    </row>
    <row r="2337" spans="48:480" x14ac:dyDescent="0.3">
      <c r="AV2337" s="103"/>
      <c r="CJ2337" s="103"/>
      <c r="FP2337" s="103"/>
      <c r="LL2337" s="103"/>
      <c r="NM2337" s="103"/>
      <c r="QT2337" s="106"/>
      <c r="QU2337" s="106"/>
      <c r="QV2337" s="106"/>
      <c r="QW2337" s="106"/>
      <c r="QX2337" s="106"/>
      <c r="QY2337" s="106"/>
      <c r="QZ2337" s="106"/>
      <c r="RA2337" s="106"/>
      <c r="RB2337" s="106"/>
      <c r="RC2337" s="106"/>
      <c r="RD2337" s="106"/>
      <c r="RE2337" s="106"/>
      <c r="RF2337" s="106"/>
      <c r="RG2337" s="106"/>
      <c r="RH2337" s="106"/>
      <c r="RI2337" s="106"/>
      <c r="RJ2337" s="106"/>
      <c r="RK2337" s="106"/>
      <c r="RL2337" s="106"/>
    </row>
    <row r="2338" spans="48:480" x14ac:dyDescent="0.3">
      <c r="AV2338" s="103"/>
      <c r="CJ2338" s="103"/>
      <c r="FP2338" s="103"/>
      <c r="LL2338" s="103"/>
      <c r="NM2338" s="103"/>
      <c r="QT2338" s="106"/>
      <c r="QU2338" s="106"/>
      <c r="QV2338" s="106"/>
      <c r="QW2338" s="106"/>
      <c r="QX2338" s="106"/>
      <c r="QY2338" s="106"/>
      <c r="QZ2338" s="106"/>
      <c r="RA2338" s="106"/>
      <c r="RB2338" s="106"/>
      <c r="RC2338" s="106"/>
      <c r="RD2338" s="106"/>
      <c r="RE2338" s="106"/>
      <c r="RF2338" s="106"/>
      <c r="RG2338" s="106"/>
      <c r="RH2338" s="106"/>
      <c r="RI2338" s="106"/>
      <c r="RJ2338" s="106"/>
      <c r="RK2338" s="106"/>
      <c r="RL2338" s="106"/>
    </row>
    <row r="2339" spans="48:480" x14ac:dyDescent="0.3">
      <c r="AV2339" s="103"/>
      <c r="CJ2339" s="103"/>
      <c r="FP2339" s="103"/>
      <c r="LL2339" s="103"/>
      <c r="NM2339" s="103"/>
      <c r="QT2339" s="106"/>
      <c r="QU2339" s="106"/>
      <c r="QV2339" s="106"/>
      <c r="QW2339" s="106"/>
      <c r="QX2339" s="106"/>
      <c r="QY2339" s="106"/>
      <c r="QZ2339" s="106"/>
      <c r="RA2339" s="106"/>
      <c r="RB2339" s="106"/>
      <c r="RC2339" s="106"/>
      <c r="RD2339" s="106"/>
      <c r="RE2339" s="106"/>
      <c r="RF2339" s="106"/>
      <c r="RG2339" s="106"/>
      <c r="RH2339" s="106"/>
      <c r="RI2339" s="106"/>
      <c r="RJ2339" s="106"/>
      <c r="RK2339" s="106"/>
      <c r="RL2339" s="106"/>
    </row>
    <row r="2340" spans="48:480" x14ac:dyDescent="0.3">
      <c r="AV2340" s="103"/>
      <c r="CJ2340" s="103"/>
      <c r="FP2340" s="103"/>
      <c r="LL2340" s="103"/>
      <c r="NM2340" s="103"/>
      <c r="QT2340" s="106"/>
      <c r="QU2340" s="106"/>
      <c r="QV2340" s="106"/>
      <c r="QW2340" s="106"/>
      <c r="QX2340" s="106"/>
      <c r="QY2340" s="106"/>
      <c r="QZ2340" s="106"/>
      <c r="RA2340" s="106"/>
      <c r="RB2340" s="106"/>
      <c r="RC2340" s="106"/>
      <c r="RD2340" s="106"/>
      <c r="RE2340" s="106"/>
      <c r="RF2340" s="106"/>
      <c r="RG2340" s="106"/>
      <c r="RH2340" s="106"/>
      <c r="RI2340" s="106"/>
      <c r="RJ2340" s="106"/>
      <c r="RK2340" s="106"/>
      <c r="RL2340" s="106"/>
    </row>
    <row r="2341" spans="48:480" x14ac:dyDescent="0.3">
      <c r="CJ2341" s="103"/>
      <c r="FP2341" s="103"/>
      <c r="LL2341" s="103"/>
      <c r="NM2341" s="103"/>
      <c r="QT2341" s="106"/>
      <c r="QU2341" s="106"/>
      <c r="QV2341" s="106"/>
      <c r="QW2341" s="106"/>
      <c r="QX2341" s="106"/>
      <c r="QY2341" s="106"/>
      <c r="QZ2341" s="106"/>
      <c r="RA2341" s="106"/>
      <c r="RB2341" s="106"/>
      <c r="RC2341" s="106"/>
      <c r="RD2341" s="106"/>
      <c r="RE2341" s="106"/>
      <c r="RF2341" s="106"/>
      <c r="RG2341" s="106"/>
      <c r="RH2341" s="106"/>
      <c r="RI2341" s="106"/>
      <c r="RJ2341" s="106"/>
      <c r="RK2341" s="106"/>
      <c r="RL2341" s="106"/>
    </row>
    <row r="2342" spans="48:480" x14ac:dyDescent="0.3">
      <c r="AV2342" s="103"/>
      <c r="CJ2342" s="103"/>
      <c r="FP2342" s="103"/>
      <c r="LL2342" s="103"/>
      <c r="NM2342" s="103"/>
      <c r="QT2342" s="106"/>
      <c r="QU2342" s="106"/>
      <c r="QV2342" s="106"/>
      <c r="QW2342" s="106"/>
      <c r="QX2342" s="106"/>
      <c r="QY2342" s="106"/>
      <c r="QZ2342" s="106"/>
      <c r="RA2342" s="106"/>
      <c r="RB2342" s="106"/>
      <c r="RC2342" s="106"/>
      <c r="RD2342" s="106"/>
      <c r="RE2342" s="106"/>
      <c r="RF2342" s="106"/>
      <c r="RG2342" s="106"/>
      <c r="RH2342" s="106"/>
      <c r="RI2342" s="106"/>
      <c r="RJ2342" s="106"/>
      <c r="RK2342" s="106"/>
      <c r="RL2342" s="106"/>
    </row>
    <row r="2343" spans="48:480" x14ac:dyDescent="0.3">
      <c r="AV2343" s="103"/>
      <c r="CJ2343" s="103"/>
      <c r="FP2343" s="103"/>
      <c r="LL2343" s="103"/>
      <c r="NM2343" s="103"/>
      <c r="QT2343" s="106"/>
      <c r="QU2343" s="106"/>
      <c r="QV2343" s="106"/>
      <c r="QW2343" s="106"/>
      <c r="QX2343" s="106"/>
      <c r="QY2343" s="106"/>
      <c r="QZ2343" s="106"/>
      <c r="RA2343" s="106"/>
      <c r="RB2343" s="106"/>
      <c r="RC2343" s="106"/>
      <c r="RD2343" s="106"/>
      <c r="RE2343" s="106"/>
      <c r="RF2343" s="106"/>
      <c r="RG2343" s="106"/>
      <c r="RH2343" s="106"/>
      <c r="RI2343" s="106"/>
      <c r="RJ2343" s="106"/>
      <c r="RK2343" s="106"/>
      <c r="RL2343" s="106"/>
    </row>
    <row r="2344" spans="48:480" x14ac:dyDescent="0.3">
      <c r="AV2344" s="103"/>
      <c r="CJ2344" s="103"/>
      <c r="FP2344" s="103"/>
      <c r="LL2344" s="103"/>
      <c r="NM2344" s="103"/>
      <c r="QT2344" s="106"/>
      <c r="QU2344" s="106"/>
      <c r="QV2344" s="106"/>
      <c r="QW2344" s="106"/>
      <c r="QX2344" s="106"/>
      <c r="QY2344" s="106"/>
      <c r="QZ2344" s="106"/>
      <c r="RA2344" s="106"/>
      <c r="RB2344" s="106"/>
      <c r="RC2344" s="106"/>
      <c r="RD2344" s="106"/>
      <c r="RE2344" s="106"/>
      <c r="RF2344" s="106"/>
      <c r="RG2344" s="106"/>
      <c r="RH2344" s="106"/>
      <c r="RI2344" s="106"/>
      <c r="RJ2344" s="106"/>
      <c r="RK2344" s="106"/>
      <c r="RL2344" s="106"/>
    </row>
    <row r="2345" spans="48:480" x14ac:dyDescent="0.3">
      <c r="AV2345" s="103"/>
      <c r="CJ2345" s="103"/>
      <c r="FP2345" s="103"/>
      <c r="LL2345" s="103"/>
      <c r="NM2345" s="103"/>
      <c r="QT2345" s="106"/>
      <c r="QU2345" s="106"/>
      <c r="QV2345" s="106"/>
      <c r="QW2345" s="106"/>
      <c r="QX2345" s="106"/>
      <c r="QY2345" s="106"/>
      <c r="QZ2345" s="106"/>
      <c r="RA2345" s="106"/>
      <c r="RB2345" s="106"/>
      <c r="RC2345" s="106"/>
      <c r="RD2345" s="106"/>
      <c r="RE2345" s="106"/>
      <c r="RF2345" s="106"/>
      <c r="RG2345" s="106"/>
      <c r="RH2345" s="106"/>
      <c r="RI2345" s="106"/>
      <c r="RJ2345" s="106"/>
      <c r="RK2345" s="106"/>
      <c r="RL2345" s="106"/>
    </row>
    <row r="2346" spans="48:480" x14ac:dyDescent="0.3">
      <c r="AV2346" s="103"/>
      <c r="CJ2346" s="103"/>
      <c r="FP2346" s="103"/>
      <c r="LL2346" s="103"/>
      <c r="NM2346" s="103"/>
      <c r="QT2346" s="106"/>
      <c r="QU2346" s="106"/>
      <c r="QV2346" s="106"/>
      <c r="QW2346" s="106"/>
      <c r="QX2346" s="106"/>
      <c r="QY2346" s="106"/>
      <c r="QZ2346" s="106"/>
      <c r="RA2346" s="106"/>
      <c r="RB2346" s="106"/>
      <c r="RC2346" s="106"/>
      <c r="RD2346" s="106"/>
      <c r="RE2346" s="106"/>
      <c r="RF2346" s="106"/>
      <c r="RG2346" s="106"/>
      <c r="RH2346" s="106"/>
      <c r="RI2346" s="106"/>
      <c r="RJ2346" s="106"/>
      <c r="RK2346" s="106"/>
      <c r="RL2346" s="106"/>
    </row>
    <row r="2347" spans="48:480" x14ac:dyDescent="0.3">
      <c r="AV2347" s="103"/>
      <c r="CJ2347" s="103"/>
      <c r="FP2347" s="103"/>
      <c r="LL2347" s="103"/>
      <c r="NM2347" s="103"/>
      <c r="QT2347" s="106"/>
      <c r="QU2347" s="106"/>
      <c r="QV2347" s="106"/>
      <c r="QW2347" s="106"/>
      <c r="QX2347" s="106"/>
      <c r="QY2347" s="106"/>
      <c r="QZ2347" s="106"/>
      <c r="RA2347" s="106"/>
      <c r="RB2347" s="106"/>
      <c r="RC2347" s="106"/>
      <c r="RD2347" s="106"/>
      <c r="RE2347" s="106"/>
      <c r="RF2347" s="106"/>
      <c r="RG2347" s="106"/>
      <c r="RH2347" s="106"/>
      <c r="RI2347" s="106"/>
      <c r="RJ2347" s="106"/>
      <c r="RK2347" s="106"/>
      <c r="RL2347" s="106"/>
    </row>
    <row r="2348" spans="48:480" x14ac:dyDescent="0.3">
      <c r="AV2348" s="103"/>
      <c r="CJ2348" s="103"/>
      <c r="FP2348" s="103"/>
      <c r="LL2348" s="103"/>
      <c r="NM2348" s="103"/>
      <c r="QT2348" s="106"/>
      <c r="QU2348" s="106"/>
      <c r="QV2348" s="106"/>
      <c r="QW2348" s="106"/>
      <c r="QX2348" s="106"/>
      <c r="QY2348" s="106"/>
      <c r="QZ2348" s="106"/>
      <c r="RA2348" s="106"/>
      <c r="RB2348" s="106"/>
      <c r="RC2348" s="106"/>
      <c r="RD2348" s="106"/>
      <c r="RE2348" s="106"/>
      <c r="RF2348" s="106"/>
      <c r="RG2348" s="106"/>
      <c r="RH2348" s="106"/>
      <c r="RI2348" s="106"/>
      <c r="RJ2348" s="106"/>
      <c r="RK2348" s="106"/>
      <c r="RL2348" s="106"/>
    </row>
    <row r="2349" spans="48:480" x14ac:dyDescent="0.3">
      <c r="AV2349" s="103"/>
      <c r="CJ2349" s="103"/>
      <c r="FP2349" s="103"/>
      <c r="LL2349" s="103"/>
      <c r="NM2349" s="103"/>
      <c r="QT2349" s="106"/>
      <c r="QU2349" s="106"/>
      <c r="QV2349" s="106"/>
      <c r="QW2349" s="106"/>
      <c r="QX2349" s="106"/>
      <c r="QY2349" s="106"/>
      <c r="QZ2349" s="106"/>
      <c r="RA2349" s="106"/>
      <c r="RB2349" s="106"/>
      <c r="RC2349" s="106"/>
      <c r="RD2349" s="106"/>
      <c r="RE2349" s="106"/>
      <c r="RF2349" s="106"/>
      <c r="RG2349" s="106"/>
      <c r="RH2349" s="106"/>
      <c r="RI2349" s="106"/>
      <c r="RJ2349" s="106"/>
      <c r="RK2349" s="106"/>
      <c r="RL2349" s="106"/>
    </row>
    <row r="2350" spans="48:480" x14ac:dyDescent="0.3">
      <c r="AV2350" s="103"/>
      <c r="CJ2350" s="103"/>
      <c r="FP2350" s="103"/>
      <c r="LL2350" s="103"/>
      <c r="NM2350" s="103"/>
      <c r="QT2350" s="106"/>
      <c r="QU2350" s="106"/>
      <c r="QV2350" s="106"/>
      <c r="QW2350" s="106"/>
      <c r="QX2350" s="106"/>
      <c r="QY2350" s="106"/>
      <c r="QZ2350" s="106"/>
      <c r="RA2350" s="106"/>
      <c r="RB2350" s="106"/>
      <c r="RC2350" s="106"/>
      <c r="RD2350" s="106"/>
      <c r="RE2350" s="106"/>
      <c r="RF2350" s="106"/>
      <c r="RG2350" s="106"/>
      <c r="RH2350" s="106"/>
      <c r="RI2350" s="106"/>
      <c r="RJ2350" s="106"/>
      <c r="RK2350" s="106"/>
      <c r="RL2350" s="106"/>
    </row>
    <row r="2351" spans="48:480" x14ac:dyDescent="0.3">
      <c r="AV2351" s="103"/>
      <c r="CJ2351" s="103"/>
      <c r="FP2351" s="103"/>
      <c r="LL2351" s="103"/>
      <c r="NM2351" s="103"/>
      <c r="QT2351" s="106"/>
      <c r="QU2351" s="106"/>
      <c r="QV2351" s="106"/>
      <c r="QW2351" s="106"/>
      <c r="QX2351" s="106"/>
      <c r="QY2351" s="106"/>
      <c r="QZ2351" s="106"/>
      <c r="RA2351" s="106"/>
      <c r="RB2351" s="106"/>
      <c r="RC2351" s="106"/>
      <c r="RD2351" s="106"/>
      <c r="RE2351" s="106"/>
      <c r="RF2351" s="106"/>
      <c r="RG2351" s="106"/>
      <c r="RH2351" s="106"/>
      <c r="RI2351" s="106"/>
      <c r="RJ2351" s="106"/>
      <c r="RK2351" s="106"/>
      <c r="RL2351" s="106"/>
    </row>
    <row r="2352" spans="48:480" x14ac:dyDescent="0.3">
      <c r="AV2352" s="103"/>
      <c r="CJ2352" s="103"/>
      <c r="FP2352" s="103"/>
      <c r="LL2352" s="103"/>
      <c r="NM2352" s="103"/>
      <c r="QT2352" s="106"/>
      <c r="QU2352" s="106"/>
      <c r="QV2352" s="106"/>
      <c r="QW2352" s="106"/>
      <c r="QX2352" s="106"/>
      <c r="QY2352" s="106"/>
      <c r="QZ2352" s="106"/>
      <c r="RA2352" s="106"/>
      <c r="RB2352" s="106"/>
      <c r="RC2352" s="106"/>
      <c r="RD2352" s="106"/>
      <c r="RE2352" s="106"/>
      <c r="RF2352" s="106"/>
      <c r="RG2352" s="106"/>
      <c r="RH2352" s="106"/>
      <c r="RI2352" s="106"/>
      <c r="RJ2352" s="106"/>
      <c r="RK2352" s="106"/>
      <c r="RL2352" s="106"/>
    </row>
    <row r="2353" spans="48:480" x14ac:dyDescent="0.3">
      <c r="AV2353" s="103"/>
      <c r="CJ2353" s="103"/>
      <c r="FP2353" s="103"/>
      <c r="LL2353" s="103"/>
      <c r="NM2353" s="103"/>
      <c r="QT2353" s="106"/>
      <c r="QU2353" s="106"/>
      <c r="QV2353" s="106"/>
      <c r="QW2353" s="106"/>
      <c r="QX2353" s="106"/>
      <c r="QY2353" s="106"/>
      <c r="QZ2353" s="106"/>
      <c r="RA2353" s="106"/>
      <c r="RB2353" s="106"/>
      <c r="RC2353" s="106"/>
      <c r="RD2353" s="106"/>
      <c r="RE2353" s="106"/>
      <c r="RF2353" s="106"/>
      <c r="RG2353" s="106"/>
      <c r="RH2353" s="106"/>
      <c r="RI2353" s="106"/>
      <c r="RJ2353" s="106"/>
      <c r="RK2353" s="106"/>
      <c r="RL2353" s="106"/>
    </row>
    <row r="2354" spans="48:480" x14ac:dyDescent="0.3">
      <c r="AV2354" s="103"/>
      <c r="CJ2354" s="103"/>
      <c r="FP2354" s="103"/>
      <c r="LL2354" s="103"/>
      <c r="NM2354" s="103"/>
      <c r="QT2354" s="106"/>
      <c r="QU2354" s="106"/>
      <c r="QV2354" s="106"/>
      <c r="QW2354" s="106"/>
      <c r="QX2354" s="106"/>
      <c r="QY2354" s="106"/>
      <c r="QZ2354" s="106"/>
      <c r="RA2354" s="106"/>
      <c r="RB2354" s="106"/>
      <c r="RC2354" s="106"/>
      <c r="RD2354" s="106"/>
      <c r="RE2354" s="106"/>
      <c r="RF2354" s="106"/>
      <c r="RG2354" s="106"/>
      <c r="RH2354" s="106"/>
      <c r="RI2354" s="106"/>
      <c r="RJ2354" s="106"/>
      <c r="RK2354" s="106"/>
      <c r="RL2354" s="106"/>
    </row>
    <row r="2355" spans="48:480" x14ac:dyDescent="0.3">
      <c r="AV2355" s="103"/>
      <c r="CJ2355" s="103"/>
      <c r="FP2355" s="103"/>
      <c r="LL2355" s="103"/>
      <c r="NM2355" s="103"/>
      <c r="QT2355" s="106"/>
      <c r="QU2355" s="106"/>
      <c r="QV2355" s="106"/>
      <c r="QW2355" s="106"/>
      <c r="QX2355" s="106"/>
      <c r="QY2355" s="106"/>
      <c r="QZ2355" s="106"/>
      <c r="RA2355" s="106"/>
      <c r="RB2355" s="106"/>
      <c r="RC2355" s="106"/>
      <c r="RD2355" s="106"/>
      <c r="RE2355" s="106"/>
      <c r="RF2355" s="106"/>
      <c r="RG2355" s="106"/>
      <c r="RH2355" s="106"/>
      <c r="RI2355" s="106"/>
      <c r="RJ2355" s="106"/>
      <c r="RK2355" s="106"/>
      <c r="RL2355" s="106"/>
    </row>
    <row r="2356" spans="48:480" x14ac:dyDescent="0.3">
      <c r="AV2356" s="103"/>
      <c r="CJ2356" s="103"/>
      <c r="FP2356" s="103"/>
      <c r="LL2356" s="103"/>
      <c r="NM2356" s="103"/>
      <c r="QT2356" s="106"/>
      <c r="QU2356" s="106"/>
      <c r="QV2356" s="106"/>
      <c r="QW2356" s="106"/>
      <c r="QX2356" s="106"/>
      <c r="QY2356" s="106"/>
      <c r="QZ2356" s="106"/>
      <c r="RA2356" s="106"/>
      <c r="RB2356" s="106"/>
      <c r="RC2356" s="106"/>
      <c r="RD2356" s="106"/>
      <c r="RE2356" s="106"/>
      <c r="RF2356" s="106"/>
      <c r="RG2356" s="106"/>
      <c r="RH2356" s="106"/>
      <c r="RI2356" s="106"/>
      <c r="RJ2356" s="106"/>
      <c r="RK2356" s="106"/>
      <c r="RL2356" s="106"/>
    </row>
    <row r="2357" spans="48:480" x14ac:dyDescent="0.3">
      <c r="AV2357" s="103"/>
      <c r="CJ2357" s="103"/>
      <c r="FP2357" s="103"/>
      <c r="LL2357" s="103"/>
      <c r="NM2357" s="103"/>
      <c r="QT2357" s="106"/>
      <c r="QU2357" s="106"/>
      <c r="QV2357" s="106"/>
      <c r="QW2357" s="106"/>
      <c r="QX2357" s="106"/>
      <c r="QY2357" s="106"/>
      <c r="QZ2357" s="106"/>
      <c r="RA2357" s="106"/>
      <c r="RB2357" s="106"/>
      <c r="RC2357" s="106"/>
      <c r="RD2357" s="106"/>
      <c r="RE2357" s="106"/>
      <c r="RF2357" s="106"/>
      <c r="RG2357" s="106"/>
      <c r="RH2357" s="106"/>
      <c r="RI2357" s="106"/>
      <c r="RJ2357" s="106"/>
      <c r="RK2357" s="106"/>
      <c r="RL2357" s="106"/>
    </row>
    <row r="2358" spans="48:480" x14ac:dyDescent="0.3">
      <c r="AV2358" s="103"/>
      <c r="CJ2358" s="103"/>
      <c r="FP2358" s="103"/>
      <c r="LL2358" s="103"/>
      <c r="NM2358" s="103"/>
      <c r="QT2358" s="106"/>
      <c r="QU2358" s="106"/>
      <c r="QV2358" s="106"/>
      <c r="QW2358" s="106"/>
      <c r="QX2358" s="106"/>
      <c r="QY2358" s="106"/>
      <c r="QZ2358" s="106"/>
      <c r="RA2358" s="106"/>
      <c r="RB2358" s="106"/>
      <c r="RC2358" s="106"/>
      <c r="RD2358" s="106"/>
      <c r="RE2358" s="106"/>
      <c r="RF2358" s="106"/>
      <c r="RG2358" s="106"/>
      <c r="RH2358" s="106"/>
      <c r="RI2358" s="106"/>
      <c r="RJ2358" s="106"/>
      <c r="RK2358" s="106"/>
      <c r="RL2358" s="106"/>
    </row>
    <row r="2359" spans="48:480" x14ac:dyDescent="0.3">
      <c r="AV2359" s="103"/>
      <c r="CJ2359" s="103"/>
      <c r="FP2359" s="103"/>
      <c r="LL2359" s="103"/>
      <c r="NM2359" s="103"/>
      <c r="QT2359" s="106"/>
      <c r="QU2359" s="106"/>
      <c r="QV2359" s="106"/>
      <c r="QW2359" s="106"/>
      <c r="QX2359" s="106"/>
      <c r="QY2359" s="106"/>
      <c r="QZ2359" s="106"/>
      <c r="RA2359" s="106"/>
      <c r="RB2359" s="106"/>
      <c r="RC2359" s="106"/>
      <c r="RD2359" s="106"/>
      <c r="RE2359" s="106"/>
      <c r="RF2359" s="106"/>
      <c r="RG2359" s="106"/>
      <c r="RH2359" s="106"/>
      <c r="RI2359" s="106"/>
      <c r="RJ2359" s="106"/>
      <c r="RK2359" s="106"/>
      <c r="RL2359" s="106"/>
    </row>
    <row r="2360" spans="48:480" x14ac:dyDescent="0.3">
      <c r="AV2360" s="103"/>
      <c r="CJ2360" s="103"/>
      <c r="FP2360" s="103"/>
      <c r="LL2360" s="103"/>
      <c r="NM2360" s="103"/>
      <c r="QT2360" s="106"/>
      <c r="QU2360" s="106"/>
      <c r="QV2360" s="106"/>
      <c r="QW2360" s="106"/>
      <c r="QX2360" s="106"/>
      <c r="QY2360" s="106"/>
      <c r="QZ2360" s="106"/>
      <c r="RA2360" s="106"/>
      <c r="RB2360" s="106"/>
      <c r="RC2360" s="106"/>
      <c r="RD2360" s="106"/>
      <c r="RE2360" s="106"/>
      <c r="RF2360" s="106"/>
      <c r="RG2360" s="106"/>
      <c r="RH2360" s="106"/>
      <c r="RI2360" s="106"/>
      <c r="RJ2360" s="106"/>
      <c r="RK2360" s="106"/>
      <c r="RL2360" s="106"/>
    </row>
    <row r="2361" spans="48:480" x14ac:dyDescent="0.3">
      <c r="AV2361" s="103"/>
      <c r="CJ2361" s="103"/>
      <c r="FP2361" s="103"/>
      <c r="LL2361" s="103"/>
      <c r="NM2361" s="103"/>
      <c r="QT2361" s="106"/>
      <c r="QU2361" s="106"/>
      <c r="QV2361" s="106"/>
      <c r="QW2361" s="106"/>
      <c r="QX2361" s="106"/>
      <c r="QY2361" s="106"/>
      <c r="QZ2361" s="106"/>
      <c r="RA2361" s="106"/>
      <c r="RB2361" s="106"/>
      <c r="RC2361" s="106"/>
      <c r="RD2361" s="106"/>
      <c r="RE2361" s="106"/>
      <c r="RF2361" s="106"/>
      <c r="RG2361" s="106"/>
      <c r="RH2361" s="106"/>
      <c r="RI2361" s="106"/>
      <c r="RJ2361" s="106"/>
      <c r="RK2361" s="106"/>
      <c r="RL2361" s="106"/>
    </row>
    <row r="2362" spans="48:480" x14ac:dyDescent="0.3">
      <c r="AV2362" s="103"/>
      <c r="CJ2362" s="103"/>
      <c r="FP2362" s="103"/>
      <c r="LL2362" s="103"/>
      <c r="NM2362" s="103"/>
      <c r="QT2362" s="106"/>
      <c r="QU2362" s="106"/>
      <c r="QV2362" s="106"/>
      <c r="QW2362" s="106"/>
      <c r="QX2362" s="106"/>
      <c r="QY2362" s="106"/>
      <c r="QZ2362" s="106"/>
      <c r="RA2362" s="106"/>
      <c r="RB2362" s="106"/>
      <c r="RC2362" s="106"/>
      <c r="RD2362" s="106"/>
      <c r="RE2362" s="106"/>
      <c r="RF2362" s="106"/>
      <c r="RG2362" s="106"/>
      <c r="RH2362" s="106"/>
      <c r="RI2362" s="106"/>
      <c r="RJ2362" s="106"/>
      <c r="RK2362" s="106"/>
      <c r="RL2362" s="106"/>
    </row>
    <row r="2363" spans="48:480" x14ac:dyDescent="0.3">
      <c r="AV2363" s="103"/>
      <c r="CJ2363" s="103"/>
      <c r="FP2363" s="103"/>
      <c r="LL2363" s="103"/>
      <c r="NM2363" s="103"/>
      <c r="QT2363" s="106"/>
      <c r="QU2363" s="106"/>
      <c r="QV2363" s="106"/>
      <c r="QW2363" s="106"/>
      <c r="QX2363" s="106"/>
      <c r="QY2363" s="106"/>
      <c r="QZ2363" s="106"/>
      <c r="RA2363" s="106"/>
      <c r="RB2363" s="106"/>
      <c r="RC2363" s="106"/>
      <c r="RD2363" s="106"/>
      <c r="RE2363" s="106"/>
      <c r="RF2363" s="106"/>
      <c r="RG2363" s="106"/>
      <c r="RH2363" s="106"/>
      <c r="RI2363" s="106"/>
      <c r="RJ2363" s="106"/>
      <c r="RK2363" s="106"/>
      <c r="RL2363" s="106"/>
    </row>
    <row r="2364" spans="48:480" x14ac:dyDescent="0.3">
      <c r="AV2364" s="103"/>
      <c r="CJ2364" s="103"/>
      <c r="FP2364" s="103"/>
      <c r="LL2364" s="103"/>
      <c r="NM2364" s="103"/>
      <c r="QT2364" s="106"/>
      <c r="QU2364" s="106"/>
      <c r="QV2364" s="106"/>
      <c r="QW2364" s="106"/>
      <c r="QX2364" s="106"/>
      <c r="QY2364" s="106"/>
      <c r="QZ2364" s="106"/>
      <c r="RA2364" s="106"/>
      <c r="RB2364" s="106"/>
      <c r="RC2364" s="106"/>
      <c r="RD2364" s="106"/>
      <c r="RE2364" s="106"/>
      <c r="RF2364" s="106"/>
      <c r="RG2364" s="106"/>
      <c r="RH2364" s="106"/>
      <c r="RI2364" s="106"/>
      <c r="RJ2364" s="106"/>
      <c r="RK2364" s="106"/>
      <c r="RL2364" s="106"/>
    </row>
    <row r="2365" spans="48:480" x14ac:dyDescent="0.3">
      <c r="AV2365" s="103"/>
      <c r="CJ2365" s="103"/>
      <c r="FP2365" s="103"/>
      <c r="LL2365" s="103"/>
      <c r="NM2365" s="103"/>
      <c r="QT2365" s="106"/>
      <c r="QU2365" s="106"/>
      <c r="QV2365" s="106"/>
      <c r="QW2365" s="106"/>
      <c r="QX2365" s="106"/>
      <c r="QY2365" s="106"/>
      <c r="QZ2365" s="106"/>
      <c r="RA2365" s="106"/>
      <c r="RB2365" s="106"/>
      <c r="RC2365" s="106"/>
      <c r="RD2365" s="106"/>
      <c r="RE2365" s="106"/>
      <c r="RF2365" s="106"/>
      <c r="RG2365" s="106"/>
      <c r="RH2365" s="106"/>
      <c r="RI2365" s="106"/>
      <c r="RJ2365" s="106"/>
      <c r="RK2365" s="106"/>
      <c r="RL2365" s="106"/>
    </row>
    <row r="2366" spans="48:480" x14ac:dyDescent="0.3">
      <c r="AV2366" s="103"/>
      <c r="CJ2366" s="103"/>
      <c r="FP2366" s="103"/>
      <c r="LL2366" s="103"/>
      <c r="NM2366" s="103"/>
      <c r="QT2366" s="106"/>
      <c r="QU2366" s="106"/>
      <c r="QV2366" s="106"/>
      <c r="QW2366" s="106"/>
      <c r="QX2366" s="106"/>
      <c r="QY2366" s="106"/>
      <c r="QZ2366" s="106"/>
      <c r="RA2366" s="106"/>
      <c r="RB2366" s="106"/>
      <c r="RC2366" s="106"/>
      <c r="RD2366" s="106"/>
      <c r="RE2366" s="106"/>
      <c r="RF2366" s="106"/>
      <c r="RG2366" s="106"/>
      <c r="RH2366" s="106"/>
      <c r="RI2366" s="106"/>
      <c r="RJ2366" s="106"/>
      <c r="RK2366" s="106"/>
      <c r="RL2366" s="106"/>
    </row>
    <row r="2367" spans="48:480" x14ac:dyDescent="0.3">
      <c r="AV2367" s="103"/>
      <c r="CJ2367" s="103"/>
      <c r="FP2367" s="103"/>
      <c r="LL2367" s="103"/>
      <c r="NM2367" s="103"/>
      <c r="QT2367" s="106"/>
      <c r="QU2367" s="106"/>
      <c r="QV2367" s="106"/>
      <c r="QW2367" s="106"/>
      <c r="QX2367" s="106"/>
      <c r="QY2367" s="106"/>
      <c r="QZ2367" s="106"/>
      <c r="RA2367" s="106"/>
      <c r="RB2367" s="106"/>
      <c r="RC2367" s="106"/>
      <c r="RD2367" s="106"/>
      <c r="RE2367" s="106"/>
      <c r="RF2367" s="106"/>
      <c r="RG2367" s="106"/>
      <c r="RH2367" s="106"/>
      <c r="RI2367" s="106"/>
      <c r="RJ2367" s="106"/>
      <c r="RK2367" s="106"/>
      <c r="RL2367" s="106"/>
    </row>
    <row r="2368" spans="48:480" x14ac:dyDescent="0.3">
      <c r="AV2368" s="103"/>
      <c r="CJ2368" s="103"/>
      <c r="FP2368" s="103"/>
      <c r="LL2368" s="103"/>
      <c r="NM2368" s="103"/>
      <c r="QT2368" s="106"/>
      <c r="QU2368" s="106"/>
      <c r="QV2368" s="106"/>
      <c r="QW2368" s="106"/>
      <c r="QX2368" s="106"/>
      <c r="QY2368" s="106"/>
      <c r="QZ2368" s="106"/>
      <c r="RA2368" s="106"/>
      <c r="RB2368" s="106"/>
      <c r="RC2368" s="106"/>
      <c r="RD2368" s="106"/>
      <c r="RE2368" s="106"/>
      <c r="RF2368" s="106"/>
      <c r="RG2368" s="106"/>
      <c r="RH2368" s="106"/>
      <c r="RI2368" s="106"/>
      <c r="RJ2368" s="106"/>
      <c r="RK2368" s="106"/>
      <c r="RL2368" s="106"/>
    </row>
    <row r="2369" spans="48:480" x14ac:dyDescent="0.3">
      <c r="AV2369" s="103"/>
      <c r="CJ2369" s="103"/>
      <c r="FP2369" s="103"/>
      <c r="LL2369" s="103"/>
      <c r="NM2369" s="103"/>
      <c r="QT2369" s="106"/>
      <c r="QU2369" s="106"/>
      <c r="QV2369" s="106"/>
      <c r="QW2369" s="106"/>
      <c r="QX2369" s="106"/>
      <c r="QY2369" s="106"/>
      <c r="QZ2369" s="106"/>
      <c r="RA2369" s="106"/>
      <c r="RB2369" s="106"/>
      <c r="RC2369" s="106"/>
      <c r="RD2369" s="106"/>
      <c r="RE2369" s="106"/>
      <c r="RF2369" s="106"/>
      <c r="RG2369" s="106"/>
      <c r="RH2369" s="106"/>
      <c r="RI2369" s="106"/>
      <c r="RJ2369" s="106"/>
      <c r="RK2369" s="106"/>
      <c r="RL2369" s="106"/>
    </row>
    <row r="2370" spans="48:480" x14ac:dyDescent="0.3">
      <c r="AV2370" s="103"/>
      <c r="CJ2370" s="103"/>
      <c r="FP2370" s="103"/>
      <c r="LL2370" s="103"/>
      <c r="NM2370" s="103"/>
      <c r="QT2370" s="106"/>
      <c r="QU2370" s="106"/>
      <c r="QV2370" s="106"/>
      <c r="QW2370" s="106"/>
      <c r="QX2370" s="106"/>
      <c r="QY2370" s="106"/>
      <c r="QZ2370" s="106"/>
      <c r="RA2370" s="106"/>
      <c r="RB2370" s="106"/>
      <c r="RC2370" s="106"/>
      <c r="RD2370" s="106"/>
      <c r="RE2370" s="106"/>
      <c r="RF2370" s="106"/>
      <c r="RG2370" s="106"/>
      <c r="RH2370" s="106"/>
      <c r="RI2370" s="106"/>
      <c r="RJ2370" s="106"/>
      <c r="RK2370" s="106"/>
      <c r="RL2370" s="106"/>
    </row>
    <row r="2371" spans="48:480" x14ac:dyDescent="0.3">
      <c r="AV2371" s="103"/>
      <c r="CJ2371" s="103"/>
      <c r="FP2371" s="103"/>
      <c r="LL2371" s="103"/>
      <c r="NM2371" s="103"/>
      <c r="QT2371" s="106"/>
      <c r="QU2371" s="106"/>
      <c r="QV2371" s="106"/>
      <c r="QW2371" s="106"/>
      <c r="QX2371" s="106"/>
      <c r="QY2371" s="106"/>
      <c r="QZ2371" s="106"/>
      <c r="RA2371" s="106"/>
      <c r="RB2371" s="106"/>
      <c r="RC2371" s="106"/>
      <c r="RD2371" s="106"/>
      <c r="RE2371" s="106"/>
      <c r="RF2371" s="106"/>
      <c r="RG2371" s="106"/>
      <c r="RH2371" s="106"/>
      <c r="RI2371" s="106"/>
      <c r="RJ2371" s="106"/>
      <c r="RK2371" s="106"/>
      <c r="RL2371" s="106"/>
    </row>
    <row r="2372" spans="48:480" x14ac:dyDescent="0.3">
      <c r="AV2372" s="103"/>
      <c r="CJ2372" s="103"/>
      <c r="FP2372" s="103"/>
      <c r="LL2372" s="103"/>
      <c r="NM2372" s="103"/>
      <c r="QT2372" s="106"/>
      <c r="QU2372" s="106"/>
      <c r="QV2372" s="106"/>
      <c r="QW2372" s="106"/>
      <c r="QX2372" s="106"/>
      <c r="QY2372" s="106"/>
      <c r="QZ2372" s="106"/>
      <c r="RA2372" s="106"/>
      <c r="RB2372" s="106"/>
      <c r="RC2372" s="106"/>
      <c r="RD2372" s="106"/>
      <c r="RE2372" s="106"/>
      <c r="RF2372" s="106"/>
      <c r="RG2372" s="106"/>
      <c r="RH2372" s="106"/>
      <c r="RI2372" s="106"/>
      <c r="RJ2372" s="106"/>
      <c r="RK2372" s="106"/>
      <c r="RL2372" s="106"/>
    </row>
    <row r="2373" spans="48:480" x14ac:dyDescent="0.3">
      <c r="AV2373" s="103"/>
      <c r="CJ2373" s="103"/>
      <c r="FP2373" s="103"/>
      <c r="LL2373" s="103"/>
      <c r="NM2373" s="103"/>
      <c r="QT2373" s="106"/>
      <c r="QU2373" s="106"/>
      <c r="QV2373" s="106"/>
      <c r="QW2373" s="106"/>
      <c r="QX2373" s="106"/>
      <c r="QY2373" s="106"/>
      <c r="QZ2373" s="106"/>
      <c r="RA2373" s="106"/>
      <c r="RB2373" s="106"/>
      <c r="RC2373" s="106"/>
      <c r="RD2373" s="106"/>
      <c r="RE2373" s="106"/>
      <c r="RF2373" s="106"/>
      <c r="RG2373" s="106"/>
      <c r="RH2373" s="106"/>
      <c r="RI2373" s="106"/>
      <c r="RJ2373" s="106"/>
      <c r="RK2373" s="106"/>
      <c r="RL2373" s="106"/>
    </row>
    <row r="2374" spans="48:480" x14ac:dyDescent="0.3">
      <c r="AV2374" s="103"/>
      <c r="CJ2374" s="103"/>
      <c r="FP2374" s="103"/>
      <c r="LL2374" s="103"/>
      <c r="NM2374" s="103"/>
      <c r="QT2374" s="106"/>
      <c r="QU2374" s="106"/>
      <c r="QV2374" s="106"/>
      <c r="QW2374" s="106"/>
      <c r="QX2374" s="106"/>
      <c r="QY2374" s="106"/>
      <c r="QZ2374" s="106"/>
      <c r="RA2374" s="106"/>
      <c r="RB2374" s="106"/>
      <c r="RC2374" s="106"/>
      <c r="RD2374" s="106"/>
      <c r="RE2374" s="106"/>
      <c r="RF2374" s="106"/>
      <c r="RG2374" s="106"/>
      <c r="RH2374" s="106"/>
      <c r="RI2374" s="106"/>
      <c r="RJ2374" s="106"/>
      <c r="RK2374" s="106"/>
      <c r="RL2374" s="106"/>
    </row>
    <row r="2375" spans="48:480" x14ac:dyDescent="0.3">
      <c r="AV2375" s="103"/>
      <c r="CJ2375" s="103"/>
      <c r="FP2375" s="103"/>
      <c r="LL2375" s="103"/>
      <c r="NM2375" s="103"/>
      <c r="QT2375" s="106"/>
      <c r="QU2375" s="106"/>
      <c r="QV2375" s="106"/>
      <c r="QW2375" s="106"/>
      <c r="QX2375" s="106"/>
      <c r="QY2375" s="106"/>
      <c r="QZ2375" s="106"/>
      <c r="RA2375" s="106"/>
      <c r="RB2375" s="106"/>
      <c r="RC2375" s="106"/>
      <c r="RD2375" s="106"/>
      <c r="RE2375" s="106"/>
      <c r="RF2375" s="106"/>
      <c r="RG2375" s="106"/>
      <c r="RH2375" s="106"/>
      <c r="RI2375" s="106"/>
      <c r="RJ2375" s="106"/>
      <c r="RK2375" s="106"/>
      <c r="RL2375" s="106"/>
    </row>
    <row r="2376" spans="48:480" x14ac:dyDescent="0.3">
      <c r="AV2376" s="103"/>
      <c r="CJ2376" s="103"/>
      <c r="FP2376" s="103"/>
      <c r="LL2376" s="103"/>
      <c r="NM2376" s="103"/>
      <c r="QT2376" s="106"/>
      <c r="QU2376" s="106"/>
      <c r="QV2376" s="106"/>
      <c r="QW2376" s="106"/>
      <c r="QX2376" s="106"/>
      <c r="QY2376" s="106"/>
      <c r="QZ2376" s="106"/>
      <c r="RA2376" s="106"/>
      <c r="RB2376" s="106"/>
      <c r="RC2376" s="106"/>
      <c r="RD2376" s="106"/>
      <c r="RE2376" s="106"/>
      <c r="RF2376" s="106"/>
      <c r="RG2376" s="106"/>
      <c r="RH2376" s="106"/>
      <c r="RI2376" s="106"/>
      <c r="RJ2376" s="106"/>
      <c r="RK2376" s="106"/>
      <c r="RL2376" s="106"/>
    </row>
    <row r="2377" spans="48:480" x14ac:dyDescent="0.3">
      <c r="AV2377" s="103"/>
      <c r="CJ2377" s="103"/>
      <c r="FP2377" s="103"/>
      <c r="LL2377" s="103"/>
      <c r="NM2377" s="103"/>
      <c r="QT2377" s="106"/>
      <c r="QU2377" s="106"/>
      <c r="QV2377" s="106"/>
      <c r="QW2377" s="106"/>
      <c r="QX2377" s="106"/>
      <c r="QY2377" s="106"/>
      <c r="QZ2377" s="106"/>
      <c r="RA2377" s="106"/>
      <c r="RB2377" s="106"/>
      <c r="RC2377" s="106"/>
      <c r="RD2377" s="106"/>
      <c r="RE2377" s="106"/>
      <c r="RF2377" s="106"/>
      <c r="RG2377" s="106"/>
      <c r="RH2377" s="106"/>
      <c r="RI2377" s="106"/>
      <c r="RJ2377" s="106"/>
      <c r="RK2377" s="106"/>
      <c r="RL2377" s="106"/>
    </row>
    <row r="2378" spans="48:480" x14ac:dyDescent="0.3">
      <c r="AV2378" s="103"/>
      <c r="CJ2378" s="103"/>
      <c r="FP2378" s="103"/>
      <c r="LL2378" s="103"/>
      <c r="NM2378" s="103"/>
      <c r="QT2378" s="106"/>
      <c r="QU2378" s="106"/>
      <c r="QV2378" s="106"/>
      <c r="QW2378" s="106"/>
      <c r="QX2378" s="106"/>
      <c r="QY2378" s="106"/>
      <c r="QZ2378" s="106"/>
      <c r="RA2378" s="106"/>
      <c r="RB2378" s="106"/>
      <c r="RC2378" s="106"/>
      <c r="RD2378" s="106"/>
      <c r="RE2378" s="106"/>
      <c r="RF2378" s="106"/>
      <c r="RG2378" s="106"/>
      <c r="RH2378" s="106"/>
      <c r="RI2378" s="106"/>
      <c r="RJ2378" s="106"/>
      <c r="RK2378" s="106"/>
      <c r="RL2378" s="106"/>
    </row>
    <row r="2379" spans="48:480" x14ac:dyDescent="0.3">
      <c r="AV2379" s="103"/>
      <c r="CJ2379" s="103"/>
      <c r="FP2379" s="103"/>
      <c r="LL2379" s="103"/>
      <c r="NM2379" s="103"/>
      <c r="QT2379" s="106"/>
      <c r="QU2379" s="106"/>
      <c r="QV2379" s="106"/>
      <c r="QW2379" s="106"/>
      <c r="QX2379" s="106"/>
      <c r="QY2379" s="106"/>
      <c r="QZ2379" s="106"/>
      <c r="RA2379" s="106"/>
      <c r="RB2379" s="106"/>
      <c r="RC2379" s="106"/>
      <c r="RD2379" s="106"/>
      <c r="RE2379" s="106"/>
      <c r="RF2379" s="106"/>
      <c r="RG2379" s="106"/>
      <c r="RH2379" s="106"/>
      <c r="RI2379" s="106"/>
      <c r="RJ2379" s="106"/>
      <c r="RK2379" s="106"/>
      <c r="RL2379" s="106"/>
    </row>
    <row r="2380" spans="48:480" x14ac:dyDescent="0.3">
      <c r="AV2380" s="103"/>
      <c r="CJ2380" s="103"/>
      <c r="FP2380" s="103"/>
      <c r="LL2380" s="103"/>
      <c r="NM2380" s="103"/>
      <c r="QT2380" s="106"/>
      <c r="QU2380" s="106"/>
      <c r="QV2380" s="106"/>
      <c r="QW2380" s="106"/>
      <c r="QX2380" s="106"/>
      <c r="QY2380" s="106"/>
      <c r="QZ2380" s="106"/>
      <c r="RA2380" s="106"/>
      <c r="RB2380" s="106"/>
      <c r="RC2380" s="106"/>
      <c r="RD2380" s="106"/>
      <c r="RE2380" s="106"/>
      <c r="RF2380" s="106"/>
      <c r="RG2380" s="106"/>
      <c r="RH2380" s="106"/>
      <c r="RI2380" s="106"/>
      <c r="RJ2380" s="106"/>
      <c r="RK2380" s="106"/>
      <c r="RL2380" s="106"/>
    </row>
    <row r="2381" spans="48:480" x14ac:dyDescent="0.3">
      <c r="AV2381" s="103"/>
      <c r="CJ2381" s="103"/>
      <c r="FP2381" s="103"/>
      <c r="LL2381" s="103"/>
      <c r="NM2381" s="103"/>
      <c r="QT2381" s="106"/>
      <c r="QU2381" s="106"/>
      <c r="QV2381" s="106"/>
      <c r="QW2381" s="106"/>
      <c r="QX2381" s="106"/>
      <c r="QY2381" s="106"/>
      <c r="QZ2381" s="106"/>
      <c r="RA2381" s="106"/>
      <c r="RB2381" s="106"/>
      <c r="RC2381" s="106"/>
      <c r="RD2381" s="106"/>
      <c r="RE2381" s="106"/>
      <c r="RF2381" s="106"/>
      <c r="RG2381" s="106"/>
      <c r="RH2381" s="106"/>
      <c r="RI2381" s="106"/>
      <c r="RJ2381" s="106"/>
      <c r="RK2381" s="106"/>
      <c r="RL2381" s="106"/>
    </row>
    <row r="2382" spans="48:480" x14ac:dyDescent="0.3">
      <c r="AV2382" s="103"/>
      <c r="CJ2382" s="103"/>
      <c r="FP2382" s="103"/>
      <c r="LL2382" s="103"/>
      <c r="NM2382" s="103"/>
      <c r="QT2382" s="106"/>
      <c r="QU2382" s="106"/>
      <c r="QV2382" s="106"/>
      <c r="QW2382" s="106"/>
      <c r="QX2382" s="106"/>
      <c r="QY2382" s="106"/>
      <c r="QZ2382" s="106"/>
      <c r="RA2382" s="106"/>
      <c r="RB2382" s="106"/>
      <c r="RC2382" s="106"/>
      <c r="RD2382" s="106"/>
      <c r="RE2382" s="106"/>
      <c r="RF2382" s="106"/>
      <c r="RG2382" s="106"/>
      <c r="RH2382" s="106"/>
      <c r="RI2382" s="106"/>
      <c r="RJ2382" s="106"/>
      <c r="RK2382" s="106"/>
      <c r="RL2382" s="106"/>
    </row>
    <row r="2383" spans="48:480" x14ac:dyDescent="0.3">
      <c r="AV2383" s="103"/>
      <c r="CJ2383" s="103"/>
      <c r="FP2383" s="103"/>
      <c r="LL2383" s="103"/>
      <c r="NM2383" s="103"/>
      <c r="QT2383" s="106"/>
      <c r="QU2383" s="106"/>
      <c r="QV2383" s="106"/>
      <c r="QW2383" s="106"/>
      <c r="QX2383" s="106"/>
      <c r="QY2383" s="106"/>
      <c r="QZ2383" s="106"/>
      <c r="RA2383" s="106"/>
      <c r="RB2383" s="106"/>
      <c r="RC2383" s="106"/>
      <c r="RD2383" s="106"/>
      <c r="RE2383" s="106"/>
      <c r="RF2383" s="106"/>
      <c r="RG2383" s="106"/>
      <c r="RH2383" s="106"/>
      <c r="RI2383" s="106"/>
      <c r="RJ2383" s="106"/>
      <c r="RK2383" s="106"/>
      <c r="RL2383" s="106"/>
    </row>
    <row r="2384" spans="48:480" x14ac:dyDescent="0.3">
      <c r="AV2384" s="103"/>
      <c r="CJ2384" s="103"/>
      <c r="FP2384" s="103"/>
      <c r="LL2384" s="103"/>
      <c r="NM2384" s="103"/>
      <c r="QT2384" s="106"/>
      <c r="QU2384" s="106"/>
      <c r="QV2384" s="106"/>
      <c r="QW2384" s="106"/>
      <c r="QX2384" s="106"/>
      <c r="QY2384" s="106"/>
      <c r="QZ2384" s="106"/>
      <c r="RA2384" s="106"/>
      <c r="RB2384" s="106"/>
      <c r="RC2384" s="106"/>
      <c r="RD2384" s="106"/>
      <c r="RE2384" s="106"/>
      <c r="RF2384" s="106"/>
      <c r="RG2384" s="106"/>
      <c r="RH2384" s="106"/>
      <c r="RI2384" s="106"/>
      <c r="RJ2384" s="106"/>
      <c r="RK2384" s="106"/>
      <c r="RL2384" s="106"/>
    </row>
    <row r="2385" spans="48:480" x14ac:dyDescent="0.3">
      <c r="AV2385" s="103"/>
      <c r="CJ2385" s="103"/>
      <c r="FP2385" s="103"/>
      <c r="LL2385" s="103"/>
      <c r="NM2385" s="103"/>
      <c r="QT2385" s="106"/>
      <c r="QU2385" s="106"/>
      <c r="QV2385" s="106"/>
      <c r="QW2385" s="106"/>
      <c r="QX2385" s="106"/>
      <c r="QY2385" s="106"/>
      <c r="QZ2385" s="106"/>
      <c r="RA2385" s="106"/>
      <c r="RB2385" s="106"/>
      <c r="RC2385" s="106"/>
      <c r="RD2385" s="106"/>
      <c r="RE2385" s="106"/>
      <c r="RF2385" s="106"/>
      <c r="RG2385" s="106"/>
      <c r="RH2385" s="106"/>
      <c r="RI2385" s="106"/>
      <c r="RJ2385" s="106"/>
      <c r="RK2385" s="106"/>
      <c r="RL2385" s="106"/>
    </row>
    <row r="2386" spans="48:480" x14ac:dyDescent="0.3">
      <c r="AV2386" s="103"/>
      <c r="CJ2386" s="103"/>
      <c r="FP2386" s="103"/>
      <c r="LL2386" s="103"/>
      <c r="NM2386" s="103"/>
      <c r="QT2386" s="106"/>
      <c r="QU2386" s="106"/>
      <c r="QV2386" s="106"/>
      <c r="QW2386" s="106"/>
      <c r="QX2386" s="106"/>
      <c r="QY2386" s="106"/>
      <c r="QZ2386" s="106"/>
      <c r="RA2386" s="106"/>
      <c r="RB2386" s="106"/>
      <c r="RC2386" s="106"/>
      <c r="RD2386" s="106"/>
      <c r="RE2386" s="106"/>
      <c r="RF2386" s="106"/>
      <c r="RG2386" s="106"/>
      <c r="RH2386" s="106"/>
      <c r="RI2386" s="106"/>
      <c r="RJ2386" s="106"/>
      <c r="RK2386" s="106"/>
      <c r="RL2386" s="106"/>
    </row>
    <row r="2387" spans="48:480" x14ac:dyDescent="0.3">
      <c r="AV2387" s="103"/>
      <c r="CJ2387" s="103"/>
      <c r="FP2387" s="103"/>
      <c r="LL2387" s="103"/>
      <c r="NM2387" s="103"/>
      <c r="QT2387" s="106"/>
      <c r="QU2387" s="106"/>
      <c r="QV2387" s="106"/>
      <c r="QW2387" s="106"/>
      <c r="QX2387" s="106"/>
      <c r="QY2387" s="106"/>
      <c r="QZ2387" s="106"/>
      <c r="RA2387" s="106"/>
      <c r="RB2387" s="106"/>
      <c r="RC2387" s="106"/>
      <c r="RD2387" s="106"/>
      <c r="RE2387" s="106"/>
      <c r="RF2387" s="106"/>
      <c r="RG2387" s="106"/>
      <c r="RH2387" s="106"/>
      <c r="RI2387" s="106"/>
      <c r="RJ2387" s="106"/>
      <c r="RK2387" s="106"/>
      <c r="RL2387" s="106"/>
    </row>
    <row r="2388" spans="48:480" x14ac:dyDescent="0.3">
      <c r="AV2388" s="103"/>
      <c r="CJ2388" s="103"/>
      <c r="FP2388" s="103"/>
      <c r="LL2388" s="103"/>
      <c r="NM2388" s="103"/>
      <c r="QT2388" s="106"/>
      <c r="QU2388" s="106"/>
      <c r="QV2388" s="106"/>
      <c r="QW2388" s="106"/>
      <c r="QX2388" s="106"/>
      <c r="QY2388" s="106"/>
      <c r="QZ2388" s="106"/>
      <c r="RA2388" s="106"/>
      <c r="RB2388" s="106"/>
      <c r="RC2388" s="106"/>
      <c r="RD2388" s="106"/>
      <c r="RE2388" s="106"/>
      <c r="RF2388" s="106"/>
      <c r="RG2388" s="106"/>
      <c r="RH2388" s="106"/>
      <c r="RI2388" s="106"/>
      <c r="RJ2388" s="106"/>
      <c r="RK2388" s="106"/>
      <c r="RL2388" s="106"/>
    </row>
    <row r="2389" spans="48:480" x14ac:dyDescent="0.3">
      <c r="AV2389" s="103"/>
      <c r="CJ2389" s="103"/>
      <c r="FP2389" s="103"/>
      <c r="LL2389" s="103"/>
      <c r="NM2389" s="103"/>
      <c r="QT2389" s="106"/>
      <c r="QU2389" s="106"/>
      <c r="QV2389" s="106"/>
      <c r="QW2389" s="106"/>
      <c r="QX2389" s="106"/>
      <c r="QY2389" s="106"/>
      <c r="QZ2389" s="106"/>
      <c r="RA2389" s="106"/>
      <c r="RB2389" s="106"/>
      <c r="RC2389" s="106"/>
      <c r="RD2389" s="106"/>
      <c r="RE2389" s="106"/>
      <c r="RF2389" s="106"/>
      <c r="RG2389" s="106"/>
      <c r="RH2389" s="106"/>
      <c r="RI2389" s="106"/>
      <c r="RJ2389" s="106"/>
      <c r="RK2389" s="106"/>
      <c r="RL2389" s="106"/>
    </row>
    <row r="2390" spans="48:480" x14ac:dyDescent="0.3">
      <c r="AV2390" s="103"/>
      <c r="CJ2390" s="103"/>
      <c r="FP2390" s="103"/>
      <c r="LL2390" s="103"/>
      <c r="NM2390" s="103"/>
      <c r="QT2390" s="106"/>
      <c r="QU2390" s="106"/>
      <c r="QV2390" s="106"/>
      <c r="QW2390" s="106"/>
      <c r="QX2390" s="106"/>
      <c r="QY2390" s="106"/>
      <c r="QZ2390" s="106"/>
      <c r="RA2390" s="106"/>
      <c r="RB2390" s="106"/>
      <c r="RC2390" s="106"/>
      <c r="RD2390" s="106"/>
      <c r="RE2390" s="106"/>
      <c r="RF2390" s="106"/>
      <c r="RG2390" s="106"/>
      <c r="RH2390" s="106"/>
      <c r="RI2390" s="106"/>
      <c r="RJ2390" s="106"/>
      <c r="RK2390" s="106"/>
      <c r="RL2390" s="106"/>
    </row>
    <row r="2391" spans="48:480" x14ac:dyDescent="0.3">
      <c r="AV2391" s="103"/>
      <c r="CJ2391" s="103"/>
      <c r="FP2391" s="103"/>
      <c r="LL2391" s="103"/>
      <c r="NM2391" s="103"/>
      <c r="QT2391" s="106"/>
      <c r="QU2391" s="106"/>
      <c r="QV2391" s="106"/>
      <c r="QW2391" s="106"/>
      <c r="QX2391" s="106"/>
      <c r="QY2391" s="106"/>
      <c r="QZ2391" s="106"/>
      <c r="RA2391" s="106"/>
      <c r="RB2391" s="106"/>
      <c r="RC2391" s="106"/>
      <c r="RD2391" s="106"/>
      <c r="RE2391" s="106"/>
      <c r="RF2391" s="106"/>
      <c r="RG2391" s="106"/>
      <c r="RH2391" s="106"/>
      <c r="RI2391" s="106"/>
      <c r="RJ2391" s="106"/>
      <c r="RK2391" s="106"/>
      <c r="RL2391" s="106"/>
    </row>
    <row r="2392" spans="48:480" x14ac:dyDescent="0.3">
      <c r="AV2392" s="103"/>
      <c r="CJ2392" s="103"/>
      <c r="FP2392" s="103"/>
      <c r="LL2392" s="103"/>
      <c r="NM2392" s="103"/>
      <c r="QT2392" s="106"/>
      <c r="QU2392" s="106"/>
      <c r="QV2392" s="106"/>
      <c r="QW2392" s="106"/>
      <c r="QX2392" s="106"/>
      <c r="QY2392" s="106"/>
      <c r="QZ2392" s="106"/>
      <c r="RA2392" s="106"/>
      <c r="RB2392" s="106"/>
      <c r="RC2392" s="106"/>
      <c r="RD2392" s="106"/>
      <c r="RE2392" s="106"/>
      <c r="RF2392" s="106"/>
      <c r="RG2392" s="106"/>
      <c r="RH2392" s="106"/>
      <c r="RI2392" s="106"/>
      <c r="RJ2392" s="106"/>
      <c r="RK2392" s="106"/>
      <c r="RL2392" s="106"/>
    </row>
    <row r="2393" spans="48:480" x14ac:dyDescent="0.3">
      <c r="AV2393" s="103"/>
      <c r="CJ2393" s="103"/>
      <c r="FP2393" s="103"/>
      <c r="LL2393" s="103"/>
      <c r="NM2393" s="103"/>
      <c r="QT2393" s="106"/>
      <c r="QU2393" s="106"/>
      <c r="QV2393" s="106"/>
      <c r="QW2393" s="106"/>
      <c r="QX2393" s="106"/>
      <c r="QY2393" s="106"/>
      <c r="QZ2393" s="106"/>
      <c r="RA2393" s="106"/>
      <c r="RB2393" s="106"/>
      <c r="RC2393" s="106"/>
      <c r="RD2393" s="106"/>
      <c r="RE2393" s="106"/>
      <c r="RF2393" s="106"/>
      <c r="RG2393" s="106"/>
      <c r="RH2393" s="106"/>
      <c r="RI2393" s="106"/>
      <c r="RJ2393" s="106"/>
      <c r="RK2393" s="106"/>
      <c r="RL2393" s="106"/>
    </row>
    <row r="2394" spans="48:480" x14ac:dyDescent="0.3">
      <c r="AV2394" s="103"/>
      <c r="CJ2394" s="103"/>
      <c r="FP2394" s="103"/>
      <c r="LL2394" s="103"/>
      <c r="NM2394" s="103"/>
      <c r="QT2394" s="106"/>
      <c r="QU2394" s="106"/>
      <c r="QV2394" s="106"/>
      <c r="QW2394" s="106"/>
      <c r="QX2394" s="106"/>
      <c r="QY2394" s="106"/>
      <c r="QZ2394" s="106"/>
      <c r="RA2394" s="106"/>
      <c r="RB2394" s="106"/>
      <c r="RC2394" s="106"/>
      <c r="RD2394" s="106"/>
      <c r="RE2394" s="106"/>
      <c r="RF2394" s="106"/>
      <c r="RG2394" s="106"/>
      <c r="RH2394" s="106"/>
      <c r="RI2394" s="106"/>
      <c r="RJ2394" s="106"/>
      <c r="RK2394" s="106"/>
      <c r="RL2394" s="106"/>
    </row>
    <row r="2395" spans="48:480" x14ac:dyDescent="0.3">
      <c r="AV2395" s="103"/>
      <c r="CJ2395" s="103"/>
      <c r="FP2395" s="103"/>
      <c r="LL2395" s="103"/>
      <c r="NM2395" s="103"/>
      <c r="QT2395" s="106"/>
      <c r="QU2395" s="106"/>
      <c r="QV2395" s="106"/>
      <c r="QW2395" s="106"/>
      <c r="QX2395" s="106"/>
      <c r="QY2395" s="106"/>
      <c r="QZ2395" s="106"/>
      <c r="RA2395" s="106"/>
      <c r="RB2395" s="106"/>
      <c r="RC2395" s="106"/>
      <c r="RD2395" s="106"/>
      <c r="RE2395" s="106"/>
      <c r="RF2395" s="106"/>
      <c r="RG2395" s="106"/>
      <c r="RH2395" s="106"/>
      <c r="RI2395" s="106"/>
      <c r="RJ2395" s="106"/>
      <c r="RK2395" s="106"/>
      <c r="RL2395" s="106"/>
    </row>
    <row r="2396" spans="48:480" x14ac:dyDescent="0.3">
      <c r="AV2396" s="103"/>
      <c r="CJ2396" s="103"/>
      <c r="FP2396" s="103"/>
      <c r="LL2396" s="103"/>
      <c r="NM2396" s="103"/>
      <c r="QT2396" s="106"/>
      <c r="QU2396" s="106"/>
      <c r="QV2396" s="106"/>
      <c r="QW2396" s="106"/>
      <c r="QX2396" s="106"/>
      <c r="QY2396" s="106"/>
      <c r="QZ2396" s="106"/>
      <c r="RA2396" s="106"/>
      <c r="RB2396" s="106"/>
      <c r="RC2396" s="106"/>
      <c r="RD2396" s="106"/>
      <c r="RE2396" s="106"/>
      <c r="RF2396" s="106"/>
      <c r="RG2396" s="106"/>
      <c r="RH2396" s="106"/>
      <c r="RI2396" s="106"/>
      <c r="RJ2396" s="106"/>
      <c r="RK2396" s="106"/>
      <c r="RL2396" s="106"/>
    </row>
    <row r="2397" spans="48:480" x14ac:dyDescent="0.3">
      <c r="AV2397" s="103"/>
      <c r="CJ2397" s="103"/>
      <c r="FP2397" s="103"/>
      <c r="LL2397" s="103"/>
      <c r="NM2397" s="103"/>
      <c r="QT2397" s="106"/>
      <c r="QU2397" s="106"/>
      <c r="QV2397" s="106"/>
      <c r="QW2397" s="106"/>
      <c r="QX2397" s="106"/>
      <c r="QY2397" s="106"/>
      <c r="QZ2397" s="106"/>
      <c r="RA2397" s="106"/>
      <c r="RB2397" s="106"/>
      <c r="RC2397" s="106"/>
      <c r="RD2397" s="106"/>
      <c r="RE2397" s="106"/>
      <c r="RF2397" s="106"/>
      <c r="RG2397" s="106"/>
      <c r="RH2397" s="106"/>
      <c r="RI2397" s="106"/>
      <c r="RJ2397" s="106"/>
      <c r="RK2397" s="106"/>
      <c r="RL2397" s="106"/>
    </row>
    <row r="2398" spans="48:480" x14ac:dyDescent="0.3">
      <c r="AV2398" s="103"/>
      <c r="CJ2398" s="103"/>
      <c r="FP2398" s="103"/>
      <c r="LL2398" s="103"/>
      <c r="NM2398" s="103"/>
      <c r="QT2398" s="106"/>
      <c r="QU2398" s="106"/>
      <c r="QV2398" s="106"/>
      <c r="QW2398" s="106"/>
      <c r="QX2398" s="106"/>
      <c r="QY2398" s="106"/>
      <c r="QZ2398" s="106"/>
      <c r="RA2398" s="106"/>
      <c r="RB2398" s="106"/>
      <c r="RC2398" s="106"/>
      <c r="RD2398" s="106"/>
      <c r="RE2398" s="106"/>
      <c r="RF2398" s="106"/>
      <c r="RG2398" s="106"/>
      <c r="RH2398" s="106"/>
      <c r="RI2398" s="106"/>
      <c r="RJ2398" s="106"/>
      <c r="RK2398" s="106"/>
      <c r="RL2398" s="106"/>
    </row>
    <row r="2399" spans="48:480" x14ac:dyDescent="0.3">
      <c r="AV2399" s="103"/>
      <c r="CJ2399" s="103"/>
      <c r="FP2399" s="103"/>
      <c r="LL2399" s="103"/>
      <c r="NM2399" s="103"/>
      <c r="QT2399" s="106"/>
      <c r="QU2399" s="106"/>
      <c r="QV2399" s="106"/>
      <c r="QW2399" s="106"/>
      <c r="QX2399" s="106"/>
      <c r="QY2399" s="106"/>
      <c r="QZ2399" s="106"/>
      <c r="RA2399" s="106"/>
      <c r="RB2399" s="106"/>
      <c r="RC2399" s="106"/>
      <c r="RD2399" s="106"/>
      <c r="RE2399" s="106"/>
      <c r="RF2399" s="106"/>
      <c r="RG2399" s="106"/>
      <c r="RH2399" s="106"/>
      <c r="RI2399" s="106"/>
      <c r="RJ2399" s="106"/>
      <c r="RK2399" s="106"/>
      <c r="RL2399" s="106"/>
    </row>
    <row r="2400" spans="48:480" x14ac:dyDescent="0.3">
      <c r="AV2400" s="103"/>
      <c r="CJ2400" s="103"/>
      <c r="FP2400" s="103"/>
      <c r="LL2400" s="103"/>
      <c r="NM2400" s="103"/>
      <c r="QT2400" s="106"/>
      <c r="QU2400" s="106"/>
      <c r="QV2400" s="106"/>
      <c r="QW2400" s="106"/>
      <c r="QX2400" s="106"/>
      <c r="QY2400" s="106"/>
      <c r="QZ2400" s="106"/>
      <c r="RA2400" s="106"/>
      <c r="RB2400" s="106"/>
      <c r="RC2400" s="106"/>
      <c r="RD2400" s="106"/>
      <c r="RE2400" s="106"/>
      <c r="RF2400" s="106"/>
      <c r="RG2400" s="106"/>
      <c r="RH2400" s="106"/>
      <c r="RI2400" s="106"/>
      <c r="RJ2400" s="106"/>
      <c r="RK2400" s="106"/>
      <c r="RL2400" s="106"/>
    </row>
    <row r="2401" spans="48:480" x14ac:dyDescent="0.3">
      <c r="AV2401" s="103"/>
      <c r="CJ2401" s="103"/>
      <c r="FP2401" s="103"/>
      <c r="LL2401" s="103"/>
      <c r="NM2401" s="103"/>
      <c r="QT2401" s="106"/>
      <c r="QU2401" s="106"/>
      <c r="QV2401" s="106"/>
      <c r="QW2401" s="106"/>
      <c r="QX2401" s="106"/>
      <c r="QY2401" s="106"/>
      <c r="QZ2401" s="106"/>
      <c r="RA2401" s="106"/>
      <c r="RB2401" s="106"/>
      <c r="RC2401" s="106"/>
      <c r="RD2401" s="106"/>
      <c r="RE2401" s="106"/>
      <c r="RF2401" s="106"/>
      <c r="RG2401" s="106"/>
      <c r="RH2401" s="106"/>
      <c r="RI2401" s="106"/>
      <c r="RJ2401" s="106"/>
      <c r="RK2401" s="106"/>
      <c r="RL2401" s="106"/>
    </row>
    <row r="2402" spans="48:480" x14ac:dyDescent="0.3">
      <c r="AV2402" s="103"/>
      <c r="CJ2402" s="103"/>
      <c r="FP2402" s="103"/>
      <c r="LL2402" s="103"/>
      <c r="NM2402" s="103"/>
      <c r="QT2402" s="106"/>
      <c r="QU2402" s="106"/>
      <c r="QV2402" s="106"/>
      <c r="QW2402" s="106"/>
      <c r="QX2402" s="106"/>
      <c r="QY2402" s="106"/>
      <c r="QZ2402" s="106"/>
      <c r="RA2402" s="106"/>
      <c r="RB2402" s="106"/>
      <c r="RC2402" s="106"/>
      <c r="RD2402" s="106"/>
      <c r="RE2402" s="106"/>
      <c r="RF2402" s="106"/>
      <c r="RG2402" s="106"/>
      <c r="RH2402" s="106"/>
      <c r="RI2402" s="106"/>
      <c r="RJ2402" s="106"/>
      <c r="RK2402" s="106"/>
      <c r="RL2402" s="106"/>
    </row>
    <row r="2403" spans="48:480" x14ac:dyDescent="0.3">
      <c r="AV2403" s="103"/>
      <c r="CJ2403" s="103"/>
      <c r="FP2403" s="103"/>
      <c r="LL2403" s="103"/>
      <c r="NM2403" s="103"/>
      <c r="QT2403" s="106"/>
      <c r="QU2403" s="106"/>
      <c r="QV2403" s="106"/>
      <c r="QW2403" s="106"/>
      <c r="QX2403" s="106"/>
      <c r="QY2403" s="106"/>
      <c r="QZ2403" s="106"/>
      <c r="RA2403" s="106"/>
      <c r="RB2403" s="106"/>
      <c r="RC2403" s="106"/>
      <c r="RD2403" s="106"/>
      <c r="RE2403" s="106"/>
      <c r="RF2403" s="106"/>
      <c r="RG2403" s="106"/>
      <c r="RH2403" s="106"/>
      <c r="RI2403" s="106"/>
      <c r="RJ2403" s="106"/>
      <c r="RK2403" s="106"/>
      <c r="RL2403" s="106"/>
    </row>
    <row r="2404" spans="48:480" x14ac:dyDescent="0.3">
      <c r="AV2404" s="103"/>
      <c r="CJ2404" s="103"/>
      <c r="FP2404" s="103"/>
      <c r="LL2404" s="103"/>
      <c r="NM2404" s="103"/>
      <c r="QT2404" s="106"/>
      <c r="QU2404" s="106"/>
      <c r="QV2404" s="106"/>
      <c r="QW2404" s="106"/>
      <c r="QX2404" s="106"/>
      <c r="QY2404" s="106"/>
      <c r="QZ2404" s="106"/>
      <c r="RA2404" s="106"/>
      <c r="RB2404" s="106"/>
      <c r="RC2404" s="106"/>
      <c r="RD2404" s="106"/>
      <c r="RE2404" s="106"/>
      <c r="RF2404" s="106"/>
      <c r="RG2404" s="106"/>
      <c r="RH2404" s="106"/>
      <c r="RI2404" s="106"/>
      <c r="RJ2404" s="106"/>
      <c r="RK2404" s="106"/>
      <c r="RL2404" s="106"/>
    </row>
    <row r="2405" spans="48:480" x14ac:dyDescent="0.3">
      <c r="AV2405" s="103"/>
      <c r="CJ2405" s="103"/>
      <c r="FP2405" s="103"/>
      <c r="LL2405" s="103"/>
      <c r="NM2405" s="103"/>
      <c r="QT2405" s="106"/>
      <c r="QU2405" s="106"/>
      <c r="QV2405" s="106"/>
      <c r="QW2405" s="106"/>
      <c r="QX2405" s="106"/>
      <c r="QY2405" s="106"/>
      <c r="QZ2405" s="106"/>
      <c r="RA2405" s="106"/>
      <c r="RB2405" s="106"/>
      <c r="RC2405" s="106"/>
      <c r="RD2405" s="106"/>
      <c r="RE2405" s="106"/>
      <c r="RF2405" s="106"/>
      <c r="RG2405" s="106"/>
      <c r="RH2405" s="106"/>
      <c r="RI2405" s="106"/>
      <c r="RJ2405" s="106"/>
      <c r="RK2405" s="106"/>
      <c r="RL2405" s="106"/>
    </row>
    <row r="2406" spans="48:480" x14ac:dyDescent="0.3">
      <c r="AV2406" s="103"/>
      <c r="CJ2406" s="103"/>
      <c r="FP2406" s="103"/>
      <c r="LL2406" s="103"/>
      <c r="NM2406" s="103"/>
      <c r="QT2406" s="106"/>
      <c r="QU2406" s="106"/>
      <c r="QV2406" s="106"/>
      <c r="QW2406" s="106"/>
      <c r="QX2406" s="106"/>
      <c r="QY2406" s="106"/>
      <c r="QZ2406" s="106"/>
      <c r="RA2406" s="106"/>
      <c r="RB2406" s="106"/>
      <c r="RC2406" s="106"/>
      <c r="RD2406" s="106"/>
      <c r="RE2406" s="106"/>
      <c r="RF2406" s="106"/>
      <c r="RG2406" s="106"/>
      <c r="RH2406" s="106"/>
      <c r="RI2406" s="106"/>
      <c r="RJ2406" s="106"/>
      <c r="RK2406" s="106"/>
      <c r="RL2406" s="106"/>
    </row>
    <row r="2407" spans="48:480" x14ac:dyDescent="0.3">
      <c r="AV2407" s="103"/>
      <c r="CJ2407" s="103"/>
      <c r="FP2407" s="103"/>
      <c r="LL2407" s="103"/>
      <c r="NM2407" s="103"/>
      <c r="QT2407" s="106"/>
      <c r="QU2407" s="106"/>
      <c r="QV2407" s="106"/>
      <c r="QW2407" s="106"/>
      <c r="QX2407" s="106"/>
      <c r="QY2407" s="106"/>
      <c r="QZ2407" s="106"/>
      <c r="RA2407" s="106"/>
      <c r="RB2407" s="106"/>
      <c r="RC2407" s="106"/>
      <c r="RD2407" s="106"/>
      <c r="RE2407" s="106"/>
      <c r="RF2407" s="106"/>
      <c r="RG2407" s="106"/>
      <c r="RH2407" s="106"/>
      <c r="RI2407" s="106"/>
      <c r="RJ2407" s="106"/>
      <c r="RK2407" s="106"/>
      <c r="RL2407" s="106"/>
    </row>
    <row r="2408" spans="48:480" x14ac:dyDescent="0.3">
      <c r="AV2408" s="103"/>
      <c r="CJ2408" s="103"/>
      <c r="FP2408" s="103"/>
      <c r="LL2408" s="103"/>
      <c r="NM2408" s="103"/>
      <c r="QT2408" s="106"/>
      <c r="QU2408" s="106"/>
      <c r="QV2408" s="106"/>
      <c r="QW2408" s="106"/>
      <c r="QX2408" s="106"/>
      <c r="QY2408" s="106"/>
      <c r="QZ2408" s="106"/>
      <c r="RA2408" s="106"/>
      <c r="RB2408" s="106"/>
      <c r="RC2408" s="106"/>
      <c r="RD2408" s="106"/>
      <c r="RE2408" s="106"/>
      <c r="RF2408" s="106"/>
      <c r="RG2408" s="106"/>
      <c r="RH2408" s="106"/>
      <c r="RI2408" s="106"/>
      <c r="RJ2408" s="106"/>
      <c r="RK2408" s="106"/>
      <c r="RL2408" s="106"/>
    </row>
    <row r="2409" spans="48:480" x14ac:dyDescent="0.3">
      <c r="AV2409" s="103"/>
      <c r="CJ2409" s="103"/>
      <c r="FP2409" s="103"/>
      <c r="LL2409" s="103"/>
      <c r="NM2409" s="103"/>
      <c r="QT2409" s="106"/>
      <c r="QU2409" s="106"/>
      <c r="QV2409" s="106"/>
      <c r="QW2409" s="106"/>
      <c r="QX2409" s="106"/>
      <c r="QY2409" s="106"/>
      <c r="QZ2409" s="106"/>
      <c r="RA2409" s="106"/>
      <c r="RB2409" s="106"/>
      <c r="RC2409" s="106"/>
      <c r="RD2409" s="106"/>
      <c r="RE2409" s="106"/>
      <c r="RF2409" s="106"/>
      <c r="RG2409" s="106"/>
      <c r="RH2409" s="106"/>
      <c r="RI2409" s="106"/>
      <c r="RJ2409" s="106"/>
      <c r="RK2409" s="106"/>
      <c r="RL2409" s="106"/>
    </row>
    <row r="2410" spans="48:480" x14ac:dyDescent="0.3">
      <c r="AV2410" s="103"/>
      <c r="CJ2410" s="103"/>
      <c r="FP2410" s="103"/>
      <c r="LL2410" s="103"/>
      <c r="NM2410" s="103"/>
      <c r="QT2410" s="106"/>
      <c r="QU2410" s="106"/>
      <c r="QV2410" s="106"/>
      <c r="QW2410" s="106"/>
      <c r="QX2410" s="106"/>
      <c r="QY2410" s="106"/>
      <c r="QZ2410" s="106"/>
      <c r="RA2410" s="106"/>
      <c r="RB2410" s="106"/>
      <c r="RC2410" s="106"/>
      <c r="RD2410" s="106"/>
      <c r="RE2410" s="106"/>
      <c r="RF2410" s="106"/>
      <c r="RG2410" s="106"/>
      <c r="RH2410" s="106"/>
      <c r="RI2410" s="106"/>
      <c r="RJ2410" s="106"/>
      <c r="RK2410" s="106"/>
      <c r="RL2410" s="106"/>
    </row>
    <row r="2411" spans="48:480" x14ac:dyDescent="0.3">
      <c r="AV2411" s="103"/>
      <c r="CJ2411" s="103"/>
      <c r="FP2411" s="103"/>
      <c r="LL2411" s="103"/>
      <c r="NM2411" s="103"/>
      <c r="QT2411" s="106"/>
      <c r="QU2411" s="106"/>
      <c r="QV2411" s="106"/>
      <c r="QW2411" s="106"/>
      <c r="QX2411" s="106"/>
      <c r="QY2411" s="106"/>
      <c r="QZ2411" s="106"/>
      <c r="RA2411" s="106"/>
      <c r="RB2411" s="106"/>
      <c r="RC2411" s="106"/>
      <c r="RD2411" s="106"/>
      <c r="RE2411" s="106"/>
      <c r="RF2411" s="106"/>
      <c r="RG2411" s="106"/>
      <c r="RH2411" s="106"/>
      <c r="RI2411" s="106"/>
      <c r="RJ2411" s="106"/>
      <c r="RK2411" s="106"/>
      <c r="RL2411" s="106"/>
    </row>
    <row r="2412" spans="48:480" x14ac:dyDescent="0.3">
      <c r="AV2412" s="103"/>
      <c r="CJ2412" s="103"/>
      <c r="FP2412" s="103"/>
      <c r="LL2412" s="103"/>
      <c r="NM2412" s="103"/>
      <c r="QT2412" s="106"/>
      <c r="QU2412" s="106"/>
      <c r="QV2412" s="106"/>
      <c r="QW2412" s="106"/>
      <c r="QX2412" s="106"/>
      <c r="QY2412" s="106"/>
      <c r="QZ2412" s="106"/>
      <c r="RA2412" s="106"/>
      <c r="RB2412" s="106"/>
      <c r="RC2412" s="106"/>
      <c r="RD2412" s="106"/>
      <c r="RE2412" s="106"/>
      <c r="RF2412" s="106"/>
      <c r="RG2412" s="106"/>
      <c r="RH2412" s="106"/>
      <c r="RI2412" s="106"/>
      <c r="RJ2412" s="106"/>
      <c r="RK2412" s="106"/>
      <c r="RL2412" s="106"/>
    </row>
    <row r="2413" spans="48:480" x14ac:dyDescent="0.3">
      <c r="AV2413" s="103"/>
      <c r="CJ2413" s="103"/>
      <c r="FP2413" s="103"/>
      <c r="LL2413" s="103"/>
      <c r="NM2413" s="103"/>
      <c r="QT2413" s="106"/>
      <c r="QU2413" s="106"/>
      <c r="QV2413" s="106"/>
      <c r="QW2413" s="106"/>
      <c r="QX2413" s="106"/>
      <c r="QY2413" s="106"/>
      <c r="QZ2413" s="106"/>
      <c r="RA2413" s="106"/>
      <c r="RB2413" s="106"/>
      <c r="RC2413" s="106"/>
      <c r="RD2413" s="106"/>
      <c r="RE2413" s="106"/>
      <c r="RF2413" s="106"/>
      <c r="RG2413" s="106"/>
      <c r="RH2413" s="106"/>
      <c r="RI2413" s="106"/>
      <c r="RJ2413" s="106"/>
      <c r="RK2413" s="106"/>
      <c r="RL2413" s="106"/>
    </row>
    <row r="2414" spans="48:480" x14ac:dyDescent="0.3">
      <c r="AV2414" s="103"/>
      <c r="CJ2414" s="103"/>
      <c r="FP2414" s="103"/>
      <c r="LL2414" s="103"/>
      <c r="NM2414" s="103"/>
      <c r="QT2414" s="106"/>
      <c r="QU2414" s="106"/>
      <c r="QV2414" s="106"/>
      <c r="QW2414" s="106"/>
      <c r="QX2414" s="106"/>
      <c r="QY2414" s="106"/>
      <c r="QZ2414" s="106"/>
      <c r="RA2414" s="106"/>
      <c r="RB2414" s="106"/>
      <c r="RC2414" s="106"/>
      <c r="RD2414" s="106"/>
      <c r="RE2414" s="106"/>
      <c r="RF2414" s="106"/>
      <c r="RG2414" s="106"/>
      <c r="RH2414" s="106"/>
      <c r="RI2414" s="106"/>
      <c r="RJ2414" s="106"/>
      <c r="RK2414" s="106"/>
      <c r="RL2414" s="106"/>
    </row>
    <row r="2415" spans="48:480" x14ac:dyDescent="0.3">
      <c r="AV2415" s="103"/>
      <c r="CJ2415" s="103"/>
      <c r="FP2415" s="103"/>
      <c r="LL2415" s="103"/>
      <c r="NM2415" s="103"/>
      <c r="QT2415" s="106"/>
      <c r="QU2415" s="106"/>
      <c r="QV2415" s="106"/>
      <c r="QW2415" s="106"/>
      <c r="QX2415" s="106"/>
      <c r="QY2415" s="106"/>
      <c r="QZ2415" s="106"/>
      <c r="RA2415" s="106"/>
      <c r="RB2415" s="106"/>
      <c r="RC2415" s="106"/>
      <c r="RD2415" s="106"/>
      <c r="RE2415" s="106"/>
      <c r="RF2415" s="106"/>
      <c r="RG2415" s="106"/>
      <c r="RH2415" s="106"/>
      <c r="RI2415" s="106"/>
      <c r="RJ2415" s="106"/>
      <c r="RK2415" s="106"/>
      <c r="RL2415" s="106"/>
    </row>
    <row r="2416" spans="48:480" x14ac:dyDescent="0.3">
      <c r="AV2416" s="103"/>
      <c r="CJ2416" s="103"/>
      <c r="FP2416" s="103"/>
      <c r="LL2416" s="103"/>
      <c r="NM2416" s="103"/>
      <c r="QT2416" s="106"/>
      <c r="QU2416" s="106"/>
      <c r="QV2416" s="106"/>
      <c r="QW2416" s="106"/>
      <c r="QX2416" s="106"/>
      <c r="QY2416" s="106"/>
      <c r="QZ2416" s="106"/>
      <c r="RA2416" s="106"/>
      <c r="RB2416" s="106"/>
      <c r="RC2416" s="106"/>
      <c r="RD2416" s="106"/>
      <c r="RE2416" s="106"/>
      <c r="RF2416" s="106"/>
      <c r="RG2416" s="106"/>
      <c r="RH2416" s="106"/>
      <c r="RI2416" s="106"/>
      <c r="RJ2416" s="106"/>
      <c r="RK2416" s="106"/>
      <c r="RL2416" s="106"/>
    </row>
    <row r="2417" spans="48:480" x14ac:dyDescent="0.3">
      <c r="AV2417" s="103"/>
      <c r="CJ2417" s="103"/>
      <c r="FP2417" s="103"/>
      <c r="LL2417" s="103"/>
      <c r="NM2417" s="103"/>
      <c r="QT2417" s="106"/>
      <c r="QU2417" s="106"/>
      <c r="QV2417" s="106"/>
      <c r="QW2417" s="106"/>
      <c r="QX2417" s="106"/>
      <c r="QY2417" s="106"/>
      <c r="QZ2417" s="106"/>
      <c r="RA2417" s="106"/>
      <c r="RB2417" s="106"/>
      <c r="RC2417" s="106"/>
      <c r="RD2417" s="106"/>
      <c r="RE2417" s="106"/>
      <c r="RF2417" s="106"/>
      <c r="RG2417" s="106"/>
      <c r="RH2417" s="106"/>
      <c r="RI2417" s="106"/>
      <c r="RJ2417" s="106"/>
      <c r="RK2417" s="106"/>
      <c r="RL2417" s="106"/>
    </row>
    <row r="2418" spans="48:480" x14ac:dyDescent="0.3">
      <c r="AV2418" s="103"/>
      <c r="CJ2418" s="103"/>
      <c r="FP2418" s="103"/>
      <c r="LL2418" s="103"/>
      <c r="NM2418" s="103"/>
      <c r="QT2418" s="106"/>
      <c r="QU2418" s="106"/>
      <c r="QV2418" s="106"/>
      <c r="QW2418" s="106"/>
      <c r="QX2418" s="106"/>
      <c r="QY2418" s="106"/>
      <c r="QZ2418" s="106"/>
      <c r="RA2418" s="106"/>
      <c r="RB2418" s="106"/>
      <c r="RC2418" s="106"/>
      <c r="RD2418" s="106"/>
      <c r="RE2418" s="106"/>
      <c r="RF2418" s="106"/>
      <c r="RG2418" s="106"/>
      <c r="RH2418" s="106"/>
      <c r="RI2418" s="106"/>
      <c r="RJ2418" s="106"/>
      <c r="RK2418" s="106"/>
      <c r="RL2418" s="106"/>
    </row>
    <row r="2419" spans="48:480" x14ac:dyDescent="0.3">
      <c r="AV2419" s="103"/>
      <c r="CJ2419" s="103"/>
      <c r="FP2419" s="103"/>
      <c r="LL2419" s="103"/>
      <c r="NM2419" s="103"/>
      <c r="QT2419" s="106"/>
      <c r="QU2419" s="106"/>
      <c r="QV2419" s="106"/>
      <c r="QW2419" s="106"/>
      <c r="QX2419" s="106"/>
      <c r="QY2419" s="106"/>
      <c r="QZ2419" s="106"/>
      <c r="RA2419" s="106"/>
      <c r="RB2419" s="106"/>
      <c r="RC2419" s="106"/>
      <c r="RD2419" s="106"/>
      <c r="RE2419" s="106"/>
      <c r="RF2419" s="106"/>
      <c r="RG2419" s="106"/>
      <c r="RH2419" s="106"/>
      <c r="RI2419" s="106"/>
      <c r="RJ2419" s="106"/>
      <c r="RK2419" s="106"/>
      <c r="RL2419" s="106"/>
    </row>
    <row r="2420" spans="48:480" x14ac:dyDescent="0.3">
      <c r="AV2420" s="103"/>
      <c r="CJ2420" s="103"/>
      <c r="FP2420" s="103"/>
      <c r="LL2420" s="103"/>
      <c r="NM2420" s="103"/>
      <c r="QT2420" s="106"/>
      <c r="QU2420" s="106"/>
      <c r="QV2420" s="106"/>
      <c r="QW2420" s="106"/>
      <c r="QX2420" s="106"/>
      <c r="QY2420" s="106"/>
      <c r="QZ2420" s="106"/>
      <c r="RA2420" s="106"/>
      <c r="RB2420" s="106"/>
      <c r="RC2420" s="106"/>
      <c r="RD2420" s="106"/>
      <c r="RE2420" s="106"/>
      <c r="RF2420" s="106"/>
      <c r="RG2420" s="106"/>
      <c r="RH2420" s="106"/>
      <c r="RI2420" s="106"/>
      <c r="RJ2420" s="106"/>
      <c r="RK2420" s="106"/>
      <c r="RL2420" s="106"/>
    </row>
    <row r="2421" spans="48:480" x14ac:dyDescent="0.3">
      <c r="AV2421" s="103"/>
      <c r="CJ2421" s="103"/>
      <c r="FP2421" s="103"/>
      <c r="LL2421" s="103"/>
      <c r="NM2421" s="103"/>
      <c r="QT2421" s="106"/>
      <c r="QU2421" s="106"/>
      <c r="QV2421" s="106"/>
      <c r="QW2421" s="106"/>
      <c r="QX2421" s="106"/>
      <c r="QY2421" s="106"/>
      <c r="QZ2421" s="106"/>
      <c r="RA2421" s="106"/>
      <c r="RB2421" s="106"/>
      <c r="RC2421" s="106"/>
      <c r="RD2421" s="106"/>
      <c r="RE2421" s="106"/>
      <c r="RF2421" s="106"/>
      <c r="RG2421" s="106"/>
      <c r="RH2421" s="106"/>
      <c r="RI2421" s="106"/>
      <c r="RJ2421" s="106"/>
      <c r="RK2421" s="106"/>
      <c r="RL2421" s="106"/>
    </row>
    <row r="2422" spans="48:480" x14ac:dyDescent="0.3">
      <c r="AV2422" s="103"/>
      <c r="CJ2422" s="103"/>
      <c r="FP2422" s="103"/>
      <c r="LL2422" s="103"/>
      <c r="NM2422" s="103"/>
      <c r="QT2422" s="106"/>
      <c r="QU2422" s="106"/>
      <c r="QV2422" s="106"/>
      <c r="QW2422" s="106"/>
      <c r="QX2422" s="106"/>
      <c r="QY2422" s="106"/>
      <c r="QZ2422" s="106"/>
      <c r="RA2422" s="106"/>
      <c r="RB2422" s="106"/>
      <c r="RC2422" s="106"/>
      <c r="RD2422" s="106"/>
      <c r="RE2422" s="106"/>
      <c r="RF2422" s="106"/>
      <c r="RG2422" s="106"/>
      <c r="RH2422" s="106"/>
      <c r="RI2422" s="106"/>
      <c r="RJ2422" s="106"/>
      <c r="RK2422" s="106"/>
      <c r="RL2422" s="106"/>
    </row>
    <row r="2423" spans="48:480" x14ac:dyDescent="0.3">
      <c r="AV2423" s="103"/>
      <c r="CJ2423" s="103"/>
      <c r="FP2423" s="103"/>
      <c r="LL2423" s="103"/>
      <c r="NM2423" s="103"/>
      <c r="QT2423" s="106"/>
      <c r="QU2423" s="106"/>
      <c r="QV2423" s="106"/>
      <c r="QW2423" s="106"/>
      <c r="QX2423" s="106"/>
      <c r="QY2423" s="106"/>
      <c r="QZ2423" s="106"/>
      <c r="RA2423" s="106"/>
      <c r="RB2423" s="106"/>
      <c r="RC2423" s="106"/>
      <c r="RD2423" s="106"/>
      <c r="RE2423" s="106"/>
      <c r="RF2423" s="106"/>
      <c r="RG2423" s="106"/>
      <c r="RH2423" s="106"/>
      <c r="RI2423" s="106"/>
      <c r="RJ2423" s="106"/>
      <c r="RK2423" s="106"/>
      <c r="RL2423" s="106"/>
    </row>
    <row r="2424" spans="48:480" x14ac:dyDescent="0.3">
      <c r="AV2424" s="103"/>
      <c r="CJ2424" s="103"/>
      <c r="FP2424" s="103"/>
      <c r="LL2424" s="103"/>
      <c r="NM2424" s="103"/>
      <c r="QT2424" s="106"/>
      <c r="QU2424" s="106"/>
      <c r="QV2424" s="106"/>
      <c r="QW2424" s="106"/>
      <c r="QX2424" s="106"/>
      <c r="QY2424" s="106"/>
      <c r="QZ2424" s="106"/>
      <c r="RA2424" s="106"/>
      <c r="RB2424" s="106"/>
      <c r="RC2424" s="106"/>
      <c r="RD2424" s="106"/>
      <c r="RE2424" s="106"/>
      <c r="RF2424" s="106"/>
      <c r="RG2424" s="106"/>
      <c r="RH2424" s="106"/>
      <c r="RI2424" s="106"/>
      <c r="RJ2424" s="106"/>
      <c r="RK2424" s="106"/>
      <c r="RL2424" s="106"/>
    </row>
    <row r="2425" spans="48:480" x14ac:dyDescent="0.3">
      <c r="AV2425" s="103"/>
      <c r="CJ2425" s="103"/>
      <c r="FP2425" s="103"/>
      <c r="LL2425" s="103"/>
      <c r="NM2425" s="103"/>
      <c r="QT2425" s="106"/>
      <c r="QU2425" s="106"/>
      <c r="QV2425" s="106"/>
      <c r="QW2425" s="106"/>
      <c r="QX2425" s="106"/>
      <c r="QY2425" s="106"/>
      <c r="QZ2425" s="106"/>
      <c r="RA2425" s="106"/>
      <c r="RB2425" s="106"/>
      <c r="RC2425" s="106"/>
      <c r="RD2425" s="106"/>
      <c r="RE2425" s="106"/>
      <c r="RF2425" s="106"/>
      <c r="RG2425" s="106"/>
      <c r="RH2425" s="106"/>
      <c r="RI2425" s="106"/>
      <c r="RJ2425" s="106"/>
      <c r="RK2425" s="106"/>
      <c r="RL2425" s="106"/>
    </row>
    <row r="2426" spans="48:480" x14ac:dyDescent="0.3">
      <c r="AV2426" s="103"/>
      <c r="CJ2426" s="103"/>
      <c r="FP2426" s="103"/>
      <c r="LL2426" s="103"/>
      <c r="NM2426" s="103"/>
      <c r="QT2426" s="106"/>
      <c r="QU2426" s="106"/>
      <c r="QV2426" s="106"/>
      <c r="QW2426" s="106"/>
      <c r="QX2426" s="106"/>
      <c r="QY2426" s="106"/>
      <c r="QZ2426" s="106"/>
      <c r="RA2426" s="106"/>
      <c r="RB2426" s="106"/>
      <c r="RC2426" s="106"/>
      <c r="RD2426" s="106"/>
      <c r="RE2426" s="106"/>
      <c r="RF2426" s="106"/>
      <c r="RG2426" s="106"/>
      <c r="RH2426" s="106"/>
      <c r="RI2426" s="106"/>
      <c r="RJ2426" s="106"/>
      <c r="RK2426" s="106"/>
      <c r="RL2426" s="106"/>
    </row>
    <row r="2427" spans="48:480" x14ac:dyDescent="0.3">
      <c r="AV2427" s="103"/>
      <c r="CJ2427" s="103"/>
      <c r="FP2427" s="103"/>
      <c r="LL2427" s="103"/>
      <c r="NM2427" s="103"/>
      <c r="QT2427" s="106"/>
      <c r="QU2427" s="106"/>
      <c r="QV2427" s="106"/>
      <c r="QW2427" s="106"/>
      <c r="QX2427" s="106"/>
      <c r="QY2427" s="106"/>
      <c r="QZ2427" s="106"/>
      <c r="RA2427" s="106"/>
      <c r="RB2427" s="106"/>
      <c r="RC2427" s="106"/>
      <c r="RD2427" s="106"/>
      <c r="RE2427" s="106"/>
      <c r="RF2427" s="106"/>
      <c r="RG2427" s="106"/>
      <c r="RH2427" s="106"/>
      <c r="RI2427" s="106"/>
      <c r="RJ2427" s="106"/>
      <c r="RK2427" s="106"/>
      <c r="RL2427" s="106"/>
    </row>
    <row r="2428" spans="48:480" x14ac:dyDescent="0.3">
      <c r="AV2428" s="103"/>
      <c r="CJ2428" s="103"/>
      <c r="FP2428" s="103"/>
      <c r="LL2428" s="103"/>
      <c r="NM2428" s="103"/>
      <c r="QT2428" s="106"/>
      <c r="QU2428" s="106"/>
      <c r="QV2428" s="106"/>
      <c r="QW2428" s="106"/>
      <c r="QX2428" s="106"/>
      <c r="QY2428" s="106"/>
      <c r="QZ2428" s="106"/>
      <c r="RA2428" s="106"/>
      <c r="RB2428" s="106"/>
      <c r="RC2428" s="106"/>
      <c r="RD2428" s="106"/>
      <c r="RE2428" s="106"/>
      <c r="RF2428" s="106"/>
      <c r="RG2428" s="106"/>
      <c r="RH2428" s="106"/>
      <c r="RI2428" s="106"/>
      <c r="RJ2428" s="106"/>
      <c r="RK2428" s="106"/>
      <c r="RL2428" s="106"/>
    </row>
    <row r="2429" spans="48:480" x14ac:dyDescent="0.3">
      <c r="AV2429" s="103"/>
      <c r="CJ2429" s="103"/>
      <c r="FP2429" s="103"/>
      <c r="LL2429" s="103"/>
      <c r="NM2429" s="103"/>
      <c r="QT2429" s="106"/>
      <c r="QU2429" s="106"/>
      <c r="QV2429" s="106"/>
      <c r="QW2429" s="106"/>
      <c r="QX2429" s="106"/>
      <c r="QY2429" s="106"/>
      <c r="QZ2429" s="106"/>
      <c r="RA2429" s="106"/>
      <c r="RB2429" s="106"/>
      <c r="RC2429" s="106"/>
      <c r="RD2429" s="106"/>
      <c r="RE2429" s="106"/>
      <c r="RF2429" s="106"/>
      <c r="RG2429" s="106"/>
      <c r="RH2429" s="106"/>
      <c r="RI2429" s="106"/>
      <c r="RJ2429" s="106"/>
      <c r="RK2429" s="106"/>
      <c r="RL2429" s="106"/>
    </row>
    <row r="2430" spans="48:480" x14ac:dyDescent="0.3">
      <c r="AV2430" s="103"/>
      <c r="CJ2430" s="103"/>
      <c r="FP2430" s="103"/>
      <c r="LL2430" s="103"/>
      <c r="NM2430" s="103"/>
      <c r="QT2430" s="106"/>
      <c r="QU2430" s="106"/>
      <c r="QV2430" s="106"/>
      <c r="QW2430" s="106"/>
      <c r="QX2430" s="106"/>
      <c r="QY2430" s="106"/>
      <c r="QZ2430" s="106"/>
      <c r="RA2430" s="106"/>
      <c r="RB2430" s="106"/>
      <c r="RC2430" s="106"/>
      <c r="RD2430" s="106"/>
      <c r="RE2430" s="106"/>
      <c r="RF2430" s="106"/>
      <c r="RG2430" s="106"/>
      <c r="RH2430" s="106"/>
      <c r="RI2430" s="106"/>
      <c r="RJ2430" s="106"/>
      <c r="RK2430" s="106"/>
      <c r="RL2430" s="106"/>
    </row>
    <row r="2431" spans="48:480" x14ac:dyDescent="0.3">
      <c r="AV2431" s="103"/>
      <c r="CJ2431" s="103"/>
      <c r="FP2431" s="103"/>
      <c r="LL2431" s="103"/>
      <c r="NM2431" s="103"/>
      <c r="QT2431" s="106"/>
      <c r="QU2431" s="106"/>
      <c r="QV2431" s="106"/>
      <c r="QW2431" s="106"/>
      <c r="QX2431" s="106"/>
      <c r="QY2431" s="106"/>
      <c r="QZ2431" s="106"/>
      <c r="RA2431" s="106"/>
      <c r="RB2431" s="106"/>
      <c r="RC2431" s="106"/>
      <c r="RD2431" s="106"/>
      <c r="RE2431" s="106"/>
      <c r="RF2431" s="106"/>
      <c r="RG2431" s="106"/>
      <c r="RH2431" s="106"/>
      <c r="RI2431" s="106"/>
      <c r="RJ2431" s="106"/>
      <c r="RK2431" s="106"/>
      <c r="RL2431" s="106"/>
    </row>
    <row r="2432" spans="48:480" x14ac:dyDescent="0.3">
      <c r="AV2432" s="103"/>
      <c r="CJ2432" s="103"/>
      <c r="FP2432" s="103"/>
      <c r="LL2432" s="103"/>
      <c r="NM2432" s="103"/>
      <c r="QT2432" s="106"/>
      <c r="QU2432" s="106"/>
      <c r="QV2432" s="106"/>
      <c r="QW2432" s="106"/>
      <c r="QX2432" s="106"/>
      <c r="QY2432" s="106"/>
      <c r="QZ2432" s="106"/>
      <c r="RA2432" s="106"/>
      <c r="RB2432" s="106"/>
      <c r="RC2432" s="106"/>
      <c r="RD2432" s="106"/>
      <c r="RE2432" s="106"/>
      <c r="RF2432" s="106"/>
      <c r="RG2432" s="106"/>
      <c r="RH2432" s="106"/>
      <c r="RI2432" s="106"/>
      <c r="RJ2432" s="106"/>
      <c r="RK2432" s="106"/>
      <c r="RL2432" s="106"/>
    </row>
    <row r="2433" spans="48:480" x14ac:dyDescent="0.3">
      <c r="AV2433" s="103"/>
      <c r="CJ2433" s="103"/>
      <c r="FP2433" s="103"/>
      <c r="LL2433" s="103"/>
      <c r="NM2433" s="103"/>
      <c r="QT2433" s="106"/>
      <c r="QU2433" s="106"/>
      <c r="QV2433" s="106"/>
      <c r="QW2433" s="106"/>
      <c r="QX2433" s="106"/>
      <c r="QY2433" s="106"/>
      <c r="QZ2433" s="106"/>
      <c r="RA2433" s="106"/>
      <c r="RB2433" s="106"/>
      <c r="RC2433" s="106"/>
      <c r="RD2433" s="106"/>
      <c r="RE2433" s="106"/>
      <c r="RF2433" s="106"/>
      <c r="RG2433" s="106"/>
      <c r="RH2433" s="106"/>
      <c r="RI2433" s="106"/>
      <c r="RJ2433" s="106"/>
      <c r="RK2433" s="106"/>
      <c r="RL2433" s="106"/>
    </row>
    <row r="2434" spans="48:480" x14ac:dyDescent="0.3">
      <c r="AV2434" s="103"/>
      <c r="CJ2434" s="103"/>
      <c r="FP2434" s="103"/>
      <c r="LL2434" s="103"/>
      <c r="NM2434" s="103"/>
      <c r="QT2434" s="106"/>
      <c r="QU2434" s="106"/>
      <c r="QV2434" s="106"/>
      <c r="QW2434" s="106"/>
      <c r="QX2434" s="106"/>
      <c r="QY2434" s="106"/>
      <c r="QZ2434" s="106"/>
      <c r="RA2434" s="106"/>
      <c r="RB2434" s="106"/>
      <c r="RC2434" s="106"/>
      <c r="RD2434" s="106"/>
      <c r="RE2434" s="106"/>
      <c r="RF2434" s="106"/>
      <c r="RG2434" s="106"/>
      <c r="RH2434" s="106"/>
      <c r="RI2434" s="106"/>
      <c r="RJ2434" s="106"/>
      <c r="RK2434" s="106"/>
      <c r="RL2434" s="106"/>
    </row>
    <row r="2435" spans="48:480" x14ac:dyDescent="0.3">
      <c r="AV2435" s="103"/>
      <c r="CJ2435" s="103"/>
      <c r="FP2435" s="103"/>
      <c r="LL2435" s="103"/>
      <c r="NM2435" s="103"/>
      <c r="QT2435" s="106"/>
      <c r="QU2435" s="106"/>
      <c r="QV2435" s="106"/>
      <c r="QW2435" s="106"/>
      <c r="QX2435" s="106"/>
      <c r="QY2435" s="106"/>
      <c r="QZ2435" s="106"/>
      <c r="RA2435" s="106"/>
      <c r="RB2435" s="106"/>
      <c r="RC2435" s="106"/>
      <c r="RD2435" s="106"/>
      <c r="RE2435" s="106"/>
      <c r="RF2435" s="106"/>
      <c r="RG2435" s="106"/>
      <c r="RH2435" s="106"/>
      <c r="RI2435" s="106"/>
      <c r="RJ2435" s="106"/>
      <c r="RK2435" s="106"/>
      <c r="RL2435" s="106"/>
    </row>
    <row r="2436" spans="48:480" x14ac:dyDescent="0.3">
      <c r="AV2436" s="103"/>
      <c r="CJ2436" s="103"/>
      <c r="FP2436" s="103"/>
      <c r="LL2436" s="103"/>
      <c r="NM2436" s="103"/>
      <c r="QT2436" s="106"/>
      <c r="QU2436" s="106"/>
      <c r="QV2436" s="106"/>
      <c r="QW2436" s="106"/>
      <c r="QX2436" s="106"/>
      <c r="QY2436" s="106"/>
      <c r="QZ2436" s="106"/>
      <c r="RA2436" s="106"/>
      <c r="RB2436" s="106"/>
      <c r="RC2436" s="106"/>
      <c r="RD2436" s="106"/>
      <c r="RE2436" s="106"/>
      <c r="RF2436" s="106"/>
      <c r="RG2436" s="106"/>
      <c r="RH2436" s="106"/>
      <c r="RI2436" s="106"/>
      <c r="RJ2436" s="106"/>
      <c r="RK2436" s="106"/>
      <c r="RL2436" s="106"/>
    </row>
    <row r="2437" spans="48:480" x14ac:dyDescent="0.3">
      <c r="AV2437" s="103"/>
      <c r="CJ2437" s="103"/>
      <c r="FP2437" s="103"/>
      <c r="LL2437" s="103"/>
      <c r="NM2437" s="103"/>
      <c r="QT2437" s="106"/>
      <c r="QU2437" s="106"/>
      <c r="QV2437" s="106"/>
      <c r="QW2437" s="106"/>
      <c r="QX2437" s="106"/>
      <c r="QY2437" s="106"/>
      <c r="QZ2437" s="106"/>
      <c r="RA2437" s="106"/>
      <c r="RB2437" s="106"/>
      <c r="RC2437" s="106"/>
      <c r="RD2437" s="106"/>
      <c r="RE2437" s="106"/>
      <c r="RF2437" s="106"/>
      <c r="RG2437" s="106"/>
      <c r="RH2437" s="106"/>
      <c r="RI2437" s="106"/>
      <c r="RJ2437" s="106"/>
      <c r="RK2437" s="106"/>
      <c r="RL2437" s="106"/>
    </row>
    <row r="2438" spans="48:480" x14ac:dyDescent="0.3">
      <c r="AV2438" s="103"/>
      <c r="CJ2438" s="103"/>
      <c r="FP2438" s="103"/>
      <c r="LL2438" s="103"/>
      <c r="NM2438" s="103"/>
      <c r="QT2438" s="106"/>
      <c r="QU2438" s="106"/>
      <c r="QV2438" s="106"/>
      <c r="QW2438" s="106"/>
      <c r="QX2438" s="106"/>
      <c r="QY2438" s="106"/>
      <c r="QZ2438" s="106"/>
      <c r="RA2438" s="106"/>
      <c r="RB2438" s="106"/>
      <c r="RC2438" s="106"/>
      <c r="RD2438" s="106"/>
      <c r="RE2438" s="106"/>
      <c r="RF2438" s="106"/>
      <c r="RG2438" s="106"/>
      <c r="RH2438" s="106"/>
      <c r="RI2438" s="106"/>
      <c r="RJ2438" s="106"/>
      <c r="RK2438" s="106"/>
      <c r="RL2438" s="106"/>
    </row>
    <row r="2439" spans="48:480" x14ac:dyDescent="0.3">
      <c r="AV2439" s="103"/>
      <c r="CJ2439" s="103"/>
      <c r="FP2439" s="103"/>
      <c r="LL2439" s="103"/>
      <c r="NM2439" s="103"/>
      <c r="QT2439" s="106"/>
      <c r="QU2439" s="106"/>
      <c r="QV2439" s="106"/>
      <c r="QW2439" s="106"/>
      <c r="QX2439" s="106"/>
      <c r="QY2439" s="106"/>
      <c r="QZ2439" s="106"/>
      <c r="RA2439" s="106"/>
      <c r="RB2439" s="106"/>
      <c r="RC2439" s="106"/>
      <c r="RD2439" s="106"/>
      <c r="RE2439" s="106"/>
      <c r="RF2439" s="106"/>
      <c r="RG2439" s="106"/>
      <c r="RH2439" s="106"/>
      <c r="RI2439" s="106"/>
      <c r="RJ2439" s="106"/>
      <c r="RK2439" s="106"/>
      <c r="RL2439" s="106"/>
    </row>
    <row r="2440" spans="48:480" x14ac:dyDescent="0.3">
      <c r="AV2440" s="103"/>
      <c r="CJ2440" s="103"/>
      <c r="FP2440" s="103"/>
      <c r="LL2440" s="103"/>
      <c r="NM2440" s="103"/>
      <c r="QT2440" s="106"/>
      <c r="QU2440" s="106"/>
      <c r="QV2440" s="106"/>
      <c r="QW2440" s="106"/>
      <c r="QX2440" s="106"/>
      <c r="QY2440" s="106"/>
      <c r="QZ2440" s="106"/>
      <c r="RA2440" s="106"/>
      <c r="RB2440" s="106"/>
      <c r="RC2440" s="106"/>
      <c r="RD2440" s="106"/>
      <c r="RE2440" s="106"/>
      <c r="RF2440" s="106"/>
      <c r="RG2440" s="106"/>
      <c r="RH2440" s="106"/>
      <c r="RI2440" s="106"/>
      <c r="RJ2440" s="106"/>
      <c r="RK2440" s="106"/>
      <c r="RL2440" s="106"/>
    </row>
    <row r="2441" spans="48:480" x14ac:dyDescent="0.3">
      <c r="AV2441" s="103"/>
      <c r="CJ2441" s="103"/>
      <c r="FP2441" s="103"/>
      <c r="LL2441" s="103"/>
      <c r="NM2441" s="103"/>
      <c r="QT2441" s="106"/>
      <c r="QU2441" s="106"/>
      <c r="QV2441" s="106"/>
      <c r="QW2441" s="106"/>
      <c r="QX2441" s="106"/>
      <c r="QY2441" s="106"/>
      <c r="QZ2441" s="106"/>
      <c r="RA2441" s="106"/>
      <c r="RB2441" s="106"/>
      <c r="RC2441" s="106"/>
      <c r="RD2441" s="106"/>
      <c r="RE2441" s="106"/>
      <c r="RF2441" s="106"/>
      <c r="RG2441" s="106"/>
      <c r="RH2441" s="106"/>
      <c r="RI2441" s="106"/>
      <c r="RJ2441" s="106"/>
      <c r="RK2441" s="106"/>
      <c r="RL2441" s="106"/>
    </row>
    <row r="2442" spans="48:480" x14ac:dyDescent="0.3">
      <c r="AV2442" s="103"/>
      <c r="CJ2442" s="103"/>
      <c r="FP2442" s="103"/>
      <c r="LL2442" s="103"/>
      <c r="NM2442" s="103"/>
      <c r="QT2442" s="106"/>
      <c r="QU2442" s="106"/>
      <c r="QV2442" s="106"/>
      <c r="QW2442" s="106"/>
      <c r="QX2442" s="106"/>
      <c r="QY2442" s="106"/>
      <c r="QZ2442" s="106"/>
      <c r="RA2442" s="106"/>
      <c r="RB2442" s="106"/>
      <c r="RC2442" s="106"/>
      <c r="RD2442" s="106"/>
      <c r="RE2442" s="106"/>
      <c r="RF2442" s="106"/>
      <c r="RG2442" s="106"/>
      <c r="RH2442" s="106"/>
      <c r="RI2442" s="106"/>
      <c r="RJ2442" s="106"/>
      <c r="RK2442" s="106"/>
      <c r="RL2442" s="106"/>
    </row>
    <row r="2443" spans="48:480" x14ac:dyDescent="0.3">
      <c r="AV2443" s="103"/>
      <c r="CJ2443" s="103"/>
      <c r="FP2443" s="103"/>
      <c r="LL2443" s="103"/>
      <c r="NM2443" s="103"/>
      <c r="QT2443" s="106"/>
      <c r="QU2443" s="106"/>
      <c r="QV2443" s="106"/>
      <c r="QW2443" s="106"/>
      <c r="QX2443" s="106"/>
      <c r="QY2443" s="106"/>
      <c r="QZ2443" s="106"/>
      <c r="RA2443" s="106"/>
      <c r="RB2443" s="106"/>
      <c r="RC2443" s="106"/>
      <c r="RD2443" s="106"/>
      <c r="RE2443" s="106"/>
      <c r="RF2443" s="106"/>
      <c r="RG2443" s="106"/>
      <c r="RH2443" s="106"/>
      <c r="RI2443" s="106"/>
      <c r="RJ2443" s="106"/>
      <c r="RK2443" s="106"/>
      <c r="RL2443" s="106"/>
    </row>
    <row r="2444" spans="48:480" x14ac:dyDescent="0.3">
      <c r="AV2444" s="103"/>
      <c r="CJ2444" s="103"/>
      <c r="FP2444" s="103"/>
      <c r="LL2444" s="103"/>
      <c r="NM2444" s="103"/>
      <c r="QT2444" s="106"/>
      <c r="QU2444" s="106"/>
      <c r="QV2444" s="106"/>
      <c r="QW2444" s="106"/>
      <c r="QX2444" s="106"/>
      <c r="QY2444" s="106"/>
      <c r="QZ2444" s="106"/>
      <c r="RA2444" s="106"/>
      <c r="RB2444" s="106"/>
      <c r="RC2444" s="106"/>
      <c r="RD2444" s="106"/>
      <c r="RE2444" s="106"/>
      <c r="RF2444" s="106"/>
      <c r="RG2444" s="106"/>
      <c r="RH2444" s="106"/>
      <c r="RI2444" s="106"/>
      <c r="RJ2444" s="106"/>
      <c r="RK2444" s="106"/>
      <c r="RL2444" s="106"/>
    </row>
    <row r="2445" spans="48:480" x14ac:dyDescent="0.3">
      <c r="AV2445" s="103"/>
      <c r="CJ2445" s="103"/>
      <c r="FP2445" s="103"/>
      <c r="LL2445" s="103"/>
      <c r="NM2445" s="103"/>
      <c r="QT2445" s="106"/>
      <c r="QU2445" s="106"/>
      <c r="QV2445" s="106"/>
      <c r="QW2445" s="106"/>
      <c r="QX2445" s="106"/>
      <c r="QY2445" s="106"/>
      <c r="QZ2445" s="106"/>
      <c r="RA2445" s="106"/>
      <c r="RB2445" s="106"/>
      <c r="RC2445" s="106"/>
      <c r="RD2445" s="106"/>
      <c r="RE2445" s="106"/>
      <c r="RF2445" s="106"/>
      <c r="RG2445" s="106"/>
      <c r="RH2445" s="106"/>
      <c r="RI2445" s="106"/>
      <c r="RJ2445" s="106"/>
      <c r="RK2445" s="106"/>
      <c r="RL2445" s="106"/>
    </row>
    <row r="2446" spans="48:480" x14ac:dyDescent="0.3">
      <c r="AV2446" s="103"/>
      <c r="CJ2446" s="103"/>
      <c r="FP2446" s="103"/>
      <c r="LL2446" s="103"/>
      <c r="NM2446" s="103"/>
      <c r="QT2446" s="106"/>
      <c r="QU2446" s="106"/>
      <c r="QV2446" s="106"/>
      <c r="QW2446" s="106"/>
      <c r="QX2446" s="106"/>
      <c r="QY2446" s="106"/>
      <c r="QZ2446" s="106"/>
      <c r="RA2446" s="106"/>
      <c r="RB2446" s="106"/>
      <c r="RC2446" s="106"/>
      <c r="RD2446" s="106"/>
      <c r="RE2446" s="106"/>
      <c r="RF2446" s="106"/>
      <c r="RG2446" s="106"/>
      <c r="RH2446" s="106"/>
      <c r="RI2446" s="106"/>
      <c r="RJ2446" s="106"/>
      <c r="RK2446" s="106"/>
      <c r="RL2446" s="106"/>
    </row>
    <row r="2447" spans="48:480" x14ac:dyDescent="0.3">
      <c r="AV2447" s="103"/>
      <c r="CJ2447" s="103"/>
      <c r="FP2447" s="103"/>
      <c r="LL2447" s="103"/>
      <c r="NM2447" s="103"/>
      <c r="QT2447" s="106"/>
      <c r="QU2447" s="106"/>
      <c r="QV2447" s="106"/>
      <c r="QW2447" s="106"/>
      <c r="QX2447" s="106"/>
      <c r="QY2447" s="106"/>
      <c r="QZ2447" s="106"/>
      <c r="RA2447" s="106"/>
      <c r="RB2447" s="106"/>
      <c r="RC2447" s="106"/>
      <c r="RD2447" s="106"/>
      <c r="RE2447" s="106"/>
      <c r="RF2447" s="106"/>
      <c r="RG2447" s="106"/>
      <c r="RH2447" s="106"/>
      <c r="RI2447" s="106"/>
      <c r="RJ2447" s="106"/>
      <c r="RK2447" s="106"/>
      <c r="RL2447" s="106"/>
    </row>
    <row r="2448" spans="48:480" x14ac:dyDescent="0.3">
      <c r="AV2448" s="103"/>
      <c r="CJ2448" s="103"/>
      <c r="FP2448" s="103"/>
      <c r="LL2448" s="103"/>
      <c r="NM2448" s="103"/>
      <c r="QT2448" s="106"/>
      <c r="QU2448" s="106"/>
      <c r="QV2448" s="106"/>
      <c r="QW2448" s="106"/>
      <c r="QX2448" s="106"/>
      <c r="QY2448" s="106"/>
      <c r="QZ2448" s="106"/>
      <c r="RA2448" s="106"/>
      <c r="RB2448" s="106"/>
      <c r="RC2448" s="106"/>
      <c r="RD2448" s="106"/>
      <c r="RE2448" s="106"/>
      <c r="RF2448" s="106"/>
      <c r="RG2448" s="106"/>
      <c r="RH2448" s="106"/>
      <c r="RI2448" s="106"/>
      <c r="RJ2448" s="106"/>
      <c r="RK2448" s="106"/>
      <c r="RL2448" s="106"/>
    </row>
    <row r="2449" spans="48:480" x14ac:dyDescent="0.3">
      <c r="AV2449" s="103"/>
      <c r="CJ2449" s="103"/>
      <c r="FP2449" s="103"/>
      <c r="LL2449" s="103"/>
      <c r="NM2449" s="103"/>
      <c r="QT2449" s="106"/>
      <c r="QU2449" s="106"/>
      <c r="QV2449" s="106"/>
      <c r="QW2449" s="106"/>
      <c r="QX2449" s="106"/>
      <c r="QY2449" s="106"/>
      <c r="QZ2449" s="106"/>
      <c r="RA2449" s="106"/>
      <c r="RB2449" s="106"/>
      <c r="RC2449" s="106"/>
      <c r="RD2449" s="106"/>
      <c r="RE2449" s="106"/>
      <c r="RF2449" s="106"/>
      <c r="RG2449" s="106"/>
      <c r="RH2449" s="106"/>
      <c r="RI2449" s="106"/>
      <c r="RJ2449" s="106"/>
      <c r="RK2449" s="106"/>
      <c r="RL2449" s="106"/>
    </row>
    <row r="2450" spans="48:480" x14ac:dyDescent="0.3">
      <c r="AV2450" s="103"/>
      <c r="CJ2450" s="103"/>
      <c r="FP2450" s="103"/>
      <c r="LL2450" s="103"/>
      <c r="NM2450" s="103"/>
      <c r="QT2450" s="106"/>
      <c r="QU2450" s="106"/>
      <c r="QV2450" s="106"/>
      <c r="QW2450" s="106"/>
      <c r="QX2450" s="106"/>
      <c r="QY2450" s="106"/>
      <c r="QZ2450" s="106"/>
      <c r="RA2450" s="106"/>
      <c r="RB2450" s="106"/>
      <c r="RC2450" s="106"/>
      <c r="RD2450" s="106"/>
      <c r="RE2450" s="106"/>
      <c r="RF2450" s="106"/>
      <c r="RG2450" s="106"/>
      <c r="RH2450" s="106"/>
      <c r="RI2450" s="106"/>
      <c r="RJ2450" s="106"/>
      <c r="RK2450" s="106"/>
      <c r="RL2450" s="106"/>
    </row>
    <row r="2451" spans="48:480" x14ac:dyDescent="0.3">
      <c r="AV2451" s="103"/>
      <c r="CJ2451" s="103"/>
      <c r="FP2451" s="103"/>
      <c r="LL2451" s="103"/>
      <c r="NM2451" s="103"/>
      <c r="QT2451" s="106"/>
      <c r="QU2451" s="106"/>
      <c r="QV2451" s="106"/>
      <c r="QW2451" s="106"/>
      <c r="QX2451" s="106"/>
      <c r="QY2451" s="106"/>
      <c r="QZ2451" s="106"/>
      <c r="RA2451" s="106"/>
      <c r="RB2451" s="106"/>
      <c r="RC2451" s="106"/>
      <c r="RD2451" s="106"/>
      <c r="RE2451" s="106"/>
      <c r="RF2451" s="106"/>
      <c r="RG2451" s="106"/>
      <c r="RH2451" s="106"/>
      <c r="RI2451" s="106"/>
      <c r="RJ2451" s="106"/>
      <c r="RK2451" s="106"/>
      <c r="RL2451" s="106"/>
    </row>
    <row r="2452" spans="48:480" x14ac:dyDescent="0.3">
      <c r="AV2452" s="103"/>
      <c r="CJ2452" s="103"/>
      <c r="FP2452" s="103"/>
      <c r="LL2452" s="103"/>
      <c r="NM2452" s="103"/>
      <c r="QT2452" s="106"/>
      <c r="QU2452" s="106"/>
      <c r="QV2452" s="106"/>
      <c r="QW2452" s="106"/>
      <c r="QX2452" s="106"/>
      <c r="QY2452" s="106"/>
      <c r="QZ2452" s="106"/>
      <c r="RA2452" s="106"/>
      <c r="RB2452" s="106"/>
      <c r="RC2452" s="106"/>
      <c r="RD2452" s="106"/>
      <c r="RE2452" s="106"/>
      <c r="RF2452" s="106"/>
      <c r="RG2452" s="106"/>
      <c r="RH2452" s="106"/>
      <c r="RI2452" s="106"/>
      <c r="RJ2452" s="106"/>
      <c r="RK2452" s="106"/>
      <c r="RL2452" s="106"/>
    </row>
    <row r="2453" spans="48:480" x14ac:dyDescent="0.3">
      <c r="AV2453" s="103"/>
      <c r="CJ2453" s="103"/>
      <c r="FP2453" s="103"/>
      <c r="LL2453" s="103"/>
      <c r="NM2453" s="103"/>
      <c r="QT2453" s="106"/>
      <c r="QU2453" s="106"/>
      <c r="QV2453" s="106"/>
      <c r="QW2453" s="106"/>
      <c r="QX2453" s="106"/>
      <c r="QY2453" s="106"/>
      <c r="QZ2453" s="106"/>
      <c r="RA2453" s="106"/>
      <c r="RB2453" s="106"/>
      <c r="RC2453" s="106"/>
      <c r="RD2453" s="106"/>
      <c r="RE2453" s="106"/>
      <c r="RF2453" s="106"/>
      <c r="RG2453" s="106"/>
      <c r="RH2453" s="106"/>
      <c r="RI2453" s="106"/>
      <c r="RJ2453" s="106"/>
      <c r="RK2453" s="106"/>
      <c r="RL2453" s="106"/>
    </row>
    <row r="2454" spans="48:480" x14ac:dyDescent="0.3">
      <c r="AV2454" s="103"/>
      <c r="CJ2454" s="103"/>
      <c r="FP2454" s="103"/>
      <c r="LL2454" s="103"/>
      <c r="NM2454" s="103"/>
      <c r="QT2454" s="106"/>
      <c r="QU2454" s="106"/>
      <c r="QV2454" s="106"/>
      <c r="QW2454" s="106"/>
      <c r="QX2454" s="106"/>
      <c r="QY2454" s="106"/>
      <c r="QZ2454" s="106"/>
      <c r="RA2454" s="106"/>
      <c r="RB2454" s="106"/>
      <c r="RC2454" s="106"/>
      <c r="RD2454" s="106"/>
      <c r="RE2454" s="106"/>
      <c r="RF2454" s="106"/>
      <c r="RG2454" s="106"/>
      <c r="RH2454" s="106"/>
      <c r="RI2454" s="106"/>
      <c r="RJ2454" s="106"/>
      <c r="RK2454" s="106"/>
      <c r="RL2454" s="106"/>
    </row>
    <row r="2455" spans="48:480" x14ac:dyDescent="0.3">
      <c r="AV2455" s="103"/>
      <c r="CJ2455" s="103"/>
      <c r="FP2455" s="103"/>
      <c r="LL2455" s="103"/>
      <c r="NM2455" s="103"/>
      <c r="QT2455" s="106"/>
      <c r="QU2455" s="106"/>
      <c r="QV2455" s="106"/>
      <c r="QW2455" s="106"/>
      <c r="QX2455" s="106"/>
      <c r="QY2455" s="106"/>
      <c r="QZ2455" s="106"/>
      <c r="RA2455" s="106"/>
      <c r="RB2455" s="106"/>
      <c r="RC2455" s="106"/>
      <c r="RD2455" s="106"/>
      <c r="RE2455" s="106"/>
      <c r="RF2455" s="106"/>
      <c r="RG2455" s="106"/>
      <c r="RH2455" s="106"/>
      <c r="RI2455" s="106"/>
      <c r="RJ2455" s="106"/>
      <c r="RK2455" s="106"/>
      <c r="RL2455" s="106"/>
    </row>
    <row r="2456" spans="48:480" x14ac:dyDescent="0.3">
      <c r="AV2456" s="103"/>
      <c r="CJ2456" s="103"/>
      <c r="FP2456" s="103"/>
      <c r="LL2456" s="103"/>
      <c r="NM2456" s="103"/>
      <c r="QT2456" s="106"/>
      <c r="QU2456" s="106"/>
      <c r="QV2456" s="106"/>
      <c r="QW2456" s="106"/>
      <c r="QX2456" s="106"/>
      <c r="QY2456" s="106"/>
      <c r="QZ2456" s="106"/>
      <c r="RA2456" s="106"/>
      <c r="RB2456" s="106"/>
      <c r="RC2456" s="106"/>
      <c r="RD2456" s="106"/>
      <c r="RE2456" s="106"/>
      <c r="RF2456" s="106"/>
      <c r="RG2456" s="106"/>
      <c r="RH2456" s="106"/>
      <c r="RI2456" s="106"/>
      <c r="RJ2456" s="106"/>
      <c r="RK2456" s="106"/>
      <c r="RL2456" s="106"/>
    </row>
    <row r="2457" spans="48:480" x14ac:dyDescent="0.3">
      <c r="AV2457" s="103"/>
      <c r="CJ2457" s="103"/>
      <c r="FP2457" s="103"/>
      <c r="LL2457" s="103"/>
      <c r="NM2457" s="103"/>
      <c r="QT2457" s="106"/>
      <c r="QU2457" s="106"/>
      <c r="QV2457" s="106"/>
      <c r="QW2457" s="106"/>
      <c r="QX2457" s="106"/>
      <c r="QY2457" s="106"/>
      <c r="QZ2457" s="106"/>
      <c r="RA2457" s="106"/>
      <c r="RB2457" s="106"/>
      <c r="RC2457" s="106"/>
      <c r="RD2457" s="106"/>
      <c r="RE2457" s="106"/>
      <c r="RF2457" s="106"/>
      <c r="RG2457" s="106"/>
      <c r="RH2457" s="106"/>
      <c r="RI2457" s="106"/>
      <c r="RJ2457" s="106"/>
      <c r="RK2457" s="106"/>
      <c r="RL2457" s="106"/>
    </row>
    <row r="2458" spans="48:480" x14ac:dyDescent="0.3">
      <c r="AV2458" s="103"/>
      <c r="CJ2458" s="103"/>
      <c r="FP2458" s="103"/>
      <c r="LL2458" s="103"/>
      <c r="NM2458" s="103"/>
      <c r="QT2458" s="106"/>
      <c r="QU2458" s="106"/>
      <c r="QV2458" s="106"/>
      <c r="QW2458" s="106"/>
      <c r="QX2458" s="106"/>
      <c r="QY2458" s="106"/>
      <c r="QZ2458" s="106"/>
      <c r="RA2458" s="106"/>
      <c r="RB2458" s="106"/>
      <c r="RC2458" s="106"/>
      <c r="RD2458" s="106"/>
      <c r="RE2458" s="106"/>
      <c r="RF2458" s="106"/>
      <c r="RG2458" s="106"/>
      <c r="RH2458" s="106"/>
      <c r="RI2458" s="106"/>
      <c r="RJ2458" s="106"/>
      <c r="RK2458" s="106"/>
      <c r="RL2458" s="106"/>
    </row>
    <row r="2459" spans="48:480" x14ac:dyDescent="0.3">
      <c r="AV2459" s="103"/>
      <c r="CJ2459" s="103"/>
      <c r="FP2459" s="103"/>
      <c r="LL2459" s="103"/>
      <c r="NM2459" s="103"/>
      <c r="QT2459" s="106"/>
      <c r="QU2459" s="106"/>
      <c r="QV2459" s="106"/>
      <c r="QW2459" s="106"/>
      <c r="QX2459" s="106"/>
      <c r="QY2459" s="106"/>
      <c r="QZ2459" s="106"/>
      <c r="RA2459" s="106"/>
      <c r="RB2459" s="106"/>
      <c r="RC2459" s="106"/>
      <c r="RD2459" s="106"/>
      <c r="RE2459" s="106"/>
      <c r="RF2459" s="106"/>
      <c r="RG2459" s="106"/>
      <c r="RH2459" s="106"/>
      <c r="RI2459" s="106"/>
      <c r="RJ2459" s="106"/>
      <c r="RK2459" s="106"/>
      <c r="RL2459" s="106"/>
    </row>
    <row r="2460" spans="48:480" x14ac:dyDescent="0.3">
      <c r="AV2460" s="103"/>
      <c r="CJ2460" s="103"/>
      <c r="FP2460" s="103"/>
      <c r="LL2460" s="103"/>
      <c r="NM2460" s="103"/>
      <c r="QT2460" s="106"/>
      <c r="QU2460" s="106"/>
      <c r="QV2460" s="106"/>
      <c r="QW2460" s="106"/>
      <c r="QX2460" s="106"/>
      <c r="QY2460" s="106"/>
      <c r="QZ2460" s="106"/>
      <c r="RA2460" s="106"/>
      <c r="RB2460" s="106"/>
      <c r="RC2460" s="106"/>
      <c r="RD2460" s="106"/>
      <c r="RE2460" s="106"/>
      <c r="RF2460" s="106"/>
      <c r="RG2460" s="106"/>
      <c r="RH2460" s="106"/>
      <c r="RI2460" s="106"/>
      <c r="RJ2460" s="106"/>
      <c r="RK2460" s="106"/>
      <c r="RL2460" s="106"/>
    </row>
    <row r="2461" spans="48:480" x14ac:dyDescent="0.3">
      <c r="AV2461" s="103"/>
      <c r="CJ2461" s="103"/>
      <c r="FP2461" s="103"/>
      <c r="LL2461" s="103"/>
      <c r="NM2461" s="103"/>
      <c r="QT2461" s="106"/>
      <c r="QU2461" s="106"/>
      <c r="QV2461" s="106"/>
      <c r="QW2461" s="106"/>
      <c r="QX2461" s="106"/>
      <c r="QY2461" s="106"/>
      <c r="QZ2461" s="106"/>
      <c r="RA2461" s="106"/>
      <c r="RB2461" s="106"/>
      <c r="RC2461" s="106"/>
      <c r="RD2461" s="106"/>
      <c r="RE2461" s="106"/>
      <c r="RF2461" s="106"/>
      <c r="RG2461" s="106"/>
      <c r="RH2461" s="106"/>
      <c r="RI2461" s="106"/>
      <c r="RJ2461" s="106"/>
      <c r="RK2461" s="106"/>
      <c r="RL2461" s="106"/>
    </row>
    <row r="2462" spans="48:480" x14ac:dyDescent="0.3">
      <c r="AV2462" s="103"/>
      <c r="CJ2462" s="103"/>
      <c r="FP2462" s="103"/>
      <c r="LL2462" s="103"/>
      <c r="NM2462" s="103"/>
      <c r="QT2462" s="106"/>
      <c r="QU2462" s="106"/>
      <c r="QV2462" s="106"/>
      <c r="QW2462" s="106"/>
      <c r="QX2462" s="106"/>
      <c r="QY2462" s="106"/>
      <c r="QZ2462" s="106"/>
      <c r="RA2462" s="106"/>
      <c r="RB2462" s="106"/>
      <c r="RC2462" s="106"/>
      <c r="RD2462" s="106"/>
      <c r="RE2462" s="106"/>
      <c r="RF2462" s="106"/>
      <c r="RG2462" s="106"/>
      <c r="RH2462" s="106"/>
      <c r="RI2462" s="106"/>
      <c r="RJ2462" s="106"/>
      <c r="RK2462" s="106"/>
      <c r="RL2462" s="106"/>
    </row>
    <row r="2463" spans="48:480" x14ac:dyDescent="0.3">
      <c r="AV2463" s="103"/>
      <c r="CJ2463" s="103"/>
      <c r="FP2463" s="103"/>
      <c r="LL2463" s="103"/>
      <c r="NM2463" s="103"/>
      <c r="QT2463" s="106"/>
      <c r="QU2463" s="106"/>
      <c r="QV2463" s="106"/>
      <c r="QW2463" s="106"/>
      <c r="QX2463" s="106"/>
      <c r="QY2463" s="106"/>
      <c r="QZ2463" s="106"/>
      <c r="RA2463" s="106"/>
      <c r="RB2463" s="106"/>
      <c r="RC2463" s="106"/>
      <c r="RD2463" s="106"/>
      <c r="RE2463" s="106"/>
      <c r="RF2463" s="106"/>
      <c r="RG2463" s="106"/>
      <c r="RH2463" s="106"/>
      <c r="RI2463" s="106"/>
      <c r="RJ2463" s="106"/>
      <c r="RK2463" s="106"/>
      <c r="RL2463" s="106"/>
    </row>
    <row r="2464" spans="48:480" x14ac:dyDescent="0.3">
      <c r="AV2464" s="103"/>
      <c r="CJ2464" s="103"/>
      <c r="FP2464" s="103"/>
      <c r="LL2464" s="103"/>
      <c r="NM2464" s="103"/>
      <c r="QT2464" s="106"/>
      <c r="QU2464" s="106"/>
      <c r="QV2464" s="106"/>
      <c r="QW2464" s="106"/>
      <c r="QX2464" s="106"/>
      <c r="QY2464" s="106"/>
      <c r="QZ2464" s="106"/>
      <c r="RA2464" s="106"/>
      <c r="RB2464" s="106"/>
      <c r="RC2464" s="106"/>
      <c r="RD2464" s="106"/>
      <c r="RE2464" s="106"/>
      <c r="RF2464" s="106"/>
      <c r="RG2464" s="106"/>
      <c r="RH2464" s="106"/>
      <c r="RI2464" s="106"/>
      <c r="RJ2464" s="106"/>
      <c r="RK2464" s="106"/>
      <c r="RL2464" s="106"/>
    </row>
    <row r="2465" spans="48:480" x14ac:dyDescent="0.3">
      <c r="AV2465" s="103"/>
      <c r="CJ2465" s="103"/>
      <c r="FP2465" s="103"/>
      <c r="LL2465" s="103"/>
      <c r="NM2465" s="103"/>
      <c r="QT2465" s="106"/>
      <c r="QU2465" s="106"/>
      <c r="QV2465" s="106"/>
      <c r="QW2465" s="106"/>
      <c r="QX2465" s="106"/>
      <c r="QY2465" s="106"/>
      <c r="QZ2465" s="106"/>
      <c r="RA2465" s="106"/>
      <c r="RB2465" s="106"/>
      <c r="RC2465" s="106"/>
      <c r="RD2465" s="106"/>
      <c r="RE2465" s="106"/>
      <c r="RF2465" s="106"/>
      <c r="RG2465" s="106"/>
      <c r="RH2465" s="106"/>
      <c r="RI2465" s="106"/>
      <c r="RJ2465" s="106"/>
      <c r="RK2465" s="106"/>
      <c r="RL2465" s="106"/>
    </row>
    <row r="2466" spans="48:480" x14ac:dyDescent="0.3">
      <c r="AV2466" s="103"/>
      <c r="CJ2466" s="103"/>
      <c r="FP2466" s="103"/>
      <c r="LL2466" s="103"/>
      <c r="NM2466" s="103"/>
      <c r="QT2466" s="106"/>
      <c r="QU2466" s="106"/>
      <c r="QV2466" s="106"/>
      <c r="QW2466" s="106"/>
      <c r="QX2466" s="106"/>
      <c r="QY2466" s="106"/>
      <c r="QZ2466" s="106"/>
      <c r="RA2466" s="106"/>
      <c r="RB2466" s="106"/>
      <c r="RC2466" s="106"/>
      <c r="RD2466" s="106"/>
      <c r="RE2466" s="106"/>
      <c r="RF2466" s="106"/>
      <c r="RG2466" s="106"/>
      <c r="RH2466" s="106"/>
      <c r="RI2466" s="106"/>
      <c r="RJ2466" s="106"/>
      <c r="RK2466" s="106"/>
      <c r="RL2466" s="106"/>
    </row>
    <row r="2467" spans="48:480" x14ac:dyDescent="0.3">
      <c r="AV2467" s="103"/>
      <c r="CJ2467" s="103"/>
      <c r="FP2467" s="103"/>
      <c r="LL2467" s="103"/>
      <c r="NM2467" s="103"/>
      <c r="QT2467" s="106"/>
      <c r="QU2467" s="106"/>
      <c r="QV2467" s="106"/>
      <c r="QW2467" s="106"/>
      <c r="QX2467" s="106"/>
      <c r="QY2467" s="106"/>
      <c r="QZ2467" s="106"/>
      <c r="RA2467" s="106"/>
      <c r="RB2467" s="106"/>
      <c r="RC2467" s="106"/>
      <c r="RD2467" s="106"/>
      <c r="RE2467" s="106"/>
      <c r="RF2467" s="106"/>
      <c r="RG2467" s="106"/>
      <c r="RH2467" s="106"/>
      <c r="RI2467" s="106"/>
      <c r="RJ2467" s="106"/>
      <c r="RK2467" s="106"/>
      <c r="RL2467" s="106"/>
    </row>
    <row r="2468" spans="48:480" x14ac:dyDescent="0.3">
      <c r="AV2468" s="103"/>
      <c r="CJ2468" s="103"/>
      <c r="FP2468" s="103"/>
      <c r="LL2468" s="103"/>
      <c r="NM2468" s="103"/>
      <c r="QT2468" s="106"/>
      <c r="QU2468" s="106"/>
      <c r="QV2468" s="106"/>
      <c r="QW2468" s="106"/>
      <c r="QX2468" s="106"/>
      <c r="QY2468" s="106"/>
      <c r="QZ2468" s="106"/>
      <c r="RA2468" s="106"/>
      <c r="RB2468" s="106"/>
      <c r="RC2468" s="106"/>
      <c r="RD2468" s="106"/>
      <c r="RE2468" s="106"/>
      <c r="RF2468" s="106"/>
      <c r="RG2468" s="106"/>
      <c r="RH2468" s="106"/>
      <c r="RI2468" s="106"/>
      <c r="RJ2468" s="106"/>
      <c r="RK2468" s="106"/>
      <c r="RL2468" s="106"/>
    </row>
    <row r="2469" spans="48:480" x14ac:dyDescent="0.3">
      <c r="AV2469" s="103"/>
      <c r="CJ2469" s="103"/>
      <c r="FP2469" s="103"/>
      <c r="LL2469" s="103"/>
      <c r="NM2469" s="103"/>
      <c r="QT2469" s="106"/>
      <c r="QU2469" s="106"/>
      <c r="QV2469" s="106"/>
      <c r="QW2469" s="106"/>
      <c r="QX2469" s="106"/>
      <c r="QY2469" s="106"/>
      <c r="QZ2469" s="106"/>
      <c r="RA2469" s="106"/>
      <c r="RB2469" s="106"/>
      <c r="RC2469" s="106"/>
      <c r="RD2469" s="106"/>
      <c r="RE2469" s="106"/>
      <c r="RF2469" s="106"/>
      <c r="RG2469" s="106"/>
      <c r="RH2469" s="106"/>
      <c r="RI2469" s="106"/>
      <c r="RJ2469" s="106"/>
      <c r="RK2469" s="106"/>
      <c r="RL2469" s="106"/>
    </row>
    <row r="2470" spans="48:480" x14ac:dyDescent="0.3">
      <c r="AV2470" s="103"/>
      <c r="CJ2470" s="103"/>
      <c r="FP2470" s="103"/>
      <c r="LL2470" s="103"/>
      <c r="NM2470" s="103"/>
      <c r="QT2470" s="106"/>
      <c r="QU2470" s="106"/>
      <c r="QV2470" s="106"/>
      <c r="QW2470" s="106"/>
      <c r="QX2470" s="106"/>
      <c r="QY2470" s="106"/>
      <c r="QZ2470" s="106"/>
      <c r="RA2470" s="106"/>
      <c r="RB2470" s="106"/>
      <c r="RC2470" s="106"/>
      <c r="RD2470" s="106"/>
      <c r="RE2470" s="106"/>
      <c r="RF2470" s="106"/>
      <c r="RG2470" s="106"/>
      <c r="RH2470" s="106"/>
      <c r="RI2470" s="106"/>
      <c r="RJ2470" s="106"/>
      <c r="RK2470" s="106"/>
      <c r="RL2470" s="106"/>
    </row>
    <row r="2471" spans="48:480" x14ac:dyDescent="0.3">
      <c r="AV2471" s="103"/>
      <c r="CJ2471" s="103"/>
      <c r="FP2471" s="103"/>
      <c r="LL2471" s="103"/>
      <c r="NM2471" s="103"/>
      <c r="QT2471" s="106"/>
      <c r="QU2471" s="106"/>
      <c r="QV2471" s="106"/>
      <c r="QW2471" s="106"/>
      <c r="QX2471" s="106"/>
      <c r="QY2471" s="106"/>
      <c r="QZ2471" s="106"/>
      <c r="RA2471" s="106"/>
      <c r="RB2471" s="106"/>
      <c r="RC2471" s="106"/>
      <c r="RD2471" s="106"/>
      <c r="RE2471" s="106"/>
      <c r="RF2471" s="106"/>
      <c r="RG2471" s="106"/>
      <c r="RH2471" s="106"/>
      <c r="RI2471" s="106"/>
      <c r="RJ2471" s="106"/>
      <c r="RK2471" s="106"/>
      <c r="RL2471" s="106"/>
    </row>
    <row r="2472" spans="48:480" x14ac:dyDescent="0.3">
      <c r="AV2472" s="103"/>
      <c r="CJ2472" s="103"/>
      <c r="FP2472" s="103"/>
      <c r="LL2472" s="103"/>
      <c r="NM2472" s="103"/>
      <c r="QT2472" s="106"/>
      <c r="QU2472" s="106"/>
      <c r="QV2472" s="106"/>
      <c r="QW2472" s="106"/>
      <c r="QX2472" s="106"/>
      <c r="QY2472" s="106"/>
      <c r="QZ2472" s="106"/>
      <c r="RA2472" s="106"/>
      <c r="RB2472" s="106"/>
      <c r="RC2472" s="106"/>
      <c r="RD2472" s="106"/>
      <c r="RE2472" s="106"/>
      <c r="RF2472" s="106"/>
      <c r="RG2472" s="106"/>
      <c r="RH2472" s="106"/>
      <c r="RI2472" s="106"/>
      <c r="RJ2472" s="106"/>
      <c r="RK2472" s="106"/>
      <c r="RL2472" s="106"/>
    </row>
    <row r="2473" spans="48:480" x14ac:dyDescent="0.3">
      <c r="AV2473" s="103"/>
      <c r="CJ2473" s="103"/>
      <c r="FP2473" s="103"/>
      <c r="LL2473" s="103"/>
      <c r="NM2473" s="103"/>
      <c r="QT2473" s="106"/>
      <c r="QU2473" s="106"/>
      <c r="QV2473" s="106"/>
      <c r="QW2473" s="106"/>
      <c r="QX2473" s="106"/>
      <c r="QY2473" s="106"/>
      <c r="QZ2473" s="106"/>
      <c r="RA2473" s="106"/>
      <c r="RB2473" s="106"/>
      <c r="RC2473" s="106"/>
      <c r="RD2473" s="106"/>
      <c r="RE2473" s="106"/>
      <c r="RF2473" s="106"/>
      <c r="RG2473" s="106"/>
      <c r="RH2473" s="106"/>
      <c r="RI2473" s="106"/>
      <c r="RJ2473" s="106"/>
      <c r="RK2473" s="106"/>
      <c r="RL2473" s="106"/>
    </row>
    <row r="2474" spans="48:480" x14ac:dyDescent="0.3">
      <c r="AV2474" s="103"/>
      <c r="CJ2474" s="103"/>
      <c r="FP2474" s="103"/>
      <c r="LL2474" s="103"/>
      <c r="NM2474" s="103"/>
      <c r="QT2474" s="106"/>
      <c r="QU2474" s="106"/>
      <c r="QV2474" s="106"/>
      <c r="QW2474" s="106"/>
      <c r="QX2474" s="106"/>
      <c r="QY2474" s="106"/>
      <c r="QZ2474" s="106"/>
      <c r="RA2474" s="106"/>
      <c r="RB2474" s="106"/>
      <c r="RC2474" s="106"/>
      <c r="RD2474" s="106"/>
      <c r="RE2474" s="106"/>
      <c r="RF2474" s="106"/>
      <c r="RG2474" s="106"/>
      <c r="RH2474" s="106"/>
      <c r="RI2474" s="106"/>
      <c r="RJ2474" s="106"/>
      <c r="RK2474" s="106"/>
      <c r="RL2474" s="106"/>
    </row>
    <row r="2475" spans="48:480" x14ac:dyDescent="0.3">
      <c r="AV2475" s="103"/>
      <c r="CJ2475" s="103"/>
      <c r="FP2475" s="103"/>
      <c r="LL2475" s="103"/>
      <c r="NM2475" s="103"/>
      <c r="QT2475" s="106"/>
      <c r="QU2475" s="106"/>
      <c r="QV2475" s="106"/>
      <c r="QW2475" s="106"/>
      <c r="QX2475" s="106"/>
      <c r="QY2475" s="106"/>
      <c r="QZ2475" s="106"/>
      <c r="RA2475" s="106"/>
      <c r="RB2475" s="106"/>
      <c r="RC2475" s="106"/>
      <c r="RD2475" s="106"/>
      <c r="RE2475" s="106"/>
      <c r="RF2475" s="106"/>
      <c r="RG2475" s="106"/>
      <c r="RH2475" s="106"/>
      <c r="RI2475" s="106"/>
      <c r="RJ2475" s="106"/>
      <c r="RK2475" s="106"/>
      <c r="RL2475" s="106"/>
    </row>
    <row r="2476" spans="48:480" x14ac:dyDescent="0.3">
      <c r="AV2476" s="103"/>
      <c r="CJ2476" s="103"/>
      <c r="FP2476" s="103"/>
      <c r="LL2476" s="103"/>
      <c r="NM2476" s="103"/>
      <c r="QT2476" s="106"/>
      <c r="QU2476" s="106"/>
      <c r="QV2476" s="106"/>
      <c r="QW2476" s="106"/>
      <c r="QX2476" s="106"/>
      <c r="QY2476" s="106"/>
      <c r="QZ2476" s="106"/>
      <c r="RA2476" s="106"/>
      <c r="RB2476" s="106"/>
      <c r="RC2476" s="106"/>
      <c r="RD2476" s="106"/>
      <c r="RE2476" s="106"/>
      <c r="RF2476" s="106"/>
      <c r="RG2476" s="106"/>
      <c r="RH2476" s="106"/>
      <c r="RI2476" s="106"/>
      <c r="RJ2476" s="106"/>
      <c r="RK2476" s="106"/>
      <c r="RL2476" s="106"/>
    </row>
    <row r="2477" spans="48:480" x14ac:dyDescent="0.3">
      <c r="AV2477" s="103"/>
      <c r="CJ2477" s="103"/>
      <c r="FP2477" s="103"/>
      <c r="LL2477" s="103"/>
      <c r="NM2477" s="103"/>
      <c r="QT2477" s="106"/>
      <c r="QU2477" s="106"/>
      <c r="QV2477" s="106"/>
      <c r="QW2477" s="106"/>
      <c r="QX2477" s="106"/>
      <c r="QY2477" s="106"/>
      <c r="QZ2477" s="106"/>
      <c r="RA2477" s="106"/>
      <c r="RB2477" s="106"/>
      <c r="RC2477" s="106"/>
      <c r="RD2477" s="106"/>
      <c r="RE2477" s="106"/>
      <c r="RF2477" s="106"/>
      <c r="RG2477" s="106"/>
      <c r="RH2477" s="106"/>
      <c r="RI2477" s="106"/>
      <c r="RJ2477" s="106"/>
      <c r="RK2477" s="106"/>
      <c r="RL2477" s="106"/>
    </row>
    <row r="2478" spans="48:480" x14ac:dyDescent="0.3">
      <c r="AV2478" s="103"/>
      <c r="CJ2478" s="103"/>
      <c r="FP2478" s="103"/>
      <c r="LL2478" s="103"/>
      <c r="NM2478" s="103"/>
      <c r="QT2478" s="106"/>
      <c r="QU2478" s="106"/>
      <c r="QV2478" s="106"/>
      <c r="QW2478" s="106"/>
      <c r="QX2478" s="106"/>
      <c r="QY2478" s="106"/>
      <c r="QZ2478" s="106"/>
      <c r="RA2478" s="106"/>
      <c r="RB2478" s="106"/>
      <c r="RC2478" s="106"/>
      <c r="RD2478" s="106"/>
      <c r="RE2478" s="106"/>
      <c r="RF2478" s="106"/>
      <c r="RG2478" s="106"/>
      <c r="RH2478" s="106"/>
      <c r="RI2478" s="106"/>
      <c r="RJ2478" s="106"/>
      <c r="RK2478" s="106"/>
      <c r="RL2478" s="106"/>
    </row>
    <row r="2479" spans="48:480" x14ac:dyDescent="0.3">
      <c r="AV2479" s="103"/>
      <c r="CJ2479" s="103"/>
      <c r="FP2479" s="103"/>
      <c r="LL2479" s="103"/>
      <c r="NM2479" s="103"/>
      <c r="QT2479" s="106"/>
      <c r="QU2479" s="106"/>
      <c r="QV2479" s="106"/>
      <c r="QW2479" s="106"/>
      <c r="QX2479" s="106"/>
      <c r="QY2479" s="106"/>
      <c r="QZ2479" s="106"/>
      <c r="RA2479" s="106"/>
      <c r="RB2479" s="106"/>
      <c r="RC2479" s="106"/>
      <c r="RD2479" s="106"/>
      <c r="RE2479" s="106"/>
      <c r="RF2479" s="106"/>
      <c r="RG2479" s="106"/>
      <c r="RH2479" s="106"/>
      <c r="RI2479" s="106"/>
      <c r="RJ2479" s="106"/>
      <c r="RK2479" s="106"/>
      <c r="RL2479" s="106"/>
    </row>
    <row r="2480" spans="48:480" x14ac:dyDescent="0.3">
      <c r="AV2480" s="103"/>
      <c r="CJ2480" s="103"/>
      <c r="FP2480" s="103"/>
      <c r="LL2480" s="103"/>
      <c r="NM2480" s="103"/>
      <c r="QT2480" s="106"/>
      <c r="QU2480" s="106"/>
      <c r="QV2480" s="106"/>
      <c r="QW2480" s="106"/>
      <c r="QX2480" s="106"/>
      <c r="QY2480" s="106"/>
      <c r="QZ2480" s="106"/>
      <c r="RA2480" s="106"/>
      <c r="RB2480" s="106"/>
      <c r="RC2480" s="106"/>
      <c r="RD2480" s="106"/>
      <c r="RE2480" s="106"/>
      <c r="RF2480" s="106"/>
      <c r="RG2480" s="106"/>
      <c r="RH2480" s="106"/>
      <c r="RI2480" s="106"/>
      <c r="RJ2480" s="106"/>
      <c r="RK2480" s="106"/>
      <c r="RL2480" s="106"/>
    </row>
    <row r="2481" spans="48:480" x14ac:dyDescent="0.3">
      <c r="AV2481" s="103"/>
      <c r="CJ2481" s="103"/>
      <c r="FP2481" s="103"/>
      <c r="LL2481" s="103"/>
      <c r="NM2481" s="103"/>
      <c r="QT2481" s="106"/>
      <c r="QU2481" s="106"/>
      <c r="QV2481" s="106"/>
      <c r="QW2481" s="106"/>
      <c r="QX2481" s="106"/>
      <c r="QY2481" s="106"/>
      <c r="QZ2481" s="106"/>
      <c r="RA2481" s="106"/>
      <c r="RB2481" s="106"/>
      <c r="RC2481" s="106"/>
      <c r="RD2481" s="106"/>
      <c r="RE2481" s="106"/>
      <c r="RF2481" s="106"/>
      <c r="RG2481" s="106"/>
      <c r="RH2481" s="106"/>
      <c r="RI2481" s="106"/>
      <c r="RJ2481" s="106"/>
      <c r="RK2481" s="106"/>
      <c r="RL2481" s="106"/>
    </row>
    <row r="2482" spans="48:480" x14ac:dyDescent="0.3">
      <c r="AV2482" s="103"/>
      <c r="CJ2482" s="103"/>
      <c r="FP2482" s="103"/>
      <c r="LL2482" s="103"/>
      <c r="NM2482" s="103"/>
      <c r="QT2482" s="106"/>
      <c r="QU2482" s="106"/>
      <c r="QV2482" s="106"/>
      <c r="QW2482" s="106"/>
      <c r="QX2482" s="106"/>
      <c r="QY2482" s="106"/>
      <c r="QZ2482" s="106"/>
      <c r="RA2482" s="106"/>
      <c r="RB2482" s="106"/>
      <c r="RC2482" s="106"/>
      <c r="RD2482" s="106"/>
      <c r="RE2482" s="106"/>
      <c r="RF2482" s="106"/>
      <c r="RG2482" s="106"/>
      <c r="RH2482" s="106"/>
      <c r="RI2482" s="106"/>
      <c r="RJ2482" s="106"/>
      <c r="RK2482" s="106"/>
      <c r="RL2482" s="106"/>
    </row>
    <row r="2483" spans="48:480" x14ac:dyDescent="0.3">
      <c r="AV2483" s="103"/>
      <c r="CJ2483" s="103"/>
      <c r="FP2483" s="103"/>
      <c r="LL2483" s="103"/>
      <c r="NM2483" s="103"/>
      <c r="QT2483" s="106"/>
      <c r="QU2483" s="106"/>
      <c r="QV2483" s="106"/>
      <c r="QW2483" s="106"/>
      <c r="QX2483" s="106"/>
      <c r="QY2483" s="106"/>
      <c r="QZ2483" s="106"/>
      <c r="RA2483" s="106"/>
      <c r="RB2483" s="106"/>
      <c r="RC2483" s="106"/>
      <c r="RD2483" s="106"/>
      <c r="RE2483" s="106"/>
      <c r="RF2483" s="106"/>
      <c r="RG2483" s="106"/>
      <c r="RH2483" s="106"/>
      <c r="RI2483" s="106"/>
      <c r="RJ2483" s="106"/>
      <c r="RK2483" s="106"/>
      <c r="RL2483" s="106"/>
    </row>
    <row r="2484" spans="48:480" x14ac:dyDescent="0.3">
      <c r="AV2484" s="103"/>
      <c r="CJ2484" s="103"/>
      <c r="FP2484" s="103"/>
      <c r="LL2484" s="103"/>
      <c r="NM2484" s="103"/>
      <c r="QT2484" s="106"/>
      <c r="QU2484" s="106"/>
      <c r="QV2484" s="106"/>
      <c r="QW2484" s="106"/>
      <c r="QX2484" s="106"/>
      <c r="QY2484" s="106"/>
      <c r="QZ2484" s="106"/>
      <c r="RA2484" s="106"/>
      <c r="RB2484" s="106"/>
      <c r="RC2484" s="106"/>
      <c r="RD2484" s="106"/>
      <c r="RE2484" s="106"/>
      <c r="RF2484" s="106"/>
      <c r="RG2484" s="106"/>
      <c r="RH2484" s="106"/>
      <c r="RI2484" s="106"/>
      <c r="RJ2484" s="106"/>
      <c r="RK2484" s="106"/>
      <c r="RL2484" s="106"/>
    </row>
    <row r="2485" spans="48:480" x14ac:dyDescent="0.3">
      <c r="AV2485" s="103"/>
      <c r="CJ2485" s="103"/>
      <c r="FP2485" s="103"/>
      <c r="LL2485" s="103"/>
      <c r="NM2485" s="103"/>
      <c r="QT2485" s="106"/>
      <c r="QU2485" s="106"/>
      <c r="QV2485" s="106"/>
      <c r="QW2485" s="106"/>
      <c r="QX2485" s="106"/>
      <c r="QY2485" s="106"/>
      <c r="QZ2485" s="106"/>
      <c r="RA2485" s="106"/>
      <c r="RB2485" s="106"/>
      <c r="RC2485" s="106"/>
      <c r="RD2485" s="106"/>
      <c r="RE2485" s="106"/>
      <c r="RF2485" s="106"/>
      <c r="RG2485" s="106"/>
      <c r="RH2485" s="106"/>
      <c r="RI2485" s="106"/>
      <c r="RJ2485" s="106"/>
      <c r="RK2485" s="106"/>
      <c r="RL2485" s="106"/>
    </row>
    <row r="2486" spans="48:480" x14ac:dyDescent="0.3">
      <c r="AV2486" s="103"/>
      <c r="CJ2486" s="103"/>
      <c r="FP2486" s="103"/>
      <c r="LL2486" s="103"/>
      <c r="NM2486" s="103"/>
      <c r="QT2486" s="106"/>
      <c r="QU2486" s="106"/>
      <c r="QV2486" s="106"/>
      <c r="QW2486" s="106"/>
      <c r="QX2486" s="106"/>
      <c r="QY2486" s="106"/>
      <c r="QZ2486" s="106"/>
      <c r="RA2486" s="106"/>
      <c r="RB2486" s="106"/>
      <c r="RC2486" s="106"/>
      <c r="RD2486" s="106"/>
      <c r="RE2486" s="106"/>
      <c r="RF2486" s="106"/>
      <c r="RG2486" s="106"/>
      <c r="RH2486" s="106"/>
      <c r="RI2486" s="106"/>
      <c r="RJ2486" s="106"/>
      <c r="RK2486" s="106"/>
      <c r="RL2486" s="106"/>
    </row>
    <row r="2487" spans="48:480" x14ac:dyDescent="0.3">
      <c r="AV2487" s="103"/>
      <c r="CJ2487" s="103"/>
      <c r="FP2487" s="103"/>
      <c r="LL2487" s="103"/>
      <c r="NM2487" s="103"/>
      <c r="QT2487" s="106"/>
      <c r="QU2487" s="106"/>
      <c r="QV2487" s="106"/>
      <c r="QW2487" s="106"/>
      <c r="QX2487" s="106"/>
      <c r="QY2487" s="106"/>
      <c r="QZ2487" s="106"/>
      <c r="RA2487" s="106"/>
      <c r="RB2487" s="106"/>
      <c r="RC2487" s="106"/>
      <c r="RD2487" s="106"/>
      <c r="RE2487" s="106"/>
      <c r="RF2487" s="106"/>
      <c r="RG2487" s="106"/>
      <c r="RH2487" s="106"/>
      <c r="RI2487" s="106"/>
      <c r="RJ2487" s="106"/>
      <c r="RK2487" s="106"/>
      <c r="RL2487" s="106"/>
    </row>
    <row r="2488" spans="48:480" x14ac:dyDescent="0.3">
      <c r="AV2488" s="103"/>
      <c r="CJ2488" s="103"/>
      <c r="FP2488" s="103"/>
      <c r="LL2488" s="103"/>
      <c r="NM2488" s="103"/>
      <c r="QT2488" s="106"/>
      <c r="QU2488" s="106"/>
      <c r="QV2488" s="106"/>
      <c r="QW2488" s="106"/>
      <c r="QX2488" s="106"/>
      <c r="QY2488" s="106"/>
      <c r="QZ2488" s="106"/>
      <c r="RA2488" s="106"/>
      <c r="RB2488" s="106"/>
      <c r="RC2488" s="106"/>
      <c r="RD2488" s="106"/>
      <c r="RE2488" s="106"/>
      <c r="RF2488" s="106"/>
      <c r="RG2488" s="106"/>
      <c r="RH2488" s="106"/>
      <c r="RI2488" s="106"/>
      <c r="RJ2488" s="106"/>
      <c r="RK2488" s="106"/>
      <c r="RL2488" s="106"/>
    </row>
    <row r="2489" spans="48:480" x14ac:dyDescent="0.3">
      <c r="AV2489" s="103"/>
      <c r="CJ2489" s="103"/>
      <c r="FP2489" s="103"/>
      <c r="LL2489" s="103"/>
      <c r="NM2489" s="103"/>
      <c r="QT2489" s="106"/>
      <c r="QU2489" s="106"/>
      <c r="QV2489" s="106"/>
      <c r="QW2489" s="106"/>
      <c r="QX2489" s="106"/>
      <c r="QY2489" s="106"/>
      <c r="QZ2489" s="106"/>
      <c r="RA2489" s="106"/>
      <c r="RB2489" s="106"/>
      <c r="RC2489" s="106"/>
      <c r="RD2489" s="106"/>
      <c r="RE2489" s="106"/>
      <c r="RF2489" s="106"/>
      <c r="RG2489" s="106"/>
      <c r="RH2489" s="106"/>
      <c r="RI2489" s="106"/>
      <c r="RJ2489" s="106"/>
      <c r="RK2489" s="106"/>
      <c r="RL2489" s="106"/>
    </row>
    <row r="2490" spans="48:480" x14ac:dyDescent="0.3">
      <c r="AV2490" s="103"/>
      <c r="CJ2490" s="103"/>
      <c r="FP2490" s="103"/>
      <c r="LL2490" s="103"/>
      <c r="NM2490" s="103"/>
      <c r="QT2490" s="106"/>
      <c r="QU2490" s="106"/>
      <c r="QV2490" s="106"/>
      <c r="QW2490" s="106"/>
      <c r="QX2490" s="106"/>
      <c r="QY2490" s="106"/>
      <c r="QZ2490" s="106"/>
      <c r="RA2490" s="106"/>
      <c r="RB2490" s="106"/>
      <c r="RC2490" s="106"/>
      <c r="RD2490" s="106"/>
      <c r="RE2490" s="106"/>
      <c r="RF2490" s="106"/>
      <c r="RG2490" s="106"/>
      <c r="RH2490" s="106"/>
      <c r="RI2490" s="106"/>
      <c r="RJ2490" s="106"/>
      <c r="RK2490" s="106"/>
      <c r="RL2490" s="106"/>
    </row>
    <row r="2491" spans="48:480" x14ac:dyDescent="0.3">
      <c r="AV2491" s="103"/>
      <c r="CJ2491" s="103"/>
      <c r="FP2491" s="103"/>
      <c r="LL2491" s="103"/>
      <c r="NM2491" s="103"/>
      <c r="QT2491" s="106"/>
      <c r="QU2491" s="106"/>
      <c r="QV2491" s="106"/>
      <c r="QW2491" s="106"/>
      <c r="QX2491" s="106"/>
      <c r="QY2491" s="106"/>
      <c r="QZ2491" s="106"/>
      <c r="RA2491" s="106"/>
      <c r="RB2491" s="106"/>
      <c r="RC2491" s="106"/>
      <c r="RD2491" s="106"/>
      <c r="RE2491" s="106"/>
      <c r="RF2491" s="106"/>
      <c r="RG2491" s="106"/>
      <c r="RH2491" s="106"/>
      <c r="RI2491" s="106"/>
      <c r="RJ2491" s="106"/>
      <c r="RK2491" s="106"/>
      <c r="RL2491" s="106"/>
    </row>
    <row r="2492" spans="48:480" x14ac:dyDescent="0.3">
      <c r="AV2492" s="103"/>
      <c r="CJ2492" s="103"/>
      <c r="FP2492" s="103"/>
      <c r="LL2492" s="103"/>
      <c r="NM2492" s="103"/>
      <c r="QT2492" s="106"/>
      <c r="QU2492" s="106"/>
      <c r="QV2492" s="106"/>
      <c r="QW2492" s="106"/>
      <c r="QX2492" s="106"/>
      <c r="QY2492" s="106"/>
      <c r="QZ2492" s="106"/>
      <c r="RA2492" s="106"/>
      <c r="RB2492" s="106"/>
      <c r="RC2492" s="106"/>
      <c r="RD2492" s="106"/>
      <c r="RE2492" s="106"/>
      <c r="RF2492" s="106"/>
      <c r="RG2492" s="106"/>
      <c r="RH2492" s="106"/>
      <c r="RI2492" s="106"/>
      <c r="RJ2492" s="106"/>
      <c r="RK2492" s="106"/>
      <c r="RL2492" s="106"/>
    </row>
    <row r="2493" spans="48:480" x14ac:dyDescent="0.3">
      <c r="AV2493" s="103"/>
      <c r="CJ2493" s="103"/>
      <c r="FP2493" s="103"/>
      <c r="LL2493" s="103"/>
      <c r="NM2493" s="103"/>
      <c r="QT2493" s="106"/>
      <c r="QU2493" s="106"/>
      <c r="QV2493" s="106"/>
      <c r="QW2493" s="106"/>
      <c r="QX2493" s="106"/>
      <c r="QY2493" s="106"/>
      <c r="QZ2493" s="106"/>
      <c r="RA2493" s="106"/>
      <c r="RB2493" s="106"/>
      <c r="RC2493" s="106"/>
      <c r="RD2493" s="106"/>
      <c r="RE2493" s="106"/>
      <c r="RF2493" s="106"/>
      <c r="RG2493" s="106"/>
      <c r="RH2493" s="106"/>
      <c r="RI2493" s="106"/>
      <c r="RJ2493" s="106"/>
      <c r="RK2493" s="106"/>
      <c r="RL2493" s="106"/>
    </row>
    <row r="2494" spans="48:480" x14ac:dyDescent="0.3">
      <c r="AV2494" s="103"/>
      <c r="CJ2494" s="103"/>
      <c r="FP2494" s="103"/>
      <c r="LL2494" s="103"/>
      <c r="NM2494" s="103"/>
      <c r="QT2494" s="106"/>
      <c r="QU2494" s="106"/>
      <c r="QV2494" s="106"/>
      <c r="QW2494" s="106"/>
      <c r="QX2494" s="106"/>
      <c r="QY2494" s="106"/>
      <c r="QZ2494" s="106"/>
      <c r="RA2494" s="106"/>
      <c r="RB2494" s="106"/>
      <c r="RC2494" s="106"/>
      <c r="RD2494" s="106"/>
      <c r="RE2494" s="106"/>
      <c r="RF2494" s="106"/>
      <c r="RG2494" s="106"/>
      <c r="RH2494" s="106"/>
      <c r="RI2494" s="106"/>
      <c r="RJ2494" s="106"/>
      <c r="RK2494" s="106"/>
      <c r="RL2494" s="106"/>
    </row>
    <row r="2495" spans="48:480" x14ac:dyDescent="0.3">
      <c r="AV2495" s="103"/>
      <c r="CJ2495" s="103"/>
      <c r="FP2495" s="103"/>
      <c r="LL2495" s="103"/>
      <c r="NM2495" s="103"/>
      <c r="QT2495" s="106"/>
      <c r="QU2495" s="106"/>
      <c r="QV2495" s="106"/>
      <c r="QW2495" s="106"/>
      <c r="QX2495" s="106"/>
      <c r="QY2495" s="106"/>
      <c r="QZ2495" s="106"/>
      <c r="RA2495" s="106"/>
      <c r="RB2495" s="106"/>
      <c r="RC2495" s="106"/>
      <c r="RD2495" s="106"/>
      <c r="RE2495" s="106"/>
      <c r="RF2495" s="106"/>
      <c r="RG2495" s="106"/>
      <c r="RH2495" s="106"/>
      <c r="RI2495" s="106"/>
      <c r="RJ2495" s="106"/>
      <c r="RK2495" s="106"/>
      <c r="RL2495" s="106"/>
    </row>
    <row r="2496" spans="48:480" x14ac:dyDescent="0.3">
      <c r="AV2496" s="103"/>
      <c r="CJ2496" s="103"/>
      <c r="FP2496" s="103"/>
      <c r="LL2496" s="103"/>
      <c r="NM2496" s="103"/>
      <c r="QT2496" s="106"/>
      <c r="QU2496" s="106"/>
      <c r="QV2496" s="106"/>
      <c r="QW2496" s="106"/>
      <c r="QX2496" s="106"/>
      <c r="QY2496" s="106"/>
      <c r="QZ2496" s="106"/>
      <c r="RA2496" s="106"/>
      <c r="RB2496" s="106"/>
      <c r="RC2496" s="106"/>
      <c r="RD2496" s="106"/>
      <c r="RE2496" s="106"/>
      <c r="RF2496" s="106"/>
      <c r="RG2496" s="106"/>
      <c r="RH2496" s="106"/>
      <c r="RI2496" s="106"/>
      <c r="RJ2496" s="106"/>
      <c r="RK2496" s="106"/>
      <c r="RL2496" s="106"/>
    </row>
    <row r="2497" spans="48:480" x14ac:dyDescent="0.3">
      <c r="AV2497" s="103"/>
      <c r="CJ2497" s="103"/>
      <c r="FP2497" s="103"/>
      <c r="LL2497" s="103"/>
      <c r="NM2497" s="103"/>
      <c r="QT2497" s="106"/>
      <c r="QU2497" s="106"/>
      <c r="QV2497" s="106"/>
      <c r="QW2497" s="106"/>
      <c r="QX2497" s="106"/>
      <c r="QY2497" s="106"/>
      <c r="QZ2497" s="106"/>
      <c r="RA2497" s="106"/>
      <c r="RB2497" s="106"/>
      <c r="RC2497" s="106"/>
      <c r="RD2497" s="106"/>
      <c r="RE2497" s="106"/>
      <c r="RF2497" s="106"/>
      <c r="RG2497" s="106"/>
      <c r="RH2497" s="106"/>
      <c r="RI2497" s="106"/>
      <c r="RJ2497" s="106"/>
      <c r="RK2497" s="106"/>
      <c r="RL2497" s="106"/>
    </row>
    <row r="2498" spans="48:480" x14ac:dyDescent="0.3">
      <c r="AV2498" s="103"/>
      <c r="CJ2498" s="103"/>
      <c r="FP2498" s="103"/>
      <c r="LL2498" s="103"/>
      <c r="NM2498" s="103"/>
      <c r="QT2498" s="106"/>
      <c r="QU2498" s="106"/>
      <c r="QV2498" s="106"/>
      <c r="QW2498" s="106"/>
      <c r="QX2498" s="106"/>
      <c r="QY2498" s="106"/>
      <c r="QZ2498" s="106"/>
      <c r="RA2498" s="106"/>
      <c r="RB2498" s="106"/>
      <c r="RC2498" s="106"/>
      <c r="RD2498" s="106"/>
      <c r="RE2498" s="106"/>
      <c r="RF2498" s="106"/>
      <c r="RG2498" s="106"/>
      <c r="RH2498" s="106"/>
      <c r="RI2498" s="106"/>
      <c r="RJ2498" s="106"/>
      <c r="RK2498" s="106"/>
      <c r="RL2498" s="106"/>
    </row>
    <row r="2499" spans="48:480" x14ac:dyDescent="0.3">
      <c r="AV2499" s="103"/>
      <c r="CJ2499" s="103"/>
      <c r="FP2499" s="103"/>
      <c r="LL2499" s="103"/>
      <c r="NM2499" s="103"/>
      <c r="QT2499" s="106"/>
      <c r="QU2499" s="106"/>
      <c r="QV2499" s="106"/>
      <c r="QW2499" s="106"/>
      <c r="QX2499" s="106"/>
      <c r="QY2499" s="106"/>
      <c r="QZ2499" s="106"/>
      <c r="RA2499" s="106"/>
      <c r="RB2499" s="106"/>
      <c r="RC2499" s="106"/>
      <c r="RD2499" s="106"/>
      <c r="RE2499" s="106"/>
      <c r="RF2499" s="106"/>
      <c r="RG2499" s="106"/>
      <c r="RH2499" s="106"/>
      <c r="RI2499" s="106"/>
      <c r="RJ2499" s="106"/>
      <c r="RK2499" s="106"/>
      <c r="RL2499" s="106"/>
    </row>
    <row r="2500" spans="48:480" x14ac:dyDescent="0.3">
      <c r="AV2500" s="103"/>
      <c r="CJ2500" s="103"/>
      <c r="FP2500" s="103"/>
      <c r="LL2500" s="103"/>
      <c r="NM2500" s="103"/>
      <c r="QT2500" s="106"/>
      <c r="QU2500" s="106"/>
      <c r="QV2500" s="106"/>
      <c r="QW2500" s="106"/>
      <c r="QX2500" s="106"/>
      <c r="QY2500" s="106"/>
      <c r="QZ2500" s="106"/>
      <c r="RA2500" s="106"/>
      <c r="RB2500" s="106"/>
      <c r="RC2500" s="106"/>
      <c r="RD2500" s="106"/>
      <c r="RE2500" s="106"/>
      <c r="RF2500" s="106"/>
      <c r="RG2500" s="106"/>
      <c r="RH2500" s="106"/>
      <c r="RI2500" s="106"/>
      <c r="RJ2500" s="106"/>
      <c r="RK2500" s="106"/>
      <c r="RL2500" s="106"/>
    </row>
    <row r="2501" spans="48:480" x14ac:dyDescent="0.3">
      <c r="AV2501" s="103"/>
      <c r="CJ2501" s="103"/>
      <c r="FP2501" s="103"/>
      <c r="LL2501" s="103"/>
      <c r="NM2501" s="103"/>
      <c r="QT2501" s="106"/>
      <c r="QU2501" s="106"/>
      <c r="QV2501" s="106"/>
      <c r="QW2501" s="106"/>
      <c r="QX2501" s="106"/>
      <c r="QY2501" s="106"/>
      <c r="QZ2501" s="106"/>
      <c r="RA2501" s="106"/>
      <c r="RB2501" s="106"/>
      <c r="RC2501" s="106"/>
      <c r="RD2501" s="106"/>
      <c r="RE2501" s="106"/>
      <c r="RF2501" s="106"/>
      <c r="RG2501" s="106"/>
      <c r="RH2501" s="106"/>
      <c r="RI2501" s="106"/>
      <c r="RJ2501" s="106"/>
      <c r="RK2501" s="106"/>
      <c r="RL2501" s="106"/>
    </row>
    <row r="2502" spans="48:480" x14ac:dyDescent="0.3">
      <c r="AV2502" s="103"/>
      <c r="CJ2502" s="103"/>
      <c r="FP2502" s="103"/>
      <c r="LL2502" s="103"/>
      <c r="NM2502" s="103"/>
      <c r="QT2502" s="106"/>
      <c r="QU2502" s="106"/>
      <c r="QV2502" s="106"/>
      <c r="QW2502" s="106"/>
      <c r="QX2502" s="106"/>
      <c r="QY2502" s="106"/>
      <c r="QZ2502" s="106"/>
      <c r="RA2502" s="106"/>
      <c r="RB2502" s="106"/>
      <c r="RC2502" s="106"/>
      <c r="RD2502" s="106"/>
      <c r="RE2502" s="106"/>
      <c r="RF2502" s="106"/>
      <c r="RG2502" s="106"/>
      <c r="RH2502" s="106"/>
      <c r="RI2502" s="106"/>
      <c r="RJ2502" s="106"/>
      <c r="RK2502" s="106"/>
      <c r="RL2502" s="106"/>
    </row>
    <row r="2503" spans="48:480" x14ac:dyDescent="0.3">
      <c r="AV2503" s="103"/>
      <c r="CJ2503" s="103"/>
      <c r="FP2503" s="103"/>
      <c r="LL2503" s="103"/>
      <c r="NM2503" s="103"/>
      <c r="QT2503" s="106"/>
      <c r="QU2503" s="106"/>
      <c r="QV2503" s="106"/>
      <c r="QW2503" s="106"/>
      <c r="QX2503" s="106"/>
      <c r="QY2503" s="106"/>
      <c r="QZ2503" s="106"/>
      <c r="RA2503" s="106"/>
      <c r="RB2503" s="106"/>
      <c r="RC2503" s="106"/>
      <c r="RD2503" s="106"/>
      <c r="RE2503" s="106"/>
      <c r="RF2503" s="106"/>
      <c r="RG2503" s="106"/>
      <c r="RH2503" s="106"/>
      <c r="RI2503" s="106"/>
      <c r="RJ2503" s="106"/>
      <c r="RK2503" s="106"/>
      <c r="RL2503" s="106"/>
    </row>
    <row r="2504" spans="48:480" x14ac:dyDescent="0.3">
      <c r="AV2504" s="103"/>
      <c r="CJ2504" s="103"/>
      <c r="FP2504" s="103"/>
      <c r="LL2504" s="103"/>
      <c r="NM2504" s="103"/>
      <c r="QT2504" s="106"/>
      <c r="QU2504" s="106"/>
      <c r="QV2504" s="106"/>
      <c r="QW2504" s="106"/>
      <c r="QX2504" s="106"/>
      <c r="QY2504" s="106"/>
      <c r="QZ2504" s="106"/>
      <c r="RA2504" s="106"/>
      <c r="RB2504" s="106"/>
      <c r="RC2504" s="106"/>
      <c r="RD2504" s="106"/>
      <c r="RE2504" s="106"/>
      <c r="RF2504" s="106"/>
      <c r="RG2504" s="106"/>
      <c r="RH2504" s="106"/>
      <c r="RI2504" s="106"/>
      <c r="RJ2504" s="106"/>
      <c r="RK2504" s="106"/>
      <c r="RL2504" s="106"/>
    </row>
    <row r="2505" spans="48:480" x14ac:dyDescent="0.3">
      <c r="AV2505" s="103"/>
      <c r="CJ2505" s="103"/>
      <c r="FP2505" s="103"/>
      <c r="LL2505" s="103"/>
      <c r="NM2505" s="103"/>
      <c r="QT2505" s="106"/>
      <c r="QU2505" s="106"/>
      <c r="QV2505" s="106"/>
      <c r="QW2505" s="106"/>
      <c r="QX2505" s="106"/>
      <c r="QY2505" s="106"/>
      <c r="QZ2505" s="106"/>
      <c r="RA2505" s="106"/>
      <c r="RB2505" s="106"/>
      <c r="RC2505" s="106"/>
      <c r="RD2505" s="106"/>
      <c r="RE2505" s="106"/>
      <c r="RF2505" s="106"/>
      <c r="RG2505" s="106"/>
      <c r="RH2505" s="106"/>
      <c r="RI2505" s="106"/>
      <c r="RJ2505" s="106"/>
      <c r="RK2505" s="106"/>
      <c r="RL2505" s="106"/>
    </row>
    <row r="2506" spans="48:480" x14ac:dyDescent="0.3">
      <c r="AV2506" s="103"/>
      <c r="CJ2506" s="103"/>
      <c r="FP2506" s="103"/>
      <c r="LL2506" s="103"/>
      <c r="NM2506" s="103"/>
      <c r="QT2506" s="106"/>
      <c r="QU2506" s="106"/>
      <c r="QV2506" s="106"/>
      <c r="QW2506" s="106"/>
      <c r="QX2506" s="106"/>
      <c r="QY2506" s="106"/>
      <c r="QZ2506" s="106"/>
      <c r="RA2506" s="106"/>
      <c r="RB2506" s="106"/>
      <c r="RC2506" s="106"/>
      <c r="RD2506" s="106"/>
      <c r="RE2506" s="106"/>
      <c r="RF2506" s="106"/>
      <c r="RG2506" s="106"/>
      <c r="RH2506" s="106"/>
      <c r="RI2506" s="106"/>
      <c r="RJ2506" s="106"/>
      <c r="RK2506" s="106"/>
      <c r="RL2506" s="106"/>
    </row>
    <row r="2507" spans="48:480" x14ac:dyDescent="0.3">
      <c r="AV2507" s="103"/>
      <c r="CJ2507" s="103"/>
      <c r="FP2507" s="103"/>
      <c r="LL2507" s="103"/>
      <c r="NM2507" s="103"/>
      <c r="QT2507" s="106"/>
      <c r="QU2507" s="106"/>
      <c r="QV2507" s="106"/>
      <c r="QW2507" s="106"/>
      <c r="QX2507" s="106"/>
      <c r="QY2507" s="106"/>
      <c r="QZ2507" s="106"/>
      <c r="RA2507" s="106"/>
      <c r="RB2507" s="106"/>
      <c r="RC2507" s="106"/>
      <c r="RD2507" s="106"/>
      <c r="RE2507" s="106"/>
      <c r="RF2507" s="106"/>
      <c r="RG2507" s="106"/>
      <c r="RH2507" s="106"/>
      <c r="RI2507" s="106"/>
      <c r="RJ2507" s="106"/>
      <c r="RK2507" s="106"/>
      <c r="RL2507" s="106"/>
    </row>
    <row r="2508" spans="48:480" x14ac:dyDescent="0.3">
      <c r="AV2508" s="103"/>
      <c r="CJ2508" s="103"/>
      <c r="FP2508" s="103"/>
      <c r="LL2508" s="103"/>
      <c r="NM2508" s="103"/>
      <c r="QT2508" s="106"/>
      <c r="QU2508" s="106"/>
      <c r="QV2508" s="106"/>
      <c r="QW2508" s="106"/>
      <c r="QX2508" s="106"/>
      <c r="QY2508" s="106"/>
      <c r="QZ2508" s="106"/>
      <c r="RA2508" s="106"/>
      <c r="RB2508" s="106"/>
      <c r="RC2508" s="106"/>
      <c r="RD2508" s="106"/>
      <c r="RE2508" s="106"/>
      <c r="RF2508" s="106"/>
      <c r="RG2508" s="106"/>
      <c r="RH2508" s="106"/>
      <c r="RI2508" s="106"/>
      <c r="RJ2508" s="106"/>
      <c r="RK2508" s="106"/>
      <c r="RL2508" s="106"/>
    </row>
    <row r="2509" spans="48:480" x14ac:dyDescent="0.3">
      <c r="AV2509" s="103"/>
      <c r="CJ2509" s="103"/>
      <c r="FP2509" s="103"/>
      <c r="LL2509" s="103"/>
      <c r="NM2509" s="103"/>
      <c r="QT2509" s="106"/>
      <c r="QU2509" s="106"/>
      <c r="QV2509" s="106"/>
      <c r="QW2509" s="106"/>
      <c r="QX2509" s="106"/>
      <c r="QY2509" s="106"/>
      <c r="QZ2509" s="106"/>
      <c r="RA2509" s="106"/>
      <c r="RB2509" s="106"/>
      <c r="RC2509" s="106"/>
      <c r="RD2509" s="106"/>
      <c r="RE2509" s="106"/>
      <c r="RF2509" s="106"/>
      <c r="RG2509" s="106"/>
      <c r="RH2509" s="106"/>
      <c r="RI2509" s="106"/>
      <c r="RJ2509" s="106"/>
      <c r="RK2509" s="106"/>
      <c r="RL2509" s="106"/>
    </row>
    <row r="2510" spans="48:480" x14ac:dyDescent="0.3">
      <c r="AV2510" s="103"/>
      <c r="CJ2510" s="103"/>
      <c r="FP2510" s="103"/>
      <c r="LL2510" s="103"/>
      <c r="NM2510" s="103"/>
      <c r="QT2510" s="106"/>
      <c r="QU2510" s="106"/>
      <c r="QV2510" s="106"/>
      <c r="QW2510" s="106"/>
      <c r="QX2510" s="106"/>
      <c r="QY2510" s="106"/>
      <c r="QZ2510" s="106"/>
      <c r="RA2510" s="106"/>
      <c r="RB2510" s="106"/>
      <c r="RC2510" s="106"/>
      <c r="RD2510" s="106"/>
      <c r="RE2510" s="106"/>
      <c r="RF2510" s="106"/>
      <c r="RG2510" s="106"/>
      <c r="RH2510" s="106"/>
      <c r="RI2510" s="106"/>
      <c r="RJ2510" s="106"/>
      <c r="RK2510" s="106"/>
      <c r="RL2510" s="106"/>
    </row>
    <row r="2511" spans="48:480" x14ac:dyDescent="0.3">
      <c r="AV2511" s="103"/>
      <c r="CJ2511" s="103"/>
      <c r="FP2511" s="103"/>
      <c r="LL2511" s="103"/>
      <c r="NM2511" s="103"/>
      <c r="QT2511" s="106"/>
      <c r="QU2511" s="106"/>
      <c r="QV2511" s="106"/>
      <c r="QW2511" s="106"/>
      <c r="QX2511" s="106"/>
      <c r="QY2511" s="106"/>
      <c r="QZ2511" s="106"/>
      <c r="RA2511" s="106"/>
      <c r="RB2511" s="106"/>
      <c r="RC2511" s="106"/>
      <c r="RD2511" s="106"/>
      <c r="RE2511" s="106"/>
      <c r="RF2511" s="106"/>
      <c r="RG2511" s="106"/>
      <c r="RH2511" s="106"/>
      <c r="RI2511" s="106"/>
      <c r="RJ2511" s="106"/>
      <c r="RK2511" s="106"/>
      <c r="RL2511" s="106"/>
    </row>
    <row r="2512" spans="48:480" x14ac:dyDescent="0.3">
      <c r="AV2512" s="103"/>
      <c r="CJ2512" s="103"/>
      <c r="FP2512" s="103"/>
      <c r="LL2512" s="103"/>
      <c r="NM2512" s="103"/>
      <c r="QT2512" s="106"/>
      <c r="QU2512" s="106"/>
      <c r="QV2512" s="106"/>
      <c r="QW2512" s="106"/>
      <c r="QX2512" s="106"/>
      <c r="QY2512" s="106"/>
      <c r="QZ2512" s="106"/>
      <c r="RA2512" s="106"/>
      <c r="RB2512" s="106"/>
      <c r="RC2512" s="106"/>
      <c r="RD2512" s="106"/>
      <c r="RE2512" s="106"/>
      <c r="RF2512" s="106"/>
      <c r="RG2512" s="106"/>
      <c r="RH2512" s="106"/>
      <c r="RI2512" s="106"/>
      <c r="RJ2512" s="106"/>
      <c r="RK2512" s="106"/>
      <c r="RL2512" s="106"/>
    </row>
    <row r="2513" spans="48:480" x14ac:dyDescent="0.3">
      <c r="AV2513" s="103"/>
      <c r="CJ2513" s="103"/>
      <c r="FP2513" s="103"/>
      <c r="LL2513" s="103"/>
      <c r="NM2513" s="103"/>
      <c r="QT2513" s="106"/>
      <c r="QU2513" s="106"/>
      <c r="QV2513" s="106"/>
      <c r="QW2513" s="106"/>
      <c r="QX2513" s="106"/>
      <c r="QY2513" s="106"/>
      <c r="QZ2513" s="106"/>
      <c r="RA2513" s="106"/>
      <c r="RB2513" s="106"/>
      <c r="RC2513" s="106"/>
      <c r="RD2513" s="106"/>
      <c r="RE2513" s="106"/>
      <c r="RF2513" s="106"/>
      <c r="RG2513" s="106"/>
      <c r="RH2513" s="106"/>
      <c r="RI2513" s="106"/>
      <c r="RJ2513" s="106"/>
      <c r="RK2513" s="106"/>
      <c r="RL2513" s="106"/>
    </row>
    <row r="2514" spans="48:480" x14ac:dyDescent="0.3">
      <c r="AV2514" s="103"/>
      <c r="CJ2514" s="103"/>
      <c r="FP2514" s="103"/>
      <c r="LL2514" s="103"/>
      <c r="NM2514" s="103"/>
      <c r="QT2514" s="106"/>
      <c r="QU2514" s="106"/>
      <c r="QV2514" s="106"/>
      <c r="QW2514" s="106"/>
      <c r="QX2514" s="106"/>
      <c r="QY2514" s="106"/>
      <c r="QZ2514" s="106"/>
      <c r="RA2514" s="106"/>
      <c r="RB2514" s="106"/>
      <c r="RC2514" s="106"/>
      <c r="RD2514" s="106"/>
      <c r="RE2514" s="106"/>
      <c r="RF2514" s="106"/>
      <c r="RG2514" s="106"/>
      <c r="RH2514" s="106"/>
      <c r="RI2514" s="106"/>
      <c r="RJ2514" s="106"/>
      <c r="RK2514" s="106"/>
      <c r="RL2514" s="106"/>
    </row>
    <row r="2515" spans="48:480" x14ac:dyDescent="0.3">
      <c r="AV2515" s="103"/>
      <c r="CJ2515" s="103"/>
      <c r="FP2515" s="103"/>
      <c r="LL2515" s="103"/>
      <c r="NM2515" s="103"/>
      <c r="QT2515" s="106"/>
      <c r="QU2515" s="106"/>
      <c r="QV2515" s="106"/>
      <c r="QW2515" s="106"/>
      <c r="QX2515" s="106"/>
      <c r="QY2515" s="106"/>
      <c r="QZ2515" s="106"/>
      <c r="RA2515" s="106"/>
      <c r="RB2515" s="106"/>
      <c r="RC2515" s="106"/>
      <c r="RD2515" s="106"/>
      <c r="RE2515" s="106"/>
      <c r="RF2515" s="106"/>
      <c r="RG2515" s="106"/>
      <c r="RH2515" s="106"/>
      <c r="RI2515" s="106"/>
      <c r="RJ2515" s="106"/>
      <c r="RK2515" s="106"/>
      <c r="RL2515" s="106"/>
    </row>
    <row r="2516" spans="48:480" x14ac:dyDescent="0.3">
      <c r="AV2516" s="103"/>
      <c r="CJ2516" s="103"/>
      <c r="FP2516" s="103"/>
      <c r="LL2516" s="103"/>
      <c r="NM2516" s="103"/>
      <c r="QT2516" s="106"/>
      <c r="QU2516" s="106"/>
      <c r="QV2516" s="106"/>
      <c r="QW2516" s="106"/>
      <c r="QX2516" s="106"/>
      <c r="QY2516" s="106"/>
      <c r="QZ2516" s="106"/>
      <c r="RA2516" s="106"/>
      <c r="RB2516" s="106"/>
      <c r="RC2516" s="106"/>
      <c r="RD2516" s="106"/>
      <c r="RE2516" s="106"/>
      <c r="RF2516" s="106"/>
      <c r="RG2516" s="106"/>
      <c r="RH2516" s="106"/>
      <c r="RI2516" s="106"/>
      <c r="RJ2516" s="106"/>
      <c r="RK2516" s="106"/>
      <c r="RL2516" s="106"/>
    </row>
    <row r="2517" spans="48:480" x14ac:dyDescent="0.3">
      <c r="AV2517" s="103"/>
      <c r="CJ2517" s="103"/>
      <c r="FP2517" s="103"/>
      <c r="LL2517" s="103"/>
      <c r="NM2517" s="103"/>
      <c r="QT2517" s="106"/>
      <c r="QU2517" s="106"/>
      <c r="QV2517" s="106"/>
      <c r="QW2517" s="106"/>
      <c r="QX2517" s="106"/>
      <c r="QY2517" s="106"/>
      <c r="QZ2517" s="106"/>
      <c r="RA2517" s="106"/>
      <c r="RB2517" s="106"/>
      <c r="RC2517" s="106"/>
      <c r="RD2517" s="106"/>
      <c r="RE2517" s="106"/>
      <c r="RF2517" s="106"/>
      <c r="RG2517" s="106"/>
      <c r="RH2517" s="106"/>
      <c r="RI2517" s="106"/>
      <c r="RJ2517" s="106"/>
      <c r="RK2517" s="106"/>
      <c r="RL2517" s="106"/>
    </row>
    <row r="2518" spans="48:480" x14ac:dyDescent="0.3">
      <c r="AV2518" s="103"/>
      <c r="CJ2518" s="103"/>
      <c r="FP2518" s="103"/>
      <c r="LL2518" s="103"/>
      <c r="NM2518" s="103"/>
      <c r="QT2518" s="106"/>
      <c r="QU2518" s="106"/>
      <c r="QV2518" s="106"/>
      <c r="QW2518" s="106"/>
      <c r="QX2518" s="106"/>
      <c r="QY2518" s="106"/>
      <c r="QZ2518" s="106"/>
      <c r="RA2518" s="106"/>
      <c r="RB2518" s="106"/>
      <c r="RC2518" s="106"/>
      <c r="RD2518" s="106"/>
      <c r="RE2518" s="106"/>
      <c r="RF2518" s="106"/>
      <c r="RG2518" s="106"/>
      <c r="RH2518" s="106"/>
      <c r="RI2518" s="106"/>
      <c r="RJ2518" s="106"/>
      <c r="RK2518" s="106"/>
      <c r="RL2518" s="106"/>
    </row>
    <row r="2519" spans="48:480" x14ac:dyDescent="0.3">
      <c r="AV2519" s="103"/>
      <c r="CJ2519" s="103"/>
      <c r="FP2519" s="103"/>
      <c r="LL2519" s="103"/>
      <c r="NM2519" s="103"/>
      <c r="QT2519" s="106"/>
      <c r="QU2519" s="106"/>
      <c r="QV2519" s="106"/>
      <c r="QW2519" s="106"/>
      <c r="QX2519" s="106"/>
      <c r="QY2519" s="106"/>
      <c r="QZ2519" s="106"/>
      <c r="RA2519" s="106"/>
      <c r="RB2519" s="106"/>
      <c r="RC2519" s="106"/>
      <c r="RD2519" s="106"/>
      <c r="RE2519" s="106"/>
      <c r="RF2519" s="106"/>
      <c r="RG2519" s="106"/>
      <c r="RH2519" s="106"/>
      <c r="RI2519" s="106"/>
      <c r="RJ2519" s="106"/>
      <c r="RK2519" s="106"/>
      <c r="RL2519" s="106"/>
    </row>
    <row r="2520" spans="48:480" x14ac:dyDescent="0.3">
      <c r="AV2520" s="103"/>
      <c r="CJ2520" s="103"/>
      <c r="FP2520" s="103"/>
      <c r="LL2520" s="103"/>
      <c r="NM2520" s="103"/>
      <c r="QT2520" s="106"/>
      <c r="QU2520" s="106"/>
      <c r="QV2520" s="106"/>
      <c r="QW2520" s="106"/>
      <c r="QX2520" s="106"/>
      <c r="QY2520" s="106"/>
      <c r="QZ2520" s="106"/>
      <c r="RA2520" s="106"/>
      <c r="RB2520" s="106"/>
      <c r="RC2520" s="106"/>
      <c r="RD2520" s="106"/>
      <c r="RE2520" s="106"/>
      <c r="RF2520" s="106"/>
      <c r="RG2520" s="106"/>
      <c r="RH2520" s="106"/>
      <c r="RI2520" s="106"/>
      <c r="RJ2520" s="106"/>
      <c r="RK2520" s="106"/>
      <c r="RL2520" s="106"/>
    </row>
    <row r="2521" spans="48:480" x14ac:dyDescent="0.3">
      <c r="AV2521" s="103"/>
      <c r="CJ2521" s="103"/>
      <c r="FP2521" s="103"/>
      <c r="LL2521" s="103"/>
      <c r="NM2521" s="103"/>
      <c r="QT2521" s="106"/>
      <c r="QU2521" s="106"/>
      <c r="QV2521" s="106"/>
      <c r="QW2521" s="106"/>
      <c r="QX2521" s="106"/>
      <c r="QY2521" s="106"/>
      <c r="QZ2521" s="106"/>
      <c r="RA2521" s="106"/>
      <c r="RB2521" s="106"/>
      <c r="RC2521" s="106"/>
      <c r="RD2521" s="106"/>
      <c r="RE2521" s="106"/>
      <c r="RF2521" s="106"/>
      <c r="RG2521" s="106"/>
      <c r="RH2521" s="106"/>
      <c r="RI2521" s="106"/>
      <c r="RJ2521" s="106"/>
      <c r="RK2521" s="106"/>
      <c r="RL2521" s="106"/>
    </row>
    <row r="2522" spans="48:480" x14ac:dyDescent="0.3">
      <c r="AV2522" s="103"/>
      <c r="CJ2522" s="103"/>
      <c r="FP2522" s="103"/>
      <c r="LL2522" s="103"/>
      <c r="NM2522" s="103"/>
      <c r="QT2522" s="106"/>
      <c r="QU2522" s="106"/>
      <c r="QV2522" s="106"/>
      <c r="QW2522" s="106"/>
      <c r="QX2522" s="106"/>
      <c r="QY2522" s="106"/>
      <c r="QZ2522" s="106"/>
      <c r="RA2522" s="106"/>
      <c r="RB2522" s="106"/>
      <c r="RC2522" s="106"/>
      <c r="RD2522" s="106"/>
      <c r="RE2522" s="106"/>
      <c r="RF2522" s="106"/>
      <c r="RG2522" s="106"/>
      <c r="RH2522" s="106"/>
      <c r="RI2522" s="106"/>
      <c r="RJ2522" s="106"/>
      <c r="RK2522" s="106"/>
      <c r="RL2522" s="106"/>
    </row>
    <row r="2523" spans="48:480" x14ac:dyDescent="0.3">
      <c r="AV2523" s="103"/>
      <c r="CJ2523" s="103"/>
      <c r="FP2523" s="103"/>
      <c r="LL2523" s="103"/>
      <c r="NM2523" s="103"/>
      <c r="QT2523" s="106"/>
      <c r="QU2523" s="106"/>
      <c r="QV2523" s="106"/>
      <c r="QW2523" s="106"/>
      <c r="QX2523" s="106"/>
      <c r="QY2523" s="106"/>
      <c r="QZ2523" s="106"/>
      <c r="RA2523" s="106"/>
      <c r="RB2523" s="106"/>
      <c r="RC2523" s="106"/>
      <c r="RD2523" s="106"/>
      <c r="RE2523" s="106"/>
      <c r="RF2523" s="106"/>
      <c r="RG2523" s="106"/>
      <c r="RH2523" s="106"/>
      <c r="RI2523" s="106"/>
      <c r="RJ2523" s="106"/>
      <c r="RK2523" s="106"/>
      <c r="RL2523" s="106"/>
    </row>
    <row r="2524" spans="48:480" x14ac:dyDescent="0.3">
      <c r="AV2524" s="103"/>
      <c r="CJ2524" s="103"/>
      <c r="FP2524" s="103"/>
      <c r="LL2524" s="103"/>
      <c r="NM2524" s="103"/>
      <c r="QT2524" s="106"/>
      <c r="QU2524" s="106"/>
      <c r="QV2524" s="106"/>
      <c r="QW2524" s="106"/>
      <c r="QX2524" s="106"/>
      <c r="QY2524" s="106"/>
      <c r="QZ2524" s="106"/>
      <c r="RA2524" s="106"/>
      <c r="RB2524" s="106"/>
      <c r="RC2524" s="106"/>
      <c r="RD2524" s="106"/>
      <c r="RE2524" s="106"/>
      <c r="RF2524" s="106"/>
      <c r="RG2524" s="106"/>
      <c r="RH2524" s="106"/>
      <c r="RI2524" s="106"/>
      <c r="RJ2524" s="106"/>
      <c r="RK2524" s="106"/>
      <c r="RL2524" s="106"/>
    </row>
    <row r="2525" spans="48:480" x14ac:dyDescent="0.3">
      <c r="AV2525" s="103"/>
      <c r="CJ2525" s="103"/>
      <c r="FP2525" s="103"/>
      <c r="LL2525" s="103"/>
      <c r="NM2525" s="103"/>
      <c r="QT2525" s="106"/>
      <c r="QU2525" s="106"/>
      <c r="QV2525" s="106"/>
      <c r="QW2525" s="106"/>
      <c r="QX2525" s="106"/>
      <c r="QY2525" s="106"/>
      <c r="QZ2525" s="106"/>
      <c r="RA2525" s="106"/>
      <c r="RB2525" s="106"/>
      <c r="RC2525" s="106"/>
      <c r="RD2525" s="106"/>
      <c r="RE2525" s="106"/>
      <c r="RF2525" s="106"/>
      <c r="RG2525" s="106"/>
      <c r="RH2525" s="106"/>
      <c r="RI2525" s="106"/>
      <c r="RJ2525" s="106"/>
      <c r="RK2525" s="106"/>
      <c r="RL2525" s="106"/>
    </row>
    <row r="2526" spans="48:480" x14ac:dyDescent="0.3">
      <c r="AV2526" s="103"/>
      <c r="CJ2526" s="103"/>
      <c r="FP2526" s="103"/>
      <c r="LL2526" s="103"/>
      <c r="NM2526" s="103"/>
      <c r="QT2526" s="106"/>
      <c r="QU2526" s="106"/>
      <c r="QV2526" s="106"/>
      <c r="QW2526" s="106"/>
      <c r="QX2526" s="106"/>
      <c r="QY2526" s="106"/>
      <c r="QZ2526" s="106"/>
      <c r="RA2526" s="106"/>
      <c r="RB2526" s="106"/>
      <c r="RC2526" s="106"/>
      <c r="RD2526" s="106"/>
      <c r="RE2526" s="106"/>
      <c r="RF2526" s="106"/>
      <c r="RG2526" s="106"/>
      <c r="RH2526" s="106"/>
      <c r="RI2526" s="106"/>
      <c r="RJ2526" s="106"/>
      <c r="RK2526" s="106"/>
      <c r="RL2526" s="106"/>
    </row>
    <row r="2527" spans="48:480" x14ac:dyDescent="0.3">
      <c r="AV2527" s="103"/>
      <c r="CJ2527" s="103"/>
      <c r="FP2527" s="103"/>
      <c r="LL2527" s="103"/>
      <c r="NM2527" s="103"/>
      <c r="QT2527" s="106"/>
      <c r="QU2527" s="106"/>
      <c r="QV2527" s="106"/>
      <c r="QW2527" s="106"/>
      <c r="QX2527" s="106"/>
      <c r="QY2527" s="106"/>
      <c r="QZ2527" s="106"/>
      <c r="RA2527" s="106"/>
      <c r="RB2527" s="106"/>
      <c r="RC2527" s="106"/>
      <c r="RD2527" s="106"/>
      <c r="RE2527" s="106"/>
      <c r="RF2527" s="106"/>
      <c r="RG2527" s="106"/>
      <c r="RH2527" s="106"/>
      <c r="RI2527" s="106"/>
      <c r="RJ2527" s="106"/>
      <c r="RK2527" s="106"/>
      <c r="RL2527" s="106"/>
    </row>
    <row r="2528" spans="48:480" x14ac:dyDescent="0.3">
      <c r="AV2528" s="103"/>
      <c r="CJ2528" s="103"/>
      <c r="FP2528" s="103"/>
      <c r="LL2528" s="103"/>
      <c r="NM2528" s="103"/>
      <c r="QT2528" s="106"/>
      <c r="QU2528" s="106"/>
      <c r="QV2528" s="106"/>
      <c r="QW2528" s="106"/>
      <c r="QX2528" s="106"/>
      <c r="QY2528" s="106"/>
      <c r="QZ2528" s="106"/>
      <c r="RA2528" s="106"/>
      <c r="RB2528" s="106"/>
      <c r="RC2528" s="106"/>
      <c r="RD2528" s="106"/>
      <c r="RE2528" s="106"/>
      <c r="RF2528" s="106"/>
      <c r="RG2528" s="106"/>
      <c r="RH2528" s="106"/>
      <c r="RI2528" s="106"/>
      <c r="RJ2528" s="106"/>
      <c r="RK2528" s="106"/>
      <c r="RL2528" s="106"/>
    </row>
    <row r="2529" spans="48:480" x14ac:dyDescent="0.3">
      <c r="AV2529" s="103"/>
      <c r="CJ2529" s="103"/>
      <c r="FP2529" s="103"/>
      <c r="LL2529" s="103"/>
      <c r="NM2529" s="103"/>
      <c r="QT2529" s="106"/>
      <c r="QU2529" s="106"/>
      <c r="QV2529" s="106"/>
      <c r="QW2529" s="106"/>
      <c r="QX2529" s="106"/>
      <c r="QY2529" s="106"/>
      <c r="QZ2529" s="106"/>
      <c r="RA2529" s="106"/>
      <c r="RB2529" s="106"/>
      <c r="RC2529" s="106"/>
      <c r="RD2529" s="106"/>
      <c r="RE2529" s="106"/>
      <c r="RF2529" s="106"/>
      <c r="RG2529" s="106"/>
      <c r="RH2529" s="106"/>
      <c r="RI2529" s="106"/>
      <c r="RJ2529" s="106"/>
      <c r="RK2529" s="106"/>
      <c r="RL2529" s="106"/>
    </row>
    <row r="2530" spans="48:480" x14ac:dyDescent="0.3">
      <c r="AV2530" s="103"/>
      <c r="CJ2530" s="103"/>
      <c r="FP2530" s="103"/>
      <c r="LL2530" s="103"/>
      <c r="NM2530" s="103"/>
      <c r="QT2530" s="106"/>
      <c r="QU2530" s="106"/>
      <c r="QV2530" s="106"/>
      <c r="QW2530" s="106"/>
      <c r="QX2530" s="106"/>
      <c r="QY2530" s="106"/>
      <c r="QZ2530" s="106"/>
      <c r="RA2530" s="106"/>
      <c r="RB2530" s="106"/>
      <c r="RC2530" s="106"/>
      <c r="RD2530" s="106"/>
      <c r="RE2530" s="106"/>
      <c r="RF2530" s="106"/>
      <c r="RG2530" s="106"/>
      <c r="RH2530" s="106"/>
      <c r="RI2530" s="106"/>
      <c r="RJ2530" s="106"/>
      <c r="RK2530" s="106"/>
      <c r="RL2530" s="106"/>
    </row>
    <row r="2531" spans="48:480" x14ac:dyDescent="0.3">
      <c r="AV2531" s="103"/>
      <c r="CJ2531" s="103"/>
      <c r="FP2531" s="103"/>
      <c r="LL2531" s="103"/>
      <c r="NM2531" s="103"/>
      <c r="QT2531" s="106"/>
      <c r="QU2531" s="106"/>
      <c r="QV2531" s="106"/>
      <c r="QW2531" s="106"/>
      <c r="QX2531" s="106"/>
      <c r="QY2531" s="106"/>
      <c r="QZ2531" s="106"/>
      <c r="RA2531" s="106"/>
      <c r="RB2531" s="106"/>
      <c r="RC2531" s="106"/>
      <c r="RD2531" s="106"/>
      <c r="RE2531" s="106"/>
      <c r="RF2531" s="106"/>
      <c r="RG2531" s="106"/>
      <c r="RH2531" s="106"/>
      <c r="RI2531" s="106"/>
      <c r="RJ2531" s="106"/>
      <c r="RK2531" s="106"/>
      <c r="RL2531" s="106"/>
    </row>
    <row r="2532" spans="48:480" x14ac:dyDescent="0.3">
      <c r="AV2532" s="103"/>
      <c r="CJ2532" s="103"/>
      <c r="FP2532" s="103"/>
      <c r="LL2532" s="103"/>
      <c r="NM2532" s="103"/>
      <c r="QT2532" s="106"/>
      <c r="QU2532" s="106"/>
      <c r="QV2532" s="106"/>
      <c r="QW2532" s="106"/>
      <c r="QX2532" s="106"/>
      <c r="QY2532" s="106"/>
      <c r="QZ2532" s="106"/>
      <c r="RA2532" s="106"/>
      <c r="RB2532" s="106"/>
      <c r="RC2532" s="106"/>
      <c r="RD2532" s="106"/>
      <c r="RE2532" s="106"/>
      <c r="RF2532" s="106"/>
      <c r="RG2532" s="106"/>
      <c r="RH2532" s="106"/>
      <c r="RI2532" s="106"/>
      <c r="RJ2532" s="106"/>
      <c r="RK2532" s="106"/>
      <c r="RL2532" s="106"/>
    </row>
    <row r="2533" spans="48:480" x14ac:dyDescent="0.3">
      <c r="AV2533" s="103"/>
      <c r="CJ2533" s="103"/>
      <c r="FP2533" s="103"/>
      <c r="LL2533" s="103"/>
      <c r="NM2533" s="103"/>
      <c r="QT2533" s="106"/>
      <c r="QU2533" s="106"/>
      <c r="QV2533" s="106"/>
      <c r="QW2533" s="106"/>
      <c r="QX2533" s="106"/>
      <c r="QY2533" s="106"/>
      <c r="QZ2533" s="106"/>
      <c r="RA2533" s="106"/>
      <c r="RB2533" s="106"/>
      <c r="RC2533" s="106"/>
      <c r="RD2533" s="106"/>
      <c r="RE2533" s="106"/>
      <c r="RF2533" s="106"/>
      <c r="RG2533" s="106"/>
      <c r="RH2533" s="106"/>
      <c r="RI2533" s="106"/>
      <c r="RJ2533" s="106"/>
      <c r="RK2533" s="106"/>
      <c r="RL2533" s="106"/>
    </row>
    <row r="2534" spans="48:480" x14ac:dyDescent="0.3">
      <c r="AV2534" s="103"/>
      <c r="CJ2534" s="103"/>
      <c r="FP2534" s="103"/>
      <c r="LL2534" s="103"/>
      <c r="NM2534" s="103"/>
      <c r="QT2534" s="106"/>
      <c r="QU2534" s="106"/>
      <c r="QV2534" s="106"/>
      <c r="QW2534" s="106"/>
      <c r="QX2534" s="106"/>
      <c r="QY2534" s="106"/>
      <c r="QZ2534" s="106"/>
      <c r="RA2534" s="106"/>
      <c r="RB2534" s="106"/>
      <c r="RC2534" s="106"/>
      <c r="RD2534" s="106"/>
      <c r="RE2534" s="106"/>
      <c r="RF2534" s="106"/>
      <c r="RG2534" s="106"/>
      <c r="RH2534" s="106"/>
      <c r="RI2534" s="106"/>
      <c r="RJ2534" s="106"/>
      <c r="RK2534" s="106"/>
      <c r="RL2534" s="106"/>
    </row>
    <row r="2535" spans="48:480" x14ac:dyDescent="0.3">
      <c r="AV2535" s="103"/>
      <c r="CJ2535" s="103"/>
      <c r="FP2535" s="103"/>
      <c r="LL2535" s="103"/>
      <c r="NM2535" s="103"/>
      <c r="QT2535" s="106"/>
      <c r="QU2535" s="106"/>
      <c r="QV2535" s="106"/>
      <c r="QW2535" s="106"/>
      <c r="QX2535" s="106"/>
      <c r="QY2535" s="106"/>
      <c r="QZ2535" s="106"/>
      <c r="RA2535" s="106"/>
      <c r="RB2535" s="106"/>
      <c r="RC2535" s="106"/>
      <c r="RD2535" s="106"/>
      <c r="RE2535" s="106"/>
      <c r="RF2535" s="106"/>
      <c r="RG2535" s="106"/>
      <c r="RH2535" s="106"/>
      <c r="RI2535" s="106"/>
      <c r="RJ2535" s="106"/>
      <c r="RK2535" s="106"/>
      <c r="RL2535" s="106"/>
    </row>
    <row r="2536" spans="48:480" x14ac:dyDescent="0.3">
      <c r="AV2536" s="103"/>
      <c r="CJ2536" s="103"/>
      <c r="FP2536" s="103"/>
      <c r="LL2536" s="103"/>
      <c r="NM2536" s="103"/>
      <c r="QT2536" s="106"/>
      <c r="QU2536" s="106"/>
      <c r="QV2536" s="106"/>
      <c r="QW2536" s="106"/>
      <c r="QX2536" s="106"/>
      <c r="QY2536" s="106"/>
      <c r="QZ2536" s="106"/>
      <c r="RA2536" s="106"/>
      <c r="RB2536" s="106"/>
      <c r="RC2536" s="106"/>
      <c r="RD2536" s="106"/>
      <c r="RE2536" s="106"/>
      <c r="RF2536" s="106"/>
      <c r="RG2536" s="106"/>
      <c r="RH2536" s="106"/>
      <c r="RI2536" s="106"/>
      <c r="RJ2536" s="106"/>
      <c r="RK2536" s="106"/>
      <c r="RL2536" s="106"/>
    </row>
    <row r="2537" spans="48:480" x14ac:dyDescent="0.3">
      <c r="AV2537" s="103"/>
      <c r="CJ2537" s="103"/>
      <c r="FP2537" s="103"/>
      <c r="LL2537" s="103"/>
      <c r="NM2537" s="103"/>
      <c r="QT2537" s="106"/>
      <c r="QU2537" s="106"/>
      <c r="QV2537" s="106"/>
      <c r="QW2537" s="106"/>
      <c r="QX2537" s="106"/>
      <c r="QY2537" s="106"/>
      <c r="QZ2537" s="106"/>
      <c r="RA2537" s="106"/>
      <c r="RB2537" s="106"/>
      <c r="RC2537" s="106"/>
      <c r="RD2537" s="106"/>
      <c r="RE2537" s="106"/>
      <c r="RF2537" s="106"/>
      <c r="RG2537" s="106"/>
      <c r="RH2537" s="106"/>
      <c r="RI2537" s="106"/>
      <c r="RJ2537" s="106"/>
      <c r="RK2537" s="106"/>
      <c r="RL2537" s="106"/>
    </row>
    <row r="2538" spans="48:480" x14ac:dyDescent="0.3">
      <c r="AV2538" s="103"/>
      <c r="CJ2538" s="103"/>
      <c r="FP2538" s="103"/>
      <c r="LL2538" s="103"/>
      <c r="NM2538" s="103"/>
      <c r="QT2538" s="106"/>
      <c r="QU2538" s="106"/>
      <c r="QV2538" s="106"/>
      <c r="QW2538" s="106"/>
      <c r="QX2538" s="106"/>
      <c r="QY2538" s="106"/>
      <c r="QZ2538" s="106"/>
      <c r="RA2538" s="106"/>
      <c r="RB2538" s="106"/>
      <c r="RC2538" s="106"/>
      <c r="RD2538" s="106"/>
      <c r="RE2538" s="106"/>
      <c r="RF2538" s="106"/>
      <c r="RG2538" s="106"/>
      <c r="RH2538" s="106"/>
      <c r="RI2538" s="106"/>
      <c r="RJ2538" s="106"/>
      <c r="RK2538" s="106"/>
      <c r="RL2538" s="106"/>
    </row>
    <row r="2539" spans="48:480" x14ac:dyDescent="0.3">
      <c r="AV2539" s="103"/>
      <c r="CJ2539" s="103"/>
      <c r="FP2539" s="103"/>
      <c r="LL2539" s="103"/>
      <c r="NM2539" s="103"/>
      <c r="QT2539" s="106"/>
      <c r="QU2539" s="106"/>
      <c r="QV2539" s="106"/>
      <c r="QW2539" s="106"/>
      <c r="QX2539" s="106"/>
      <c r="QY2539" s="106"/>
      <c r="QZ2539" s="106"/>
      <c r="RA2539" s="106"/>
      <c r="RB2539" s="106"/>
      <c r="RC2539" s="106"/>
      <c r="RD2539" s="106"/>
      <c r="RE2539" s="106"/>
      <c r="RF2539" s="106"/>
      <c r="RG2539" s="106"/>
      <c r="RH2539" s="106"/>
      <c r="RI2539" s="106"/>
      <c r="RJ2539" s="106"/>
      <c r="RK2539" s="106"/>
      <c r="RL2539" s="106"/>
    </row>
    <row r="2540" spans="48:480" x14ac:dyDescent="0.3">
      <c r="AV2540" s="103"/>
      <c r="CJ2540" s="103"/>
      <c r="FP2540" s="103"/>
      <c r="LL2540" s="103"/>
      <c r="NM2540" s="103"/>
      <c r="QT2540" s="106"/>
      <c r="QU2540" s="106"/>
      <c r="QV2540" s="106"/>
      <c r="QW2540" s="106"/>
      <c r="QX2540" s="106"/>
      <c r="QY2540" s="106"/>
      <c r="QZ2540" s="106"/>
      <c r="RA2540" s="106"/>
      <c r="RB2540" s="106"/>
      <c r="RC2540" s="106"/>
      <c r="RD2540" s="106"/>
      <c r="RE2540" s="106"/>
      <c r="RF2540" s="106"/>
      <c r="RG2540" s="106"/>
      <c r="RH2540" s="106"/>
      <c r="RI2540" s="106"/>
      <c r="RJ2540" s="106"/>
      <c r="RK2540" s="106"/>
      <c r="RL2540" s="106"/>
    </row>
    <row r="2541" spans="48:480" x14ac:dyDescent="0.3">
      <c r="AV2541" s="103"/>
      <c r="CJ2541" s="103"/>
      <c r="FP2541" s="103"/>
      <c r="LL2541" s="103"/>
      <c r="NM2541" s="103"/>
      <c r="QT2541" s="106"/>
      <c r="QU2541" s="106"/>
      <c r="QV2541" s="106"/>
      <c r="QW2541" s="106"/>
      <c r="QX2541" s="106"/>
      <c r="QY2541" s="106"/>
      <c r="QZ2541" s="106"/>
      <c r="RA2541" s="106"/>
      <c r="RB2541" s="106"/>
      <c r="RC2541" s="106"/>
      <c r="RD2541" s="106"/>
      <c r="RE2541" s="106"/>
      <c r="RF2541" s="106"/>
      <c r="RG2541" s="106"/>
      <c r="RH2541" s="106"/>
      <c r="RI2541" s="106"/>
      <c r="RJ2541" s="106"/>
      <c r="RK2541" s="106"/>
      <c r="RL2541" s="106"/>
    </row>
    <row r="2542" spans="48:480" x14ac:dyDescent="0.3">
      <c r="AV2542" s="103"/>
      <c r="CJ2542" s="103"/>
      <c r="FP2542" s="103"/>
      <c r="LL2542" s="103"/>
      <c r="NM2542" s="103"/>
      <c r="QT2542" s="106"/>
      <c r="QU2542" s="106"/>
      <c r="QV2542" s="106"/>
      <c r="QW2542" s="106"/>
      <c r="QX2542" s="106"/>
      <c r="QY2542" s="106"/>
      <c r="QZ2542" s="106"/>
      <c r="RA2542" s="106"/>
      <c r="RB2542" s="106"/>
      <c r="RC2542" s="106"/>
      <c r="RD2542" s="106"/>
      <c r="RE2542" s="106"/>
      <c r="RF2542" s="106"/>
      <c r="RG2542" s="106"/>
      <c r="RH2542" s="106"/>
      <c r="RI2542" s="106"/>
      <c r="RJ2542" s="106"/>
      <c r="RK2542" s="106"/>
      <c r="RL2542" s="106"/>
    </row>
    <row r="2543" spans="48:480" x14ac:dyDescent="0.3">
      <c r="AV2543" s="103"/>
      <c r="CJ2543" s="103"/>
      <c r="FP2543" s="103"/>
      <c r="LL2543" s="103"/>
      <c r="NM2543" s="103"/>
      <c r="QT2543" s="106"/>
      <c r="QU2543" s="106"/>
      <c r="QV2543" s="106"/>
      <c r="QW2543" s="106"/>
      <c r="QX2543" s="106"/>
      <c r="QY2543" s="106"/>
      <c r="QZ2543" s="106"/>
      <c r="RA2543" s="106"/>
      <c r="RB2543" s="106"/>
      <c r="RC2543" s="106"/>
      <c r="RD2543" s="106"/>
      <c r="RE2543" s="106"/>
      <c r="RF2543" s="106"/>
      <c r="RG2543" s="106"/>
      <c r="RH2543" s="106"/>
      <c r="RI2543" s="106"/>
      <c r="RJ2543" s="106"/>
      <c r="RK2543" s="106"/>
      <c r="RL2543" s="106"/>
    </row>
    <row r="2544" spans="48:480" x14ac:dyDescent="0.3">
      <c r="AV2544" s="103"/>
      <c r="CJ2544" s="103"/>
      <c r="FP2544" s="103"/>
      <c r="LL2544" s="103"/>
      <c r="NM2544" s="103"/>
      <c r="QT2544" s="106"/>
      <c r="QU2544" s="106"/>
      <c r="QV2544" s="106"/>
      <c r="QW2544" s="106"/>
      <c r="QX2544" s="106"/>
      <c r="QY2544" s="106"/>
      <c r="QZ2544" s="106"/>
      <c r="RA2544" s="106"/>
      <c r="RB2544" s="106"/>
      <c r="RC2544" s="106"/>
      <c r="RD2544" s="106"/>
      <c r="RE2544" s="106"/>
      <c r="RF2544" s="106"/>
      <c r="RG2544" s="106"/>
      <c r="RH2544" s="106"/>
      <c r="RI2544" s="106"/>
      <c r="RJ2544" s="106"/>
      <c r="RK2544" s="106"/>
      <c r="RL2544" s="106"/>
    </row>
    <row r="2545" spans="48:480" x14ac:dyDescent="0.3">
      <c r="AV2545" s="103"/>
      <c r="CJ2545" s="103"/>
      <c r="FP2545" s="103"/>
      <c r="LL2545" s="103"/>
      <c r="NM2545" s="103"/>
      <c r="QT2545" s="106"/>
      <c r="QU2545" s="106"/>
      <c r="QV2545" s="106"/>
      <c r="QW2545" s="106"/>
      <c r="QX2545" s="106"/>
      <c r="QY2545" s="106"/>
      <c r="QZ2545" s="106"/>
      <c r="RA2545" s="106"/>
      <c r="RB2545" s="106"/>
      <c r="RC2545" s="106"/>
      <c r="RD2545" s="106"/>
      <c r="RE2545" s="106"/>
      <c r="RF2545" s="106"/>
      <c r="RG2545" s="106"/>
      <c r="RH2545" s="106"/>
      <c r="RI2545" s="106"/>
      <c r="RJ2545" s="106"/>
      <c r="RK2545" s="106"/>
      <c r="RL2545" s="106"/>
    </row>
    <row r="2546" spans="48:480" x14ac:dyDescent="0.3">
      <c r="AV2546" s="103"/>
      <c r="CJ2546" s="103"/>
      <c r="FP2546" s="103"/>
      <c r="LL2546" s="103"/>
      <c r="NM2546" s="103"/>
      <c r="QT2546" s="106"/>
      <c r="QU2546" s="106"/>
      <c r="QV2546" s="106"/>
      <c r="QW2546" s="106"/>
      <c r="QX2546" s="106"/>
      <c r="QY2546" s="106"/>
      <c r="QZ2546" s="106"/>
      <c r="RA2546" s="106"/>
      <c r="RB2546" s="106"/>
      <c r="RC2546" s="106"/>
      <c r="RD2546" s="106"/>
      <c r="RE2546" s="106"/>
      <c r="RF2546" s="106"/>
      <c r="RG2546" s="106"/>
      <c r="RH2546" s="106"/>
      <c r="RI2546" s="106"/>
      <c r="RJ2546" s="106"/>
      <c r="RK2546" s="106"/>
      <c r="RL2546" s="106"/>
    </row>
    <row r="2547" spans="48:480" x14ac:dyDescent="0.3">
      <c r="AV2547" s="103"/>
      <c r="CJ2547" s="103"/>
      <c r="FP2547" s="103"/>
      <c r="LL2547" s="103"/>
      <c r="NM2547" s="103"/>
      <c r="QT2547" s="106"/>
      <c r="QU2547" s="106"/>
      <c r="QV2547" s="106"/>
      <c r="QW2547" s="106"/>
      <c r="QX2547" s="106"/>
      <c r="QY2547" s="106"/>
      <c r="QZ2547" s="106"/>
      <c r="RA2547" s="106"/>
      <c r="RB2547" s="106"/>
      <c r="RC2547" s="106"/>
      <c r="RD2547" s="106"/>
      <c r="RE2547" s="106"/>
      <c r="RF2547" s="106"/>
      <c r="RG2547" s="106"/>
      <c r="RH2547" s="106"/>
      <c r="RI2547" s="106"/>
      <c r="RJ2547" s="106"/>
      <c r="RK2547" s="106"/>
      <c r="RL2547" s="106"/>
    </row>
    <row r="2548" spans="48:480" x14ac:dyDescent="0.3">
      <c r="AV2548" s="103"/>
      <c r="CJ2548" s="103"/>
      <c r="FP2548" s="103"/>
      <c r="LL2548" s="103"/>
      <c r="NM2548" s="103"/>
      <c r="QT2548" s="106"/>
      <c r="QU2548" s="106"/>
      <c r="QV2548" s="106"/>
      <c r="QW2548" s="106"/>
      <c r="QX2548" s="106"/>
      <c r="QY2548" s="106"/>
      <c r="QZ2548" s="106"/>
      <c r="RA2548" s="106"/>
      <c r="RB2548" s="106"/>
      <c r="RC2548" s="106"/>
      <c r="RD2548" s="106"/>
      <c r="RE2548" s="106"/>
      <c r="RF2548" s="106"/>
      <c r="RG2548" s="106"/>
      <c r="RH2548" s="106"/>
      <c r="RI2548" s="106"/>
      <c r="RJ2548" s="106"/>
      <c r="RK2548" s="106"/>
      <c r="RL2548" s="106"/>
    </row>
    <row r="2549" spans="48:480" x14ac:dyDescent="0.3">
      <c r="AV2549" s="103"/>
      <c r="CJ2549" s="103"/>
      <c r="FP2549" s="103"/>
      <c r="LL2549" s="103"/>
      <c r="NM2549" s="103"/>
      <c r="QT2549" s="106"/>
      <c r="QU2549" s="106"/>
      <c r="QV2549" s="106"/>
      <c r="QW2549" s="106"/>
      <c r="QX2549" s="106"/>
      <c r="QY2549" s="106"/>
      <c r="QZ2549" s="106"/>
      <c r="RA2549" s="106"/>
      <c r="RB2549" s="106"/>
      <c r="RC2549" s="106"/>
      <c r="RD2549" s="106"/>
      <c r="RE2549" s="106"/>
      <c r="RF2549" s="106"/>
      <c r="RG2549" s="106"/>
      <c r="RH2549" s="106"/>
      <c r="RI2549" s="106"/>
      <c r="RJ2549" s="106"/>
      <c r="RK2549" s="106"/>
      <c r="RL2549" s="106"/>
    </row>
    <row r="2550" spans="48:480" x14ac:dyDescent="0.3">
      <c r="AV2550" s="103"/>
      <c r="CJ2550" s="103"/>
      <c r="FP2550" s="103"/>
      <c r="LL2550" s="103"/>
      <c r="NM2550" s="103"/>
      <c r="QT2550" s="106"/>
      <c r="QU2550" s="106"/>
      <c r="QV2550" s="106"/>
      <c r="QW2550" s="106"/>
      <c r="QX2550" s="106"/>
      <c r="QY2550" s="106"/>
      <c r="QZ2550" s="106"/>
      <c r="RA2550" s="106"/>
      <c r="RB2550" s="106"/>
      <c r="RC2550" s="106"/>
      <c r="RD2550" s="106"/>
      <c r="RE2550" s="106"/>
      <c r="RF2550" s="106"/>
      <c r="RG2550" s="106"/>
      <c r="RH2550" s="106"/>
      <c r="RI2550" s="106"/>
      <c r="RJ2550" s="106"/>
      <c r="RK2550" s="106"/>
      <c r="RL2550" s="106"/>
    </row>
    <row r="2551" spans="48:480" x14ac:dyDescent="0.3">
      <c r="AV2551" s="103"/>
      <c r="CJ2551" s="103"/>
      <c r="FP2551" s="103"/>
      <c r="LL2551" s="103"/>
      <c r="NM2551" s="103"/>
      <c r="QT2551" s="106"/>
      <c r="QU2551" s="106"/>
      <c r="QV2551" s="106"/>
      <c r="QW2551" s="106"/>
      <c r="QX2551" s="106"/>
      <c r="QY2551" s="106"/>
      <c r="QZ2551" s="106"/>
      <c r="RA2551" s="106"/>
      <c r="RB2551" s="106"/>
      <c r="RC2551" s="106"/>
      <c r="RD2551" s="106"/>
      <c r="RE2551" s="106"/>
      <c r="RF2551" s="106"/>
      <c r="RG2551" s="106"/>
      <c r="RH2551" s="106"/>
      <c r="RI2551" s="106"/>
      <c r="RJ2551" s="106"/>
      <c r="RK2551" s="106"/>
      <c r="RL2551" s="106"/>
    </row>
    <row r="2552" spans="48:480" x14ac:dyDescent="0.3">
      <c r="AV2552" s="103"/>
      <c r="CJ2552" s="103"/>
      <c r="FP2552" s="103"/>
      <c r="LL2552" s="103"/>
      <c r="NM2552" s="103"/>
      <c r="QT2552" s="106"/>
      <c r="QU2552" s="106"/>
      <c r="QV2552" s="106"/>
      <c r="QW2552" s="106"/>
      <c r="QX2552" s="106"/>
      <c r="QY2552" s="106"/>
      <c r="QZ2552" s="106"/>
      <c r="RA2552" s="106"/>
      <c r="RB2552" s="106"/>
      <c r="RC2552" s="106"/>
      <c r="RD2552" s="106"/>
      <c r="RE2552" s="106"/>
      <c r="RF2552" s="106"/>
      <c r="RG2552" s="106"/>
      <c r="RH2552" s="106"/>
      <c r="RI2552" s="106"/>
      <c r="RJ2552" s="106"/>
      <c r="RK2552" s="106"/>
      <c r="RL2552" s="106"/>
    </row>
    <row r="2553" spans="48:480" x14ac:dyDescent="0.3">
      <c r="AV2553" s="103"/>
      <c r="CJ2553" s="103"/>
      <c r="FP2553" s="103"/>
      <c r="LL2553" s="103"/>
      <c r="NM2553" s="103"/>
      <c r="QT2553" s="106"/>
      <c r="QU2553" s="106"/>
      <c r="QV2553" s="106"/>
      <c r="QW2553" s="106"/>
      <c r="QX2553" s="106"/>
      <c r="QY2553" s="106"/>
      <c r="QZ2553" s="106"/>
      <c r="RA2553" s="106"/>
      <c r="RB2553" s="106"/>
      <c r="RC2553" s="106"/>
      <c r="RD2553" s="106"/>
      <c r="RE2553" s="106"/>
      <c r="RF2553" s="106"/>
      <c r="RG2553" s="106"/>
      <c r="RH2553" s="106"/>
      <c r="RI2553" s="106"/>
      <c r="RJ2553" s="106"/>
      <c r="RK2553" s="106"/>
      <c r="RL2553" s="106"/>
    </row>
    <row r="2554" spans="48:480" x14ac:dyDescent="0.3">
      <c r="AV2554" s="103"/>
      <c r="CJ2554" s="103"/>
      <c r="FP2554" s="103"/>
      <c r="LL2554" s="103"/>
      <c r="NM2554" s="103"/>
      <c r="QT2554" s="106"/>
      <c r="QU2554" s="106"/>
      <c r="QV2554" s="106"/>
      <c r="QW2554" s="106"/>
      <c r="QX2554" s="106"/>
      <c r="QY2554" s="106"/>
      <c r="QZ2554" s="106"/>
      <c r="RA2554" s="106"/>
      <c r="RB2554" s="106"/>
      <c r="RC2554" s="106"/>
      <c r="RD2554" s="106"/>
      <c r="RE2554" s="106"/>
      <c r="RF2554" s="106"/>
      <c r="RG2554" s="106"/>
      <c r="RH2554" s="106"/>
      <c r="RI2554" s="106"/>
      <c r="RJ2554" s="106"/>
      <c r="RK2554" s="106"/>
      <c r="RL2554" s="106"/>
    </row>
    <row r="2555" spans="48:480" x14ac:dyDescent="0.3">
      <c r="AV2555" s="103"/>
      <c r="CJ2555" s="103"/>
      <c r="FP2555" s="103"/>
      <c r="LL2555" s="103"/>
      <c r="NM2555" s="103"/>
      <c r="QT2555" s="106"/>
      <c r="QU2555" s="106"/>
      <c r="QV2555" s="106"/>
      <c r="QW2555" s="106"/>
      <c r="QX2555" s="106"/>
      <c r="QY2555" s="106"/>
      <c r="QZ2555" s="106"/>
      <c r="RA2555" s="106"/>
      <c r="RB2555" s="106"/>
      <c r="RC2555" s="106"/>
      <c r="RD2555" s="106"/>
      <c r="RE2555" s="106"/>
      <c r="RF2555" s="106"/>
      <c r="RG2555" s="106"/>
      <c r="RH2555" s="106"/>
      <c r="RI2555" s="106"/>
      <c r="RJ2555" s="106"/>
      <c r="RK2555" s="106"/>
      <c r="RL2555" s="106"/>
    </row>
    <row r="2556" spans="48:480" x14ac:dyDescent="0.3">
      <c r="AV2556" s="103"/>
      <c r="CJ2556" s="103"/>
      <c r="FP2556" s="103"/>
      <c r="LL2556" s="103"/>
      <c r="NM2556" s="103"/>
      <c r="QT2556" s="106"/>
      <c r="QU2556" s="106"/>
      <c r="QV2556" s="106"/>
      <c r="QW2556" s="106"/>
      <c r="QX2556" s="106"/>
      <c r="QY2556" s="106"/>
      <c r="QZ2556" s="106"/>
      <c r="RA2556" s="106"/>
      <c r="RB2556" s="106"/>
      <c r="RC2556" s="106"/>
      <c r="RD2556" s="106"/>
      <c r="RE2556" s="106"/>
      <c r="RF2556" s="106"/>
      <c r="RG2556" s="106"/>
      <c r="RH2556" s="106"/>
      <c r="RI2556" s="106"/>
      <c r="RJ2556" s="106"/>
      <c r="RK2556" s="106"/>
      <c r="RL2556" s="106"/>
    </row>
    <row r="2557" spans="48:480" x14ac:dyDescent="0.3">
      <c r="AV2557" s="103"/>
      <c r="CJ2557" s="103"/>
      <c r="FP2557" s="103"/>
      <c r="LL2557" s="103"/>
      <c r="NM2557" s="103"/>
      <c r="QT2557" s="106"/>
      <c r="QU2557" s="106"/>
      <c r="QV2557" s="106"/>
      <c r="QW2557" s="106"/>
      <c r="QX2557" s="106"/>
      <c r="QY2557" s="106"/>
      <c r="QZ2557" s="106"/>
      <c r="RA2557" s="106"/>
      <c r="RB2557" s="106"/>
      <c r="RC2557" s="106"/>
      <c r="RD2557" s="106"/>
      <c r="RE2557" s="106"/>
      <c r="RF2557" s="106"/>
      <c r="RG2557" s="106"/>
      <c r="RH2557" s="106"/>
      <c r="RI2557" s="106"/>
      <c r="RJ2557" s="106"/>
      <c r="RK2557" s="106"/>
      <c r="RL2557" s="106"/>
    </row>
    <row r="2558" spans="48:480" x14ac:dyDescent="0.3">
      <c r="AV2558" s="103"/>
      <c r="CJ2558" s="103"/>
      <c r="FP2558" s="103"/>
      <c r="LL2558" s="103"/>
      <c r="NM2558" s="103"/>
      <c r="QT2558" s="106"/>
      <c r="QU2558" s="106"/>
      <c r="QV2558" s="106"/>
      <c r="QW2558" s="106"/>
      <c r="QX2558" s="106"/>
      <c r="QY2558" s="106"/>
      <c r="QZ2558" s="106"/>
      <c r="RA2558" s="106"/>
      <c r="RB2558" s="106"/>
      <c r="RC2558" s="106"/>
      <c r="RD2558" s="106"/>
      <c r="RE2558" s="106"/>
      <c r="RF2558" s="106"/>
      <c r="RG2558" s="106"/>
      <c r="RH2558" s="106"/>
      <c r="RI2558" s="106"/>
      <c r="RJ2558" s="106"/>
      <c r="RK2558" s="106"/>
      <c r="RL2558" s="106"/>
    </row>
    <row r="2559" spans="48:480" x14ac:dyDescent="0.3">
      <c r="AV2559" s="103"/>
      <c r="CJ2559" s="103"/>
      <c r="FP2559" s="103"/>
      <c r="LL2559" s="103"/>
      <c r="NM2559" s="103"/>
      <c r="QT2559" s="106"/>
      <c r="QU2559" s="106"/>
      <c r="QV2559" s="106"/>
      <c r="QW2559" s="106"/>
      <c r="QX2559" s="106"/>
      <c r="QY2559" s="106"/>
      <c r="QZ2559" s="106"/>
      <c r="RA2559" s="106"/>
      <c r="RB2559" s="106"/>
      <c r="RC2559" s="106"/>
      <c r="RD2559" s="106"/>
      <c r="RE2559" s="106"/>
      <c r="RF2559" s="106"/>
      <c r="RG2559" s="106"/>
      <c r="RH2559" s="106"/>
      <c r="RI2559" s="106"/>
      <c r="RJ2559" s="106"/>
      <c r="RK2559" s="106"/>
      <c r="RL2559" s="106"/>
    </row>
    <row r="2560" spans="48:480" x14ac:dyDescent="0.3">
      <c r="AV2560" s="103"/>
      <c r="CJ2560" s="103"/>
      <c r="FP2560" s="103"/>
      <c r="LL2560" s="103"/>
      <c r="NM2560" s="103"/>
      <c r="QT2560" s="106"/>
      <c r="QU2560" s="106"/>
      <c r="QV2560" s="106"/>
      <c r="QW2560" s="106"/>
      <c r="QX2560" s="106"/>
      <c r="QY2560" s="106"/>
      <c r="QZ2560" s="106"/>
      <c r="RA2560" s="106"/>
      <c r="RB2560" s="106"/>
      <c r="RC2560" s="106"/>
      <c r="RD2560" s="106"/>
      <c r="RE2560" s="106"/>
      <c r="RF2560" s="106"/>
      <c r="RG2560" s="106"/>
      <c r="RH2560" s="106"/>
      <c r="RI2560" s="106"/>
      <c r="RJ2560" s="106"/>
      <c r="RK2560" s="106"/>
      <c r="RL2560" s="106"/>
    </row>
    <row r="2561" spans="48:480" x14ac:dyDescent="0.3">
      <c r="AV2561" s="103"/>
      <c r="CJ2561" s="103"/>
      <c r="FP2561" s="103"/>
      <c r="LL2561" s="103"/>
      <c r="NM2561" s="103"/>
      <c r="QT2561" s="106"/>
      <c r="QU2561" s="106"/>
      <c r="QV2561" s="106"/>
      <c r="QW2561" s="106"/>
      <c r="QX2561" s="106"/>
      <c r="QY2561" s="106"/>
      <c r="QZ2561" s="106"/>
      <c r="RA2561" s="106"/>
      <c r="RB2561" s="106"/>
      <c r="RC2561" s="106"/>
      <c r="RD2561" s="106"/>
      <c r="RE2561" s="106"/>
      <c r="RF2561" s="106"/>
      <c r="RG2561" s="106"/>
      <c r="RH2561" s="106"/>
      <c r="RI2561" s="106"/>
      <c r="RJ2561" s="106"/>
      <c r="RK2561" s="106"/>
      <c r="RL2561" s="106"/>
    </row>
    <row r="2562" spans="48:480" x14ac:dyDescent="0.3">
      <c r="AV2562" s="103"/>
      <c r="CJ2562" s="103"/>
      <c r="FP2562" s="103"/>
      <c r="LL2562" s="103"/>
      <c r="NM2562" s="103"/>
      <c r="QT2562" s="106"/>
      <c r="QU2562" s="106"/>
      <c r="QV2562" s="106"/>
      <c r="QW2562" s="106"/>
      <c r="QX2562" s="106"/>
      <c r="QY2562" s="106"/>
      <c r="QZ2562" s="106"/>
      <c r="RA2562" s="106"/>
      <c r="RB2562" s="106"/>
      <c r="RC2562" s="106"/>
      <c r="RD2562" s="106"/>
      <c r="RE2562" s="106"/>
      <c r="RF2562" s="106"/>
      <c r="RG2562" s="106"/>
      <c r="RH2562" s="106"/>
      <c r="RI2562" s="106"/>
      <c r="RJ2562" s="106"/>
      <c r="RK2562" s="106"/>
      <c r="RL2562" s="106"/>
    </row>
    <row r="2563" spans="48:480" x14ac:dyDescent="0.3">
      <c r="AV2563" s="103"/>
      <c r="CJ2563" s="103"/>
      <c r="FP2563" s="103"/>
      <c r="LL2563" s="103"/>
      <c r="NM2563" s="103"/>
      <c r="QT2563" s="106"/>
      <c r="QU2563" s="106"/>
      <c r="QV2563" s="106"/>
      <c r="QW2563" s="106"/>
      <c r="QX2563" s="106"/>
      <c r="QY2563" s="106"/>
      <c r="QZ2563" s="106"/>
      <c r="RA2563" s="106"/>
      <c r="RB2563" s="106"/>
      <c r="RC2563" s="106"/>
      <c r="RD2563" s="106"/>
      <c r="RE2563" s="106"/>
      <c r="RF2563" s="106"/>
      <c r="RG2563" s="106"/>
      <c r="RH2563" s="106"/>
      <c r="RI2563" s="106"/>
      <c r="RJ2563" s="106"/>
      <c r="RK2563" s="106"/>
      <c r="RL2563" s="106"/>
    </row>
    <row r="2564" spans="48:480" x14ac:dyDescent="0.3">
      <c r="AV2564" s="103"/>
      <c r="CJ2564" s="103"/>
      <c r="FP2564" s="103"/>
      <c r="LL2564" s="103"/>
      <c r="NM2564" s="103"/>
      <c r="QT2564" s="106"/>
      <c r="QU2564" s="106"/>
      <c r="QV2564" s="106"/>
      <c r="QW2564" s="106"/>
      <c r="QX2564" s="106"/>
      <c r="QY2564" s="106"/>
      <c r="QZ2564" s="106"/>
      <c r="RA2564" s="106"/>
      <c r="RB2564" s="106"/>
      <c r="RC2564" s="106"/>
      <c r="RD2564" s="106"/>
      <c r="RE2564" s="106"/>
      <c r="RF2564" s="106"/>
      <c r="RG2564" s="106"/>
      <c r="RH2564" s="106"/>
      <c r="RI2564" s="106"/>
      <c r="RJ2564" s="106"/>
      <c r="RK2564" s="106"/>
      <c r="RL2564" s="106"/>
    </row>
    <row r="2565" spans="48:480" x14ac:dyDescent="0.3">
      <c r="AV2565" s="103"/>
      <c r="CJ2565" s="103"/>
      <c r="FP2565" s="103"/>
      <c r="LL2565" s="103"/>
      <c r="NM2565" s="103"/>
      <c r="QT2565" s="106"/>
      <c r="QU2565" s="106"/>
      <c r="QV2565" s="106"/>
      <c r="QW2565" s="106"/>
      <c r="QX2565" s="106"/>
      <c r="QY2565" s="106"/>
      <c r="QZ2565" s="106"/>
      <c r="RA2565" s="106"/>
      <c r="RB2565" s="106"/>
      <c r="RC2565" s="106"/>
      <c r="RD2565" s="106"/>
      <c r="RE2565" s="106"/>
      <c r="RF2565" s="106"/>
      <c r="RG2565" s="106"/>
      <c r="RH2565" s="106"/>
      <c r="RI2565" s="106"/>
      <c r="RJ2565" s="106"/>
      <c r="RK2565" s="106"/>
      <c r="RL2565" s="106"/>
    </row>
    <row r="2566" spans="48:480" x14ac:dyDescent="0.3">
      <c r="AV2566" s="103"/>
      <c r="CJ2566" s="103"/>
      <c r="FP2566" s="103"/>
      <c r="LL2566" s="103"/>
      <c r="NM2566" s="103"/>
      <c r="QT2566" s="106"/>
      <c r="QU2566" s="106"/>
      <c r="QV2566" s="106"/>
      <c r="QW2566" s="106"/>
      <c r="QX2566" s="106"/>
      <c r="QY2566" s="106"/>
      <c r="QZ2566" s="106"/>
      <c r="RA2566" s="106"/>
      <c r="RB2566" s="106"/>
      <c r="RC2566" s="106"/>
      <c r="RD2566" s="106"/>
      <c r="RE2566" s="106"/>
      <c r="RF2566" s="106"/>
      <c r="RG2566" s="106"/>
      <c r="RH2566" s="106"/>
      <c r="RI2566" s="106"/>
      <c r="RJ2566" s="106"/>
      <c r="RK2566" s="106"/>
      <c r="RL2566" s="106"/>
    </row>
    <row r="2567" spans="48:480" x14ac:dyDescent="0.3">
      <c r="AV2567" s="103"/>
      <c r="CJ2567" s="103"/>
      <c r="FP2567" s="103"/>
      <c r="LL2567" s="103"/>
      <c r="NM2567" s="103"/>
      <c r="QT2567" s="106"/>
      <c r="QU2567" s="106"/>
      <c r="QV2567" s="106"/>
      <c r="QW2567" s="106"/>
      <c r="QX2567" s="106"/>
      <c r="QY2567" s="106"/>
      <c r="QZ2567" s="106"/>
      <c r="RA2567" s="106"/>
      <c r="RB2567" s="106"/>
      <c r="RC2567" s="106"/>
      <c r="RD2567" s="106"/>
      <c r="RE2567" s="106"/>
      <c r="RF2567" s="106"/>
      <c r="RG2567" s="106"/>
      <c r="RH2567" s="106"/>
      <c r="RI2567" s="106"/>
      <c r="RJ2567" s="106"/>
      <c r="RK2567" s="106"/>
      <c r="RL2567" s="106"/>
    </row>
    <row r="2568" spans="48:480" x14ac:dyDescent="0.3">
      <c r="AV2568" s="103"/>
      <c r="CJ2568" s="103"/>
      <c r="FP2568" s="103"/>
      <c r="LL2568" s="103"/>
      <c r="NM2568" s="103"/>
      <c r="QT2568" s="106"/>
      <c r="QU2568" s="106"/>
      <c r="QV2568" s="106"/>
      <c r="QW2568" s="106"/>
      <c r="QX2568" s="106"/>
      <c r="QY2568" s="106"/>
      <c r="QZ2568" s="106"/>
      <c r="RA2568" s="106"/>
      <c r="RB2568" s="106"/>
      <c r="RC2568" s="106"/>
      <c r="RD2568" s="106"/>
      <c r="RE2568" s="106"/>
      <c r="RF2568" s="106"/>
      <c r="RG2568" s="106"/>
      <c r="RH2568" s="106"/>
      <c r="RI2568" s="106"/>
      <c r="RJ2568" s="106"/>
      <c r="RK2568" s="106"/>
      <c r="RL2568" s="106"/>
    </row>
    <row r="2569" spans="48:480" x14ac:dyDescent="0.3">
      <c r="AV2569" s="103"/>
      <c r="CJ2569" s="103"/>
      <c r="FP2569" s="103"/>
      <c r="LL2569" s="103"/>
      <c r="NM2569" s="103"/>
      <c r="QT2569" s="106"/>
      <c r="QU2569" s="106"/>
      <c r="QV2569" s="106"/>
      <c r="QW2569" s="106"/>
      <c r="QX2569" s="106"/>
      <c r="QY2569" s="106"/>
      <c r="QZ2569" s="106"/>
      <c r="RA2569" s="106"/>
      <c r="RB2569" s="106"/>
      <c r="RC2569" s="106"/>
      <c r="RD2569" s="106"/>
      <c r="RE2569" s="106"/>
      <c r="RF2569" s="106"/>
      <c r="RG2569" s="106"/>
      <c r="RH2569" s="106"/>
      <c r="RI2569" s="106"/>
      <c r="RJ2569" s="106"/>
      <c r="RK2569" s="106"/>
      <c r="RL2569" s="106"/>
    </row>
    <row r="2570" spans="48:480" x14ac:dyDescent="0.3">
      <c r="AV2570" s="103"/>
      <c r="CJ2570" s="103"/>
      <c r="FP2570" s="103"/>
      <c r="LL2570" s="103"/>
      <c r="NM2570" s="103"/>
      <c r="QT2570" s="106"/>
      <c r="QU2570" s="106"/>
      <c r="QV2570" s="106"/>
      <c r="QW2570" s="106"/>
      <c r="QX2570" s="106"/>
      <c r="QY2570" s="106"/>
      <c r="QZ2570" s="106"/>
      <c r="RA2570" s="106"/>
      <c r="RB2570" s="106"/>
      <c r="RC2570" s="106"/>
      <c r="RD2570" s="106"/>
      <c r="RE2570" s="106"/>
      <c r="RF2570" s="106"/>
      <c r="RG2570" s="106"/>
      <c r="RH2570" s="106"/>
      <c r="RI2570" s="106"/>
      <c r="RJ2570" s="106"/>
      <c r="RK2570" s="106"/>
      <c r="RL2570" s="106"/>
    </row>
    <row r="2571" spans="48:480" x14ac:dyDescent="0.3">
      <c r="AV2571" s="103"/>
      <c r="CJ2571" s="103"/>
      <c r="FP2571" s="103"/>
      <c r="LL2571" s="103"/>
      <c r="NM2571" s="103"/>
      <c r="QT2571" s="106"/>
      <c r="QU2571" s="106"/>
      <c r="QV2571" s="106"/>
      <c r="QW2571" s="106"/>
      <c r="QX2571" s="106"/>
      <c r="QY2571" s="106"/>
      <c r="QZ2571" s="106"/>
      <c r="RA2571" s="106"/>
      <c r="RB2571" s="106"/>
      <c r="RC2571" s="106"/>
      <c r="RD2571" s="106"/>
      <c r="RE2571" s="106"/>
      <c r="RF2571" s="106"/>
      <c r="RG2571" s="106"/>
      <c r="RH2571" s="106"/>
      <c r="RI2571" s="106"/>
      <c r="RJ2571" s="106"/>
      <c r="RK2571" s="106"/>
      <c r="RL2571" s="106"/>
    </row>
    <row r="2572" spans="48:480" x14ac:dyDescent="0.3">
      <c r="AV2572" s="103"/>
      <c r="CJ2572" s="103"/>
      <c r="FP2572" s="103"/>
      <c r="LL2572" s="103"/>
      <c r="NM2572" s="103"/>
      <c r="QT2572" s="106"/>
      <c r="QU2572" s="106"/>
      <c r="QV2572" s="106"/>
      <c r="QW2572" s="106"/>
      <c r="QX2572" s="106"/>
      <c r="QY2572" s="106"/>
      <c r="QZ2572" s="106"/>
      <c r="RA2572" s="106"/>
      <c r="RB2572" s="106"/>
      <c r="RC2572" s="106"/>
      <c r="RD2572" s="106"/>
      <c r="RE2572" s="106"/>
      <c r="RF2572" s="106"/>
      <c r="RG2572" s="106"/>
      <c r="RH2572" s="106"/>
      <c r="RI2572" s="106"/>
      <c r="RJ2572" s="106"/>
      <c r="RK2572" s="106"/>
      <c r="RL2572" s="106"/>
    </row>
    <row r="2573" spans="48:480" x14ac:dyDescent="0.3">
      <c r="AV2573" s="103"/>
      <c r="CJ2573" s="103"/>
      <c r="FP2573" s="103"/>
      <c r="LL2573" s="103"/>
      <c r="NM2573" s="103"/>
      <c r="QT2573" s="106"/>
      <c r="QU2573" s="106"/>
      <c r="QV2573" s="106"/>
      <c r="QW2573" s="106"/>
      <c r="QX2573" s="106"/>
      <c r="QY2573" s="106"/>
      <c r="QZ2573" s="106"/>
      <c r="RA2573" s="106"/>
      <c r="RB2573" s="106"/>
      <c r="RC2573" s="106"/>
      <c r="RD2573" s="106"/>
      <c r="RE2573" s="106"/>
      <c r="RF2573" s="106"/>
      <c r="RG2573" s="106"/>
      <c r="RH2573" s="106"/>
      <c r="RI2573" s="106"/>
      <c r="RJ2573" s="106"/>
      <c r="RK2573" s="106"/>
      <c r="RL2573" s="106"/>
    </row>
    <row r="2574" spans="48:480" x14ac:dyDescent="0.3">
      <c r="AV2574" s="103"/>
      <c r="CJ2574" s="103"/>
      <c r="FP2574" s="103"/>
      <c r="LL2574" s="103"/>
      <c r="NM2574" s="103"/>
      <c r="QT2574" s="106"/>
      <c r="QU2574" s="106"/>
      <c r="QV2574" s="106"/>
      <c r="QW2574" s="106"/>
      <c r="QX2574" s="106"/>
      <c r="QY2574" s="106"/>
      <c r="QZ2574" s="106"/>
      <c r="RA2574" s="106"/>
      <c r="RB2574" s="106"/>
      <c r="RC2574" s="106"/>
      <c r="RD2574" s="106"/>
      <c r="RE2574" s="106"/>
      <c r="RF2574" s="106"/>
      <c r="RG2574" s="106"/>
      <c r="RH2574" s="106"/>
      <c r="RI2574" s="106"/>
      <c r="RJ2574" s="106"/>
      <c r="RK2574" s="106"/>
      <c r="RL2574" s="106"/>
    </row>
    <row r="2575" spans="48:480" x14ac:dyDescent="0.3">
      <c r="AV2575" s="103"/>
      <c r="CJ2575" s="103"/>
      <c r="FP2575" s="103"/>
      <c r="LL2575" s="103"/>
      <c r="NM2575" s="103"/>
      <c r="QT2575" s="106"/>
      <c r="QU2575" s="106"/>
      <c r="QV2575" s="106"/>
      <c r="QW2575" s="106"/>
      <c r="QX2575" s="106"/>
      <c r="QY2575" s="106"/>
      <c r="QZ2575" s="106"/>
      <c r="RA2575" s="106"/>
      <c r="RB2575" s="106"/>
      <c r="RC2575" s="106"/>
      <c r="RD2575" s="106"/>
      <c r="RE2575" s="106"/>
      <c r="RF2575" s="106"/>
      <c r="RG2575" s="106"/>
      <c r="RH2575" s="106"/>
      <c r="RI2575" s="106"/>
      <c r="RJ2575" s="106"/>
      <c r="RK2575" s="106"/>
      <c r="RL2575" s="106"/>
    </row>
    <row r="2576" spans="48:480" x14ac:dyDescent="0.3">
      <c r="AV2576" s="103"/>
      <c r="CJ2576" s="103"/>
      <c r="FP2576" s="103"/>
      <c r="LL2576" s="103"/>
      <c r="NM2576" s="103"/>
      <c r="QT2576" s="106"/>
      <c r="QU2576" s="106"/>
      <c r="QV2576" s="106"/>
      <c r="QW2576" s="106"/>
      <c r="QX2576" s="106"/>
      <c r="QY2576" s="106"/>
      <c r="QZ2576" s="106"/>
      <c r="RA2576" s="106"/>
      <c r="RB2576" s="106"/>
      <c r="RC2576" s="106"/>
      <c r="RD2576" s="106"/>
      <c r="RE2576" s="106"/>
      <c r="RF2576" s="106"/>
      <c r="RG2576" s="106"/>
      <c r="RH2576" s="106"/>
      <c r="RI2576" s="106"/>
      <c r="RJ2576" s="106"/>
      <c r="RK2576" s="106"/>
      <c r="RL2576" s="106"/>
    </row>
    <row r="2577" spans="48:480" x14ac:dyDescent="0.3">
      <c r="AV2577" s="103"/>
      <c r="CJ2577" s="103"/>
      <c r="FP2577" s="103"/>
      <c r="LL2577" s="103"/>
      <c r="NM2577" s="103"/>
      <c r="QT2577" s="106"/>
      <c r="QU2577" s="106"/>
      <c r="QV2577" s="106"/>
      <c r="QW2577" s="106"/>
      <c r="QX2577" s="106"/>
      <c r="QY2577" s="106"/>
      <c r="QZ2577" s="106"/>
      <c r="RA2577" s="106"/>
      <c r="RB2577" s="106"/>
      <c r="RC2577" s="106"/>
      <c r="RD2577" s="106"/>
      <c r="RE2577" s="106"/>
      <c r="RF2577" s="106"/>
      <c r="RG2577" s="106"/>
      <c r="RH2577" s="106"/>
      <c r="RI2577" s="106"/>
      <c r="RJ2577" s="106"/>
      <c r="RK2577" s="106"/>
      <c r="RL2577" s="106"/>
    </row>
    <row r="2578" spans="48:480" x14ac:dyDescent="0.3">
      <c r="AV2578" s="103"/>
      <c r="CJ2578" s="103"/>
      <c r="FP2578" s="103"/>
      <c r="LL2578" s="103"/>
      <c r="NM2578" s="103"/>
      <c r="QT2578" s="106"/>
      <c r="QU2578" s="106"/>
      <c r="QV2578" s="106"/>
      <c r="QW2578" s="106"/>
      <c r="QX2578" s="106"/>
      <c r="QY2578" s="106"/>
      <c r="QZ2578" s="106"/>
      <c r="RA2578" s="106"/>
      <c r="RB2578" s="106"/>
      <c r="RC2578" s="106"/>
      <c r="RD2578" s="106"/>
      <c r="RE2578" s="106"/>
      <c r="RF2578" s="106"/>
      <c r="RG2578" s="106"/>
      <c r="RH2578" s="106"/>
      <c r="RI2578" s="106"/>
      <c r="RJ2578" s="106"/>
      <c r="RK2578" s="106"/>
      <c r="RL2578" s="106"/>
    </row>
    <row r="2579" spans="48:480" x14ac:dyDescent="0.3">
      <c r="AV2579" s="103"/>
      <c r="CJ2579" s="103"/>
      <c r="FP2579" s="103"/>
      <c r="LL2579" s="103"/>
      <c r="NM2579" s="103"/>
      <c r="QT2579" s="106"/>
      <c r="QU2579" s="106"/>
      <c r="QV2579" s="106"/>
      <c r="QW2579" s="106"/>
      <c r="QX2579" s="106"/>
      <c r="QY2579" s="106"/>
      <c r="QZ2579" s="106"/>
      <c r="RA2579" s="106"/>
      <c r="RB2579" s="106"/>
      <c r="RC2579" s="106"/>
      <c r="RD2579" s="106"/>
      <c r="RE2579" s="106"/>
      <c r="RF2579" s="106"/>
      <c r="RG2579" s="106"/>
      <c r="RH2579" s="106"/>
      <c r="RI2579" s="106"/>
      <c r="RJ2579" s="106"/>
      <c r="RK2579" s="106"/>
      <c r="RL2579" s="106"/>
    </row>
    <row r="2580" spans="48:480" x14ac:dyDescent="0.3">
      <c r="AV2580" s="103"/>
      <c r="CJ2580" s="103"/>
      <c r="FP2580" s="103"/>
      <c r="LL2580" s="103"/>
      <c r="NM2580" s="103"/>
      <c r="QT2580" s="106"/>
      <c r="QU2580" s="106"/>
      <c r="QV2580" s="106"/>
      <c r="QW2580" s="106"/>
      <c r="QX2580" s="106"/>
      <c r="QY2580" s="106"/>
      <c r="QZ2580" s="106"/>
      <c r="RA2580" s="106"/>
      <c r="RB2580" s="106"/>
      <c r="RC2580" s="106"/>
      <c r="RD2580" s="106"/>
      <c r="RE2580" s="106"/>
      <c r="RF2580" s="106"/>
      <c r="RG2580" s="106"/>
      <c r="RH2580" s="106"/>
      <c r="RI2580" s="106"/>
      <c r="RJ2580" s="106"/>
      <c r="RK2580" s="106"/>
      <c r="RL2580" s="106"/>
    </row>
    <row r="2581" spans="48:480" x14ac:dyDescent="0.3">
      <c r="AV2581" s="103"/>
      <c r="CJ2581" s="103"/>
      <c r="FP2581" s="103"/>
      <c r="LL2581" s="103"/>
      <c r="NM2581" s="103"/>
      <c r="QT2581" s="106"/>
      <c r="QU2581" s="106"/>
      <c r="QV2581" s="106"/>
      <c r="QW2581" s="106"/>
      <c r="QX2581" s="106"/>
      <c r="QY2581" s="106"/>
      <c r="QZ2581" s="106"/>
      <c r="RA2581" s="106"/>
      <c r="RB2581" s="106"/>
      <c r="RC2581" s="106"/>
      <c r="RD2581" s="106"/>
      <c r="RE2581" s="106"/>
      <c r="RF2581" s="106"/>
      <c r="RG2581" s="106"/>
      <c r="RH2581" s="106"/>
      <c r="RI2581" s="106"/>
      <c r="RJ2581" s="106"/>
      <c r="RK2581" s="106"/>
      <c r="RL2581" s="106"/>
    </row>
    <row r="2582" spans="48:480" x14ac:dyDescent="0.3">
      <c r="AV2582" s="103"/>
      <c r="CJ2582" s="103"/>
      <c r="FP2582" s="103"/>
      <c r="LL2582" s="103"/>
      <c r="NM2582" s="103"/>
      <c r="QT2582" s="106"/>
      <c r="QU2582" s="106"/>
      <c r="QV2582" s="106"/>
      <c r="QW2582" s="106"/>
      <c r="QX2582" s="106"/>
      <c r="QY2582" s="106"/>
      <c r="QZ2582" s="106"/>
      <c r="RA2582" s="106"/>
      <c r="RB2582" s="106"/>
      <c r="RC2582" s="106"/>
      <c r="RD2582" s="106"/>
      <c r="RE2582" s="106"/>
      <c r="RF2582" s="106"/>
      <c r="RG2582" s="106"/>
      <c r="RH2582" s="106"/>
      <c r="RI2582" s="106"/>
      <c r="RJ2582" s="106"/>
      <c r="RK2582" s="106"/>
      <c r="RL2582" s="106"/>
    </row>
    <row r="2583" spans="48:480" x14ac:dyDescent="0.3">
      <c r="AV2583" s="103"/>
      <c r="CJ2583" s="103"/>
      <c r="FP2583" s="103"/>
      <c r="LL2583" s="103"/>
      <c r="NM2583" s="103"/>
      <c r="QT2583" s="106"/>
      <c r="QU2583" s="106"/>
      <c r="QV2583" s="106"/>
      <c r="QW2583" s="106"/>
      <c r="QX2583" s="106"/>
      <c r="QY2583" s="106"/>
      <c r="QZ2583" s="106"/>
      <c r="RA2583" s="106"/>
      <c r="RB2583" s="106"/>
      <c r="RC2583" s="106"/>
      <c r="RD2583" s="106"/>
      <c r="RE2583" s="106"/>
      <c r="RF2583" s="106"/>
      <c r="RG2583" s="106"/>
      <c r="RH2583" s="106"/>
      <c r="RI2583" s="106"/>
      <c r="RJ2583" s="106"/>
      <c r="RK2583" s="106"/>
      <c r="RL2583" s="106"/>
    </row>
    <row r="2584" spans="48:480" x14ac:dyDescent="0.3">
      <c r="AV2584" s="103"/>
      <c r="CJ2584" s="103"/>
      <c r="FP2584" s="103"/>
      <c r="LL2584" s="103"/>
      <c r="NM2584" s="103"/>
      <c r="QT2584" s="106"/>
      <c r="QU2584" s="106"/>
      <c r="QV2584" s="106"/>
      <c r="QW2584" s="106"/>
      <c r="QX2584" s="106"/>
      <c r="QY2584" s="106"/>
      <c r="QZ2584" s="106"/>
      <c r="RA2584" s="106"/>
      <c r="RB2584" s="106"/>
      <c r="RC2584" s="106"/>
      <c r="RD2584" s="106"/>
      <c r="RE2584" s="106"/>
      <c r="RF2584" s="106"/>
      <c r="RG2584" s="106"/>
      <c r="RH2584" s="106"/>
      <c r="RI2584" s="106"/>
      <c r="RJ2584" s="106"/>
      <c r="RK2584" s="106"/>
      <c r="RL2584" s="106"/>
    </row>
    <row r="2585" spans="48:480" x14ac:dyDescent="0.3">
      <c r="AV2585" s="103"/>
      <c r="CJ2585" s="103"/>
      <c r="FP2585" s="103"/>
      <c r="LL2585" s="103"/>
      <c r="NM2585" s="103"/>
      <c r="QT2585" s="106"/>
      <c r="QU2585" s="106"/>
      <c r="QV2585" s="106"/>
      <c r="QW2585" s="106"/>
      <c r="QX2585" s="106"/>
      <c r="QY2585" s="106"/>
      <c r="QZ2585" s="106"/>
      <c r="RA2585" s="106"/>
      <c r="RB2585" s="106"/>
      <c r="RC2585" s="106"/>
      <c r="RD2585" s="106"/>
      <c r="RE2585" s="106"/>
      <c r="RF2585" s="106"/>
      <c r="RG2585" s="106"/>
      <c r="RH2585" s="106"/>
      <c r="RI2585" s="106"/>
      <c r="RJ2585" s="106"/>
      <c r="RK2585" s="106"/>
      <c r="RL2585" s="106"/>
    </row>
    <row r="2586" spans="48:480" x14ac:dyDescent="0.3">
      <c r="AV2586" s="103"/>
      <c r="CJ2586" s="103"/>
      <c r="FP2586" s="103"/>
      <c r="LL2586" s="103"/>
      <c r="NM2586" s="103"/>
      <c r="QT2586" s="106"/>
      <c r="QU2586" s="106"/>
      <c r="QV2586" s="106"/>
      <c r="QW2586" s="106"/>
      <c r="QX2586" s="106"/>
      <c r="QY2586" s="106"/>
      <c r="QZ2586" s="106"/>
      <c r="RA2586" s="106"/>
      <c r="RB2586" s="106"/>
      <c r="RC2586" s="106"/>
      <c r="RD2586" s="106"/>
      <c r="RE2586" s="106"/>
      <c r="RF2586" s="106"/>
      <c r="RG2586" s="106"/>
      <c r="RH2586" s="106"/>
      <c r="RI2586" s="106"/>
      <c r="RJ2586" s="106"/>
      <c r="RK2586" s="106"/>
      <c r="RL2586" s="106"/>
    </row>
    <row r="2587" spans="48:480" x14ac:dyDescent="0.3">
      <c r="AV2587" s="103"/>
      <c r="CJ2587" s="103"/>
      <c r="FP2587" s="103"/>
      <c r="LL2587" s="103"/>
      <c r="NM2587" s="103"/>
      <c r="QT2587" s="106"/>
      <c r="QU2587" s="106"/>
      <c r="QV2587" s="106"/>
      <c r="QW2587" s="106"/>
      <c r="QX2587" s="106"/>
      <c r="QY2587" s="106"/>
      <c r="QZ2587" s="106"/>
      <c r="RA2587" s="106"/>
      <c r="RB2587" s="106"/>
      <c r="RC2587" s="106"/>
      <c r="RD2587" s="106"/>
      <c r="RE2587" s="106"/>
      <c r="RF2587" s="106"/>
      <c r="RG2587" s="106"/>
      <c r="RH2587" s="106"/>
      <c r="RI2587" s="106"/>
      <c r="RJ2587" s="106"/>
      <c r="RK2587" s="106"/>
      <c r="RL2587" s="106"/>
    </row>
    <row r="2588" spans="48:480" x14ac:dyDescent="0.3">
      <c r="AV2588" s="103"/>
      <c r="CJ2588" s="103"/>
      <c r="FP2588" s="103"/>
      <c r="LL2588" s="103"/>
      <c r="NM2588" s="103"/>
      <c r="QT2588" s="106"/>
      <c r="QU2588" s="106"/>
      <c r="QV2588" s="106"/>
      <c r="QW2588" s="106"/>
      <c r="QX2588" s="106"/>
      <c r="QY2588" s="106"/>
      <c r="QZ2588" s="106"/>
      <c r="RA2588" s="106"/>
      <c r="RB2588" s="106"/>
      <c r="RC2588" s="106"/>
      <c r="RD2588" s="106"/>
      <c r="RE2588" s="106"/>
      <c r="RF2588" s="106"/>
      <c r="RG2588" s="106"/>
      <c r="RH2588" s="106"/>
      <c r="RI2588" s="106"/>
      <c r="RJ2588" s="106"/>
      <c r="RK2588" s="106"/>
      <c r="RL2588" s="106"/>
    </row>
    <row r="2589" spans="48:480" x14ac:dyDescent="0.3">
      <c r="AV2589" s="103"/>
      <c r="CJ2589" s="103"/>
      <c r="FP2589" s="103"/>
      <c r="LL2589" s="103"/>
      <c r="NM2589" s="103"/>
      <c r="QT2589" s="106"/>
      <c r="QU2589" s="106"/>
      <c r="QV2589" s="106"/>
      <c r="QW2589" s="106"/>
      <c r="QX2589" s="106"/>
      <c r="QY2589" s="106"/>
      <c r="QZ2589" s="106"/>
      <c r="RA2589" s="106"/>
      <c r="RB2589" s="106"/>
      <c r="RC2589" s="106"/>
      <c r="RD2589" s="106"/>
      <c r="RE2589" s="106"/>
      <c r="RF2589" s="106"/>
      <c r="RG2589" s="106"/>
      <c r="RH2589" s="106"/>
      <c r="RI2589" s="106"/>
      <c r="RJ2589" s="106"/>
      <c r="RK2589" s="106"/>
      <c r="RL2589" s="106"/>
    </row>
    <row r="2590" spans="48:480" x14ac:dyDescent="0.3">
      <c r="AV2590" s="103"/>
      <c r="CJ2590" s="103"/>
      <c r="FP2590" s="103"/>
      <c r="LL2590" s="103"/>
      <c r="NM2590" s="103"/>
      <c r="QT2590" s="106"/>
      <c r="QU2590" s="106"/>
      <c r="QV2590" s="106"/>
      <c r="QW2590" s="106"/>
      <c r="QX2590" s="106"/>
      <c r="QY2590" s="106"/>
      <c r="QZ2590" s="106"/>
      <c r="RA2590" s="106"/>
      <c r="RB2590" s="106"/>
      <c r="RC2590" s="106"/>
      <c r="RD2590" s="106"/>
      <c r="RE2590" s="106"/>
      <c r="RF2590" s="106"/>
      <c r="RG2590" s="106"/>
      <c r="RH2590" s="106"/>
      <c r="RI2590" s="106"/>
      <c r="RJ2590" s="106"/>
      <c r="RK2590" s="106"/>
      <c r="RL2590" s="106"/>
    </row>
    <row r="2591" spans="48:480" x14ac:dyDescent="0.3">
      <c r="AV2591" s="103"/>
      <c r="CJ2591" s="103"/>
      <c r="FP2591" s="103"/>
      <c r="LL2591" s="103"/>
      <c r="NM2591" s="103"/>
      <c r="QT2591" s="106"/>
      <c r="QU2591" s="106"/>
      <c r="QV2591" s="106"/>
      <c r="QW2591" s="106"/>
      <c r="QX2591" s="106"/>
      <c r="QY2591" s="106"/>
      <c r="QZ2591" s="106"/>
      <c r="RA2591" s="106"/>
      <c r="RB2591" s="106"/>
      <c r="RC2591" s="106"/>
      <c r="RD2591" s="106"/>
      <c r="RE2591" s="106"/>
      <c r="RF2591" s="106"/>
      <c r="RG2591" s="106"/>
      <c r="RH2591" s="106"/>
      <c r="RI2591" s="106"/>
      <c r="RJ2591" s="106"/>
      <c r="RK2591" s="106"/>
      <c r="RL2591" s="106"/>
    </row>
    <row r="2592" spans="48:480" x14ac:dyDescent="0.3">
      <c r="AV2592" s="103"/>
      <c r="CJ2592" s="103"/>
      <c r="FP2592" s="103"/>
      <c r="LL2592" s="103"/>
      <c r="NM2592" s="103"/>
      <c r="QT2592" s="106"/>
      <c r="QU2592" s="106"/>
      <c r="QV2592" s="106"/>
      <c r="QW2592" s="106"/>
      <c r="QX2592" s="106"/>
      <c r="QY2592" s="106"/>
      <c r="QZ2592" s="106"/>
      <c r="RA2592" s="106"/>
      <c r="RB2592" s="106"/>
      <c r="RC2592" s="106"/>
      <c r="RD2592" s="106"/>
      <c r="RE2592" s="106"/>
      <c r="RF2592" s="106"/>
      <c r="RG2592" s="106"/>
      <c r="RH2592" s="106"/>
      <c r="RI2592" s="106"/>
      <c r="RJ2592" s="106"/>
      <c r="RK2592" s="106"/>
      <c r="RL2592" s="106"/>
    </row>
    <row r="2593" spans="48:480" x14ac:dyDescent="0.3">
      <c r="AV2593" s="103"/>
      <c r="CJ2593" s="103"/>
      <c r="FP2593" s="103"/>
      <c r="LL2593" s="103"/>
      <c r="NM2593" s="103"/>
      <c r="QT2593" s="106"/>
      <c r="QU2593" s="106"/>
      <c r="QV2593" s="106"/>
      <c r="QW2593" s="106"/>
      <c r="QX2593" s="106"/>
      <c r="QY2593" s="106"/>
      <c r="QZ2593" s="106"/>
      <c r="RA2593" s="106"/>
      <c r="RB2593" s="106"/>
      <c r="RC2593" s="106"/>
      <c r="RD2593" s="106"/>
      <c r="RE2593" s="106"/>
      <c r="RF2593" s="106"/>
      <c r="RG2593" s="106"/>
      <c r="RH2593" s="106"/>
      <c r="RI2593" s="106"/>
      <c r="RJ2593" s="106"/>
      <c r="RK2593" s="106"/>
      <c r="RL2593" s="106"/>
    </row>
    <row r="2594" spans="48:480" x14ac:dyDescent="0.3">
      <c r="AV2594" s="103"/>
      <c r="CJ2594" s="103"/>
      <c r="FP2594" s="103"/>
      <c r="LL2594" s="103"/>
      <c r="NM2594" s="103"/>
      <c r="QT2594" s="106"/>
      <c r="QU2594" s="106"/>
      <c r="QV2594" s="106"/>
      <c r="QW2594" s="106"/>
      <c r="QX2594" s="106"/>
      <c r="QY2594" s="106"/>
      <c r="QZ2594" s="106"/>
      <c r="RA2594" s="106"/>
      <c r="RB2594" s="106"/>
      <c r="RC2594" s="106"/>
      <c r="RD2594" s="106"/>
      <c r="RE2594" s="106"/>
      <c r="RF2594" s="106"/>
      <c r="RG2594" s="106"/>
      <c r="RH2594" s="106"/>
      <c r="RI2594" s="106"/>
      <c r="RJ2594" s="106"/>
      <c r="RK2594" s="106"/>
      <c r="RL2594" s="106"/>
    </row>
    <row r="2595" spans="48:480" x14ac:dyDescent="0.3">
      <c r="AV2595" s="103"/>
      <c r="CJ2595" s="103"/>
      <c r="FP2595" s="103"/>
      <c r="LL2595" s="103"/>
      <c r="NM2595" s="103"/>
      <c r="QT2595" s="106"/>
      <c r="QU2595" s="106"/>
      <c r="QV2595" s="106"/>
      <c r="QW2595" s="106"/>
      <c r="QX2595" s="106"/>
      <c r="QY2595" s="106"/>
      <c r="QZ2595" s="106"/>
      <c r="RA2595" s="106"/>
      <c r="RB2595" s="106"/>
      <c r="RC2595" s="106"/>
      <c r="RD2595" s="106"/>
      <c r="RE2595" s="106"/>
      <c r="RF2595" s="106"/>
      <c r="RG2595" s="106"/>
      <c r="RH2595" s="106"/>
      <c r="RI2595" s="106"/>
      <c r="RJ2595" s="106"/>
      <c r="RK2595" s="106"/>
      <c r="RL2595" s="106"/>
    </row>
    <row r="2596" spans="48:480" x14ac:dyDescent="0.3">
      <c r="AV2596" s="103"/>
      <c r="CJ2596" s="103"/>
      <c r="FP2596" s="103"/>
      <c r="LL2596" s="103"/>
      <c r="NM2596" s="103"/>
      <c r="QT2596" s="106"/>
      <c r="QU2596" s="106"/>
      <c r="QV2596" s="106"/>
      <c r="QW2596" s="106"/>
      <c r="QX2596" s="106"/>
      <c r="QY2596" s="106"/>
      <c r="QZ2596" s="106"/>
      <c r="RA2596" s="106"/>
      <c r="RB2596" s="106"/>
      <c r="RC2596" s="106"/>
      <c r="RD2596" s="106"/>
      <c r="RE2596" s="106"/>
      <c r="RF2596" s="106"/>
      <c r="RG2596" s="106"/>
      <c r="RH2596" s="106"/>
      <c r="RI2596" s="106"/>
      <c r="RJ2596" s="106"/>
      <c r="RK2596" s="106"/>
      <c r="RL2596" s="106"/>
    </row>
    <row r="2597" spans="48:480" x14ac:dyDescent="0.3">
      <c r="AV2597" s="103"/>
      <c r="CJ2597" s="103"/>
      <c r="FP2597" s="103"/>
      <c r="LL2597" s="103"/>
      <c r="NM2597" s="103"/>
      <c r="QT2597" s="106"/>
      <c r="QU2597" s="106"/>
      <c r="QV2597" s="106"/>
      <c r="QW2597" s="106"/>
      <c r="QX2597" s="106"/>
      <c r="QY2597" s="106"/>
      <c r="QZ2597" s="106"/>
      <c r="RA2597" s="106"/>
      <c r="RB2597" s="106"/>
      <c r="RC2597" s="106"/>
      <c r="RD2597" s="106"/>
      <c r="RE2597" s="106"/>
      <c r="RF2597" s="106"/>
      <c r="RG2597" s="106"/>
      <c r="RH2597" s="106"/>
      <c r="RI2597" s="106"/>
      <c r="RJ2597" s="106"/>
      <c r="RK2597" s="106"/>
      <c r="RL2597" s="106"/>
    </row>
    <row r="2598" spans="48:480" x14ac:dyDescent="0.3">
      <c r="AV2598" s="103"/>
      <c r="CJ2598" s="103"/>
      <c r="FP2598" s="103"/>
      <c r="LL2598" s="103"/>
      <c r="NM2598" s="103"/>
      <c r="QT2598" s="106"/>
      <c r="QU2598" s="106"/>
      <c r="QV2598" s="106"/>
      <c r="QW2598" s="106"/>
      <c r="QX2598" s="106"/>
      <c r="QY2598" s="106"/>
      <c r="QZ2598" s="106"/>
      <c r="RA2598" s="106"/>
      <c r="RB2598" s="106"/>
      <c r="RC2598" s="106"/>
      <c r="RD2598" s="106"/>
      <c r="RE2598" s="106"/>
      <c r="RF2598" s="106"/>
      <c r="RG2598" s="106"/>
      <c r="RH2598" s="106"/>
      <c r="RI2598" s="106"/>
      <c r="RJ2598" s="106"/>
      <c r="RK2598" s="106"/>
      <c r="RL2598" s="106"/>
    </row>
    <row r="2599" spans="48:480" x14ac:dyDescent="0.3">
      <c r="AV2599" s="103"/>
      <c r="CJ2599" s="103"/>
      <c r="FP2599" s="103"/>
      <c r="LL2599" s="103"/>
      <c r="NM2599" s="103"/>
      <c r="QT2599" s="106"/>
      <c r="QU2599" s="106"/>
      <c r="QV2599" s="106"/>
      <c r="QW2599" s="106"/>
      <c r="QX2599" s="106"/>
      <c r="QY2599" s="106"/>
      <c r="QZ2599" s="106"/>
      <c r="RA2599" s="106"/>
      <c r="RB2599" s="106"/>
      <c r="RC2599" s="106"/>
      <c r="RD2599" s="106"/>
      <c r="RE2599" s="106"/>
      <c r="RF2599" s="106"/>
      <c r="RG2599" s="106"/>
      <c r="RH2599" s="106"/>
      <c r="RI2599" s="106"/>
      <c r="RJ2599" s="106"/>
      <c r="RK2599" s="106"/>
      <c r="RL2599" s="106"/>
    </row>
    <row r="2600" spans="48:480" x14ac:dyDescent="0.3">
      <c r="AV2600" s="103"/>
      <c r="CJ2600" s="103"/>
      <c r="FP2600" s="103"/>
      <c r="LL2600" s="103"/>
      <c r="NM2600" s="103"/>
      <c r="QT2600" s="106"/>
      <c r="QU2600" s="106"/>
      <c r="QV2600" s="106"/>
      <c r="QW2600" s="106"/>
      <c r="QX2600" s="106"/>
      <c r="QY2600" s="106"/>
      <c r="QZ2600" s="106"/>
      <c r="RA2600" s="106"/>
      <c r="RB2600" s="106"/>
      <c r="RC2600" s="106"/>
      <c r="RD2600" s="106"/>
      <c r="RE2600" s="106"/>
      <c r="RF2600" s="106"/>
      <c r="RG2600" s="106"/>
      <c r="RH2600" s="106"/>
      <c r="RI2600" s="106"/>
      <c r="RJ2600" s="106"/>
      <c r="RK2600" s="106"/>
      <c r="RL2600" s="106"/>
    </row>
    <row r="2601" spans="48:480" x14ac:dyDescent="0.3">
      <c r="AV2601" s="103"/>
      <c r="CJ2601" s="103"/>
      <c r="FP2601" s="103"/>
      <c r="LL2601" s="103"/>
      <c r="NM2601" s="103"/>
      <c r="QT2601" s="106"/>
      <c r="QU2601" s="106"/>
      <c r="QV2601" s="106"/>
      <c r="QW2601" s="106"/>
      <c r="QX2601" s="106"/>
      <c r="QY2601" s="106"/>
      <c r="QZ2601" s="106"/>
      <c r="RA2601" s="106"/>
      <c r="RB2601" s="106"/>
      <c r="RC2601" s="106"/>
      <c r="RD2601" s="106"/>
      <c r="RE2601" s="106"/>
      <c r="RF2601" s="106"/>
      <c r="RG2601" s="106"/>
      <c r="RH2601" s="106"/>
      <c r="RI2601" s="106"/>
      <c r="RJ2601" s="106"/>
      <c r="RK2601" s="106"/>
      <c r="RL2601" s="106"/>
    </row>
    <row r="2602" spans="48:480" x14ac:dyDescent="0.3">
      <c r="AV2602" s="103"/>
      <c r="CJ2602" s="103"/>
      <c r="FP2602" s="103"/>
      <c r="LL2602" s="103"/>
      <c r="NM2602" s="103"/>
      <c r="QT2602" s="106"/>
      <c r="QU2602" s="106"/>
      <c r="QV2602" s="106"/>
      <c r="QW2602" s="106"/>
      <c r="QX2602" s="106"/>
      <c r="QY2602" s="106"/>
      <c r="QZ2602" s="106"/>
      <c r="RA2602" s="106"/>
      <c r="RB2602" s="106"/>
      <c r="RC2602" s="106"/>
      <c r="RD2602" s="106"/>
      <c r="RE2602" s="106"/>
      <c r="RF2602" s="106"/>
      <c r="RG2602" s="106"/>
      <c r="RH2602" s="106"/>
      <c r="RI2602" s="106"/>
      <c r="RJ2602" s="106"/>
      <c r="RK2602" s="106"/>
      <c r="RL2602" s="106"/>
    </row>
    <row r="2603" spans="48:480" x14ac:dyDescent="0.3">
      <c r="AV2603" s="103"/>
      <c r="CJ2603" s="103"/>
      <c r="FP2603" s="103"/>
      <c r="LL2603" s="103"/>
      <c r="NM2603" s="103"/>
      <c r="QT2603" s="106"/>
      <c r="QU2603" s="106"/>
      <c r="QV2603" s="106"/>
      <c r="QW2603" s="106"/>
      <c r="QX2603" s="106"/>
      <c r="QY2603" s="106"/>
      <c r="QZ2603" s="106"/>
      <c r="RA2603" s="106"/>
      <c r="RB2603" s="106"/>
      <c r="RC2603" s="106"/>
      <c r="RD2603" s="106"/>
      <c r="RE2603" s="106"/>
      <c r="RF2603" s="106"/>
      <c r="RG2603" s="106"/>
      <c r="RH2603" s="106"/>
      <c r="RI2603" s="106"/>
      <c r="RJ2603" s="106"/>
      <c r="RK2603" s="106"/>
      <c r="RL2603" s="106"/>
    </row>
    <row r="2604" spans="48:480" x14ac:dyDescent="0.3">
      <c r="AV2604" s="103"/>
      <c r="CJ2604" s="103"/>
      <c r="FP2604" s="103"/>
      <c r="LL2604" s="103"/>
      <c r="NM2604" s="103"/>
      <c r="QT2604" s="106"/>
      <c r="QU2604" s="106"/>
      <c r="QV2604" s="106"/>
      <c r="QW2604" s="106"/>
      <c r="QX2604" s="106"/>
      <c r="QY2604" s="106"/>
      <c r="QZ2604" s="106"/>
      <c r="RA2604" s="106"/>
      <c r="RB2604" s="106"/>
      <c r="RC2604" s="106"/>
      <c r="RD2604" s="106"/>
      <c r="RE2604" s="106"/>
      <c r="RF2604" s="106"/>
      <c r="RG2604" s="106"/>
      <c r="RH2604" s="106"/>
      <c r="RI2604" s="106"/>
      <c r="RJ2604" s="106"/>
      <c r="RK2604" s="106"/>
      <c r="RL2604" s="106"/>
    </row>
    <row r="2605" spans="48:480" x14ac:dyDescent="0.3">
      <c r="AV2605" s="103"/>
      <c r="CJ2605" s="103"/>
      <c r="FP2605" s="103"/>
      <c r="LL2605" s="103"/>
      <c r="NM2605" s="103"/>
      <c r="QT2605" s="106"/>
      <c r="QU2605" s="106"/>
      <c r="QV2605" s="106"/>
      <c r="QW2605" s="106"/>
      <c r="QX2605" s="106"/>
      <c r="QY2605" s="106"/>
      <c r="QZ2605" s="106"/>
      <c r="RA2605" s="106"/>
      <c r="RB2605" s="106"/>
      <c r="RC2605" s="106"/>
      <c r="RD2605" s="106"/>
      <c r="RE2605" s="106"/>
      <c r="RF2605" s="106"/>
      <c r="RG2605" s="106"/>
      <c r="RH2605" s="106"/>
      <c r="RI2605" s="106"/>
      <c r="RJ2605" s="106"/>
      <c r="RK2605" s="106"/>
      <c r="RL2605" s="106"/>
    </row>
    <row r="2606" spans="48:480" x14ac:dyDescent="0.3">
      <c r="AV2606" s="103"/>
      <c r="CJ2606" s="103"/>
      <c r="FP2606" s="103"/>
      <c r="LL2606" s="103"/>
      <c r="NM2606" s="103"/>
      <c r="QT2606" s="106"/>
      <c r="QU2606" s="106"/>
      <c r="QV2606" s="106"/>
      <c r="QW2606" s="106"/>
      <c r="QX2606" s="106"/>
      <c r="QY2606" s="106"/>
      <c r="QZ2606" s="106"/>
      <c r="RA2606" s="106"/>
      <c r="RB2606" s="106"/>
      <c r="RC2606" s="106"/>
      <c r="RD2606" s="106"/>
      <c r="RE2606" s="106"/>
      <c r="RF2606" s="106"/>
      <c r="RG2606" s="106"/>
      <c r="RH2606" s="106"/>
      <c r="RI2606" s="106"/>
      <c r="RJ2606" s="106"/>
      <c r="RK2606" s="106"/>
      <c r="RL2606" s="106"/>
    </row>
    <row r="2607" spans="48:480" x14ac:dyDescent="0.3">
      <c r="AV2607" s="103"/>
      <c r="CJ2607" s="103"/>
      <c r="FP2607" s="103"/>
      <c r="LL2607" s="103"/>
      <c r="NM2607" s="103"/>
      <c r="QT2607" s="106"/>
      <c r="QU2607" s="106"/>
      <c r="QV2607" s="106"/>
      <c r="QW2607" s="106"/>
      <c r="QX2607" s="106"/>
      <c r="QY2607" s="106"/>
      <c r="QZ2607" s="106"/>
      <c r="RA2607" s="106"/>
      <c r="RB2607" s="106"/>
      <c r="RC2607" s="106"/>
      <c r="RD2607" s="106"/>
      <c r="RE2607" s="106"/>
      <c r="RF2607" s="106"/>
      <c r="RG2607" s="106"/>
      <c r="RH2607" s="106"/>
      <c r="RI2607" s="106"/>
      <c r="RJ2607" s="106"/>
      <c r="RK2607" s="106"/>
      <c r="RL2607" s="106"/>
    </row>
    <row r="2608" spans="48:480" x14ac:dyDescent="0.3">
      <c r="AV2608" s="103"/>
      <c r="CJ2608" s="103"/>
      <c r="FP2608" s="103"/>
      <c r="LL2608" s="103"/>
      <c r="NM2608" s="103"/>
      <c r="QT2608" s="106"/>
      <c r="QU2608" s="106"/>
      <c r="QV2608" s="106"/>
      <c r="QW2608" s="106"/>
      <c r="QX2608" s="106"/>
      <c r="QY2608" s="106"/>
      <c r="QZ2608" s="106"/>
      <c r="RA2608" s="106"/>
      <c r="RB2608" s="106"/>
      <c r="RC2608" s="106"/>
      <c r="RD2608" s="106"/>
      <c r="RE2608" s="106"/>
      <c r="RF2608" s="106"/>
      <c r="RG2608" s="106"/>
      <c r="RH2608" s="106"/>
      <c r="RI2608" s="106"/>
      <c r="RJ2608" s="106"/>
      <c r="RK2608" s="106"/>
      <c r="RL2608" s="106"/>
    </row>
    <row r="2609" spans="48:480" x14ac:dyDescent="0.3">
      <c r="AV2609" s="103"/>
      <c r="CJ2609" s="103"/>
      <c r="FP2609" s="103"/>
      <c r="LL2609" s="103"/>
      <c r="NM2609" s="103"/>
      <c r="QT2609" s="106"/>
      <c r="QU2609" s="106"/>
      <c r="QV2609" s="106"/>
      <c r="QW2609" s="106"/>
      <c r="QX2609" s="106"/>
      <c r="QY2609" s="106"/>
      <c r="QZ2609" s="106"/>
      <c r="RA2609" s="106"/>
      <c r="RB2609" s="106"/>
      <c r="RC2609" s="106"/>
      <c r="RD2609" s="106"/>
      <c r="RE2609" s="106"/>
      <c r="RF2609" s="106"/>
      <c r="RG2609" s="106"/>
      <c r="RH2609" s="106"/>
      <c r="RI2609" s="106"/>
      <c r="RJ2609" s="106"/>
      <c r="RK2609" s="106"/>
      <c r="RL2609" s="106"/>
    </row>
    <row r="2610" spans="48:480" x14ac:dyDescent="0.3">
      <c r="AV2610" s="103"/>
      <c r="CJ2610" s="103"/>
      <c r="FP2610" s="103"/>
      <c r="LL2610" s="103"/>
      <c r="NM2610" s="103"/>
      <c r="QT2610" s="106"/>
      <c r="QU2610" s="106"/>
      <c r="QV2610" s="106"/>
      <c r="QW2610" s="106"/>
      <c r="QX2610" s="106"/>
      <c r="QY2610" s="106"/>
      <c r="QZ2610" s="106"/>
      <c r="RA2610" s="106"/>
      <c r="RB2610" s="106"/>
      <c r="RC2610" s="106"/>
      <c r="RD2610" s="106"/>
      <c r="RE2610" s="106"/>
      <c r="RF2610" s="106"/>
      <c r="RG2610" s="106"/>
      <c r="RH2610" s="106"/>
      <c r="RI2610" s="106"/>
      <c r="RJ2610" s="106"/>
      <c r="RK2610" s="106"/>
      <c r="RL2610" s="106"/>
    </row>
    <row r="2611" spans="48:480" x14ac:dyDescent="0.3">
      <c r="AV2611" s="103"/>
      <c r="CJ2611" s="103"/>
      <c r="FP2611" s="103"/>
      <c r="LL2611" s="103"/>
      <c r="NM2611" s="103"/>
      <c r="QT2611" s="106"/>
      <c r="QU2611" s="106"/>
      <c r="QV2611" s="106"/>
      <c r="QW2611" s="106"/>
      <c r="QX2611" s="106"/>
      <c r="QY2611" s="106"/>
      <c r="QZ2611" s="106"/>
      <c r="RA2611" s="106"/>
      <c r="RB2611" s="106"/>
      <c r="RC2611" s="106"/>
      <c r="RD2611" s="106"/>
      <c r="RE2611" s="106"/>
      <c r="RF2611" s="106"/>
      <c r="RG2611" s="106"/>
      <c r="RH2611" s="106"/>
      <c r="RI2611" s="106"/>
      <c r="RJ2611" s="106"/>
      <c r="RK2611" s="106"/>
      <c r="RL2611" s="106"/>
    </row>
    <row r="2612" spans="48:480" x14ac:dyDescent="0.3">
      <c r="AV2612" s="103"/>
      <c r="CJ2612" s="103"/>
      <c r="FP2612" s="103"/>
      <c r="LL2612" s="103"/>
      <c r="NM2612" s="103"/>
      <c r="QT2612" s="106"/>
      <c r="QU2612" s="106"/>
      <c r="QV2612" s="106"/>
      <c r="QW2612" s="106"/>
      <c r="QX2612" s="106"/>
      <c r="QY2612" s="106"/>
      <c r="QZ2612" s="106"/>
      <c r="RA2612" s="106"/>
      <c r="RB2612" s="106"/>
      <c r="RC2612" s="106"/>
      <c r="RD2612" s="106"/>
      <c r="RE2612" s="106"/>
      <c r="RF2612" s="106"/>
      <c r="RG2612" s="106"/>
      <c r="RH2612" s="106"/>
      <c r="RI2612" s="106"/>
      <c r="RJ2612" s="106"/>
      <c r="RK2612" s="106"/>
      <c r="RL2612" s="106"/>
    </row>
    <row r="2613" spans="48:480" x14ac:dyDescent="0.3">
      <c r="AV2613" s="103"/>
      <c r="CJ2613" s="103"/>
      <c r="FP2613" s="103"/>
      <c r="LL2613" s="103"/>
      <c r="NM2613" s="103"/>
      <c r="QT2613" s="106"/>
      <c r="QU2613" s="106"/>
      <c r="QV2613" s="106"/>
      <c r="QW2613" s="106"/>
      <c r="QX2613" s="106"/>
      <c r="QY2613" s="106"/>
      <c r="QZ2613" s="106"/>
      <c r="RA2613" s="106"/>
      <c r="RB2613" s="106"/>
      <c r="RC2613" s="106"/>
      <c r="RD2613" s="106"/>
      <c r="RE2613" s="106"/>
      <c r="RF2613" s="106"/>
      <c r="RG2613" s="106"/>
      <c r="RH2613" s="106"/>
      <c r="RI2613" s="106"/>
      <c r="RJ2613" s="106"/>
      <c r="RK2613" s="106"/>
      <c r="RL2613" s="106"/>
    </row>
    <row r="2614" spans="48:480" x14ac:dyDescent="0.3">
      <c r="AV2614" s="103"/>
      <c r="CJ2614" s="103"/>
      <c r="FP2614" s="103"/>
      <c r="LL2614" s="103"/>
      <c r="NM2614" s="103"/>
      <c r="QT2614" s="106"/>
      <c r="QU2614" s="106"/>
      <c r="QV2614" s="106"/>
      <c r="QW2614" s="106"/>
      <c r="QX2614" s="106"/>
      <c r="QY2614" s="106"/>
      <c r="QZ2614" s="106"/>
      <c r="RA2614" s="106"/>
      <c r="RB2614" s="106"/>
      <c r="RC2614" s="106"/>
      <c r="RD2614" s="106"/>
      <c r="RE2614" s="106"/>
      <c r="RF2614" s="106"/>
      <c r="RG2614" s="106"/>
      <c r="RH2614" s="106"/>
      <c r="RI2614" s="106"/>
      <c r="RJ2614" s="106"/>
      <c r="RK2614" s="106"/>
      <c r="RL2614" s="106"/>
    </row>
    <row r="2615" spans="48:480" x14ac:dyDescent="0.3">
      <c r="AV2615" s="103"/>
      <c r="CJ2615" s="103"/>
      <c r="FP2615" s="103"/>
      <c r="LL2615" s="103"/>
      <c r="NM2615" s="103"/>
      <c r="QT2615" s="106"/>
      <c r="QU2615" s="106"/>
      <c r="QV2615" s="106"/>
      <c r="QW2615" s="106"/>
      <c r="QX2615" s="106"/>
      <c r="QY2615" s="106"/>
      <c r="QZ2615" s="106"/>
      <c r="RA2615" s="106"/>
      <c r="RB2615" s="106"/>
      <c r="RC2615" s="106"/>
      <c r="RD2615" s="106"/>
      <c r="RE2615" s="106"/>
      <c r="RF2615" s="106"/>
      <c r="RG2615" s="106"/>
      <c r="RH2615" s="106"/>
      <c r="RI2615" s="106"/>
      <c r="RJ2615" s="106"/>
      <c r="RK2615" s="106"/>
      <c r="RL2615" s="106"/>
    </row>
    <row r="2616" spans="48:480" x14ac:dyDescent="0.3">
      <c r="AV2616" s="103"/>
      <c r="CJ2616" s="103"/>
      <c r="FP2616" s="103"/>
      <c r="LL2616" s="103"/>
      <c r="NM2616" s="103"/>
      <c r="QT2616" s="106"/>
      <c r="QU2616" s="106"/>
      <c r="QV2616" s="106"/>
      <c r="QW2616" s="106"/>
      <c r="QX2616" s="106"/>
      <c r="QY2616" s="106"/>
      <c r="QZ2616" s="106"/>
      <c r="RA2616" s="106"/>
      <c r="RB2616" s="106"/>
      <c r="RC2616" s="106"/>
      <c r="RD2616" s="106"/>
      <c r="RE2616" s="106"/>
      <c r="RF2616" s="106"/>
      <c r="RG2616" s="106"/>
      <c r="RH2616" s="106"/>
      <c r="RI2616" s="106"/>
      <c r="RJ2616" s="106"/>
      <c r="RK2616" s="106"/>
      <c r="RL2616" s="106"/>
    </row>
    <row r="2617" spans="48:480" x14ac:dyDescent="0.3">
      <c r="AV2617" s="103"/>
      <c r="CJ2617" s="103"/>
      <c r="FP2617" s="103"/>
      <c r="LL2617" s="103"/>
      <c r="NM2617" s="103"/>
      <c r="QT2617" s="106"/>
      <c r="QU2617" s="106"/>
      <c r="QV2617" s="106"/>
      <c r="QW2617" s="106"/>
      <c r="QX2617" s="106"/>
      <c r="QY2617" s="106"/>
      <c r="QZ2617" s="106"/>
      <c r="RA2617" s="106"/>
      <c r="RB2617" s="106"/>
      <c r="RC2617" s="106"/>
      <c r="RD2617" s="106"/>
      <c r="RE2617" s="106"/>
      <c r="RF2617" s="106"/>
      <c r="RG2617" s="106"/>
      <c r="RH2617" s="106"/>
      <c r="RI2617" s="106"/>
      <c r="RJ2617" s="106"/>
      <c r="RK2617" s="106"/>
      <c r="RL2617" s="106"/>
    </row>
    <row r="2618" spans="48:480" x14ac:dyDescent="0.3">
      <c r="AV2618" s="103"/>
      <c r="CJ2618" s="103"/>
      <c r="FP2618" s="103"/>
      <c r="LL2618" s="103"/>
      <c r="NM2618" s="103"/>
      <c r="QT2618" s="106"/>
      <c r="QU2618" s="106"/>
      <c r="QV2618" s="106"/>
      <c r="QW2618" s="106"/>
      <c r="QX2618" s="106"/>
      <c r="QY2618" s="106"/>
      <c r="QZ2618" s="106"/>
      <c r="RA2618" s="106"/>
      <c r="RB2618" s="106"/>
      <c r="RC2618" s="106"/>
      <c r="RD2618" s="106"/>
      <c r="RE2618" s="106"/>
      <c r="RF2618" s="106"/>
      <c r="RG2618" s="106"/>
      <c r="RH2618" s="106"/>
      <c r="RI2618" s="106"/>
      <c r="RJ2618" s="106"/>
      <c r="RK2618" s="106"/>
      <c r="RL2618" s="106"/>
    </row>
    <row r="2619" spans="48:480" x14ac:dyDescent="0.3">
      <c r="AV2619" s="103"/>
      <c r="CJ2619" s="103"/>
      <c r="FP2619" s="103"/>
      <c r="LL2619" s="103"/>
      <c r="NM2619" s="103"/>
      <c r="QT2619" s="106"/>
      <c r="QU2619" s="106"/>
      <c r="QV2619" s="106"/>
      <c r="QW2619" s="106"/>
      <c r="QX2619" s="106"/>
      <c r="QY2619" s="106"/>
      <c r="QZ2619" s="106"/>
      <c r="RA2619" s="106"/>
      <c r="RB2619" s="106"/>
      <c r="RC2619" s="106"/>
      <c r="RD2619" s="106"/>
      <c r="RE2619" s="106"/>
      <c r="RF2619" s="106"/>
      <c r="RG2619" s="106"/>
      <c r="RH2619" s="106"/>
      <c r="RI2619" s="106"/>
      <c r="RJ2619" s="106"/>
      <c r="RK2619" s="106"/>
      <c r="RL2619" s="106"/>
    </row>
    <row r="2620" spans="48:480" x14ac:dyDescent="0.3">
      <c r="AV2620" s="103"/>
      <c r="CJ2620" s="103"/>
      <c r="FP2620" s="103"/>
      <c r="LL2620" s="103"/>
      <c r="NM2620" s="103"/>
      <c r="QT2620" s="106"/>
      <c r="QU2620" s="106"/>
      <c r="QV2620" s="106"/>
      <c r="QW2620" s="106"/>
      <c r="QX2620" s="106"/>
      <c r="QY2620" s="106"/>
      <c r="QZ2620" s="106"/>
      <c r="RA2620" s="106"/>
      <c r="RB2620" s="106"/>
      <c r="RC2620" s="106"/>
      <c r="RD2620" s="106"/>
      <c r="RE2620" s="106"/>
      <c r="RF2620" s="106"/>
      <c r="RG2620" s="106"/>
      <c r="RH2620" s="106"/>
      <c r="RI2620" s="106"/>
      <c r="RJ2620" s="106"/>
      <c r="RK2620" s="106"/>
      <c r="RL2620" s="106"/>
    </row>
    <row r="2621" spans="48:480" x14ac:dyDescent="0.3">
      <c r="AV2621" s="103"/>
      <c r="CJ2621" s="103"/>
      <c r="FP2621" s="103"/>
      <c r="LL2621" s="103"/>
      <c r="NM2621" s="103"/>
      <c r="QT2621" s="106"/>
      <c r="QU2621" s="106"/>
      <c r="QV2621" s="106"/>
      <c r="QW2621" s="106"/>
      <c r="QX2621" s="106"/>
      <c r="QY2621" s="106"/>
      <c r="QZ2621" s="106"/>
      <c r="RA2621" s="106"/>
      <c r="RB2621" s="106"/>
      <c r="RC2621" s="106"/>
      <c r="RD2621" s="106"/>
      <c r="RE2621" s="106"/>
      <c r="RF2621" s="106"/>
      <c r="RG2621" s="106"/>
      <c r="RH2621" s="106"/>
      <c r="RI2621" s="106"/>
      <c r="RJ2621" s="106"/>
      <c r="RK2621" s="106"/>
      <c r="RL2621" s="106"/>
    </row>
    <row r="2622" spans="48:480" x14ac:dyDescent="0.3">
      <c r="AV2622" s="103"/>
      <c r="CJ2622" s="103"/>
      <c r="FP2622" s="103"/>
      <c r="LL2622" s="103"/>
      <c r="NM2622" s="103"/>
      <c r="QT2622" s="106"/>
      <c r="QU2622" s="106"/>
      <c r="QV2622" s="106"/>
      <c r="QW2622" s="106"/>
      <c r="QX2622" s="106"/>
      <c r="QY2622" s="106"/>
      <c r="QZ2622" s="106"/>
      <c r="RA2622" s="106"/>
      <c r="RB2622" s="106"/>
      <c r="RC2622" s="106"/>
      <c r="RD2622" s="106"/>
      <c r="RE2622" s="106"/>
      <c r="RF2622" s="106"/>
      <c r="RG2622" s="106"/>
      <c r="RH2622" s="106"/>
      <c r="RI2622" s="106"/>
      <c r="RJ2622" s="106"/>
      <c r="RK2622" s="106"/>
      <c r="RL2622" s="106"/>
    </row>
    <row r="2623" spans="48:480" x14ac:dyDescent="0.3">
      <c r="AV2623" s="103"/>
      <c r="CJ2623" s="103"/>
      <c r="FP2623" s="103"/>
      <c r="LL2623" s="103"/>
      <c r="NM2623" s="103"/>
      <c r="QT2623" s="106"/>
      <c r="QU2623" s="106"/>
      <c r="QV2623" s="106"/>
      <c r="QW2623" s="106"/>
      <c r="QX2623" s="106"/>
      <c r="QY2623" s="106"/>
      <c r="QZ2623" s="106"/>
      <c r="RA2623" s="106"/>
      <c r="RB2623" s="106"/>
      <c r="RC2623" s="106"/>
      <c r="RD2623" s="106"/>
      <c r="RE2623" s="106"/>
      <c r="RF2623" s="106"/>
      <c r="RG2623" s="106"/>
      <c r="RH2623" s="106"/>
      <c r="RI2623" s="106"/>
      <c r="RJ2623" s="106"/>
      <c r="RK2623" s="106"/>
      <c r="RL2623" s="106"/>
    </row>
    <row r="2624" spans="48:480" x14ac:dyDescent="0.3">
      <c r="AV2624" s="103"/>
      <c r="CJ2624" s="103"/>
      <c r="FP2624" s="103"/>
      <c r="LL2624" s="103"/>
      <c r="NM2624" s="103"/>
      <c r="QT2624" s="106"/>
      <c r="QU2624" s="106"/>
      <c r="QV2624" s="106"/>
      <c r="QW2624" s="106"/>
      <c r="QX2624" s="106"/>
      <c r="QY2624" s="106"/>
      <c r="QZ2624" s="106"/>
      <c r="RA2624" s="106"/>
      <c r="RB2624" s="106"/>
      <c r="RC2624" s="106"/>
      <c r="RD2624" s="106"/>
      <c r="RE2624" s="106"/>
      <c r="RF2624" s="106"/>
      <c r="RG2624" s="106"/>
      <c r="RH2624" s="106"/>
      <c r="RI2624" s="106"/>
      <c r="RJ2624" s="106"/>
      <c r="RK2624" s="106"/>
      <c r="RL2624" s="106"/>
    </row>
    <row r="2625" spans="48:480" x14ac:dyDescent="0.3">
      <c r="AV2625" s="103"/>
      <c r="CJ2625" s="103"/>
      <c r="FP2625" s="103"/>
      <c r="LL2625" s="103"/>
      <c r="NM2625" s="103"/>
      <c r="QT2625" s="106"/>
      <c r="QU2625" s="106"/>
      <c r="QV2625" s="106"/>
      <c r="QW2625" s="106"/>
      <c r="QX2625" s="106"/>
      <c r="QY2625" s="106"/>
      <c r="QZ2625" s="106"/>
      <c r="RA2625" s="106"/>
      <c r="RB2625" s="106"/>
      <c r="RC2625" s="106"/>
      <c r="RD2625" s="106"/>
      <c r="RE2625" s="106"/>
      <c r="RF2625" s="106"/>
      <c r="RG2625" s="106"/>
      <c r="RH2625" s="106"/>
      <c r="RI2625" s="106"/>
      <c r="RJ2625" s="106"/>
      <c r="RK2625" s="106"/>
      <c r="RL2625" s="106"/>
    </row>
    <row r="2626" spans="48:480" x14ac:dyDescent="0.3">
      <c r="AV2626" s="103"/>
      <c r="CJ2626" s="103"/>
      <c r="FP2626" s="103"/>
      <c r="LL2626" s="103"/>
      <c r="NM2626" s="103"/>
      <c r="QT2626" s="106"/>
      <c r="QU2626" s="106"/>
      <c r="QV2626" s="106"/>
      <c r="QW2626" s="106"/>
      <c r="QX2626" s="106"/>
      <c r="QY2626" s="106"/>
      <c r="QZ2626" s="106"/>
      <c r="RA2626" s="106"/>
      <c r="RB2626" s="106"/>
      <c r="RC2626" s="106"/>
      <c r="RD2626" s="106"/>
      <c r="RE2626" s="106"/>
      <c r="RF2626" s="106"/>
      <c r="RG2626" s="106"/>
      <c r="RH2626" s="106"/>
      <c r="RI2626" s="106"/>
      <c r="RJ2626" s="106"/>
      <c r="RK2626" s="106"/>
      <c r="RL2626" s="106"/>
    </row>
    <row r="2627" spans="48:480" x14ac:dyDescent="0.3">
      <c r="AV2627" s="103"/>
      <c r="CJ2627" s="103"/>
      <c r="FP2627" s="103"/>
      <c r="LL2627" s="103"/>
      <c r="NM2627" s="103"/>
      <c r="QT2627" s="106"/>
      <c r="QU2627" s="106"/>
      <c r="QV2627" s="106"/>
      <c r="QW2627" s="106"/>
      <c r="QX2627" s="106"/>
      <c r="QY2627" s="106"/>
      <c r="QZ2627" s="106"/>
      <c r="RA2627" s="106"/>
      <c r="RB2627" s="106"/>
      <c r="RC2627" s="106"/>
      <c r="RD2627" s="106"/>
      <c r="RE2627" s="106"/>
      <c r="RF2627" s="106"/>
      <c r="RG2627" s="106"/>
      <c r="RH2627" s="106"/>
      <c r="RI2627" s="106"/>
      <c r="RJ2627" s="106"/>
      <c r="RK2627" s="106"/>
      <c r="RL2627" s="106"/>
    </row>
    <row r="2628" spans="48:480" x14ac:dyDescent="0.3">
      <c r="AV2628" s="103"/>
      <c r="CJ2628" s="103"/>
      <c r="FP2628" s="103"/>
      <c r="LL2628" s="103"/>
      <c r="NM2628" s="103"/>
      <c r="QT2628" s="106"/>
      <c r="QU2628" s="106"/>
      <c r="QV2628" s="106"/>
      <c r="QW2628" s="106"/>
      <c r="QX2628" s="106"/>
      <c r="QY2628" s="106"/>
      <c r="QZ2628" s="106"/>
      <c r="RA2628" s="106"/>
      <c r="RB2628" s="106"/>
      <c r="RC2628" s="106"/>
      <c r="RD2628" s="106"/>
      <c r="RE2628" s="106"/>
      <c r="RF2628" s="106"/>
      <c r="RG2628" s="106"/>
      <c r="RH2628" s="106"/>
      <c r="RI2628" s="106"/>
      <c r="RJ2628" s="106"/>
      <c r="RK2628" s="106"/>
      <c r="RL2628" s="106"/>
    </row>
    <row r="2629" spans="48:480" x14ac:dyDescent="0.3">
      <c r="AV2629" s="103"/>
      <c r="CJ2629" s="103"/>
      <c r="FP2629" s="103"/>
      <c r="LL2629" s="103"/>
      <c r="NM2629" s="103"/>
      <c r="QT2629" s="106"/>
      <c r="QU2629" s="106"/>
      <c r="QV2629" s="106"/>
      <c r="QW2629" s="106"/>
      <c r="QX2629" s="106"/>
      <c r="QY2629" s="106"/>
      <c r="QZ2629" s="106"/>
      <c r="RA2629" s="106"/>
      <c r="RB2629" s="106"/>
      <c r="RC2629" s="106"/>
      <c r="RD2629" s="106"/>
      <c r="RE2629" s="106"/>
      <c r="RF2629" s="106"/>
      <c r="RG2629" s="106"/>
      <c r="RH2629" s="106"/>
      <c r="RI2629" s="106"/>
      <c r="RJ2629" s="106"/>
      <c r="RK2629" s="106"/>
      <c r="RL2629" s="106"/>
    </row>
    <row r="2630" spans="48:480" x14ac:dyDescent="0.3">
      <c r="AV2630" s="103"/>
      <c r="CJ2630" s="103"/>
      <c r="FP2630" s="103"/>
      <c r="LL2630" s="103"/>
      <c r="NM2630" s="103"/>
      <c r="QT2630" s="106"/>
      <c r="QU2630" s="106"/>
      <c r="QV2630" s="106"/>
      <c r="QW2630" s="106"/>
      <c r="QX2630" s="106"/>
      <c r="QY2630" s="106"/>
      <c r="QZ2630" s="106"/>
      <c r="RA2630" s="106"/>
      <c r="RB2630" s="106"/>
      <c r="RC2630" s="106"/>
      <c r="RD2630" s="106"/>
      <c r="RE2630" s="106"/>
      <c r="RF2630" s="106"/>
      <c r="RG2630" s="106"/>
      <c r="RH2630" s="106"/>
      <c r="RI2630" s="106"/>
      <c r="RJ2630" s="106"/>
      <c r="RK2630" s="106"/>
      <c r="RL2630" s="106"/>
    </row>
    <row r="2631" spans="48:480" x14ac:dyDescent="0.3">
      <c r="AV2631" s="103"/>
      <c r="CJ2631" s="103"/>
      <c r="FP2631" s="103"/>
      <c r="LL2631" s="103"/>
      <c r="NM2631" s="103"/>
      <c r="QT2631" s="106"/>
      <c r="QU2631" s="106"/>
      <c r="QV2631" s="106"/>
      <c r="QW2631" s="106"/>
      <c r="QX2631" s="106"/>
      <c r="QY2631" s="106"/>
      <c r="QZ2631" s="106"/>
      <c r="RA2631" s="106"/>
      <c r="RB2631" s="106"/>
      <c r="RC2631" s="106"/>
      <c r="RD2631" s="106"/>
      <c r="RE2631" s="106"/>
      <c r="RF2631" s="106"/>
      <c r="RG2631" s="106"/>
      <c r="RH2631" s="106"/>
      <c r="RI2631" s="106"/>
      <c r="RJ2631" s="106"/>
      <c r="RK2631" s="106"/>
      <c r="RL2631" s="106"/>
    </row>
    <row r="2632" spans="48:480" x14ac:dyDescent="0.3">
      <c r="AV2632" s="103"/>
      <c r="CJ2632" s="103"/>
      <c r="FP2632" s="103"/>
      <c r="LL2632" s="103"/>
      <c r="NM2632" s="103"/>
      <c r="QT2632" s="106"/>
      <c r="QU2632" s="106"/>
      <c r="QV2632" s="106"/>
      <c r="QW2632" s="106"/>
      <c r="QX2632" s="106"/>
      <c r="QY2632" s="106"/>
      <c r="QZ2632" s="106"/>
      <c r="RA2632" s="106"/>
      <c r="RB2632" s="106"/>
      <c r="RC2632" s="106"/>
      <c r="RD2632" s="106"/>
      <c r="RE2632" s="106"/>
      <c r="RF2632" s="106"/>
      <c r="RG2632" s="106"/>
      <c r="RH2632" s="106"/>
      <c r="RI2632" s="106"/>
      <c r="RJ2632" s="106"/>
      <c r="RK2632" s="106"/>
      <c r="RL2632" s="106"/>
    </row>
    <row r="2633" spans="48:480" x14ac:dyDescent="0.3">
      <c r="AV2633" s="103"/>
      <c r="CJ2633" s="103"/>
      <c r="FP2633" s="103"/>
      <c r="LL2633" s="103"/>
      <c r="NM2633" s="103"/>
      <c r="QT2633" s="106"/>
      <c r="QU2633" s="106"/>
      <c r="QV2633" s="106"/>
      <c r="QW2633" s="106"/>
      <c r="QX2633" s="106"/>
      <c r="QY2633" s="106"/>
      <c r="QZ2633" s="106"/>
      <c r="RA2633" s="106"/>
      <c r="RB2633" s="106"/>
      <c r="RC2633" s="106"/>
      <c r="RD2633" s="106"/>
      <c r="RE2633" s="106"/>
      <c r="RF2633" s="106"/>
      <c r="RG2633" s="106"/>
      <c r="RH2633" s="106"/>
      <c r="RI2633" s="106"/>
      <c r="RJ2633" s="106"/>
      <c r="RK2633" s="106"/>
      <c r="RL2633" s="106"/>
    </row>
    <row r="2634" spans="48:480" x14ac:dyDescent="0.3">
      <c r="AV2634" s="103"/>
      <c r="CJ2634" s="103"/>
      <c r="FP2634" s="103"/>
      <c r="LL2634" s="103"/>
      <c r="NM2634" s="103"/>
      <c r="QT2634" s="106"/>
      <c r="QU2634" s="106"/>
      <c r="QV2634" s="106"/>
      <c r="QW2634" s="106"/>
      <c r="QX2634" s="106"/>
      <c r="QY2634" s="106"/>
      <c r="QZ2634" s="106"/>
      <c r="RA2634" s="106"/>
      <c r="RB2634" s="106"/>
      <c r="RC2634" s="106"/>
      <c r="RD2634" s="106"/>
      <c r="RE2634" s="106"/>
      <c r="RF2634" s="106"/>
      <c r="RG2634" s="106"/>
      <c r="RH2634" s="106"/>
      <c r="RI2634" s="106"/>
      <c r="RJ2634" s="106"/>
      <c r="RK2634" s="106"/>
      <c r="RL2634" s="106"/>
    </row>
    <row r="2635" spans="48:480" x14ac:dyDescent="0.3">
      <c r="AV2635" s="103"/>
      <c r="CJ2635" s="103"/>
      <c r="FP2635" s="103"/>
      <c r="LL2635" s="103"/>
      <c r="NM2635" s="103"/>
      <c r="QT2635" s="106"/>
      <c r="QU2635" s="106"/>
      <c r="QV2635" s="106"/>
      <c r="QW2635" s="106"/>
      <c r="QX2635" s="106"/>
      <c r="QY2635" s="106"/>
      <c r="QZ2635" s="106"/>
      <c r="RA2635" s="106"/>
      <c r="RB2635" s="106"/>
      <c r="RC2635" s="106"/>
      <c r="RD2635" s="106"/>
      <c r="RE2635" s="106"/>
      <c r="RF2635" s="106"/>
      <c r="RG2635" s="106"/>
      <c r="RH2635" s="106"/>
      <c r="RI2635" s="106"/>
      <c r="RJ2635" s="106"/>
      <c r="RK2635" s="106"/>
      <c r="RL2635" s="106"/>
    </row>
    <row r="2636" spans="48:480" x14ac:dyDescent="0.3">
      <c r="AV2636" s="103"/>
      <c r="CJ2636" s="103"/>
      <c r="FP2636" s="103"/>
      <c r="LL2636" s="103"/>
      <c r="NM2636" s="103"/>
      <c r="QT2636" s="106"/>
      <c r="QU2636" s="106"/>
      <c r="QV2636" s="106"/>
      <c r="QW2636" s="106"/>
      <c r="QX2636" s="106"/>
      <c r="QY2636" s="106"/>
      <c r="QZ2636" s="106"/>
      <c r="RA2636" s="106"/>
      <c r="RB2636" s="106"/>
      <c r="RC2636" s="106"/>
      <c r="RD2636" s="106"/>
      <c r="RE2636" s="106"/>
      <c r="RF2636" s="106"/>
      <c r="RG2636" s="106"/>
      <c r="RH2636" s="106"/>
      <c r="RI2636" s="106"/>
      <c r="RJ2636" s="106"/>
      <c r="RK2636" s="106"/>
      <c r="RL2636" s="106"/>
    </row>
    <row r="2637" spans="48:480" x14ac:dyDescent="0.3">
      <c r="AV2637" s="103"/>
      <c r="CJ2637" s="103"/>
      <c r="FP2637" s="103"/>
      <c r="LL2637" s="103"/>
      <c r="NM2637" s="103"/>
      <c r="QT2637" s="106"/>
      <c r="QU2637" s="106"/>
      <c r="QV2637" s="106"/>
      <c r="QW2637" s="106"/>
      <c r="QX2637" s="106"/>
      <c r="QY2637" s="106"/>
      <c r="QZ2637" s="106"/>
      <c r="RA2637" s="106"/>
      <c r="RB2637" s="106"/>
      <c r="RC2637" s="106"/>
      <c r="RD2637" s="106"/>
      <c r="RE2637" s="106"/>
      <c r="RF2637" s="106"/>
      <c r="RG2637" s="106"/>
      <c r="RH2637" s="106"/>
      <c r="RI2637" s="106"/>
      <c r="RJ2637" s="106"/>
      <c r="RK2637" s="106"/>
      <c r="RL2637" s="106"/>
    </row>
    <row r="2638" spans="48:480" x14ac:dyDescent="0.3">
      <c r="AV2638" s="103"/>
      <c r="CJ2638" s="103"/>
      <c r="FP2638" s="103"/>
      <c r="LL2638" s="103"/>
      <c r="NM2638" s="103"/>
      <c r="QT2638" s="106"/>
      <c r="QU2638" s="106"/>
      <c r="QV2638" s="106"/>
      <c r="QW2638" s="106"/>
      <c r="QX2638" s="106"/>
      <c r="QY2638" s="106"/>
      <c r="QZ2638" s="106"/>
      <c r="RA2638" s="106"/>
      <c r="RB2638" s="106"/>
      <c r="RC2638" s="106"/>
      <c r="RD2638" s="106"/>
      <c r="RE2638" s="106"/>
      <c r="RF2638" s="106"/>
      <c r="RG2638" s="106"/>
      <c r="RH2638" s="106"/>
      <c r="RI2638" s="106"/>
      <c r="RJ2638" s="106"/>
      <c r="RK2638" s="106"/>
      <c r="RL2638" s="106"/>
    </row>
    <row r="2639" spans="48:480" x14ac:dyDescent="0.3">
      <c r="AV2639" s="103"/>
      <c r="CJ2639" s="103"/>
      <c r="FP2639" s="103"/>
      <c r="LL2639" s="103"/>
      <c r="NM2639" s="103"/>
      <c r="QT2639" s="106"/>
      <c r="QU2639" s="106"/>
      <c r="QV2639" s="106"/>
      <c r="QW2639" s="106"/>
      <c r="QX2639" s="106"/>
      <c r="QY2639" s="106"/>
      <c r="QZ2639" s="106"/>
      <c r="RA2639" s="106"/>
      <c r="RB2639" s="106"/>
      <c r="RC2639" s="106"/>
      <c r="RD2639" s="106"/>
      <c r="RE2639" s="106"/>
      <c r="RF2639" s="106"/>
      <c r="RG2639" s="106"/>
      <c r="RH2639" s="106"/>
      <c r="RI2639" s="106"/>
      <c r="RJ2639" s="106"/>
      <c r="RK2639" s="106"/>
      <c r="RL2639" s="106"/>
    </row>
    <row r="2640" spans="48:480" x14ac:dyDescent="0.3">
      <c r="AV2640" s="103"/>
      <c r="CJ2640" s="103"/>
      <c r="FP2640" s="103"/>
      <c r="LL2640" s="103"/>
      <c r="NM2640" s="103"/>
      <c r="QT2640" s="106"/>
      <c r="QU2640" s="106"/>
      <c r="QV2640" s="106"/>
      <c r="QW2640" s="106"/>
      <c r="QX2640" s="106"/>
      <c r="QY2640" s="106"/>
      <c r="QZ2640" s="106"/>
      <c r="RA2640" s="106"/>
      <c r="RB2640" s="106"/>
      <c r="RC2640" s="106"/>
      <c r="RD2640" s="106"/>
      <c r="RE2640" s="106"/>
      <c r="RF2640" s="106"/>
      <c r="RG2640" s="106"/>
      <c r="RH2640" s="106"/>
      <c r="RI2640" s="106"/>
      <c r="RJ2640" s="106"/>
      <c r="RK2640" s="106"/>
      <c r="RL2640" s="106"/>
    </row>
    <row r="2641" spans="48:480" x14ac:dyDescent="0.3">
      <c r="AV2641" s="103"/>
      <c r="CJ2641" s="103"/>
      <c r="FP2641" s="103"/>
      <c r="LL2641" s="103"/>
      <c r="NM2641" s="103"/>
      <c r="QT2641" s="106"/>
      <c r="QU2641" s="106"/>
      <c r="QV2641" s="106"/>
      <c r="QW2641" s="106"/>
      <c r="QX2641" s="106"/>
      <c r="QY2641" s="106"/>
      <c r="QZ2641" s="106"/>
      <c r="RA2641" s="106"/>
      <c r="RB2641" s="106"/>
      <c r="RC2641" s="106"/>
      <c r="RD2641" s="106"/>
      <c r="RE2641" s="106"/>
      <c r="RF2641" s="106"/>
      <c r="RG2641" s="106"/>
      <c r="RH2641" s="106"/>
      <c r="RI2641" s="106"/>
      <c r="RJ2641" s="106"/>
      <c r="RK2641" s="106"/>
      <c r="RL2641" s="106"/>
    </row>
    <row r="2642" spans="48:480" x14ac:dyDescent="0.3">
      <c r="AV2642" s="103"/>
      <c r="CJ2642" s="103"/>
      <c r="FP2642" s="103"/>
      <c r="LL2642" s="103"/>
      <c r="NM2642" s="103"/>
      <c r="QT2642" s="106"/>
      <c r="QU2642" s="106"/>
      <c r="QV2642" s="106"/>
      <c r="QW2642" s="106"/>
      <c r="QX2642" s="106"/>
      <c r="QY2642" s="106"/>
      <c r="QZ2642" s="106"/>
      <c r="RA2642" s="106"/>
      <c r="RB2642" s="106"/>
      <c r="RC2642" s="106"/>
      <c r="RD2642" s="106"/>
      <c r="RE2642" s="106"/>
      <c r="RF2642" s="106"/>
      <c r="RG2642" s="106"/>
      <c r="RH2642" s="106"/>
      <c r="RI2642" s="106"/>
      <c r="RJ2642" s="106"/>
      <c r="RK2642" s="106"/>
      <c r="RL2642" s="106"/>
    </row>
    <row r="2643" spans="48:480" x14ac:dyDescent="0.3">
      <c r="AV2643" s="103"/>
      <c r="CJ2643" s="103"/>
      <c r="FP2643" s="103"/>
      <c r="LL2643" s="103"/>
      <c r="NM2643" s="103"/>
      <c r="QT2643" s="106"/>
      <c r="QU2643" s="106"/>
      <c r="QV2643" s="106"/>
      <c r="QW2643" s="106"/>
      <c r="QX2643" s="106"/>
      <c r="QY2643" s="106"/>
      <c r="QZ2643" s="106"/>
      <c r="RA2643" s="106"/>
      <c r="RB2643" s="106"/>
      <c r="RC2643" s="106"/>
      <c r="RD2643" s="106"/>
      <c r="RE2643" s="106"/>
      <c r="RF2643" s="106"/>
      <c r="RG2643" s="106"/>
      <c r="RH2643" s="106"/>
      <c r="RI2643" s="106"/>
      <c r="RJ2643" s="106"/>
      <c r="RK2643" s="106"/>
      <c r="RL2643" s="106"/>
    </row>
    <row r="2644" spans="48:480" x14ac:dyDescent="0.3">
      <c r="AV2644" s="103"/>
      <c r="CJ2644" s="103"/>
      <c r="FP2644" s="103"/>
      <c r="LL2644" s="103"/>
      <c r="NM2644" s="103"/>
      <c r="QT2644" s="106"/>
      <c r="QU2644" s="106"/>
      <c r="QV2644" s="106"/>
      <c r="QW2644" s="106"/>
      <c r="QX2644" s="106"/>
      <c r="QY2644" s="106"/>
      <c r="QZ2644" s="106"/>
      <c r="RA2644" s="106"/>
      <c r="RB2644" s="106"/>
      <c r="RC2644" s="106"/>
      <c r="RD2644" s="106"/>
      <c r="RE2644" s="106"/>
      <c r="RF2644" s="106"/>
      <c r="RG2644" s="106"/>
      <c r="RH2644" s="106"/>
      <c r="RI2644" s="106"/>
      <c r="RJ2644" s="106"/>
      <c r="RK2644" s="106"/>
      <c r="RL2644" s="106"/>
    </row>
    <row r="2645" spans="48:480" x14ac:dyDescent="0.3">
      <c r="AV2645" s="103"/>
      <c r="CJ2645" s="103"/>
      <c r="FP2645" s="103"/>
      <c r="LL2645" s="103"/>
      <c r="NM2645" s="103"/>
      <c r="QT2645" s="106"/>
      <c r="QU2645" s="106"/>
      <c r="QV2645" s="106"/>
      <c r="QW2645" s="106"/>
      <c r="QX2645" s="106"/>
      <c r="QY2645" s="106"/>
      <c r="QZ2645" s="106"/>
      <c r="RA2645" s="106"/>
      <c r="RB2645" s="106"/>
      <c r="RC2645" s="106"/>
      <c r="RD2645" s="106"/>
      <c r="RE2645" s="106"/>
      <c r="RF2645" s="106"/>
      <c r="RG2645" s="106"/>
      <c r="RH2645" s="106"/>
      <c r="RI2645" s="106"/>
      <c r="RJ2645" s="106"/>
      <c r="RK2645" s="106"/>
      <c r="RL2645" s="106"/>
    </row>
    <row r="2646" spans="48:480" x14ac:dyDescent="0.3">
      <c r="AV2646" s="103"/>
      <c r="CJ2646" s="103"/>
      <c r="FP2646" s="103"/>
      <c r="LL2646" s="103"/>
      <c r="NM2646" s="103"/>
      <c r="QT2646" s="106"/>
      <c r="QU2646" s="106"/>
      <c r="QV2646" s="106"/>
      <c r="QW2646" s="106"/>
      <c r="QX2646" s="106"/>
      <c r="QY2646" s="106"/>
      <c r="QZ2646" s="106"/>
      <c r="RA2646" s="106"/>
      <c r="RB2646" s="106"/>
      <c r="RC2646" s="106"/>
      <c r="RD2646" s="106"/>
      <c r="RE2646" s="106"/>
      <c r="RF2646" s="106"/>
      <c r="RG2646" s="106"/>
      <c r="RH2646" s="106"/>
      <c r="RI2646" s="106"/>
      <c r="RJ2646" s="106"/>
      <c r="RK2646" s="106"/>
      <c r="RL2646" s="106"/>
    </row>
    <row r="2647" spans="48:480" x14ac:dyDescent="0.3">
      <c r="AV2647" s="103"/>
      <c r="CJ2647" s="103"/>
      <c r="FP2647" s="103"/>
      <c r="LL2647" s="103"/>
      <c r="NM2647" s="103"/>
      <c r="QT2647" s="106"/>
      <c r="QU2647" s="106"/>
      <c r="QV2647" s="106"/>
      <c r="QW2647" s="106"/>
      <c r="QX2647" s="106"/>
      <c r="QY2647" s="106"/>
      <c r="QZ2647" s="106"/>
      <c r="RA2647" s="106"/>
      <c r="RB2647" s="106"/>
      <c r="RC2647" s="106"/>
      <c r="RD2647" s="106"/>
      <c r="RE2647" s="106"/>
      <c r="RF2647" s="106"/>
      <c r="RG2647" s="106"/>
      <c r="RH2647" s="106"/>
      <c r="RI2647" s="106"/>
      <c r="RJ2647" s="106"/>
      <c r="RK2647" s="106"/>
      <c r="RL2647" s="106"/>
    </row>
    <row r="2648" spans="48:480" x14ac:dyDescent="0.3">
      <c r="AV2648" s="103"/>
      <c r="CJ2648" s="103"/>
      <c r="FP2648" s="103"/>
      <c r="LL2648" s="103"/>
      <c r="NM2648" s="103"/>
      <c r="QT2648" s="106"/>
      <c r="QU2648" s="106"/>
      <c r="QV2648" s="106"/>
      <c r="QW2648" s="106"/>
      <c r="QX2648" s="106"/>
      <c r="QY2648" s="106"/>
      <c r="QZ2648" s="106"/>
      <c r="RA2648" s="106"/>
      <c r="RB2648" s="106"/>
      <c r="RC2648" s="106"/>
      <c r="RD2648" s="106"/>
      <c r="RE2648" s="106"/>
      <c r="RF2648" s="106"/>
      <c r="RG2648" s="106"/>
      <c r="RH2648" s="106"/>
      <c r="RI2648" s="106"/>
      <c r="RJ2648" s="106"/>
      <c r="RK2648" s="106"/>
      <c r="RL2648" s="106"/>
    </row>
    <row r="2649" spans="48:480" x14ac:dyDescent="0.3">
      <c r="AV2649" s="103"/>
      <c r="CJ2649" s="103"/>
      <c r="FP2649" s="103"/>
      <c r="LL2649" s="103"/>
      <c r="NM2649" s="103"/>
      <c r="QT2649" s="106"/>
      <c r="QU2649" s="106"/>
      <c r="QV2649" s="106"/>
      <c r="QW2649" s="106"/>
      <c r="QX2649" s="106"/>
      <c r="QY2649" s="106"/>
      <c r="QZ2649" s="106"/>
      <c r="RA2649" s="106"/>
      <c r="RB2649" s="106"/>
      <c r="RC2649" s="106"/>
      <c r="RD2649" s="106"/>
      <c r="RE2649" s="106"/>
      <c r="RF2649" s="106"/>
      <c r="RG2649" s="106"/>
      <c r="RH2649" s="106"/>
      <c r="RI2649" s="106"/>
      <c r="RJ2649" s="106"/>
      <c r="RK2649" s="106"/>
      <c r="RL2649" s="106"/>
    </row>
    <row r="2650" spans="48:480" x14ac:dyDescent="0.3">
      <c r="AV2650" s="103"/>
      <c r="CJ2650" s="103"/>
      <c r="FP2650" s="103"/>
      <c r="LL2650" s="103"/>
      <c r="NM2650" s="103"/>
      <c r="QT2650" s="106"/>
      <c r="QU2650" s="106"/>
      <c r="QV2650" s="106"/>
      <c r="QW2650" s="106"/>
      <c r="QX2650" s="106"/>
      <c r="QY2650" s="106"/>
      <c r="QZ2650" s="106"/>
      <c r="RA2650" s="106"/>
      <c r="RB2650" s="106"/>
      <c r="RC2650" s="106"/>
      <c r="RD2650" s="106"/>
      <c r="RE2650" s="106"/>
      <c r="RF2650" s="106"/>
      <c r="RG2650" s="106"/>
      <c r="RH2650" s="106"/>
      <c r="RI2650" s="106"/>
      <c r="RJ2650" s="106"/>
      <c r="RK2650" s="106"/>
      <c r="RL2650" s="106"/>
    </row>
    <row r="2651" spans="48:480" x14ac:dyDescent="0.3">
      <c r="AV2651" s="103"/>
      <c r="CJ2651" s="103"/>
      <c r="FP2651" s="103"/>
      <c r="LL2651" s="103"/>
      <c r="NM2651" s="103"/>
      <c r="QT2651" s="106"/>
      <c r="QU2651" s="106"/>
      <c r="QV2651" s="106"/>
      <c r="QW2651" s="106"/>
      <c r="QX2651" s="106"/>
      <c r="QY2651" s="106"/>
      <c r="QZ2651" s="106"/>
      <c r="RA2651" s="106"/>
      <c r="RB2651" s="106"/>
      <c r="RC2651" s="106"/>
      <c r="RD2651" s="106"/>
      <c r="RE2651" s="106"/>
      <c r="RF2651" s="106"/>
      <c r="RG2651" s="106"/>
      <c r="RH2651" s="106"/>
      <c r="RI2651" s="106"/>
      <c r="RJ2651" s="106"/>
      <c r="RK2651" s="106"/>
      <c r="RL2651" s="106"/>
    </row>
    <row r="2652" spans="48:480" x14ac:dyDescent="0.3">
      <c r="AV2652" s="103"/>
      <c r="CJ2652" s="103"/>
      <c r="FP2652" s="103"/>
      <c r="LL2652" s="103"/>
      <c r="NM2652" s="103"/>
      <c r="QT2652" s="106"/>
      <c r="QU2652" s="106"/>
      <c r="QV2652" s="106"/>
      <c r="QW2652" s="106"/>
      <c r="QX2652" s="106"/>
      <c r="QY2652" s="106"/>
      <c r="QZ2652" s="106"/>
      <c r="RA2652" s="106"/>
      <c r="RB2652" s="106"/>
      <c r="RC2652" s="106"/>
      <c r="RD2652" s="106"/>
      <c r="RE2652" s="106"/>
      <c r="RF2652" s="106"/>
      <c r="RG2652" s="106"/>
      <c r="RH2652" s="106"/>
      <c r="RI2652" s="106"/>
      <c r="RJ2652" s="106"/>
      <c r="RK2652" s="106"/>
      <c r="RL2652" s="106"/>
    </row>
    <row r="2653" spans="48:480" x14ac:dyDescent="0.3">
      <c r="AV2653" s="103"/>
      <c r="CJ2653" s="103"/>
      <c r="FP2653" s="103"/>
      <c r="LL2653" s="103"/>
      <c r="NM2653" s="103"/>
      <c r="QT2653" s="106"/>
      <c r="QU2653" s="106"/>
      <c r="QV2653" s="106"/>
      <c r="QW2653" s="106"/>
      <c r="QX2653" s="106"/>
      <c r="QY2653" s="106"/>
      <c r="QZ2653" s="106"/>
      <c r="RA2653" s="106"/>
      <c r="RB2653" s="106"/>
      <c r="RC2653" s="106"/>
      <c r="RD2653" s="106"/>
      <c r="RE2653" s="106"/>
      <c r="RF2653" s="106"/>
      <c r="RG2653" s="106"/>
      <c r="RH2653" s="106"/>
      <c r="RI2653" s="106"/>
      <c r="RJ2653" s="106"/>
      <c r="RK2653" s="106"/>
      <c r="RL2653" s="106"/>
    </row>
    <row r="2654" spans="48:480" x14ac:dyDescent="0.3">
      <c r="AV2654" s="103"/>
      <c r="CJ2654" s="103"/>
      <c r="FP2654" s="103"/>
      <c r="LL2654" s="103"/>
      <c r="NM2654" s="103"/>
      <c r="QT2654" s="106"/>
      <c r="QU2654" s="106"/>
      <c r="QV2654" s="106"/>
      <c r="QW2654" s="106"/>
      <c r="QX2654" s="106"/>
      <c r="QY2654" s="106"/>
      <c r="QZ2654" s="106"/>
      <c r="RA2654" s="106"/>
      <c r="RB2654" s="106"/>
      <c r="RC2654" s="106"/>
      <c r="RD2654" s="106"/>
      <c r="RE2654" s="106"/>
      <c r="RF2654" s="106"/>
      <c r="RG2654" s="106"/>
      <c r="RH2654" s="106"/>
      <c r="RI2654" s="106"/>
      <c r="RJ2654" s="106"/>
      <c r="RK2654" s="106"/>
      <c r="RL2654" s="106"/>
    </row>
    <row r="2655" spans="48:480" x14ac:dyDescent="0.3">
      <c r="AV2655" s="103"/>
      <c r="CJ2655" s="103"/>
      <c r="FP2655" s="103"/>
      <c r="LL2655" s="103"/>
      <c r="NM2655" s="103"/>
      <c r="QT2655" s="106"/>
      <c r="QU2655" s="106"/>
      <c r="QV2655" s="106"/>
      <c r="QW2655" s="106"/>
      <c r="QX2655" s="106"/>
      <c r="QY2655" s="106"/>
      <c r="QZ2655" s="106"/>
      <c r="RA2655" s="106"/>
      <c r="RB2655" s="106"/>
      <c r="RC2655" s="106"/>
      <c r="RD2655" s="106"/>
      <c r="RE2655" s="106"/>
      <c r="RF2655" s="106"/>
      <c r="RG2655" s="106"/>
      <c r="RH2655" s="106"/>
      <c r="RI2655" s="106"/>
      <c r="RJ2655" s="106"/>
      <c r="RK2655" s="106"/>
      <c r="RL2655" s="106"/>
    </row>
    <row r="2656" spans="48:480" x14ac:dyDescent="0.3">
      <c r="AV2656" s="103"/>
      <c r="CJ2656" s="103"/>
      <c r="FP2656" s="103"/>
      <c r="LL2656" s="103"/>
      <c r="NM2656" s="103"/>
      <c r="QT2656" s="106"/>
      <c r="QU2656" s="106"/>
      <c r="QV2656" s="106"/>
      <c r="QW2656" s="106"/>
      <c r="QX2656" s="106"/>
      <c r="QY2656" s="106"/>
      <c r="QZ2656" s="106"/>
      <c r="RA2656" s="106"/>
      <c r="RB2656" s="106"/>
      <c r="RC2656" s="106"/>
      <c r="RD2656" s="106"/>
      <c r="RE2656" s="106"/>
      <c r="RF2656" s="106"/>
      <c r="RG2656" s="106"/>
      <c r="RH2656" s="106"/>
      <c r="RI2656" s="106"/>
      <c r="RJ2656" s="106"/>
      <c r="RK2656" s="106"/>
      <c r="RL2656" s="106"/>
    </row>
    <row r="2657" spans="48:480" x14ac:dyDescent="0.3">
      <c r="AV2657" s="103"/>
      <c r="CJ2657" s="103"/>
      <c r="FP2657" s="103"/>
      <c r="LL2657" s="103"/>
      <c r="NM2657" s="103"/>
      <c r="QT2657" s="106"/>
      <c r="QU2657" s="106"/>
      <c r="QV2657" s="106"/>
      <c r="QW2657" s="106"/>
      <c r="QX2657" s="106"/>
      <c r="QY2657" s="106"/>
      <c r="QZ2657" s="106"/>
      <c r="RA2657" s="106"/>
      <c r="RB2657" s="106"/>
      <c r="RC2657" s="106"/>
      <c r="RD2657" s="106"/>
      <c r="RE2657" s="106"/>
      <c r="RF2657" s="106"/>
      <c r="RG2657" s="106"/>
      <c r="RH2657" s="106"/>
      <c r="RI2657" s="106"/>
      <c r="RJ2657" s="106"/>
      <c r="RK2657" s="106"/>
      <c r="RL2657" s="106"/>
    </row>
    <row r="2658" spans="48:480" x14ac:dyDescent="0.3">
      <c r="AV2658" s="103"/>
      <c r="CJ2658" s="103"/>
      <c r="FP2658" s="103"/>
      <c r="LL2658" s="103"/>
      <c r="NM2658" s="103"/>
      <c r="QT2658" s="106"/>
      <c r="QU2658" s="106"/>
      <c r="QV2658" s="106"/>
      <c r="QW2658" s="106"/>
      <c r="QX2658" s="106"/>
      <c r="QY2658" s="106"/>
      <c r="QZ2658" s="106"/>
      <c r="RA2658" s="106"/>
      <c r="RB2658" s="106"/>
      <c r="RC2658" s="106"/>
      <c r="RD2658" s="106"/>
      <c r="RE2658" s="106"/>
      <c r="RF2658" s="106"/>
      <c r="RG2658" s="106"/>
      <c r="RH2658" s="106"/>
      <c r="RI2658" s="106"/>
      <c r="RJ2658" s="106"/>
      <c r="RK2658" s="106"/>
      <c r="RL2658" s="106"/>
    </row>
    <row r="2659" spans="48:480" x14ac:dyDescent="0.3">
      <c r="AV2659" s="103"/>
      <c r="CJ2659" s="103"/>
      <c r="FP2659" s="103"/>
      <c r="LL2659" s="103"/>
      <c r="NM2659" s="103"/>
      <c r="QT2659" s="106"/>
      <c r="QU2659" s="106"/>
      <c r="QV2659" s="106"/>
      <c r="QW2659" s="106"/>
      <c r="QX2659" s="106"/>
      <c r="QY2659" s="106"/>
      <c r="QZ2659" s="106"/>
      <c r="RA2659" s="106"/>
      <c r="RB2659" s="106"/>
      <c r="RC2659" s="106"/>
      <c r="RD2659" s="106"/>
      <c r="RE2659" s="106"/>
      <c r="RF2659" s="106"/>
      <c r="RG2659" s="106"/>
      <c r="RH2659" s="106"/>
      <c r="RI2659" s="106"/>
      <c r="RJ2659" s="106"/>
      <c r="RK2659" s="106"/>
      <c r="RL2659" s="106"/>
    </row>
    <row r="2660" spans="48:480" x14ac:dyDescent="0.3">
      <c r="AV2660" s="103"/>
      <c r="CJ2660" s="103"/>
      <c r="FP2660" s="103"/>
      <c r="LL2660" s="103"/>
      <c r="NM2660" s="103"/>
      <c r="QT2660" s="106"/>
      <c r="QU2660" s="106"/>
      <c r="QV2660" s="106"/>
      <c r="QW2660" s="106"/>
      <c r="QX2660" s="106"/>
      <c r="QY2660" s="106"/>
      <c r="QZ2660" s="106"/>
      <c r="RA2660" s="106"/>
      <c r="RB2660" s="106"/>
      <c r="RC2660" s="106"/>
      <c r="RD2660" s="106"/>
      <c r="RE2660" s="106"/>
      <c r="RF2660" s="106"/>
      <c r="RG2660" s="106"/>
      <c r="RH2660" s="106"/>
      <c r="RI2660" s="106"/>
      <c r="RJ2660" s="106"/>
      <c r="RK2660" s="106"/>
      <c r="RL2660" s="106"/>
    </row>
    <row r="2661" spans="48:480" x14ac:dyDescent="0.3">
      <c r="AV2661" s="103"/>
      <c r="CJ2661" s="103"/>
      <c r="FP2661" s="103"/>
      <c r="LL2661" s="103"/>
      <c r="NM2661" s="103"/>
      <c r="QT2661" s="106"/>
      <c r="QU2661" s="106"/>
      <c r="QV2661" s="106"/>
      <c r="QW2661" s="106"/>
      <c r="QX2661" s="106"/>
      <c r="QY2661" s="106"/>
      <c r="QZ2661" s="106"/>
      <c r="RA2661" s="106"/>
      <c r="RB2661" s="106"/>
      <c r="RC2661" s="106"/>
      <c r="RD2661" s="106"/>
      <c r="RE2661" s="106"/>
      <c r="RF2661" s="106"/>
      <c r="RG2661" s="106"/>
      <c r="RH2661" s="106"/>
      <c r="RI2661" s="106"/>
      <c r="RJ2661" s="106"/>
      <c r="RK2661" s="106"/>
      <c r="RL2661" s="106"/>
    </row>
    <row r="2662" spans="48:480" x14ac:dyDescent="0.3">
      <c r="AV2662" s="103"/>
      <c r="CJ2662" s="103"/>
      <c r="FP2662" s="103"/>
      <c r="LL2662" s="103"/>
      <c r="NM2662" s="103"/>
      <c r="QT2662" s="106"/>
      <c r="QU2662" s="106"/>
      <c r="QV2662" s="106"/>
      <c r="QW2662" s="106"/>
      <c r="QX2662" s="106"/>
      <c r="QY2662" s="106"/>
      <c r="QZ2662" s="106"/>
      <c r="RA2662" s="106"/>
      <c r="RB2662" s="106"/>
      <c r="RC2662" s="106"/>
      <c r="RD2662" s="106"/>
      <c r="RE2662" s="106"/>
      <c r="RF2662" s="106"/>
      <c r="RG2662" s="106"/>
      <c r="RH2662" s="106"/>
      <c r="RI2662" s="106"/>
      <c r="RJ2662" s="106"/>
      <c r="RK2662" s="106"/>
      <c r="RL2662" s="106"/>
    </row>
    <row r="2663" spans="48:480" x14ac:dyDescent="0.3">
      <c r="AV2663" s="103"/>
      <c r="CJ2663" s="103"/>
      <c r="FP2663" s="103"/>
      <c r="LL2663" s="103"/>
      <c r="NM2663" s="103"/>
      <c r="QT2663" s="106"/>
      <c r="QU2663" s="106"/>
      <c r="QV2663" s="106"/>
      <c r="QW2663" s="106"/>
      <c r="QX2663" s="106"/>
      <c r="QY2663" s="106"/>
      <c r="QZ2663" s="106"/>
      <c r="RA2663" s="106"/>
      <c r="RB2663" s="106"/>
      <c r="RC2663" s="106"/>
      <c r="RD2663" s="106"/>
      <c r="RE2663" s="106"/>
      <c r="RF2663" s="106"/>
      <c r="RG2663" s="106"/>
      <c r="RH2663" s="106"/>
      <c r="RI2663" s="106"/>
      <c r="RJ2663" s="106"/>
      <c r="RK2663" s="106"/>
      <c r="RL2663" s="106"/>
    </row>
    <row r="2664" spans="48:480" x14ac:dyDescent="0.3">
      <c r="AV2664" s="103"/>
      <c r="CJ2664" s="103"/>
      <c r="FP2664" s="103"/>
      <c r="LL2664" s="103"/>
      <c r="NM2664" s="103"/>
      <c r="QT2664" s="106"/>
      <c r="QU2664" s="106"/>
      <c r="QV2664" s="106"/>
      <c r="QW2664" s="106"/>
      <c r="QX2664" s="106"/>
      <c r="QY2664" s="106"/>
      <c r="QZ2664" s="106"/>
      <c r="RA2664" s="106"/>
      <c r="RB2664" s="106"/>
      <c r="RC2664" s="106"/>
      <c r="RD2664" s="106"/>
      <c r="RE2664" s="106"/>
      <c r="RF2664" s="106"/>
      <c r="RG2664" s="106"/>
      <c r="RH2664" s="106"/>
      <c r="RI2664" s="106"/>
      <c r="RJ2664" s="106"/>
      <c r="RK2664" s="106"/>
      <c r="RL2664" s="106"/>
    </row>
    <row r="2665" spans="48:480" x14ac:dyDescent="0.3">
      <c r="AV2665" s="103"/>
      <c r="CJ2665" s="103"/>
      <c r="FP2665" s="103"/>
      <c r="LL2665" s="103"/>
      <c r="NM2665" s="103"/>
      <c r="QT2665" s="106"/>
      <c r="QU2665" s="106"/>
      <c r="QV2665" s="106"/>
      <c r="QW2665" s="106"/>
      <c r="QX2665" s="106"/>
      <c r="QY2665" s="106"/>
      <c r="QZ2665" s="106"/>
      <c r="RA2665" s="106"/>
      <c r="RB2665" s="106"/>
      <c r="RC2665" s="106"/>
      <c r="RD2665" s="106"/>
      <c r="RE2665" s="106"/>
      <c r="RF2665" s="106"/>
      <c r="RG2665" s="106"/>
      <c r="RH2665" s="106"/>
      <c r="RI2665" s="106"/>
      <c r="RJ2665" s="106"/>
      <c r="RK2665" s="106"/>
      <c r="RL2665" s="106"/>
    </row>
    <row r="2666" spans="48:480" x14ac:dyDescent="0.3">
      <c r="AV2666" s="103"/>
      <c r="CJ2666" s="103"/>
      <c r="FP2666" s="103"/>
      <c r="LL2666" s="103"/>
      <c r="NM2666" s="103"/>
      <c r="QT2666" s="106"/>
      <c r="QU2666" s="106"/>
      <c r="QV2666" s="106"/>
      <c r="QW2666" s="106"/>
      <c r="QX2666" s="106"/>
      <c r="QY2666" s="106"/>
      <c r="QZ2666" s="106"/>
      <c r="RA2666" s="106"/>
      <c r="RB2666" s="106"/>
      <c r="RC2666" s="106"/>
      <c r="RD2666" s="106"/>
      <c r="RE2666" s="106"/>
      <c r="RF2666" s="106"/>
      <c r="RG2666" s="106"/>
      <c r="RH2666" s="106"/>
      <c r="RI2666" s="106"/>
      <c r="RJ2666" s="106"/>
      <c r="RK2666" s="106"/>
      <c r="RL2666" s="106"/>
    </row>
    <row r="2667" spans="48:480" x14ac:dyDescent="0.3">
      <c r="AV2667" s="103"/>
      <c r="CJ2667" s="103"/>
      <c r="FP2667" s="103"/>
      <c r="LL2667" s="103"/>
      <c r="NM2667" s="103"/>
      <c r="QT2667" s="106"/>
      <c r="QU2667" s="106"/>
      <c r="QV2667" s="106"/>
      <c r="QW2667" s="106"/>
      <c r="QX2667" s="106"/>
      <c r="QY2667" s="106"/>
      <c r="QZ2667" s="106"/>
      <c r="RA2667" s="106"/>
      <c r="RB2667" s="106"/>
      <c r="RC2667" s="106"/>
      <c r="RD2667" s="106"/>
      <c r="RE2667" s="106"/>
      <c r="RF2667" s="106"/>
      <c r="RG2667" s="106"/>
      <c r="RH2667" s="106"/>
      <c r="RI2667" s="106"/>
      <c r="RJ2667" s="106"/>
      <c r="RK2667" s="106"/>
      <c r="RL2667" s="106"/>
    </row>
    <row r="2668" spans="48:480" x14ac:dyDescent="0.3">
      <c r="AV2668" s="103"/>
      <c r="CJ2668" s="103"/>
      <c r="FP2668" s="103"/>
      <c r="LL2668" s="103"/>
      <c r="NM2668" s="103"/>
      <c r="QT2668" s="106"/>
      <c r="QU2668" s="106"/>
      <c r="QV2668" s="106"/>
      <c r="QW2668" s="106"/>
      <c r="QX2668" s="106"/>
      <c r="QY2668" s="106"/>
      <c r="QZ2668" s="106"/>
      <c r="RA2668" s="106"/>
      <c r="RB2668" s="106"/>
      <c r="RC2668" s="106"/>
      <c r="RD2668" s="106"/>
      <c r="RE2668" s="106"/>
      <c r="RF2668" s="106"/>
      <c r="RG2668" s="106"/>
      <c r="RH2668" s="106"/>
      <c r="RI2668" s="106"/>
      <c r="RJ2668" s="106"/>
      <c r="RK2668" s="106"/>
      <c r="RL2668" s="106"/>
    </row>
    <row r="2669" spans="48:480" x14ac:dyDescent="0.3">
      <c r="AV2669" s="103"/>
      <c r="CJ2669" s="103"/>
      <c r="FP2669" s="103"/>
      <c r="LL2669" s="103"/>
      <c r="NM2669" s="103"/>
      <c r="QT2669" s="106"/>
      <c r="QU2669" s="106"/>
      <c r="QV2669" s="106"/>
      <c r="QW2669" s="106"/>
      <c r="QX2669" s="106"/>
      <c r="QY2669" s="106"/>
      <c r="QZ2669" s="106"/>
      <c r="RA2669" s="106"/>
      <c r="RB2669" s="106"/>
      <c r="RC2669" s="106"/>
      <c r="RD2669" s="106"/>
      <c r="RE2669" s="106"/>
      <c r="RF2669" s="106"/>
      <c r="RG2669" s="106"/>
      <c r="RH2669" s="106"/>
      <c r="RI2669" s="106"/>
      <c r="RJ2669" s="106"/>
      <c r="RK2669" s="106"/>
      <c r="RL2669" s="106"/>
    </row>
    <row r="2670" spans="48:480" x14ac:dyDescent="0.3">
      <c r="AV2670" s="103"/>
      <c r="CJ2670" s="103"/>
      <c r="FP2670" s="103"/>
      <c r="LL2670" s="103"/>
      <c r="NM2670" s="103"/>
      <c r="QT2670" s="106"/>
      <c r="QU2670" s="106"/>
      <c r="QV2670" s="106"/>
      <c r="QW2670" s="106"/>
      <c r="QX2670" s="106"/>
      <c r="QY2670" s="106"/>
      <c r="QZ2670" s="106"/>
      <c r="RA2670" s="106"/>
      <c r="RB2670" s="106"/>
      <c r="RC2670" s="106"/>
      <c r="RD2670" s="106"/>
      <c r="RE2670" s="106"/>
      <c r="RF2670" s="106"/>
      <c r="RG2670" s="106"/>
      <c r="RH2670" s="106"/>
      <c r="RI2670" s="106"/>
      <c r="RJ2670" s="106"/>
      <c r="RK2670" s="106"/>
      <c r="RL2670" s="106"/>
    </row>
    <row r="2671" spans="48:480" x14ac:dyDescent="0.3">
      <c r="AV2671" s="103"/>
      <c r="CJ2671" s="103"/>
      <c r="FP2671" s="103"/>
      <c r="LL2671" s="103"/>
      <c r="NM2671" s="103"/>
      <c r="QT2671" s="106"/>
      <c r="QU2671" s="106"/>
      <c r="QV2671" s="106"/>
      <c r="QW2671" s="106"/>
      <c r="QX2671" s="106"/>
      <c r="QY2671" s="106"/>
      <c r="QZ2671" s="106"/>
      <c r="RA2671" s="106"/>
      <c r="RB2671" s="106"/>
      <c r="RC2671" s="106"/>
      <c r="RD2671" s="106"/>
      <c r="RE2671" s="106"/>
      <c r="RF2671" s="106"/>
      <c r="RG2671" s="106"/>
      <c r="RH2671" s="106"/>
      <c r="RI2671" s="106"/>
      <c r="RJ2671" s="106"/>
      <c r="RK2671" s="106"/>
      <c r="RL2671" s="106"/>
    </row>
    <row r="2672" spans="48:480" x14ac:dyDescent="0.3">
      <c r="AV2672" s="103"/>
      <c r="CJ2672" s="103"/>
      <c r="FP2672" s="103"/>
      <c r="LL2672" s="103"/>
      <c r="NM2672" s="103"/>
      <c r="QT2672" s="106"/>
      <c r="QU2672" s="106"/>
      <c r="QV2672" s="106"/>
      <c r="QW2672" s="106"/>
      <c r="QX2672" s="106"/>
      <c r="QY2672" s="106"/>
      <c r="QZ2672" s="106"/>
      <c r="RA2672" s="106"/>
      <c r="RB2672" s="106"/>
      <c r="RC2672" s="106"/>
      <c r="RD2672" s="106"/>
      <c r="RE2672" s="106"/>
      <c r="RF2672" s="106"/>
      <c r="RG2672" s="106"/>
      <c r="RH2672" s="106"/>
      <c r="RI2672" s="106"/>
      <c r="RJ2672" s="106"/>
      <c r="RK2672" s="106"/>
      <c r="RL2672" s="106"/>
    </row>
    <row r="2673" spans="48:480" x14ac:dyDescent="0.3">
      <c r="AV2673" s="103"/>
      <c r="CJ2673" s="103"/>
      <c r="FP2673" s="103"/>
      <c r="LL2673" s="103"/>
      <c r="NM2673" s="103"/>
      <c r="QT2673" s="106"/>
      <c r="QU2673" s="106"/>
      <c r="QV2673" s="106"/>
      <c r="QW2673" s="106"/>
      <c r="QX2673" s="106"/>
      <c r="QY2673" s="106"/>
      <c r="QZ2673" s="106"/>
      <c r="RA2673" s="106"/>
      <c r="RB2673" s="106"/>
      <c r="RC2673" s="106"/>
      <c r="RD2673" s="106"/>
      <c r="RE2673" s="106"/>
      <c r="RF2673" s="106"/>
      <c r="RG2673" s="106"/>
      <c r="RH2673" s="106"/>
      <c r="RI2673" s="106"/>
      <c r="RJ2673" s="106"/>
      <c r="RK2673" s="106"/>
      <c r="RL2673" s="106"/>
    </row>
    <row r="2674" spans="48:480" x14ac:dyDescent="0.3">
      <c r="AV2674" s="103"/>
      <c r="CJ2674" s="103"/>
      <c r="FP2674" s="103"/>
      <c r="LL2674" s="103"/>
      <c r="NM2674" s="103"/>
      <c r="QT2674" s="106"/>
      <c r="QU2674" s="106"/>
      <c r="QV2674" s="106"/>
      <c r="QW2674" s="106"/>
      <c r="QX2674" s="106"/>
      <c r="QY2674" s="106"/>
      <c r="QZ2674" s="106"/>
      <c r="RA2674" s="106"/>
      <c r="RB2674" s="106"/>
      <c r="RC2674" s="106"/>
      <c r="RD2674" s="106"/>
      <c r="RE2674" s="106"/>
      <c r="RF2674" s="106"/>
      <c r="RG2674" s="106"/>
      <c r="RH2674" s="106"/>
      <c r="RI2674" s="106"/>
      <c r="RJ2674" s="106"/>
      <c r="RK2674" s="106"/>
      <c r="RL2674" s="106"/>
    </row>
    <row r="2675" spans="48:480" x14ac:dyDescent="0.3">
      <c r="AV2675" s="103"/>
      <c r="CJ2675" s="103"/>
      <c r="FP2675" s="103"/>
      <c r="LL2675" s="103"/>
      <c r="NM2675" s="103"/>
      <c r="QT2675" s="106"/>
      <c r="QU2675" s="106"/>
      <c r="QV2675" s="106"/>
      <c r="QW2675" s="106"/>
      <c r="QX2675" s="106"/>
      <c r="QY2675" s="106"/>
      <c r="QZ2675" s="106"/>
      <c r="RA2675" s="106"/>
      <c r="RB2675" s="106"/>
      <c r="RC2675" s="106"/>
      <c r="RD2675" s="106"/>
      <c r="RE2675" s="106"/>
      <c r="RF2675" s="106"/>
      <c r="RG2675" s="106"/>
      <c r="RH2675" s="106"/>
      <c r="RI2675" s="106"/>
      <c r="RJ2675" s="106"/>
      <c r="RK2675" s="106"/>
      <c r="RL2675" s="106"/>
    </row>
    <row r="2676" spans="48:480" x14ac:dyDescent="0.3">
      <c r="AV2676" s="103"/>
      <c r="CJ2676" s="103"/>
      <c r="FP2676" s="103"/>
      <c r="LL2676" s="103"/>
      <c r="NM2676" s="103"/>
      <c r="QT2676" s="106"/>
      <c r="QU2676" s="106"/>
      <c r="QV2676" s="106"/>
      <c r="QW2676" s="106"/>
      <c r="QX2676" s="106"/>
      <c r="QY2676" s="106"/>
      <c r="QZ2676" s="106"/>
      <c r="RA2676" s="106"/>
      <c r="RB2676" s="106"/>
      <c r="RC2676" s="106"/>
      <c r="RD2676" s="106"/>
      <c r="RE2676" s="106"/>
      <c r="RF2676" s="106"/>
      <c r="RG2676" s="106"/>
      <c r="RH2676" s="106"/>
      <c r="RI2676" s="106"/>
      <c r="RJ2676" s="106"/>
      <c r="RK2676" s="106"/>
      <c r="RL2676" s="106"/>
    </row>
    <row r="2677" spans="48:480" x14ac:dyDescent="0.3">
      <c r="AV2677" s="103"/>
      <c r="CJ2677" s="103"/>
      <c r="FP2677" s="103"/>
      <c r="LL2677" s="103"/>
      <c r="NM2677" s="103"/>
      <c r="QT2677" s="106"/>
      <c r="QU2677" s="106"/>
      <c r="QV2677" s="106"/>
      <c r="QW2677" s="106"/>
      <c r="QX2677" s="106"/>
      <c r="QY2677" s="106"/>
      <c r="QZ2677" s="106"/>
      <c r="RA2677" s="106"/>
      <c r="RB2677" s="106"/>
      <c r="RC2677" s="106"/>
      <c r="RD2677" s="106"/>
      <c r="RE2677" s="106"/>
      <c r="RF2677" s="106"/>
      <c r="RG2677" s="106"/>
      <c r="RH2677" s="106"/>
      <c r="RI2677" s="106"/>
      <c r="RJ2677" s="106"/>
      <c r="RK2677" s="106"/>
      <c r="RL2677" s="106"/>
    </row>
    <row r="2678" spans="48:480" x14ac:dyDescent="0.3">
      <c r="AV2678" s="103"/>
      <c r="CJ2678" s="103"/>
      <c r="FP2678" s="103"/>
      <c r="LL2678" s="103"/>
      <c r="NM2678" s="103"/>
      <c r="QT2678" s="106"/>
      <c r="QU2678" s="106"/>
      <c r="QV2678" s="106"/>
      <c r="QW2678" s="106"/>
      <c r="QX2678" s="106"/>
      <c r="QY2678" s="106"/>
      <c r="QZ2678" s="106"/>
      <c r="RA2678" s="106"/>
      <c r="RB2678" s="106"/>
      <c r="RC2678" s="106"/>
      <c r="RD2678" s="106"/>
      <c r="RE2678" s="106"/>
      <c r="RF2678" s="106"/>
      <c r="RG2678" s="106"/>
      <c r="RH2678" s="106"/>
      <c r="RI2678" s="106"/>
      <c r="RJ2678" s="106"/>
      <c r="RK2678" s="106"/>
      <c r="RL2678" s="106"/>
    </row>
    <row r="2679" spans="48:480" x14ac:dyDescent="0.3">
      <c r="AV2679" s="103"/>
      <c r="CJ2679" s="103"/>
      <c r="FP2679" s="103"/>
      <c r="LL2679" s="103"/>
      <c r="NM2679" s="103"/>
      <c r="QT2679" s="106"/>
      <c r="QU2679" s="106"/>
      <c r="QV2679" s="106"/>
      <c r="QW2679" s="106"/>
      <c r="QX2679" s="106"/>
      <c r="QY2679" s="106"/>
      <c r="QZ2679" s="106"/>
      <c r="RA2679" s="106"/>
      <c r="RB2679" s="106"/>
      <c r="RC2679" s="106"/>
      <c r="RD2679" s="106"/>
      <c r="RE2679" s="106"/>
      <c r="RF2679" s="106"/>
      <c r="RG2679" s="106"/>
      <c r="RH2679" s="106"/>
      <c r="RI2679" s="106"/>
      <c r="RJ2679" s="106"/>
      <c r="RK2679" s="106"/>
      <c r="RL2679" s="106"/>
    </row>
    <row r="2680" spans="48:480" x14ac:dyDescent="0.3">
      <c r="AV2680" s="103"/>
      <c r="CJ2680" s="103"/>
      <c r="FP2680" s="103"/>
      <c r="LL2680" s="103"/>
      <c r="NM2680" s="103"/>
      <c r="QT2680" s="106"/>
      <c r="QU2680" s="106"/>
      <c r="QV2680" s="106"/>
      <c r="QW2680" s="106"/>
      <c r="QX2680" s="106"/>
      <c r="QY2680" s="106"/>
      <c r="QZ2680" s="106"/>
      <c r="RA2680" s="106"/>
      <c r="RB2680" s="106"/>
      <c r="RC2680" s="106"/>
      <c r="RD2680" s="106"/>
      <c r="RE2680" s="106"/>
      <c r="RF2680" s="106"/>
      <c r="RG2680" s="106"/>
      <c r="RH2680" s="106"/>
      <c r="RI2680" s="106"/>
      <c r="RJ2680" s="106"/>
      <c r="RK2680" s="106"/>
      <c r="RL2680" s="106"/>
    </row>
    <row r="2681" spans="48:480" x14ac:dyDescent="0.3">
      <c r="AV2681" s="103"/>
      <c r="CJ2681" s="103"/>
      <c r="FP2681" s="103"/>
      <c r="LL2681" s="103"/>
      <c r="NM2681" s="103"/>
      <c r="QT2681" s="106"/>
      <c r="QU2681" s="106"/>
      <c r="QV2681" s="106"/>
      <c r="QW2681" s="106"/>
      <c r="QX2681" s="106"/>
      <c r="QY2681" s="106"/>
      <c r="QZ2681" s="106"/>
      <c r="RA2681" s="106"/>
      <c r="RB2681" s="106"/>
      <c r="RC2681" s="106"/>
      <c r="RD2681" s="106"/>
      <c r="RE2681" s="106"/>
      <c r="RF2681" s="106"/>
      <c r="RG2681" s="106"/>
      <c r="RH2681" s="106"/>
      <c r="RI2681" s="106"/>
      <c r="RJ2681" s="106"/>
      <c r="RK2681" s="106"/>
      <c r="RL2681" s="106"/>
    </row>
    <row r="2682" spans="48:480" x14ac:dyDescent="0.3">
      <c r="AV2682" s="103"/>
      <c r="CJ2682" s="103"/>
      <c r="FP2682" s="103"/>
      <c r="LL2682" s="103"/>
      <c r="NM2682" s="103"/>
      <c r="QT2682" s="106"/>
      <c r="QU2682" s="106"/>
      <c r="QV2682" s="106"/>
      <c r="QW2682" s="106"/>
      <c r="QX2682" s="106"/>
      <c r="QY2682" s="106"/>
      <c r="QZ2682" s="106"/>
      <c r="RA2682" s="106"/>
      <c r="RB2682" s="106"/>
      <c r="RC2682" s="106"/>
      <c r="RD2682" s="106"/>
      <c r="RE2682" s="106"/>
      <c r="RF2682" s="106"/>
      <c r="RG2682" s="106"/>
      <c r="RH2682" s="106"/>
      <c r="RI2682" s="106"/>
      <c r="RJ2682" s="106"/>
      <c r="RK2682" s="106"/>
      <c r="RL2682" s="106"/>
    </row>
    <row r="2683" spans="48:480" x14ac:dyDescent="0.3">
      <c r="AV2683" s="103"/>
      <c r="CJ2683" s="103"/>
      <c r="FP2683" s="103"/>
      <c r="LL2683" s="103"/>
      <c r="NM2683" s="103"/>
      <c r="QT2683" s="106"/>
      <c r="QU2683" s="106"/>
      <c r="QV2683" s="106"/>
      <c r="QW2683" s="106"/>
      <c r="QX2683" s="106"/>
      <c r="QY2683" s="106"/>
      <c r="QZ2683" s="106"/>
      <c r="RA2683" s="106"/>
      <c r="RB2683" s="106"/>
      <c r="RC2683" s="106"/>
      <c r="RD2683" s="106"/>
      <c r="RE2683" s="106"/>
      <c r="RF2683" s="106"/>
      <c r="RG2683" s="106"/>
      <c r="RH2683" s="106"/>
      <c r="RI2683" s="106"/>
      <c r="RJ2683" s="106"/>
      <c r="RK2683" s="106"/>
      <c r="RL2683" s="106"/>
    </row>
    <row r="2684" spans="48:480" x14ac:dyDescent="0.3">
      <c r="AV2684" s="103"/>
      <c r="CJ2684" s="103"/>
      <c r="FP2684" s="103"/>
      <c r="LL2684" s="103"/>
      <c r="NM2684" s="103"/>
      <c r="QT2684" s="106"/>
      <c r="QU2684" s="106"/>
      <c r="QV2684" s="106"/>
      <c r="QW2684" s="106"/>
      <c r="QX2684" s="106"/>
      <c r="QY2684" s="106"/>
      <c r="QZ2684" s="106"/>
      <c r="RA2684" s="106"/>
      <c r="RB2684" s="106"/>
      <c r="RC2684" s="106"/>
      <c r="RD2684" s="106"/>
      <c r="RE2684" s="106"/>
      <c r="RF2684" s="106"/>
      <c r="RG2684" s="106"/>
      <c r="RH2684" s="106"/>
      <c r="RI2684" s="106"/>
      <c r="RJ2684" s="106"/>
      <c r="RK2684" s="106"/>
      <c r="RL2684" s="106"/>
    </row>
    <row r="2685" spans="48:480" x14ac:dyDescent="0.3">
      <c r="AV2685" s="103"/>
      <c r="CJ2685" s="103"/>
      <c r="FP2685" s="103"/>
      <c r="LL2685" s="103"/>
      <c r="NM2685" s="103"/>
      <c r="QT2685" s="106"/>
      <c r="QU2685" s="106"/>
      <c r="QV2685" s="106"/>
      <c r="QW2685" s="106"/>
      <c r="QX2685" s="106"/>
      <c r="QY2685" s="106"/>
      <c r="QZ2685" s="106"/>
      <c r="RA2685" s="106"/>
      <c r="RB2685" s="106"/>
      <c r="RC2685" s="106"/>
      <c r="RD2685" s="106"/>
      <c r="RE2685" s="106"/>
      <c r="RF2685" s="106"/>
      <c r="RG2685" s="106"/>
      <c r="RH2685" s="106"/>
      <c r="RI2685" s="106"/>
      <c r="RJ2685" s="106"/>
      <c r="RK2685" s="106"/>
      <c r="RL2685" s="106"/>
    </row>
    <row r="2686" spans="48:480" x14ac:dyDescent="0.3">
      <c r="AV2686" s="103"/>
      <c r="CJ2686" s="103"/>
      <c r="FP2686" s="103"/>
      <c r="LL2686" s="103"/>
      <c r="NM2686" s="103"/>
      <c r="QT2686" s="106"/>
      <c r="QU2686" s="106"/>
      <c r="QV2686" s="106"/>
      <c r="QW2686" s="106"/>
      <c r="QX2686" s="106"/>
      <c r="QY2686" s="106"/>
      <c r="QZ2686" s="106"/>
      <c r="RA2686" s="106"/>
      <c r="RB2686" s="106"/>
      <c r="RC2686" s="106"/>
      <c r="RD2686" s="106"/>
      <c r="RE2686" s="106"/>
      <c r="RF2686" s="106"/>
      <c r="RG2686" s="106"/>
      <c r="RH2686" s="106"/>
      <c r="RI2686" s="106"/>
      <c r="RJ2686" s="106"/>
      <c r="RK2686" s="106"/>
      <c r="RL2686" s="106"/>
    </row>
    <row r="2687" spans="48:480" x14ac:dyDescent="0.3">
      <c r="AV2687" s="103"/>
      <c r="CJ2687" s="103"/>
      <c r="FP2687" s="103"/>
      <c r="LL2687" s="103"/>
      <c r="NM2687" s="103"/>
      <c r="QT2687" s="106"/>
      <c r="QU2687" s="106"/>
      <c r="QV2687" s="106"/>
      <c r="QW2687" s="106"/>
      <c r="QX2687" s="106"/>
      <c r="QY2687" s="106"/>
      <c r="QZ2687" s="106"/>
      <c r="RA2687" s="106"/>
      <c r="RB2687" s="106"/>
      <c r="RC2687" s="106"/>
      <c r="RD2687" s="106"/>
      <c r="RE2687" s="106"/>
      <c r="RF2687" s="106"/>
      <c r="RG2687" s="106"/>
      <c r="RH2687" s="106"/>
      <c r="RI2687" s="106"/>
      <c r="RJ2687" s="106"/>
      <c r="RK2687" s="106"/>
      <c r="RL2687" s="106"/>
    </row>
    <row r="2688" spans="48:480" x14ac:dyDescent="0.3">
      <c r="AV2688" s="103"/>
      <c r="CJ2688" s="103"/>
      <c r="FP2688" s="103"/>
      <c r="LL2688" s="103"/>
      <c r="NM2688" s="103"/>
      <c r="QT2688" s="106"/>
      <c r="QU2688" s="106"/>
      <c r="QV2688" s="106"/>
      <c r="QW2688" s="106"/>
      <c r="QX2688" s="106"/>
      <c r="QY2688" s="106"/>
      <c r="QZ2688" s="106"/>
      <c r="RA2688" s="106"/>
      <c r="RB2688" s="106"/>
      <c r="RC2688" s="106"/>
      <c r="RD2688" s="106"/>
      <c r="RE2688" s="106"/>
      <c r="RF2688" s="106"/>
      <c r="RG2688" s="106"/>
      <c r="RH2688" s="106"/>
      <c r="RI2688" s="106"/>
      <c r="RJ2688" s="106"/>
      <c r="RK2688" s="106"/>
      <c r="RL2688" s="106"/>
    </row>
    <row r="2689" spans="48:480" x14ac:dyDescent="0.3">
      <c r="AV2689" s="103"/>
      <c r="CJ2689" s="103"/>
      <c r="FP2689" s="103"/>
      <c r="LL2689" s="103"/>
      <c r="NM2689" s="103"/>
      <c r="QT2689" s="106"/>
      <c r="QU2689" s="106"/>
      <c r="QV2689" s="106"/>
      <c r="QW2689" s="106"/>
      <c r="QX2689" s="106"/>
      <c r="QY2689" s="106"/>
      <c r="QZ2689" s="106"/>
      <c r="RA2689" s="106"/>
      <c r="RB2689" s="106"/>
      <c r="RC2689" s="106"/>
      <c r="RD2689" s="106"/>
      <c r="RE2689" s="106"/>
      <c r="RF2689" s="106"/>
      <c r="RG2689" s="106"/>
      <c r="RH2689" s="106"/>
      <c r="RI2689" s="106"/>
      <c r="RJ2689" s="106"/>
      <c r="RK2689" s="106"/>
      <c r="RL2689" s="106"/>
    </row>
    <row r="2690" spans="48:480" x14ac:dyDescent="0.3">
      <c r="AV2690" s="103"/>
      <c r="CJ2690" s="103"/>
      <c r="FP2690" s="103"/>
      <c r="LL2690" s="103"/>
      <c r="NM2690" s="103"/>
      <c r="QT2690" s="106"/>
      <c r="QU2690" s="106"/>
      <c r="QV2690" s="106"/>
      <c r="QW2690" s="106"/>
      <c r="QX2690" s="106"/>
      <c r="QY2690" s="106"/>
      <c r="QZ2690" s="106"/>
      <c r="RA2690" s="106"/>
      <c r="RB2690" s="106"/>
      <c r="RC2690" s="106"/>
      <c r="RD2690" s="106"/>
      <c r="RE2690" s="106"/>
      <c r="RF2690" s="106"/>
      <c r="RG2690" s="106"/>
      <c r="RH2690" s="106"/>
      <c r="RI2690" s="106"/>
      <c r="RJ2690" s="106"/>
      <c r="RK2690" s="106"/>
      <c r="RL2690" s="106"/>
    </row>
    <row r="2691" spans="48:480" x14ac:dyDescent="0.3">
      <c r="AV2691" s="103"/>
      <c r="CJ2691" s="103"/>
      <c r="FP2691" s="103"/>
      <c r="LL2691" s="103"/>
      <c r="NM2691" s="103"/>
      <c r="QT2691" s="106"/>
      <c r="QU2691" s="106"/>
      <c r="QV2691" s="106"/>
      <c r="QW2691" s="106"/>
      <c r="QX2691" s="106"/>
      <c r="QY2691" s="106"/>
      <c r="QZ2691" s="106"/>
      <c r="RA2691" s="106"/>
      <c r="RB2691" s="106"/>
      <c r="RC2691" s="106"/>
      <c r="RD2691" s="106"/>
      <c r="RE2691" s="106"/>
      <c r="RF2691" s="106"/>
      <c r="RG2691" s="106"/>
      <c r="RH2691" s="106"/>
      <c r="RI2691" s="106"/>
      <c r="RJ2691" s="106"/>
      <c r="RK2691" s="106"/>
      <c r="RL2691" s="106"/>
    </row>
    <row r="2692" spans="48:480" x14ac:dyDescent="0.3">
      <c r="AV2692" s="103"/>
      <c r="CJ2692" s="103"/>
      <c r="FP2692" s="103"/>
      <c r="LL2692" s="103"/>
      <c r="NM2692" s="103"/>
      <c r="QT2692" s="106"/>
      <c r="QU2692" s="106"/>
      <c r="QV2692" s="106"/>
      <c r="QW2692" s="106"/>
      <c r="QX2692" s="106"/>
      <c r="QY2692" s="106"/>
      <c r="QZ2692" s="106"/>
      <c r="RA2692" s="106"/>
      <c r="RB2692" s="106"/>
      <c r="RC2692" s="106"/>
      <c r="RD2692" s="106"/>
      <c r="RE2692" s="106"/>
      <c r="RF2692" s="106"/>
      <c r="RG2692" s="106"/>
      <c r="RH2692" s="106"/>
      <c r="RI2692" s="106"/>
      <c r="RJ2692" s="106"/>
      <c r="RK2692" s="106"/>
      <c r="RL2692" s="106"/>
    </row>
    <row r="2693" spans="48:480" x14ac:dyDescent="0.3">
      <c r="AV2693" s="103"/>
      <c r="CJ2693" s="103"/>
      <c r="FP2693" s="103"/>
      <c r="LL2693" s="103"/>
      <c r="NM2693" s="103"/>
      <c r="QT2693" s="106"/>
      <c r="QU2693" s="106"/>
      <c r="QV2693" s="106"/>
      <c r="QW2693" s="106"/>
      <c r="QX2693" s="106"/>
      <c r="QY2693" s="106"/>
      <c r="QZ2693" s="106"/>
      <c r="RA2693" s="106"/>
      <c r="RB2693" s="106"/>
      <c r="RC2693" s="106"/>
      <c r="RD2693" s="106"/>
      <c r="RE2693" s="106"/>
      <c r="RF2693" s="106"/>
      <c r="RG2693" s="106"/>
      <c r="RH2693" s="106"/>
      <c r="RI2693" s="106"/>
      <c r="RJ2693" s="106"/>
      <c r="RK2693" s="106"/>
      <c r="RL2693" s="106"/>
    </row>
    <row r="2694" spans="48:480" x14ac:dyDescent="0.3">
      <c r="CJ2694" s="103"/>
      <c r="FP2694" s="103"/>
      <c r="LL2694" s="103"/>
      <c r="NM2694" s="103"/>
      <c r="QT2694" s="106"/>
      <c r="QU2694" s="106"/>
      <c r="QV2694" s="106"/>
      <c r="QW2694" s="106"/>
      <c r="QX2694" s="106"/>
      <c r="QY2694" s="106"/>
      <c r="QZ2694" s="106"/>
      <c r="RA2694" s="106"/>
      <c r="RB2694" s="106"/>
      <c r="RC2694" s="106"/>
      <c r="RD2694" s="106"/>
      <c r="RE2694" s="106"/>
      <c r="RF2694" s="106"/>
      <c r="RG2694" s="106"/>
      <c r="RH2694" s="106"/>
      <c r="RI2694" s="106"/>
      <c r="RJ2694" s="106"/>
      <c r="RK2694" s="106"/>
      <c r="RL2694" s="106"/>
    </row>
    <row r="2695" spans="48:480" x14ac:dyDescent="0.3">
      <c r="AV2695" s="103"/>
      <c r="CJ2695" s="103"/>
      <c r="FP2695" s="103"/>
      <c r="LL2695" s="103"/>
      <c r="NM2695" s="103"/>
      <c r="QT2695" s="106"/>
      <c r="QU2695" s="106"/>
      <c r="QV2695" s="106"/>
      <c r="QW2695" s="106"/>
      <c r="QX2695" s="106"/>
      <c r="QY2695" s="106"/>
      <c r="QZ2695" s="106"/>
      <c r="RA2695" s="106"/>
      <c r="RB2695" s="106"/>
      <c r="RC2695" s="106"/>
      <c r="RD2695" s="106"/>
      <c r="RE2695" s="106"/>
      <c r="RF2695" s="106"/>
      <c r="RG2695" s="106"/>
      <c r="RH2695" s="106"/>
      <c r="RI2695" s="106"/>
      <c r="RJ2695" s="106"/>
      <c r="RK2695" s="106"/>
      <c r="RL2695" s="106"/>
    </row>
    <row r="2696" spans="48:480" x14ac:dyDescent="0.3">
      <c r="AV2696" s="103"/>
      <c r="CJ2696" s="103"/>
      <c r="FP2696" s="103"/>
      <c r="LL2696" s="103"/>
      <c r="NM2696" s="103"/>
      <c r="QT2696" s="106"/>
      <c r="QU2696" s="106"/>
      <c r="QV2696" s="106"/>
      <c r="QW2696" s="106"/>
      <c r="QX2696" s="106"/>
      <c r="QY2696" s="106"/>
      <c r="QZ2696" s="106"/>
      <c r="RA2696" s="106"/>
      <c r="RB2696" s="106"/>
      <c r="RC2696" s="106"/>
      <c r="RD2696" s="106"/>
      <c r="RE2696" s="106"/>
      <c r="RF2696" s="106"/>
      <c r="RG2696" s="106"/>
      <c r="RH2696" s="106"/>
      <c r="RI2696" s="106"/>
      <c r="RJ2696" s="106"/>
      <c r="RK2696" s="106"/>
      <c r="RL2696" s="106"/>
    </row>
    <row r="2697" spans="48:480" x14ac:dyDescent="0.3">
      <c r="AV2697" s="103"/>
      <c r="CJ2697" s="103"/>
      <c r="FP2697" s="103"/>
      <c r="LL2697" s="103"/>
      <c r="NM2697" s="103"/>
      <c r="QT2697" s="106"/>
      <c r="QU2697" s="106"/>
      <c r="QV2697" s="106"/>
      <c r="QW2697" s="106"/>
      <c r="QX2697" s="106"/>
      <c r="QY2697" s="106"/>
      <c r="QZ2697" s="106"/>
      <c r="RA2697" s="106"/>
      <c r="RB2697" s="106"/>
      <c r="RC2697" s="106"/>
      <c r="RD2697" s="106"/>
      <c r="RE2697" s="106"/>
      <c r="RF2697" s="106"/>
      <c r="RG2697" s="106"/>
      <c r="RH2697" s="106"/>
      <c r="RI2697" s="106"/>
      <c r="RJ2697" s="106"/>
      <c r="RK2697" s="106"/>
      <c r="RL2697" s="106"/>
    </row>
    <row r="2698" spans="48:480" x14ac:dyDescent="0.3">
      <c r="AV2698" s="103"/>
      <c r="CJ2698" s="103"/>
      <c r="FP2698" s="103"/>
      <c r="LL2698" s="103"/>
      <c r="NM2698" s="103"/>
      <c r="QT2698" s="106"/>
      <c r="QU2698" s="106"/>
      <c r="QV2698" s="106"/>
      <c r="QW2698" s="106"/>
      <c r="QX2698" s="106"/>
      <c r="QY2698" s="106"/>
      <c r="QZ2698" s="106"/>
      <c r="RA2698" s="106"/>
      <c r="RB2698" s="106"/>
      <c r="RC2698" s="106"/>
      <c r="RD2698" s="106"/>
      <c r="RE2698" s="106"/>
      <c r="RF2698" s="106"/>
      <c r="RG2698" s="106"/>
      <c r="RH2698" s="106"/>
      <c r="RI2698" s="106"/>
      <c r="RJ2698" s="106"/>
      <c r="RK2698" s="106"/>
      <c r="RL2698" s="106"/>
    </row>
    <row r="2699" spans="48:480" x14ac:dyDescent="0.3">
      <c r="AV2699" s="103"/>
      <c r="CJ2699" s="103"/>
      <c r="FP2699" s="103"/>
      <c r="LL2699" s="103"/>
      <c r="NM2699" s="103"/>
      <c r="QT2699" s="106"/>
      <c r="QU2699" s="106"/>
      <c r="QV2699" s="106"/>
      <c r="QW2699" s="106"/>
      <c r="QX2699" s="106"/>
      <c r="QY2699" s="106"/>
      <c r="QZ2699" s="106"/>
      <c r="RA2699" s="106"/>
      <c r="RB2699" s="106"/>
      <c r="RC2699" s="106"/>
      <c r="RD2699" s="106"/>
      <c r="RE2699" s="106"/>
      <c r="RF2699" s="106"/>
      <c r="RG2699" s="106"/>
      <c r="RH2699" s="106"/>
      <c r="RI2699" s="106"/>
      <c r="RJ2699" s="106"/>
      <c r="RK2699" s="106"/>
      <c r="RL2699" s="106"/>
    </row>
    <row r="2700" spans="48:480" x14ac:dyDescent="0.3">
      <c r="AV2700" s="103"/>
      <c r="CJ2700" s="103"/>
      <c r="FP2700" s="103"/>
      <c r="LL2700" s="103"/>
      <c r="NM2700" s="103"/>
      <c r="QT2700" s="106"/>
      <c r="QU2700" s="106"/>
      <c r="QV2700" s="106"/>
      <c r="QW2700" s="106"/>
      <c r="QX2700" s="106"/>
      <c r="QY2700" s="106"/>
      <c r="QZ2700" s="106"/>
      <c r="RA2700" s="106"/>
      <c r="RB2700" s="106"/>
      <c r="RC2700" s="106"/>
      <c r="RD2700" s="106"/>
      <c r="RE2700" s="106"/>
      <c r="RF2700" s="106"/>
      <c r="RG2700" s="106"/>
      <c r="RH2700" s="106"/>
      <c r="RI2700" s="106"/>
      <c r="RJ2700" s="106"/>
      <c r="RK2700" s="106"/>
      <c r="RL2700" s="106"/>
    </row>
    <row r="2701" spans="48:480" x14ac:dyDescent="0.3">
      <c r="AV2701" s="103"/>
      <c r="CJ2701" s="103"/>
      <c r="FP2701" s="103"/>
      <c r="LL2701" s="103"/>
      <c r="NM2701" s="103"/>
      <c r="QT2701" s="106"/>
      <c r="QU2701" s="106"/>
      <c r="QV2701" s="106"/>
      <c r="QW2701" s="106"/>
      <c r="QX2701" s="106"/>
      <c r="QY2701" s="106"/>
      <c r="QZ2701" s="106"/>
      <c r="RA2701" s="106"/>
      <c r="RB2701" s="106"/>
      <c r="RC2701" s="106"/>
      <c r="RD2701" s="106"/>
      <c r="RE2701" s="106"/>
      <c r="RF2701" s="106"/>
      <c r="RG2701" s="106"/>
      <c r="RH2701" s="106"/>
      <c r="RI2701" s="106"/>
      <c r="RJ2701" s="106"/>
      <c r="RK2701" s="106"/>
      <c r="RL2701" s="106"/>
    </row>
    <row r="2702" spans="48:480" x14ac:dyDescent="0.3">
      <c r="AV2702" s="103"/>
      <c r="CJ2702" s="103"/>
      <c r="FP2702" s="103"/>
      <c r="LL2702" s="103"/>
      <c r="NM2702" s="103"/>
      <c r="QT2702" s="106"/>
      <c r="QU2702" s="106"/>
      <c r="QV2702" s="106"/>
      <c r="QW2702" s="106"/>
      <c r="QX2702" s="106"/>
      <c r="QY2702" s="106"/>
      <c r="QZ2702" s="106"/>
      <c r="RA2702" s="106"/>
      <c r="RB2702" s="106"/>
      <c r="RC2702" s="106"/>
      <c r="RD2702" s="106"/>
      <c r="RE2702" s="106"/>
      <c r="RF2702" s="106"/>
      <c r="RG2702" s="106"/>
      <c r="RH2702" s="106"/>
      <c r="RI2702" s="106"/>
      <c r="RJ2702" s="106"/>
      <c r="RK2702" s="106"/>
      <c r="RL2702" s="106"/>
    </row>
    <row r="2703" spans="48:480" x14ac:dyDescent="0.3">
      <c r="AV2703" s="103"/>
      <c r="CJ2703" s="103"/>
      <c r="FP2703" s="103"/>
      <c r="LL2703" s="103"/>
      <c r="NM2703" s="103"/>
      <c r="QT2703" s="106"/>
      <c r="QU2703" s="106"/>
      <c r="QV2703" s="106"/>
      <c r="QW2703" s="106"/>
      <c r="QX2703" s="106"/>
      <c r="QY2703" s="106"/>
      <c r="QZ2703" s="106"/>
      <c r="RA2703" s="106"/>
      <c r="RB2703" s="106"/>
      <c r="RC2703" s="106"/>
      <c r="RD2703" s="106"/>
      <c r="RE2703" s="106"/>
      <c r="RF2703" s="106"/>
      <c r="RG2703" s="106"/>
      <c r="RH2703" s="106"/>
      <c r="RI2703" s="106"/>
      <c r="RJ2703" s="106"/>
      <c r="RK2703" s="106"/>
      <c r="RL2703" s="106"/>
    </row>
    <row r="2704" spans="48:480" x14ac:dyDescent="0.3">
      <c r="AV2704" s="103"/>
      <c r="CJ2704" s="103"/>
      <c r="FP2704" s="103"/>
      <c r="LL2704" s="103"/>
      <c r="NM2704" s="103"/>
      <c r="QT2704" s="106"/>
      <c r="QU2704" s="106"/>
      <c r="QV2704" s="106"/>
      <c r="QW2704" s="106"/>
      <c r="QX2704" s="106"/>
      <c r="QY2704" s="106"/>
      <c r="QZ2704" s="106"/>
      <c r="RA2704" s="106"/>
      <c r="RB2704" s="106"/>
      <c r="RC2704" s="106"/>
      <c r="RD2704" s="106"/>
      <c r="RE2704" s="106"/>
      <c r="RF2704" s="106"/>
      <c r="RG2704" s="106"/>
      <c r="RH2704" s="106"/>
      <c r="RI2704" s="106"/>
      <c r="RJ2704" s="106"/>
      <c r="RK2704" s="106"/>
      <c r="RL2704" s="106"/>
    </row>
    <row r="2705" spans="48:480" x14ac:dyDescent="0.3">
      <c r="AV2705" s="103"/>
      <c r="CJ2705" s="103"/>
      <c r="FP2705" s="103"/>
      <c r="LL2705" s="103"/>
      <c r="NM2705" s="103"/>
      <c r="QT2705" s="106"/>
      <c r="QU2705" s="106"/>
      <c r="QV2705" s="106"/>
      <c r="QW2705" s="106"/>
      <c r="QX2705" s="106"/>
      <c r="QY2705" s="106"/>
      <c r="QZ2705" s="106"/>
      <c r="RA2705" s="106"/>
      <c r="RB2705" s="106"/>
      <c r="RC2705" s="106"/>
      <c r="RD2705" s="106"/>
      <c r="RE2705" s="106"/>
      <c r="RF2705" s="106"/>
      <c r="RG2705" s="106"/>
      <c r="RH2705" s="106"/>
      <c r="RI2705" s="106"/>
      <c r="RJ2705" s="106"/>
      <c r="RK2705" s="106"/>
      <c r="RL2705" s="106"/>
    </row>
    <row r="2706" spans="48:480" x14ac:dyDescent="0.3">
      <c r="AV2706" s="103"/>
      <c r="CJ2706" s="103"/>
      <c r="FP2706" s="103"/>
      <c r="LL2706" s="103"/>
      <c r="NM2706" s="103"/>
      <c r="QT2706" s="106"/>
      <c r="QU2706" s="106"/>
      <c r="QV2706" s="106"/>
      <c r="QW2706" s="106"/>
      <c r="QX2706" s="106"/>
      <c r="QY2706" s="106"/>
      <c r="QZ2706" s="106"/>
      <c r="RA2706" s="106"/>
      <c r="RB2706" s="106"/>
      <c r="RC2706" s="106"/>
      <c r="RD2706" s="106"/>
      <c r="RE2706" s="106"/>
      <c r="RF2706" s="106"/>
      <c r="RG2706" s="106"/>
      <c r="RH2706" s="106"/>
      <c r="RI2706" s="106"/>
      <c r="RJ2706" s="106"/>
      <c r="RK2706" s="106"/>
      <c r="RL2706" s="106"/>
    </row>
    <row r="2707" spans="48:480" x14ac:dyDescent="0.3">
      <c r="CJ2707" s="103"/>
      <c r="FP2707" s="103"/>
      <c r="LL2707" s="103"/>
      <c r="NM2707" s="103"/>
      <c r="QT2707" s="106"/>
      <c r="QU2707" s="106"/>
      <c r="QV2707" s="106"/>
      <c r="QW2707" s="106"/>
      <c r="QX2707" s="106"/>
      <c r="QY2707" s="106"/>
      <c r="QZ2707" s="106"/>
      <c r="RA2707" s="106"/>
      <c r="RB2707" s="106"/>
      <c r="RC2707" s="106"/>
      <c r="RD2707" s="106"/>
      <c r="RE2707" s="106"/>
      <c r="RF2707" s="106"/>
      <c r="RG2707" s="106"/>
      <c r="RH2707" s="106"/>
      <c r="RI2707" s="106"/>
      <c r="RJ2707" s="106"/>
      <c r="RK2707" s="106"/>
      <c r="RL2707" s="106"/>
    </row>
    <row r="2708" spans="48:480" x14ac:dyDescent="0.3">
      <c r="AV2708" s="103"/>
      <c r="CJ2708" s="103"/>
      <c r="FP2708" s="103"/>
      <c r="LL2708" s="103"/>
      <c r="NM2708" s="103"/>
      <c r="QT2708" s="106"/>
      <c r="QU2708" s="106"/>
      <c r="QV2708" s="106"/>
      <c r="QW2708" s="106"/>
      <c r="QX2708" s="106"/>
      <c r="QY2708" s="106"/>
      <c r="QZ2708" s="106"/>
      <c r="RA2708" s="106"/>
      <c r="RB2708" s="106"/>
      <c r="RC2708" s="106"/>
      <c r="RD2708" s="106"/>
      <c r="RE2708" s="106"/>
      <c r="RF2708" s="106"/>
      <c r="RG2708" s="106"/>
      <c r="RH2708" s="106"/>
      <c r="RI2708" s="106"/>
      <c r="RJ2708" s="106"/>
      <c r="RK2708" s="106"/>
      <c r="RL2708" s="106"/>
    </row>
    <row r="2709" spans="48:480" x14ac:dyDescent="0.3">
      <c r="AV2709" s="103"/>
      <c r="CJ2709" s="103"/>
      <c r="FP2709" s="103"/>
      <c r="LL2709" s="103"/>
      <c r="NM2709" s="103"/>
      <c r="QT2709" s="106"/>
      <c r="QU2709" s="106"/>
      <c r="QV2709" s="106"/>
      <c r="QW2709" s="106"/>
      <c r="QX2709" s="106"/>
      <c r="QY2709" s="106"/>
      <c r="QZ2709" s="106"/>
      <c r="RA2709" s="106"/>
      <c r="RB2709" s="106"/>
      <c r="RC2709" s="106"/>
      <c r="RD2709" s="106"/>
      <c r="RE2709" s="106"/>
      <c r="RF2709" s="106"/>
      <c r="RG2709" s="106"/>
      <c r="RH2709" s="106"/>
      <c r="RI2709" s="106"/>
      <c r="RJ2709" s="106"/>
      <c r="RK2709" s="106"/>
      <c r="RL2709" s="106"/>
    </row>
    <row r="2710" spans="48:480" x14ac:dyDescent="0.3">
      <c r="AV2710" s="103"/>
      <c r="CJ2710" s="103"/>
      <c r="FP2710" s="103"/>
      <c r="LL2710" s="103"/>
      <c r="NM2710" s="103"/>
      <c r="QT2710" s="106"/>
      <c r="QU2710" s="106"/>
      <c r="QV2710" s="106"/>
      <c r="QW2710" s="106"/>
      <c r="QX2710" s="106"/>
      <c r="QY2710" s="106"/>
      <c r="QZ2710" s="106"/>
      <c r="RA2710" s="106"/>
      <c r="RB2710" s="106"/>
      <c r="RC2710" s="106"/>
      <c r="RD2710" s="106"/>
      <c r="RE2710" s="106"/>
      <c r="RF2710" s="106"/>
      <c r="RG2710" s="106"/>
      <c r="RH2710" s="106"/>
      <c r="RI2710" s="106"/>
      <c r="RJ2710" s="106"/>
      <c r="RK2710" s="106"/>
      <c r="RL2710" s="106"/>
    </row>
    <row r="2711" spans="48:480" x14ac:dyDescent="0.3">
      <c r="AV2711" s="103"/>
      <c r="CJ2711" s="103"/>
      <c r="FP2711" s="103"/>
      <c r="LL2711" s="103"/>
      <c r="NM2711" s="103"/>
      <c r="QT2711" s="106"/>
      <c r="QU2711" s="106"/>
      <c r="QV2711" s="106"/>
      <c r="QW2711" s="106"/>
      <c r="QX2711" s="106"/>
      <c r="QY2711" s="106"/>
      <c r="QZ2711" s="106"/>
      <c r="RA2711" s="106"/>
      <c r="RB2711" s="106"/>
      <c r="RC2711" s="106"/>
      <c r="RD2711" s="106"/>
      <c r="RE2711" s="106"/>
      <c r="RF2711" s="106"/>
      <c r="RG2711" s="106"/>
      <c r="RH2711" s="106"/>
      <c r="RI2711" s="106"/>
      <c r="RJ2711" s="106"/>
      <c r="RK2711" s="106"/>
      <c r="RL2711" s="106"/>
    </row>
    <row r="2712" spans="48:480" x14ac:dyDescent="0.3">
      <c r="AV2712" s="103"/>
      <c r="CJ2712" s="103"/>
      <c r="FP2712" s="103"/>
      <c r="LL2712" s="103"/>
      <c r="NM2712" s="103"/>
      <c r="QT2712" s="106"/>
      <c r="QU2712" s="106"/>
      <c r="QV2712" s="106"/>
      <c r="QW2712" s="106"/>
      <c r="QX2712" s="106"/>
      <c r="QY2712" s="106"/>
      <c r="QZ2712" s="106"/>
      <c r="RA2712" s="106"/>
      <c r="RB2712" s="106"/>
      <c r="RC2712" s="106"/>
      <c r="RD2712" s="106"/>
      <c r="RE2712" s="106"/>
      <c r="RF2712" s="106"/>
      <c r="RG2712" s="106"/>
      <c r="RH2712" s="106"/>
      <c r="RI2712" s="106"/>
      <c r="RJ2712" s="106"/>
      <c r="RK2712" s="106"/>
      <c r="RL2712" s="106"/>
    </row>
    <row r="2713" spans="48:480" x14ac:dyDescent="0.3">
      <c r="AV2713" s="103"/>
      <c r="CJ2713" s="103"/>
      <c r="FP2713" s="103"/>
      <c r="LL2713" s="103"/>
      <c r="NM2713" s="103"/>
      <c r="QT2713" s="106"/>
      <c r="QU2713" s="106"/>
      <c r="QV2713" s="106"/>
      <c r="QW2713" s="106"/>
      <c r="QX2713" s="106"/>
      <c r="QY2713" s="106"/>
      <c r="QZ2713" s="106"/>
      <c r="RA2713" s="106"/>
      <c r="RB2713" s="106"/>
      <c r="RC2713" s="106"/>
      <c r="RD2713" s="106"/>
      <c r="RE2713" s="106"/>
      <c r="RF2713" s="106"/>
      <c r="RG2713" s="106"/>
      <c r="RH2713" s="106"/>
      <c r="RI2713" s="106"/>
      <c r="RJ2713" s="106"/>
      <c r="RK2713" s="106"/>
      <c r="RL2713" s="106"/>
    </row>
    <row r="2714" spans="48:480" x14ac:dyDescent="0.3">
      <c r="AV2714" s="103"/>
      <c r="CJ2714" s="103"/>
      <c r="FP2714" s="103"/>
      <c r="LL2714" s="103"/>
      <c r="NM2714" s="103"/>
      <c r="QT2714" s="106"/>
      <c r="QU2714" s="106"/>
      <c r="QV2714" s="106"/>
      <c r="QW2714" s="106"/>
      <c r="QX2714" s="106"/>
      <c r="QY2714" s="106"/>
      <c r="QZ2714" s="106"/>
      <c r="RA2714" s="106"/>
      <c r="RB2714" s="106"/>
      <c r="RC2714" s="106"/>
      <c r="RD2714" s="106"/>
      <c r="RE2714" s="106"/>
      <c r="RF2714" s="106"/>
      <c r="RG2714" s="106"/>
      <c r="RH2714" s="106"/>
      <c r="RI2714" s="106"/>
      <c r="RJ2714" s="106"/>
      <c r="RK2714" s="106"/>
      <c r="RL2714" s="106"/>
    </row>
    <row r="2715" spans="48:480" x14ac:dyDescent="0.3">
      <c r="AV2715" s="103"/>
      <c r="CJ2715" s="103"/>
      <c r="FP2715" s="103"/>
      <c r="LL2715" s="103"/>
      <c r="NM2715" s="103"/>
      <c r="QT2715" s="106"/>
      <c r="QU2715" s="106"/>
      <c r="QV2715" s="106"/>
      <c r="QW2715" s="106"/>
      <c r="QX2715" s="106"/>
      <c r="QY2715" s="106"/>
      <c r="QZ2715" s="106"/>
      <c r="RA2715" s="106"/>
      <c r="RB2715" s="106"/>
      <c r="RC2715" s="106"/>
      <c r="RD2715" s="106"/>
      <c r="RE2715" s="106"/>
      <c r="RF2715" s="106"/>
      <c r="RG2715" s="106"/>
      <c r="RH2715" s="106"/>
      <c r="RI2715" s="106"/>
      <c r="RJ2715" s="106"/>
      <c r="RK2715" s="106"/>
      <c r="RL2715" s="106"/>
    </row>
    <row r="2716" spans="48:480" x14ac:dyDescent="0.3">
      <c r="AV2716" s="103"/>
      <c r="CJ2716" s="103"/>
      <c r="FP2716" s="103"/>
      <c r="LL2716" s="103"/>
      <c r="NM2716" s="103"/>
      <c r="QT2716" s="106"/>
      <c r="QU2716" s="106"/>
      <c r="QV2716" s="106"/>
      <c r="QW2716" s="106"/>
      <c r="QX2716" s="106"/>
      <c r="QY2716" s="106"/>
      <c r="QZ2716" s="106"/>
      <c r="RA2716" s="106"/>
      <c r="RB2716" s="106"/>
      <c r="RC2716" s="106"/>
      <c r="RD2716" s="106"/>
      <c r="RE2716" s="106"/>
      <c r="RF2716" s="106"/>
      <c r="RG2716" s="106"/>
      <c r="RH2716" s="106"/>
      <c r="RI2716" s="106"/>
      <c r="RJ2716" s="106"/>
      <c r="RK2716" s="106"/>
      <c r="RL2716" s="106"/>
    </row>
    <row r="2717" spans="48:480" x14ac:dyDescent="0.3">
      <c r="AV2717" s="103"/>
      <c r="CJ2717" s="103"/>
      <c r="FP2717" s="103"/>
      <c r="LL2717" s="103"/>
      <c r="NM2717" s="103"/>
      <c r="QT2717" s="106"/>
      <c r="QU2717" s="106"/>
      <c r="QV2717" s="106"/>
      <c r="QW2717" s="106"/>
      <c r="QX2717" s="106"/>
      <c r="QY2717" s="106"/>
      <c r="QZ2717" s="106"/>
      <c r="RA2717" s="106"/>
      <c r="RB2717" s="106"/>
      <c r="RC2717" s="106"/>
      <c r="RD2717" s="106"/>
      <c r="RE2717" s="106"/>
      <c r="RF2717" s="106"/>
      <c r="RG2717" s="106"/>
      <c r="RH2717" s="106"/>
      <c r="RI2717" s="106"/>
      <c r="RJ2717" s="106"/>
      <c r="RK2717" s="106"/>
      <c r="RL2717" s="106"/>
    </row>
    <row r="2718" spans="48:480" x14ac:dyDescent="0.3">
      <c r="AV2718" s="103"/>
      <c r="CJ2718" s="103"/>
      <c r="FP2718" s="103"/>
      <c r="LL2718" s="103"/>
      <c r="NM2718" s="103"/>
      <c r="QT2718" s="106"/>
      <c r="QU2718" s="106"/>
      <c r="QV2718" s="106"/>
      <c r="QW2718" s="106"/>
      <c r="QX2718" s="106"/>
      <c r="QY2718" s="106"/>
      <c r="QZ2718" s="106"/>
      <c r="RA2718" s="106"/>
      <c r="RB2718" s="106"/>
      <c r="RC2718" s="106"/>
      <c r="RD2718" s="106"/>
      <c r="RE2718" s="106"/>
      <c r="RF2718" s="106"/>
      <c r="RG2718" s="106"/>
      <c r="RH2718" s="106"/>
      <c r="RI2718" s="106"/>
      <c r="RJ2718" s="106"/>
      <c r="RK2718" s="106"/>
      <c r="RL2718" s="106"/>
    </row>
    <row r="2719" spans="48:480" x14ac:dyDescent="0.3">
      <c r="AV2719" s="103"/>
      <c r="CJ2719" s="103"/>
      <c r="FP2719" s="103"/>
      <c r="LL2719" s="103"/>
      <c r="NM2719" s="103"/>
      <c r="QT2719" s="106"/>
      <c r="QU2719" s="106"/>
      <c r="QV2719" s="106"/>
      <c r="QW2719" s="106"/>
      <c r="QX2719" s="106"/>
      <c r="QY2719" s="106"/>
      <c r="QZ2719" s="106"/>
      <c r="RA2719" s="106"/>
      <c r="RB2719" s="106"/>
      <c r="RC2719" s="106"/>
      <c r="RD2719" s="106"/>
      <c r="RE2719" s="106"/>
      <c r="RF2719" s="106"/>
      <c r="RG2719" s="106"/>
      <c r="RH2719" s="106"/>
      <c r="RI2719" s="106"/>
      <c r="RJ2719" s="106"/>
      <c r="RK2719" s="106"/>
      <c r="RL2719" s="106"/>
    </row>
    <row r="2720" spans="48:480" x14ac:dyDescent="0.3">
      <c r="AV2720" s="103"/>
      <c r="CJ2720" s="103"/>
      <c r="FP2720" s="103"/>
      <c r="LL2720" s="103"/>
      <c r="NM2720" s="103"/>
      <c r="QT2720" s="106"/>
      <c r="QU2720" s="106"/>
      <c r="QV2720" s="106"/>
      <c r="QW2720" s="106"/>
      <c r="QX2720" s="106"/>
      <c r="QY2720" s="106"/>
      <c r="QZ2720" s="106"/>
      <c r="RA2720" s="106"/>
      <c r="RB2720" s="106"/>
      <c r="RC2720" s="106"/>
      <c r="RD2720" s="106"/>
      <c r="RE2720" s="106"/>
      <c r="RF2720" s="106"/>
      <c r="RG2720" s="106"/>
      <c r="RH2720" s="106"/>
      <c r="RI2720" s="106"/>
      <c r="RJ2720" s="106"/>
      <c r="RK2720" s="106"/>
      <c r="RL2720" s="106"/>
    </row>
    <row r="2721" spans="48:480" x14ac:dyDescent="0.3">
      <c r="AV2721" s="103"/>
      <c r="CJ2721" s="103"/>
      <c r="FP2721" s="103"/>
      <c r="LL2721" s="103"/>
      <c r="NM2721" s="103"/>
      <c r="QT2721" s="106"/>
      <c r="QU2721" s="106"/>
      <c r="QV2721" s="106"/>
      <c r="QW2721" s="106"/>
      <c r="QX2721" s="106"/>
      <c r="QY2721" s="106"/>
      <c r="QZ2721" s="106"/>
      <c r="RA2721" s="106"/>
      <c r="RB2721" s="106"/>
      <c r="RC2721" s="106"/>
      <c r="RD2721" s="106"/>
      <c r="RE2721" s="106"/>
      <c r="RF2721" s="106"/>
      <c r="RG2721" s="106"/>
      <c r="RH2721" s="106"/>
      <c r="RI2721" s="106"/>
      <c r="RJ2721" s="106"/>
      <c r="RK2721" s="106"/>
      <c r="RL2721" s="106"/>
    </row>
    <row r="2722" spans="48:480" x14ac:dyDescent="0.3">
      <c r="AV2722" s="103"/>
      <c r="CJ2722" s="103"/>
      <c r="FP2722" s="103"/>
      <c r="LL2722" s="103"/>
      <c r="NM2722" s="103"/>
      <c r="QT2722" s="106"/>
      <c r="QU2722" s="106"/>
      <c r="QV2722" s="106"/>
      <c r="QW2722" s="106"/>
      <c r="QX2722" s="106"/>
      <c r="QY2722" s="106"/>
      <c r="QZ2722" s="106"/>
      <c r="RA2722" s="106"/>
      <c r="RB2722" s="106"/>
      <c r="RC2722" s="106"/>
      <c r="RD2722" s="106"/>
      <c r="RE2722" s="106"/>
      <c r="RF2722" s="106"/>
      <c r="RG2722" s="106"/>
      <c r="RH2722" s="106"/>
      <c r="RI2722" s="106"/>
      <c r="RJ2722" s="106"/>
      <c r="RK2722" s="106"/>
      <c r="RL2722" s="106"/>
    </row>
    <row r="2723" spans="48:480" x14ac:dyDescent="0.3">
      <c r="AV2723" s="103"/>
      <c r="CJ2723" s="103"/>
      <c r="FP2723" s="103"/>
      <c r="LL2723" s="103"/>
      <c r="NM2723" s="103"/>
      <c r="QT2723" s="106"/>
      <c r="QU2723" s="106"/>
      <c r="QV2723" s="106"/>
      <c r="QW2723" s="106"/>
      <c r="QX2723" s="106"/>
      <c r="QY2723" s="106"/>
      <c r="QZ2723" s="106"/>
      <c r="RA2723" s="106"/>
      <c r="RB2723" s="106"/>
      <c r="RC2723" s="106"/>
      <c r="RD2723" s="106"/>
      <c r="RE2723" s="106"/>
      <c r="RF2723" s="106"/>
      <c r="RG2723" s="106"/>
      <c r="RH2723" s="106"/>
      <c r="RI2723" s="106"/>
      <c r="RJ2723" s="106"/>
      <c r="RK2723" s="106"/>
      <c r="RL2723" s="106"/>
    </row>
    <row r="2724" spans="48:480" x14ac:dyDescent="0.3">
      <c r="AV2724" s="103"/>
      <c r="CJ2724" s="103"/>
      <c r="FP2724" s="103"/>
      <c r="LL2724" s="103"/>
      <c r="NM2724" s="103"/>
      <c r="QT2724" s="106"/>
      <c r="QU2724" s="106"/>
      <c r="QV2724" s="106"/>
      <c r="QW2724" s="106"/>
      <c r="QX2724" s="106"/>
      <c r="QY2724" s="106"/>
      <c r="QZ2724" s="106"/>
      <c r="RA2724" s="106"/>
      <c r="RB2724" s="106"/>
      <c r="RC2724" s="106"/>
      <c r="RD2724" s="106"/>
      <c r="RE2724" s="106"/>
      <c r="RF2724" s="106"/>
      <c r="RG2724" s="106"/>
      <c r="RH2724" s="106"/>
      <c r="RI2724" s="106"/>
      <c r="RJ2724" s="106"/>
      <c r="RK2724" s="106"/>
      <c r="RL2724" s="106"/>
    </row>
    <row r="2725" spans="48:480" x14ac:dyDescent="0.3">
      <c r="AV2725" s="103"/>
      <c r="CJ2725" s="103"/>
      <c r="FP2725" s="103"/>
      <c r="LL2725" s="103"/>
      <c r="NM2725" s="103"/>
      <c r="QT2725" s="106"/>
      <c r="QU2725" s="106"/>
      <c r="QV2725" s="106"/>
      <c r="QW2725" s="106"/>
      <c r="QX2725" s="106"/>
      <c r="QY2725" s="106"/>
      <c r="QZ2725" s="106"/>
      <c r="RA2725" s="106"/>
      <c r="RB2725" s="106"/>
      <c r="RC2725" s="106"/>
      <c r="RD2725" s="106"/>
      <c r="RE2725" s="106"/>
      <c r="RF2725" s="106"/>
      <c r="RG2725" s="106"/>
      <c r="RH2725" s="106"/>
      <c r="RI2725" s="106"/>
      <c r="RJ2725" s="106"/>
      <c r="RK2725" s="106"/>
      <c r="RL2725" s="106"/>
    </row>
    <row r="2726" spans="48:480" x14ac:dyDescent="0.3">
      <c r="AV2726" s="103"/>
      <c r="CJ2726" s="103"/>
      <c r="FP2726" s="103"/>
      <c r="LL2726" s="103"/>
      <c r="NM2726" s="103"/>
      <c r="QT2726" s="106"/>
      <c r="QU2726" s="106"/>
      <c r="QV2726" s="106"/>
      <c r="QW2726" s="106"/>
      <c r="QX2726" s="106"/>
      <c r="QY2726" s="106"/>
      <c r="QZ2726" s="106"/>
      <c r="RA2726" s="106"/>
      <c r="RB2726" s="106"/>
      <c r="RC2726" s="106"/>
      <c r="RD2726" s="106"/>
      <c r="RE2726" s="106"/>
      <c r="RF2726" s="106"/>
      <c r="RG2726" s="106"/>
      <c r="RH2726" s="106"/>
      <c r="RI2726" s="106"/>
      <c r="RJ2726" s="106"/>
      <c r="RK2726" s="106"/>
      <c r="RL2726" s="106"/>
    </row>
    <row r="2727" spans="48:480" x14ac:dyDescent="0.3">
      <c r="AV2727" s="103"/>
      <c r="CJ2727" s="103"/>
      <c r="FP2727" s="103"/>
      <c r="LL2727" s="103"/>
      <c r="NM2727" s="103"/>
      <c r="QT2727" s="106"/>
      <c r="QU2727" s="106"/>
      <c r="QV2727" s="106"/>
      <c r="QW2727" s="106"/>
      <c r="QX2727" s="106"/>
      <c r="QY2727" s="106"/>
      <c r="QZ2727" s="106"/>
      <c r="RA2727" s="106"/>
      <c r="RB2727" s="106"/>
      <c r="RC2727" s="106"/>
      <c r="RD2727" s="106"/>
      <c r="RE2727" s="106"/>
      <c r="RF2727" s="106"/>
      <c r="RG2727" s="106"/>
      <c r="RH2727" s="106"/>
      <c r="RI2727" s="106"/>
      <c r="RJ2727" s="106"/>
      <c r="RK2727" s="106"/>
      <c r="RL2727" s="106"/>
    </row>
    <row r="2728" spans="48:480" x14ac:dyDescent="0.3">
      <c r="AV2728" s="103"/>
      <c r="CJ2728" s="103"/>
      <c r="FP2728" s="103"/>
      <c r="LL2728" s="103"/>
      <c r="NM2728" s="103"/>
      <c r="QT2728" s="106"/>
      <c r="QU2728" s="106"/>
      <c r="QV2728" s="106"/>
      <c r="QW2728" s="106"/>
      <c r="QX2728" s="106"/>
      <c r="QY2728" s="106"/>
      <c r="QZ2728" s="106"/>
      <c r="RA2728" s="106"/>
      <c r="RB2728" s="106"/>
      <c r="RC2728" s="106"/>
      <c r="RD2728" s="106"/>
      <c r="RE2728" s="106"/>
      <c r="RF2728" s="106"/>
      <c r="RG2728" s="106"/>
      <c r="RH2728" s="106"/>
      <c r="RI2728" s="106"/>
      <c r="RJ2728" s="106"/>
      <c r="RK2728" s="106"/>
      <c r="RL2728" s="106"/>
    </row>
    <row r="2729" spans="48:480" x14ac:dyDescent="0.3">
      <c r="AV2729" s="103"/>
      <c r="CJ2729" s="103"/>
      <c r="FP2729" s="103"/>
      <c r="LL2729" s="103"/>
      <c r="NM2729" s="103"/>
      <c r="QT2729" s="106"/>
      <c r="QU2729" s="106"/>
      <c r="QV2729" s="106"/>
      <c r="QW2729" s="106"/>
      <c r="QX2729" s="106"/>
      <c r="QY2729" s="106"/>
      <c r="QZ2729" s="106"/>
      <c r="RA2729" s="106"/>
      <c r="RB2729" s="106"/>
      <c r="RC2729" s="106"/>
      <c r="RD2729" s="106"/>
      <c r="RE2729" s="106"/>
      <c r="RF2729" s="106"/>
      <c r="RG2729" s="106"/>
      <c r="RH2729" s="106"/>
      <c r="RI2729" s="106"/>
      <c r="RJ2729" s="106"/>
      <c r="RK2729" s="106"/>
      <c r="RL2729" s="106"/>
    </row>
    <row r="2730" spans="48:480" x14ac:dyDescent="0.3">
      <c r="AV2730" s="103"/>
      <c r="CJ2730" s="103"/>
      <c r="FP2730" s="103"/>
      <c r="LL2730" s="103"/>
      <c r="NM2730" s="103"/>
      <c r="QT2730" s="106"/>
      <c r="QU2730" s="106"/>
      <c r="QV2730" s="106"/>
      <c r="QW2730" s="106"/>
      <c r="QX2730" s="106"/>
      <c r="QY2730" s="106"/>
      <c r="QZ2730" s="106"/>
      <c r="RA2730" s="106"/>
      <c r="RB2730" s="106"/>
      <c r="RC2730" s="106"/>
      <c r="RD2730" s="106"/>
      <c r="RE2730" s="106"/>
      <c r="RF2730" s="106"/>
      <c r="RG2730" s="106"/>
      <c r="RH2730" s="106"/>
      <c r="RI2730" s="106"/>
      <c r="RJ2730" s="106"/>
      <c r="RK2730" s="106"/>
      <c r="RL2730" s="106"/>
    </row>
    <row r="2731" spans="48:480" x14ac:dyDescent="0.3">
      <c r="AV2731" s="103"/>
      <c r="CJ2731" s="103"/>
      <c r="FP2731" s="103"/>
      <c r="LL2731" s="103"/>
      <c r="NM2731" s="103"/>
      <c r="QT2731" s="106"/>
      <c r="QU2731" s="106"/>
      <c r="QV2731" s="106"/>
      <c r="QW2731" s="106"/>
      <c r="QX2731" s="106"/>
      <c r="QY2731" s="106"/>
      <c r="QZ2731" s="106"/>
      <c r="RA2731" s="106"/>
      <c r="RB2731" s="106"/>
      <c r="RC2731" s="106"/>
      <c r="RD2731" s="106"/>
      <c r="RE2731" s="106"/>
      <c r="RF2731" s="106"/>
      <c r="RG2731" s="106"/>
      <c r="RH2731" s="106"/>
      <c r="RI2731" s="106"/>
      <c r="RJ2731" s="106"/>
      <c r="RK2731" s="106"/>
      <c r="RL2731" s="106"/>
    </row>
    <row r="2732" spans="48:480" x14ac:dyDescent="0.3">
      <c r="AV2732" s="103"/>
      <c r="CJ2732" s="103"/>
      <c r="FP2732" s="103"/>
      <c r="LL2732" s="103"/>
      <c r="NM2732" s="103"/>
      <c r="QT2732" s="106"/>
      <c r="QU2732" s="106"/>
      <c r="QV2732" s="106"/>
      <c r="QW2732" s="106"/>
      <c r="QX2732" s="106"/>
      <c r="QY2732" s="106"/>
      <c r="QZ2732" s="106"/>
      <c r="RA2732" s="106"/>
      <c r="RB2732" s="106"/>
      <c r="RC2732" s="106"/>
      <c r="RD2732" s="106"/>
      <c r="RE2732" s="106"/>
      <c r="RF2732" s="106"/>
      <c r="RG2732" s="106"/>
      <c r="RH2732" s="106"/>
      <c r="RI2732" s="106"/>
      <c r="RJ2732" s="106"/>
      <c r="RK2732" s="106"/>
      <c r="RL2732" s="106"/>
    </row>
    <row r="2733" spans="48:480" x14ac:dyDescent="0.3">
      <c r="AV2733" s="103"/>
      <c r="CJ2733" s="103"/>
      <c r="FP2733" s="103"/>
      <c r="LL2733" s="103"/>
      <c r="NM2733" s="103"/>
      <c r="QT2733" s="106"/>
      <c r="QU2733" s="106"/>
      <c r="QV2733" s="106"/>
      <c r="QW2733" s="106"/>
      <c r="QX2733" s="106"/>
      <c r="QY2733" s="106"/>
      <c r="QZ2733" s="106"/>
      <c r="RA2733" s="106"/>
      <c r="RB2733" s="106"/>
      <c r="RC2733" s="106"/>
      <c r="RD2733" s="106"/>
      <c r="RE2733" s="106"/>
      <c r="RF2733" s="106"/>
      <c r="RG2733" s="106"/>
      <c r="RH2733" s="106"/>
      <c r="RI2733" s="106"/>
      <c r="RJ2733" s="106"/>
      <c r="RK2733" s="106"/>
      <c r="RL2733" s="106"/>
    </row>
    <row r="2734" spans="48:480" x14ac:dyDescent="0.3">
      <c r="AV2734" s="103"/>
      <c r="CJ2734" s="103"/>
      <c r="FP2734" s="103"/>
      <c r="LL2734" s="103"/>
      <c r="NM2734" s="103"/>
      <c r="QT2734" s="106"/>
      <c r="QU2734" s="106"/>
      <c r="QV2734" s="106"/>
      <c r="QW2734" s="106"/>
      <c r="QX2734" s="106"/>
      <c r="QY2734" s="106"/>
      <c r="QZ2734" s="106"/>
      <c r="RA2734" s="106"/>
      <c r="RB2734" s="106"/>
      <c r="RC2734" s="106"/>
      <c r="RD2734" s="106"/>
      <c r="RE2734" s="106"/>
      <c r="RF2734" s="106"/>
      <c r="RG2734" s="106"/>
      <c r="RH2734" s="106"/>
      <c r="RI2734" s="106"/>
      <c r="RJ2734" s="106"/>
      <c r="RK2734" s="106"/>
      <c r="RL2734" s="106"/>
    </row>
    <row r="2735" spans="48:480" x14ac:dyDescent="0.3">
      <c r="AV2735" s="103"/>
      <c r="CJ2735" s="103"/>
      <c r="FP2735" s="103"/>
      <c r="LL2735" s="103"/>
      <c r="NM2735" s="103"/>
      <c r="QT2735" s="106"/>
      <c r="QU2735" s="106"/>
      <c r="QV2735" s="106"/>
      <c r="QW2735" s="106"/>
      <c r="QX2735" s="106"/>
      <c r="QY2735" s="106"/>
      <c r="QZ2735" s="106"/>
      <c r="RA2735" s="106"/>
      <c r="RB2735" s="106"/>
      <c r="RC2735" s="106"/>
      <c r="RD2735" s="106"/>
      <c r="RE2735" s="106"/>
      <c r="RF2735" s="106"/>
      <c r="RG2735" s="106"/>
      <c r="RH2735" s="106"/>
      <c r="RI2735" s="106"/>
      <c r="RJ2735" s="106"/>
      <c r="RK2735" s="106"/>
      <c r="RL2735" s="106"/>
    </row>
    <row r="2736" spans="48:480" x14ac:dyDescent="0.3">
      <c r="AV2736" s="103"/>
      <c r="CJ2736" s="103"/>
      <c r="FP2736" s="103"/>
      <c r="LL2736" s="103"/>
      <c r="NM2736" s="103"/>
      <c r="QT2736" s="106"/>
      <c r="QU2736" s="106"/>
      <c r="QV2736" s="106"/>
      <c r="QW2736" s="106"/>
      <c r="QX2736" s="106"/>
      <c r="QY2736" s="106"/>
      <c r="QZ2736" s="106"/>
      <c r="RA2736" s="106"/>
      <c r="RB2736" s="106"/>
      <c r="RC2736" s="106"/>
      <c r="RD2736" s="106"/>
      <c r="RE2736" s="106"/>
      <c r="RF2736" s="106"/>
      <c r="RG2736" s="106"/>
      <c r="RH2736" s="106"/>
      <c r="RI2736" s="106"/>
      <c r="RJ2736" s="106"/>
      <c r="RK2736" s="106"/>
      <c r="RL2736" s="106"/>
    </row>
    <row r="2737" spans="48:480" x14ac:dyDescent="0.3">
      <c r="AV2737" s="103"/>
      <c r="CJ2737" s="103"/>
      <c r="FP2737" s="103"/>
      <c r="LL2737" s="103"/>
      <c r="NM2737" s="103"/>
      <c r="QT2737" s="106"/>
      <c r="QU2737" s="106"/>
      <c r="QV2737" s="106"/>
      <c r="QW2737" s="106"/>
      <c r="QX2737" s="106"/>
      <c r="QY2737" s="106"/>
      <c r="QZ2737" s="106"/>
      <c r="RA2737" s="106"/>
      <c r="RB2737" s="106"/>
      <c r="RC2737" s="106"/>
      <c r="RD2737" s="106"/>
      <c r="RE2737" s="106"/>
      <c r="RF2737" s="106"/>
      <c r="RG2737" s="106"/>
      <c r="RH2737" s="106"/>
      <c r="RI2737" s="106"/>
      <c r="RJ2737" s="106"/>
      <c r="RK2737" s="106"/>
      <c r="RL2737" s="106"/>
    </row>
    <row r="2738" spans="48:480" x14ac:dyDescent="0.3">
      <c r="AV2738" s="103"/>
      <c r="CJ2738" s="103"/>
      <c r="FP2738" s="103"/>
      <c r="LL2738" s="103"/>
      <c r="NM2738" s="103"/>
      <c r="QT2738" s="106"/>
      <c r="QU2738" s="106"/>
      <c r="QV2738" s="106"/>
      <c r="QW2738" s="106"/>
      <c r="QX2738" s="106"/>
      <c r="QY2738" s="106"/>
      <c r="QZ2738" s="106"/>
      <c r="RA2738" s="106"/>
      <c r="RB2738" s="106"/>
      <c r="RC2738" s="106"/>
      <c r="RD2738" s="106"/>
      <c r="RE2738" s="106"/>
      <c r="RF2738" s="106"/>
      <c r="RG2738" s="106"/>
      <c r="RH2738" s="106"/>
      <c r="RI2738" s="106"/>
      <c r="RJ2738" s="106"/>
      <c r="RK2738" s="106"/>
      <c r="RL2738" s="106"/>
    </row>
    <row r="2739" spans="48:480" x14ac:dyDescent="0.3">
      <c r="AV2739" s="103"/>
      <c r="CJ2739" s="103"/>
      <c r="FP2739" s="103"/>
      <c r="LL2739" s="103"/>
      <c r="NM2739" s="103"/>
      <c r="QT2739" s="106"/>
      <c r="QU2739" s="106"/>
      <c r="QV2739" s="106"/>
      <c r="QW2739" s="106"/>
      <c r="QX2739" s="106"/>
      <c r="QY2739" s="106"/>
      <c r="QZ2739" s="106"/>
      <c r="RA2739" s="106"/>
      <c r="RB2739" s="106"/>
      <c r="RC2739" s="106"/>
      <c r="RD2739" s="106"/>
      <c r="RE2739" s="106"/>
      <c r="RF2739" s="106"/>
      <c r="RG2739" s="106"/>
      <c r="RH2739" s="106"/>
      <c r="RI2739" s="106"/>
      <c r="RJ2739" s="106"/>
      <c r="RK2739" s="106"/>
      <c r="RL2739" s="106"/>
    </row>
    <row r="2740" spans="48:480" x14ac:dyDescent="0.3">
      <c r="AV2740" s="103"/>
      <c r="CJ2740" s="103"/>
      <c r="FP2740" s="103"/>
      <c r="LL2740" s="103"/>
      <c r="NM2740" s="103"/>
      <c r="QT2740" s="106"/>
      <c r="QU2740" s="106"/>
      <c r="QV2740" s="106"/>
      <c r="QW2740" s="106"/>
      <c r="QX2740" s="106"/>
      <c r="QY2740" s="106"/>
      <c r="QZ2740" s="106"/>
      <c r="RA2740" s="106"/>
      <c r="RB2740" s="106"/>
      <c r="RC2740" s="106"/>
      <c r="RD2740" s="106"/>
      <c r="RE2740" s="106"/>
      <c r="RF2740" s="106"/>
      <c r="RG2740" s="106"/>
      <c r="RH2740" s="106"/>
      <c r="RI2740" s="106"/>
      <c r="RJ2740" s="106"/>
      <c r="RK2740" s="106"/>
      <c r="RL2740" s="106"/>
    </row>
    <row r="2741" spans="48:480" x14ac:dyDescent="0.3">
      <c r="AV2741" s="103"/>
      <c r="CJ2741" s="103"/>
      <c r="FP2741" s="103"/>
      <c r="LL2741" s="103"/>
      <c r="NM2741" s="103"/>
      <c r="QT2741" s="106"/>
      <c r="QU2741" s="106"/>
      <c r="QV2741" s="106"/>
      <c r="QW2741" s="106"/>
      <c r="QX2741" s="106"/>
      <c r="QY2741" s="106"/>
      <c r="QZ2741" s="106"/>
      <c r="RA2741" s="106"/>
      <c r="RB2741" s="106"/>
      <c r="RC2741" s="106"/>
      <c r="RD2741" s="106"/>
      <c r="RE2741" s="106"/>
      <c r="RF2741" s="106"/>
      <c r="RG2741" s="106"/>
      <c r="RH2741" s="106"/>
      <c r="RI2741" s="106"/>
      <c r="RJ2741" s="106"/>
      <c r="RK2741" s="106"/>
      <c r="RL2741" s="106"/>
    </row>
    <row r="2742" spans="48:480" x14ac:dyDescent="0.3">
      <c r="AV2742" s="103"/>
      <c r="CJ2742" s="103"/>
      <c r="FP2742" s="103"/>
      <c r="LL2742" s="103"/>
      <c r="NM2742" s="103"/>
      <c r="QT2742" s="106"/>
      <c r="QU2742" s="106"/>
      <c r="QV2742" s="106"/>
      <c r="QW2742" s="106"/>
      <c r="QX2742" s="106"/>
      <c r="QY2742" s="106"/>
      <c r="QZ2742" s="106"/>
      <c r="RA2742" s="106"/>
      <c r="RB2742" s="106"/>
      <c r="RC2742" s="106"/>
      <c r="RD2742" s="106"/>
      <c r="RE2742" s="106"/>
      <c r="RF2742" s="106"/>
      <c r="RG2742" s="106"/>
      <c r="RH2742" s="106"/>
      <c r="RI2742" s="106"/>
      <c r="RJ2742" s="106"/>
      <c r="RK2742" s="106"/>
      <c r="RL2742" s="106"/>
    </row>
    <row r="2743" spans="48:480" x14ac:dyDescent="0.3">
      <c r="AV2743" s="103"/>
      <c r="CJ2743" s="103"/>
      <c r="FP2743" s="103"/>
      <c r="LL2743" s="103"/>
      <c r="NM2743" s="103"/>
      <c r="QT2743" s="106"/>
      <c r="QU2743" s="106"/>
      <c r="QV2743" s="106"/>
      <c r="QW2743" s="106"/>
      <c r="QX2743" s="106"/>
      <c r="QY2743" s="106"/>
      <c r="QZ2743" s="106"/>
      <c r="RA2743" s="106"/>
      <c r="RB2743" s="106"/>
      <c r="RC2743" s="106"/>
      <c r="RD2743" s="106"/>
      <c r="RE2743" s="106"/>
      <c r="RF2743" s="106"/>
      <c r="RG2743" s="106"/>
      <c r="RH2743" s="106"/>
      <c r="RI2743" s="106"/>
      <c r="RJ2743" s="106"/>
      <c r="RK2743" s="106"/>
      <c r="RL2743" s="106"/>
    </row>
    <row r="2744" spans="48:480" x14ac:dyDescent="0.3">
      <c r="AV2744" s="103"/>
      <c r="CJ2744" s="103"/>
      <c r="FP2744" s="103"/>
      <c r="LL2744" s="103"/>
      <c r="NM2744" s="103"/>
      <c r="QT2744" s="106"/>
      <c r="QU2744" s="106"/>
      <c r="QV2744" s="106"/>
      <c r="QW2744" s="106"/>
      <c r="QX2744" s="106"/>
      <c r="QY2744" s="106"/>
      <c r="QZ2744" s="106"/>
      <c r="RA2744" s="106"/>
      <c r="RB2744" s="106"/>
      <c r="RC2744" s="106"/>
      <c r="RD2744" s="106"/>
      <c r="RE2744" s="106"/>
      <c r="RF2744" s="106"/>
      <c r="RG2744" s="106"/>
      <c r="RH2744" s="106"/>
      <c r="RI2744" s="106"/>
      <c r="RJ2744" s="106"/>
      <c r="RK2744" s="106"/>
      <c r="RL2744" s="106"/>
    </row>
    <row r="2745" spans="48:480" x14ac:dyDescent="0.3">
      <c r="AV2745" s="103"/>
      <c r="CJ2745" s="103"/>
      <c r="FP2745" s="103"/>
      <c r="LL2745" s="103"/>
      <c r="NM2745" s="103"/>
      <c r="QT2745" s="106"/>
      <c r="QU2745" s="106"/>
      <c r="QV2745" s="106"/>
      <c r="QW2745" s="106"/>
      <c r="QX2745" s="106"/>
      <c r="QY2745" s="106"/>
      <c r="QZ2745" s="106"/>
      <c r="RA2745" s="106"/>
      <c r="RB2745" s="106"/>
      <c r="RC2745" s="106"/>
      <c r="RD2745" s="106"/>
      <c r="RE2745" s="106"/>
      <c r="RF2745" s="106"/>
      <c r="RG2745" s="106"/>
      <c r="RH2745" s="106"/>
      <c r="RI2745" s="106"/>
      <c r="RJ2745" s="106"/>
      <c r="RK2745" s="106"/>
      <c r="RL2745" s="106"/>
    </row>
    <row r="2746" spans="48:480" x14ac:dyDescent="0.3">
      <c r="AV2746" s="103"/>
      <c r="CJ2746" s="103"/>
      <c r="FP2746" s="103"/>
      <c r="LL2746" s="103"/>
      <c r="NM2746" s="103"/>
      <c r="QT2746" s="106"/>
      <c r="QU2746" s="106"/>
      <c r="QV2746" s="106"/>
      <c r="QW2746" s="106"/>
      <c r="QX2746" s="106"/>
      <c r="QY2746" s="106"/>
      <c r="QZ2746" s="106"/>
      <c r="RA2746" s="106"/>
      <c r="RB2746" s="106"/>
      <c r="RC2746" s="106"/>
      <c r="RD2746" s="106"/>
      <c r="RE2746" s="106"/>
      <c r="RF2746" s="106"/>
      <c r="RG2746" s="106"/>
      <c r="RH2746" s="106"/>
      <c r="RI2746" s="106"/>
      <c r="RJ2746" s="106"/>
      <c r="RK2746" s="106"/>
      <c r="RL2746" s="106"/>
    </row>
    <row r="2747" spans="48:480" x14ac:dyDescent="0.3">
      <c r="AV2747" s="103"/>
      <c r="CJ2747" s="103"/>
      <c r="FP2747" s="103"/>
      <c r="LL2747" s="103"/>
      <c r="NM2747" s="103"/>
      <c r="QT2747" s="106"/>
      <c r="QU2747" s="106"/>
      <c r="QV2747" s="106"/>
      <c r="QW2747" s="106"/>
      <c r="QX2747" s="106"/>
      <c r="QY2747" s="106"/>
      <c r="QZ2747" s="106"/>
      <c r="RA2747" s="106"/>
      <c r="RB2747" s="106"/>
      <c r="RC2747" s="106"/>
      <c r="RD2747" s="106"/>
      <c r="RE2747" s="106"/>
      <c r="RF2747" s="106"/>
      <c r="RG2747" s="106"/>
      <c r="RH2747" s="106"/>
      <c r="RI2747" s="106"/>
      <c r="RJ2747" s="106"/>
      <c r="RK2747" s="106"/>
      <c r="RL2747" s="106"/>
    </row>
    <row r="2748" spans="48:480" x14ac:dyDescent="0.3">
      <c r="AV2748" s="103"/>
      <c r="CJ2748" s="103"/>
      <c r="FP2748" s="103"/>
      <c r="LL2748" s="103"/>
      <c r="NM2748" s="103"/>
      <c r="QT2748" s="106"/>
      <c r="QU2748" s="106"/>
      <c r="QV2748" s="106"/>
      <c r="QW2748" s="106"/>
      <c r="QX2748" s="106"/>
      <c r="QY2748" s="106"/>
      <c r="QZ2748" s="106"/>
      <c r="RA2748" s="106"/>
      <c r="RB2748" s="106"/>
      <c r="RC2748" s="106"/>
      <c r="RD2748" s="106"/>
      <c r="RE2748" s="106"/>
      <c r="RF2748" s="106"/>
      <c r="RG2748" s="106"/>
      <c r="RH2748" s="106"/>
      <c r="RI2748" s="106"/>
      <c r="RJ2748" s="106"/>
      <c r="RK2748" s="106"/>
      <c r="RL2748" s="106"/>
    </row>
    <row r="2749" spans="48:480" x14ac:dyDescent="0.3">
      <c r="AV2749" s="103"/>
      <c r="CJ2749" s="103"/>
      <c r="FP2749" s="103"/>
      <c r="LL2749" s="103"/>
      <c r="NM2749" s="103"/>
      <c r="QT2749" s="106"/>
      <c r="QU2749" s="106"/>
      <c r="QV2749" s="106"/>
      <c r="QW2749" s="106"/>
      <c r="QX2749" s="106"/>
      <c r="QY2749" s="106"/>
      <c r="QZ2749" s="106"/>
      <c r="RA2749" s="106"/>
      <c r="RB2749" s="106"/>
      <c r="RC2749" s="106"/>
      <c r="RD2749" s="106"/>
      <c r="RE2749" s="106"/>
      <c r="RF2749" s="106"/>
      <c r="RG2749" s="106"/>
      <c r="RH2749" s="106"/>
      <c r="RI2749" s="106"/>
      <c r="RJ2749" s="106"/>
      <c r="RK2749" s="106"/>
      <c r="RL2749" s="106"/>
    </row>
    <row r="2750" spans="48:480" x14ac:dyDescent="0.3">
      <c r="AV2750" s="103"/>
      <c r="CJ2750" s="103"/>
      <c r="FP2750" s="103"/>
      <c r="LL2750" s="103"/>
      <c r="NM2750" s="103"/>
      <c r="QT2750" s="106"/>
      <c r="QU2750" s="106"/>
      <c r="QV2750" s="106"/>
      <c r="QW2750" s="106"/>
      <c r="QX2750" s="106"/>
      <c r="QY2750" s="106"/>
      <c r="QZ2750" s="106"/>
      <c r="RA2750" s="106"/>
      <c r="RB2750" s="106"/>
      <c r="RC2750" s="106"/>
      <c r="RD2750" s="106"/>
      <c r="RE2750" s="106"/>
      <c r="RF2750" s="106"/>
      <c r="RG2750" s="106"/>
      <c r="RH2750" s="106"/>
      <c r="RI2750" s="106"/>
      <c r="RJ2750" s="106"/>
      <c r="RK2750" s="106"/>
      <c r="RL2750" s="106"/>
    </row>
    <row r="2751" spans="48:480" x14ac:dyDescent="0.3">
      <c r="AV2751" s="103"/>
      <c r="CJ2751" s="103"/>
      <c r="FP2751" s="103"/>
      <c r="LL2751" s="103"/>
      <c r="NM2751" s="103"/>
      <c r="QT2751" s="106"/>
      <c r="QU2751" s="106"/>
      <c r="QV2751" s="106"/>
      <c r="QW2751" s="106"/>
      <c r="QX2751" s="106"/>
      <c r="QY2751" s="106"/>
      <c r="QZ2751" s="106"/>
      <c r="RA2751" s="106"/>
      <c r="RB2751" s="106"/>
      <c r="RC2751" s="106"/>
      <c r="RD2751" s="106"/>
      <c r="RE2751" s="106"/>
      <c r="RF2751" s="106"/>
      <c r="RG2751" s="106"/>
      <c r="RH2751" s="106"/>
      <c r="RI2751" s="106"/>
      <c r="RJ2751" s="106"/>
      <c r="RK2751" s="106"/>
      <c r="RL2751" s="106"/>
    </row>
    <row r="2752" spans="48:480" x14ac:dyDescent="0.3">
      <c r="AV2752" s="103"/>
      <c r="CJ2752" s="103"/>
      <c r="FP2752" s="103"/>
      <c r="LL2752" s="103"/>
      <c r="NM2752" s="103"/>
      <c r="QT2752" s="106"/>
      <c r="QU2752" s="106"/>
      <c r="QV2752" s="106"/>
      <c r="QW2752" s="106"/>
      <c r="QX2752" s="106"/>
      <c r="QY2752" s="106"/>
      <c r="QZ2752" s="106"/>
      <c r="RA2752" s="106"/>
      <c r="RB2752" s="106"/>
      <c r="RC2752" s="106"/>
      <c r="RD2752" s="106"/>
      <c r="RE2752" s="106"/>
      <c r="RF2752" s="106"/>
      <c r="RG2752" s="106"/>
      <c r="RH2752" s="106"/>
      <c r="RI2752" s="106"/>
      <c r="RJ2752" s="106"/>
      <c r="RK2752" s="106"/>
      <c r="RL2752" s="106"/>
    </row>
    <row r="2753" spans="48:480" x14ac:dyDescent="0.3">
      <c r="AV2753" s="103"/>
      <c r="CJ2753" s="103"/>
      <c r="FP2753" s="103"/>
      <c r="LL2753" s="103"/>
      <c r="NM2753" s="103"/>
      <c r="QT2753" s="106"/>
      <c r="QU2753" s="106"/>
      <c r="QV2753" s="106"/>
      <c r="QW2753" s="106"/>
      <c r="QX2753" s="106"/>
      <c r="QY2753" s="106"/>
      <c r="QZ2753" s="106"/>
      <c r="RA2753" s="106"/>
      <c r="RB2753" s="106"/>
      <c r="RC2753" s="106"/>
      <c r="RD2753" s="106"/>
      <c r="RE2753" s="106"/>
      <c r="RF2753" s="106"/>
      <c r="RG2753" s="106"/>
      <c r="RH2753" s="106"/>
      <c r="RI2753" s="106"/>
      <c r="RJ2753" s="106"/>
      <c r="RK2753" s="106"/>
      <c r="RL2753" s="106"/>
    </row>
    <row r="2754" spans="48:480" x14ac:dyDescent="0.3">
      <c r="AV2754" s="103"/>
      <c r="CJ2754" s="103"/>
      <c r="FP2754" s="103"/>
      <c r="LL2754" s="103"/>
      <c r="NM2754" s="103"/>
      <c r="QT2754" s="106"/>
      <c r="QU2754" s="106"/>
      <c r="QV2754" s="106"/>
      <c r="QW2754" s="106"/>
      <c r="QX2754" s="106"/>
      <c r="QY2754" s="106"/>
      <c r="QZ2754" s="106"/>
      <c r="RA2754" s="106"/>
      <c r="RB2754" s="106"/>
      <c r="RC2754" s="106"/>
      <c r="RD2754" s="106"/>
      <c r="RE2754" s="106"/>
      <c r="RF2754" s="106"/>
      <c r="RG2754" s="106"/>
      <c r="RH2754" s="106"/>
      <c r="RI2754" s="106"/>
      <c r="RJ2754" s="106"/>
      <c r="RK2754" s="106"/>
      <c r="RL2754" s="106"/>
    </row>
    <row r="2755" spans="48:480" x14ac:dyDescent="0.3">
      <c r="AV2755" s="103"/>
      <c r="CJ2755" s="103"/>
      <c r="FP2755" s="103"/>
      <c r="LL2755" s="103"/>
      <c r="NM2755" s="103"/>
      <c r="QT2755" s="106"/>
      <c r="QU2755" s="106"/>
      <c r="QV2755" s="106"/>
      <c r="QW2755" s="106"/>
      <c r="QX2755" s="106"/>
      <c r="QY2755" s="106"/>
      <c r="QZ2755" s="106"/>
      <c r="RA2755" s="106"/>
      <c r="RB2755" s="106"/>
      <c r="RC2755" s="106"/>
      <c r="RD2755" s="106"/>
      <c r="RE2755" s="106"/>
      <c r="RF2755" s="106"/>
      <c r="RG2755" s="106"/>
      <c r="RH2755" s="106"/>
      <c r="RI2755" s="106"/>
      <c r="RJ2755" s="106"/>
      <c r="RK2755" s="106"/>
      <c r="RL2755" s="106"/>
    </row>
    <row r="2756" spans="48:480" x14ac:dyDescent="0.3">
      <c r="AV2756" s="103"/>
      <c r="CJ2756" s="103"/>
      <c r="FP2756" s="103"/>
      <c r="LL2756" s="103"/>
      <c r="NM2756" s="103"/>
      <c r="QT2756" s="106"/>
      <c r="QU2756" s="106"/>
      <c r="QV2756" s="106"/>
      <c r="QW2756" s="106"/>
      <c r="QX2756" s="106"/>
      <c r="QY2756" s="106"/>
      <c r="QZ2756" s="106"/>
      <c r="RA2756" s="106"/>
      <c r="RB2756" s="106"/>
      <c r="RC2756" s="106"/>
      <c r="RD2756" s="106"/>
      <c r="RE2756" s="106"/>
      <c r="RF2756" s="106"/>
      <c r="RG2756" s="106"/>
      <c r="RH2756" s="106"/>
      <c r="RI2756" s="106"/>
      <c r="RJ2756" s="106"/>
      <c r="RK2756" s="106"/>
      <c r="RL2756" s="106"/>
    </row>
    <row r="2757" spans="48:480" x14ac:dyDescent="0.3">
      <c r="AV2757" s="103"/>
      <c r="CJ2757" s="103"/>
      <c r="FP2757" s="103"/>
      <c r="LL2757" s="103"/>
      <c r="NM2757" s="103"/>
      <c r="QT2757" s="106"/>
      <c r="QU2757" s="106"/>
      <c r="QV2757" s="106"/>
      <c r="QW2757" s="106"/>
      <c r="QX2757" s="106"/>
      <c r="QY2757" s="106"/>
      <c r="QZ2757" s="106"/>
      <c r="RA2757" s="106"/>
      <c r="RB2757" s="106"/>
      <c r="RC2757" s="106"/>
      <c r="RD2757" s="106"/>
      <c r="RE2757" s="106"/>
      <c r="RF2757" s="106"/>
      <c r="RG2757" s="106"/>
      <c r="RH2757" s="106"/>
      <c r="RI2757" s="106"/>
      <c r="RJ2757" s="106"/>
      <c r="RK2757" s="106"/>
      <c r="RL2757" s="106"/>
    </row>
    <row r="2758" spans="48:480" x14ac:dyDescent="0.3">
      <c r="AV2758" s="103"/>
      <c r="CJ2758" s="103"/>
      <c r="FP2758" s="103"/>
      <c r="LL2758" s="103"/>
      <c r="NM2758" s="103"/>
      <c r="QT2758" s="106"/>
      <c r="QU2758" s="106"/>
      <c r="QV2758" s="106"/>
      <c r="QW2758" s="106"/>
      <c r="QX2758" s="106"/>
      <c r="QY2758" s="106"/>
      <c r="QZ2758" s="106"/>
      <c r="RA2758" s="106"/>
      <c r="RB2758" s="106"/>
      <c r="RC2758" s="106"/>
      <c r="RD2758" s="106"/>
      <c r="RE2758" s="106"/>
      <c r="RF2758" s="106"/>
      <c r="RG2758" s="106"/>
      <c r="RH2758" s="106"/>
      <c r="RI2758" s="106"/>
      <c r="RJ2758" s="106"/>
      <c r="RK2758" s="106"/>
      <c r="RL2758" s="106"/>
    </row>
    <row r="2759" spans="48:480" x14ac:dyDescent="0.3">
      <c r="AV2759" s="103"/>
      <c r="CJ2759" s="103"/>
      <c r="FP2759" s="103"/>
      <c r="LL2759" s="103"/>
      <c r="NM2759" s="103"/>
      <c r="QT2759" s="106"/>
      <c r="QU2759" s="106"/>
      <c r="QV2759" s="106"/>
      <c r="QW2759" s="106"/>
      <c r="QX2759" s="106"/>
      <c r="QY2759" s="106"/>
      <c r="QZ2759" s="106"/>
      <c r="RA2759" s="106"/>
      <c r="RB2759" s="106"/>
      <c r="RC2759" s="106"/>
      <c r="RD2759" s="106"/>
      <c r="RE2759" s="106"/>
      <c r="RF2759" s="106"/>
      <c r="RG2759" s="106"/>
      <c r="RH2759" s="106"/>
      <c r="RI2759" s="106"/>
      <c r="RJ2759" s="106"/>
      <c r="RK2759" s="106"/>
      <c r="RL2759" s="106"/>
    </row>
    <row r="2760" spans="48:480" x14ac:dyDescent="0.3">
      <c r="AV2760" s="103"/>
      <c r="CJ2760" s="103"/>
      <c r="FP2760" s="103"/>
      <c r="LL2760" s="103"/>
      <c r="NM2760" s="103"/>
      <c r="QT2760" s="106"/>
      <c r="QU2760" s="106"/>
      <c r="QV2760" s="106"/>
      <c r="QW2760" s="106"/>
      <c r="QX2760" s="106"/>
      <c r="QY2760" s="106"/>
      <c r="QZ2760" s="106"/>
      <c r="RA2760" s="106"/>
      <c r="RB2760" s="106"/>
      <c r="RC2760" s="106"/>
      <c r="RD2760" s="106"/>
      <c r="RE2760" s="106"/>
      <c r="RF2760" s="106"/>
      <c r="RG2760" s="106"/>
      <c r="RH2760" s="106"/>
      <c r="RI2760" s="106"/>
      <c r="RJ2760" s="106"/>
      <c r="RK2760" s="106"/>
      <c r="RL2760" s="106"/>
    </row>
    <row r="2761" spans="48:480" x14ac:dyDescent="0.3">
      <c r="AV2761" s="103"/>
      <c r="CJ2761" s="103"/>
      <c r="FP2761" s="103"/>
      <c r="LL2761" s="103"/>
      <c r="NM2761" s="103"/>
      <c r="QT2761" s="106"/>
      <c r="QU2761" s="106"/>
      <c r="QV2761" s="106"/>
      <c r="QW2761" s="106"/>
      <c r="QX2761" s="106"/>
      <c r="QY2761" s="106"/>
      <c r="QZ2761" s="106"/>
      <c r="RA2761" s="106"/>
      <c r="RB2761" s="106"/>
      <c r="RC2761" s="106"/>
      <c r="RD2761" s="106"/>
      <c r="RE2761" s="106"/>
      <c r="RF2761" s="106"/>
      <c r="RG2761" s="106"/>
      <c r="RH2761" s="106"/>
      <c r="RI2761" s="106"/>
      <c r="RJ2761" s="106"/>
      <c r="RK2761" s="106"/>
      <c r="RL2761" s="106"/>
    </row>
    <row r="2762" spans="48:480" x14ac:dyDescent="0.3">
      <c r="AV2762" s="103"/>
      <c r="CJ2762" s="103"/>
      <c r="FP2762" s="103"/>
      <c r="LL2762" s="103"/>
      <c r="NM2762" s="103"/>
      <c r="QT2762" s="106"/>
      <c r="QU2762" s="106"/>
      <c r="QV2762" s="106"/>
      <c r="QW2762" s="106"/>
      <c r="QX2762" s="106"/>
      <c r="QY2762" s="106"/>
      <c r="QZ2762" s="106"/>
      <c r="RA2762" s="106"/>
      <c r="RB2762" s="106"/>
      <c r="RC2762" s="106"/>
      <c r="RD2762" s="106"/>
      <c r="RE2762" s="106"/>
      <c r="RF2762" s="106"/>
      <c r="RG2762" s="106"/>
      <c r="RH2762" s="106"/>
      <c r="RI2762" s="106"/>
      <c r="RJ2762" s="106"/>
      <c r="RK2762" s="106"/>
      <c r="RL2762" s="106"/>
    </row>
    <row r="2763" spans="48:480" x14ac:dyDescent="0.3">
      <c r="CJ2763" s="103"/>
      <c r="FP2763" s="103"/>
      <c r="LL2763" s="103"/>
      <c r="NM2763" s="103"/>
      <c r="QT2763" s="106"/>
      <c r="QU2763" s="106"/>
      <c r="QV2763" s="106"/>
      <c r="QW2763" s="106"/>
      <c r="QX2763" s="106"/>
      <c r="QY2763" s="106"/>
      <c r="QZ2763" s="106"/>
      <c r="RA2763" s="106"/>
      <c r="RB2763" s="106"/>
      <c r="RC2763" s="106"/>
      <c r="RD2763" s="106"/>
      <c r="RE2763" s="106"/>
      <c r="RF2763" s="106"/>
      <c r="RG2763" s="106"/>
      <c r="RH2763" s="106"/>
      <c r="RI2763" s="106"/>
      <c r="RJ2763" s="106"/>
      <c r="RK2763" s="106"/>
      <c r="RL2763" s="106"/>
    </row>
    <row r="2764" spans="48:480" x14ac:dyDescent="0.3">
      <c r="CJ2764" s="103"/>
      <c r="FP2764" s="103"/>
      <c r="LL2764" s="103"/>
      <c r="NM2764" s="103"/>
      <c r="QT2764" s="106"/>
      <c r="QU2764" s="106"/>
      <c r="QV2764" s="106"/>
      <c r="QW2764" s="106"/>
      <c r="QX2764" s="106"/>
      <c r="QY2764" s="106"/>
      <c r="QZ2764" s="106"/>
      <c r="RA2764" s="106"/>
      <c r="RB2764" s="106"/>
      <c r="RC2764" s="106"/>
      <c r="RD2764" s="106"/>
      <c r="RE2764" s="106"/>
      <c r="RF2764" s="106"/>
      <c r="RG2764" s="106"/>
      <c r="RH2764" s="106"/>
      <c r="RI2764" s="106"/>
      <c r="RJ2764" s="106"/>
      <c r="RK2764" s="106"/>
      <c r="RL2764" s="106"/>
    </row>
    <row r="2765" spans="48:480" x14ac:dyDescent="0.3">
      <c r="CJ2765" s="103"/>
      <c r="FP2765" s="103"/>
      <c r="LL2765" s="103"/>
      <c r="NM2765" s="103"/>
      <c r="QT2765" s="106"/>
      <c r="QU2765" s="106"/>
      <c r="QV2765" s="106"/>
      <c r="QW2765" s="106"/>
      <c r="QX2765" s="106"/>
      <c r="QY2765" s="106"/>
      <c r="QZ2765" s="106"/>
      <c r="RA2765" s="106"/>
      <c r="RB2765" s="106"/>
      <c r="RC2765" s="106"/>
      <c r="RD2765" s="106"/>
      <c r="RE2765" s="106"/>
      <c r="RF2765" s="106"/>
      <c r="RG2765" s="106"/>
      <c r="RH2765" s="106"/>
      <c r="RI2765" s="106"/>
      <c r="RJ2765" s="106"/>
      <c r="RK2765" s="106"/>
      <c r="RL2765" s="106"/>
    </row>
    <row r="2766" spans="48:480" x14ac:dyDescent="0.3">
      <c r="CJ2766" s="103"/>
      <c r="FP2766" s="103"/>
      <c r="LL2766" s="103"/>
      <c r="NM2766" s="103"/>
      <c r="QT2766" s="106"/>
      <c r="QU2766" s="106"/>
      <c r="QV2766" s="106"/>
      <c r="QW2766" s="106"/>
      <c r="QX2766" s="106"/>
      <c r="QY2766" s="106"/>
      <c r="QZ2766" s="106"/>
      <c r="RA2766" s="106"/>
      <c r="RB2766" s="106"/>
      <c r="RC2766" s="106"/>
      <c r="RD2766" s="106"/>
      <c r="RE2766" s="106"/>
      <c r="RF2766" s="106"/>
      <c r="RG2766" s="106"/>
      <c r="RH2766" s="106"/>
      <c r="RI2766" s="106"/>
      <c r="RJ2766" s="106"/>
      <c r="RK2766" s="106"/>
      <c r="RL2766" s="106"/>
    </row>
    <row r="2767" spans="48:480" x14ac:dyDescent="0.3">
      <c r="CJ2767" s="103"/>
      <c r="FP2767" s="103"/>
      <c r="LL2767" s="103"/>
      <c r="NM2767" s="103"/>
      <c r="QT2767" s="106"/>
      <c r="QU2767" s="106"/>
      <c r="QV2767" s="106"/>
      <c r="QW2767" s="106"/>
      <c r="QX2767" s="106"/>
      <c r="QY2767" s="106"/>
      <c r="QZ2767" s="106"/>
      <c r="RA2767" s="106"/>
      <c r="RB2767" s="106"/>
      <c r="RC2767" s="106"/>
      <c r="RD2767" s="106"/>
      <c r="RE2767" s="106"/>
      <c r="RF2767" s="106"/>
      <c r="RG2767" s="106"/>
      <c r="RH2767" s="106"/>
      <c r="RI2767" s="106"/>
      <c r="RJ2767" s="106"/>
      <c r="RK2767" s="106"/>
      <c r="RL2767" s="106"/>
    </row>
    <row r="2768" spans="48:480" x14ac:dyDescent="0.3">
      <c r="CJ2768" s="103"/>
      <c r="FP2768" s="103"/>
      <c r="LL2768" s="103"/>
      <c r="NM2768" s="103"/>
      <c r="QT2768" s="106"/>
      <c r="QU2768" s="106"/>
      <c r="QV2768" s="106"/>
      <c r="QW2768" s="106"/>
      <c r="QX2768" s="106"/>
      <c r="QY2768" s="106"/>
      <c r="QZ2768" s="106"/>
      <c r="RA2768" s="106"/>
      <c r="RB2768" s="106"/>
      <c r="RC2768" s="106"/>
      <c r="RD2768" s="106"/>
      <c r="RE2768" s="106"/>
      <c r="RF2768" s="106"/>
      <c r="RG2768" s="106"/>
      <c r="RH2768" s="106"/>
      <c r="RI2768" s="106"/>
      <c r="RJ2768" s="106"/>
      <c r="RK2768" s="106"/>
      <c r="RL2768" s="106"/>
    </row>
    <row r="2769" spans="88:480" x14ac:dyDescent="0.3">
      <c r="CJ2769" s="103"/>
      <c r="FP2769" s="103"/>
      <c r="LL2769" s="103"/>
      <c r="NM2769" s="103"/>
      <c r="QT2769" s="106"/>
      <c r="QU2769" s="106"/>
      <c r="QV2769" s="106"/>
      <c r="QW2769" s="106"/>
      <c r="QX2769" s="106"/>
      <c r="QY2769" s="106"/>
      <c r="QZ2769" s="106"/>
      <c r="RA2769" s="106"/>
      <c r="RB2769" s="106"/>
      <c r="RC2769" s="106"/>
      <c r="RD2769" s="106"/>
      <c r="RE2769" s="106"/>
      <c r="RF2769" s="106"/>
      <c r="RG2769" s="106"/>
      <c r="RH2769" s="106"/>
      <c r="RI2769" s="106"/>
      <c r="RJ2769" s="106"/>
      <c r="RK2769" s="106"/>
      <c r="RL2769" s="106"/>
    </row>
    <row r="2770" spans="88:480" x14ac:dyDescent="0.3">
      <c r="CJ2770" s="103"/>
      <c r="FP2770" s="103"/>
      <c r="LL2770" s="103"/>
      <c r="NM2770" s="103"/>
      <c r="QT2770" s="106"/>
      <c r="QU2770" s="106"/>
      <c r="QV2770" s="106"/>
      <c r="QW2770" s="106"/>
      <c r="QX2770" s="106"/>
      <c r="QY2770" s="106"/>
      <c r="QZ2770" s="106"/>
      <c r="RA2770" s="106"/>
      <c r="RB2770" s="106"/>
      <c r="RC2770" s="106"/>
      <c r="RD2770" s="106"/>
      <c r="RE2770" s="106"/>
      <c r="RF2770" s="106"/>
      <c r="RG2770" s="106"/>
      <c r="RH2770" s="106"/>
      <c r="RI2770" s="106"/>
      <c r="RJ2770" s="106"/>
      <c r="RK2770" s="106"/>
      <c r="RL2770" s="106"/>
    </row>
    <row r="2771" spans="88:480" x14ac:dyDescent="0.3">
      <c r="CJ2771" s="103"/>
      <c r="FP2771" s="103"/>
      <c r="LL2771" s="103"/>
      <c r="NM2771" s="103"/>
      <c r="QT2771" s="106"/>
      <c r="QU2771" s="106"/>
      <c r="QV2771" s="106"/>
      <c r="QW2771" s="106"/>
      <c r="QX2771" s="106"/>
      <c r="QY2771" s="106"/>
      <c r="QZ2771" s="106"/>
      <c r="RA2771" s="106"/>
      <c r="RB2771" s="106"/>
      <c r="RC2771" s="106"/>
      <c r="RD2771" s="106"/>
      <c r="RE2771" s="106"/>
      <c r="RF2771" s="106"/>
      <c r="RG2771" s="106"/>
      <c r="RH2771" s="106"/>
      <c r="RI2771" s="106"/>
      <c r="RJ2771" s="106"/>
      <c r="RK2771" s="106"/>
      <c r="RL2771" s="106"/>
    </row>
    <row r="2772" spans="88:480" x14ac:dyDescent="0.3">
      <c r="CJ2772" s="103"/>
      <c r="FP2772" s="103"/>
      <c r="LL2772" s="103"/>
      <c r="NM2772" s="103"/>
      <c r="QT2772" s="106"/>
      <c r="QU2772" s="106"/>
      <c r="QV2772" s="106"/>
      <c r="QW2772" s="106"/>
      <c r="QX2772" s="106"/>
      <c r="QY2772" s="106"/>
      <c r="QZ2772" s="106"/>
      <c r="RA2772" s="106"/>
      <c r="RB2772" s="106"/>
      <c r="RC2772" s="106"/>
      <c r="RD2772" s="106"/>
      <c r="RE2772" s="106"/>
      <c r="RF2772" s="106"/>
      <c r="RG2772" s="106"/>
      <c r="RH2772" s="106"/>
      <c r="RI2772" s="106"/>
      <c r="RJ2772" s="106"/>
      <c r="RK2772" s="106"/>
      <c r="RL2772" s="106"/>
    </row>
    <row r="2773" spans="88:480" x14ac:dyDescent="0.3">
      <c r="CJ2773" s="103"/>
      <c r="FP2773" s="103"/>
      <c r="LL2773" s="103"/>
      <c r="NM2773" s="103"/>
      <c r="QT2773" s="106"/>
      <c r="QU2773" s="106"/>
      <c r="QV2773" s="106"/>
      <c r="QW2773" s="106"/>
      <c r="QX2773" s="106"/>
      <c r="QY2773" s="106"/>
      <c r="QZ2773" s="106"/>
      <c r="RA2773" s="106"/>
      <c r="RB2773" s="106"/>
      <c r="RC2773" s="106"/>
      <c r="RD2773" s="106"/>
      <c r="RE2773" s="106"/>
      <c r="RF2773" s="106"/>
      <c r="RG2773" s="106"/>
      <c r="RH2773" s="106"/>
      <c r="RI2773" s="106"/>
      <c r="RJ2773" s="106"/>
      <c r="RK2773" s="106"/>
      <c r="RL2773" s="106"/>
    </row>
    <row r="2774" spans="88:480" x14ac:dyDescent="0.3">
      <c r="CJ2774" s="103"/>
      <c r="FP2774" s="103"/>
      <c r="LL2774" s="103"/>
      <c r="NM2774" s="103"/>
      <c r="QT2774" s="106"/>
      <c r="QU2774" s="106"/>
      <c r="QV2774" s="106"/>
      <c r="QW2774" s="106"/>
      <c r="QX2774" s="106"/>
      <c r="QY2774" s="106"/>
      <c r="QZ2774" s="106"/>
      <c r="RA2774" s="106"/>
      <c r="RB2774" s="106"/>
      <c r="RC2774" s="106"/>
      <c r="RD2774" s="106"/>
      <c r="RE2774" s="106"/>
      <c r="RF2774" s="106"/>
      <c r="RG2774" s="106"/>
      <c r="RH2774" s="106"/>
      <c r="RI2774" s="106"/>
      <c r="RJ2774" s="106"/>
      <c r="RK2774" s="106"/>
      <c r="RL2774" s="106"/>
    </row>
    <row r="2775" spans="88:480" x14ac:dyDescent="0.3">
      <c r="CJ2775" s="103"/>
      <c r="FP2775" s="103"/>
      <c r="LL2775" s="103"/>
      <c r="NM2775" s="103"/>
      <c r="QT2775" s="106"/>
      <c r="QU2775" s="106"/>
      <c r="QV2775" s="106"/>
      <c r="QW2775" s="106"/>
      <c r="QX2775" s="106"/>
      <c r="QY2775" s="106"/>
      <c r="QZ2775" s="106"/>
      <c r="RA2775" s="106"/>
      <c r="RB2775" s="106"/>
      <c r="RC2775" s="106"/>
      <c r="RD2775" s="106"/>
      <c r="RE2775" s="106"/>
      <c r="RF2775" s="106"/>
      <c r="RG2775" s="106"/>
      <c r="RH2775" s="106"/>
      <c r="RI2775" s="106"/>
      <c r="RJ2775" s="106"/>
      <c r="RK2775" s="106"/>
      <c r="RL2775" s="106"/>
    </row>
    <row r="2776" spans="88:480" x14ac:dyDescent="0.3">
      <c r="CJ2776" s="103"/>
      <c r="FP2776" s="103"/>
      <c r="LL2776" s="103"/>
      <c r="NM2776" s="103"/>
      <c r="QT2776" s="106"/>
      <c r="QU2776" s="106"/>
      <c r="QV2776" s="106"/>
      <c r="QW2776" s="106"/>
      <c r="QX2776" s="106"/>
      <c r="QY2776" s="106"/>
      <c r="QZ2776" s="106"/>
      <c r="RA2776" s="106"/>
      <c r="RB2776" s="106"/>
      <c r="RC2776" s="106"/>
      <c r="RD2776" s="106"/>
      <c r="RE2776" s="106"/>
      <c r="RF2776" s="106"/>
      <c r="RG2776" s="106"/>
      <c r="RH2776" s="106"/>
      <c r="RI2776" s="106"/>
      <c r="RJ2776" s="106"/>
      <c r="RK2776" s="106"/>
      <c r="RL2776" s="106"/>
    </row>
    <row r="2777" spans="88:480" x14ac:dyDescent="0.3">
      <c r="CJ2777" s="103"/>
      <c r="FP2777" s="103"/>
      <c r="LL2777" s="103"/>
      <c r="NM2777" s="103"/>
      <c r="QT2777" s="106"/>
      <c r="QU2777" s="106"/>
      <c r="QV2777" s="106"/>
      <c r="QW2777" s="106"/>
      <c r="QX2777" s="106"/>
      <c r="QY2777" s="106"/>
      <c r="QZ2777" s="106"/>
      <c r="RA2777" s="106"/>
      <c r="RB2777" s="106"/>
      <c r="RC2777" s="106"/>
      <c r="RD2777" s="106"/>
      <c r="RE2777" s="106"/>
      <c r="RF2777" s="106"/>
      <c r="RG2777" s="106"/>
      <c r="RH2777" s="106"/>
      <c r="RI2777" s="106"/>
      <c r="RJ2777" s="106"/>
      <c r="RK2777" s="106"/>
      <c r="RL2777" s="106"/>
    </row>
    <row r="2778" spans="88:480" x14ac:dyDescent="0.3">
      <c r="CJ2778" s="103"/>
      <c r="FP2778" s="103"/>
      <c r="LL2778" s="103"/>
      <c r="NM2778" s="103"/>
      <c r="QT2778" s="106"/>
      <c r="QU2778" s="106"/>
      <c r="QV2778" s="106"/>
      <c r="QW2778" s="106"/>
      <c r="QX2778" s="106"/>
      <c r="QY2778" s="106"/>
      <c r="QZ2778" s="106"/>
      <c r="RA2778" s="106"/>
      <c r="RB2778" s="106"/>
      <c r="RC2778" s="106"/>
      <c r="RD2778" s="106"/>
      <c r="RE2778" s="106"/>
      <c r="RF2778" s="106"/>
      <c r="RG2778" s="106"/>
      <c r="RH2778" s="106"/>
      <c r="RI2778" s="106"/>
      <c r="RJ2778" s="106"/>
      <c r="RK2778" s="106"/>
      <c r="RL2778" s="106"/>
    </row>
    <row r="2779" spans="88:480" x14ac:dyDescent="0.3">
      <c r="CJ2779" s="103"/>
      <c r="FP2779" s="103"/>
      <c r="LL2779" s="103"/>
      <c r="NM2779" s="103"/>
      <c r="QT2779" s="106"/>
      <c r="QU2779" s="106"/>
      <c r="QV2779" s="106"/>
      <c r="QW2779" s="106"/>
      <c r="QX2779" s="106"/>
      <c r="QY2779" s="106"/>
      <c r="QZ2779" s="106"/>
      <c r="RA2779" s="106"/>
      <c r="RB2779" s="106"/>
      <c r="RC2779" s="106"/>
      <c r="RD2779" s="106"/>
      <c r="RE2779" s="106"/>
      <c r="RF2779" s="106"/>
      <c r="RG2779" s="106"/>
      <c r="RH2779" s="106"/>
      <c r="RI2779" s="106"/>
      <c r="RJ2779" s="106"/>
      <c r="RK2779" s="106"/>
      <c r="RL2779" s="106"/>
    </row>
    <row r="2780" spans="88:480" x14ac:dyDescent="0.3">
      <c r="CJ2780" s="103"/>
      <c r="FP2780" s="103"/>
      <c r="LL2780" s="103"/>
      <c r="NM2780" s="103"/>
      <c r="QT2780" s="106"/>
      <c r="QU2780" s="106"/>
      <c r="QV2780" s="106"/>
      <c r="QW2780" s="106"/>
      <c r="QX2780" s="106"/>
      <c r="QY2780" s="106"/>
      <c r="QZ2780" s="106"/>
      <c r="RA2780" s="106"/>
      <c r="RB2780" s="106"/>
      <c r="RC2780" s="106"/>
      <c r="RD2780" s="106"/>
      <c r="RE2780" s="106"/>
      <c r="RF2780" s="106"/>
      <c r="RG2780" s="106"/>
      <c r="RH2780" s="106"/>
      <c r="RI2780" s="106"/>
      <c r="RJ2780" s="106"/>
      <c r="RK2780" s="106"/>
      <c r="RL2780" s="106"/>
    </row>
    <row r="2781" spans="88:480" x14ac:dyDescent="0.3">
      <c r="CJ2781" s="103"/>
      <c r="FP2781" s="103"/>
      <c r="LL2781" s="103"/>
      <c r="NM2781" s="103"/>
      <c r="QT2781" s="106"/>
      <c r="QU2781" s="106"/>
      <c r="QV2781" s="106"/>
      <c r="QW2781" s="106"/>
      <c r="QX2781" s="106"/>
      <c r="QY2781" s="106"/>
      <c r="QZ2781" s="106"/>
      <c r="RA2781" s="106"/>
      <c r="RB2781" s="106"/>
      <c r="RC2781" s="106"/>
      <c r="RD2781" s="106"/>
      <c r="RE2781" s="106"/>
      <c r="RF2781" s="106"/>
      <c r="RG2781" s="106"/>
      <c r="RH2781" s="106"/>
      <c r="RI2781" s="106"/>
      <c r="RJ2781" s="106"/>
      <c r="RK2781" s="106"/>
      <c r="RL2781" s="106"/>
    </row>
    <row r="2782" spans="88:480" x14ac:dyDescent="0.3">
      <c r="CJ2782" s="103"/>
      <c r="FP2782" s="103"/>
      <c r="LL2782" s="103"/>
      <c r="NM2782" s="103"/>
      <c r="QT2782" s="106"/>
      <c r="QU2782" s="106"/>
      <c r="QV2782" s="106"/>
      <c r="QW2782" s="106"/>
      <c r="QX2782" s="106"/>
      <c r="QY2782" s="106"/>
      <c r="QZ2782" s="106"/>
      <c r="RA2782" s="106"/>
      <c r="RB2782" s="106"/>
      <c r="RC2782" s="106"/>
      <c r="RD2782" s="106"/>
      <c r="RE2782" s="106"/>
      <c r="RF2782" s="106"/>
      <c r="RG2782" s="106"/>
      <c r="RH2782" s="106"/>
      <c r="RI2782" s="106"/>
      <c r="RJ2782" s="106"/>
      <c r="RK2782" s="106"/>
      <c r="RL2782" s="106"/>
    </row>
    <row r="2783" spans="88:480" x14ac:dyDescent="0.3">
      <c r="CJ2783" s="103"/>
      <c r="FP2783" s="103"/>
      <c r="LL2783" s="103"/>
      <c r="NM2783" s="103"/>
      <c r="QT2783" s="106"/>
      <c r="QU2783" s="106"/>
      <c r="QV2783" s="106"/>
      <c r="QW2783" s="106"/>
      <c r="QX2783" s="106"/>
      <c r="QY2783" s="106"/>
      <c r="QZ2783" s="106"/>
      <c r="RA2783" s="106"/>
      <c r="RB2783" s="106"/>
      <c r="RC2783" s="106"/>
      <c r="RD2783" s="106"/>
      <c r="RE2783" s="106"/>
      <c r="RF2783" s="106"/>
      <c r="RG2783" s="106"/>
      <c r="RH2783" s="106"/>
      <c r="RI2783" s="106"/>
      <c r="RJ2783" s="106"/>
      <c r="RK2783" s="106"/>
      <c r="RL2783" s="106"/>
    </row>
    <row r="2784" spans="88:480" x14ac:dyDescent="0.3">
      <c r="CJ2784" s="103"/>
      <c r="FP2784" s="103"/>
      <c r="LL2784" s="103"/>
      <c r="NM2784" s="103"/>
      <c r="QT2784" s="106"/>
      <c r="QU2784" s="106"/>
      <c r="QV2784" s="106"/>
      <c r="QW2784" s="106"/>
      <c r="QX2784" s="106"/>
      <c r="QY2784" s="106"/>
      <c r="QZ2784" s="106"/>
      <c r="RA2784" s="106"/>
      <c r="RB2784" s="106"/>
      <c r="RC2784" s="106"/>
      <c r="RD2784" s="106"/>
      <c r="RE2784" s="106"/>
      <c r="RF2784" s="106"/>
      <c r="RG2784" s="106"/>
      <c r="RH2784" s="106"/>
      <c r="RI2784" s="106"/>
      <c r="RJ2784" s="106"/>
      <c r="RK2784" s="106"/>
      <c r="RL2784" s="106"/>
    </row>
    <row r="2785" spans="88:480" x14ac:dyDescent="0.3">
      <c r="CJ2785" s="103"/>
      <c r="FP2785" s="103"/>
      <c r="LL2785" s="103"/>
      <c r="NM2785" s="103"/>
      <c r="QT2785" s="106"/>
      <c r="QU2785" s="106"/>
      <c r="QV2785" s="106"/>
      <c r="QW2785" s="106"/>
      <c r="QX2785" s="106"/>
      <c r="QY2785" s="106"/>
      <c r="QZ2785" s="106"/>
      <c r="RA2785" s="106"/>
      <c r="RB2785" s="106"/>
      <c r="RC2785" s="106"/>
      <c r="RD2785" s="106"/>
      <c r="RE2785" s="106"/>
      <c r="RF2785" s="106"/>
      <c r="RG2785" s="106"/>
      <c r="RH2785" s="106"/>
      <c r="RI2785" s="106"/>
      <c r="RJ2785" s="106"/>
      <c r="RK2785" s="106"/>
      <c r="RL2785" s="106"/>
    </row>
    <row r="2786" spans="88:480" x14ac:dyDescent="0.3">
      <c r="CJ2786" s="103"/>
      <c r="FP2786" s="103"/>
      <c r="LL2786" s="103"/>
      <c r="NM2786" s="103"/>
      <c r="QT2786" s="106"/>
      <c r="QU2786" s="106"/>
      <c r="QV2786" s="106"/>
      <c r="QW2786" s="106"/>
      <c r="QX2786" s="106"/>
      <c r="QY2786" s="106"/>
      <c r="QZ2786" s="106"/>
      <c r="RA2786" s="106"/>
      <c r="RB2786" s="106"/>
      <c r="RC2786" s="106"/>
      <c r="RD2786" s="106"/>
      <c r="RE2786" s="106"/>
      <c r="RF2786" s="106"/>
      <c r="RG2786" s="106"/>
      <c r="RH2786" s="106"/>
      <c r="RI2786" s="106"/>
      <c r="RJ2786" s="106"/>
      <c r="RK2786" s="106"/>
      <c r="RL2786" s="106"/>
    </row>
    <row r="2787" spans="88:480" x14ac:dyDescent="0.3">
      <c r="CJ2787" s="103"/>
      <c r="FP2787" s="103"/>
      <c r="LL2787" s="103"/>
      <c r="NM2787" s="103"/>
      <c r="QT2787" s="106"/>
      <c r="QU2787" s="106"/>
      <c r="QV2787" s="106"/>
      <c r="QW2787" s="106"/>
      <c r="QX2787" s="106"/>
      <c r="QY2787" s="106"/>
      <c r="QZ2787" s="106"/>
      <c r="RA2787" s="106"/>
      <c r="RB2787" s="106"/>
      <c r="RC2787" s="106"/>
      <c r="RD2787" s="106"/>
      <c r="RE2787" s="106"/>
      <c r="RF2787" s="106"/>
      <c r="RG2787" s="106"/>
      <c r="RH2787" s="106"/>
      <c r="RI2787" s="106"/>
      <c r="RJ2787" s="106"/>
      <c r="RK2787" s="106"/>
      <c r="RL2787" s="106"/>
    </row>
    <row r="2788" spans="88:480" x14ac:dyDescent="0.3">
      <c r="CJ2788" s="103"/>
      <c r="FP2788" s="103"/>
      <c r="LL2788" s="103"/>
      <c r="NM2788" s="103"/>
      <c r="QT2788" s="106"/>
      <c r="QU2788" s="106"/>
      <c r="QV2788" s="106"/>
      <c r="QW2788" s="106"/>
      <c r="QX2788" s="106"/>
      <c r="QY2788" s="106"/>
      <c r="QZ2788" s="106"/>
      <c r="RA2788" s="106"/>
      <c r="RB2788" s="106"/>
      <c r="RC2788" s="106"/>
      <c r="RD2788" s="106"/>
      <c r="RE2788" s="106"/>
      <c r="RF2788" s="106"/>
      <c r="RG2788" s="106"/>
      <c r="RH2788" s="106"/>
      <c r="RI2788" s="106"/>
      <c r="RJ2788" s="106"/>
      <c r="RK2788" s="106"/>
      <c r="RL2788" s="106"/>
    </row>
    <row r="2789" spans="88:480" x14ac:dyDescent="0.3">
      <c r="CJ2789" s="103"/>
      <c r="FP2789" s="103"/>
      <c r="LL2789" s="103"/>
      <c r="NM2789" s="103"/>
      <c r="QT2789" s="106"/>
      <c r="QU2789" s="106"/>
      <c r="QV2789" s="106"/>
      <c r="QW2789" s="106"/>
      <c r="QX2789" s="106"/>
      <c r="QY2789" s="106"/>
      <c r="QZ2789" s="106"/>
      <c r="RA2789" s="106"/>
      <c r="RB2789" s="106"/>
      <c r="RC2789" s="106"/>
      <c r="RD2789" s="106"/>
      <c r="RE2789" s="106"/>
      <c r="RF2789" s="106"/>
      <c r="RG2789" s="106"/>
      <c r="RH2789" s="106"/>
      <c r="RI2789" s="106"/>
      <c r="RJ2789" s="106"/>
      <c r="RK2789" s="106"/>
      <c r="RL2789" s="106"/>
    </row>
    <row r="2790" spans="88:480" x14ac:dyDescent="0.3">
      <c r="CJ2790" s="103"/>
      <c r="FP2790" s="103"/>
      <c r="LL2790" s="103"/>
      <c r="NM2790" s="103"/>
      <c r="QT2790" s="106"/>
      <c r="QU2790" s="106"/>
      <c r="QV2790" s="106"/>
      <c r="QW2790" s="106"/>
      <c r="QX2790" s="106"/>
      <c r="QY2790" s="106"/>
      <c r="QZ2790" s="106"/>
      <c r="RA2790" s="106"/>
      <c r="RB2790" s="106"/>
      <c r="RC2790" s="106"/>
      <c r="RD2790" s="106"/>
      <c r="RE2790" s="106"/>
      <c r="RF2790" s="106"/>
      <c r="RG2790" s="106"/>
      <c r="RH2790" s="106"/>
      <c r="RI2790" s="106"/>
      <c r="RJ2790" s="106"/>
      <c r="RK2790" s="106"/>
      <c r="RL2790" s="106"/>
    </row>
    <row r="2791" spans="88:480" x14ac:dyDescent="0.3">
      <c r="CJ2791" s="103"/>
      <c r="FP2791" s="103"/>
      <c r="LL2791" s="103"/>
      <c r="NM2791" s="103"/>
      <c r="QT2791" s="106"/>
      <c r="QU2791" s="106"/>
      <c r="QV2791" s="106"/>
      <c r="QW2791" s="106"/>
      <c r="QX2791" s="106"/>
      <c r="QY2791" s="106"/>
      <c r="QZ2791" s="106"/>
      <c r="RA2791" s="106"/>
      <c r="RB2791" s="106"/>
      <c r="RC2791" s="106"/>
      <c r="RD2791" s="106"/>
      <c r="RE2791" s="106"/>
      <c r="RF2791" s="106"/>
      <c r="RG2791" s="106"/>
      <c r="RH2791" s="106"/>
      <c r="RI2791" s="106"/>
      <c r="RJ2791" s="106"/>
      <c r="RK2791" s="106"/>
      <c r="RL2791" s="106"/>
    </row>
    <row r="2792" spans="88:480" x14ac:dyDescent="0.3">
      <c r="CJ2792" s="103"/>
      <c r="FP2792" s="103"/>
      <c r="LL2792" s="103"/>
      <c r="NM2792" s="103"/>
      <c r="QT2792" s="106"/>
      <c r="QU2792" s="106"/>
      <c r="QV2792" s="106"/>
      <c r="QW2792" s="106"/>
      <c r="QX2792" s="106"/>
      <c r="QY2792" s="106"/>
      <c r="QZ2792" s="106"/>
      <c r="RA2792" s="106"/>
      <c r="RB2792" s="106"/>
      <c r="RC2792" s="106"/>
      <c r="RD2792" s="106"/>
      <c r="RE2792" s="106"/>
      <c r="RF2792" s="106"/>
      <c r="RG2792" s="106"/>
      <c r="RH2792" s="106"/>
      <c r="RI2792" s="106"/>
      <c r="RJ2792" s="106"/>
      <c r="RK2792" s="106"/>
      <c r="RL2792" s="106"/>
    </row>
    <row r="2793" spans="88:480" x14ac:dyDescent="0.3">
      <c r="CJ2793" s="103"/>
      <c r="FP2793" s="103"/>
      <c r="LL2793" s="103"/>
      <c r="NM2793" s="103"/>
      <c r="QT2793" s="106"/>
      <c r="QU2793" s="106"/>
      <c r="QV2793" s="106"/>
      <c r="QW2793" s="106"/>
      <c r="QX2793" s="106"/>
      <c r="QY2793" s="106"/>
      <c r="QZ2793" s="106"/>
      <c r="RA2793" s="106"/>
      <c r="RB2793" s="106"/>
      <c r="RC2793" s="106"/>
      <c r="RD2793" s="106"/>
      <c r="RE2793" s="106"/>
      <c r="RF2793" s="106"/>
      <c r="RG2793" s="106"/>
      <c r="RH2793" s="106"/>
      <c r="RI2793" s="106"/>
      <c r="RJ2793" s="106"/>
      <c r="RK2793" s="106"/>
      <c r="RL2793" s="106"/>
    </row>
    <row r="2794" spans="88:480" x14ac:dyDescent="0.3">
      <c r="CJ2794" s="103"/>
      <c r="FP2794" s="103"/>
      <c r="LL2794" s="103"/>
      <c r="NM2794" s="103"/>
      <c r="QT2794" s="106"/>
      <c r="QU2794" s="106"/>
      <c r="QV2794" s="106"/>
      <c r="QW2794" s="106"/>
      <c r="QX2794" s="106"/>
      <c r="QY2794" s="106"/>
      <c r="QZ2794" s="106"/>
      <c r="RA2794" s="106"/>
      <c r="RB2794" s="106"/>
      <c r="RC2794" s="106"/>
      <c r="RD2794" s="106"/>
      <c r="RE2794" s="106"/>
      <c r="RF2794" s="106"/>
      <c r="RG2794" s="106"/>
      <c r="RH2794" s="106"/>
      <c r="RI2794" s="106"/>
      <c r="RJ2794" s="106"/>
      <c r="RK2794" s="106"/>
      <c r="RL2794" s="106"/>
    </row>
    <row r="2795" spans="88:480" x14ac:dyDescent="0.3">
      <c r="CJ2795" s="103"/>
      <c r="FP2795" s="103"/>
      <c r="LL2795" s="103"/>
      <c r="NM2795" s="103"/>
      <c r="QT2795" s="106"/>
      <c r="QU2795" s="106"/>
      <c r="QV2795" s="106"/>
      <c r="QW2795" s="106"/>
      <c r="QX2795" s="106"/>
      <c r="QY2795" s="106"/>
      <c r="QZ2795" s="106"/>
      <c r="RA2795" s="106"/>
      <c r="RB2795" s="106"/>
      <c r="RC2795" s="106"/>
      <c r="RD2795" s="106"/>
      <c r="RE2795" s="106"/>
      <c r="RF2795" s="106"/>
      <c r="RG2795" s="106"/>
      <c r="RH2795" s="106"/>
      <c r="RI2795" s="106"/>
      <c r="RJ2795" s="106"/>
      <c r="RK2795" s="106"/>
      <c r="RL2795" s="106"/>
    </row>
    <row r="2796" spans="88:480" x14ac:dyDescent="0.3">
      <c r="CJ2796" s="103"/>
      <c r="FP2796" s="103"/>
      <c r="LL2796" s="103"/>
      <c r="NM2796" s="103"/>
      <c r="QT2796" s="106"/>
      <c r="QU2796" s="106"/>
      <c r="QV2796" s="106"/>
      <c r="QW2796" s="106"/>
      <c r="QX2796" s="106"/>
      <c r="QY2796" s="106"/>
      <c r="QZ2796" s="106"/>
      <c r="RA2796" s="106"/>
      <c r="RB2796" s="106"/>
      <c r="RC2796" s="106"/>
      <c r="RD2796" s="106"/>
      <c r="RE2796" s="106"/>
      <c r="RF2796" s="106"/>
      <c r="RG2796" s="106"/>
      <c r="RH2796" s="106"/>
      <c r="RI2796" s="106"/>
      <c r="RJ2796" s="106"/>
      <c r="RK2796" s="106"/>
      <c r="RL2796" s="106"/>
    </row>
    <row r="2797" spans="88:480" x14ac:dyDescent="0.3">
      <c r="CJ2797" s="103"/>
      <c r="FP2797" s="103"/>
      <c r="LL2797" s="103"/>
      <c r="NM2797" s="103"/>
      <c r="QT2797" s="106"/>
      <c r="QU2797" s="106"/>
      <c r="QV2797" s="106"/>
      <c r="QW2797" s="106"/>
      <c r="QX2797" s="106"/>
      <c r="QY2797" s="106"/>
      <c r="QZ2797" s="106"/>
      <c r="RA2797" s="106"/>
      <c r="RB2797" s="106"/>
      <c r="RC2797" s="106"/>
      <c r="RD2797" s="106"/>
      <c r="RE2797" s="106"/>
      <c r="RF2797" s="106"/>
      <c r="RG2797" s="106"/>
      <c r="RH2797" s="106"/>
      <c r="RI2797" s="106"/>
      <c r="RJ2797" s="106"/>
      <c r="RK2797" s="106"/>
      <c r="RL2797" s="106"/>
    </row>
    <row r="2798" spans="88:480" x14ac:dyDescent="0.3">
      <c r="CJ2798" s="103"/>
      <c r="FP2798" s="103"/>
      <c r="LL2798" s="103"/>
      <c r="NM2798" s="103"/>
      <c r="QT2798" s="106"/>
      <c r="QU2798" s="106"/>
      <c r="QV2798" s="106"/>
      <c r="QW2798" s="106"/>
      <c r="QX2798" s="106"/>
      <c r="QY2798" s="106"/>
      <c r="QZ2798" s="106"/>
      <c r="RA2798" s="106"/>
      <c r="RB2798" s="106"/>
      <c r="RC2798" s="106"/>
      <c r="RD2798" s="106"/>
      <c r="RE2798" s="106"/>
      <c r="RF2798" s="106"/>
      <c r="RG2798" s="106"/>
      <c r="RH2798" s="106"/>
      <c r="RI2798" s="106"/>
      <c r="RJ2798" s="106"/>
      <c r="RK2798" s="106"/>
      <c r="RL2798" s="106"/>
    </row>
    <row r="2799" spans="88:480" x14ac:dyDescent="0.3">
      <c r="CJ2799" s="103"/>
      <c r="FP2799" s="103"/>
      <c r="LL2799" s="103"/>
      <c r="NM2799" s="103"/>
      <c r="QT2799" s="106"/>
      <c r="QU2799" s="106"/>
      <c r="QV2799" s="106"/>
      <c r="QW2799" s="106"/>
      <c r="QX2799" s="106"/>
      <c r="QY2799" s="106"/>
      <c r="QZ2799" s="106"/>
      <c r="RA2799" s="106"/>
      <c r="RB2799" s="106"/>
      <c r="RC2799" s="106"/>
      <c r="RD2799" s="106"/>
      <c r="RE2799" s="106"/>
      <c r="RF2799" s="106"/>
      <c r="RG2799" s="106"/>
      <c r="RH2799" s="106"/>
      <c r="RI2799" s="106"/>
      <c r="RJ2799" s="106"/>
      <c r="RK2799" s="106"/>
      <c r="RL2799" s="106"/>
    </row>
    <row r="2800" spans="88:480" x14ac:dyDescent="0.3">
      <c r="CJ2800" s="103"/>
      <c r="FP2800" s="103"/>
      <c r="LL2800" s="103"/>
      <c r="NM2800" s="103"/>
      <c r="QT2800" s="106"/>
      <c r="QU2800" s="106"/>
      <c r="QV2800" s="106"/>
      <c r="QW2800" s="106"/>
      <c r="QX2800" s="106"/>
      <c r="QY2800" s="106"/>
      <c r="QZ2800" s="106"/>
      <c r="RA2800" s="106"/>
      <c r="RB2800" s="106"/>
      <c r="RC2800" s="106"/>
      <c r="RD2800" s="106"/>
      <c r="RE2800" s="106"/>
      <c r="RF2800" s="106"/>
      <c r="RG2800" s="106"/>
      <c r="RH2800" s="106"/>
      <c r="RI2800" s="106"/>
      <c r="RJ2800" s="106"/>
      <c r="RK2800" s="106"/>
      <c r="RL2800" s="106"/>
    </row>
    <row r="2801" spans="88:480" x14ac:dyDescent="0.3">
      <c r="CJ2801" s="103"/>
      <c r="FP2801" s="103"/>
      <c r="LL2801" s="103"/>
      <c r="NM2801" s="103"/>
      <c r="QT2801" s="106"/>
      <c r="QU2801" s="106"/>
      <c r="QV2801" s="106"/>
      <c r="QW2801" s="106"/>
      <c r="QX2801" s="106"/>
      <c r="QY2801" s="106"/>
      <c r="QZ2801" s="106"/>
      <c r="RA2801" s="106"/>
      <c r="RB2801" s="106"/>
      <c r="RC2801" s="106"/>
      <c r="RD2801" s="106"/>
      <c r="RE2801" s="106"/>
      <c r="RF2801" s="106"/>
      <c r="RG2801" s="106"/>
      <c r="RH2801" s="106"/>
      <c r="RI2801" s="106"/>
      <c r="RJ2801" s="106"/>
      <c r="RK2801" s="106"/>
      <c r="RL2801" s="106"/>
    </row>
    <row r="2802" spans="88:480" x14ac:dyDescent="0.3">
      <c r="CJ2802" s="103"/>
      <c r="FP2802" s="103"/>
      <c r="LL2802" s="103"/>
      <c r="NM2802" s="103"/>
      <c r="QT2802" s="106"/>
      <c r="QU2802" s="106"/>
      <c r="QV2802" s="106"/>
      <c r="QW2802" s="106"/>
      <c r="QX2802" s="106"/>
      <c r="QY2802" s="106"/>
      <c r="QZ2802" s="106"/>
      <c r="RA2802" s="106"/>
      <c r="RB2802" s="106"/>
      <c r="RC2802" s="106"/>
      <c r="RD2802" s="106"/>
      <c r="RE2802" s="106"/>
      <c r="RF2802" s="106"/>
      <c r="RG2802" s="106"/>
      <c r="RH2802" s="106"/>
      <c r="RI2802" s="106"/>
      <c r="RJ2802" s="106"/>
      <c r="RK2802" s="106"/>
      <c r="RL2802" s="106"/>
    </row>
    <row r="2803" spans="88:480" x14ac:dyDescent="0.3">
      <c r="CJ2803" s="103"/>
      <c r="FP2803" s="103"/>
      <c r="LL2803" s="103"/>
      <c r="NM2803" s="103"/>
      <c r="QT2803" s="106"/>
      <c r="QU2803" s="106"/>
      <c r="QV2803" s="106"/>
      <c r="QW2803" s="106"/>
      <c r="QX2803" s="106"/>
      <c r="QY2803" s="106"/>
      <c r="QZ2803" s="106"/>
      <c r="RA2803" s="106"/>
      <c r="RB2803" s="106"/>
      <c r="RC2803" s="106"/>
      <c r="RD2803" s="106"/>
      <c r="RE2803" s="106"/>
      <c r="RF2803" s="106"/>
      <c r="RG2803" s="106"/>
      <c r="RH2803" s="106"/>
      <c r="RI2803" s="106"/>
      <c r="RJ2803" s="106"/>
      <c r="RK2803" s="106"/>
      <c r="RL2803" s="106"/>
    </row>
    <row r="2804" spans="88:480" x14ac:dyDescent="0.3">
      <c r="CJ2804" s="103"/>
      <c r="FP2804" s="103"/>
      <c r="LL2804" s="103"/>
      <c r="NM2804" s="103"/>
      <c r="QT2804" s="106"/>
      <c r="QU2804" s="106"/>
      <c r="QV2804" s="106"/>
      <c r="QW2804" s="106"/>
      <c r="QX2804" s="106"/>
      <c r="QY2804" s="106"/>
      <c r="QZ2804" s="106"/>
      <c r="RA2804" s="106"/>
      <c r="RB2804" s="106"/>
      <c r="RC2804" s="106"/>
      <c r="RD2804" s="106"/>
      <c r="RE2804" s="106"/>
      <c r="RF2804" s="106"/>
      <c r="RG2804" s="106"/>
      <c r="RH2804" s="106"/>
      <c r="RI2804" s="106"/>
      <c r="RJ2804" s="106"/>
      <c r="RK2804" s="106"/>
      <c r="RL2804" s="106"/>
    </row>
    <row r="2805" spans="88:480" x14ac:dyDescent="0.3">
      <c r="CJ2805" s="103"/>
      <c r="FP2805" s="103"/>
      <c r="LL2805" s="103"/>
      <c r="NM2805" s="103"/>
      <c r="QT2805" s="106"/>
      <c r="QU2805" s="106"/>
      <c r="QV2805" s="106"/>
      <c r="QW2805" s="106"/>
      <c r="QX2805" s="106"/>
      <c r="QY2805" s="106"/>
      <c r="QZ2805" s="106"/>
      <c r="RA2805" s="106"/>
      <c r="RB2805" s="106"/>
      <c r="RC2805" s="106"/>
      <c r="RD2805" s="106"/>
      <c r="RE2805" s="106"/>
      <c r="RF2805" s="106"/>
      <c r="RG2805" s="106"/>
      <c r="RH2805" s="106"/>
      <c r="RI2805" s="106"/>
      <c r="RJ2805" s="106"/>
      <c r="RK2805" s="106"/>
      <c r="RL2805" s="106"/>
    </row>
    <row r="2806" spans="88:480" x14ac:dyDescent="0.3">
      <c r="CJ2806" s="103"/>
      <c r="FP2806" s="103"/>
      <c r="LL2806" s="103"/>
      <c r="NM2806" s="103"/>
      <c r="QT2806" s="106"/>
      <c r="QU2806" s="106"/>
      <c r="QV2806" s="106"/>
      <c r="QW2806" s="106"/>
      <c r="QX2806" s="106"/>
      <c r="QY2806" s="106"/>
      <c r="QZ2806" s="106"/>
      <c r="RA2806" s="106"/>
      <c r="RB2806" s="106"/>
      <c r="RC2806" s="106"/>
      <c r="RD2806" s="106"/>
      <c r="RE2806" s="106"/>
      <c r="RF2806" s="106"/>
      <c r="RG2806" s="106"/>
      <c r="RH2806" s="106"/>
      <c r="RI2806" s="106"/>
      <c r="RJ2806" s="106"/>
      <c r="RK2806" s="106"/>
      <c r="RL2806" s="106"/>
    </row>
    <row r="2807" spans="88:480" x14ac:dyDescent="0.3">
      <c r="CJ2807" s="103"/>
      <c r="FP2807" s="103"/>
      <c r="LL2807" s="103"/>
      <c r="NM2807" s="103"/>
      <c r="QT2807" s="106"/>
      <c r="QU2807" s="106"/>
      <c r="QV2807" s="106"/>
      <c r="QW2807" s="106"/>
      <c r="QX2807" s="106"/>
      <c r="QY2807" s="106"/>
      <c r="QZ2807" s="106"/>
      <c r="RA2807" s="106"/>
      <c r="RB2807" s="106"/>
      <c r="RC2807" s="106"/>
      <c r="RD2807" s="106"/>
      <c r="RE2807" s="106"/>
      <c r="RF2807" s="106"/>
      <c r="RG2807" s="106"/>
      <c r="RH2807" s="106"/>
      <c r="RI2807" s="106"/>
      <c r="RJ2807" s="106"/>
      <c r="RK2807" s="106"/>
      <c r="RL2807" s="106"/>
    </row>
    <row r="2808" spans="88:480" x14ac:dyDescent="0.3">
      <c r="CJ2808" s="103"/>
      <c r="FP2808" s="103"/>
      <c r="LL2808" s="103"/>
      <c r="NM2808" s="103"/>
      <c r="QT2808" s="106"/>
      <c r="QU2808" s="106"/>
      <c r="QV2808" s="106"/>
      <c r="QW2808" s="106"/>
      <c r="QX2808" s="106"/>
      <c r="QY2808" s="106"/>
      <c r="QZ2808" s="106"/>
      <c r="RA2808" s="106"/>
      <c r="RB2808" s="106"/>
      <c r="RC2808" s="106"/>
      <c r="RD2808" s="106"/>
      <c r="RE2808" s="106"/>
      <c r="RF2808" s="106"/>
      <c r="RG2808" s="106"/>
      <c r="RH2808" s="106"/>
      <c r="RI2808" s="106"/>
      <c r="RJ2808" s="106"/>
      <c r="RK2808" s="106"/>
      <c r="RL2808" s="106"/>
    </row>
    <row r="2809" spans="88:480" x14ac:dyDescent="0.3">
      <c r="CJ2809" s="103"/>
      <c r="FP2809" s="103"/>
      <c r="LL2809" s="103"/>
      <c r="NM2809" s="103"/>
      <c r="QT2809" s="106"/>
      <c r="QU2809" s="106"/>
      <c r="QV2809" s="106"/>
      <c r="QW2809" s="106"/>
      <c r="QX2809" s="106"/>
      <c r="QY2809" s="106"/>
      <c r="QZ2809" s="106"/>
      <c r="RA2809" s="106"/>
      <c r="RB2809" s="106"/>
      <c r="RC2809" s="106"/>
      <c r="RD2809" s="106"/>
      <c r="RE2809" s="106"/>
      <c r="RF2809" s="106"/>
      <c r="RG2809" s="106"/>
      <c r="RH2809" s="106"/>
      <c r="RI2809" s="106"/>
      <c r="RJ2809" s="106"/>
      <c r="RK2809" s="106"/>
      <c r="RL2809" s="106"/>
    </row>
    <row r="2810" spans="88:480" x14ac:dyDescent="0.3">
      <c r="CJ2810" s="103"/>
      <c r="FP2810" s="103"/>
      <c r="LL2810" s="103"/>
      <c r="NM2810" s="103"/>
      <c r="QT2810" s="106"/>
      <c r="QU2810" s="106"/>
      <c r="QV2810" s="106"/>
      <c r="QW2810" s="106"/>
      <c r="QX2810" s="106"/>
      <c r="QY2810" s="106"/>
      <c r="QZ2810" s="106"/>
      <c r="RA2810" s="106"/>
      <c r="RB2810" s="106"/>
      <c r="RC2810" s="106"/>
      <c r="RD2810" s="106"/>
      <c r="RE2810" s="106"/>
      <c r="RF2810" s="106"/>
      <c r="RG2810" s="106"/>
      <c r="RH2810" s="106"/>
      <c r="RI2810" s="106"/>
      <c r="RJ2810" s="106"/>
      <c r="RK2810" s="106"/>
      <c r="RL2810" s="106"/>
    </row>
    <row r="2811" spans="88:480" x14ac:dyDescent="0.3">
      <c r="CJ2811" s="103"/>
      <c r="FP2811" s="103"/>
      <c r="LL2811" s="103"/>
      <c r="NM2811" s="103"/>
      <c r="QT2811" s="106"/>
      <c r="QU2811" s="106"/>
      <c r="QV2811" s="106"/>
      <c r="QW2811" s="106"/>
      <c r="QX2811" s="106"/>
      <c r="QY2811" s="106"/>
      <c r="QZ2811" s="106"/>
      <c r="RA2811" s="106"/>
      <c r="RB2811" s="106"/>
      <c r="RC2811" s="106"/>
      <c r="RD2811" s="106"/>
      <c r="RE2811" s="106"/>
      <c r="RF2811" s="106"/>
      <c r="RG2811" s="106"/>
      <c r="RH2811" s="106"/>
      <c r="RI2811" s="106"/>
      <c r="RJ2811" s="106"/>
      <c r="RK2811" s="106"/>
      <c r="RL2811" s="106"/>
    </row>
    <row r="2812" spans="88:480" x14ac:dyDescent="0.3">
      <c r="CJ2812" s="103"/>
      <c r="FP2812" s="103"/>
      <c r="LL2812" s="103"/>
      <c r="NM2812" s="103"/>
      <c r="QT2812" s="106"/>
      <c r="QU2812" s="106"/>
      <c r="QV2812" s="106"/>
      <c r="QW2812" s="106"/>
      <c r="QX2812" s="106"/>
      <c r="QY2812" s="106"/>
      <c r="QZ2812" s="106"/>
      <c r="RA2812" s="106"/>
      <c r="RB2812" s="106"/>
      <c r="RC2812" s="106"/>
      <c r="RD2812" s="106"/>
      <c r="RE2812" s="106"/>
      <c r="RF2812" s="106"/>
      <c r="RG2812" s="106"/>
      <c r="RH2812" s="106"/>
      <c r="RI2812" s="106"/>
      <c r="RJ2812" s="106"/>
      <c r="RK2812" s="106"/>
      <c r="RL2812" s="106"/>
    </row>
    <row r="2813" spans="88:480" x14ac:dyDescent="0.3">
      <c r="CJ2813" s="103"/>
      <c r="FP2813" s="103"/>
      <c r="LL2813" s="103"/>
      <c r="NM2813" s="103"/>
      <c r="QT2813" s="106"/>
      <c r="QU2813" s="106"/>
      <c r="QV2813" s="106"/>
      <c r="QW2813" s="106"/>
      <c r="QX2813" s="106"/>
      <c r="QY2813" s="106"/>
      <c r="QZ2813" s="106"/>
      <c r="RA2813" s="106"/>
      <c r="RB2813" s="106"/>
      <c r="RC2813" s="106"/>
      <c r="RD2813" s="106"/>
      <c r="RE2813" s="106"/>
      <c r="RF2813" s="106"/>
      <c r="RG2813" s="106"/>
      <c r="RH2813" s="106"/>
      <c r="RI2813" s="106"/>
      <c r="RJ2813" s="106"/>
      <c r="RK2813" s="106"/>
      <c r="RL2813" s="106"/>
    </row>
    <row r="2814" spans="88:480" x14ac:dyDescent="0.3">
      <c r="CJ2814" s="103"/>
      <c r="FP2814" s="103"/>
      <c r="LL2814" s="103"/>
      <c r="NM2814" s="103"/>
      <c r="QT2814" s="106"/>
      <c r="QU2814" s="106"/>
      <c r="QV2814" s="106"/>
      <c r="QW2814" s="106"/>
      <c r="QX2814" s="106"/>
      <c r="QY2814" s="106"/>
      <c r="QZ2814" s="106"/>
      <c r="RA2814" s="106"/>
      <c r="RB2814" s="106"/>
      <c r="RC2814" s="106"/>
      <c r="RD2814" s="106"/>
      <c r="RE2814" s="106"/>
      <c r="RF2814" s="106"/>
      <c r="RG2814" s="106"/>
      <c r="RH2814" s="106"/>
      <c r="RI2814" s="106"/>
      <c r="RJ2814" s="106"/>
      <c r="RK2814" s="106"/>
      <c r="RL2814" s="106"/>
    </row>
    <row r="2815" spans="88:480" x14ac:dyDescent="0.3">
      <c r="CJ2815" s="103"/>
      <c r="FP2815" s="103"/>
      <c r="LL2815" s="103"/>
      <c r="NM2815" s="103"/>
      <c r="QT2815" s="106"/>
      <c r="QU2815" s="106"/>
      <c r="QV2815" s="106"/>
      <c r="QW2815" s="106"/>
      <c r="QX2815" s="106"/>
      <c r="QY2815" s="106"/>
      <c r="QZ2815" s="106"/>
      <c r="RA2815" s="106"/>
      <c r="RB2815" s="106"/>
      <c r="RC2815" s="106"/>
      <c r="RD2815" s="106"/>
      <c r="RE2815" s="106"/>
      <c r="RF2815" s="106"/>
      <c r="RG2815" s="106"/>
      <c r="RH2815" s="106"/>
      <c r="RI2815" s="106"/>
      <c r="RJ2815" s="106"/>
      <c r="RK2815" s="106"/>
      <c r="RL2815" s="106"/>
    </row>
    <row r="2816" spans="88:480" x14ac:dyDescent="0.3">
      <c r="CJ2816" s="103"/>
      <c r="FP2816" s="103"/>
      <c r="LL2816" s="103"/>
      <c r="NM2816" s="103"/>
      <c r="QT2816" s="106"/>
      <c r="QU2816" s="106"/>
      <c r="QV2816" s="106"/>
      <c r="QW2816" s="106"/>
      <c r="QX2816" s="106"/>
      <c r="QY2816" s="106"/>
      <c r="QZ2816" s="106"/>
      <c r="RA2816" s="106"/>
      <c r="RB2816" s="106"/>
      <c r="RC2816" s="106"/>
      <c r="RD2816" s="106"/>
      <c r="RE2816" s="106"/>
      <c r="RF2816" s="106"/>
      <c r="RG2816" s="106"/>
      <c r="RH2816" s="106"/>
      <c r="RI2816" s="106"/>
      <c r="RJ2816" s="106"/>
      <c r="RK2816" s="106"/>
      <c r="RL2816" s="106"/>
    </row>
    <row r="2817" spans="88:480" x14ac:dyDescent="0.3">
      <c r="CJ2817" s="103"/>
      <c r="FP2817" s="103"/>
      <c r="LL2817" s="103"/>
      <c r="NM2817" s="103"/>
      <c r="QT2817" s="106"/>
      <c r="QU2817" s="106"/>
      <c r="QV2817" s="106"/>
      <c r="QW2817" s="106"/>
      <c r="QX2817" s="106"/>
      <c r="QY2817" s="106"/>
      <c r="QZ2817" s="106"/>
      <c r="RA2817" s="106"/>
      <c r="RB2817" s="106"/>
      <c r="RC2817" s="106"/>
      <c r="RD2817" s="106"/>
      <c r="RE2817" s="106"/>
      <c r="RF2817" s="106"/>
      <c r="RG2817" s="106"/>
      <c r="RH2817" s="106"/>
      <c r="RI2817" s="106"/>
      <c r="RJ2817" s="106"/>
      <c r="RK2817" s="106"/>
      <c r="RL2817" s="106"/>
    </row>
    <row r="2818" spans="88:480" x14ac:dyDescent="0.3">
      <c r="CJ2818" s="103"/>
      <c r="FP2818" s="103"/>
      <c r="LL2818" s="103"/>
      <c r="NM2818" s="103"/>
      <c r="QT2818" s="106"/>
      <c r="QU2818" s="106"/>
      <c r="QV2818" s="106"/>
      <c r="QW2818" s="106"/>
      <c r="QX2818" s="106"/>
      <c r="QY2818" s="106"/>
      <c r="QZ2818" s="106"/>
      <c r="RA2818" s="106"/>
      <c r="RB2818" s="106"/>
      <c r="RC2818" s="106"/>
      <c r="RD2818" s="106"/>
      <c r="RE2818" s="106"/>
      <c r="RF2818" s="106"/>
      <c r="RG2818" s="106"/>
      <c r="RH2818" s="106"/>
      <c r="RI2818" s="106"/>
      <c r="RJ2818" s="106"/>
      <c r="RK2818" s="106"/>
      <c r="RL2818" s="106"/>
    </row>
    <row r="2819" spans="88:480" x14ac:dyDescent="0.3">
      <c r="CJ2819" s="103"/>
      <c r="FP2819" s="103"/>
      <c r="LL2819" s="103"/>
      <c r="NM2819" s="103"/>
      <c r="QT2819" s="106"/>
      <c r="QU2819" s="106"/>
      <c r="QV2819" s="106"/>
      <c r="QW2819" s="106"/>
      <c r="QX2819" s="106"/>
      <c r="QY2819" s="106"/>
      <c r="QZ2819" s="106"/>
      <c r="RA2819" s="106"/>
      <c r="RB2819" s="106"/>
      <c r="RC2819" s="106"/>
      <c r="RD2819" s="106"/>
      <c r="RE2819" s="106"/>
      <c r="RF2819" s="106"/>
      <c r="RG2819" s="106"/>
      <c r="RH2819" s="106"/>
      <c r="RI2819" s="106"/>
      <c r="RJ2819" s="106"/>
      <c r="RK2819" s="106"/>
      <c r="RL2819" s="106"/>
    </row>
    <row r="2820" spans="88:480" x14ac:dyDescent="0.3">
      <c r="CJ2820" s="103"/>
      <c r="FP2820" s="103"/>
      <c r="LL2820" s="103"/>
      <c r="NM2820" s="103"/>
      <c r="QT2820" s="106"/>
      <c r="QU2820" s="106"/>
      <c r="QV2820" s="106"/>
      <c r="QW2820" s="106"/>
      <c r="QX2820" s="106"/>
      <c r="QY2820" s="106"/>
      <c r="QZ2820" s="106"/>
      <c r="RA2820" s="106"/>
      <c r="RB2820" s="106"/>
      <c r="RC2820" s="106"/>
      <c r="RD2820" s="106"/>
      <c r="RE2820" s="106"/>
      <c r="RF2820" s="106"/>
      <c r="RG2820" s="106"/>
      <c r="RH2820" s="106"/>
      <c r="RI2820" s="106"/>
      <c r="RJ2820" s="106"/>
      <c r="RK2820" s="106"/>
      <c r="RL2820" s="106"/>
    </row>
    <row r="2821" spans="88:480" x14ac:dyDescent="0.3">
      <c r="CJ2821" s="103"/>
      <c r="FP2821" s="103"/>
      <c r="LL2821" s="103"/>
      <c r="NM2821" s="103"/>
      <c r="QT2821" s="106"/>
      <c r="QU2821" s="106"/>
      <c r="QV2821" s="106"/>
      <c r="QW2821" s="106"/>
      <c r="QX2821" s="106"/>
      <c r="QY2821" s="106"/>
      <c r="QZ2821" s="106"/>
      <c r="RA2821" s="106"/>
      <c r="RB2821" s="106"/>
      <c r="RC2821" s="106"/>
      <c r="RD2821" s="106"/>
      <c r="RE2821" s="106"/>
      <c r="RF2821" s="106"/>
      <c r="RG2821" s="106"/>
      <c r="RH2821" s="106"/>
      <c r="RI2821" s="106"/>
      <c r="RJ2821" s="106"/>
      <c r="RK2821" s="106"/>
      <c r="RL2821" s="106"/>
    </row>
    <row r="2822" spans="88:480" x14ac:dyDescent="0.3">
      <c r="CJ2822" s="103"/>
      <c r="FP2822" s="103"/>
      <c r="LL2822" s="103"/>
      <c r="NM2822" s="103"/>
      <c r="QT2822" s="106"/>
      <c r="QU2822" s="106"/>
      <c r="QV2822" s="106"/>
      <c r="QW2822" s="106"/>
      <c r="QX2822" s="106"/>
      <c r="QY2822" s="106"/>
      <c r="QZ2822" s="106"/>
      <c r="RA2822" s="106"/>
      <c r="RB2822" s="106"/>
      <c r="RC2822" s="106"/>
      <c r="RD2822" s="106"/>
      <c r="RE2822" s="106"/>
      <c r="RF2822" s="106"/>
      <c r="RG2822" s="106"/>
      <c r="RH2822" s="106"/>
      <c r="RI2822" s="106"/>
      <c r="RJ2822" s="106"/>
      <c r="RK2822" s="106"/>
      <c r="RL2822" s="106"/>
    </row>
    <row r="2823" spans="88:480" x14ac:dyDescent="0.3">
      <c r="CJ2823" s="103"/>
      <c r="FP2823" s="103"/>
      <c r="LL2823" s="103"/>
      <c r="NM2823" s="103"/>
      <c r="QT2823" s="106"/>
      <c r="QU2823" s="106"/>
      <c r="QV2823" s="106"/>
      <c r="QW2823" s="106"/>
      <c r="QX2823" s="106"/>
      <c r="QY2823" s="106"/>
      <c r="QZ2823" s="106"/>
      <c r="RA2823" s="106"/>
      <c r="RB2823" s="106"/>
      <c r="RC2823" s="106"/>
      <c r="RD2823" s="106"/>
      <c r="RE2823" s="106"/>
      <c r="RF2823" s="106"/>
      <c r="RG2823" s="106"/>
      <c r="RH2823" s="106"/>
      <c r="RI2823" s="106"/>
      <c r="RJ2823" s="106"/>
      <c r="RK2823" s="106"/>
      <c r="RL2823" s="106"/>
    </row>
    <row r="2824" spans="88:480" x14ac:dyDescent="0.3">
      <c r="CJ2824" s="103"/>
      <c r="FP2824" s="103"/>
      <c r="LL2824" s="103"/>
      <c r="NM2824" s="103"/>
      <c r="QT2824" s="106"/>
      <c r="QU2824" s="106"/>
      <c r="QV2824" s="106"/>
      <c r="QW2824" s="106"/>
      <c r="QX2824" s="106"/>
      <c r="QY2824" s="106"/>
      <c r="QZ2824" s="106"/>
      <c r="RA2824" s="106"/>
      <c r="RB2824" s="106"/>
      <c r="RC2824" s="106"/>
      <c r="RD2824" s="106"/>
      <c r="RE2824" s="106"/>
      <c r="RF2824" s="106"/>
      <c r="RG2824" s="106"/>
      <c r="RH2824" s="106"/>
      <c r="RI2824" s="106"/>
      <c r="RJ2824" s="106"/>
      <c r="RK2824" s="106"/>
      <c r="RL2824" s="106"/>
    </row>
    <row r="2825" spans="88:480" x14ac:dyDescent="0.3">
      <c r="CJ2825" s="103"/>
      <c r="FP2825" s="103"/>
      <c r="LL2825" s="103"/>
      <c r="NM2825" s="103"/>
      <c r="QT2825" s="106"/>
      <c r="QU2825" s="106"/>
      <c r="QV2825" s="106"/>
      <c r="QW2825" s="106"/>
      <c r="QX2825" s="106"/>
      <c r="QY2825" s="106"/>
      <c r="QZ2825" s="106"/>
      <c r="RA2825" s="106"/>
      <c r="RB2825" s="106"/>
      <c r="RC2825" s="106"/>
      <c r="RD2825" s="106"/>
      <c r="RE2825" s="106"/>
      <c r="RF2825" s="106"/>
      <c r="RG2825" s="106"/>
      <c r="RH2825" s="106"/>
      <c r="RI2825" s="106"/>
      <c r="RJ2825" s="106"/>
      <c r="RK2825" s="106"/>
      <c r="RL2825" s="106"/>
    </row>
    <row r="2826" spans="88:480" x14ac:dyDescent="0.3">
      <c r="CJ2826" s="103"/>
      <c r="FP2826" s="103"/>
      <c r="LL2826" s="103"/>
      <c r="NM2826" s="103"/>
      <c r="QT2826" s="106"/>
      <c r="QU2826" s="106"/>
      <c r="QV2826" s="106"/>
      <c r="QW2826" s="106"/>
      <c r="QX2826" s="106"/>
      <c r="QY2826" s="106"/>
      <c r="QZ2826" s="106"/>
      <c r="RA2826" s="106"/>
      <c r="RB2826" s="106"/>
      <c r="RC2826" s="106"/>
      <c r="RD2826" s="106"/>
      <c r="RE2826" s="106"/>
      <c r="RF2826" s="106"/>
      <c r="RG2826" s="106"/>
      <c r="RH2826" s="106"/>
      <c r="RI2826" s="106"/>
      <c r="RJ2826" s="106"/>
      <c r="RK2826" s="106"/>
      <c r="RL2826" s="106"/>
    </row>
    <row r="2827" spans="88:480" x14ac:dyDescent="0.3">
      <c r="CJ2827" s="103"/>
      <c r="FP2827" s="103"/>
      <c r="LL2827" s="103"/>
      <c r="NM2827" s="103"/>
      <c r="QT2827" s="106"/>
      <c r="QU2827" s="106"/>
      <c r="QV2827" s="106"/>
      <c r="QW2827" s="106"/>
      <c r="QX2827" s="106"/>
      <c r="QY2827" s="106"/>
      <c r="QZ2827" s="106"/>
      <c r="RA2827" s="106"/>
      <c r="RB2827" s="106"/>
      <c r="RC2827" s="106"/>
      <c r="RD2827" s="106"/>
      <c r="RE2827" s="106"/>
      <c r="RF2827" s="106"/>
      <c r="RG2827" s="106"/>
      <c r="RH2827" s="106"/>
      <c r="RI2827" s="106"/>
      <c r="RJ2827" s="106"/>
      <c r="RK2827" s="106"/>
      <c r="RL2827" s="106"/>
    </row>
    <row r="2828" spans="88:480" x14ac:dyDescent="0.3">
      <c r="CJ2828" s="103"/>
      <c r="FP2828" s="103"/>
      <c r="LL2828" s="103"/>
      <c r="NM2828" s="103"/>
      <c r="QT2828" s="106"/>
      <c r="QU2828" s="106"/>
      <c r="QV2828" s="106"/>
      <c r="QW2828" s="106"/>
      <c r="QX2828" s="106"/>
      <c r="QY2828" s="106"/>
      <c r="QZ2828" s="106"/>
      <c r="RA2828" s="106"/>
      <c r="RB2828" s="106"/>
      <c r="RC2828" s="106"/>
      <c r="RD2828" s="106"/>
      <c r="RE2828" s="106"/>
      <c r="RF2828" s="106"/>
      <c r="RG2828" s="106"/>
      <c r="RH2828" s="106"/>
      <c r="RI2828" s="106"/>
      <c r="RJ2828" s="106"/>
      <c r="RK2828" s="106"/>
      <c r="RL2828" s="106"/>
    </row>
    <row r="2829" spans="88:480" x14ac:dyDescent="0.3">
      <c r="CJ2829" s="103"/>
      <c r="FP2829" s="103"/>
      <c r="LL2829" s="103"/>
      <c r="NM2829" s="103"/>
      <c r="QT2829" s="106"/>
      <c r="QU2829" s="106"/>
      <c r="QV2829" s="106"/>
      <c r="QW2829" s="106"/>
      <c r="QX2829" s="106"/>
      <c r="QY2829" s="106"/>
      <c r="QZ2829" s="106"/>
      <c r="RA2829" s="106"/>
      <c r="RB2829" s="106"/>
      <c r="RC2829" s="106"/>
      <c r="RD2829" s="106"/>
      <c r="RE2829" s="106"/>
      <c r="RF2829" s="106"/>
      <c r="RG2829" s="106"/>
      <c r="RH2829" s="106"/>
      <c r="RI2829" s="106"/>
      <c r="RJ2829" s="106"/>
      <c r="RK2829" s="106"/>
      <c r="RL2829" s="106"/>
    </row>
    <row r="2830" spans="88:480" x14ac:dyDescent="0.3">
      <c r="CJ2830" s="103"/>
      <c r="FP2830" s="103"/>
      <c r="LL2830" s="103"/>
      <c r="NM2830" s="103"/>
      <c r="QT2830" s="106"/>
      <c r="QU2830" s="106"/>
      <c r="QV2830" s="106"/>
      <c r="QW2830" s="106"/>
      <c r="QX2830" s="106"/>
      <c r="QY2830" s="106"/>
      <c r="QZ2830" s="106"/>
      <c r="RA2830" s="106"/>
      <c r="RB2830" s="106"/>
      <c r="RC2830" s="106"/>
      <c r="RD2830" s="106"/>
      <c r="RE2830" s="106"/>
      <c r="RF2830" s="106"/>
      <c r="RG2830" s="106"/>
      <c r="RH2830" s="106"/>
      <c r="RI2830" s="106"/>
      <c r="RJ2830" s="106"/>
      <c r="RK2830" s="106"/>
      <c r="RL2830" s="106"/>
    </row>
    <row r="2831" spans="88:480" x14ac:dyDescent="0.3">
      <c r="CJ2831" s="103"/>
      <c r="FP2831" s="103"/>
      <c r="LL2831" s="103"/>
      <c r="NM2831" s="103"/>
      <c r="QT2831" s="106"/>
      <c r="QU2831" s="106"/>
      <c r="QV2831" s="106"/>
      <c r="QW2831" s="106"/>
      <c r="QX2831" s="106"/>
      <c r="QY2831" s="106"/>
      <c r="QZ2831" s="106"/>
      <c r="RA2831" s="106"/>
      <c r="RB2831" s="106"/>
      <c r="RC2831" s="106"/>
      <c r="RD2831" s="106"/>
      <c r="RE2831" s="106"/>
      <c r="RF2831" s="106"/>
      <c r="RG2831" s="106"/>
      <c r="RH2831" s="106"/>
      <c r="RI2831" s="106"/>
      <c r="RJ2831" s="106"/>
      <c r="RK2831" s="106"/>
      <c r="RL2831" s="106"/>
    </row>
    <row r="2832" spans="88:480" x14ac:dyDescent="0.3">
      <c r="CJ2832" s="103"/>
      <c r="FP2832" s="103"/>
      <c r="LL2832" s="103"/>
      <c r="NM2832" s="103"/>
      <c r="QT2832" s="106"/>
      <c r="QU2832" s="106"/>
      <c r="QV2832" s="106"/>
      <c r="QW2832" s="106"/>
      <c r="QX2832" s="106"/>
      <c r="QY2832" s="106"/>
      <c r="QZ2832" s="106"/>
      <c r="RA2832" s="106"/>
      <c r="RB2832" s="106"/>
      <c r="RC2832" s="106"/>
      <c r="RD2832" s="106"/>
      <c r="RE2832" s="106"/>
      <c r="RF2832" s="106"/>
      <c r="RG2832" s="106"/>
      <c r="RH2832" s="106"/>
      <c r="RI2832" s="106"/>
      <c r="RJ2832" s="106"/>
      <c r="RK2832" s="106"/>
      <c r="RL2832" s="106"/>
    </row>
    <row r="2833" spans="88:480" x14ac:dyDescent="0.3">
      <c r="CJ2833" s="103"/>
      <c r="FP2833" s="103"/>
      <c r="LL2833" s="103"/>
      <c r="NM2833" s="103"/>
      <c r="QT2833" s="106"/>
      <c r="QU2833" s="106"/>
      <c r="QV2833" s="106"/>
      <c r="QW2833" s="106"/>
      <c r="QX2833" s="106"/>
      <c r="QY2833" s="106"/>
      <c r="QZ2833" s="106"/>
      <c r="RA2833" s="106"/>
      <c r="RB2833" s="106"/>
      <c r="RC2833" s="106"/>
      <c r="RD2833" s="106"/>
      <c r="RE2833" s="106"/>
      <c r="RF2833" s="106"/>
      <c r="RG2833" s="106"/>
      <c r="RH2833" s="106"/>
      <c r="RI2833" s="106"/>
      <c r="RJ2833" s="106"/>
      <c r="RK2833" s="106"/>
      <c r="RL2833" s="106"/>
    </row>
    <row r="2834" spans="88:480" x14ac:dyDescent="0.3">
      <c r="CJ2834" s="103"/>
      <c r="FP2834" s="103"/>
      <c r="LL2834" s="103"/>
      <c r="NM2834" s="103"/>
      <c r="QT2834" s="106"/>
      <c r="QU2834" s="106"/>
      <c r="QV2834" s="106"/>
      <c r="QW2834" s="106"/>
      <c r="QX2834" s="106"/>
      <c r="QY2834" s="106"/>
      <c r="QZ2834" s="106"/>
      <c r="RA2834" s="106"/>
      <c r="RB2834" s="106"/>
      <c r="RC2834" s="106"/>
      <c r="RD2834" s="106"/>
      <c r="RE2834" s="106"/>
      <c r="RF2834" s="106"/>
      <c r="RG2834" s="106"/>
      <c r="RH2834" s="106"/>
      <c r="RI2834" s="106"/>
      <c r="RJ2834" s="106"/>
      <c r="RK2834" s="106"/>
      <c r="RL2834" s="106"/>
    </row>
    <row r="2835" spans="88:480" x14ac:dyDescent="0.3">
      <c r="CJ2835" s="103"/>
      <c r="FP2835" s="103"/>
      <c r="LL2835" s="103"/>
      <c r="NM2835" s="103"/>
      <c r="QT2835" s="106"/>
      <c r="QU2835" s="106"/>
      <c r="QV2835" s="106"/>
      <c r="QW2835" s="106"/>
      <c r="QX2835" s="106"/>
      <c r="QY2835" s="106"/>
      <c r="QZ2835" s="106"/>
      <c r="RA2835" s="106"/>
      <c r="RB2835" s="106"/>
      <c r="RC2835" s="106"/>
      <c r="RD2835" s="106"/>
      <c r="RE2835" s="106"/>
      <c r="RF2835" s="106"/>
      <c r="RG2835" s="106"/>
      <c r="RH2835" s="106"/>
      <c r="RI2835" s="106"/>
      <c r="RJ2835" s="106"/>
      <c r="RK2835" s="106"/>
      <c r="RL2835" s="106"/>
    </row>
    <row r="2836" spans="88:480" x14ac:dyDescent="0.3">
      <c r="CJ2836" s="103"/>
      <c r="FP2836" s="103"/>
      <c r="LL2836" s="103"/>
      <c r="NM2836" s="103"/>
      <c r="QT2836" s="106"/>
      <c r="QU2836" s="106"/>
      <c r="QV2836" s="106"/>
      <c r="QW2836" s="106"/>
      <c r="QX2836" s="106"/>
      <c r="QY2836" s="106"/>
      <c r="QZ2836" s="106"/>
      <c r="RA2836" s="106"/>
      <c r="RB2836" s="106"/>
      <c r="RC2836" s="106"/>
      <c r="RD2836" s="106"/>
      <c r="RE2836" s="106"/>
      <c r="RF2836" s="106"/>
      <c r="RG2836" s="106"/>
      <c r="RH2836" s="106"/>
      <c r="RI2836" s="106"/>
      <c r="RJ2836" s="106"/>
      <c r="RK2836" s="106"/>
      <c r="RL2836" s="106"/>
    </row>
    <row r="2837" spans="88:480" x14ac:dyDescent="0.3">
      <c r="CJ2837" s="103"/>
      <c r="FP2837" s="103"/>
      <c r="LL2837" s="103"/>
      <c r="NM2837" s="103"/>
      <c r="QT2837" s="106"/>
      <c r="QU2837" s="106"/>
      <c r="QV2837" s="106"/>
      <c r="QW2837" s="106"/>
      <c r="QX2837" s="106"/>
      <c r="QY2837" s="106"/>
      <c r="QZ2837" s="106"/>
      <c r="RA2837" s="106"/>
      <c r="RB2837" s="106"/>
      <c r="RC2837" s="106"/>
      <c r="RD2837" s="106"/>
      <c r="RE2837" s="106"/>
      <c r="RF2837" s="106"/>
      <c r="RG2837" s="106"/>
      <c r="RH2837" s="106"/>
      <c r="RI2837" s="106"/>
      <c r="RJ2837" s="106"/>
      <c r="RK2837" s="106"/>
      <c r="RL2837" s="106"/>
    </row>
    <row r="2838" spans="88:480" x14ac:dyDescent="0.3">
      <c r="CJ2838" s="103"/>
      <c r="FP2838" s="103"/>
      <c r="LL2838" s="103"/>
      <c r="NM2838" s="103"/>
      <c r="QT2838" s="106"/>
      <c r="QU2838" s="106"/>
      <c r="QV2838" s="106"/>
      <c r="QW2838" s="106"/>
      <c r="QX2838" s="106"/>
      <c r="QY2838" s="106"/>
      <c r="QZ2838" s="106"/>
      <c r="RA2838" s="106"/>
      <c r="RB2838" s="106"/>
      <c r="RC2838" s="106"/>
      <c r="RD2838" s="106"/>
      <c r="RE2838" s="106"/>
      <c r="RF2838" s="106"/>
      <c r="RG2838" s="106"/>
      <c r="RH2838" s="106"/>
      <c r="RI2838" s="106"/>
      <c r="RJ2838" s="106"/>
      <c r="RK2838" s="106"/>
      <c r="RL2838" s="106"/>
    </row>
    <row r="2839" spans="88:480" x14ac:dyDescent="0.3">
      <c r="CJ2839" s="103"/>
      <c r="FP2839" s="103"/>
      <c r="LL2839" s="103"/>
      <c r="NM2839" s="103"/>
      <c r="QT2839" s="106"/>
      <c r="QU2839" s="106"/>
      <c r="QV2839" s="106"/>
      <c r="QW2839" s="106"/>
      <c r="QX2839" s="106"/>
      <c r="QY2839" s="106"/>
      <c r="QZ2839" s="106"/>
      <c r="RA2839" s="106"/>
      <c r="RB2839" s="106"/>
      <c r="RC2839" s="106"/>
      <c r="RD2839" s="106"/>
      <c r="RE2839" s="106"/>
      <c r="RF2839" s="106"/>
      <c r="RG2839" s="106"/>
      <c r="RH2839" s="106"/>
      <c r="RI2839" s="106"/>
      <c r="RJ2839" s="106"/>
      <c r="RK2839" s="106"/>
      <c r="RL2839" s="106"/>
    </row>
    <row r="2840" spans="88:480" x14ac:dyDescent="0.3">
      <c r="CJ2840" s="103"/>
      <c r="FP2840" s="103"/>
      <c r="LL2840" s="103"/>
      <c r="NM2840" s="103"/>
      <c r="QT2840" s="106"/>
      <c r="QU2840" s="106"/>
      <c r="QV2840" s="106"/>
      <c r="QW2840" s="106"/>
      <c r="QX2840" s="106"/>
      <c r="QY2840" s="106"/>
      <c r="QZ2840" s="106"/>
      <c r="RA2840" s="106"/>
      <c r="RB2840" s="106"/>
      <c r="RC2840" s="106"/>
      <c r="RD2840" s="106"/>
      <c r="RE2840" s="106"/>
      <c r="RF2840" s="106"/>
      <c r="RG2840" s="106"/>
      <c r="RH2840" s="106"/>
      <c r="RI2840" s="106"/>
      <c r="RJ2840" s="106"/>
      <c r="RK2840" s="106"/>
      <c r="RL2840" s="106"/>
    </row>
    <row r="2841" spans="88:480" x14ac:dyDescent="0.3">
      <c r="CJ2841" s="103"/>
      <c r="FP2841" s="103"/>
      <c r="LL2841" s="103"/>
      <c r="NM2841" s="103"/>
      <c r="QT2841" s="106"/>
      <c r="QU2841" s="106"/>
      <c r="QV2841" s="106"/>
      <c r="QW2841" s="106"/>
      <c r="QX2841" s="106"/>
      <c r="QY2841" s="106"/>
      <c r="QZ2841" s="106"/>
      <c r="RA2841" s="106"/>
      <c r="RB2841" s="106"/>
      <c r="RC2841" s="106"/>
      <c r="RD2841" s="106"/>
      <c r="RE2841" s="106"/>
      <c r="RF2841" s="106"/>
      <c r="RG2841" s="106"/>
      <c r="RH2841" s="106"/>
      <c r="RI2841" s="106"/>
      <c r="RJ2841" s="106"/>
      <c r="RK2841" s="106"/>
      <c r="RL2841" s="106"/>
    </row>
    <row r="2842" spans="88:480" x14ac:dyDescent="0.3">
      <c r="CJ2842" s="103"/>
      <c r="FP2842" s="103"/>
      <c r="LL2842" s="103"/>
      <c r="NM2842" s="103"/>
      <c r="QT2842" s="106"/>
      <c r="QU2842" s="106"/>
      <c r="QV2842" s="106"/>
      <c r="QW2842" s="106"/>
      <c r="QX2842" s="106"/>
      <c r="QY2842" s="106"/>
      <c r="QZ2842" s="106"/>
      <c r="RA2842" s="106"/>
      <c r="RB2842" s="106"/>
      <c r="RC2842" s="106"/>
      <c r="RD2842" s="106"/>
      <c r="RE2842" s="106"/>
      <c r="RF2842" s="106"/>
      <c r="RG2842" s="106"/>
      <c r="RH2842" s="106"/>
      <c r="RI2842" s="106"/>
      <c r="RJ2842" s="106"/>
      <c r="RK2842" s="106"/>
      <c r="RL2842" s="106"/>
    </row>
    <row r="2843" spans="88:480" x14ac:dyDescent="0.3">
      <c r="CJ2843" s="103"/>
      <c r="FP2843" s="103"/>
      <c r="LL2843" s="103"/>
      <c r="NM2843" s="103"/>
      <c r="QT2843" s="106"/>
      <c r="QU2843" s="106"/>
      <c r="QV2843" s="106"/>
      <c r="QW2843" s="106"/>
      <c r="QX2843" s="106"/>
      <c r="QY2843" s="106"/>
      <c r="QZ2843" s="106"/>
      <c r="RA2843" s="106"/>
      <c r="RB2843" s="106"/>
      <c r="RC2843" s="106"/>
      <c r="RD2843" s="106"/>
      <c r="RE2843" s="106"/>
      <c r="RF2843" s="106"/>
      <c r="RG2843" s="106"/>
      <c r="RH2843" s="106"/>
      <c r="RI2843" s="106"/>
      <c r="RJ2843" s="106"/>
      <c r="RK2843" s="106"/>
      <c r="RL2843" s="106"/>
    </row>
    <row r="2844" spans="88:480" x14ac:dyDescent="0.3">
      <c r="CJ2844" s="103"/>
      <c r="FP2844" s="103"/>
      <c r="LL2844" s="103"/>
      <c r="NM2844" s="103"/>
      <c r="QT2844" s="106"/>
      <c r="QU2844" s="106"/>
      <c r="QV2844" s="106"/>
      <c r="QW2844" s="106"/>
      <c r="QX2844" s="106"/>
      <c r="QY2844" s="106"/>
      <c r="QZ2844" s="106"/>
      <c r="RA2844" s="106"/>
      <c r="RB2844" s="106"/>
      <c r="RC2844" s="106"/>
      <c r="RD2844" s="106"/>
      <c r="RE2844" s="106"/>
      <c r="RF2844" s="106"/>
      <c r="RG2844" s="106"/>
      <c r="RH2844" s="106"/>
      <c r="RI2844" s="106"/>
      <c r="RJ2844" s="106"/>
      <c r="RK2844" s="106"/>
      <c r="RL2844" s="106"/>
    </row>
    <row r="2845" spans="88:480" x14ac:dyDescent="0.3">
      <c r="CJ2845" s="103"/>
      <c r="FP2845" s="103"/>
      <c r="LL2845" s="103"/>
      <c r="NM2845" s="103"/>
      <c r="QT2845" s="106"/>
      <c r="QU2845" s="106"/>
      <c r="QV2845" s="106"/>
      <c r="QW2845" s="106"/>
      <c r="QX2845" s="106"/>
      <c r="QY2845" s="106"/>
      <c r="QZ2845" s="106"/>
      <c r="RA2845" s="106"/>
      <c r="RB2845" s="106"/>
      <c r="RC2845" s="106"/>
      <c r="RD2845" s="106"/>
      <c r="RE2845" s="106"/>
      <c r="RF2845" s="106"/>
      <c r="RG2845" s="106"/>
      <c r="RH2845" s="106"/>
      <c r="RI2845" s="106"/>
      <c r="RJ2845" s="106"/>
      <c r="RK2845" s="106"/>
      <c r="RL2845" s="106"/>
    </row>
    <row r="2846" spans="88:480" x14ac:dyDescent="0.3">
      <c r="CJ2846" s="103"/>
      <c r="FP2846" s="103"/>
      <c r="LL2846" s="103"/>
      <c r="NM2846" s="103"/>
      <c r="QT2846" s="106"/>
      <c r="QU2846" s="106"/>
      <c r="QV2846" s="106"/>
      <c r="QW2846" s="106"/>
      <c r="QX2846" s="106"/>
      <c r="QY2846" s="106"/>
      <c r="QZ2846" s="106"/>
      <c r="RA2846" s="106"/>
      <c r="RB2846" s="106"/>
      <c r="RC2846" s="106"/>
      <c r="RD2846" s="106"/>
      <c r="RE2846" s="106"/>
      <c r="RF2846" s="106"/>
      <c r="RG2846" s="106"/>
      <c r="RH2846" s="106"/>
      <c r="RI2846" s="106"/>
      <c r="RJ2846" s="106"/>
      <c r="RK2846" s="106"/>
      <c r="RL2846" s="106"/>
    </row>
    <row r="2847" spans="88:480" x14ac:dyDescent="0.3">
      <c r="CJ2847" s="103"/>
      <c r="FP2847" s="103"/>
      <c r="LL2847" s="103"/>
      <c r="NM2847" s="103"/>
      <c r="QT2847" s="106"/>
      <c r="QU2847" s="106"/>
      <c r="QV2847" s="106"/>
      <c r="QW2847" s="106"/>
      <c r="QX2847" s="106"/>
      <c r="QY2847" s="106"/>
      <c r="QZ2847" s="106"/>
      <c r="RA2847" s="106"/>
      <c r="RB2847" s="106"/>
      <c r="RC2847" s="106"/>
      <c r="RD2847" s="106"/>
      <c r="RE2847" s="106"/>
      <c r="RF2847" s="106"/>
      <c r="RG2847" s="106"/>
      <c r="RH2847" s="106"/>
      <c r="RI2847" s="106"/>
      <c r="RJ2847" s="106"/>
      <c r="RK2847" s="106"/>
      <c r="RL2847" s="106"/>
    </row>
    <row r="2848" spans="88:480" x14ac:dyDescent="0.3">
      <c r="CJ2848" s="103"/>
      <c r="FP2848" s="103"/>
      <c r="LL2848" s="103"/>
      <c r="NM2848" s="103"/>
      <c r="QT2848" s="106"/>
      <c r="QU2848" s="106"/>
      <c r="QV2848" s="106"/>
      <c r="QW2848" s="106"/>
      <c r="QX2848" s="106"/>
      <c r="QY2848" s="106"/>
      <c r="QZ2848" s="106"/>
      <c r="RA2848" s="106"/>
      <c r="RB2848" s="106"/>
      <c r="RC2848" s="106"/>
      <c r="RD2848" s="106"/>
      <c r="RE2848" s="106"/>
      <c r="RF2848" s="106"/>
      <c r="RG2848" s="106"/>
      <c r="RH2848" s="106"/>
      <c r="RI2848" s="106"/>
      <c r="RJ2848" s="106"/>
      <c r="RK2848" s="106"/>
      <c r="RL2848" s="106"/>
    </row>
    <row r="2849" spans="88:480" x14ac:dyDescent="0.3">
      <c r="CJ2849" s="103"/>
      <c r="FP2849" s="103"/>
      <c r="LL2849" s="103"/>
      <c r="NM2849" s="103"/>
      <c r="QT2849" s="106"/>
      <c r="QU2849" s="106"/>
      <c r="QV2849" s="106"/>
      <c r="QW2849" s="106"/>
      <c r="QX2849" s="106"/>
      <c r="QY2849" s="106"/>
      <c r="QZ2849" s="106"/>
      <c r="RA2849" s="106"/>
      <c r="RB2849" s="106"/>
      <c r="RC2849" s="106"/>
      <c r="RD2849" s="106"/>
      <c r="RE2849" s="106"/>
      <c r="RF2849" s="106"/>
      <c r="RG2849" s="106"/>
      <c r="RH2849" s="106"/>
      <c r="RI2849" s="106"/>
      <c r="RJ2849" s="106"/>
      <c r="RK2849" s="106"/>
      <c r="RL2849" s="106"/>
    </row>
    <row r="2850" spans="88:480" x14ac:dyDescent="0.3">
      <c r="CJ2850" s="103"/>
      <c r="FP2850" s="103"/>
      <c r="LL2850" s="103"/>
      <c r="NM2850" s="103"/>
      <c r="QT2850" s="106"/>
      <c r="QU2850" s="106"/>
      <c r="QV2850" s="106"/>
      <c r="QW2850" s="106"/>
      <c r="QX2850" s="106"/>
      <c r="QY2850" s="106"/>
      <c r="QZ2850" s="106"/>
      <c r="RA2850" s="106"/>
      <c r="RB2850" s="106"/>
      <c r="RC2850" s="106"/>
      <c r="RD2850" s="106"/>
      <c r="RE2850" s="106"/>
      <c r="RF2850" s="106"/>
      <c r="RG2850" s="106"/>
      <c r="RH2850" s="106"/>
      <c r="RI2850" s="106"/>
      <c r="RJ2850" s="106"/>
      <c r="RK2850" s="106"/>
      <c r="RL2850" s="106"/>
    </row>
    <row r="2851" spans="88:480" x14ac:dyDescent="0.3">
      <c r="CJ2851" s="103"/>
      <c r="FP2851" s="103"/>
      <c r="LL2851" s="103"/>
      <c r="NM2851" s="103"/>
      <c r="QT2851" s="106"/>
      <c r="QU2851" s="106"/>
      <c r="QV2851" s="106"/>
      <c r="QW2851" s="106"/>
      <c r="QX2851" s="106"/>
      <c r="QY2851" s="106"/>
      <c r="QZ2851" s="106"/>
      <c r="RA2851" s="106"/>
      <c r="RB2851" s="106"/>
      <c r="RC2851" s="106"/>
      <c r="RD2851" s="106"/>
      <c r="RE2851" s="106"/>
      <c r="RF2851" s="106"/>
      <c r="RG2851" s="106"/>
      <c r="RH2851" s="106"/>
      <c r="RI2851" s="106"/>
      <c r="RJ2851" s="106"/>
      <c r="RK2851" s="106"/>
      <c r="RL2851" s="106"/>
    </row>
    <row r="2852" spans="88:480" x14ac:dyDescent="0.3">
      <c r="CJ2852" s="103"/>
      <c r="FP2852" s="103"/>
      <c r="LL2852" s="103"/>
      <c r="NM2852" s="103"/>
      <c r="QT2852" s="106"/>
      <c r="QU2852" s="106"/>
      <c r="QV2852" s="106"/>
      <c r="QW2852" s="106"/>
      <c r="QX2852" s="106"/>
      <c r="QY2852" s="106"/>
      <c r="QZ2852" s="106"/>
      <c r="RA2852" s="106"/>
      <c r="RB2852" s="106"/>
      <c r="RC2852" s="106"/>
      <c r="RD2852" s="106"/>
      <c r="RE2852" s="106"/>
      <c r="RF2852" s="106"/>
      <c r="RG2852" s="106"/>
      <c r="RH2852" s="106"/>
      <c r="RI2852" s="106"/>
      <c r="RJ2852" s="106"/>
      <c r="RK2852" s="106"/>
      <c r="RL2852" s="106"/>
    </row>
    <row r="2853" spans="88:480" x14ac:dyDescent="0.3">
      <c r="CJ2853" s="103"/>
      <c r="FP2853" s="103"/>
      <c r="LL2853" s="103"/>
      <c r="NM2853" s="103"/>
      <c r="QT2853" s="106"/>
      <c r="QU2853" s="106"/>
      <c r="QV2853" s="106"/>
      <c r="QW2853" s="106"/>
      <c r="QX2853" s="106"/>
      <c r="QY2853" s="106"/>
      <c r="QZ2853" s="106"/>
      <c r="RA2853" s="106"/>
      <c r="RB2853" s="106"/>
      <c r="RC2853" s="106"/>
      <c r="RD2853" s="106"/>
      <c r="RE2853" s="106"/>
      <c r="RF2853" s="106"/>
      <c r="RG2853" s="106"/>
      <c r="RH2853" s="106"/>
      <c r="RI2853" s="106"/>
      <c r="RJ2853" s="106"/>
      <c r="RK2853" s="106"/>
      <c r="RL2853" s="106"/>
    </row>
    <row r="2854" spans="88:480" x14ac:dyDescent="0.3">
      <c r="CJ2854" s="103"/>
      <c r="FP2854" s="103"/>
      <c r="LL2854" s="103"/>
      <c r="NM2854" s="103"/>
      <c r="QT2854" s="106"/>
      <c r="QU2854" s="106"/>
      <c r="QV2854" s="106"/>
      <c r="QW2854" s="106"/>
      <c r="QX2854" s="106"/>
      <c r="QY2854" s="106"/>
      <c r="QZ2854" s="106"/>
      <c r="RA2854" s="106"/>
      <c r="RB2854" s="106"/>
      <c r="RC2854" s="106"/>
      <c r="RD2854" s="106"/>
      <c r="RE2854" s="106"/>
      <c r="RF2854" s="106"/>
      <c r="RG2854" s="106"/>
      <c r="RH2854" s="106"/>
      <c r="RI2854" s="106"/>
      <c r="RJ2854" s="106"/>
      <c r="RK2854" s="106"/>
      <c r="RL2854" s="106"/>
    </row>
    <row r="2855" spans="88:480" x14ac:dyDescent="0.3">
      <c r="CJ2855" s="103"/>
      <c r="FP2855" s="103"/>
      <c r="LL2855" s="103"/>
      <c r="NM2855" s="103"/>
      <c r="QT2855" s="106"/>
      <c r="QU2855" s="106"/>
      <c r="QV2855" s="106"/>
      <c r="QW2855" s="106"/>
      <c r="QX2855" s="106"/>
      <c r="QY2855" s="106"/>
      <c r="QZ2855" s="106"/>
      <c r="RA2855" s="106"/>
      <c r="RB2855" s="106"/>
      <c r="RC2855" s="106"/>
      <c r="RD2855" s="106"/>
      <c r="RE2855" s="106"/>
      <c r="RF2855" s="106"/>
      <c r="RG2855" s="106"/>
      <c r="RH2855" s="106"/>
      <c r="RI2855" s="106"/>
      <c r="RJ2855" s="106"/>
      <c r="RK2855" s="106"/>
      <c r="RL2855" s="106"/>
    </row>
    <row r="2856" spans="88:480" x14ac:dyDescent="0.3">
      <c r="CJ2856" s="103"/>
      <c r="FP2856" s="103"/>
      <c r="LL2856" s="103"/>
      <c r="NM2856" s="103"/>
      <c r="QT2856" s="106"/>
      <c r="QU2856" s="106"/>
      <c r="QV2856" s="106"/>
      <c r="QW2856" s="106"/>
      <c r="QX2856" s="106"/>
      <c r="QY2856" s="106"/>
      <c r="QZ2856" s="106"/>
      <c r="RA2856" s="106"/>
      <c r="RB2856" s="106"/>
      <c r="RC2856" s="106"/>
      <c r="RD2856" s="106"/>
      <c r="RE2856" s="106"/>
      <c r="RF2856" s="106"/>
      <c r="RG2856" s="106"/>
      <c r="RH2856" s="106"/>
      <c r="RI2856" s="106"/>
      <c r="RJ2856" s="106"/>
      <c r="RK2856" s="106"/>
      <c r="RL2856" s="106"/>
    </row>
    <row r="2857" spans="88:480" x14ac:dyDescent="0.3">
      <c r="CJ2857" s="103"/>
      <c r="FP2857" s="103"/>
      <c r="LL2857" s="103"/>
      <c r="NM2857" s="103"/>
      <c r="QT2857" s="106"/>
      <c r="QU2857" s="106"/>
      <c r="QV2857" s="106"/>
      <c r="QW2857" s="106"/>
      <c r="QX2857" s="106"/>
      <c r="QY2857" s="106"/>
      <c r="QZ2857" s="106"/>
      <c r="RA2857" s="106"/>
      <c r="RB2857" s="106"/>
      <c r="RC2857" s="106"/>
      <c r="RD2857" s="106"/>
      <c r="RE2857" s="106"/>
      <c r="RF2857" s="106"/>
      <c r="RG2857" s="106"/>
      <c r="RH2857" s="106"/>
      <c r="RI2857" s="106"/>
      <c r="RJ2857" s="106"/>
      <c r="RK2857" s="106"/>
      <c r="RL2857" s="106"/>
    </row>
    <row r="2858" spans="88:480" x14ac:dyDescent="0.3">
      <c r="CJ2858" s="103"/>
      <c r="FP2858" s="103"/>
      <c r="LL2858" s="103"/>
      <c r="NM2858" s="103"/>
      <c r="QT2858" s="106"/>
      <c r="QU2858" s="106"/>
      <c r="QV2858" s="106"/>
      <c r="QW2858" s="106"/>
      <c r="QX2858" s="106"/>
      <c r="QY2858" s="106"/>
      <c r="QZ2858" s="106"/>
      <c r="RA2858" s="106"/>
      <c r="RB2858" s="106"/>
      <c r="RC2858" s="106"/>
      <c r="RD2858" s="106"/>
      <c r="RE2858" s="106"/>
      <c r="RF2858" s="106"/>
      <c r="RG2858" s="106"/>
      <c r="RH2858" s="106"/>
      <c r="RI2858" s="106"/>
      <c r="RJ2858" s="106"/>
      <c r="RK2858" s="106"/>
      <c r="RL2858" s="106"/>
    </row>
    <row r="2859" spans="88:480" x14ac:dyDescent="0.3">
      <c r="CJ2859" s="103"/>
      <c r="FP2859" s="103"/>
      <c r="LL2859" s="103"/>
      <c r="NM2859" s="103"/>
      <c r="QT2859" s="106"/>
      <c r="QU2859" s="106"/>
      <c r="QV2859" s="106"/>
      <c r="QW2859" s="106"/>
      <c r="QX2859" s="106"/>
      <c r="QY2859" s="106"/>
      <c r="QZ2859" s="106"/>
      <c r="RA2859" s="106"/>
      <c r="RB2859" s="106"/>
      <c r="RC2859" s="106"/>
      <c r="RD2859" s="106"/>
      <c r="RE2859" s="106"/>
      <c r="RF2859" s="106"/>
      <c r="RG2859" s="106"/>
      <c r="RH2859" s="106"/>
      <c r="RI2859" s="106"/>
      <c r="RJ2859" s="106"/>
      <c r="RK2859" s="106"/>
      <c r="RL2859" s="106"/>
    </row>
    <row r="2860" spans="88:480" x14ac:dyDescent="0.3">
      <c r="CJ2860" s="103"/>
      <c r="FP2860" s="103"/>
      <c r="LL2860" s="103"/>
      <c r="NM2860" s="103"/>
      <c r="QT2860" s="106"/>
      <c r="QU2860" s="106"/>
      <c r="QV2860" s="106"/>
      <c r="QW2860" s="106"/>
      <c r="QX2860" s="106"/>
      <c r="QY2860" s="106"/>
      <c r="QZ2860" s="106"/>
      <c r="RA2860" s="106"/>
      <c r="RB2860" s="106"/>
      <c r="RC2860" s="106"/>
      <c r="RD2860" s="106"/>
      <c r="RE2860" s="106"/>
      <c r="RF2860" s="106"/>
      <c r="RG2860" s="106"/>
      <c r="RH2860" s="106"/>
      <c r="RI2860" s="106"/>
      <c r="RJ2860" s="106"/>
      <c r="RK2860" s="106"/>
      <c r="RL2860" s="106"/>
    </row>
    <row r="2861" spans="88:480" x14ac:dyDescent="0.3">
      <c r="CJ2861" s="103"/>
      <c r="FP2861" s="103"/>
      <c r="LL2861" s="103"/>
      <c r="NM2861" s="103"/>
      <c r="QT2861" s="106"/>
      <c r="QU2861" s="106"/>
      <c r="QV2861" s="106"/>
      <c r="QW2861" s="106"/>
      <c r="QX2861" s="106"/>
      <c r="QY2861" s="106"/>
      <c r="QZ2861" s="106"/>
      <c r="RA2861" s="106"/>
      <c r="RB2861" s="106"/>
      <c r="RC2861" s="106"/>
      <c r="RD2861" s="106"/>
      <c r="RE2861" s="106"/>
      <c r="RF2861" s="106"/>
      <c r="RG2861" s="106"/>
      <c r="RH2861" s="106"/>
      <c r="RI2861" s="106"/>
      <c r="RJ2861" s="106"/>
      <c r="RK2861" s="106"/>
      <c r="RL2861" s="106"/>
    </row>
    <row r="2862" spans="88:480" x14ac:dyDescent="0.3">
      <c r="CJ2862" s="103"/>
      <c r="FP2862" s="103"/>
      <c r="LL2862" s="103"/>
      <c r="NM2862" s="103"/>
      <c r="QT2862" s="106"/>
      <c r="QU2862" s="106"/>
      <c r="QV2862" s="106"/>
      <c r="QW2862" s="106"/>
      <c r="QX2862" s="106"/>
      <c r="QY2862" s="106"/>
      <c r="QZ2862" s="106"/>
      <c r="RA2862" s="106"/>
      <c r="RB2862" s="106"/>
      <c r="RC2862" s="106"/>
      <c r="RD2862" s="106"/>
      <c r="RE2862" s="106"/>
      <c r="RF2862" s="106"/>
      <c r="RG2862" s="106"/>
      <c r="RH2862" s="106"/>
      <c r="RI2862" s="106"/>
      <c r="RJ2862" s="106"/>
      <c r="RK2862" s="106"/>
      <c r="RL2862" s="106"/>
    </row>
    <row r="2863" spans="88:480" x14ac:dyDescent="0.3">
      <c r="CJ2863" s="103"/>
      <c r="FP2863" s="103"/>
      <c r="LL2863" s="103"/>
      <c r="NM2863" s="103"/>
      <c r="QT2863" s="106"/>
      <c r="QU2863" s="106"/>
      <c r="QV2863" s="106"/>
      <c r="QW2863" s="106"/>
      <c r="QX2863" s="106"/>
      <c r="QY2863" s="106"/>
      <c r="QZ2863" s="106"/>
      <c r="RA2863" s="106"/>
      <c r="RB2863" s="106"/>
      <c r="RC2863" s="106"/>
      <c r="RD2863" s="106"/>
      <c r="RE2863" s="106"/>
      <c r="RF2863" s="106"/>
      <c r="RG2863" s="106"/>
      <c r="RH2863" s="106"/>
      <c r="RI2863" s="106"/>
      <c r="RJ2863" s="106"/>
      <c r="RK2863" s="106"/>
      <c r="RL2863" s="106"/>
    </row>
    <row r="2864" spans="88:480" x14ac:dyDescent="0.3">
      <c r="CJ2864" s="103"/>
      <c r="FP2864" s="103"/>
      <c r="LL2864" s="103"/>
      <c r="NM2864" s="103"/>
      <c r="QT2864" s="106"/>
      <c r="QU2864" s="106"/>
      <c r="QV2864" s="106"/>
      <c r="QW2864" s="106"/>
      <c r="QX2864" s="106"/>
      <c r="QY2864" s="106"/>
      <c r="QZ2864" s="106"/>
      <c r="RA2864" s="106"/>
      <c r="RB2864" s="106"/>
      <c r="RC2864" s="106"/>
      <c r="RD2864" s="106"/>
      <c r="RE2864" s="106"/>
      <c r="RF2864" s="106"/>
      <c r="RG2864" s="106"/>
      <c r="RH2864" s="106"/>
      <c r="RI2864" s="106"/>
      <c r="RJ2864" s="106"/>
      <c r="RK2864" s="106"/>
      <c r="RL2864" s="106"/>
    </row>
    <row r="2865" spans="88:480" x14ac:dyDescent="0.3">
      <c r="CJ2865" s="103"/>
      <c r="FP2865" s="103"/>
      <c r="LL2865" s="103"/>
      <c r="NM2865" s="103"/>
      <c r="QT2865" s="106"/>
      <c r="QU2865" s="106"/>
      <c r="QV2865" s="106"/>
      <c r="QW2865" s="106"/>
      <c r="QX2865" s="106"/>
      <c r="QY2865" s="106"/>
      <c r="QZ2865" s="106"/>
      <c r="RA2865" s="106"/>
      <c r="RB2865" s="106"/>
      <c r="RC2865" s="106"/>
      <c r="RD2865" s="106"/>
      <c r="RE2865" s="106"/>
      <c r="RF2865" s="106"/>
      <c r="RG2865" s="106"/>
      <c r="RH2865" s="106"/>
      <c r="RI2865" s="106"/>
      <c r="RJ2865" s="106"/>
      <c r="RK2865" s="106"/>
      <c r="RL2865" s="106"/>
    </row>
    <row r="2866" spans="88:480" x14ac:dyDescent="0.3">
      <c r="CJ2866" s="103"/>
      <c r="FP2866" s="103"/>
      <c r="LL2866" s="103"/>
      <c r="NM2866" s="103"/>
      <c r="QT2866" s="106"/>
      <c r="QU2866" s="106"/>
      <c r="QV2866" s="106"/>
      <c r="QW2866" s="106"/>
      <c r="QX2866" s="106"/>
      <c r="QY2866" s="106"/>
      <c r="QZ2866" s="106"/>
      <c r="RA2866" s="106"/>
      <c r="RB2866" s="106"/>
      <c r="RC2866" s="106"/>
      <c r="RD2866" s="106"/>
      <c r="RE2866" s="106"/>
      <c r="RF2866" s="106"/>
      <c r="RG2866" s="106"/>
      <c r="RH2866" s="106"/>
      <c r="RI2866" s="106"/>
      <c r="RJ2866" s="106"/>
      <c r="RK2866" s="106"/>
      <c r="RL2866" s="106"/>
    </row>
    <row r="2867" spans="88:480" x14ac:dyDescent="0.3">
      <c r="CJ2867" s="103"/>
      <c r="FP2867" s="103"/>
      <c r="LL2867" s="103"/>
      <c r="NM2867" s="103"/>
      <c r="QT2867" s="106"/>
      <c r="QU2867" s="106"/>
      <c r="QV2867" s="106"/>
      <c r="QW2867" s="106"/>
      <c r="QX2867" s="106"/>
      <c r="QY2867" s="106"/>
      <c r="QZ2867" s="106"/>
      <c r="RA2867" s="106"/>
      <c r="RB2867" s="106"/>
      <c r="RC2867" s="106"/>
      <c r="RD2867" s="106"/>
      <c r="RE2867" s="106"/>
      <c r="RF2867" s="106"/>
      <c r="RG2867" s="106"/>
      <c r="RH2867" s="106"/>
      <c r="RI2867" s="106"/>
      <c r="RJ2867" s="106"/>
      <c r="RK2867" s="106"/>
      <c r="RL2867" s="106"/>
    </row>
    <row r="2868" spans="88:480" x14ac:dyDescent="0.3">
      <c r="CJ2868" s="103"/>
      <c r="FP2868" s="103"/>
      <c r="LL2868" s="103"/>
      <c r="NM2868" s="103"/>
      <c r="QT2868" s="106"/>
      <c r="QU2868" s="106"/>
      <c r="QV2868" s="106"/>
      <c r="QW2868" s="106"/>
      <c r="QX2868" s="106"/>
      <c r="QY2868" s="106"/>
      <c r="QZ2868" s="106"/>
      <c r="RA2868" s="106"/>
      <c r="RB2868" s="106"/>
      <c r="RC2868" s="106"/>
      <c r="RD2868" s="106"/>
      <c r="RE2868" s="106"/>
      <c r="RF2868" s="106"/>
      <c r="RG2868" s="106"/>
      <c r="RH2868" s="106"/>
      <c r="RI2868" s="106"/>
      <c r="RJ2868" s="106"/>
      <c r="RK2868" s="106"/>
      <c r="RL2868" s="106"/>
    </row>
    <row r="2869" spans="88:480" x14ac:dyDescent="0.3">
      <c r="CJ2869" s="103"/>
      <c r="FP2869" s="103"/>
      <c r="LL2869" s="103"/>
      <c r="NM2869" s="103"/>
      <c r="QT2869" s="106"/>
      <c r="QU2869" s="106"/>
      <c r="QV2869" s="106"/>
      <c r="QW2869" s="106"/>
      <c r="QX2869" s="106"/>
      <c r="QY2869" s="106"/>
      <c r="QZ2869" s="106"/>
      <c r="RA2869" s="106"/>
      <c r="RB2869" s="106"/>
      <c r="RC2869" s="106"/>
      <c r="RD2869" s="106"/>
      <c r="RE2869" s="106"/>
      <c r="RF2869" s="106"/>
      <c r="RG2869" s="106"/>
      <c r="RH2869" s="106"/>
      <c r="RI2869" s="106"/>
      <c r="RJ2869" s="106"/>
      <c r="RK2869" s="106"/>
      <c r="RL2869" s="106"/>
    </row>
    <row r="2870" spans="88:480" x14ac:dyDescent="0.3">
      <c r="CJ2870" s="103"/>
      <c r="FP2870" s="103"/>
      <c r="LL2870" s="103"/>
      <c r="NM2870" s="103"/>
      <c r="QT2870" s="106"/>
      <c r="QU2870" s="106"/>
      <c r="QV2870" s="106"/>
      <c r="QW2870" s="106"/>
      <c r="QX2870" s="106"/>
      <c r="QY2870" s="106"/>
      <c r="QZ2870" s="106"/>
      <c r="RA2870" s="106"/>
      <c r="RB2870" s="106"/>
      <c r="RC2870" s="106"/>
      <c r="RD2870" s="106"/>
      <c r="RE2870" s="106"/>
      <c r="RF2870" s="106"/>
      <c r="RG2870" s="106"/>
      <c r="RH2870" s="106"/>
      <c r="RI2870" s="106"/>
      <c r="RJ2870" s="106"/>
      <c r="RK2870" s="106"/>
      <c r="RL2870" s="106"/>
    </row>
    <row r="2871" spans="88:480" x14ac:dyDescent="0.3">
      <c r="CJ2871" s="103"/>
      <c r="FP2871" s="103"/>
      <c r="LL2871" s="103"/>
      <c r="NM2871" s="103"/>
      <c r="QT2871" s="106"/>
      <c r="QU2871" s="106"/>
      <c r="QV2871" s="106"/>
      <c r="QW2871" s="106"/>
      <c r="QX2871" s="106"/>
      <c r="QY2871" s="106"/>
      <c r="QZ2871" s="106"/>
      <c r="RA2871" s="106"/>
      <c r="RB2871" s="106"/>
      <c r="RC2871" s="106"/>
      <c r="RD2871" s="106"/>
      <c r="RE2871" s="106"/>
      <c r="RF2871" s="106"/>
      <c r="RG2871" s="106"/>
      <c r="RH2871" s="106"/>
      <c r="RI2871" s="106"/>
      <c r="RJ2871" s="106"/>
      <c r="RK2871" s="106"/>
      <c r="RL2871" s="106"/>
    </row>
    <row r="2872" spans="88:480" x14ac:dyDescent="0.3">
      <c r="CJ2872" s="103"/>
      <c r="FP2872" s="103"/>
      <c r="LL2872" s="103"/>
      <c r="NM2872" s="103"/>
      <c r="QT2872" s="106"/>
      <c r="QU2872" s="106"/>
      <c r="QV2872" s="106"/>
      <c r="QW2872" s="106"/>
      <c r="QX2872" s="106"/>
      <c r="QY2872" s="106"/>
      <c r="QZ2872" s="106"/>
      <c r="RA2872" s="106"/>
      <c r="RB2872" s="106"/>
      <c r="RC2872" s="106"/>
      <c r="RD2872" s="106"/>
      <c r="RE2872" s="106"/>
      <c r="RF2872" s="106"/>
      <c r="RG2872" s="106"/>
      <c r="RH2872" s="106"/>
      <c r="RI2872" s="106"/>
      <c r="RJ2872" s="106"/>
      <c r="RK2872" s="106"/>
      <c r="RL2872" s="106"/>
    </row>
    <row r="2873" spans="88:480" x14ac:dyDescent="0.3">
      <c r="CJ2873" s="103"/>
      <c r="FP2873" s="103"/>
      <c r="LL2873" s="103"/>
      <c r="NM2873" s="103"/>
      <c r="QT2873" s="106"/>
      <c r="QU2873" s="106"/>
      <c r="QV2873" s="106"/>
      <c r="QW2873" s="106"/>
      <c r="QX2873" s="106"/>
      <c r="QY2873" s="106"/>
      <c r="QZ2873" s="106"/>
      <c r="RA2873" s="106"/>
      <c r="RB2873" s="106"/>
      <c r="RC2873" s="106"/>
      <c r="RD2873" s="106"/>
      <c r="RE2873" s="106"/>
      <c r="RF2873" s="106"/>
      <c r="RG2873" s="106"/>
      <c r="RH2873" s="106"/>
      <c r="RI2873" s="106"/>
      <c r="RJ2873" s="106"/>
      <c r="RK2873" s="106"/>
      <c r="RL2873" s="106"/>
    </row>
    <row r="2874" spans="88:480" x14ac:dyDescent="0.3">
      <c r="CJ2874" s="103"/>
      <c r="FP2874" s="103"/>
      <c r="LL2874" s="103"/>
      <c r="NM2874" s="103"/>
      <c r="QT2874" s="106"/>
      <c r="QU2874" s="106"/>
      <c r="QV2874" s="106"/>
      <c r="QW2874" s="106"/>
      <c r="QX2874" s="106"/>
      <c r="QY2874" s="106"/>
      <c r="QZ2874" s="106"/>
      <c r="RA2874" s="106"/>
      <c r="RB2874" s="106"/>
      <c r="RC2874" s="106"/>
      <c r="RD2874" s="106"/>
      <c r="RE2874" s="106"/>
      <c r="RF2874" s="106"/>
      <c r="RG2874" s="106"/>
      <c r="RH2874" s="106"/>
      <c r="RI2874" s="106"/>
      <c r="RJ2874" s="106"/>
      <c r="RK2874" s="106"/>
      <c r="RL2874" s="106"/>
    </row>
    <row r="2875" spans="88:480" x14ac:dyDescent="0.3">
      <c r="CJ2875" s="103"/>
      <c r="FP2875" s="103"/>
      <c r="LL2875" s="103"/>
      <c r="NM2875" s="103"/>
      <c r="QT2875" s="106"/>
      <c r="QU2875" s="106"/>
      <c r="QV2875" s="106"/>
      <c r="QW2875" s="106"/>
      <c r="QX2875" s="106"/>
      <c r="QY2875" s="106"/>
      <c r="QZ2875" s="106"/>
      <c r="RA2875" s="106"/>
      <c r="RB2875" s="106"/>
      <c r="RC2875" s="106"/>
      <c r="RD2875" s="106"/>
      <c r="RE2875" s="106"/>
      <c r="RF2875" s="106"/>
      <c r="RG2875" s="106"/>
      <c r="RH2875" s="106"/>
      <c r="RI2875" s="106"/>
      <c r="RJ2875" s="106"/>
      <c r="RK2875" s="106"/>
      <c r="RL2875" s="106"/>
    </row>
    <row r="2876" spans="88:480" x14ac:dyDescent="0.3">
      <c r="CJ2876" s="103"/>
      <c r="FP2876" s="103"/>
      <c r="LL2876" s="103"/>
      <c r="NM2876" s="103"/>
      <c r="QT2876" s="106"/>
      <c r="QU2876" s="106"/>
      <c r="QV2876" s="106"/>
      <c r="QW2876" s="106"/>
      <c r="QX2876" s="106"/>
      <c r="QY2876" s="106"/>
      <c r="QZ2876" s="106"/>
      <c r="RA2876" s="106"/>
      <c r="RB2876" s="106"/>
      <c r="RC2876" s="106"/>
      <c r="RD2876" s="106"/>
      <c r="RE2876" s="106"/>
      <c r="RF2876" s="106"/>
      <c r="RG2876" s="106"/>
      <c r="RH2876" s="106"/>
      <c r="RI2876" s="106"/>
      <c r="RJ2876" s="106"/>
      <c r="RK2876" s="106"/>
      <c r="RL2876" s="106"/>
    </row>
    <row r="2877" spans="88:480" x14ac:dyDescent="0.3">
      <c r="CJ2877" s="103"/>
      <c r="FP2877" s="103"/>
      <c r="LL2877" s="103"/>
      <c r="NM2877" s="103"/>
      <c r="QT2877" s="106"/>
      <c r="QU2877" s="106"/>
      <c r="QV2877" s="106"/>
      <c r="QW2877" s="106"/>
      <c r="QX2877" s="106"/>
      <c r="QY2877" s="106"/>
      <c r="QZ2877" s="106"/>
      <c r="RA2877" s="106"/>
      <c r="RB2877" s="106"/>
      <c r="RC2877" s="106"/>
      <c r="RD2877" s="106"/>
      <c r="RE2877" s="106"/>
      <c r="RF2877" s="106"/>
      <c r="RG2877" s="106"/>
      <c r="RH2877" s="106"/>
      <c r="RI2877" s="106"/>
      <c r="RJ2877" s="106"/>
      <c r="RK2877" s="106"/>
      <c r="RL2877" s="106"/>
    </row>
    <row r="2878" spans="88:480" x14ac:dyDescent="0.3">
      <c r="CJ2878" s="103"/>
      <c r="FP2878" s="103"/>
      <c r="LL2878" s="103"/>
      <c r="NM2878" s="103"/>
      <c r="QT2878" s="106"/>
      <c r="QU2878" s="106"/>
      <c r="QV2878" s="106"/>
      <c r="QW2878" s="106"/>
      <c r="QX2878" s="106"/>
      <c r="QY2878" s="106"/>
      <c r="QZ2878" s="106"/>
      <c r="RA2878" s="106"/>
      <c r="RB2878" s="106"/>
      <c r="RC2878" s="106"/>
      <c r="RD2878" s="106"/>
      <c r="RE2878" s="106"/>
      <c r="RF2878" s="106"/>
      <c r="RG2878" s="106"/>
      <c r="RH2878" s="106"/>
      <c r="RI2878" s="106"/>
      <c r="RJ2878" s="106"/>
      <c r="RK2878" s="106"/>
      <c r="RL2878" s="106"/>
    </row>
    <row r="2879" spans="88:480" x14ac:dyDescent="0.3">
      <c r="CJ2879" s="103"/>
      <c r="FP2879" s="103"/>
      <c r="LL2879" s="103"/>
      <c r="NM2879" s="103"/>
      <c r="QT2879" s="106"/>
      <c r="QU2879" s="106"/>
      <c r="QV2879" s="106"/>
      <c r="QW2879" s="106"/>
      <c r="QX2879" s="106"/>
      <c r="QY2879" s="106"/>
      <c r="QZ2879" s="106"/>
      <c r="RA2879" s="106"/>
      <c r="RB2879" s="106"/>
      <c r="RC2879" s="106"/>
      <c r="RD2879" s="106"/>
      <c r="RE2879" s="106"/>
      <c r="RF2879" s="106"/>
      <c r="RG2879" s="106"/>
      <c r="RH2879" s="106"/>
      <c r="RI2879" s="106"/>
      <c r="RJ2879" s="106"/>
      <c r="RK2879" s="106"/>
      <c r="RL2879" s="106"/>
    </row>
    <row r="2880" spans="88:480" x14ac:dyDescent="0.3">
      <c r="CJ2880" s="103"/>
      <c r="FP2880" s="103"/>
      <c r="LL2880" s="103"/>
      <c r="NM2880" s="103"/>
      <c r="QT2880" s="106"/>
      <c r="QU2880" s="106"/>
      <c r="QV2880" s="106"/>
      <c r="QW2880" s="106"/>
      <c r="QX2880" s="106"/>
      <c r="QY2880" s="106"/>
      <c r="QZ2880" s="106"/>
      <c r="RA2880" s="106"/>
      <c r="RB2880" s="106"/>
      <c r="RC2880" s="106"/>
      <c r="RD2880" s="106"/>
      <c r="RE2880" s="106"/>
      <c r="RF2880" s="106"/>
      <c r="RG2880" s="106"/>
      <c r="RH2880" s="106"/>
      <c r="RI2880" s="106"/>
      <c r="RJ2880" s="106"/>
      <c r="RK2880" s="106"/>
      <c r="RL2880" s="106"/>
    </row>
    <row r="2881" spans="88:480" x14ac:dyDescent="0.3">
      <c r="CJ2881" s="103"/>
      <c r="FP2881" s="103"/>
      <c r="LL2881" s="103"/>
      <c r="NM2881" s="103"/>
      <c r="QT2881" s="106"/>
      <c r="QU2881" s="106"/>
      <c r="QV2881" s="106"/>
      <c r="QW2881" s="106"/>
      <c r="QX2881" s="106"/>
      <c r="QY2881" s="106"/>
      <c r="QZ2881" s="106"/>
      <c r="RA2881" s="106"/>
      <c r="RB2881" s="106"/>
      <c r="RC2881" s="106"/>
      <c r="RD2881" s="106"/>
      <c r="RE2881" s="106"/>
      <c r="RF2881" s="106"/>
      <c r="RG2881" s="106"/>
      <c r="RH2881" s="106"/>
      <c r="RI2881" s="106"/>
      <c r="RJ2881" s="106"/>
      <c r="RK2881" s="106"/>
      <c r="RL2881" s="106"/>
    </row>
    <row r="2882" spans="88:480" x14ac:dyDescent="0.3">
      <c r="CJ2882" s="103"/>
      <c r="FP2882" s="103"/>
      <c r="LL2882" s="103"/>
      <c r="NM2882" s="103"/>
      <c r="QT2882" s="106"/>
      <c r="QU2882" s="106"/>
      <c r="QV2882" s="106"/>
      <c r="QW2882" s="106"/>
      <c r="QX2882" s="106"/>
      <c r="QY2882" s="106"/>
      <c r="QZ2882" s="106"/>
      <c r="RA2882" s="106"/>
      <c r="RB2882" s="106"/>
      <c r="RC2882" s="106"/>
      <c r="RD2882" s="106"/>
      <c r="RE2882" s="106"/>
      <c r="RF2882" s="106"/>
      <c r="RG2882" s="106"/>
      <c r="RH2882" s="106"/>
      <c r="RI2882" s="106"/>
      <c r="RJ2882" s="106"/>
      <c r="RK2882" s="106"/>
      <c r="RL2882" s="106"/>
    </row>
    <row r="2883" spans="88:480" x14ac:dyDescent="0.3">
      <c r="CJ2883" s="103"/>
      <c r="FP2883" s="103"/>
      <c r="LL2883" s="103"/>
      <c r="NM2883" s="103"/>
      <c r="QT2883" s="106"/>
      <c r="QU2883" s="106"/>
      <c r="QV2883" s="106"/>
      <c r="QW2883" s="106"/>
      <c r="QX2883" s="106"/>
      <c r="QY2883" s="106"/>
      <c r="QZ2883" s="106"/>
      <c r="RA2883" s="106"/>
      <c r="RB2883" s="106"/>
      <c r="RC2883" s="106"/>
      <c r="RD2883" s="106"/>
      <c r="RE2883" s="106"/>
      <c r="RF2883" s="106"/>
      <c r="RG2883" s="106"/>
      <c r="RH2883" s="106"/>
      <c r="RI2883" s="106"/>
      <c r="RJ2883" s="106"/>
      <c r="RK2883" s="106"/>
      <c r="RL2883" s="106"/>
    </row>
    <row r="2884" spans="88:480" x14ac:dyDescent="0.3">
      <c r="CJ2884" s="103"/>
      <c r="FP2884" s="103"/>
      <c r="LL2884" s="103"/>
      <c r="NM2884" s="103"/>
      <c r="QT2884" s="106"/>
      <c r="QU2884" s="106"/>
      <c r="QV2884" s="106"/>
      <c r="QW2884" s="106"/>
      <c r="QX2884" s="106"/>
      <c r="QY2884" s="106"/>
      <c r="QZ2884" s="106"/>
      <c r="RA2884" s="106"/>
      <c r="RB2884" s="106"/>
      <c r="RC2884" s="106"/>
      <c r="RD2884" s="106"/>
      <c r="RE2884" s="106"/>
      <c r="RF2884" s="106"/>
      <c r="RG2884" s="106"/>
      <c r="RH2884" s="106"/>
      <c r="RI2884" s="106"/>
      <c r="RJ2884" s="106"/>
      <c r="RK2884" s="106"/>
      <c r="RL2884" s="106"/>
    </row>
    <row r="2885" spans="88:480" x14ac:dyDescent="0.3">
      <c r="CJ2885" s="103"/>
      <c r="FP2885" s="103"/>
      <c r="LL2885" s="103"/>
      <c r="NM2885" s="103"/>
      <c r="QT2885" s="106"/>
      <c r="QU2885" s="106"/>
      <c r="QV2885" s="106"/>
      <c r="QW2885" s="106"/>
      <c r="QX2885" s="106"/>
      <c r="QY2885" s="106"/>
      <c r="QZ2885" s="106"/>
      <c r="RA2885" s="106"/>
      <c r="RB2885" s="106"/>
      <c r="RC2885" s="106"/>
      <c r="RD2885" s="106"/>
      <c r="RE2885" s="106"/>
      <c r="RF2885" s="106"/>
      <c r="RG2885" s="106"/>
      <c r="RH2885" s="106"/>
      <c r="RI2885" s="106"/>
      <c r="RJ2885" s="106"/>
      <c r="RK2885" s="106"/>
      <c r="RL2885" s="106"/>
    </row>
    <row r="2886" spans="88:480" x14ac:dyDescent="0.3">
      <c r="CJ2886" s="103"/>
      <c r="FP2886" s="103"/>
      <c r="LL2886" s="103"/>
      <c r="NM2886" s="103"/>
      <c r="QT2886" s="106"/>
      <c r="QU2886" s="106"/>
      <c r="QV2886" s="106"/>
      <c r="QW2886" s="106"/>
      <c r="QX2886" s="106"/>
      <c r="QY2886" s="106"/>
      <c r="QZ2886" s="106"/>
      <c r="RA2886" s="106"/>
      <c r="RB2886" s="106"/>
      <c r="RC2886" s="106"/>
      <c r="RD2886" s="106"/>
      <c r="RE2886" s="106"/>
      <c r="RF2886" s="106"/>
      <c r="RG2886" s="106"/>
      <c r="RH2886" s="106"/>
      <c r="RI2886" s="106"/>
      <c r="RJ2886" s="106"/>
      <c r="RK2886" s="106"/>
      <c r="RL2886" s="106"/>
    </row>
    <row r="2887" spans="88:480" x14ac:dyDescent="0.3">
      <c r="CJ2887" s="103"/>
      <c r="FP2887" s="103"/>
      <c r="LL2887" s="103"/>
      <c r="NM2887" s="103"/>
      <c r="QT2887" s="106"/>
      <c r="QU2887" s="106"/>
      <c r="QV2887" s="106"/>
      <c r="QW2887" s="106"/>
      <c r="QX2887" s="106"/>
      <c r="QY2887" s="106"/>
      <c r="QZ2887" s="106"/>
      <c r="RA2887" s="106"/>
      <c r="RB2887" s="106"/>
      <c r="RC2887" s="106"/>
      <c r="RD2887" s="106"/>
      <c r="RE2887" s="106"/>
      <c r="RF2887" s="106"/>
      <c r="RG2887" s="106"/>
      <c r="RH2887" s="106"/>
      <c r="RI2887" s="106"/>
      <c r="RJ2887" s="106"/>
      <c r="RK2887" s="106"/>
      <c r="RL2887" s="106"/>
    </row>
    <row r="2888" spans="88:480" x14ac:dyDescent="0.3">
      <c r="CJ2888" s="103"/>
      <c r="FP2888" s="103"/>
      <c r="LL2888" s="103"/>
      <c r="NM2888" s="103"/>
      <c r="QT2888" s="106"/>
      <c r="QU2888" s="106"/>
      <c r="QV2888" s="106"/>
      <c r="QW2888" s="106"/>
      <c r="QX2888" s="106"/>
      <c r="QY2888" s="106"/>
      <c r="QZ2888" s="106"/>
      <c r="RA2888" s="106"/>
      <c r="RB2888" s="106"/>
      <c r="RC2888" s="106"/>
      <c r="RD2888" s="106"/>
      <c r="RE2888" s="106"/>
      <c r="RF2888" s="106"/>
      <c r="RG2888" s="106"/>
      <c r="RH2888" s="106"/>
      <c r="RI2888" s="106"/>
      <c r="RJ2888" s="106"/>
      <c r="RK2888" s="106"/>
      <c r="RL2888" s="106"/>
    </row>
    <row r="2889" spans="88:480" x14ac:dyDescent="0.3">
      <c r="CJ2889" s="103"/>
      <c r="FP2889" s="103"/>
      <c r="LL2889" s="103"/>
      <c r="NM2889" s="103"/>
      <c r="QT2889" s="106"/>
      <c r="QU2889" s="106"/>
      <c r="QV2889" s="106"/>
      <c r="QW2889" s="106"/>
      <c r="QX2889" s="106"/>
      <c r="QY2889" s="106"/>
      <c r="QZ2889" s="106"/>
      <c r="RA2889" s="106"/>
      <c r="RB2889" s="106"/>
      <c r="RC2889" s="106"/>
      <c r="RD2889" s="106"/>
      <c r="RE2889" s="106"/>
      <c r="RF2889" s="106"/>
      <c r="RG2889" s="106"/>
      <c r="RH2889" s="106"/>
      <c r="RI2889" s="106"/>
      <c r="RJ2889" s="106"/>
      <c r="RK2889" s="106"/>
      <c r="RL2889" s="106"/>
    </row>
    <row r="2890" spans="88:480" x14ac:dyDescent="0.3">
      <c r="CJ2890" s="103"/>
      <c r="FP2890" s="103"/>
      <c r="LL2890" s="103"/>
      <c r="NM2890" s="103"/>
      <c r="QT2890" s="106"/>
      <c r="QU2890" s="106"/>
      <c r="QV2890" s="106"/>
      <c r="QW2890" s="106"/>
      <c r="QX2890" s="106"/>
      <c r="QY2890" s="106"/>
      <c r="QZ2890" s="106"/>
      <c r="RA2890" s="106"/>
      <c r="RB2890" s="106"/>
      <c r="RC2890" s="106"/>
      <c r="RD2890" s="106"/>
      <c r="RE2890" s="106"/>
      <c r="RF2890" s="106"/>
      <c r="RG2890" s="106"/>
      <c r="RH2890" s="106"/>
      <c r="RI2890" s="106"/>
      <c r="RJ2890" s="106"/>
      <c r="RK2890" s="106"/>
      <c r="RL2890" s="106"/>
    </row>
    <row r="2891" spans="88:480" x14ac:dyDescent="0.3">
      <c r="CJ2891" s="103"/>
      <c r="FP2891" s="103"/>
      <c r="LL2891" s="103"/>
      <c r="NM2891" s="103"/>
      <c r="QT2891" s="106"/>
      <c r="QU2891" s="106"/>
      <c r="QV2891" s="106"/>
      <c r="QW2891" s="106"/>
      <c r="QX2891" s="106"/>
      <c r="QY2891" s="106"/>
      <c r="QZ2891" s="106"/>
      <c r="RA2891" s="106"/>
      <c r="RB2891" s="106"/>
      <c r="RC2891" s="106"/>
      <c r="RD2891" s="106"/>
      <c r="RE2891" s="106"/>
      <c r="RF2891" s="106"/>
      <c r="RG2891" s="106"/>
      <c r="RH2891" s="106"/>
      <c r="RI2891" s="106"/>
      <c r="RJ2891" s="106"/>
      <c r="RK2891" s="106"/>
      <c r="RL2891" s="106"/>
    </row>
    <row r="2892" spans="88:480" x14ac:dyDescent="0.3">
      <c r="CJ2892" s="103"/>
      <c r="FP2892" s="103"/>
      <c r="LL2892" s="103"/>
      <c r="NM2892" s="103"/>
      <c r="QT2892" s="106"/>
      <c r="QU2892" s="106"/>
      <c r="QV2892" s="106"/>
      <c r="QW2892" s="106"/>
      <c r="QX2892" s="106"/>
      <c r="QY2892" s="106"/>
      <c r="QZ2892" s="106"/>
      <c r="RA2892" s="106"/>
      <c r="RB2892" s="106"/>
      <c r="RC2892" s="106"/>
      <c r="RD2892" s="106"/>
      <c r="RE2892" s="106"/>
      <c r="RF2892" s="106"/>
      <c r="RG2892" s="106"/>
      <c r="RH2892" s="106"/>
      <c r="RI2892" s="106"/>
      <c r="RJ2892" s="106"/>
      <c r="RK2892" s="106"/>
      <c r="RL2892" s="106"/>
    </row>
    <row r="2893" spans="88:480" x14ac:dyDescent="0.3">
      <c r="CJ2893" s="103"/>
      <c r="FP2893" s="103"/>
      <c r="LL2893" s="103"/>
      <c r="NM2893" s="103"/>
      <c r="QT2893" s="106"/>
      <c r="QU2893" s="106"/>
      <c r="QV2893" s="106"/>
      <c r="QW2893" s="106"/>
      <c r="QX2893" s="106"/>
      <c r="QY2893" s="106"/>
      <c r="QZ2893" s="106"/>
      <c r="RA2893" s="106"/>
      <c r="RB2893" s="106"/>
      <c r="RC2893" s="106"/>
      <c r="RD2893" s="106"/>
      <c r="RE2893" s="106"/>
      <c r="RF2893" s="106"/>
      <c r="RG2893" s="106"/>
      <c r="RH2893" s="106"/>
      <c r="RI2893" s="106"/>
      <c r="RJ2893" s="106"/>
      <c r="RK2893" s="106"/>
      <c r="RL2893" s="106"/>
    </row>
    <row r="2894" spans="88:480" x14ac:dyDescent="0.3">
      <c r="CJ2894" s="103"/>
      <c r="FP2894" s="103"/>
      <c r="LL2894" s="103"/>
      <c r="NM2894" s="103"/>
      <c r="QT2894" s="106"/>
      <c r="QU2894" s="106"/>
      <c r="QV2894" s="106"/>
      <c r="QW2894" s="106"/>
      <c r="QX2894" s="106"/>
      <c r="QY2894" s="106"/>
      <c r="QZ2894" s="106"/>
      <c r="RA2894" s="106"/>
      <c r="RB2894" s="106"/>
      <c r="RC2894" s="106"/>
      <c r="RD2894" s="106"/>
      <c r="RE2894" s="106"/>
      <c r="RF2894" s="106"/>
      <c r="RG2894" s="106"/>
      <c r="RH2894" s="106"/>
      <c r="RI2894" s="106"/>
      <c r="RJ2894" s="106"/>
      <c r="RK2894" s="106"/>
      <c r="RL2894" s="106"/>
    </row>
    <row r="2895" spans="88:480" x14ac:dyDescent="0.3">
      <c r="CJ2895" s="103"/>
      <c r="FP2895" s="103"/>
      <c r="LL2895" s="103"/>
      <c r="NM2895" s="103"/>
      <c r="QT2895" s="106"/>
      <c r="QU2895" s="106"/>
      <c r="QV2895" s="106"/>
      <c r="QW2895" s="106"/>
      <c r="QX2895" s="106"/>
      <c r="QY2895" s="106"/>
      <c r="QZ2895" s="106"/>
      <c r="RA2895" s="106"/>
      <c r="RB2895" s="106"/>
      <c r="RC2895" s="106"/>
      <c r="RD2895" s="106"/>
      <c r="RE2895" s="106"/>
      <c r="RF2895" s="106"/>
      <c r="RG2895" s="106"/>
      <c r="RH2895" s="106"/>
      <c r="RI2895" s="106"/>
      <c r="RJ2895" s="106"/>
      <c r="RK2895" s="106"/>
      <c r="RL2895" s="106"/>
    </row>
    <row r="2896" spans="88:480" x14ac:dyDescent="0.3">
      <c r="CJ2896" s="103"/>
      <c r="FP2896" s="103"/>
      <c r="LL2896" s="103"/>
      <c r="NM2896" s="103"/>
      <c r="QT2896" s="106"/>
      <c r="QU2896" s="106"/>
      <c r="QV2896" s="106"/>
      <c r="QW2896" s="106"/>
      <c r="QX2896" s="106"/>
      <c r="QY2896" s="106"/>
      <c r="QZ2896" s="106"/>
      <c r="RA2896" s="106"/>
      <c r="RB2896" s="106"/>
      <c r="RC2896" s="106"/>
      <c r="RD2896" s="106"/>
      <c r="RE2896" s="106"/>
      <c r="RF2896" s="106"/>
      <c r="RG2896" s="106"/>
      <c r="RH2896" s="106"/>
      <c r="RI2896" s="106"/>
      <c r="RJ2896" s="106"/>
      <c r="RK2896" s="106"/>
      <c r="RL2896" s="106"/>
    </row>
    <row r="2897" spans="88:480" x14ac:dyDescent="0.3">
      <c r="CJ2897" s="103"/>
      <c r="FP2897" s="103"/>
      <c r="LL2897" s="103"/>
      <c r="NM2897" s="103"/>
      <c r="QT2897" s="106"/>
      <c r="QU2897" s="106"/>
      <c r="QV2897" s="106"/>
      <c r="QW2897" s="106"/>
      <c r="QX2897" s="106"/>
      <c r="QY2897" s="106"/>
      <c r="QZ2897" s="106"/>
      <c r="RA2897" s="106"/>
      <c r="RB2897" s="106"/>
      <c r="RC2897" s="106"/>
      <c r="RD2897" s="106"/>
      <c r="RE2897" s="106"/>
      <c r="RF2897" s="106"/>
      <c r="RG2897" s="106"/>
      <c r="RH2897" s="106"/>
      <c r="RI2897" s="106"/>
      <c r="RJ2897" s="106"/>
      <c r="RK2897" s="106"/>
      <c r="RL2897" s="106"/>
    </row>
    <row r="2898" spans="88:480" x14ac:dyDescent="0.3">
      <c r="CJ2898" s="103"/>
      <c r="FP2898" s="103"/>
      <c r="LL2898" s="103"/>
      <c r="NM2898" s="103"/>
      <c r="QT2898" s="106"/>
      <c r="QU2898" s="106"/>
      <c r="QV2898" s="106"/>
      <c r="QW2898" s="106"/>
      <c r="QX2898" s="106"/>
      <c r="QY2898" s="106"/>
      <c r="QZ2898" s="106"/>
      <c r="RA2898" s="106"/>
      <c r="RB2898" s="106"/>
      <c r="RC2898" s="106"/>
      <c r="RD2898" s="106"/>
      <c r="RE2898" s="106"/>
      <c r="RF2898" s="106"/>
      <c r="RG2898" s="106"/>
      <c r="RH2898" s="106"/>
      <c r="RI2898" s="106"/>
      <c r="RJ2898" s="106"/>
      <c r="RK2898" s="106"/>
      <c r="RL2898" s="106"/>
    </row>
    <row r="2899" spans="88:480" x14ac:dyDescent="0.3">
      <c r="CJ2899" s="103"/>
      <c r="FP2899" s="103"/>
      <c r="LL2899" s="103"/>
      <c r="NM2899" s="103"/>
      <c r="QT2899" s="106"/>
      <c r="QU2899" s="106"/>
      <c r="QV2899" s="106"/>
      <c r="QW2899" s="106"/>
      <c r="QX2899" s="106"/>
      <c r="QY2899" s="106"/>
      <c r="QZ2899" s="106"/>
      <c r="RA2899" s="106"/>
      <c r="RB2899" s="106"/>
      <c r="RC2899" s="106"/>
      <c r="RD2899" s="106"/>
      <c r="RE2899" s="106"/>
      <c r="RF2899" s="106"/>
      <c r="RG2899" s="106"/>
      <c r="RH2899" s="106"/>
      <c r="RI2899" s="106"/>
      <c r="RJ2899" s="106"/>
      <c r="RK2899" s="106"/>
      <c r="RL2899" s="106"/>
    </row>
    <row r="2900" spans="88:480" x14ac:dyDescent="0.3">
      <c r="CJ2900" s="103"/>
      <c r="FP2900" s="103"/>
      <c r="LL2900" s="103"/>
      <c r="NM2900" s="103"/>
      <c r="QT2900" s="106"/>
      <c r="QU2900" s="106"/>
      <c r="QV2900" s="106"/>
      <c r="QW2900" s="106"/>
      <c r="QX2900" s="106"/>
      <c r="QY2900" s="106"/>
      <c r="QZ2900" s="106"/>
      <c r="RA2900" s="106"/>
      <c r="RB2900" s="106"/>
      <c r="RC2900" s="106"/>
      <c r="RD2900" s="106"/>
      <c r="RE2900" s="106"/>
      <c r="RF2900" s="106"/>
      <c r="RG2900" s="106"/>
      <c r="RH2900" s="106"/>
      <c r="RI2900" s="106"/>
      <c r="RJ2900" s="106"/>
      <c r="RK2900" s="106"/>
      <c r="RL2900" s="106"/>
    </row>
    <row r="2901" spans="88:480" x14ac:dyDescent="0.3">
      <c r="CJ2901" s="103"/>
      <c r="FP2901" s="103"/>
      <c r="LL2901" s="103"/>
      <c r="NM2901" s="103"/>
      <c r="QT2901" s="106"/>
      <c r="QU2901" s="106"/>
      <c r="QV2901" s="106"/>
      <c r="QW2901" s="106"/>
      <c r="QX2901" s="106"/>
      <c r="QY2901" s="106"/>
      <c r="QZ2901" s="106"/>
      <c r="RA2901" s="106"/>
      <c r="RB2901" s="106"/>
      <c r="RC2901" s="106"/>
      <c r="RD2901" s="106"/>
      <c r="RE2901" s="106"/>
      <c r="RF2901" s="106"/>
      <c r="RG2901" s="106"/>
      <c r="RH2901" s="106"/>
      <c r="RI2901" s="106"/>
      <c r="RJ2901" s="106"/>
      <c r="RK2901" s="106"/>
      <c r="RL2901" s="106"/>
    </row>
    <row r="2902" spans="88:480" x14ac:dyDescent="0.3">
      <c r="CJ2902" s="103"/>
      <c r="FP2902" s="103"/>
      <c r="LL2902" s="103"/>
      <c r="NM2902" s="103"/>
      <c r="QT2902" s="106"/>
      <c r="QU2902" s="106"/>
      <c r="QV2902" s="106"/>
      <c r="QW2902" s="106"/>
      <c r="QX2902" s="106"/>
      <c r="QY2902" s="106"/>
      <c r="QZ2902" s="106"/>
      <c r="RA2902" s="106"/>
      <c r="RB2902" s="106"/>
      <c r="RC2902" s="106"/>
      <c r="RD2902" s="106"/>
      <c r="RE2902" s="106"/>
      <c r="RF2902" s="106"/>
      <c r="RG2902" s="106"/>
      <c r="RH2902" s="106"/>
      <c r="RI2902" s="106"/>
      <c r="RJ2902" s="106"/>
      <c r="RK2902" s="106"/>
      <c r="RL2902" s="106"/>
    </row>
    <row r="2903" spans="88:480" x14ac:dyDescent="0.3">
      <c r="CJ2903" s="103"/>
      <c r="FP2903" s="103"/>
      <c r="LL2903" s="103"/>
      <c r="NM2903" s="103"/>
      <c r="QT2903" s="106"/>
      <c r="QU2903" s="106"/>
      <c r="QV2903" s="106"/>
      <c r="QW2903" s="106"/>
      <c r="QX2903" s="106"/>
      <c r="QY2903" s="106"/>
      <c r="QZ2903" s="106"/>
      <c r="RA2903" s="106"/>
      <c r="RB2903" s="106"/>
      <c r="RC2903" s="106"/>
      <c r="RD2903" s="106"/>
      <c r="RE2903" s="106"/>
      <c r="RF2903" s="106"/>
      <c r="RG2903" s="106"/>
      <c r="RH2903" s="106"/>
      <c r="RI2903" s="106"/>
      <c r="RJ2903" s="106"/>
      <c r="RK2903" s="106"/>
      <c r="RL2903" s="106"/>
    </row>
    <row r="2904" spans="88:480" x14ac:dyDescent="0.3">
      <c r="CJ2904" s="103"/>
      <c r="FP2904" s="103"/>
      <c r="LL2904" s="103"/>
      <c r="NM2904" s="103"/>
      <c r="QT2904" s="106"/>
      <c r="QU2904" s="106"/>
      <c r="QV2904" s="106"/>
      <c r="QW2904" s="106"/>
      <c r="QX2904" s="106"/>
      <c r="QY2904" s="106"/>
      <c r="QZ2904" s="106"/>
      <c r="RA2904" s="106"/>
      <c r="RB2904" s="106"/>
      <c r="RC2904" s="106"/>
      <c r="RD2904" s="106"/>
      <c r="RE2904" s="106"/>
      <c r="RF2904" s="106"/>
      <c r="RG2904" s="106"/>
      <c r="RH2904" s="106"/>
      <c r="RI2904" s="106"/>
      <c r="RJ2904" s="106"/>
      <c r="RK2904" s="106"/>
      <c r="RL2904" s="106"/>
    </row>
    <row r="2905" spans="88:480" x14ac:dyDescent="0.3">
      <c r="CJ2905" s="103"/>
      <c r="FP2905" s="103"/>
      <c r="LL2905" s="103"/>
      <c r="NM2905" s="103"/>
      <c r="QT2905" s="106"/>
      <c r="QU2905" s="106"/>
      <c r="QV2905" s="106"/>
      <c r="QW2905" s="106"/>
      <c r="QX2905" s="106"/>
      <c r="QY2905" s="106"/>
      <c r="QZ2905" s="106"/>
      <c r="RA2905" s="106"/>
      <c r="RB2905" s="106"/>
      <c r="RC2905" s="106"/>
      <c r="RD2905" s="106"/>
      <c r="RE2905" s="106"/>
      <c r="RF2905" s="106"/>
      <c r="RG2905" s="106"/>
      <c r="RH2905" s="106"/>
      <c r="RI2905" s="106"/>
      <c r="RJ2905" s="106"/>
      <c r="RK2905" s="106"/>
      <c r="RL2905" s="106"/>
    </row>
    <row r="2906" spans="88:480" x14ac:dyDescent="0.3">
      <c r="CJ2906" s="103"/>
      <c r="FP2906" s="103"/>
      <c r="LL2906" s="103"/>
      <c r="NM2906" s="103"/>
      <c r="QT2906" s="106"/>
      <c r="QU2906" s="106"/>
      <c r="QV2906" s="106"/>
      <c r="QW2906" s="106"/>
      <c r="QX2906" s="106"/>
      <c r="QY2906" s="106"/>
      <c r="QZ2906" s="106"/>
      <c r="RA2906" s="106"/>
      <c r="RB2906" s="106"/>
      <c r="RC2906" s="106"/>
      <c r="RD2906" s="106"/>
      <c r="RE2906" s="106"/>
      <c r="RF2906" s="106"/>
      <c r="RG2906" s="106"/>
      <c r="RH2906" s="106"/>
      <c r="RI2906" s="106"/>
      <c r="RJ2906" s="106"/>
      <c r="RK2906" s="106"/>
      <c r="RL2906" s="106"/>
    </row>
    <row r="2907" spans="88:480" x14ac:dyDescent="0.3">
      <c r="CJ2907" s="103"/>
      <c r="FP2907" s="103"/>
      <c r="LL2907" s="103"/>
      <c r="NM2907" s="103"/>
      <c r="QT2907" s="106"/>
      <c r="QU2907" s="106"/>
      <c r="QV2907" s="106"/>
      <c r="QW2907" s="106"/>
      <c r="QX2907" s="106"/>
      <c r="QY2907" s="106"/>
      <c r="QZ2907" s="106"/>
      <c r="RA2907" s="106"/>
      <c r="RB2907" s="106"/>
      <c r="RC2907" s="106"/>
      <c r="RD2907" s="106"/>
      <c r="RE2907" s="106"/>
      <c r="RF2907" s="106"/>
      <c r="RG2907" s="106"/>
      <c r="RH2907" s="106"/>
      <c r="RI2907" s="106"/>
      <c r="RJ2907" s="106"/>
      <c r="RK2907" s="106"/>
      <c r="RL2907" s="106"/>
    </row>
    <row r="2908" spans="88:480" x14ac:dyDescent="0.3">
      <c r="CJ2908" s="103"/>
      <c r="FP2908" s="103"/>
      <c r="LL2908" s="103"/>
      <c r="NM2908" s="103"/>
      <c r="QT2908" s="106"/>
      <c r="QU2908" s="106"/>
      <c r="QV2908" s="106"/>
      <c r="QW2908" s="106"/>
      <c r="QX2908" s="106"/>
      <c r="QY2908" s="106"/>
      <c r="QZ2908" s="106"/>
      <c r="RA2908" s="106"/>
      <c r="RB2908" s="106"/>
      <c r="RC2908" s="106"/>
      <c r="RD2908" s="106"/>
      <c r="RE2908" s="106"/>
      <c r="RF2908" s="106"/>
      <c r="RG2908" s="106"/>
      <c r="RH2908" s="106"/>
      <c r="RI2908" s="106"/>
      <c r="RJ2908" s="106"/>
      <c r="RK2908" s="106"/>
      <c r="RL2908" s="106"/>
    </row>
    <row r="2909" spans="88:480" x14ac:dyDescent="0.3">
      <c r="CJ2909" s="103"/>
      <c r="FP2909" s="103"/>
      <c r="LL2909" s="103"/>
      <c r="NM2909" s="103"/>
      <c r="QT2909" s="106"/>
      <c r="QU2909" s="106"/>
      <c r="QV2909" s="106"/>
      <c r="QW2909" s="106"/>
      <c r="QX2909" s="106"/>
      <c r="QY2909" s="106"/>
      <c r="QZ2909" s="106"/>
      <c r="RA2909" s="106"/>
      <c r="RB2909" s="106"/>
      <c r="RC2909" s="106"/>
      <c r="RD2909" s="106"/>
      <c r="RE2909" s="106"/>
      <c r="RF2909" s="106"/>
      <c r="RG2909" s="106"/>
      <c r="RH2909" s="106"/>
      <c r="RI2909" s="106"/>
      <c r="RJ2909" s="106"/>
      <c r="RK2909" s="106"/>
      <c r="RL2909" s="106"/>
    </row>
    <row r="2910" spans="88:480" x14ac:dyDescent="0.3">
      <c r="CJ2910" s="103"/>
      <c r="FP2910" s="103"/>
      <c r="LL2910" s="103"/>
      <c r="NM2910" s="103"/>
      <c r="QT2910" s="106"/>
      <c r="QU2910" s="106"/>
      <c r="QV2910" s="106"/>
      <c r="QW2910" s="106"/>
      <c r="QX2910" s="106"/>
      <c r="QY2910" s="106"/>
      <c r="QZ2910" s="106"/>
      <c r="RA2910" s="106"/>
      <c r="RB2910" s="106"/>
      <c r="RC2910" s="106"/>
      <c r="RD2910" s="106"/>
      <c r="RE2910" s="106"/>
      <c r="RF2910" s="106"/>
      <c r="RG2910" s="106"/>
      <c r="RH2910" s="106"/>
      <c r="RI2910" s="106"/>
      <c r="RJ2910" s="106"/>
      <c r="RK2910" s="106"/>
      <c r="RL2910" s="106"/>
    </row>
    <row r="2911" spans="88:480" x14ac:dyDescent="0.3">
      <c r="CJ2911" s="103"/>
      <c r="FP2911" s="103"/>
      <c r="LL2911" s="103"/>
      <c r="NM2911" s="103"/>
      <c r="QT2911" s="106"/>
      <c r="QU2911" s="106"/>
      <c r="QV2911" s="106"/>
      <c r="QW2911" s="106"/>
      <c r="QX2911" s="106"/>
      <c r="QY2911" s="106"/>
      <c r="QZ2911" s="106"/>
      <c r="RA2911" s="106"/>
      <c r="RB2911" s="106"/>
      <c r="RC2911" s="106"/>
      <c r="RD2911" s="106"/>
      <c r="RE2911" s="106"/>
      <c r="RF2911" s="106"/>
      <c r="RG2911" s="106"/>
      <c r="RH2911" s="106"/>
      <c r="RI2911" s="106"/>
      <c r="RJ2911" s="106"/>
      <c r="RK2911" s="106"/>
      <c r="RL2911" s="106"/>
    </row>
    <row r="2912" spans="88:480" x14ac:dyDescent="0.3">
      <c r="CJ2912" s="103"/>
      <c r="FP2912" s="103"/>
      <c r="LL2912" s="103"/>
      <c r="NM2912" s="103"/>
      <c r="QT2912" s="106"/>
      <c r="QU2912" s="106"/>
      <c r="QV2912" s="106"/>
      <c r="QW2912" s="106"/>
      <c r="QX2912" s="106"/>
      <c r="QY2912" s="106"/>
      <c r="QZ2912" s="106"/>
      <c r="RA2912" s="106"/>
      <c r="RB2912" s="106"/>
      <c r="RC2912" s="106"/>
      <c r="RD2912" s="106"/>
      <c r="RE2912" s="106"/>
      <c r="RF2912" s="106"/>
      <c r="RG2912" s="106"/>
      <c r="RH2912" s="106"/>
      <c r="RI2912" s="106"/>
      <c r="RJ2912" s="106"/>
      <c r="RK2912" s="106"/>
      <c r="RL2912" s="106"/>
    </row>
    <row r="2913" spans="88:480" x14ac:dyDescent="0.3">
      <c r="CJ2913" s="103"/>
      <c r="FP2913" s="103"/>
      <c r="LL2913" s="103"/>
      <c r="NM2913" s="103"/>
      <c r="QT2913" s="106"/>
      <c r="QU2913" s="106"/>
      <c r="QV2913" s="106"/>
      <c r="QW2913" s="106"/>
      <c r="QX2913" s="106"/>
      <c r="QY2913" s="106"/>
      <c r="QZ2913" s="106"/>
      <c r="RA2913" s="106"/>
      <c r="RB2913" s="106"/>
      <c r="RC2913" s="106"/>
      <c r="RD2913" s="106"/>
      <c r="RE2913" s="106"/>
      <c r="RF2913" s="106"/>
      <c r="RG2913" s="106"/>
      <c r="RH2913" s="106"/>
      <c r="RI2913" s="106"/>
      <c r="RJ2913" s="106"/>
      <c r="RK2913" s="106"/>
      <c r="RL2913" s="106"/>
    </row>
    <row r="2914" spans="88:480" x14ac:dyDescent="0.3">
      <c r="CJ2914" s="103"/>
      <c r="FP2914" s="103"/>
      <c r="LL2914" s="103"/>
      <c r="NM2914" s="103"/>
      <c r="QT2914" s="106"/>
      <c r="QU2914" s="106"/>
      <c r="QV2914" s="106"/>
      <c r="QW2914" s="106"/>
      <c r="QX2914" s="106"/>
      <c r="QY2914" s="106"/>
      <c r="QZ2914" s="106"/>
      <c r="RA2914" s="106"/>
      <c r="RB2914" s="106"/>
      <c r="RC2914" s="106"/>
      <c r="RD2914" s="106"/>
      <c r="RE2914" s="106"/>
      <c r="RF2914" s="106"/>
      <c r="RG2914" s="106"/>
      <c r="RH2914" s="106"/>
      <c r="RI2914" s="106"/>
      <c r="RJ2914" s="106"/>
      <c r="RK2914" s="106"/>
      <c r="RL2914" s="106"/>
    </row>
    <row r="2915" spans="88:480" x14ac:dyDescent="0.3">
      <c r="CJ2915" s="103"/>
      <c r="FP2915" s="103"/>
      <c r="LL2915" s="103"/>
      <c r="NM2915" s="103"/>
      <c r="QT2915" s="106"/>
      <c r="QU2915" s="106"/>
      <c r="QV2915" s="106"/>
      <c r="QW2915" s="106"/>
      <c r="QX2915" s="106"/>
      <c r="QY2915" s="106"/>
      <c r="QZ2915" s="106"/>
      <c r="RA2915" s="106"/>
      <c r="RB2915" s="106"/>
      <c r="RC2915" s="106"/>
      <c r="RD2915" s="106"/>
      <c r="RE2915" s="106"/>
      <c r="RF2915" s="106"/>
      <c r="RG2915" s="106"/>
      <c r="RH2915" s="106"/>
      <c r="RI2915" s="106"/>
      <c r="RJ2915" s="106"/>
      <c r="RK2915" s="106"/>
      <c r="RL2915" s="106"/>
    </row>
    <row r="2916" spans="88:480" x14ac:dyDescent="0.3">
      <c r="CJ2916" s="103"/>
      <c r="FP2916" s="103"/>
      <c r="LL2916" s="103"/>
      <c r="NM2916" s="103"/>
      <c r="QT2916" s="106"/>
      <c r="QU2916" s="106"/>
      <c r="QV2916" s="106"/>
      <c r="QW2916" s="106"/>
      <c r="QX2916" s="106"/>
      <c r="QY2916" s="106"/>
      <c r="QZ2916" s="106"/>
      <c r="RA2916" s="106"/>
      <c r="RB2916" s="106"/>
      <c r="RC2916" s="106"/>
      <c r="RD2916" s="106"/>
      <c r="RE2916" s="106"/>
      <c r="RF2916" s="106"/>
      <c r="RG2916" s="106"/>
      <c r="RH2916" s="106"/>
      <c r="RI2916" s="106"/>
      <c r="RJ2916" s="106"/>
      <c r="RK2916" s="106"/>
      <c r="RL2916" s="106"/>
    </row>
    <row r="2917" spans="88:480" x14ac:dyDescent="0.3">
      <c r="CJ2917" s="103"/>
      <c r="FP2917" s="103"/>
      <c r="LL2917" s="103"/>
      <c r="NM2917" s="103"/>
      <c r="QT2917" s="106"/>
      <c r="QU2917" s="106"/>
      <c r="QV2917" s="106"/>
      <c r="QW2917" s="106"/>
      <c r="QX2917" s="106"/>
      <c r="QY2917" s="106"/>
      <c r="QZ2917" s="106"/>
      <c r="RA2917" s="106"/>
      <c r="RB2917" s="106"/>
      <c r="RC2917" s="106"/>
      <c r="RD2917" s="106"/>
      <c r="RE2917" s="106"/>
      <c r="RF2917" s="106"/>
      <c r="RG2917" s="106"/>
      <c r="RH2917" s="106"/>
      <c r="RI2917" s="106"/>
      <c r="RJ2917" s="106"/>
      <c r="RK2917" s="106"/>
      <c r="RL2917" s="106"/>
    </row>
    <row r="2918" spans="88:480" x14ac:dyDescent="0.3">
      <c r="CJ2918" s="103"/>
      <c r="FP2918" s="103"/>
      <c r="LL2918" s="103"/>
      <c r="NM2918" s="103"/>
      <c r="QT2918" s="106"/>
      <c r="QU2918" s="106"/>
      <c r="QV2918" s="106"/>
      <c r="QW2918" s="106"/>
      <c r="QX2918" s="106"/>
      <c r="QY2918" s="106"/>
      <c r="QZ2918" s="106"/>
      <c r="RA2918" s="106"/>
      <c r="RB2918" s="106"/>
      <c r="RC2918" s="106"/>
      <c r="RD2918" s="106"/>
      <c r="RE2918" s="106"/>
      <c r="RF2918" s="106"/>
      <c r="RG2918" s="106"/>
      <c r="RH2918" s="106"/>
      <c r="RI2918" s="106"/>
      <c r="RJ2918" s="106"/>
      <c r="RK2918" s="106"/>
      <c r="RL2918" s="106"/>
    </row>
    <row r="2919" spans="88:480" x14ac:dyDescent="0.3">
      <c r="CJ2919" s="103"/>
      <c r="FP2919" s="103"/>
      <c r="LL2919" s="103"/>
      <c r="NM2919" s="103"/>
      <c r="QT2919" s="106"/>
      <c r="QU2919" s="106"/>
      <c r="QV2919" s="106"/>
      <c r="QW2919" s="106"/>
      <c r="QX2919" s="106"/>
      <c r="QY2919" s="106"/>
      <c r="QZ2919" s="106"/>
      <c r="RA2919" s="106"/>
      <c r="RB2919" s="106"/>
      <c r="RC2919" s="106"/>
      <c r="RD2919" s="106"/>
      <c r="RE2919" s="106"/>
      <c r="RF2919" s="106"/>
      <c r="RG2919" s="106"/>
      <c r="RH2919" s="106"/>
      <c r="RI2919" s="106"/>
      <c r="RJ2919" s="106"/>
      <c r="RK2919" s="106"/>
      <c r="RL2919" s="106"/>
    </row>
    <row r="2920" spans="88:480" x14ac:dyDescent="0.3">
      <c r="CJ2920" s="103"/>
      <c r="FP2920" s="103"/>
      <c r="LL2920" s="103"/>
      <c r="NM2920" s="103"/>
      <c r="QT2920" s="106"/>
      <c r="QU2920" s="106"/>
      <c r="QV2920" s="106"/>
      <c r="QW2920" s="106"/>
      <c r="QX2920" s="106"/>
      <c r="QY2920" s="106"/>
      <c r="QZ2920" s="106"/>
      <c r="RA2920" s="106"/>
      <c r="RB2920" s="106"/>
      <c r="RC2920" s="106"/>
      <c r="RD2920" s="106"/>
      <c r="RE2920" s="106"/>
      <c r="RF2920" s="106"/>
      <c r="RG2920" s="106"/>
      <c r="RH2920" s="106"/>
      <c r="RI2920" s="106"/>
      <c r="RJ2920" s="106"/>
      <c r="RK2920" s="106"/>
      <c r="RL2920" s="106"/>
    </row>
    <row r="2921" spans="88:480" x14ac:dyDescent="0.3">
      <c r="CJ2921" s="103"/>
      <c r="FP2921" s="103"/>
      <c r="LL2921" s="103"/>
      <c r="NM2921" s="103"/>
      <c r="QT2921" s="106"/>
      <c r="QU2921" s="106"/>
      <c r="QV2921" s="106"/>
      <c r="QW2921" s="106"/>
      <c r="QX2921" s="106"/>
      <c r="QY2921" s="106"/>
      <c r="QZ2921" s="106"/>
      <c r="RA2921" s="106"/>
      <c r="RB2921" s="106"/>
      <c r="RC2921" s="106"/>
      <c r="RD2921" s="106"/>
      <c r="RE2921" s="106"/>
      <c r="RF2921" s="106"/>
      <c r="RG2921" s="106"/>
      <c r="RH2921" s="106"/>
      <c r="RI2921" s="106"/>
      <c r="RJ2921" s="106"/>
      <c r="RK2921" s="106"/>
      <c r="RL2921" s="106"/>
    </row>
    <row r="2922" spans="88:480" x14ac:dyDescent="0.3">
      <c r="CJ2922" s="103"/>
      <c r="FP2922" s="103"/>
      <c r="LL2922" s="103"/>
      <c r="NM2922" s="103"/>
      <c r="QT2922" s="106"/>
      <c r="QU2922" s="106"/>
      <c r="QV2922" s="106"/>
      <c r="QW2922" s="106"/>
      <c r="QX2922" s="106"/>
      <c r="QY2922" s="106"/>
      <c r="QZ2922" s="106"/>
      <c r="RA2922" s="106"/>
      <c r="RB2922" s="106"/>
      <c r="RC2922" s="106"/>
      <c r="RD2922" s="106"/>
      <c r="RE2922" s="106"/>
      <c r="RF2922" s="106"/>
      <c r="RG2922" s="106"/>
      <c r="RH2922" s="106"/>
      <c r="RI2922" s="106"/>
      <c r="RJ2922" s="106"/>
      <c r="RK2922" s="106"/>
      <c r="RL2922" s="106"/>
    </row>
    <row r="2923" spans="88:480" x14ac:dyDescent="0.3">
      <c r="CJ2923" s="103"/>
      <c r="FP2923" s="103"/>
      <c r="LL2923" s="103"/>
      <c r="NM2923" s="103"/>
      <c r="QT2923" s="106"/>
      <c r="QU2923" s="106"/>
      <c r="QV2923" s="106"/>
      <c r="QW2923" s="106"/>
      <c r="QX2923" s="106"/>
      <c r="QY2923" s="106"/>
      <c r="QZ2923" s="106"/>
      <c r="RA2923" s="106"/>
      <c r="RB2923" s="106"/>
      <c r="RC2923" s="106"/>
      <c r="RD2923" s="106"/>
      <c r="RE2923" s="106"/>
      <c r="RF2923" s="106"/>
      <c r="RG2923" s="106"/>
      <c r="RH2923" s="106"/>
      <c r="RI2923" s="106"/>
      <c r="RJ2923" s="106"/>
      <c r="RK2923" s="106"/>
      <c r="RL2923" s="106"/>
    </row>
    <row r="2924" spans="88:480" x14ac:dyDescent="0.3">
      <c r="CJ2924" s="103"/>
      <c r="FP2924" s="103"/>
      <c r="LL2924" s="103"/>
      <c r="NM2924" s="103"/>
      <c r="QT2924" s="106"/>
      <c r="QU2924" s="106"/>
      <c r="QV2924" s="106"/>
      <c r="QW2924" s="106"/>
      <c r="QX2924" s="106"/>
      <c r="QY2924" s="106"/>
      <c r="QZ2924" s="106"/>
      <c r="RA2924" s="106"/>
      <c r="RB2924" s="106"/>
      <c r="RC2924" s="106"/>
      <c r="RD2924" s="106"/>
      <c r="RE2924" s="106"/>
      <c r="RF2924" s="106"/>
      <c r="RG2924" s="106"/>
      <c r="RH2924" s="106"/>
      <c r="RI2924" s="106"/>
      <c r="RJ2924" s="106"/>
      <c r="RK2924" s="106"/>
      <c r="RL2924" s="106"/>
    </row>
    <row r="2925" spans="88:480" x14ac:dyDescent="0.3">
      <c r="CJ2925" s="103"/>
      <c r="FP2925" s="103"/>
      <c r="LL2925" s="103"/>
      <c r="NM2925" s="103"/>
      <c r="QT2925" s="106"/>
      <c r="QU2925" s="106"/>
      <c r="QV2925" s="106"/>
      <c r="QW2925" s="106"/>
      <c r="QX2925" s="106"/>
      <c r="QY2925" s="106"/>
      <c r="QZ2925" s="106"/>
      <c r="RA2925" s="106"/>
      <c r="RB2925" s="106"/>
      <c r="RC2925" s="106"/>
      <c r="RD2925" s="106"/>
      <c r="RE2925" s="106"/>
      <c r="RF2925" s="106"/>
      <c r="RG2925" s="106"/>
      <c r="RH2925" s="106"/>
      <c r="RI2925" s="106"/>
      <c r="RJ2925" s="106"/>
      <c r="RK2925" s="106"/>
      <c r="RL2925" s="106"/>
    </row>
    <row r="2926" spans="88:480" x14ac:dyDescent="0.3">
      <c r="CJ2926" s="103"/>
      <c r="FP2926" s="103"/>
      <c r="LL2926" s="103"/>
      <c r="NM2926" s="103"/>
      <c r="QT2926" s="106"/>
      <c r="QU2926" s="106"/>
      <c r="QV2926" s="106"/>
      <c r="QW2926" s="106"/>
      <c r="QX2926" s="106"/>
      <c r="QY2926" s="106"/>
      <c r="QZ2926" s="106"/>
      <c r="RA2926" s="106"/>
      <c r="RB2926" s="106"/>
      <c r="RC2926" s="106"/>
      <c r="RD2926" s="106"/>
      <c r="RE2926" s="106"/>
      <c r="RF2926" s="106"/>
      <c r="RG2926" s="106"/>
      <c r="RH2926" s="106"/>
      <c r="RI2926" s="106"/>
      <c r="RJ2926" s="106"/>
      <c r="RK2926" s="106"/>
      <c r="RL2926" s="106"/>
    </row>
    <row r="2927" spans="88:480" x14ac:dyDescent="0.3">
      <c r="CJ2927" s="103"/>
      <c r="FP2927" s="103"/>
      <c r="LL2927" s="103"/>
      <c r="NM2927" s="103"/>
      <c r="QT2927" s="106"/>
      <c r="QU2927" s="106"/>
      <c r="QV2927" s="106"/>
      <c r="QW2927" s="106"/>
      <c r="QX2927" s="106"/>
      <c r="QY2927" s="106"/>
      <c r="QZ2927" s="106"/>
      <c r="RA2927" s="106"/>
      <c r="RB2927" s="106"/>
      <c r="RC2927" s="106"/>
      <c r="RD2927" s="106"/>
      <c r="RE2927" s="106"/>
      <c r="RF2927" s="106"/>
      <c r="RG2927" s="106"/>
      <c r="RH2927" s="106"/>
      <c r="RI2927" s="106"/>
      <c r="RJ2927" s="106"/>
      <c r="RK2927" s="106"/>
      <c r="RL2927" s="106"/>
    </row>
    <row r="2928" spans="88:480" x14ac:dyDescent="0.3">
      <c r="CJ2928" s="103"/>
      <c r="FP2928" s="103"/>
      <c r="LL2928" s="103"/>
      <c r="NM2928" s="103"/>
      <c r="QT2928" s="106"/>
      <c r="QU2928" s="106"/>
      <c r="QV2928" s="106"/>
      <c r="QW2928" s="106"/>
      <c r="QX2928" s="106"/>
      <c r="QY2928" s="106"/>
      <c r="QZ2928" s="106"/>
      <c r="RA2928" s="106"/>
      <c r="RB2928" s="106"/>
      <c r="RC2928" s="106"/>
      <c r="RD2928" s="106"/>
      <c r="RE2928" s="106"/>
      <c r="RF2928" s="106"/>
      <c r="RG2928" s="106"/>
      <c r="RH2928" s="106"/>
      <c r="RI2928" s="106"/>
      <c r="RJ2928" s="106"/>
      <c r="RK2928" s="106"/>
      <c r="RL2928" s="106"/>
    </row>
    <row r="2929" spans="88:480" x14ac:dyDescent="0.3">
      <c r="CJ2929" s="103"/>
      <c r="FP2929" s="103"/>
      <c r="LL2929" s="103"/>
      <c r="NM2929" s="103"/>
      <c r="QT2929" s="106"/>
      <c r="QU2929" s="106"/>
      <c r="QV2929" s="106"/>
      <c r="QW2929" s="106"/>
      <c r="QX2929" s="106"/>
      <c r="QY2929" s="106"/>
      <c r="QZ2929" s="106"/>
      <c r="RA2929" s="106"/>
      <c r="RB2929" s="106"/>
      <c r="RC2929" s="106"/>
      <c r="RD2929" s="106"/>
      <c r="RE2929" s="106"/>
      <c r="RF2929" s="106"/>
      <c r="RG2929" s="106"/>
      <c r="RH2929" s="106"/>
      <c r="RI2929" s="106"/>
      <c r="RJ2929" s="106"/>
      <c r="RK2929" s="106"/>
      <c r="RL2929" s="106"/>
    </row>
    <row r="2930" spans="88:480" x14ac:dyDescent="0.3">
      <c r="CJ2930" s="103"/>
      <c r="FP2930" s="103"/>
      <c r="LL2930" s="103"/>
      <c r="NM2930" s="103"/>
      <c r="QT2930" s="106"/>
      <c r="QU2930" s="106"/>
      <c r="QV2930" s="106"/>
      <c r="QW2930" s="106"/>
      <c r="QX2930" s="106"/>
      <c r="QY2930" s="106"/>
      <c r="QZ2930" s="106"/>
      <c r="RA2930" s="106"/>
      <c r="RB2930" s="106"/>
      <c r="RC2930" s="106"/>
      <c r="RD2930" s="106"/>
      <c r="RE2930" s="106"/>
      <c r="RF2930" s="106"/>
      <c r="RG2930" s="106"/>
      <c r="RH2930" s="106"/>
      <c r="RI2930" s="106"/>
      <c r="RJ2930" s="106"/>
      <c r="RK2930" s="106"/>
      <c r="RL2930" s="106"/>
    </row>
    <row r="2931" spans="88:480" x14ac:dyDescent="0.3">
      <c r="CJ2931" s="103"/>
      <c r="FP2931" s="103"/>
      <c r="LL2931" s="103"/>
      <c r="NM2931" s="103"/>
      <c r="QT2931" s="106"/>
      <c r="QU2931" s="106"/>
      <c r="QV2931" s="106"/>
      <c r="QW2931" s="106"/>
      <c r="QX2931" s="106"/>
      <c r="QY2931" s="106"/>
      <c r="QZ2931" s="106"/>
      <c r="RA2931" s="106"/>
      <c r="RB2931" s="106"/>
      <c r="RC2931" s="106"/>
      <c r="RD2931" s="106"/>
      <c r="RE2931" s="106"/>
      <c r="RF2931" s="106"/>
      <c r="RG2931" s="106"/>
      <c r="RH2931" s="106"/>
      <c r="RI2931" s="106"/>
      <c r="RJ2931" s="106"/>
      <c r="RK2931" s="106"/>
      <c r="RL2931" s="106"/>
    </row>
    <row r="2932" spans="88:480" x14ac:dyDescent="0.3">
      <c r="CJ2932" s="103"/>
      <c r="FP2932" s="103"/>
      <c r="LL2932" s="103"/>
      <c r="NM2932" s="103"/>
      <c r="QT2932" s="106"/>
      <c r="QU2932" s="106"/>
      <c r="QV2932" s="106"/>
      <c r="QW2932" s="106"/>
      <c r="QX2932" s="106"/>
      <c r="QY2932" s="106"/>
      <c r="QZ2932" s="106"/>
      <c r="RA2932" s="106"/>
      <c r="RB2932" s="106"/>
      <c r="RC2932" s="106"/>
      <c r="RD2932" s="106"/>
      <c r="RE2932" s="106"/>
      <c r="RF2932" s="106"/>
      <c r="RG2932" s="106"/>
      <c r="RH2932" s="106"/>
      <c r="RI2932" s="106"/>
      <c r="RJ2932" s="106"/>
      <c r="RK2932" s="106"/>
      <c r="RL2932" s="106"/>
    </row>
    <row r="2933" spans="88:480" x14ac:dyDescent="0.3">
      <c r="CJ2933" s="103"/>
      <c r="FP2933" s="103"/>
      <c r="LL2933" s="103"/>
      <c r="NM2933" s="103"/>
      <c r="QT2933" s="106"/>
      <c r="QU2933" s="106"/>
      <c r="QV2933" s="106"/>
      <c r="QW2933" s="106"/>
      <c r="QX2933" s="106"/>
      <c r="QY2933" s="106"/>
      <c r="QZ2933" s="106"/>
      <c r="RA2933" s="106"/>
      <c r="RB2933" s="106"/>
      <c r="RC2933" s="106"/>
      <c r="RD2933" s="106"/>
      <c r="RE2933" s="106"/>
      <c r="RF2933" s="106"/>
      <c r="RG2933" s="106"/>
      <c r="RH2933" s="106"/>
      <c r="RI2933" s="106"/>
      <c r="RJ2933" s="106"/>
      <c r="RK2933" s="106"/>
      <c r="RL2933" s="106"/>
    </row>
    <row r="2934" spans="88:480" x14ac:dyDescent="0.3">
      <c r="CJ2934" s="103"/>
      <c r="FP2934" s="103"/>
      <c r="LL2934" s="103"/>
      <c r="NM2934" s="103"/>
      <c r="QT2934" s="106"/>
      <c r="QU2934" s="106"/>
      <c r="QV2934" s="106"/>
      <c r="QW2934" s="106"/>
      <c r="QX2934" s="106"/>
      <c r="QY2934" s="106"/>
      <c r="QZ2934" s="106"/>
      <c r="RA2934" s="106"/>
      <c r="RB2934" s="106"/>
      <c r="RC2934" s="106"/>
      <c r="RD2934" s="106"/>
      <c r="RE2934" s="106"/>
      <c r="RF2934" s="106"/>
      <c r="RG2934" s="106"/>
      <c r="RH2934" s="106"/>
      <c r="RI2934" s="106"/>
      <c r="RJ2934" s="106"/>
      <c r="RK2934" s="106"/>
      <c r="RL2934" s="106"/>
    </row>
    <row r="2935" spans="88:480" x14ac:dyDescent="0.3">
      <c r="CJ2935" s="103"/>
      <c r="FP2935" s="103"/>
      <c r="LL2935" s="103"/>
      <c r="NM2935" s="103"/>
      <c r="QT2935" s="106"/>
      <c r="QU2935" s="106"/>
      <c r="QV2935" s="106"/>
      <c r="QW2935" s="106"/>
      <c r="QX2935" s="106"/>
      <c r="QY2935" s="106"/>
      <c r="QZ2935" s="106"/>
      <c r="RA2935" s="106"/>
      <c r="RB2935" s="106"/>
      <c r="RC2935" s="106"/>
      <c r="RD2935" s="106"/>
      <c r="RE2935" s="106"/>
      <c r="RF2935" s="106"/>
      <c r="RG2935" s="106"/>
      <c r="RH2935" s="106"/>
      <c r="RI2935" s="106"/>
      <c r="RJ2935" s="106"/>
      <c r="RK2935" s="106"/>
      <c r="RL2935" s="106"/>
    </row>
    <row r="2936" spans="88:480" x14ac:dyDescent="0.3">
      <c r="CJ2936" s="103"/>
      <c r="FP2936" s="103"/>
      <c r="LL2936" s="103"/>
      <c r="NM2936" s="103"/>
      <c r="QT2936" s="106"/>
      <c r="QU2936" s="106"/>
      <c r="QV2936" s="106"/>
      <c r="QW2936" s="106"/>
      <c r="QX2936" s="106"/>
      <c r="QY2936" s="106"/>
      <c r="QZ2936" s="106"/>
      <c r="RA2936" s="106"/>
      <c r="RB2936" s="106"/>
      <c r="RC2936" s="106"/>
      <c r="RD2936" s="106"/>
      <c r="RE2936" s="106"/>
      <c r="RF2936" s="106"/>
      <c r="RG2936" s="106"/>
      <c r="RH2936" s="106"/>
      <c r="RI2936" s="106"/>
      <c r="RJ2936" s="106"/>
      <c r="RK2936" s="106"/>
      <c r="RL2936" s="106"/>
    </row>
    <row r="2937" spans="88:480" x14ac:dyDescent="0.3">
      <c r="CJ2937" s="103"/>
      <c r="FP2937" s="103"/>
      <c r="LL2937" s="103"/>
      <c r="NM2937" s="103"/>
      <c r="QT2937" s="106"/>
      <c r="QU2937" s="106"/>
      <c r="QV2937" s="106"/>
      <c r="QW2937" s="106"/>
      <c r="QX2937" s="106"/>
      <c r="QY2937" s="106"/>
      <c r="QZ2937" s="106"/>
      <c r="RA2937" s="106"/>
      <c r="RB2937" s="106"/>
      <c r="RC2937" s="106"/>
      <c r="RD2937" s="106"/>
      <c r="RE2937" s="106"/>
      <c r="RF2937" s="106"/>
      <c r="RG2937" s="106"/>
      <c r="RH2937" s="106"/>
      <c r="RI2937" s="106"/>
      <c r="RJ2937" s="106"/>
      <c r="RK2937" s="106"/>
      <c r="RL2937" s="106"/>
    </row>
    <row r="2938" spans="88:480" x14ac:dyDescent="0.3">
      <c r="CJ2938" s="103"/>
      <c r="FP2938" s="103"/>
      <c r="LL2938" s="103"/>
      <c r="NM2938" s="103"/>
      <c r="QT2938" s="106"/>
      <c r="QU2938" s="106"/>
      <c r="QV2938" s="106"/>
      <c r="QW2938" s="106"/>
      <c r="QX2938" s="106"/>
      <c r="QY2938" s="106"/>
      <c r="QZ2938" s="106"/>
      <c r="RA2938" s="106"/>
      <c r="RB2938" s="106"/>
      <c r="RC2938" s="106"/>
      <c r="RD2938" s="106"/>
      <c r="RE2938" s="106"/>
      <c r="RF2938" s="106"/>
      <c r="RG2938" s="106"/>
      <c r="RH2938" s="106"/>
      <c r="RI2938" s="106"/>
      <c r="RJ2938" s="106"/>
      <c r="RK2938" s="106"/>
      <c r="RL2938" s="106"/>
    </row>
    <row r="2939" spans="88:480" x14ac:dyDescent="0.3">
      <c r="CJ2939" s="103"/>
      <c r="FP2939" s="103"/>
      <c r="LL2939" s="103"/>
      <c r="NM2939" s="103"/>
      <c r="QT2939" s="106"/>
      <c r="QU2939" s="106"/>
      <c r="QV2939" s="106"/>
      <c r="QW2939" s="106"/>
      <c r="QX2939" s="106"/>
      <c r="QY2939" s="106"/>
      <c r="QZ2939" s="106"/>
      <c r="RA2939" s="106"/>
      <c r="RB2939" s="106"/>
      <c r="RC2939" s="106"/>
      <c r="RD2939" s="106"/>
      <c r="RE2939" s="106"/>
      <c r="RF2939" s="106"/>
      <c r="RG2939" s="106"/>
      <c r="RH2939" s="106"/>
      <c r="RI2939" s="106"/>
      <c r="RJ2939" s="106"/>
      <c r="RK2939" s="106"/>
      <c r="RL2939" s="106"/>
    </row>
    <row r="2940" spans="88:480" x14ac:dyDescent="0.3">
      <c r="CJ2940" s="103"/>
      <c r="FP2940" s="103"/>
      <c r="LL2940" s="103"/>
      <c r="NM2940" s="103"/>
      <c r="QT2940" s="106"/>
      <c r="QU2940" s="106"/>
      <c r="QV2940" s="106"/>
      <c r="QW2940" s="106"/>
      <c r="QX2940" s="106"/>
      <c r="QY2940" s="106"/>
      <c r="QZ2940" s="106"/>
      <c r="RA2940" s="106"/>
      <c r="RB2940" s="106"/>
      <c r="RC2940" s="106"/>
      <c r="RD2940" s="106"/>
      <c r="RE2940" s="106"/>
      <c r="RF2940" s="106"/>
      <c r="RG2940" s="106"/>
      <c r="RH2940" s="106"/>
      <c r="RI2940" s="106"/>
      <c r="RJ2940" s="106"/>
      <c r="RK2940" s="106"/>
      <c r="RL2940" s="106"/>
    </row>
    <row r="2941" spans="88:480" x14ac:dyDescent="0.3">
      <c r="CJ2941" s="103"/>
      <c r="FP2941" s="103"/>
      <c r="LL2941" s="103"/>
      <c r="NM2941" s="103"/>
      <c r="QT2941" s="106"/>
      <c r="QU2941" s="106"/>
      <c r="QV2941" s="106"/>
      <c r="QW2941" s="106"/>
      <c r="QX2941" s="106"/>
      <c r="QY2941" s="106"/>
      <c r="QZ2941" s="106"/>
      <c r="RA2941" s="106"/>
      <c r="RB2941" s="106"/>
      <c r="RC2941" s="106"/>
      <c r="RD2941" s="106"/>
      <c r="RE2941" s="106"/>
      <c r="RF2941" s="106"/>
      <c r="RG2941" s="106"/>
      <c r="RH2941" s="106"/>
      <c r="RI2941" s="106"/>
      <c r="RJ2941" s="106"/>
      <c r="RK2941" s="106"/>
      <c r="RL2941" s="106"/>
    </row>
    <row r="2942" spans="88:480" x14ac:dyDescent="0.3">
      <c r="CJ2942" s="103"/>
      <c r="FP2942" s="103"/>
      <c r="LL2942" s="103"/>
      <c r="NM2942" s="103"/>
      <c r="QT2942" s="106"/>
      <c r="QU2942" s="106"/>
      <c r="QV2942" s="106"/>
      <c r="QW2942" s="106"/>
      <c r="QX2942" s="106"/>
      <c r="QY2942" s="106"/>
      <c r="QZ2942" s="106"/>
      <c r="RA2942" s="106"/>
      <c r="RB2942" s="106"/>
      <c r="RC2942" s="106"/>
      <c r="RD2942" s="106"/>
      <c r="RE2942" s="106"/>
      <c r="RF2942" s="106"/>
      <c r="RG2942" s="106"/>
      <c r="RH2942" s="106"/>
      <c r="RI2942" s="106"/>
      <c r="RJ2942" s="106"/>
      <c r="RK2942" s="106"/>
      <c r="RL2942" s="106"/>
    </row>
    <row r="2943" spans="88:480" x14ac:dyDescent="0.3">
      <c r="CJ2943" s="103"/>
      <c r="FP2943" s="103"/>
      <c r="LL2943" s="103"/>
      <c r="NM2943" s="103"/>
      <c r="QT2943" s="106"/>
      <c r="QU2943" s="106"/>
      <c r="QV2943" s="106"/>
      <c r="QW2943" s="106"/>
      <c r="QX2943" s="106"/>
      <c r="QY2943" s="106"/>
      <c r="QZ2943" s="106"/>
      <c r="RA2943" s="106"/>
      <c r="RB2943" s="106"/>
      <c r="RC2943" s="106"/>
      <c r="RD2943" s="106"/>
      <c r="RE2943" s="106"/>
      <c r="RF2943" s="106"/>
      <c r="RG2943" s="106"/>
      <c r="RH2943" s="106"/>
      <c r="RI2943" s="106"/>
      <c r="RJ2943" s="106"/>
      <c r="RK2943" s="106"/>
      <c r="RL2943" s="106"/>
    </row>
    <row r="2944" spans="88:480" x14ac:dyDescent="0.3">
      <c r="CJ2944" s="103"/>
      <c r="FP2944" s="103"/>
      <c r="LL2944" s="103"/>
      <c r="NM2944" s="103"/>
      <c r="QT2944" s="106"/>
      <c r="QU2944" s="106"/>
      <c r="QV2944" s="106"/>
      <c r="QW2944" s="106"/>
      <c r="QX2944" s="106"/>
      <c r="QY2944" s="106"/>
      <c r="QZ2944" s="106"/>
      <c r="RA2944" s="106"/>
      <c r="RB2944" s="106"/>
      <c r="RC2944" s="106"/>
      <c r="RD2944" s="106"/>
      <c r="RE2944" s="106"/>
      <c r="RF2944" s="106"/>
      <c r="RG2944" s="106"/>
      <c r="RH2944" s="106"/>
      <c r="RI2944" s="106"/>
      <c r="RJ2944" s="106"/>
      <c r="RK2944" s="106"/>
      <c r="RL2944" s="106"/>
    </row>
    <row r="2945" spans="88:480" x14ac:dyDescent="0.3">
      <c r="CJ2945" s="103"/>
      <c r="FP2945" s="103"/>
      <c r="LL2945" s="103"/>
      <c r="NM2945" s="103"/>
      <c r="QT2945" s="106"/>
      <c r="QU2945" s="106"/>
      <c r="QV2945" s="106"/>
      <c r="QW2945" s="106"/>
      <c r="QX2945" s="106"/>
      <c r="QY2945" s="106"/>
      <c r="QZ2945" s="106"/>
      <c r="RA2945" s="106"/>
      <c r="RB2945" s="106"/>
      <c r="RC2945" s="106"/>
      <c r="RD2945" s="106"/>
      <c r="RE2945" s="106"/>
      <c r="RF2945" s="106"/>
      <c r="RG2945" s="106"/>
      <c r="RH2945" s="106"/>
      <c r="RI2945" s="106"/>
      <c r="RJ2945" s="106"/>
      <c r="RK2945" s="106"/>
      <c r="RL2945" s="106"/>
    </row>
    <row r="2946" spans="88:480" x14ac:dyDescent="0.3">
      <c r="CJ2946" s="103"/>
      <c r="FP2946" s="103"/>
      <c r="LL2946" s="103"/>
      <c r="NM2946" s="103"/>
      <c r="QT2946" s="106"/>
      <c r="QU2946" s="106"/>
      <c r="QV2946" s="106"/>
      <c r="QW2946" s="106"/>
      <c r="QX2946" s="106"/>
      <c r="QY2946" s="106"/>
      <c r="QZ2946" s="106"/>
      <c r="RA2946" s="106"/>
      <c r="RB2946" s="106"/>
      <c r="RC2946" s="106"/>
      <c r="RD2946" s="106"/>
      <c r="RE2946" s="106"/>
      <c r="RF2946" s="106"/>
      <c r="RG2946" s="106"/>
      <c r="RH2946" s="106"/>
      <c r="RI2946" s="106"/>
      <c r="RJ2946" s="106"/>
      <c r="RK2946" s="106"/>
      <c r="RL2946" s="106"/>
    </row>
    <row r="2947" spans="88:480" x14ac:dyDescent="0.3">
      <c r="CJ2947" s="103"/>
      <c r="FP2947" s="103"/>
      <c r="LL2947" s="103"/>
      <c r="NM2947" s="103"/>
      <c r="QT2947" s="106"/>
      <c r="QU2947" s="106"/>
      <c r="QV2947" s="106"/>
      <c r="QW2947" s="106"/>
      <c r="QX2947" s="106"/>
      <c r="QY2947" s="106"/>
      <c r="QZ2947" s="106"/>
      <c r="RA2947" s="106"/>
      <c r="RB2947" s="106"/>
      <c r="RC2947" s="106"/>
      <c r="RD2947" s="106"/>
      <c r="RE2947" s="106"/>
      <c r="RF2947" s="106"/>
      <c r="RG2947" s="106"/>
      <c r="RH2947" s="106"/>
      <c r="RI2947" s="106"/>
      <c r="RJ2947" s="106"/>
      <c r="RK2947" s="106"/>
      <c r="RL2947" s="106"/>
    </row>
    <row r="2948" spans="88:480" x14ac:dyDescent="0.3">
      <c r="CJ2948" s="103"/>
      <c r="FP2948" s="103"/>
      <c r="LL2948" s="103"/>
      <c r="NM2948" s="103"/>
      <c r="QT2948" s="106"/>
      <c r="QU2948" s="106"/>
      <c r="QV2948" s="106"/>
      <c r="QW2948" s="106"/>
      <c r="QX2948" s="106"/>
      <c r="QY2948" s="106"/>
      <c r="QZ2948" s="106"/>
      <c r="RA2948" s="106"/>
      <c r="RB2948" s="106"/>
      <c r="RC2948" s="106"/>
      <c r="RD2948" s="106"/>
      <c r="RE2948" s="106"/>
      <c r="RF2948" s="106"/>
      <c r="RG2948" s="106"/>
      <c r="RH2948" s="106"/>
      <c r="RI2948" s="106"/>
      <c r="RJ2948" s="106"/>
      <c r="RK2948" s="106"/>
      <c r="RL2948" s="106"/>
    </row>
    <row r="2949" spans="88:480" x14ac:dyDescent="0.3">
      <c r="CJ2949" s="103"/>
      <c r="FP2949" s="103"/>
      <c r="LL2949" s="103"/>
      <c r="NM2949" s="103"/>
      <c r="QT2949" s="106"/>
      <c r="QU2949" s="106"/>
      <c r="QV2949" s="106"/>
      <c r="QW2949" s="106"/>
      <c r="QX2949" s="106"/>
      <c r="QY2949" s="106"/>
      <c r="QZ2949" s="106"/>
      <c r="RA2949" s="106"/>
      <c r="RB2949" s="106"/>
      <c r="RC2949" s="106"/>
      <c r="RD2949" s="106"/>
      <c r="RE2949" s="106"/>
      <c r="RF2949" s="106"/>
      <c r="RG2949" s="106"/>
      <c r="RH2949" s="106"/>
      <c r="RI2949" s="106"/>
      <c r="RJ2949" s="106"/>
      <c r="RK2949" s="106"/>
      <c r="RL2949" s="106"/>
    </row>
    <row r="2950" spans="88:480" x14ac:dyDescent="0.3">
      <c r="CJ2950" s="103"/>
      <c r="FP2950" s="103"/>
      <c r="LL2950" s="103"/>
      <c r="NM2950" s="103"/>
      <c r="QT2950" s="106"/>
      <c r="QU2950" s="106"/>
      <c r="QV2950" s="106"/>
      <c r="QW2950" s="106"/>
      <c r="QX2950" s="106"/>
      <c r="QY2950" s="106"/>
      <c r="QZ2950" s="106"/>
      <c r="RA2950" s="106"/>
      <c r="RB2950" s="106"/>
      <c r="RC2950" s="106"/>
      <c r="RD2950" s="106"/>
      <c r="RE2950" s="106"/>
      <c r="RF2950" s="106"/>
      <c r="RG2950" s="106"/>
      <c r="RH2950" s="106"/>
      <c r="RI2950" s="106"/>
      <c r="RJ2950" s="106"/>
      <c r="RK2950" s="106"/>
      <c r="RL2950" s="106"/>
    </row>
    <row r="2951" spans="88:480" x14ac:dyDescent="0.3">
      <c r="CJ2951" s="103"/>
      <c r="FP2951" s="103"/>
      <c r="LL2951" s="103"/>
      <c r="NM2951" s="103"/>
      <c r="QT2951" s="106"/>
      <c r="QU2951" s="106"/>
      <c r="QV2951" s="106"/>
      <c r="QW2951" s="106"/>
      <c r="QX2951" s="106"/>
      <c r="QY2951" s="106"/>
      <c r="QZ2951" s="106"/>
      <c r="RA2951" s="106"/>
      <c r="RB2951" s="106"/>
      <c r="RC2951" s="106"/>
      <c r="RD2951" s="106"/>
      <c r="RE2951" s="106"/>
      <c r="RF2951" s="106"/>
      <c r="RG2951" s="106"/>
      <c r="RH2951" s="106"/>
      <c r="RI2951" s="106"/>
      <c r="RJ2951" s="106"/>
      <c r="RK2951" s="106"/>
      <c r="RL2951" s="106"/>
    </row>
    <row r="2952" spans="88:480" x14ac:dyDescent="0.3">
      <c r="CJ2952" s="103"/>
      <c r="FP2952" s="103"/>
      <c r="LL2952" s="103"/>
      <c r="NM2952" s="103"/>
      <c r="QT2952" s="106"/>
      <c r="QU2952" s="106"/>
      <c r="QV2952" s="106"/>
      <c r="QW2952" s="106"/>
      <c r="QX2952" s="106"/>
      <c r="QY2952" s="106"/>
      <c r="QZ2952" s="106"/>
      <c r="RA2952" s="106"/>
      <c r="RB2952" s="106"/>
      <c r="RC2952" s="106"/>
      <c r="RD2952" s="106"/>
      <c r="RE2952" s="106"/>
      <c r="RF2952" s="106"/>
      <c r="RG2952" s="106"/>
      <c r="RH2952" s="106"/>
      <c r="RI2952" s="106"/>
      <c r="RJ2952" s="106"/>
      <c r="RK2952" s="106"/>
      <c r="RL2952" s="106"/>
    </row>
    <row r="2953" spans="88:480" x14ac:dyDescent="0.3">
      <c r="CJ2953" s="103"/>
      <c r="FP2953" s="103"/>
      <c r="LL2953" s="103"/>
      <c r="NM2953" s="103"/>
      <c r="QT2953" s="106"/>
      <c r="QU2953" s="106"/>
      <c r="QV2953" s="106"/>
      <c r="QW2953" s="106"/>
      <c r="QX2953" s="106"/>
      <c r="QY2953" s="106"/>
      <c r="QZ2953" s="106"/>
      <c r="RA2953" s="106"/>
      <c r="RB2953" s="106"/>
      <c r="RC2953" s="106"/>
      <c r="RD2953" s="106"/>
      <c r="RE2953" s="106"/>
      <c r="RF2953" s="106"/>
      <c r="RG2953" s="106"/>
      <c r="RH2953" s="106"/>
      <c r="RI2953" s="106"/>
      <c r="RJ2953" s="106"/>
      <c r="RK2953" s="106"/>
      <c r="RL2953" s="106"/>
    </row>
    <row r="2954" spans="88:480" x14ac:dyDescent="0.3">
      <c r="CJ2954" s="103"/>
      <c r="FP2954" s="103"/>
      <c r="LL2954" s="103"/>
      <c r="NM2954" s="103"/>
      <c r="QT2954" s="106"/>
      <c r="QU2954" s="106"/>
      <c r="QV2954" s="106"/>
      <c r="QW2954" s="106"/>
      <c r="QX2954" s="106"/>
      <c r="QY2954" s="106"/>
      <c r="QZ2954" s="106"/>
      <c r="RA2954" s="106"/>
      <c r="RB2954" s="106"/>
      <c r="RC2954" s="106"/>
      <c r="RD2954" s="106"/>
      <c r="RE2954" s="106"/>
      <c r="RF2954" s="106"/>
      <c r="RG2954" s="106"/>
      <c r="RH2954" s="106"/>
      <c r="RI2954" s="106"/>
      <c r="RJ2954" s="106"/>
      <c r="RK2954" s="106"/>
      <c r="RL2954" s="106"/>
    </row>
    <row r="2955" spans="88:480" x14ac:dyDescent="0.3">
      <c r="CJ2955" s="103"/>
      <c r="FP2955" s="103"/>
      <c r="LL2955" s="103"/>
      <c r="NM2955" s="103"/>
      <c r="QT2955" s="106"/>
      <c r="QU2955" s="106"/>
      <c r="QV2955" s="106"/>
      <c r="QW2955" s="106"/>
      <c r="QX2955" s="106"/>
      <c r="QY2955" s="106"/>
      <c r="QZ2955" s="106"/>
      <c r="RA2955" s="106"/>
      <c r="RB2955" s="106"/>
      <c r="RC2955" s="106"/>
      <c r="RD2955" s="106"/>
      <c r="RE2955" s="106"/>
      <c r="RF2955" s="106"/>
      <c r="RG2955" s="106"/>
      <c r="RH2955" s="106"/>
      <c r="RI2955" s="106"/>
      <c r="RJ2955" s="106"/>
      <c r="RK2955" s="106"/>
      <c r="RL2955" s="106"/>
    </row>
    <row r="2956" spans="88:480" x14ac:dyDescent="0.3">
      <c r="CJ2956" s="103"/>
      <c r="FP2956" s="103"/>
      <c r="LL2956" s="103"/>
      <c r="NM2956" s="103"/>
      <c r="QT2956" s="106"/>
      <c r="QU2956" s="106"/>
      <c r="QV2956" s="106"/>
      <c r="QW2956" s="106"/>
      <c r="QX2956" s="106"/>
      <c r="QY2956" s="106"/>
      <c r="QZ2956" s="106"/>
      <c r="RA2956" s="106"/>
      <c r="RB2956" s="106"/>
      <c r="RC2956" s="106"/>
      <c r="RD2956" s="106"/>
      <c r="RE2956" s="106"/>
      <c r="RF2956" s="106"/>
      <c r="RG2956" s="106"/>
      <c r="RH2956" s="106"/>
      <c r="RI2956" s="106"/>
      <c r="RJ2956" s="106"/>
      <c r="RK2956" s="106"/>
      <c r="RL2956" s="106"/>
    </row>
    <row r="2957" spans="88:480" x14ac:dyDescent="0.3">
      <c r="CJ2957" s="103"/>
      <c r="FP2957" s="103"/>
      <c r="LL2957" s="103"/>
      <c r="NM2957" s="103"/>
      <c r="QT2957" s="106"/>
      <c r="QU2957" s="106"/>
      <c r="QV2957" s="106"/>
      <c r="QW2957" s="106"/>
      <c r="QX2957" s="106"/>
      <c r="QY2957" s="106"/>
      <c r="QZ2957" s="106"/>
      <c r="RA2957" s="106"/>
      <c r="RB2957" s="106"/>
      <c r="RC2957" s="106"/>
      <c r="RD2957" s="106"/>
      <c r="RE2957" s="106"/>
      <c r="RF2957" s="106"/>
      <c r="RG2957" s="106"/>
      <c r="RH2957" s="106"/>
      <c r="RI2957" s="106"/>
      <c r="RJ2957" s="106"/>
      <c r="RK2957" s="106"/>
      <c r="RL2957" s="106"/>
    </row>
    <row r="2958" spans="88:480" x14ac:dyDescent="0.3">
      <c r="CJ2958" s="103"/>
      <c r="FP2958" s="103"/>
      <c r="LL2958" s="103"/>
      <c r="NM2958" s="103"/>
      <c r="QT2958" s="106"/>
      <c r="QU2958" s="106"/>
      <c r="QV2958" s="106"/>
      <c r="QW2958" s="106"/>
      <c r="QX2958" s="106"/>
      <c r="QY2958" s="106"/>
      <c r="QZ2958" s="106"/>
      <c r="RA2958" s="106"/>
      <c r="RB2958" s="106"/>
      <c r="RC2958" s="106"/>
      <c r="RD2958" s="106"/>
      <c r="RE2958" s="106"/>
      <c r="RF2958" s="106"/>
      <c r="RG2958" s="106"/>
      <c r="RH2958" s="106"/>
      <c r="RI2958" s="106"/>
      <c r="RJ2958" s="106"/>
      <c r="RK2958" s="106"/>
      <c r="RL2958" s="106"/>
    </row>
    <row r="2959" spans="88:480" x14ac:dyDescent="0.3">
      <c r="CJ2959" s="103"/>
      <c r="FP2959" s="103"/>
      <c r="LL2959" s="103"/>
      <c r="NM2959" s="103"/>
      <c r="QT2959" s="106"/>
      <c r="QU2959" s="106"/>
      <c r="QV2959" s="106"/>
      <c r="QW2959" s="106"/>
      <c r="QX2959" s="106"/>
      <c r="QY2959" s="106"/>
      <c r="QZ2959" s="106"/>
      <c r="RA2959" s="106"/>
      <c r="RB2959" s="106"/>
      <c r="RC2959" s="106"/>
      <c r="RD2959" s="106"/>
      <c r="RE2959" s="106"/>
      <c r="RF2959" s="106"/>
      <c r="RG2959" s="106"/>
      <c r="RH2959" s="106"/>
      <c r="RI2959" s="106"/>
      <c r="RJ2959" s="106"/>
      <c r="RK2959" s="106"/>
      <c r="RL2959" s="106"/>
    </row>
    <row r="2960" spans="88:480" x14ac:dyDescent="0.3">
      <c r="CJ2960" s="103"/>
      <c r="FP2960" s="103"/>
      <c r="LL2960" s="103"/>
      <c r="NM2960" s="103"/>
      <c r="QT2960" s="106"/>
      <c r="QU2960" s="106"/>
      <c r="QV2960" s="106"/>
      <c r="QW2960" s="106"/>
      <c r="QX2960" s="106"/>
      <c r="QY2960" s="106"/>
      <c r="QZ2960" s="106"/>
      <c r="RA2960" s="106"/>
      <c r="RB2960" s="106"/>
      <c r="RC2960" s="106"/>
      <c r="RD2960" s="106"/>
      <c r="RE2960" s="106"/>
      <c r="RF2960" s="106"/>
      <c r="RG2960" s="106"/>
      <c r="RH2960" s="106"/>
      <c r="RI2960" s="106"/>
      <c r="RJ2960" s="106"/>
      <c r="RK2960" s="106"/>
      <c r="RL2960" s="106"/>
    </row>
    <row r="2961" spans="88:480" x14ac:dyDescent="0.3">
      <c r="CJ2961" s="103"/>
      <c r="FP2961" s="103"/>
      <c r="LL2961" s="103"/>
      <c r="NM2961" s="103"/>
      <c r="QT2961" s="106"/>
      <c r="QU2961" s="106"/>
      <c r="QV2961" s="106"/>
      <c r="QW2961" s="106"/>
      <c r="QX2961" s="106"/>
      <c r="QY2961" s="106"/>
      <c r="QZ2961" s="106"/>
      <c r="RA2961" s="106"/>
      <c r="RB2961" s="106"/>
      <c r="RC2961" s="106"/>
      <c r="RD2961" s="106"/>
      <c r="RE2961" s="106"/>
      <c r="RF2961" s="106"/>
      <c r="RG2961" s="106"/>
      <c r="RH2961" s="106"/>
      <c r="RI2961" s="106"/>
      <c r="RJ2961" s="106"/>
      <c r="RK2961" s="106"/>
      <c r="RL2961" s="106"/>
    </row>
    <row r="2962" spans="88:480" x14ac:dyDescent="0.3">
      <c r="CJ2962" s="103"/>
      <c r="FP2962" s="103"/>
      <c r="LL2962" s="103"/>
      <c r="NM2962" s="103"/>
      <c r="QT2962" s="106"/>
      <c r="QU2962" s="106"/>
      <c r="QV2962" s="106"/>
      <c r="QW2962" s="106"/>
      <c r="QX2962" s="106"/>
      <c r="QY2962" s="106"/>
      <c r="QZ2962" s="106"/>
      <c r="RA2962" s="106"/>
      <c r="RB2962" s="106"/>
      <c r="RC2962" s="106"/>
      <c r="RD2962" s="106"/>
      <c r="RE2962" s="106"/>
      <c r="RF2962" s="106"/>
      <c r="RG2962" s="106"/>
      <c r="RH2962" s="106"/>
      <c r="RI2962" s="106"/>
      <c r="RJ2962" s="106"/>
      <c r="RK2962" s="106"/>
      <c r="RL2962" s="106"/>
    </row>
    <row r="2963" spans="88:480" x14ac:dyDescent="0.3">
      <c r="CJ2963" s="103"/>
      <c r="FP2963" s="103"/>
      <c r="LL2963" s="103"/>
      <c r="NM2963" s="103"/>
      <c r="QT2963" s="106"/>
      <c r="QU2963" s="106"/>
      <c r="QV2963" s="106"/>
      <c r="QW2963" s="106"/>
      <c r="QX2963" s="106"/>
      <c r="QY2963" s="106"/>
      <c r="QZ2963" s="106"/>
      <c r="RA2963" s="106"/>
      <c r="RB2963" s="106"/>
      <c r="RC2963" s="106"/>
      <c r="RD2963" s="106"/>
      <c r="RE2963" s="106"/>
      <c r="RF2963" s="106"/>
      <c r="RG2963" s="106"/>
      <c r="RH2963" s="106"/>
      <c r="RI2963" s="106"/>
      <c r="RJ2963" s="106"/>
      <c r="RK2963" s="106"/>
      <c r="RL2963" s="106"/>
    </row>
    <row r="2964" spans="88:480" x14ac:dyDescent="0.3">
      <c r="CJ2964" s="103"/>
      <c r="FP2964" s="103"/>
      <c r="LL2964" s="103"/>
      <c r="NM2964" s="103"/>
      <c r="QT2964" s="106"/>
      <c r="QU2964" s="106"/>
      <c r="QV2964" s="106"/>
      <c r="QW2964" s="106"/>
      <c r="QX2964" s="106"/>
      <c r="QY2964" s="106"/>
      <c r="QZ2964" s="106"/>
      <c r="RA2964" s="106"/>
      <c r="RB2964" s="106"/>
      <c r="RC2964" s="106"/>
      <c r="RD2964" s="106"/>
      <c r="RE2964" s="106"/>
      <c r="RF2964" s="106"/>
      <c r="RG2964" s="106"/>
      <c r="RH2964" s="106"/>
      <c r="RI2964" s="106"/>
      <c r="RJ2964" s="106"/>
      <c r="RK2964" s="106"/>
      <c r="RL2964" s="106"/>
    </row>
    <row r="2965" spans="88:480" x14ac:dyDescent="0.3">
      <c r="CJ2965" s="103"/>
      <c r="FP2965" s="103"/>
      <c r="LL2965" s="103"/>
      <c r="NM2965" s="103"/>
      <c r="QT2965" s="106"/>
      <c r="QU2965" s="106"/>
      <c r="QV2965" s="106"/>
      <c r="QW2965" s="106"/>
      <c r="QX2965" s="106"/>
      <c r="QY2965" s="106"/>
      <c r="QZ2965" s="106"/>
      <c r="RA2965" s="106"/>
      <c r="RB2965" s="106"/>
      <c r="RC2965" s="106"/>
      <c r="RD2965" s="106"/>
      <c r="RE2965" s="106"/>
      <c r="RF2965" s="106"/>
      <c r="RG2965" s="106"/>
      <c r="RH2965" s="106"/>
      <c r="RI2965" s="106"/>
      <c r="RJ2965" s="106"/>
      <c r="RK2965" s="106"/>
      <c r="RL2965" s="106"/>
    </row>
    <row r="2966" spans="88:480" x14ac:dyDescent="0.3">
      <c r="CJ2966" s="103"/>
      <c r="FP2966" s="103"/>
      <c r="LL2966" s="103"/>
      <c r="NM2966" s="103"/>
      <c r="QT2966" s="106"/>
      <c r="QU2966" s="106"/>
      <c r="QV2966" s="106"/>
      <c r="QW2966" s="106"/>
      <c r="QX2966" s="106"/>
      <c r="QY2966" s="106"/>
      <c r="QZ2966" s="106"/>
      <c r="RA2966" s="106"/>
      <c r="RB2966" s="106"/>
      <c r="RC2966" s="106"/>
      <c r="RD2966" s="106"/>
      <c r="RE2966" s="106"/>
      <c r="RF2966" s="106"/>
      <c r="RG2966" s="106"/>
      <c r="RH2966" s="106"/>
      <c r="RI2966" s="106"/>
      <c r="RJ2966" s="106"/>
      <c r="RK2966" s="106"/>
      <c r="RL2966" s="106"/>
    </row>
    <row r="2967" spans="88:480" x14ac:dyDescent="0.3">
      <c r="CJ2967" s="103"/>
      <c r="FP2967" s="103"/>
      <c r="LL2967" s="103"/>
      <c r="NM2967" s="103"/>
      <c r="QT2967" s="106"/>
      <c r="QU2967" s="106"/>
      <c r="QV2967" s="106"/>
      <c r="QW2967" s="106"/>
      <c r="QX2967" s="106"/>
      <c r="QY2967" s="106"/>
      <c r="QZ2967" s="106"/>
      <c r="RA2967" s="106"/>
      <c r="RB2967" s="106"/>
      <c r="RC2967" s="106"/>
      <c r="RD2967" s="106"/>
      <c r="RE2967" s="106"/>
      <c r="RF2967" s="106"/>
      <c r="RG2967" s="106"/>
      <c r="RH2967" s="106"/>
      <c r="RI2967" s="106"/>
      <c r="RJ2967" s="106"/>
      <c r="RK2967" s="106"/>
      <c r="RL2967" s="106"/>
    </row>
    <row r="2968" spans="88:480" x14ac:dyDescent="0.3">
      <c r="CJ2968" s="103"/>
      <c r="FP2968" s="103"/>
      <c r="LL2968" s="103"/>
      <c r="NM2968" s="103"/>
      <c r="QT2968" s="106"/>
      <c r="QU2968" s="106"/>
      <c r="QV2968" s="106"/>
      <c r="QW2968" s="106"/>
      <c r="QX2968" s="106"/>
      <c r="QY2968" s="106"/>
      <c r="QZ2968" s="106"/>
      <c r="RA2968" s="106"/>
      <c r="RB2968" s="106"/>
      <c r="RC2968" s="106"/>
      <c r="RD2968" s="106"/>
      <c r="RE2968" s="106"/>
      <c r="RF2968" s="106"/>
      <c r="RG2968" s="106"/>
      <c r="RH2968" s="106"/>
      <c r="RI2968" s="106"/>
      <c r="RJ2968" s="106"/>
      <c r="RK2968" s="106"/>
      <c r="RL2968" s="106"/>
    </row>
    <row r="2969" spans="88:480" x14ac:dyDescent="0.3">
      <c r="CJ2969" s="103"/>
      <c r="FP2969" s="103"/>
      <c r="LL2969" s="103"/>
      <c r="NM2969" s="103"/>
      <c r="QT2969" s="106"/>
      <c r="QU2969" s="106"/>
      <c r="QV2969" s="106"/>
      <c r="QW2969" s="106"/>
      <c r="QX2969" s="106"/>
      <c r="QY2969" s="106"/>
      <c r="QZ2969" s="106"/>
      <c r="RA2969" s="106"/>
      <c r="RB2969" s="106"/>
      <c r="RC2969" s="106"/>
      <c r="RD2969" s="106"/>
      <c r="RE2969" s="106"/>
      <c r="RF2969" s="106"/>
      <c r="RG2969" s="106"/>
      <c r="RH2969" s="106"/>
      <c r="RI2969" s="106"/>
      <c r="RJ2969" s="106"/>
      <c r="RK2969" s="106"/>
      <c r="RL2969" s="106"/>
    </row>
    <row r="2970" spans="88:480" x14ac:dyDescent="0.3">
      <c r="CJ2970" s="103"/>
      <c r="FP2970" s="103"/>
      <c r="LL2970" s="103"/>
      <c r="NM2970" s="103"/>
      <c r="QT2970" s="106"/>
      <c r="QU2970" s="106"/>
      <c r="QV2970" s="106"/>
      <c r="QW2970" s="106"/>
      <c r="QX2970" s="106"/>
      <c r="QY2970" s="106"/>
      <c r="QZ2970" s="106"/>
      <c r="RA2970" s="106"/>
      <c r="RB2970" s="106"/>
      <c r="RC2970" s="106"/>
      <c r="RD2970" s="106"/>
      <c r="RE2970" s="106"/>
      <c r="RF2970" s="106"/>
      <c r="RG2970" s="106"/>
      <c r="RH2970" s="106"/>
      <c r="RI2970" s="106"/>
      <c r="RJ2970" s="106"/>
      <c r="RK2970" s="106"/>
      <c r="RL2970" s="106"/>
    </row>
    <row r="2971" spans="88:480" x14ac:dyDescent="0.3">
      <c r="CJ2971" s="103"/>
      <c r="FP2971" s="103"/>
      <c r="LL2971" s="103"/>
      <c r="NM2971" s="103"/>
      <c r="QT2971" s="106"/>
      <c r="QU2971" s="106"/>
      <c r="QV2971" s="106"/>
      <c r="QW2971" s="106"/>
      <c r="QX2971" s="106"/>
      <c r="QY2971" s="106"/>
      <c r="QZ2971" s="106"/>
      <c r="RA2971" s="106"/>
      <c r="RB2971" s="106"/>
      <c r="RC2971" s="106"/>
      <c r="RD2971" s="106"/>
      <c r="RE2971" s="106"/>
      <c r="RF2971" s="106"/>
      <c r="RG2971" s="106"/>
      <c r="RH2971" s="106"/>
      <c r="RI2971" s="106"/>
      <c r="RJ2971" s="106"/>
      <c r="RK2971" s="106"/>
      <c r="RL2971" s="106"/>
    </row>
    <row r="2972" spans="88:480" x14ac:dyDescent="0.3">
      <c r="CJ2972" s="103"/>
      <c r="FP2972" s="103"/>
      <c r="LL2972" s="103"/>
      <c r="NM2972" s="103"/>
      <c r="QT2972" s="106"/>
      <c r="QU2972" s="106"/>
      <c r="QV2972" s="106"/>
      <c r="QW2972" s="106"/>
      <c r="QX2972" s="106"/>
      <c r="QY2972" s="106"/>
      <c r="QZ2972" s="106"/>
      <c r="RA2972" s="106"/>
      <c r="RB2972" s="106"/>
      <c r="RC2972" s="106"/>
      <c r="RD2972" s="106"/>
      <c r="RE2972" s="106"/>
      <c r="RF2972" s="106"/>
      <c r="RG2972" s="106"/>
      <c r="RH2972" s="106"/>
      <c r="RI2972" s="106"/>
      <c r="RJ2972" s="106"/>
      <c r="RK2972" s="106"/>
      <c r="RL2972" s="106"/>
    </row>
    <row r="2973" spans="88:480" x14ac:dyDescent="0.3">
      <c r="CJ2973" s="103"/>
      <c r="FP2973" s="103"/>
      <c r="LL2973" s="103"/>
      <c r="NM2973" s="103"/>
      <c r="QT2973" s="106"/>
      <c r="QU2973" s="106"/>
      <c r="QV2973" s="106"/>
      <c r="QW2973" s="106"/>
      <c r="QX2973" s="106"/>
      <c r="QY2973" s="106"/>
      <c r="QZ2973" s="106"/>
      <c r="RA2973" s="106"/>
      <c r="RB2973" s="106"/>
      <c r="RC2973" s="106"/>
      <c r="RD2973" s="106"/>
      <c r="RE2973" s="106"/>
      <c r="RF2973" s="106"/>
      <c r="RG2973" s="106"/>
      <c r="RH2973" s="106"/>
      <c r="RI2973" s="106"/>
      <c r="RJ2973" s="106"/>
      <c r="RK2973" s="106"/>
      <c r="RL2973" s="106"/>
    </row>
    <row r="2974" spans="88:480" x14ac:dyDescent="0.3">
      <c r="CJ2974" s="103"/>
      <c r="FP2974" s="103"/>
      <c r="LL2974" s="103"/>
      <c r="NM2974" s="103"/>
      <c r="QT2974" s="106"/>
      <c r="QU2974" s="106"/>
      <c r="QV2974" s="106"/>
      <c r="QW2974" s="106"/>
      <c r="QX2974" s="106"/>
      <c r="QY2974" s="106"/>
      <c r="QZ2974" s="106"/>
      <c r="RA2974" s="106"/>
      <c r="RB2974" s="106"/>
      <c r="RC2974" s="106"/>
      <c r="RD2974" s="106"/>
      <c r="RE2974" s="106"/>
      <c r="RF2974" s="106"/>
      <c r="RG2974" s="106"/>
      <c r="RH2974" s="106"/>
      <c r="RI2974" s="106"/>
      <c r="RJ2974" s="106"/>
      <c r="RK2974" s="106"/>
      <c r="RL2974" s="106"/>
    </row>
    <row r="2975" spans="88:480" x14ac:dyDescent="0.3">
      <c r="CJ2975" s="103"/>
      <c r="FP2975" s="103"/>
      <c r="LL2975" s="103"/>
      <c r="NM2975" s="103"/>
      <c r="QT2975" s="106"/>
      <c r="QU2975" s="106"/>
      <c r="QV2975" s="106"/>
      <c r="QW2975" s="106"/>
      <c r="QX2975" s="106"/>
      <c r="QY2975" s="106"/>
      <c r="QZ2975" s="106"/>
      <c r="RA2975" s="106"/>
      <c r="RB2975" s="106"/>
      <c r="RC2975" s="106"/>
      <c r="RD2975" s="106"/>
      <c r="RE2975" s="106"/>
      <c r="RF2975" s="106"/>
      <c r="RG2975" s="106"/>
      <c r="RH2975" s="106"/>
      <c r="RI2975" s="106"/>
      <c r="RJ2975" s="106"/>
      <c r="RK2975" s="106"/>
      <c r="RL2975" s="106"/>
    </row>
    <row r="2976" spans="88:480" x14ac:dyDescent="0.3">
      <c r="CJ2976" s="103"/>
      <c r="FP2976" s="103"/>
      <c r="LL2976" s="103"/>
      <c r="NM2976" s="103"/>
      <c r="QT2976" s="106"/>
      <c r="QU2976" s="106"/>
      <c r="QV2976" s="106"/>
      <c r="QW2976" s="106"/>
      <c r="QX2976" s="106"/>
      <c r="QY2976" s="106"/>
      <c r="QZ2976" s="106"/>
      <c r="RA2976" s="106"/>
      <c r="RB2976" s="106"/>
      <c r="RC2976" s="106"/>
      <c r="RD2976" s="106"/>
      <c r="RE2976" s="106"/>
      <c r="RF2976" s="106"/>
      <c r="RG2976" s="106"/>
      <c r="RH2976" s="106"/>
      <c r="RI2976" s="106"/>
      <c r="RJ2976" s="106"/>
      <c r="RK2976" s="106"/>
      <c r="RL2976" s="106"/>
    </row>
    <row r="2977" spans="88:480" x14ac:dyDescent="0.3">
      <c r="CJ2977" s="103"/>
      <c r="FP2977" s="103"/>
      <c r="LL2977" s="103"/>
      <c r="NM2977" s="103"/>
      <c r="QT2977" s="106"/>
      <c r="QU2977" s="106"/>
      <c r="QV2977" s="106"/>
      <c r="QW2977" s="106"/>
      <c r="QX2977" s="106"/>
      <c r="QY2977" s="106"/>
      <c r="QZ2977" s="106"/>
      <c r="RA2977" s="106"/>
      <c r="RB2977" s="106"/>
      <c r="RC2977" s="106"/>
      <c r="RD2977" s="106"/>
      <c r="RE2977" s="106"/>
      <c r="RF2977" s="106"/>
      <c r="RG2977" s="106"/>
      <c r="RH2977" s="106"/>
      <c r="RI2977" s="106"/>
      <c r="RJ2977" s="106"/>
      <c r="RK2977" s="106"/>
      <c r="RL2977" s="106"/>
    </row>
    <row r="2978" spans="88:480" x14ac:dyDescent="0.3">
      <c r="CJ2978" s="103"/>
      <c r="FP2978" s="103"/>
      <c r="LL2978" s="103"/>
      <c r="NM2978" s="103"/>
      <c r="QT2978" s="106"/>
      <c r="QU2978" s="106"/>
      <c r="QV2978" s="106"/>
      <c r="QW2978" s="106"/>
      <c r="QX2978" s="106"/>
      <c r="QY2978" s="106"/>
      <c r="QZ2978" s="106"/>
      <c r="RA2978" s="106"/>
      <c r="RB2978" s="106"/>
      <c r="RC2978" s="106"/>
      <c r="RD2978" s="106"/>
      <c r="RE2978" s="106"/>
      <c r="RF2978" s="106"/>
      <c r="RG2978" s="106"/>
      <c r="RH2978" s="106"/>
      <c r="RI2978" s="106"/>
      <c r="RJ2978" s="106"/>
      <c r="RK2978" s="106"/>
      <c r="RL2978" s="106"/>
    </row>
    <row r="2979" spans="88:480" x14ac:dyDescent="0.3">
      <c r="CJ2979" s="103"/>
      <c r="FP2979" s="103"/>
      <c r="LL2979" s="103"/>
      <c r="NM2979" s="103"/>
      <c r="QT2979" s="106"/>
      <c r="QU2979" s="106"/>
      <c r="QV2979" s="106"/>
      <c r="QW2979" s="106"/>
      <c r="QX2979" s="106"/>
      <c r="QY2979" s="106"/>
      <c r="QZ2979" s="106"/>
      <c r="RA2979" s="106"/>
      <c r="RB2979" s="106"/>
      <c r="RC2979" s="106"/>
      <c r="RD2979" s="106"/>
      <c r="RE2979" s="106"/>
      <c r="RF2979" s="106"/>
      <c r="RG2979" s="106"/>
      <c r="RH2979" s="106"/>
      <c r="RI2979" s="106"/>
      <c r="RJ2979" s="106"/>
      <c r="RK2979" s="106"/>
      <c r="RL2979" s="106"/>
    </row>
    <row r="2980" spans="88:480" x14ac:dyDescent="0.3">
      <c r="CJ2980" s="103"/>
      <c r="FP2980" s="103"/>
      <c r="LL2980" s="103"/>
      <c r="NM2980" s="103"/>
      <c r="QT2980" s="106"/>
      <c r="QU2980" s="106"/>
      <c r="QV2980" s="106"/>
      <c r="QW2980" s="106"/>
      <c r="QX2980" s="106"/>
      <c r="QY2980" s="106"/>
      <c r="QZ2980" s="106"/>
      <c r="RA2980" s="106"/>
      <c r="RB2980" s="106"/>
      <c r="RC2980" s="106"/>
      <c r="RD2980" s="106"/>
      <c r="RE2980" s="106"/>
      <c r="RF2980" s="106"/>
      <c r="RG2980" s="106"/>
      <c r="RH2980" s="106"/>
      <c r="RI2980" s="106"/>
      <c r="RJ2980" s="106"/>
      <c r="RK2980" s="106"/>
      <c r="RL2980" s="106"/>
    </row>
    <row r="2981" spans="88:480" x14ac:dyDescent="0.3">
      <c r="CJ2981" s="103"/>
      <c r="FP2981" s="103"/>
      <c r="LL2981" s="103"/>
      <c r="NM2981" s="103"/>
      <c r="QT2981" s="106"/>
      <c r="QU2981" s="106"/>
      <c r="QV2981" s="106"/>
      <c r="QW2981" s="106"/>
      <c r="QX2981" s="106"/>
      <c r="QY2981" s="106"/>
      <c r="QZ2981" s="106"/>
      <c r="RA2981" s="106"/>
      <c r="RB2981" s="106"/>
      <c r="RC2981" s="106"/>
      <c r="RD2981" s="106"/>
      <c r="RE2981" s="106"/>
      <c r="RF2981" s="106"/>
      <c r="RG2981" s="106"/>
      <c r="RH2981" s="106"/>
      <c r="RI2981" s="106"/>
      <c r="RJ2981" s="106"/>
      <c r="RK2981" s="106"/>
      <c r="RL2981" s="106"/>
    </row>
    <row r="2982" spans="88:480" x14ac:dyDescent="0.3">
      <c r="CJ2982" s="103"/>
      <c r="FP2982" s="103"/>
      <c r="LL2982" s="103"/>
      <c r="NM2982" s="103"/>
      <c r="QT2982" s="106"/>
      <c r="QU2982" s="106"/>
      <c r="QV2982" s="106"/>
      <c r="QW2982" s="106"/>
      <c r="QX2982" s="106"/>
      <c r="QY2982" s="106"/>
      <c r="QZ2982" s="106"/>
      <c r="RA2982" s="106"/>
      <c r="RB2982" s="106"/>
      <c r="RC2982" s="106"/>
      <c r="RD2982" s="106"/>
      <c r="RE2982" s="106"/>
      <c r="RF2982" s="106"/>
      <c r="RG2982" s="106"/>
      <c r="RH2982" s="106"/>
      <c r="RI2982" s="106"/>
      <c r="RJ2982" s="106"/>
      <c r="RK2982" s="106"/>
      <c r="RL2982" s="106"/>
    </row>
    <row r="2983" spans="88:480" x14ac:dyDescent="0.3">
      <c r="CJ2983" s="103"/>
      <c r="FP2983" s="103"/>
      <c r="LL2983" s="103"/>
      <c r="NM2983" s="103"/>
      <c r="QT2983" s="106"/>
      <c r="QU2983" s="106"/>
      <c r="QV2983" s="106"/>
      <c r="QW2983" s="106"/>
      <c r="QX2983" s="106"/>
      <c r="QY2983" s="106"/>
      <c r="QZ2983" s="106"/>
      <c r="RA2983" s="106"/>
      <c r="RB2983" s="106"/>
      <c r="RC2983" s="106"/>
      <c r="RD2983" s="106"/>
      <c r="RE2983" s="106"/>
      <c r="RF2983" s="106"/>
      <c r="RG2983" s="106"/>
      <c r="RH2983" s="106"/>
      <c r="RI2983" s="106"/>
      <c r="RJ2983" s="106"/>
      <c r="RK2983" s="106"/>
      <c r="RL2983" s="106"/>
    </row>
    <row r="2984" spans="88:480" x14ac:dyDescent="0.3">
      <c r="CJ2984" s="103"/>
      <c r="FP2984" s="103"/>
      <c r="LL2984" s="103"/>
      <c r="NM2984" s="103"/>
      <c r="QT2984" s="106"/>
      <c r="QU2984" s="106"/>
      <c r="QV2984" s="106"/>
      <c r="QW2984" s="106"/>
      <c r="QX2984" s="106"/>
      <c r="QY2984" s="106"/>
      <c r="QZ2984" s="106"/>
      <c r="RA2984" s="106"/>
      <c r="RB2984" s="106"/>
      <c r="RC2984" s="106"/>
      <c r="RD2984" s="106"/>
      <c r="RE2984" s="106"/>
      <c r="RF2984" s="106"/>
      <c r="RG2984" s="106"/>
      <c r="RH2984" s="106"/>
      <c r="RI2984" s="106"/>
      <c r="RJ2984" s="106"/>
      <c r="RK2984" s="106"/>
      <c r="RL2984" s="106"/>
    </row>
    <row r="2985" spans="88:480" x14ac:dyDescent="0.3">
      <c r="CJ2985" s="103"/>
      <c r="FP2985" s="103"/>
      <c r="LL2985" s="103"/>
      <c r="NM2985" s="103"/>
      <c r="QT2985" s="106"/>
      <c r="QU2985" s="106"/>
      <c r="QV2985" s="106"/>
      <c r="QW2985" s="106"/>
      <c r="QX2985" s="106"/>
      <c r="QY2985" s="106"/>
      <c r="QZ2985" s="106"/>
      <c r="RA2985" s="106"/>
      <c r="RB2985" s="106"/>
      <c r="RC2985" s="106"/>
      <c r="RD2985" s="106"/>
      <c r="RE2985" s="106"/>
      <c r="RF2985" s="106"/>
      <c r="RG2985" s="106"/>
      <c r="RH2985" s="106"/>
      <c r="RI2985" s="106"/>
      <c r="RJ2985" s="106"/>
      <c r="RK2985" s="106"/>
      <c r="RL2985" s="106"/>
    </row>
    <row r="2986" spans="88:480" x14ac:dyDescent="0.3">
      <c r="CJ2986" s="103"/>
      <c r="FP2986" s="103"/>
      <c r="LL2986" s="103"/>
      <c r="NM2986" s="103"/>
      <c r="QT2986" s="106"/>
      <c r="QU2986" s="106"/>
      <c r="QV2986" s="106"/>
      <c r="QW2986" s="106"/>
      <c r="QX2986" s="106"/>
      <c r="QY2986" s="106"/>
      <c r="QZ2986" s="106"/>
      <c r="RA2986" s="106"/>
      <c r="RB2986" s="106"/>
      <c r="RC2986" s="106"/>
      <c r="RD2986" s="106"/>
      <c r="RE2986" s="106"/>
      <c r="RF2986" s="106"/>
      <c r="RG2986" s="106"/>
      <c r="RH2986" s="106"/>
      <c r="RI2986" s="106"/>
      <c r="RJ2986" s="106"/>
      <c r="RK2986" s="106"/>
      <c r="RL2986" s="106"/>
    </row>
    <row r="2987" spans="88:480" x14ac:dyDescent="0.3">
      <c r="CJ2987" s="103"/>
      <c r="FP2987" s="103"/>
      <c r="LL2987" s="103"/>
      <c r="NM2987" s="103"/>
      <c r="QT2987" s="106"/>
      <c r="QU2987" s="106"/>
      <c r="QV2987" s="106"/>
      <c r="QW2987" s="106"/>
      <c r="QX2987" s="106"/>
      <c r="QY2987" s="106"/>
      <c r="QZ2987" s="106"/>
      <c r="RA2987" s="106"/>
      <c r="RB2987" s="106"/>
      <c r="RC2987" s="106"/>
      <c r="RD2987" s="106"/>
      <c r="RE2987" s="106"/>
      <c r="RF2987" s="106"/>
      <c r="RG2987" s="106"/>
      <c r="RH2987" s="106"/>
      <c r="RI2987" s="106"/>
      <c r="RJ2987" s="106"/>
      <c r="RK2987" s="106"/>
      <c r="RL2987" s="106"/>
    </row>
    <row r="2988" spans="88:480" x14ac:dyDescent="0.3">
      <c r="CJ2988" s="103"/>
      <c r="FP2988" s="103"/>
      <c r="LL2988" s="103"/>
      <c r="NM2988" s="103"/>
      <c r="QT2988" s="106"/>
      <c r="QU2988" s="106"/>
      <c r="QV2988" s="106"/>
      <c r="QW2988" s="106"/>
      <c r="QX2988" s="106"/>
      <c r="QY2988" s="106"/>
      <c r="QZ2988" s="106"/>
      <c r="RA2988" s="106"/>
      <c r="RB2988" s="106"/>
      <c r="RC2988" s="106"/>
      <c r="RD2988" s="106"/>
      <c r="RE2988" s="106"/>
      <c r="RF2988" s="106"/>
      <c r="RG2988" s="106"/>
      <c r="RH2988" s="106"/>
      <c r="RI2988" s="106"/>
      <c r="RJ2988" s="106"/>
      <c r="RK2988" s="106"/>
      <c r="RL2988" s="106"/>
    </row>
    <row r="2989" spans="88:480" x14ac:dyDescent="0.3">
      <c r="CJ2989" s="103"/>
      <c r="FP2989" s="103"/>
      <c r="LL2989" s="103"/>
      <c r="NM2989" s="103"/>
      <c r="QT2989" s="106"/>
      <c r="QU2989" s="106"/>
      <c r="QV2989" s="106"/>
      <c r="QW2989" s="106"/>
      <c r="QX2989" s="106"/>
      <c r="QY2989" s="106"/>
      <c r="QZ2989" s="106"/>
      <c r="RA2989" s="106"/>
      <c r="RB2989" s="106"/>
      <c r="RC2989" s="106"/>
      <c r="RD2989" s="106"/>
      <c r="RE2989" s="106"/>
      <c r="RF2989" s="106"/>
      <c r="RG2989" s="106"/>
      <c r="RH2989" s="106"/>
      <c r="RI2989" s="106"/>
      <c r="RJ2989" s="106"/>
      <c r="RK2989" s="106"/>
      <c r="RL2989" s="106"/>
    </row>
    <row r="2990" spans="88:480" x14ac:dyDescent="0.3">
      <c r="CJ2990" s="103"/>
      <c r="FP2990" s="103"/>
      <c r="LL2990" s="103"/>
      <c r="NM2990" s="103"/>
      <c r="QT2990" s="106"/>
      <c r="QU2990" s="106"/>
      <c r="QV2990" s="106"/>
      <c r="QW2990" s="106"/>
      <c r="QX2990" s="106"/>
      <c r="QY2990" s="106"/>
      <c r="QZ2990" s="106"/>
      <c r="RA2990" s="106"/>
      <c r="RB2990" s="106"/>
      <c r="RC2990" s="106"/>
      <c r="RD2990" s="106"/>
      <c r="RE2990" s="106"/>
      <c r="RF2990" s="106"/>
      <c r="RG2990" s="106"/>
      <c r="RH2990" s="106"/>
      <c r="RI2990" s="106"/>
      <c r="RJ2990" s="106"/>
      <c r="RK2990" s="106"/>
      <c r="RL2990" s="106"/>
    </row>
    <row r="2991" spans="88:480" x14ac:dyDescent="0.3">
      <c r="CJ2991" s="103"/>
      <c r="FP2991" s="103"/>
      <c r="LL2991" s="103"/>
      <c r="NM2991" s="103"/>
      <c r="QT2991" s="106"/>
      <c r="QU2991" s="106"/>
      <c r="QV2991" s="106"/>
      <c r="QW2991" s="106"/>
      <c r="QX2991" s="106"/>
      <c r="QY2991" s="106"/>
      <c r="QZ2991" s="106"/>
      <c r="RA2991" s="106"/>
      <c r="RB2991" s="106"/>
      <c r="RC2991" s="106"/>
      <c r="RD2991" s="106"/>
      <c r="RE2991" s="106"/>
      <c r="RF2991" s="106"/>
      <c r="RG2991" s="106"/>
      <c r="RH2991" s="106"/>
      <c r="RI2991" s="106"/>
      <c r="RJ2991" s="106"/>
      <c r="RK2991" s="106"/>
      <c r="RL2991" s="106"/>
    </row>
    <row r="2992" spans="88:480" x14ac:dyDescent="0.3">
      <c r="CJ2992" s="103"/>
      <c r="FP2992" s="103"/>
      <c r="LL2992" s="103"/>
      <c r="NM2992" s="103"/>
      <c r="QT2992" s="106"/>
      <c r="QU2992" s="106"/>
      <c r="QV2992" s="106"/>
      <c r="QW2992" s="106"/>
      <c r="QX2992" s="106"/>
      <c r="QY2992" s="106"/>
      <c r="QZ2992" s="106"/>
      <c r="RA2992" s="106"/>
      <c r="RB2992" s="106"/>
      <c r="RC2992" s="106"/>
      <c r="RD2992" s="106"/>
      <c r="RE2992" s="106"/>
      <c r="RF2992" s="106"/>
      <c r="RG2992" s="106"/>
      <c r="RH2992" s="106"/>
      <c r="RI2992" s="106"/>
      <c r="RJ2992" s="106"/>
      <c r="RK2992" s="106"/>
      <c r="RL2992" s="106"/>
    </row>
    <row r="2993" spans="88:480" x14ac:dyDescent="0.3">
      <c r="CJ2993" s="103"/>
      <c r="FP2993" s="103"/>
      <c r="LL2993" s="103"/>
      <c r="NM2993" s="103"/>
      <c r="QT2993" s="106"/>
      <c r="QU2993" s="106"/>
      <c r="QV2993" s="106"/>
      <c r="QW2993" s="106"/>
      <c r="QX2993" s="106"/>
      <c r="QY2993" s="106"/>
      <c r="QZ2993" s="106"/>
      <c r="RA2993" s="106"/>
      <c r="RB2993" s="106"/>
      <c r="RC2993" s="106"/>
      <c r="RD2993" s="106"/>
      <c r="RE2993" s="106"/>
      <c r="RF2993" s="106"/>
      <c r="RG2993" s="106"/>
      <c r="RH2993" s="106"/>
      <c r="RI2993" s="106"/>
      <c r="RJ2993" s="106"/>
      <c r="RK2993" s="106"/>
      <c r="RL2993" s="106"/>
    </row>
    <row r="2994" spans="88:480" x14ac:dyDescent="0.3">
      <c r="CJ2994" s="103"/>
      <c r="FP2994" s="103"/>
      <c r="LL2994" s="103"/>
      <c r="NM2994" s="103"/>
      <c r="QT2994" s="106"/>
      <c r="QU2994" s="106"/>
      <c r="QV2994" s="106"/>
      <c r="QW2994" s="106"/>
      <c r="QX2994" s="106"/>
      <c r="QY2994" s="106"/>
      <c r="QZ2994" s="106"/>
      <c r="RA2994" s="106"/>
      <c r="RB2994" s="106"/>
      <c r="RC2994" s="106"/>
      <c r="RD2994" s="106"/>
      <c r="RE2994" s="106"/>
      <c r="RF2994" s="106"/>
      <c r="RG2994" s="106"/>
      <c r="RH2994" s="106"/>
      <c r="RI2994" s="106"/>
      <c r="RJ2994" s="106"/>
      <c r="RK2994" s="106"/>
      <c r="RL2994" s="106"/>
    </row>
    <row r="2995" spans="88:480" x14ac:dyDescent="0.3">
      <c r="CJ2995" s="103"/>
      <c r="FP2995" s="103"/>
      <c r="LL2995" s="103"/>
      <c r="NM2995" s="103"/>
      <c r="QT2995" s="106"/>
      <c r="QU2995" s="106"/>
      <c r="QV2995" s="106"/>
      <c r="QW2995" s="106"/>
      <c r="QX2995" s="106"/>
      <c r="QY2995" s="106"/>
      <c r="QZ2995" s="106"/>
      <c r="RA2995" s="106"/>
      <c r="RB2995" s="106"/>
      <c r="RC2995" s="106"/>
      <c r="RD2995" s="106"/>
      <c r="RE2995" s="106"/>
      <c r="RF2995" s="106"/>
      <c r="RG2995" s="106"/>
      <c r="RH2995" s="106"/>
      <c r="RI2995" s="106"/>
      <c r="RJ2995" s="106"/>
      <c r="RK2995" s="106"/>
      <c r="RL2995" s="106"/>
    </row>
    <row r="2996" spans="88:480" x14ac:dyDescent="0.3">
      <c r="CJ2996" s="103"/>
      <c r="FP2996" s="103"/>
      <c r="LL2996" s="103"/>
      <c r="NM2996" s="103"/>
      <c r="QT2996" s="106"/>
      <c r="QU2996" s="106"/>
      <c r="QV2996" s="106"/>
      <c r="QW2996" s="106"/>
      <c r="QX2996" s="106"/>
      <c r="QY2996" s="106"/>
      <c r="QZ2996" s="106"/>
      <c r="RA2996" s="106"/>
      <c r="RB2996" s="106"/>
      <c r="RC2996" s="106"/>
      <c r="RD2996" s="106"/>
      <c r="RE2996" s="106"/>
      <c r="RF2996" s="106"/>
      <c r="RG2996" s="106"/>
      <c r="RH2996" s="106"/>
      <c r="RI2996" s="106"/>
      <c r="RJ2996" s="106"/>
      <c r="RK2996" s="106"/>
      <c r="RL2996" s="106"/>
    </row>
    <row r="2997" spans="88:480" x14ac:dyDescent="0.3">
      <c r="CJ2997" s="103"/>
      <c r="FP2997" s="103"/>
      <c r="LL2997" s="103"/>
      <c r="NM2997" s="103"/>
      <c r="QT2997" s="106"/>
      <c r="QU2997" s="106"/>
      <c r="QV2997" s="106"/>
      <c r="QW2997" s="106"/>
      <c r="QX2997" s="106"/>
      <c r="QY2997" s="106"/>
      <c r="QZ2997" s="106"/>
      <c r="RA2997" s="106"/>
      <c r="RB2997" s="106"/>
      <c r="RC2997" s="106"/>
      <c r="RD2997" s="106"/>
      <c r="RE2997" s="106"/>
      <c r="RF2997" s="106"/>
      <c r="RG2997" s="106"/>
      <c r="RH2997" s="106"/>
      <c r="RI2997" s="106"/>
      <c r="RJ2997" s="106"/>
      <c r="RK2997" s="106"/>
      <c r="RL2997" s="106"/>
    </row>
    <row r="2998" spans="88:480" x14ac:dyDescent="0.3">
      <c r="CJ2998" s="103"/>
      <c r="FP2998" s="103"/>
      <c r="LL2998" s="103"/>
      <c r="NM2998" s="103"/>
      <c r="QT2998" s="106"/>
      <c r="QU2998" s="106"/>
      <c r="QV2998" s="106"/>
      <c r="QW2998" s="106"/>
      <c r="QX2998" s="106"/>
      <c r="QY2998" s="106"/>
      <c r="QZ2998" s="106"/>
      <c r="RA2998" s="106"/>
      <c r="RB2998" s="106"/>
      <c r="RC2998" s="106"/>
      <c r="RD2998" s="106"/>
      <c r="RE2998" s="106"/>
      <c r="RF2998" s="106"/>
      <c r="RG2998" s="106"/>
      <c r="RH2998" s="106"/>
      <c r="RI2998" s="106"/>
      <c r="RJ2998" s="106"/>
      <c r="RK2998" s="106"/>
      <c r="RL2998" s="106"/>
    </row>
    <row r="2999" spans="88:480" x14ac:dyDescent="0.3">
      <c r="CJ2999" s="103"/>
      <c r="FP2999" s="103"/>
      <c r="LL2999" s="103"/>
      <c r="NM2999" s="103"/>
      <c r="QT2999" s="106"/>
      <c r="QU2999" s="106"/>
      <c r="QV2999" s="106"/>
      <c r="QW2999" s="106"/>
      <c r="QX2999" s="106"/>
      <c r="QY2999" s="106"/>
      <c r="QZ2999" s="106"/>
      <c r="RA2999" s="106"/>
      <c r="RB2999" s="106"/>
      <c r="RC2999" s="106"/>
      <c r="RD2999" s="106"/>
      <c r="RE2999" s="106"/>
      <c r="RF2999" s="106"/>
      <c r="RG2999" s="106"/>
      <c r="RH2999" s="106"/>
      <c r="RI2999" s="106"/>
      <c r="RJ2999" s="106"/>
      <c r="RK2999" s="106"/>
      <c r="RL2999" s="106"/>
    </row>
    <row r="3000" spans="88:480" x14ac:dyDescent="0.3">
      <c r="CJ3000" s="103"/>
      <c r="FP3000" s="103"/>
      <c r="LL3000" s="103"/>
      <c r="NM3000" s="103"/>
      <c r="QT3000" s="106"/>
      <c r="QU3000" s="106"/>
      <c r="QV3000" s="106"/>
      <c r="QW3000" s="106"/>
      <c r="QX3000" s="106"/>
      <c r="QY3000" s="106"/>
      <c r="QZ3000" s="106"/>
      <c r="RA3000" s="106"/>
      <c r="RB3000" s="106"/>
      <c r="RC3000" s="106"/>
      <c r="RD3000" s="106"/>
      <c r="RE3000" s="106"/>
      <c r="RF3000" s="106"/>
      <c r="RG3000" s="106"/>
      <c r="RH3000" s="106"/>
      <c r="RI3000" s="106"/>
      <c r="RJ3000" s="106"/>
      <c r="RK3000" s="106"/>
      <c r="RL3000" s="106"/>
    </row>
    <row r="3001" spans="88:480" x14ac:dyDescent="0.3">
      <c r="CJ3001" s="103"/>
      <c r="FP3001" s="103"/>
      <c r="LL3001" s="103"/>
      <c r="NM3001" s="103"/>
      <c r="QT3001" s="106"/>
      <c r="QU3001" s="106"/>
      <c r="QV3001" s="106"/>
      <c r="QW3001" s="106"/>
      <c r="QX3001" s="106"/>
      <c r="QY3001" s="106"/>
      <c r="QZ3001" s="106"/>
      <c r="RA3001" s="106"/>
      <c r="RB3001" s="106"/>
      <c r="RC3001" s="106"/>
      <c r="RD3001" s="106"/>
      <c r="RE3001" s="106"/>
      <c r="RF3001" s="106"/>
      <c r="RG3001" s="106"/>
      <c r="RH3001" s="106"/>
      <c r="RI3001" s="106"/>
      <c r="RJ3001" s="106"/>
      <c r="RK3001" s="106"/>
      <c r="RL3001" s="106"/>
    </row>
    <row r="3002" spans="88:480" x14ac:dyDescent="0.3">
      <c r="CJ3002" s="103"/>
      <c r="FP3002" s="103"/>
      <c r="LL3002" s="103"/>
      <c r="NM3002" s="103"/>
      <c r="QT3002" s="106"/>
      <c r="QU3002" s="106"/>
      <c r="QV3002" s="106"/>
      <c r="QW3002" s="106"/>
      <c r="QX3002" s="106"/>
      <c r="QY3002" s="106"/>
      <c r="QZ3002" s="106"/>
      <c r="RA3002" s="106"/>
      <c r="RB3002" s="106"/>
      <c r="RC3002" s="106"/>
      <c r="RD3002" s="106"/>
      <c r="RE3002" s="106"/>
      <c r="RF3002" s="106"/>
      <c r="RG3002" s="106"/>
      <c r="RH3002" s="106"/>
      <c r="RI3002" s="106"/>
      <c r="RJ3002" s="106"/>
      <c r="RK3002" s="106"/>
      <c r="RL3002" s="106"/>
    </row>
    <row r="3003" spans="88:480" x14ac:dyDescent="0.3">
      <c r="CJ3003" s="103"/>
      <c r="FP3003" s="103"/>
      <c r="LL3003" s="103"/>
      <c r="NM3003" s="103"/>
      <c r="QT3003" s="106"/>
      <c r="QU3003" s="106"/>
      <c r="QV3003" s="106"/>
      <c r="QW3003" s="106"/>
      <c r="QX3003" s="106"/>
      <c r="QY3003" s="106"/>
      <c r="QZ3003" s="106"/>
      <c r="RA3003" s="106"/>
      <c r="RB3003" s="106"/>
      <c r="RC3003" s="106"/>
      <c r="RD3003" s="106"/>
      <c r="RE3003" s="106"/>
      <c r="RF3003" s="106"/>
      <c r="RG3003" s="106"/>
      <c r="RH3003" s="106"/>
      <c r="RI3003" s="106"/>
      <c r="RJ3003" s="106"/>
      <c r="RK3003" s="106"/>
      <c r="RL3003" s="106"/>
    </row>
    <row r="3004" spans="88:480" x14ac:dyDescent="0.3">
      <c r="CJ3004" s="103"/>
      <c r="FP3004" s="103"/>
      <c r="LL3004" s="103"/>
      <c r="NM3004" s="103"/>
      <c r="QT3004" s="106"/>
      <c r="QU3004" s="106"/>
      <c r="QV3004" s="106"/>
      <c r="QW3004" s="106"/>
      <c r="QX3004" s="106"/>
      <c r="QY3004" s="106"/>
      <c r="QZ3004" s="106"/>
      <c r="RA3004" s="106"/>
      <c r="RB3004" s="106"/>
      <c r="RC3004" s="106"/>
      <c r="RD3004" s="106"/>
      <c r="RE3004" s="106"/>
      <c r="RF3004" s="106"/>
      <c r="RG3004" s="106"/>
      <c r="RH3004" s="106"/>
      <c r="RI3004" s="106"/>
      <c r="RJ3004" s="106"/>
      <c r="RK3004" s="106"/>
      <c r="RL3004" s="106"/>
    </row>
    <row r="3005" spans="88:480" x14ac:dyDescent="0.3">
      <c r="CJ3005" s="103"/>
      <c r="FP3005" s="103"/>
      <c r="LL3005" s="103"/>
      <c r="NM3005" s="103"/>
      <c r="QT3005" s="106"/>
      <c r="QU3005" s="106"/>
      <c r="QV3005" s="106"/>
      <c r="QW3005" s="106"/>
      <c r="QX3005" s="106"/>
      <c r="QY3005" s="106"/>
      <c r="QZ3005" s="106"/>
      <c r="RA3005" s="106"/>
      <c r="RB3005" s="106"/>
      <c r="RC3005" s="106"/>
      <c r="RD3005" s="106"/>
      <c r="RE3005" s="106"/>
      <c r="RF3005" s="106"/>
      <c r="RG3005" s="106"/>
      <c r="RH3005" s="106"/>
      <c r="RI3005" s="106"/>
      <c r="RJ3005" s="106"/>
      <c r="RK3005" s="106"/>
      <c r="RL3005" s="106"/>
    </row>
    <row r="3006" spans="88:480" x14ac:dyDescent="0.3">
      <c r="CJ3006" s="103"/>
      <c r="FP3006" s="103"/>
      <c r="LL3006" s="103"/>
      <c r="NM3006" s="103"/>
      <c r="QT3006" s="106"/>
      <c r="QU3006" s="106"/>
      <c r="QV3006" s="106"/>
      <c r="QW3006" s="106"/>
      <c r="QX3006" s="106"/>
      <c r="QY3006" s="106"/>
      <c r="QZ3006" s="106"/>
      <c r="RA3006" s="106"/>
      <c r="RB3006" s="106"/>
      <c r="RC3006" s="106"/>
      <c r="RD3006" s="106"/>
      <c r="RE3006" s="106"/>
      <c r="RF3006" s="106"/>
      <c r="RG3006" s="106"/>
      <c r="RH3006" s="106"/>
      <c r="RI3006" s="106"/>
      <c r="RJ3006" s="106"/>
      <c r="RK3006" s="106"/>
      <c r="RL3006" s="106"/>
    </row>
    <row r="3007" spans="88:480" x14ac:dyDescent="0.3">
      <c r="CJ3007" s="103"/>
      <c r="FP3007" s="103"/>
      <c r="LL3007" s="103"/>
      <c r="NM3007" s="103"/>
      <c r="QT3007" s="106"/>
      <c r="QU3007" s="106"/>
      <c r="QV3007" s="106"/>
      <c r="QW3007" s="106"/>
      <c r="QX3007" s="106"/>
      <c r="QY3007" s="106"/>
      <c r="QZ3007" s="106"/>
      <c r="RA3007" s="106"/>
      <c r="RB3007" s="106"/>
      <c r="RC3007" s="106"/>
      <c r="RD3007" s="106"/>
      <c r="RE3007" s="106"/>
      <c r="RF3007" s="106"/>
      <c r="RG3007" s="106"/>
      <c r="RH3007" s="106"/>
      <c r="RI3007" s="106"/>
      <c r="RJ3007" s="106"/>
      <c r="RK3007" s="106"/>
      <c r="RL3007" s="106"/>
    </row>
    <row r="3008" spans="88:480" x14ac:dyDescent="0.3">
      <c r="CJ3008" s="103"/>
      <c r="FP3008" s="103"/>
      <c r="LL3008" s="103"/>
      <c r="NM3008" s="103"/>
      <c r="QT3008" s="106"/>
      <c r="QU3008" s="106"/>
      <c r="QV3008" s="106"/>
      <c r="QW3008" s="106"/>
      <c r="QX3008" s="106"/>
      <c r="QY3008" s="106"/>
      <c r="QZ3008" s="106"/>
      <c r="RA3008" s="106"/>
      <c r="RB3008" s="106"/>
      <c r="RC3008" s="106"/>
      <c r="RD3008" s="106"/>
      <c r="RE3008" s="106"/>
      <c r="RF3008" s="106"/>
      <c r="RG3008" s="106"/>
      <c r="RH3008" s="106"/>
      <c r="RI3008" s="106"/>
      <c r="RJ3008" s="106"/>
      <c r="RK3008" s="106"/>
      <c r="RL3008" s="106"/>
    </row>
    <row r="3009" spans="88:480" x14ac:dyDescent="0.3">
      <c r="CJ3009" s="103"/>
      <c r="FP3009" s="103"/>
      <c r="LL3009" s="103"/>
      <c r="NM3009" s="103"/>
      <c r="QT3009" s="106"/>
      <c r="QU3009" s="106"/>
      <c r="QV3009" s="106"/>
      <c r="QW3009" s="106"/>
      <c r="QX3009" s="106"/>
      <c r="QY3009" s="106"/>
      <c r="QZ3009" s="106"/>
      <c r="RA3009" s="106"/>
      <c r="RB3009" s="106"/>
      <c r="RC3009" s="106"/>
      <c r="RD3009" s="106"/>
      <c r="RE3009" s="106"/>
      <c r="RF3009" s="106"/>
      <c r="RG3009" s="106"/>
      <c r="RH3009" s="106"/>
      <c r="RI3009" s="106"/>
      <c r="RJ3009" s="106"/>
      <c r="RK3009" s="106"/>
      <c r="RL3009" s="106"/>
    </row>
    <row r="3010" spans="88:480" x14ac:dyDescent="0.3">
      <c r="CJ3010" s="103"/>
      <c r="FP3010" s="103"/>
      <c r="LL3010" s="103"/>
      <c r="NM3010" s="103"/>
      <c r="QT3010" s="106"/>
      <c r="QU3010" s="106"/>
      <c r="QV3010" s="106"/>
      <c r="QW3010" s="106"/>
      <c r="QX3010" s="106"/>
      <c r="QY3010" s="106"/>
      <c r="QZ3010" s="106"/>
      <c r="RA3010" s="106"/>
      <c r="RB3010" s="106"/>
      <c r="RC3010" s="106"/>
      <c r="RD3010" s="106"/>
      <c r="RE3010" s="106"/>
      <c r="RF3010" s="106"/>
      <c r="RG3010" s="106"/>
      <c r="RH3010" s="106"/>
      <c r="RI3010" s="106"/>
      <c r="RJ3010" s="106"/>
      <c r="RK3010" s="106"/>
      <c r="RL3010" s="106"/>
    </row>
    <row r="3011" spans="88:480" x14ac:dyDescent="0.3">
      <c r="CJ3011" s="103"/>
      <c r="FP3011" s="103"/>
      <c r="LL3011" s="103"/>
      <c r="NM3011" s="103"/>
      <c r="QT3011" s="106"/>
      <c r="QU3011" s="106"/>
      <c r="QV3011" s="106"/>
      <c r="QW3011" s="106"/>
      <c r="QX3011" s="106"/>
      <c r="QY3011" s="106"/>
      <c r="QZ3011" s="106"/>
      <c r="RA3011" s="106"/>
      <c r="RB3011" s="106"/>
      <c r="RC3011" s="106"/>
      <c r="RD3011" s="106"/>
      <c r="RE3011" s="106"/>
      <c r="RF3011" s="106"/>
      <c r="RG3011" s="106"/>
      <c r="RH3011" s="106"/>
      <c r="RI3011" s="106"/>
      <c r="RJ3011" s="106"/>
      <c r="RK3011" s="106"/>
      <c r="RL3011" s="106"/>
    </row>
    <row r="3012" spans="88:480" x14ac:dyDescent="0.3">
      <c r="CJ3012" s="103"/>
      <c r="FP3012" s="103"/>
      <c r="LL3012" s="103"/>
      <c r="NM3012" s="103"/>
      <c r="QT3012" s="106"/>
      <c r="QU3012" s="106"/>
      <c r="QV3012" s="106"/>
      <c r="QW3012" s="106"/>
      <c r="QX3012" s="106"/>
      <c r="QY3012" s="106"/>
      <c r="QZ3012" s="106"/>
      <c r="RA3012" s="106"/>
      <c r="RB3012" s="106"/>
      <c r="RC3012" s="106"/>
      <c r="RD3012" s="106"/>
      <c r="RE3012" s="106"/>
      <c r="RF3012" s="106"/>
      <c r="RG3012" s="106"/>
      <c r="RH3012" s="106"/>
      <c r="RI3012" s="106"/>
      <c r="RJ3012" s="106"/>
      <c r="RK3012" s="106"/>
      <c r="RL3012" s="106"/>
    </row>
    <row r="3013" spans="88:480" x14ac:dyDescent="0.3">
      <c r="CJ3013" s="103"/>
      <c r="FP3013" s="103"/>
      <c r="LL3013" s="103"/>
      <c r="NM3013" s="103"/>
      <c r="QT3013" s="106"/>
      <c r="QU3013" s="106"/>
      <c r="QV3013" s="106"/>
      <c r="QW3013" s="106"/>
      <c r="QX3013" s="106"/>
      <c r="QY3013" s="106"/>
      <c r="QZ3013" s="106"/>
      <c r="RA3013" s="106"/>
      <c r="RB3013" s="106"/>
      <c r="RC3013" s="106"/>
      <c r="RD3013" s="106"/>
      <c r="RE3013" s="106"/>
      <c r="RF3013" s="106"/>
      <c r="RG3013" s="106"/>
      <c r="RH3013" s="106"/>
      <c r="RI3013" s="106"/>
      <c r="RJ3013" s="106"/>
      <c r="RK3013" s="106"/>
      <c r="RL3013" s="106"/>
    </row>
    <row r="3014" spans="88:480" x14ac:dyDescent="0.3">
      <c r="CJ3014" s="103"/>
      <c r="FP3014" s="103"/>
      <c r="LL3014" s="103"/>
      <c r="NM3014" s="103"/>
      <c r="QT3014" s="106"/>
      <c r="QU3014" s="106"/>
      <c r="QV3014" s="106"/>
      <c r="QW3014" s="106"/>
      <c r="QX3014" s="106"/>
      <c r="QY3014" s="106"/>
      <c r="QZ3014" s="106"/>
      <c r="RA3014" s="106"/>
      <c r="RB3014" s="106"/>
      <c r="RC3014" s="106"/>
      <c r="RD3014" s="106"/>
      <c r="RE3014" s="106"/>
      <c r="RF3014" s="106"/>
      <c r="RG3014" s="106"/>
      <c r="RH3014" s="106"/>
      <c r="RI3014" s="106"/>
      <c r="RJ3014" s="106"/>
      <c r="RK3014" s="106"/>
      <c r="RL3014" s="106"/>
    </row>
    <row r="3015" spans="88:480" x14ac:dyDescent="0.3">
      <c r="CJ3015" s="103"/>
      <c r="FP3015" s="103"/>
      <c r="LL3015" s="103"/>
      <c r="NM3015" s="103"/>
      <c r="QT3015" s="106"/>
      <c r="QU3015" s="106"/>
      <c r="QV3015" s="106"/>
      <c r="QW3015" s="106"/>
      <c r="QX3015" s="106"/>
      <c r="QY3015" s="106"/>
      <c r="QZ3015" s="106"/>
      <c r="RA3015" s="106"/>
      <c r="RB3015" s="106"/>
      <c r="RC3015" s="106"/>
      <c r="RD3015" s="106"/>
      <c r="RE3015" s="106"/>
      <c r="RF3015" s="106"/>
      <c r="RG3015" s="106"/>
      <c r="RH3015" s="106"/>
      <c r="RI3015" s="106"/>
      <c r="RJ3015" s="106"/>
      <c r="RK3015" s="106"/>
      <c r="RL3015" s="106"/>
    </row>
    <row r="3016" spans="88:480" x14ac:dyDescent="0.3">
      <c r="CJ3016" s="103"/>
      <c r="FP3016" s="103"/>
      <c r="LL3016" s="103"/>
      <c r="NM3016" s="103"/>
      <c r="QT3016" s="106"/>
      <c r="QU3016" s="106"/>
      <c r="QV3016" s="106"/>
      <c r="QW3016" s="106"/>
      <c r="QX3016" s="106"/>
      <c r="QY3016" s="106"/>
      <c r="QZ3016" s="106"/>
      <c r="RA3016" s="106"/>
      <c r="RB3016" s="106"/>
      <c r="RC3016" s="106"/>
      <c r="RD3016" s="106"/>
      <c r="RE3016" s="106"/>
      <c r="RF3016" s="106"/>
      <c r="RG3016" s="106"/>
      <c r="RH3016" s="106"/>
      <c r="RI3016" s="106"/>
      <c r="RJ3016" s="106"/>
      <c r="RK3016" s="106"/>
      <c r="RL3016" s="106"/>
    </row>
    <row r="3017" spans="88:480" x14ac:dyDescent="0.3">
      <c r="CJ3017" s="103"/>
      <c r="FP3017" s="103"/>
      <c r="LL3017" s="103"/>
      <c r="NM3017" s="103"/>
      <c r="QT3017" s="106"/>
      <c r="QU3017" s="106"/>
      <c r="QV3017" s="106"/>
      <c r="QW3017" s="106"/>
      <c r="QX3017" s="106"/>
      <c r="QY3017" s="106"/>
      <c r="QZ3017" s="106"/>
      <c r="RA3017" s="106"/>
      <c r="RB3017" s="106"/>
      <c r="RC3017" s="106"/>
      <c r="RD3017" s="106"/>
      <c r="RE3017" s="106"/>
      <c r="RF3017" s="106"/>
      <c r="RG3017" s="106"/>
      <c r="RH3017" s="106"/>
      <c r="RI3017" s="106"/>
      <c r="RJ3017" s="106"/>
      <c r="RK3017" s="106"/>
      <c r="RL3017" s="106"/>
    </row>
    <row r="3018" spans="88:480" x14ac:dyDescent="0.3">
      <c r="CJ3018" s="103"/>
      <c r="FP3018" s="103"/>
      <c r="LL3018" s="103"/>
      <c r="NM3018" s="103"/>
      <c r="QT3018" s="106"/>
      <c r="QU3018" s="106"/>
      <c r="QV3018" s="106"/>
      <c r="QW3018" s="106"/>
      <c r="QX3018" s="106"/>
      <c r="QY3018" s="106"/>
      <c r="QZ3018" s="106"/>
      <c r="RA3018" s="106"/>
      <c r="RB3018" s="106"/>
      <c r="RC3018" s="106"/>
      <c r="RD3018" s="106"/>
      <c r="RE3018" s="106"/>
      <c r="RF3018" s="106"/>
      <c r="RG3018" s="106"/>
      <c r="RH3018" s="106"/>
      <c r="RI3018" s="106"/>
      <c r="RJ3018" s="106"/>
      <c r="RK3018" s="106"/>
      <c r="RL3018" s="106"/>
    </row>
    <row r="3019" spans="88:480" x14ac:dyDescent="0.3">
      <c r="CJ3019" s="103"/>
      <c r="FP3019" s="103"/>
      <c r="LL3019" s="103"/>
      <c r="NM3019" s="103"/>
      <c r="QT3019" s="106"/>
      <c r="QU3019" s="106"/>
      <c r="QV3019" s="106"/>
      <c r="QW3019" s="106"/>
      <c r="QX3019" s="106"/>
      <c r="QY3019" s="106"/>
      <c r="QZ3019" s="106"/>
      <c r="RA3019" s="106"/>
      <c r="RB3019" s="106"/>
      <c r="RC3019" s="106"/>
      <c r="RD3019" s="106"/>
      <c r="RE3019" s="106"/>
      <c r="RF3019" s="106"/>
      <c r="RG3019" s="106"/>
      <c r="RH3019" s="106"/>
      <c r="RI3019" s="106"/>
      <c r="RJ3019" s="106"/>
      <c r="RK3019" s="106"/>
      <c r="RL3019" s="106"/>
    </row>
    <row r="3020" spans="88:480" x14ac:dyDescent="0.3">
      <c r="CJ3020" s="103"/>
      <c r="FP3020" s="103"/>
      <c r="LL3020" s="103"/>
      <c r="NM3020" s="103"/>
      <c r="QT3020" s="106"/>
      <c r="QU3020" s="106"/>
      <c r="QV3020" s="106"/>
      <c r="QW3020" s="106"/>
      <c r="QX3020" s="106"/>
      <c r="QY3020" s="106"/>
      <c r="QZ3020" s="106"/>
      <c r="RA3020" s="106"/>
      <c r="RB3020" s="106"/>
      <c r="RC3020" s="106"/>
      <c r="RD3020" s="106"/>
      <c r="RE3020" s="106"/>
      <c r="RF3020" s="106"/>
      <c r="RG3020" s="106"/>
      <c r="RH3020" s="106"/>
      <c r="RI3020" s="106"/>
      <c r="RJ3020" s="106"/>
      <c r="RK3020" s="106"/>
      <c r="RL3020" s="106"/>
    </row>
    <row r="3021" spans="88:480" x14ac:dyDescent="0.3">
      <c r="CJ3021" s="103"/>
      <c r="FP3021" s="103"/>
      <c r="LL3021" s="103"/>
      <c r="NM3021" s="103"/>
      <c r="QT3021" s="106"/>
      <c r="QU3021" s="106"/>
      <c r="QV3021" s="106"/>
      <c r="QW3021" s="106"/>
      <c r="QX3021" s="106"/>
      <c r="QY3021" s="106"/>
      <c r="QZ3021" s="106"/>
      <c r="RA3021" s="106"/>
      <c r="RB3021" s="106"/>
      <c r="RC3021" s="106"/>
      <c r="RD3021" s="106"/>
      <c r="RE3021" s="106"/>
      <c r="RF3021" s="106"/>
      <c r="RG3021" s="106"/>
      <c r="RH3021" s="106"/>
      <c r="RI3021" s="106"/>
      <c r="RJ3021" s="106"/>
      <c r="RK3021" s="106"/>
      <c r="RL3021" s="106"/>
    </row>
    <row r="3022" spans="88:480" x14ac:dyDescent="0.3">
      <c r="CJ3022" s="103"/>
      <c r="FP3022" s="103"/>
      <c r="LL3022" s="103"/>
      <c r="NM3022" s="103"/>
      <c r="QT3022" s="106"/>
      <c r="QU3022" s="106"/>
      <c r="QV3022" s="106"/>
      <c r="QW3022" s="106"/>
      <c r="QX3022" s="106"/>
      <c r="QY3022" s="106"/>
      <c r="QZ3022" s="106"/>
      <c r="RA3022" s="106"/>
      <c r="RB3022" s="106"/>
      <c r="RC3022" s="106"/>
      <c r="RD3022" s="106"/>
      <c r="RE3022" s="106"/>
      <c r="RF3022" s="106"/>
      <c r="RG3022" s="106"/>
      <c r="RH3022" s="106"/>
      <c r="RI3022" s="106"/>
      <c r="RJ3022" s="106"/>
      <c r="RK3022" s="106"/>
      <c r="RL3022" s="106"/>
    </row>
    <row r="3023" spans="88:480" x14ac:dyDescent="0.3">
      <c r="CJ3023" s="103"/>
      <c r="FP3023" s="103"/>
      <c r="LL3023" s="103"/>
      <c r="NM3023" s="103"/>
      <c r="QT3023" s="106"/>
      <c r="QU3023" s="106"/>
      <c r="QV3023" s="106"/>
      <c r="QW3023" s="106"/>
      <c r="QX3023" s="106"/>
      <c r="QY3023" s="106"/>
      <c r="QZ3023" s="106"/>
      <c r="RA3023" s="106"/>
      <c r="RB3023" s="106"/>
      <c r="RC3023" s="106"/>
      <c r="RD3023" s="106"/>
      <c r="RE3023" s="106"/>
      <c r="RF3023" s="106"/>
      <c r="RG3023" s="106"/>
      <c r="RH3023" s="106"/>
      <c r="RI3023" s="106"/>
      <c r="RJ3023" s="106"/>
      <c r="RK3023" s="106"/>
      <c r="RL3023" s="106"/>
    </row>
    <row r="3024" spans="88:480" x14ac:dyDescent="0.3">
      <c r="CJ3024" s="103"/>
      <c r="FP3024" s="103"/>
      <c r="LL3024" s="103"/>
      <c r="NM3024" s="103"/>
      <c r="QT3024" s="106"/>
      <c r="QU3024" s="106"/>
      <c r="QV3024" s="106"/>
      <c r="QW3024" s="106"/>
      <c r="QX3024" s="106"/>
      <c r="QY3024" s="106"/>
      <c r="QZ3024" s="106"/>
      <c r="RA3024" s="106"/>
      <c r="RB3024" s="106"/>
      <c r="RC3024" s="106"/>
      <c r="RD3024" s="106"/>
      <c r="RE3024" s="106"/>
      <c r="RF3024" s="106"/>
      <c r="RG3024" s="106"/>
      <c r="RH3024" s="106"/>
      <c r="RI3024" s="106"/>
      <c r="RJ3024" s="106"/>
      <c r="RK3024" s="106"/>
      <c r="RL3024" s="106"/>
    </row>
    <row r="3025" spans="88:480" x14ac:dyDescent="0.3">
      <c r="CJ3025" s="103"/>
      <c r="FP3025" s="103"/>
      <c r="LL3025" s="103"/>
      <c r="NM3025" s="103"/>
      <c r="QT3025" s="106"/>
      <c r="QU3025" s="106"/>
      <c r="QV3025" s="106"/>
      <c r="QW3025" s="106"/>
      <c r="QX3025" s="106"/>
      <c r="QY3025" s="106"/>
      <c r="QZ3025" s="106"/>
      <c r="RA3025" s="106"/>
      <c r="RB3025" s="106"/>
      <c r="RC3025" s="106"/>
      <c r="RD3025" s="106"/>
      <c r="RE3025" s="106"/>
      <c r="RF3025" s="106"/>
      <c r="RG3025" s="106"/>
      <c r="RH3025" s="106"/>
      <c r="RI3025" s="106"/>
      <c r="RJ3025" s="106"/>
      <c r="RK3025" s="106"/>
      <c r="RL3025" s="106"/>
    </row>
    <row r="3026" spans="88:480" x14ac:dyDescent="0.3">
      <c r="CJ3026" s="103"/>
      <c r="FP3026" s="103"/>
      <c r="LL3026" s="103"/>
      <c r="NM3026" s="103"/>
      <c r="QT3026" s="106"/>
      <c r="QU3026" s="106"/>
      <c r="QV3026" s="106"/>
      <c r="QW3026" s="106"/>
      <c r="QX3026" s="106"/>
      <c r="QY3026" s="106"/>
      <c r="QZ3026" s="106"/>
      <c r="RA3026" s="106"/>
      <c r="RB3026" s="106"/>
      <c r="RC3026" s="106"/>
      <c r="RD3026" s="106"/>
      <c r="RE3026" s="106"/>
      <c r="RF3026" s="106"/>
      <c r="RG3026" s="106"/>
      <c r="RH3026" s="106"/>
      <c r="RI3026" s="106"/>
      <c r="RJ3026" s="106"/>
      <c r="RK3026" s="106"/>
      <c r="RL3026" s="106"/>
    </row>
    <row r="3027" spans="88:480" x14ac:dyDescent="0.3">
      <c r="CJ3027" s="103"/>
      <c r="FP3027" s="103"/>
      <c r="LL3027" s="103"/>
      <c r="NM3027" s="103"/>
      <c r="QT3027" s="106"/>
      <c r="QU3027" s="106"/>
      <c r="QV3027" s="106"/>
      <c r="QW3027" s="106"/>
      <c r="QX3027" s="106"/>
      <c r="QY3027" s="106"/>
      <c r="QZ3027" s="106"/>
      <c r="RA3027" s="106"/>
      <c r="RB3027" s="106"/>
      <c r="RC3027" s="106"/>
      <c r="RD3027" s="106"/>
      <c r="RE3027" s="106"/>
      <c r="RF3027" s="106"/>
      <c r="RG3027" s="106"/>
      <c r="RH3027" s="106"/>
      <c r="RI3027" s="106"/>
      <c r="RJ3027" s="106"/>
      <c r="RK3027" s="106"/>
      <c r="RL3027" s="106"/>
    </row>
    <row r="3028" spans="88:480" x14ac:dyDescent="0.3">
      <c r="CJ3028" s="103"/>
      <c r="FP3028" s="103"/>
      <c r="LL3028" s="103"/>
      <c r="NM3028" s="103"/>
      <c r="QT3028" s="106"/>
      <c r="QU3028" s="106"/>
      <c r="QV3028" s="106"/>
      <c r="QW3028" s="106"/>
      <c r="QX3028" s="106"/>
      <c r="QY3028" s="106"/>
      <c r="QZ3028" s="106"/>
      <c r="RA3028" s="106"/>
      <c r="RB3028" s="106"/>
      <c r="RC3028" s="106"/>
      <c r="RD3028" s="106"/>
      <c r="RE3028" s="106"/>
      <c r="RF3028" s="106"/>
      <c r="RG3028" s="106"/>
      <c r="RH3028" s="106"/>
      <c r="RI3028" s="106"/>
      <c r="RJ3028" s="106"/>
      <c r="RK3028" s="106"/>
      <c r="RL3028" s="106"/>
    </row>
    <row r="3029" spans="88:480" x14ac:dyDescent="0.3">
      <c r="CJ3029" s="103"/>
      <c r="FP3029" s="103"/>
      <c r="LL3029" s="103"/>
      <c r="NM3029" s="103"/>
      <c r="QT3029" s="106"/>
      <c r="QU3029" s="106"/>
      <c r="QV3029" s="106"/>
      <c r="QW3029" s="106"/>
      <c r="QX3029" s="106"/>
      <c r="QY3029" s="106"/>
      <c r="QZ3029" s="106"/>
      <c r="RA3029" s="106"/>
      <c r="RB3029" s="106"/>
      <c r="RC3029" s="106"/>
      <c r="RD3029" s="106"/>
      <c r="RE3029" s="106"/>
      <c r="RF3029" s="106"/>
      <c r="RG3029" s="106"/>
      <c r="RH3029" s="106"/>
      <c r="RI3029" s="106"/>
      <c r="RJ3029" s="106"/>
      <c r="RK3029" s="106"/>
      <c r="RL3029" s="106"/>
    </row>
    <row r="3030" spans="88:480" x14ac:dyDescent="0.3">
      <c r="CJ3030" s="103"/>
      <c r="FP3030" s="103"/>
      <c r="LL3030" s="103"/>
      <c r="NM3030" s="103"/>
      <c r="QT3030" s="106"/>
      <c r="QU3030" s="106"/>
      <c r="QV3030" s="106"/>
      <c r="QW3030" s="106"/>
      <c r="QX3030" s="106"/>
      <c r="QY3030" s="106"/>
      <c r="QZ3030" s="106"/>
      <c r="RA3030" s="106"/>
      <c r="RB3030" s="106"/>
      <c r="RC3030" s="106"/>
      <c r="RD3030" s="106"/>
      <c r="RE3030" s="106"/>
      <c r="RF3030" s="106"/>
      <c r="RG3030" s="106"/>
      <c r="RH3030" s="106"/>
      <c r="RI3030" s="106"/>
      <c r="RJ3030" s="106"/>
      <c r="RK3030" s="106"/>
      <c r="RL3030" s="106"/>
    </row>
    <row r="3031" spans="88:480" x14ac:dyDescent="0.3">
      <c r="CJ3031" s="103"/>
      <c r="FP3031" s="103"/>
      <c r="LL3031" s="103"/>
      <c r="NM3031" s="103"/>
      <c r="QT3031" s="106"/>
      <c r="QU3031" s="106"/>
      <c r="QV3031" s="106"/>
      <c r="QW3031" s="106"/>
      <c r="QX3031" s="106"/>
      <c r="QY3031" s="106"/>
      <c r="QZ3031" s="106"/>
      <c r="RA3031" s="106"/>
      <c r="RB3031" s="106"/>
      <c r="RC3031" s="106"/>
      <c r="RD3031" s="106"/>
      <c r="RE3031" s="106"/>
      <c r="RF3031" s="106"/>
      <c r="RG3031" s="106"/>
      <c r="RH3031" s="106"/>
      <c r="RI3031" s="106"/>
      <c r="RJ3031" s="106"/>
      <c r="RK3031" s="106"/>
      <c r="RL3031" s="106"/>
    </row>
    <row r="3032" spans="88:480" x14ac:dyDescent="0.3">
      <c r="CJ3032" s="103"/>
      <c r="FP3032" s="103"/>
      <c r="LL3032" s="103"/>
      <c r="NM3032" s="103"/>
      <c r="QT3032" s="106"/>
      <c r="QU3032" s="106"/>
      <c r="QV3032" s="106"/>
      <c r="QW3032" s="106"/>
      <c r="QX3032" s="106"/>
      <c r="QY3032" s="106"/>
      <c r="QZ3032" s="106"/>
      <c r="RA3032" s="106"/>
      <c r="RB3032" s="106"/>
      <c r="RC3032" s="106"/>
      <c r="RD3032" s="106"/>
      <c r="RE3032" s="106"/>
      <c r="RF3032" s="106"/>
      <c r="RG3032" s="106"/>
      <c r="RH3032" s="106"/>
      <c r="RI3032" s="106"/>
      <c r="RJ3032" s="106"/>
      <c r="RK3032" s="106"/>
      <c r="RL3032" s="106"/>
    </row>
    <row r="3033" spans="88:480" x14ac:dyDescent="0.3">
      <c r="CJ3033" s="103"/>
      <c r="FP3033" s="103"/>
      <c r="LL3033" s="103"/>
      <c r="NM3033" s="103"/>
      <c r="QT3033" s="106"/>
      <c r="QU3033" s="106"/>
      <c r="QV3033" s="106"/>
      <c r="QW3033" s="106"/>
      <c r="QX3033" s="106"/>
      <c r="QY3033" s="106"/>
      <c r="QZ3033" s="106"/>
      <c r="RA3033" s="106"/>
      <c r="RB3033" s="106"/>
      <c r="RC3033" s="106"/>
      <c r="RD3033" s="106"/>
      <c r="RE3033" s="106"/>
      <c r="RF3033" s="106"/>
      <c r="RG3033" s="106"/>
      <c r="RH3033" s="106"/>
      <c r="RI3033" s="106"/>
      <c r="RJ3033" s="106"/>
      <c r="RK3033" s="106"/>
      <c r="RL3033" s="106"/>
    </row>
    <row r="3034" spans="88:480" x14ac:dyDescent="0.3">
      <c r="CJ3034" s="103"/>
      <c r="FP3034" s="103"/>
      <c r="LL3034" s="103"/>
      <c r="NM3034" s="103"/>
      <c r="QT3034" s="106"/>
      <c r="QU3034" s="106"/>
      <c r="QV3034" s="106"/>
      <c r="QW3034" s="106"/>
      <c r="QX3034" s="106"/>
      <c r="QY3034" s="106"/>
      <c r="QZ3034" s="106"/>
      <c r="RA3034" s="106"/>
      <c r="RB3034" s="106"/>
      <c r="RC3034" s="106"/>
      <c r="RD3034" s="106"/>
      <c r="RE3034" s="106"/>
      <c r="RF3034" s="106"/>
      <c r="RG3034" s="106"/>
      <c r="RH3034" s="106"/>
      <c r="RI3034" s="106"/>
      <c r="RJ3034" s="106"/>
      <c r="RK3034" s="106"/>
      <c r="RL3034" s="106"/>
    </row>
    <row r="3035" spans="88:480" x14ac:dyDescent="0.3">
      <c r="CJ3035" s="103"/>
      <c r="FP3035" s="103"/>
      <c r="LL3035" s="103"/>
      <c r="NM3035" s="103"/>
      <c r="QT3035" s="106"/>
      <c r="QU3035" s="106"/>
      <c r="QV3035" s="106"/>
      <c r="QW3035" s="106"/>
      <c r="QX3035" s="106"/>
      <c r="QY3035" s="106"/>
      <c r="QZ3035" s="106"/>
      <c r="RA3035" s="106"/>
      <c r="RB3035" s="106"/>
      <c r="RC3035" s="106"/>
      <c r="RD3035" s="106"/>
      <c r="RE3035" s="106"/>
      <c r="RF3035" s="106"/>
      <c r="RG3035" s="106"/>
      <c r="RH3035" s="106"/>
      <c r="RI3035" s="106"/>
      <c r="RJ3035" s="106"/>
      <c r="RK3035" s="106"/>
      <c r="RL3035" s="106"/>
    </row>
    <row r="3036" spans="88:480" x14ac:dyDescent="0.3">
      <c r="CJ3036" s="103"/>
      <c r="FP3036" s="103"/>
      <c r="LL3036" s="103"/>
      <c r="NM3036" s="103"/>
      <c r="QT3036" s="106"/>
      <c r="QU3036" s="106"/>
      <c r="QV3036" s="106"/>
      <c r="QW3036" s="106"/>
      <c r="QX3036" s="106"/>
      <c r="QY3036" s="106"/>
      <c r="QZ3036" s="106"/>
      <c r="RA3036" s="106"/>
      <c r="RB3036" s="106"/>
      <c r="RC3036" s="106"/>
      <c r="RD3036" s="106"/>
      <c r="RE3036" s="106"/>
      <c r="RF3036" s="106"/>
      <c r="RG3036" s="106"/>
      <c r="RH3036" s="106"/>
      <c r="RI3036" s="106"/>
      <c r="RJ3036" s="106"/>
      <c r="RK3036" s="106"/>
      <c r="RL3036" s="106"/>
    </row>
    <row r="3037" spans="88:480" x14ac:dyDescent="0.3">
      <c r="CJ3037" s="103"/>
      <c r="FP3037" s="103"/>
      <c r="LL3037" s="103"/>
      <c r="NM3037" s="103"/>
      <c r="QT3037" s="106"/>
      <c r="QU3037" s="106"/>
      <c r="QV3037" s="106"/>
      <c r="QW3037" s="106"/>
      <c r="QX3037" s="106"/>
      <c r="QY3037" s="106"/>
      <c r="QZ3037" s="106"/>
      <c r="RA3037" s="106"/>
      <c r="RB3037" s="106"/>
      <c r="RC3037" s="106"/>
      <c r="RD3037" s="106"/>
      <c r="RE3037" s="106"/>
      <c r="RF3037" s="106"/>
      <c r="RG3037" s="106"/>
      <c r="RH3037" s="106"/>
      <c r="RI3037" s="106"/>
      <c r="RJ3037" s="106"/>
      <c r="RK3037" s="106"/>
      <c r="RL3037" s="106"/>
    </row>
    <row r="3038" spans="88:480" x14ac:dyDescent="0.3">
      <c r="CJ3038" s="103"/>
      <c r="FP3038" s="103"/>
      <c r="LL3038" s="103"/>
      <c r="NM3038" s="103"/>
      <c r="QT3038" s="106"/>
      <c r="QU3038" s="106"/>
      <c r="QV3038" s="106"/>
      <c r="QW3038" s="106"/>
      <c r="QX3038" s="106"/>
      <c r="QY3038" s="106"/>
      <c r="QZ3038" s="106"/>
      <c r="RA3038" s="106"/>
      <c r="RB3038" s="106"/>
      <c r="RC3038" s="106"/>
      <c r="RD3038" s="106"/>
      <c r="RE3038" s="106"/>
      <c r="RF3038" s="106"/>
      <c r="RG3038" s="106"/>
      <c r="RH3038" s="106"/>
      <c r="RI3038" s="106"/>
      <c r="RJ3038" s="106"/>
      <c r="RK3038" s="106"/>
      <c r="RL3038" s="106"/>
    </row>
    <row r="3039" spans="88:480" x14ac:dyDescent="0.3">
      <c r="CJ3039" s="103"/>
      <c r="FP3039" s="103"/>
      <c r="LL3039" s="103"/>
      <c r="NM3039" s="103"/>
      <c r="QT3039" s="106"/>
      <c r="QU3039" s="106"/>
      <c r="QV3039" s="106"/>
      <c r="QW3039" s="106"/>
      <c r="QX3039" s="106"/>
      <c r="QY3039" s="106"/>
      <c r="QZ3039" s="106"/>
      <c r="RA3039" s="106"/>
      <c r="RB3039" s="106"/>
      <c r="RC3039" s="106"/>
      <c r="RD3039" s="106"/>
      <c r="RE3039" s="106"/>
      <c r="RF3039" s="106"/>
      <c r="RG3039" s="106"/>
      <c r="RH3039" s="106"/>
      <c r="RI3039" s="106"/>
      <c r="RJ3039" s="106"/>
      <c r="RK3039" s="106"/>
      <c r="RL3039" s="106"/>
    </row>
    <row r="3040" spans="88:480" x14ac:dyDescent="0.3">
      <c r="CJ3040" s="103"/>
      <c r="FP3040" s="103"/>
      <c r="LL3040" s="103"/>
      <c r="NM3040" s="103"/>
      <c r="QT3040" s="106"/>
      <c r="QU3040" s="106"/>
      <c r="QV3040" s="106"/>
      <c r="QW3040" s="106"/>
      <c r="QX3040" s="106"/>
      <c r="QY3040" s="106"/>
      <c r="QZ3040" s="106"/>
      <c r="RA3040" s="106"/>
      <c r="RB3040" s="106"/>
      <c r="RC3040" s="106"/>
      <c r="RD3040" s="106"/>
      <c r="RE3040" s="106"/>
      <c r="RF3040" s="106"/>
      <c r="RG3040" s="106"/>
      <c r="RH3040" s="106"/>
      <c r="RI3040" s="106"/>
      <c r="RJ3040" s="106"/>
      <c r="RK3040" s="106"/>
      <c r="RL3040" s="106"/>
    </row>
    <row r="3041" spans="88:480" x14ac:dyDescent="0.3">
      <c r="CJ3041" s="103"/>
      <c r="FP3041" s="103"/>
      <c r="LL3041" s="103"/>
      <c r="NM3041" s="103"/>
      <c r="QT3041" s="106"/>
      <c r="QU3041" s="106"/>
      <c r="QV3041" s="106"/>
      <c r="QW3041" s="106"/>
      <c r="QX3041" s="106"/>
      <c r="QY3041" s="106"/>
      <c r="QZ3041" s="106"/>
      <c r="RA3041" s="106"/>
      <c r="RB3041" s="106"/>
      <c r="RC3041" s="106"/>
      <c r="RD3041" s="106"/>
      <c r="RE3041" s="106"/>
      <c r="RF3041" s="106"/>
      <c r="RG3041" s="106"/>
      <c r="RH3041" s="106"/>
      <c r="RI3041" s="106"/>
      <c r="RJ3041" s="106"/>
      <c r="RK3041" s="106"/>
      <c r="RL3041" s="106"/>
    </row>
    <row r="3042" spans="88:480" x14ac:dyDescent="0.3">
      <c r="CJ3042" s="103"/>
      <c r="FP3042" s="103"/>
      <c r="LL3042" s="103"/>
      <c r="NM3042" s="103"/>
      <c r="QT3042" s="106"/>
      <c r="QU3042" s="106"/>
      <c r="QV3042" s="106"/>
      <c r="QW3042" s="106"/>
      <c r="QX3042" s="106"/>
      <c r="QY3042" s="106"/>
      <c r="QZ3042" s="106"/>
      <c r="RA3042" s="106"/>
      <c r="RB3042" s="106"/>
      <c r="RC3042" s="106"/>
      <c r="RD3042" s="106"/>
      <c r="RE3042" s="106"/>
      <c r="RF3042" s="106"/>
      <c r="RG3042" s="106"/>
      <c r="RH3042" s="106"/>
      <c r="RI3042" s="106"/>
      <c r="RJ3042" s="106"/>
      <c r="RK3042" s="106"/>
      <c r="RL3042" s="106"/>
    </row>
    <row r="3043" spans="88:480" x14ac:dyDescent="0.3">
      <c r="CJ3043" s="103"/>
      <c r="FP3043" s="103"/>
      <c r="LL3043" s="103"/>
      <c r="NM3043" s="103"/>
      <c r="QT3043" s="106"/>
      <c r="QU3043" s="106"/>
      <c r="QV3043" s="106"/>
      <c r="QW3043" s="106"/>
      <c r="QX3043" s="106"/>
      <c r="QY3043" s="106"/>
      <c r="QZ3043" s="106"/>
      <c r="RA3043" s="106"/>
      <c r="RB3043" s="106"/>
      <c r="RC3043" s="106"/>
      <c r="RD3043" s="106"/>
      <c r="RE3043" s="106"/>
      <c r="RF3043" s="106"/>
      <c r="RG3043" s="106"/>
      <c r="RH3043" s="106"/>
      <c r="RI3043" s="106"/>
      <c r="RJ3043" s="106"/>
      <c r="RK3043" s="106"/>
      <c r="RL3043" s="106"/>
    </row>
    <row r="3044" spans="88:480" x14ac:dyDescent="0.3">
      <c r="CJ3044" s="103"/>
      <c r="FP3044" s="103"/>
      <c r="LL3044" s="103"/>
      <c r="NM3044" s="103"/>
      <c r="QT3044" s="106"/>
      <c r="QU3044" s="106"/>
      <c r="QV3044" s="106"/>
      <c r="QW3044" s="106"/>
      <c r="QX3044" s="106"/>
      <c r="QY3044" s="106"/>
      <c r="QZ3044" s="106"/>
      <c r="RA3044" s="106"/>
      <c r="RB3044" s="106"/>
      <c r="RC3044" s="106"/>
      <c r="RD3044" s="106"/>
      <c r="RE3044" s="106"/>
      <c r="RF3044" s="106"/>
      <c r="RG3044" s="106"/>
      <c r="RH3044" s="106"/>
      <c r="RI3044" s="106"/>
      <c r="RJ3044" s="106"/>
      <c r="RK3044" s="106"/>
      <c r="RL3044" s="106"/>
    </row>
    <row r="3045" spans="88:480" x14ac:dyDescent="0.3">
      <c r="CJ3045" s="103"/>
      <c r="FP3045" s="103"/>
      <c r="LL3045" s="103"/>
      <c r="NM3045" s="103"/>
      <c r="QT3045" s="106"/>
      <c r="QU3045" s="106"/>
      <c r="QV3045" s="106"/>
      <c r="QW3045" s="106"/>
      <c r="QX3045" s="106"/>
      <c r="QY3045" s="106"/>
      <c r="QZ3045" s="106"/>
      <c r="RA3045" s="106"/>
      <c r="RB3045" s="106"/>
      <c r="RC3045" s="106"/>
      <c r="RD3045" s="106"/>
      <c r="RE3045" s="106"/>
      <c r="RF3045" s="106"/>
      <c r="RG3045" s="106"/>
      <c r="RH3045" s="106"/>
      <c r="RI3045" s="106"/>
      <c r="RJ3045" s="106"/>
      <c r="RK3045" s="106"/>
      <c r="RL3045" s="106"/>
    </row>
    <row r="3046" spans="88:480" x14ac:dyDescent="0.3">
      <c r="CJ3046" s="103"/>
      <c r="FP3046" s="103"/>
      <c r="LL3046" s="103"/>
      <c r="NM3046" s="103"/>
      <c r="QT3046" s="106"/>
      <c r="QU3046" s="106"/>
      <c r="QV3046" s="106"/>
      <c r="QW3046" s="106"/>
      <c r="QX3046" s="106"/>
      <c r="QY3046" s="106"/>
      <c r="QZ3046" s="106"/>
      <c r="RA3046" s="106"/>
      <c r="RB3046" s="106"/>
      <c r="RC3046" s="106"/>
      <c r="RD3046" s="106"/>
      <c r="RE3046" s="106"/>
      <c r="RF3046" s="106"/>
      <c r="RG3046" s="106"/>
      <c r="RH3046" s="106"/>
      <c r="RI3046" s="106"/>
      <c r="RJ3046" s="106"/>
      <c r="RK3046" s="106"/>
      <c r="RL3046" s="106"/>
    </row>
    <row r="3047" spans="88:480" x14ac:dyDescent="0.3">
      <c r="CJ3047" s="103"/>
      <c r="FP3047" s="103"/>
      <c r="LL3047" s="103"/>
      <c r="NM3047" s="103"/>
      <c r="QT3047" s="106"/>
      <c r="QU3047" s="106"/>
      <c r="QV3047" s="106"/>
      <c r="QW3047" s="106"/>
      <c r="QX3047" s="106"/>
      <c r="QY3047" s="106"/>
      <c r="QZ3047" s="106"/>
      <c r="RA3047" s="106"/>
      <c r="RB3047" s="106"/>
      <c r="RC3047" s="106"/>
      <c r="RD3047" s="106"/>
      <c r="RE3047" s="106"/>
      <c r="RF3047" s="106"/>
      <c r="RG3047" s="106"/>
      <c r="RH3047" s="106"/>
      <c r="RI3047" s="106"/>
      <c r="RJ3047" s="106"/>
      <c r="RK3047" s="106"/>
      <c r="RL3047" s="106"/>
    </row>
    <row r="3048" spans="88:480" x14ac:dyDescent="0.3">
      <c r="CJ3048" s="103"/>
      <c r="FP3048" s="103"/>
      <c r="LL3048" s="103"/>
      <c r="NM3048" s="103"/>
      <c r="QT3048" s="106"/>
      <c r="QU3048" s="106"/>
      <c r="QV3048" s="106"/>
      <c r="QW3048" s="106"/>
      <c r="QX3048" s="106"/>
      <c r="QY3048" s="106"/>
      <c r="QZ3048" s="106"/>
      <c r="RA3048" s="106"/>
      <c r="RB3048" s="106"/>
      <c r="RC3048" s="106"/>
      <c r="RD3048" s="106"/>
      <c r="RE3048" s="106"/>
      <c r="RF3048" s="106"/>
      <c r="RG3048" s="106"/>
      <c r="RH3048" s="106"/>
      <c r="RI3048" s="106"/>
      <c r="RJ3048" s="106"/>
      <c r="RK3048" s="106"/>
      <c r="RL3048" s="106"/>
    </row>
    <row r="3049" spans="88:480" x14ac:dyDescent="0.3">
      <c r="CJ3049" s="103"/>
      <c r="FP3049" s="103"/>
      <c r="LL3049" s="103"/>
      <c r="NM3049" s="103"/>
      <c r="QT3049" s="106"/>
      <c r="QU3049" s="106"/>
      <c r="QV3049" s="106"/>
      <c r="QW3049" s="106"/>
      <c r="QX3049" s="106"/>
      <c r="QY3049" s="106"/>
      <c r="QZ3049" s="106"/>
      <c r="RA3049" s="106"/>
      <c r="RB3049" s="106"/>
      <c r="RC3049" s="106"/>
      <c r="RD3049" s="106"/>
      <c r="RE3049" s="106"/>
      <c r="RF3049" s="106"/>
      <c r="RG3049" s="106"/>
      <c r="RH3049" s="106"/>
      <c r="RI3049" s="106"/>
      <c r="RJ3049" s="106"/>
      <c r="RK3049" s="106"/>
      <c r="RL3049" s="106"/>
    </row>
    <row r="3050" spans="88:480" x14ac:dyDescent="0.3">
      <c r="CJ3050" s="103"/>
      <c r="FP3050" s="103"/>
      <c r="LL3050" s="103"/>
      <c r="NM3050" s="103"/>
      <c r="QT3050" s="106"/>
      <c r="QU3050" s="106"/>
      <c r="QV3050" s="106"/>
      <c r="QW3050" s="106"/>
      <c r="QX3050" s="106"/>
      <c r="QY3050" s="106"/>
      <c r="QZ3050" s="106"/>
      <c r="RA3050" s="106"/>
      <c r="RB3050" s="106"/>
      <c r="RC3050" s="106"/>
      <c r="RD3050" s="106"/>
      <c r="RE3050" s="106"/>
      <c r="RF3050" s="106"/>
      <c r="RG3050" s="106"/>
      <c r="RH3050" s="106"/>
      <c r="RI3050" s="106"/>
      <c r="RJ3050" s="106"/>
      <c r="RK3050" s="106"/>
      <c r="RL3050" s="106"/>
    </row>
    <row r="3051" spans="88:480" x14ac:dyDescent="0.3">
      <c r="CJ3051" s="103"/>
      <c r="FP3051" s="103"/>
      <c r="LL3051" s="103"/>
      <c r="NM3051" s="103"/>
      <c r="QT3051" s="106"/>
      <c r="QU3051" s="106"/>
      <c r="QV3051" s="106"/>
      <c r="QW3051" s="106"/>
      <c r="QX3051" s="106"/>
      <c r="QY3051" s="106"/>
      <c r="QZ3051" s="106"/>
      <c r="RA3051" s="106"/>
      <c r="RB3051" s="106"/>
      <c r="RC3051" s="106"/>
      <c r="RD3051" s="106"/>
      <c r="RE3051" s="106"/>
      <c r="RF3051" s="106"/>
      <c r="RG3051" s="106"/>
      <c r="RH3051" s="106"/>
      <c r="RI3051" s="106"/>
      <c r="RJ3051" s="106"/>
      <c r="RK3051" s="106"/>
      <c r="RL3051" s="106"/>
    </row>
    <row r="3052" spans="88:480" x14ac:dyDescent="0.3">
      <c r="CJ3052" s="103"/>
      <c r="FP3052" s="103"/>
      <c r="LL3052" s="103"/>
      <c r="NM3052" s="103"/>
      <c r="QT3052" s="106"/>
      <c r="QU3052" s="106"/>
      <c r="QV3052" s="106"/>
      <c r="QW3052" s="106"/>
      <c r="QX3052" s="106"/>
      <c r="QY3052" s="106"/>
      <c r="QZ3052" s="106"/>
      <c r="RA3052" s="106"/>
      <c r="RB3052" s="106"/>
      <c r="RC3052" s="106"/>
      <c r="RD3052" s="106"/>
      <c r="RE3052" s="106"/>
      <c r="RF3052" s="106"/>
      <c r="RG3052" s="106"/>
      <c r="RH3052" s="106"/>
      <c r="RI3052" s="106"/>
      <c r="RJ3052" s="106"/>
      <c r="RK3052" s="106"/>
      <c r="RL3052" s="106"/>
    </row>
    <row r="3053" spans="88:480" x14ac:dyDescent="0.3">
      <c r="CJ3053" s="103"/>
      <c r="FP3053" s="103"/>
      <c r="LL3053" s="103"/>
      <c r="NM3053" s="103"/>
      <c r="QT3053" s="106"/>
      <c r="QU3053" s="106"/>
      <c r="QV3053" s="106"/>
      <c r="QW3053" s="106"/>
      <c r="QX3053" s="106"/>
      <c r="QY3053" s="106"/>
      <c r="QZ3053" s="106"/>
      <c r="RA3053" s="106"/>
      <c r="RB3053" s="106"/>
      <c r="RC3053" s="106"/>
      <c r="RD3053" s="106"/>
      <c r="RE3053" s="106"/>
      <c r="RF3053" s="106"/>
      <c r="RG3053" s="106"/>
      <c r="RH3053" s="106"/>
      <c r="RI3053" s="106"/>
      <c r="RJ3053" s="106"/>
      <c r="RK3053" s="106"/>
      <c r="RL3053" s="106"/>
    </row>
    <row r="3054" spans="88:480" x14ac:dyDescent="0.3">
      <c r="CJ3054" s="103"/>
      <c r="FP3054" s="103"/>
      <c r="LL3054" s="103"/>
      <c r="NM3054" s="103"/>
      <c r="QT3054" s="106"/>
      <c r="QU3054" s="106"/>
      <c r="QV3054" s="106"/>
      <c r="QW3054" s="106"/>
      <c r="QX3054" s="106"/>
      <c r="QY3054" s="106"/>
      <c r="QZ3054" s="106"/>
      <c r="RA3054" s="106"/>
      <c r="RB3054" s="106"/>
      <c r="RC3054" s="106"/>
      <c r="RD3054" s="106"/>
      <c r="RE3054" s="106"/>
      <c r="RF3054" s="106"/>
      <c r="RG3054" s="106"/>
      <c r="RH3054" s="106"/>
      <c r="RI3054" s="106"/>
      <c r="RJ3054" s="106"/>
      <c r="RK3054" s="106"/>
      <c r="RL3054" s="106"/>
    </row>
    <row r="3055" spans="88:480" x14ac:dyDescent="0.3">
      <c r="CJ3055" s="103"/>
      <c r="FP3055" s="103"/>
      <c r="LL3055" s="103"/>
      <c r="NM3055" s="103"/>
      <c r="QT3055" s="106"/>
      <c r="QU3055" s="106"/>
      <c r="QV3055" s="106"/>
      <c r="QW3055" s="106"/>
      <c r="QX3055" s="106"/>
      <c r="QY3055" s="106"/>
      <c r="QZ3055" s="106"/>
      <c r="RA3055" s="106"/>
      <c r="RB3055" s="106"/>
      <c r="RC3055" s="106"/>
      <c r="RD3055" s="106"/>
      <c r="RE3055" s="106"/>
      <c r="RF3055" s="106"/>
      <c r="RG3055" s="106"/>
      <c r="RH3055" s="106"/>
      <c r="RI3055" s="106"/>
      <c r="RJ3055" s="106"/>
      <c r="RK3055" s="106"/>
      <c r="RL3055" s="106"/>
    </row>
    <row r="3056" spans="88:480" x14ac:dyDescent="0.3">
      <c r="CJ3056" s="103"/>
      <c r="FP3056" s="103"/>
      <c r="LL3056" s="103"/>
      <c r="NM3056" s="103"/>
      <c r="QT3056" s="106"/>
      <c r="QU3056" s="106"/>
      <c r="QV3056" s="106"/>
      <c r="QW3056" s="106"/>
      <c r="QX3056" s="106"/>
      <c r="QY3056" s="106"/>
      <c r="QZ3056" s="106"/>
      <c r="RA3056" s="106"/>
      <c r="RB3056" s="106"/>
      <c r="RC3056" s="106"/>
      <c r="RD3056" s="106"/>
      <c r="RE3056" s="106"/>
      <c r="RF3056" s="106"/>
      <c r="RG3056" s="106"/>
      <c r="RH3056" s="106"/>
      <c r="RI3056" s="106"/>
      <c r="RJ3056" s="106"/>
      <c r="RK3056" s="106"/>
      <c r="RL3056" s="106"/>
    </row>
    <row r="3057" spans="88:480" x14ac:dyDescent="0.3">
      <c r="CJ3057" s="103"/>
      <c r="FP3057" s="103"/>
      <c r="LL3057" s="103"/>
      <c r="NM3057" s="103"/>
      <c r="QT3057" s="106"/>
      <c r="QU3057" s="106"/>
      <c r="QV3057" s="106"/>
      <c r="QW3057" s="106"/>
      <c r="QX3057" s="106"/>
      <c r="QY3057" s="106"/>
      <c r="QZ3057" s="106"/>
      <c r="RA3057" s="106"/>
      <c r="RB3057" s="106"/>
      <c r="RC3057" s="106"/>
      <c r="RD3057" s="106"/>
      <c r="RE3057" s="106"/>
      <c r="RF3057" s="106"/>
      <c r="RG3057" s="106"/>
      <c r="RH3057" s="106"/>
      <c r="RI3057" s="106"/>
      <c r="RJ3057" s="106"/>
      <c r="RK3057" s="106"/>
      <c r="RL3057" s="106"/>
    </row>
    <row r="3058" spans="88:480" x14ac:dyDescent="0.3">
      <c r="CJ3058" s="103"/>
      <c r="FP3058" s="103"/>
      <c r="LL3058" s="103"/>
      <c r="NM3058" s="103"/>
      <c r="QT3058" s="106"/>
      <c r="QU3058" s="106"/>
      <c r="QV3058" s="106"/>
      <c r="QW3058" s="106"/>
      <c r="QX3058" s="106"/>
      <c r="QY3058" s="106"/>
      <c r="QZ3058" s="106"/>
      <c r="RA3058" s="106"/>
      <c r="RB3058" s="106"/>
      <c r="RC3058" s="106"/>
      <c r="RD3058" s="106"/>
      <c r="RE3058" s="106"/>
      <c r="RF3058" s="106"/>
      <c r="RG3058" s="106"/>
      <c r="RH3058" s="106"/>
      <c r="RI3058" s="106"/>
      <c r="RJ3058" s="106"/>
      <c r="RK3058" s="106"/>
      <c r="RL3058" s="106"/>
    </row>
    <row r="3059" spans="88:480" x14ac:dyDescent="0.3">
      <c r="CJ3059" s="103"/>
      <c r="FP3059" s="103"/>
      <c r="LL3059" s="103"/>
      <c r="NM3059" s="103"/>
      <c r="QT3059" s="106"/>
      <c r="QU3059" s="106"/>
      <c r="QV3059" s="106"/>
      <c r="QW3059" s="106"/>
      <c r="QX3059" s="106"/>
      <c r="QY3059" s="106"/>
      <c r="QZ3059" s="106"/>
      <c r="RA3059" s="106"/>
      <c r="RB3059" s="106"/>
      <c r="RC3059" s="106"/>
      <c r="RD3059" s="106"/>
      <c r="RE3059" s="106"/>
      <c r="RF3059" s="106"/>
      <c r="RG3059" s="106"/>
      <c r="RH3059" s="106"/>
      <c r="RI3059" s="106"/>
      <c r="RJ3059" s="106"/>
      <c r="RK3059" s="106"/>
      <c r="RL3059" s="106"/>
    </row>
    <row r="3060" spans="88:480" x14ac:dyDescent="0.3">
      <c r="CJ3060" s="103"/>
      <c r="FP3060" s="103"/>
      <c r="LL3060" s="103"/>
      <c r="NM3060" s="103"/>
      <c r="QT3060" s="106"/>
      <c r="QU3060" s="106"/>
      <c r="QV3060" s="106"/>
      <c r="QW3060" s="106"/>
      <c r="QX3060" s="106"/>
      <c r="QY3060" s="106"/>
      <c r="QZ3060" s="106"/>
      <c r="RA3060" s="106"/>
      <c r="RB3060" s="106"/>
      <c r="RC3060" s="106"/>
      <c r="RD3060" s="106"/>
      <c r="RE3060" s="106"/>
      <c r="RF3060" s="106"/>
      <c r="RG3060" s="106"/>
      <c r="RH3060" s="106"/>
      <c r="RI3060" s="106"/>
      <c r="RJ3060" s="106"/>
      <c r="RK3060" s="106"/>
      <c r="RL3060" s="106"/>
    </row>
    <row r="3061" spans="88:480" x14ac:dyDescent="0.3">
      <c r="CJ3061" s="103"/>
      <c r="FP3061" s="103"/>
      <c r="LL3061" s="103"/>
      <c r="NM3061" s="103"/>
      <c r="QT3061" s="106"/>
      <c r="QU3061" s="106"/>
      <c r="QV3061" s="106"/>
      <c r="QW3061" s="106"/>
      <c r="QX3061" s="106"/>
      <c r="QY3061" s="106"/>
      <c r="QZ3061" s="106"/>
      <c r="RA3061" s="106"/>
      <c r="RB3061" s="106"/>
      <c r="RC3061" s="106"/>
      <c r="RD3061" s="106"/>
      <c r="RE3061" s="106"/>
      <c r="RF3061" s="106"/>
      <c r="RG3061" s="106"/>
      <c r="RH3061" s="106"/>
      <c r="RI3061" s="106"/>
      <c r="RJ3061" s="106"/>
      <c r="RK3061" s="106"/>
      <c r="RL3061" s="106"/>
    </row>
    <row r="3062" spans="88:480" x14ac:dyDescent="0.3">
      <c r="CJ3062" s="103"/>
      <c r="FP3062" s="103"/>
      <c r="LL3062" s="103"/>
      <c r="NM3062" s="103"/>
      <c r="QT3062" s="106"/>
      <c r="QU3062" s="106"/>
      <c r="QV3062" s="106"/>
      <c r="QW3062" s="106"/>
      <c r="QX3062" s="106"/>
      <c r="QY3062" s="106"/>
      <c r="QZ3062" s="106"/>
      <c r="RA3062" s="106"/>
      <c r="RB3062" s="106"/>
      <c r="RC3062" s="106"/>
      <c r="RD3062" s="106"/>
      <c r="RE3062" s="106"/>
      <c r="RF3062" s="106"/>
      <c r="RG3062" s="106"/>
      <c r="RH3062" s="106"/>
      <c r="RI3062" s="106"/>
      <c r="RJ3062" s="106"/>
      <c r="RK3062" s="106"/>
      <c r="RL3062" s="106"/>
    </row>
    <row r="3063" spans="88:480" x14ac:dyDescent="0.3">
      <c r="CJ3063" s="103"/>
      <c r="FP3063" s="103"/>
      <c r="LL3063" s="103"/>
      <c r="NM3063" s="103"/>
      <c r="QT3063" s="106"/>
      <c r="QU3063" s="106"/>
      <c r="QV3063" s="106"/>
      <c r="QW3063" s="106"/>
      <c r="QX3063" s="106"/>
      <c r="QY3063" s="106"/>
      <c r="QZ3063" s="106"/>
      <c r="RA3063" s="106"/>
      <c r="RB3063" s="106"/>
      <c r="RC3063" s="106"/>
      <c r="RD3063" s="106"/>
      <c r="RE3063" s="106"/>
      <c r="RF3063" s="106"/>
      <c r="RG3063" s="106"/>
      <c r="RH3063" s="106"/>
      <c r="RI3063" s="106"/>
      <c r="RJ3063" s="106"/>
      <c r="RK3063" s="106"/>
      <c r="RL3063" s="106"/>
    </row>
    <row r="3064" spans="88:480" x14ac:dyDescent="0.3">
      <c r="CJ3064" s="103"/>
      <c r="FP3064" s="103"/>
      <c r="LL3064" s="103"/>
      <c r="NM3064" s="103"/>
      <c r="QT3064" s="106"/>
      <c r="QU3064" s="106"/>
      <c r="QV3064" s="106"/>
      <c r="QW3064" s="106"/>
      <c r="QX3064" s="106"/>
      <c r="QY3064" s="106"/>
      <c r="QZ3064" s="106"/>
      <c r="RA3064" s="106"/>
      <c r="RB3064" s="106"/>
      <c r="RC3064" s="106"/>
      <c r="RD3064" s="106"/>
      <c r="RE3064" s="106"/>
      <c r="RF3064" s="106"/>
      <c r="RG3064" s="106"/>
      <c r="RH3064" s="106"/>
      <c r="RI3064" s="106"/>
      <c r="RJ3064" s="106"/>
      <c r="RK3064" s="106"/>
      <c r="RL3064" s="106"/>
    </row>
    <row r="3065" spans="88:480" x14ac:dyDescent="0.3">
      <c r="CJ3065" s="103"/>
      <c r="FP3065" s="103"/>
      <c r="LL3065" s="103"/>
      <c r="NM3065" s="103"/>
      <c r="QT3065" s="106"/>
      <c r="QU3065" s="106"/>
      <c r="QV3065" s="106"/>
      <c r="QW3065" s="106"/>
      <c r="QX3065" s="106"/>
      <c r="QY3065" s="106"/>
      <c r="QZ3065" s="106"/>
      <c r="RA3065" s="106"/>
      <c r="RB3065" s="106"/>
      <c r="RC3065" s="106"/>
      <c r="RD3065" s="106"/>
      <c r="RE3065" s="106"/>
      <c r="RF3065" s="106"/>
      <c r="RG3065" s="106"/>
      <c r="RH3065" s="106"/>
      <c r="RI3065" s="106"/>
      <c r="RJ3065" s="106"/>
      <c r="RK3065" s="106"/>
      <c r="RL3065" s="106"/>
    </row>
    <row r="3066" spans="88:480" x14ac:dyDescent="0.3">
      <c r="CJ3066" s="103"/>
      <c r="FP3066" s="103"/>
      <c r="LL3066" s="103"/>
      <c r="NM3066" s="103"/>
      <c r="QT3066" s="106"/>
      <c r="QU3066" s="106"/>
      <c r="QV3066" s="106"/>
      <c r="QW3066" s="106"/>
      <c r="QX3066" s="106"/>
      <c r="QY3066" s="106"/>
      <c r="QZ3066" s="106"/>
      <c r="RA3066" s="106"/>
      <c r="RB3066" s="106"/>
      <c r="RC3066" s="106"/>
      <c r="RD3066" s="106"/>
      <c r="RE3066" s="106"/>
      <c r="RF3066" s="106"/>
      <c r="RG3066" s="106"/>
      <c r="RH3066" s="106"/>
      <c r="RI3066" s="106"/>
      <c r="RJ3066" s="106"/>
      <c r="RK3066" s="106"/>
      <c r="RL3066" s="106"/>
    </row>
    <row r="3067" spans="88:480" x14ac:dyDescent="0.3">
      <c r="CJ3067" s="103"/>
      <c r="FP3067" s="103"/>
      <c r="LL3067" s="103"/>
      <c r="NM3067" s="103"/>
      <c r="QT3067" s="106"/>
      <c r="QU3067" s="106"/>
      <c r="QV3067" s="106"/>
      <c r="QW3067" s="106"/>
      <c r="QX3067" s="106"/>
      <c r="QY3067" s="106"/>
      <c r="QZ3067" s="106"/>
      <c r="RA3067" s="106"/>
      <c r="RB3067" s="106"/>
      <c r="RC3067" s="106"/>
      <c r="RD3067" s="106"/>
      <c r="RE3067" s="106"/>
      <c r="RF3067" s="106"/>
      <c r="RG3067" s="106"/>
      <c r="RH3067" s="106"/>
      <c r="RI3067" s="106"/>
      <c r="RJ3067" s="106"/>
      <c r="RK3067" s="106"/>
      <c r="RL3067" s="106"/>
    </row>
    <row r="3068" spans="88:480" x14ac:dyDescent="0.3">
      <c r="CJ3068" s="103"/>
      <c r="FP3068" s="103"/>
      <c r="LL3068" s="103"/>
      <c r="NM3068" s="103"/>
      <c r="QT3068" s="106"/>
      <c r="QU3068" s="106"/>
      <c r="QV3068" s="106"/>
      <c r="QW3068" s="106"/>
      <c r="QX3068" s="106"/>
      <c r="QY3068" s="106"/>
      <c r="QZ3068" s="106"/>
      <c r="RA3068" s="106"/>
      <c r="RB3068" s="106"/>
      <c r="RC3068" s="106"/>
      <c r="RD3068" s="106"/>
      <c r="RE3068" s="106"/>
      <c r="RF3068" s="106"/>
      <c r="RG3068" s="106"/>
      <c r="RH3068" s="106"/>
      <c r="RI3068" s="106"/>
      <c r="RJ3068" s="106"/>
      <c r="RK3068" s="106"/>
      <c r="RL3068" s="106"/>
    </row>
    <row r="3069" spans="88:480" x14ac:dyDescent="0.3">
      <c r="CJ3069" s="103"/>
      <c r="FP3069" s="103"/>
      <c r="LL3069" s="103"/>
      <c r="NM3069" s="103"/>
      <c r="QT3069" s="106"/>
      <c r="QU3069" s="106"/>
      <c r="QV3069" s="106"/>
      <c r="QW3069" s="106"/>
      <c r="QX3069" s="106"/>
      <c r="QY3069" s="106"/>
      <c r="QZ3069" s="106"/>
      <c r="RA3069" s="106"/>
      <c r="RB3069" s="106"/>
      <c r="RC3069" s="106"/>
      <c r="RD3069" s="106"/>
      <c r="RE3069" s="106"/>
      <c r="RF3069" s="106"/>
      <c r="RG3069" s="106"/>
      <c r="RH3069" s="106"/>
      <c r="RI3069" s="106"/>
      <c r="RJ3069" s="106"/>
      <c r="RK3069" s="106"/>
      <c r="RL3069" s="106"/>
    </row>
    <row r="3070" spans="88:480" x14ac:dyDescent="0.3">
      <c r="CJ3070" s="103"/>
      <c r="FP3070" s="103"/>
      <c r="LL3070" s="103"/>
      <c r="NM3070" s="103"/>
      <c r="QT3070" s="106"/>
      <c r="QU3070" s="106"/>
      <c r="QV3070" s="106"/>
      <c r="QW3070" s="106"/>
      <c r="QX3070" s="106"/>
      <c r="QY3070" s="106"/>
      <c r="QZ3070" s="106"/>
      <c r="RA3070" s="106"/>
      <c r="RB3070" s="106"/>
      <c r="RC3070" s="106"/>
      <c r="RD3070" s="106"/>
      <c r="RE3070" s="106"/>
      <c r="RF3070" s="106"/>
      <c r="RG3070" s="106"/>
      <c r="RH3070" s="106"/>
      <c r="RI3070" s="106"/>
      <c r="RJ3070" s="106"/>
      <c r="RK3070" s="106"/>
      <c r="RL3070" s="106"/>
    </row>
    <row r="3071" spans="88:480" x14ac:dyDescent="0.3">
      <c r="CJ3071" s="103"/>
      <c r="FP3071" s="103"/>
      <c r="LL3071" s="103"/>
      <c r="NM3071" s="103"/>
      <c r="QT3071" s="106"/>
      <c r="QU3071" s="106"/>
      <c r="QV3071" s="106"/>
      <c r="QW3071" s="106"/>
      <c r="QX3071" s="106"/>
      <c r="QY3071" s="106"/>
      <c r="QZ3071" s="106"/>
      <c r="RA3071" s="106"/>
      <c r="RB3071" s="106"/>
      <c r="RC3071" s="106"/>
      <c r="RD3071" s="106"/>
      <c r="RE3071" s="106"/>
      <c r="RF3071" s="106"/>
      <c r="RG3071" s="106"/>
      <c r="RH3071" s="106"/>
      <c r="RI3071" s="106"/>
      <c r="RJ3071" s="106"/>
      <c r="RK3071" s="106"/>
      <c r="RL3071" s="106"/>
    </row>
    <row r="3072" spans="88:480" x14ac:dyDescent="0.3">
      <c r="CJ3072" s="103"/>
      <c r="FP3072" s="103"/>
      <c r="LL3072" s="103"/>
      <c r="NM3072" s="103"/>
      <c r="QT3072" s="106"/>
      <c r="QU3072" s="106"/>
      <c r="QV3072" s="106"/>
      <c r="QW3072" s="106"/>
      <c r="QX3072" s="106"/>
      <c r="QY3072" s="106"/>
      <c r="QZ3072" s="106"/>
      <c r="RA3072" s="106"/>
      <c r="RB3072" s="106"/>
      <c r="RC3072" s="106"/>
      <c r="RD3072" s="106"/>
      <c r="RE3072" s="106"/>
      <c r="RF3072" s="106"/>
      <c r="RG3072" s="106"/>
      <c r="RH3072" s="106"/>
      <c r="RI3072" s="106"/>
      <c r="RJ3072" s="106"/>
      <c r="RK3072" s="106"/>
      <c r="RL3072" s="106"/>
    </row>
    <row r="3073" spans="88:480" x14ac:dyDescent="0.3">
      <c r="CJ3073" s="103"/>
      <c r="FP3073" s="103"/>
      <c r="LL3073" s="103"/>
      <c r="NM3073" s="103"/>
      <c r="QT3073" s="106"/>
      <c r="QU3073" s="106"/>
      <c r="QV3073" s="106"/>
      <c r="QW3073" s="106"/>
      <c r="QX3073" s="106"/>
      <c r="QY3073" s="106"/>
      <c r="QZ3073" s="106"/>
      <c r="RA3073" s="106"/>
      <c r="RB3073" s="106"/>
      <c r="RC3073" s="106"/>
      <c r="RD3073" s="106"/>
      <c r="RE3073" s="106"/>
      <c r="RF3073" s="106"/>
      <c r="RG3073" s="106"/>
      <c r="RH3073" s="106"/>
      <c r="RI3073" s="106"/>
      <c r="RJ3073" s="106"/>
      <c r="RK3073" s="106"/>
      <c r="RL3073" s="106"/>
    </row>
    <row r="3074" spans="88:480" x14ac:dyDescent="0.3">
      <c r="CJ3074" s="103"/>
      <c r="FP3074" s="103"/>
      <c r="LL3074" s="103"/>
      <c r="NM3074" s="103"/>
      <c r="QT3074" s="106"/>
      <c r="QU3074" s="106"/>
      <c r="QV3074" s="106"/>
      <c r="QW3074" s="106"/>
      <c r="QX3074" s="106"/>
      <c r="QY3074" s="106"/>
      <c r="QZ3074" s="106"/>
      <c r="RA3074" s="106"/>
      <c r="RB3074" s="106"/>
      <c r="RC3074" s="106"/>
      <c r="RD3074" s="106"/>
      <c r="RE3074" s="106"/>
      <c r="RF3074" s="106"/>
      <c r="RG3074" s="106"/>
      <c r="RH3074" s="106"/>
      <c r="RI3074" s="106"/>
      <c r="RJ3074" s="106"/>
      <c r="RK3074" s="106"/>
      <c r="RL3074" s="106"/>
    </row>
    <row r="3075" spans="88:480" x14ac:dyDescent="0.3">
      <c r="CJ3075" s="103"/>
      <c r="FP3075" s="103"/>
      <c r="LL3075" s="103"/>
      <c r="NM3075" s="103"/>
      <c r="QT3075" s="106"/>
      <c r="QU3075" s="106"/>
      <c r="QV3075" s="106"/>
      <c r="QW3075" s="106"/>
      <c r="QX3075" s="106"/>
      <c r="QY3075" s="106"/>
      <c r="QZ3075" s="106"/>
      <c r="RA3075" s="106"/>
      <c r="RB3075" s="106"/>
      <c r="RC3075" s="106"/>
      <c r="RD3075" s="106"/>
      <c r="RE3075" s="106"/>
      <c r="RF3075" s="106"/>
      <c r="RG3075" s="106"/>
      <c r="RH3075" s="106"/>
      <c r="RI3075" s="106"/>
      <c r="RJ3075" s="106"/>
      <c r="RK3075" s="106"/>
      <c r="RL3075" s="106"/>
    </row>
    <row r="3076" spans="88:480" x14ac:dyDescent="0.3">
      <c r="CJ3076" s="103"/>
      <c r="FP3076" s="103"/>
      <c r="LL3076" s="103"/>
      <c r="NM3076" s="103"/>
      <c r="QT3076" s="106"/>
      <c r="QU3076" s="106"/>
      <c r="QV3076" s="106"/>
      <c r="QW3076" s="106"/>
      <c r="QX3076" s="106"/>
      <c r="QY3076" s="106"/>
      <c r="QZ3076" s="106"/>
      <c r="RA3076" s="106"/>
      <c r="RB3076" s="106"/>
      <c r="RC3076" s="106"/>
      <c r="RD3076" s="106"/>
      <c r="RE3076" s="106"/>
      <c r="RF3076" s="106"/>
      <c r="RG3076" s="106"/>
      <c r="RH3076" s="106"/>
      <c r="RI3076" s="106"/>
      <c r="RJ3076" s="106"/>
      <c r="RK3076" s="106"/>
      <c r="RL3076" s="106"/>
    </row>
    <row r="3077" spans="88:480" x14ac:dyDescent="0.3">
      <c r="CJ3077" s="103"/>
      <c r="FP3077" s="103"/>
      <c r="LL3077" s="103"/>
      <c r="NM3077" s="103"/>
      <c r="QT3077" s="106"/>
      <c r="QU3077" s="106"/>
      <c r="QV3077" s="106"/>
      <c r="QW3077" s="106"/>
      <c r="QX3077" s="106"/>
      <c r="QY3077" s="106"/>
      <c r="QZ3077" s="106"/>
      <c r="RA3077" s="106"/>
      <c r="RB3077" s="106"/>
      <c r="RC3077" s="106"/>
      <c r="RD3077" s="106"/>
      <c r="RE3077" s="106"/>
      <c r="RF3077" s="106"/>
      <c r="RG3077" s="106"/>
      <c r="RH3077" s="106"/>
      <c r="RI3077" s="106"/>
      <c r="RJ3077" s="106"/>
      <c r="RK3077" s="106"/>
      <c r="RL3077" s="106"/>
    </row>
    <row r="3078" spans="88:480" x14ac:dyDescent="0.3">
      <c r="CJ3078" s="103"/>
      <c r="FP3078" s="103"/>
      <c r="LL3078" s="103"/>
      <c r="NM3078" s="103"/>
      <c r="QT3078" s="106"/>
      <c r="QU3078" s="106"/>
      <c r="QV3078" s="106"/>
      <c r="QW3078" s="106"/>
      <c r="QX3078" s="106"/>
      <c r="QY3078" s="106"/>
      <c r="QZ3078" s="106"/>
      <c r="RA3078" s="106"/>
      <c r="RB3078" s="106"/>
      <c r="RC3078" s="106"/>
      <c r="RD3078" s="106"/>
      <c r="RE3078" s="106"/>
      <c r="RF3078" s="106"/>
      <c r="RG3078" s="106"/>
      <c r="RH3078" s="106"/>
      <c r="RI3078" s="106"/>
      <c r="RJ3078" s="106"/>
      <c r="RK3078" s="106"/>
      <c r="RL3078" s="106"/>
    </row>
    <row r="3079" spans="88:480" x14ac:dyDescent="0.3">
      <c r="CJ3079" s="103"/>
      <c r="FP3079" s="103"/>
      <c r="LL3079" s="103"/>
      <c r="NM3079" s="103"/>
      <c r="QT3079" s="106"/>
      <c r="QU3079" s="106"/>
      <c r="QV3079" s="106"/>
      <c r="QW3079" s="106"/>
      <c r="QX3079" s="106"/>
      <c r="QY3079" s="106"/>
      <c r="QZ3079" s="106"/>
      <c r="RA3079" s="106"/>
      <c r="RB3079" s="106"/>
      <c r="RC3079" s="106"/>
      <c r="RD3079" s="106"/>
      <c r="RE3079" s="106"/>
      <c r="RF3079" s="106"/>
      <c r="RG3079" s="106"/>
      <c r="RH3079" s="106"/>
      <c r="RI3079" s="106"/>
      <c r="RJ3079" s="106"/>
      <c r="RK3079" s="106"/>
      <c r="RL3079" s="106"/>
    </row>
    <row r="3080" spans="88:480" x14ac:dyDescent="0.3">
      <c r="CJ3080" s="103"/>
      <c r="FP3080" s="103"/>
      <c r="LL3080" s="103"/>
      <c r="NM3080" s="103"/>
      <c r="QT3080" s="106"/>
      <c r="QU3080" s="106"/>
      <c r="QV3080" s="106"/>
      <c r="QW3080" s="106"/>
      <c r="QX3080" s="106"/>
      <c r="QY3080" s="106"/>
      <c r="QZ3080" s="106"/>
      <c r="RA3080" s="106"/>
      <c r="RB3080" s="106"/>
      <c r="RC3080" s="106"/>
      <c r="RD3080" s="106"/>
      <c r="RE3080" s="106"/>
      <c r="RF3080" s="106"/>
      <c r="RG3080" s="106"/>
      <c r="RH3080" s="106"/>
      <c r="RI3080" s="106"/>
      <c r="RJ3080" s="106"/>
      <c r="RK3080" s="106"/>
      <c r="RL3080" s="106"/>
    </row>
    <row r="3081" spans="88:480" x14ac:dyDescent="0.3">
      <c r="CJ3081" s="103"/>
      <c r="FP3081" s="103"/>
      <c r="LL3081" s="103"/>
      <c r="NM3081" s="103"/>
      <c r="QT3081" s="106"/>
      <c r="QU3081" s="106"/>
      <c r="QV3081" s="106"/>
      <c r="QW3081" s="106"/>
      <c r="QX3081" s="106"/>
      <c r="QY3081" s="106"/>
      <c r="QZ3081" s="106"/>
      <c r="RA3081" s="106"/>
      <c r="RB3081" s="106"/>
      <c r="RC3081" s="106"/>
      <c r="RD3081" s="106"/>
      <c r="RE3081" s="106"/>
      <c r="RF3081" s="106"/>
      <c r="RG3081" s="106"/>
      <c r="RH3081" s="106"/>
      <c r="RI3081" s="106"/>
      <c r="RJ3081" s="106"/>
      <c r="RK3081" s="106"/>
      <c r="RL3081" s="106"/>
    </row>
    <row r="3082" spans="88:480" x14ac:dyDescent="0.3">
      <c r="CJ3082" s="103"/>
      <c r="FP3082" s="103"/>
      <c r="LL3082" s="103"/>
      <c r="NM3082" s="103"/>
      <c r="QT3082" s="106"/>
      <c r="QU3082" s="106"/>
      <c r="QV3082" s="106"/>
      <c r="QW3082" s="106"/>
      <c r="QX3082" s="106"/>
      <c r="QY3082" s="106"/>
      <c r="QZ3082" s="106"/>
      <c r="RA3082" s="106"/>
      <c r="RB3082" s="106"/>
      <c r="RC3082" s="106"/>
      <c r="RD3082" s="106"/>
      <c r="RE3082" s="106"/>
      <c r="RF3082" s="106"/>
      <c r="RG3082" s="106"/>
      <c r="RH3082" s="106"/>
      <c r="RI3082" s="106"/>
      <c r="RJ3082" s="106"/>
      <c r="RK3082" s="106"/>
      <c r="RL3082" s="106"/>
    </row>
    <row r="3083" spans="88:480" x14ac:dyDescent="0.3">
      <c r="CJ3083" s="103"/>
      <c r="FP3083" s="103"/>
      <c r="LL3083" s="103"/>
      <c r="NM3083" s="103"/>
      <c r="QT3083" s="106"/>
      <c r="QU3083" s="106"/>
      <c r="QV3083" s="106"/>
      <c r="QW3083" s="106"/>
      <c r="QX3083" s="106"/>
      <c r="QY3083" s="106"/>
      <c r="QZ3083" s="106"/>
      <c r="RA3083" s="106"/>
      <c r="RB3083" s="106"/>
      <c r="RC3083" s="106"/>
      <c r="RD3083" s="106"/>
      <c r="RE3083" s="106"/>
      <c r="RF3083" s="106"/>
      <c r="RG3083" s="106"/>
      <c r="RH3083" s="106"/>
      <c r="RI3083" s="106"/>
      <c r="RJ3083" s="106"/>
      <c r="RK3083" s="106"/>
      <c r="RL3083" s="106"/>
    </row>
    <row r="3084" spans="88:480" x14ac:dyDescent="0.3">
      <c r="CJ3084" s="103"/>
      <c r="FP3084" s="103"/>
      <c r="LL3084" s="103"/>
      <c r="NM3084" s="103"/>
      <c r="QT3084" s="106"/>
      <c r="QU3084" s="106"/>
      <c r="QV3084" s="106"/>
      <c r="QW3084" s="106"/>
      <c r="QX3084" s="106"/>
      <c r="QY3084" s="106"/>
      <c r="QZ3084" s="106"/>
      <c r="RA3084" s="106"/>
      <c r="RB3084" s="106"/>
      <c r="RC3084" s="106"/>
      <c r="RD3084" s="106"/>
      <c r="RE3084" s="106"/>
      <c r="RF3084" s="106"/>
      <c r="RG3084" s="106"/>
      <c r="RH3084" s="106"/>
      <c r="RI3084" s="106"/>
      <c r="RJ3084" s="106"/>
      <c r="RK3084" s="106"/>
      <c r="RL3084" s="106"/>
    </row>
    <row r="3085" spans="88:480" x14ac:dyDescent="0.3">
      <c r="CJ3085" s="103"/>
      <c r="FP3085" s="103"/>
      <c r="LL3085" s="103"/>
      <c r="NM3085" s="103"/>
      <c r="QT3085" s="106"/>
      <c r="QU3085" s="106"/>
      <c r="QV3085" s="106"/>
      <c r="QW3085" s="106"/>
      <c r="QX3085" s="106"/>
      <c r="QY3085" s="106"/>
      <c r="QZ3085" s="106"/>
      <c r="RA3085" s="106"/>
      <c r="RB3085" s="106"/>
      <c r="RC3085" s="106"/>
      <c r="RD3085" s="106"/>
      <c r="RE3085" s="106"/>
      <c r="RF3085" s="106"/>
      <c r="RG3085" s="106"/>
      <c r="RH3085" s="106"/>
      <c r="RI3085" s="106"/>
      <c r="RJ3085" s="106"/>
      <c r="RK3085" s="106"/>
      <c r="RL3085" s="106"/>
    </row>
    <row r="3086" spans="88:480" x14ac:dyDescent="0.3">
      <c r="CJ3086" s="103"/>
      <c r="FP3086" s="103"/>
      <c r="LL3086" s="103"/>
      <c r="NM3086" s="103"/>
      <c r="QT3086" s="106"/>
      <c r="QU3086" s="106"/>
      <c r="QV3086" s="106"/>
      <c r="QW3086" s="106"/>
      <c r="QX3086" s="106"/>
      <c r="QY3086" s="106"/>
      <c r="QZ3086" s="106"/>
      <c r="RA3086" s="106"/>
      <c r="RB3086" s="106"/>
      <c r="RC3086" s="106"/>
      <c r="RD3086" s="106"/>
      <c r="RE3086" s="106"/>
      <c r="RF3086" s="106"/>
      <c r="RG3086" s="106"/>
      <c r="RH3086" s="106"/>
      <c r="RI3086" s="106"/>
      <c r="RJ3086" s="106"/>
      <c r="RK3086" s="106"/>
      <c r="RL3086" s="106"/>
    </row>
    <row r="3087" spans="88:480" x14ac:dyDescent="0.3">
      <c r="CJ3087" s="103"/>
      <c r="FP3087" s="103"/>
      <c r="LL3087" s="103"/>
      <c r="NM3087" s="103"/>
      <c r="QT3087" s="106"/>
      <c r="QU3087" s="106"/>
      <c r="QV3087" s="106"/>
      <c r="QW3087" s="106"/>
      <c r="QX3087" s="106"/>
      <c r="QY3087" s="106"/>
      <c r="QZ3087" s="106"/>
      <c r="RA3087" s="106"/>
      <c r="RB3087" s="106"/>
      <c r="RC3087" s="106"/>
      <c r="RD3087" s="106"/>
      <c r="RE3087" s="106"/>
      <c r="RF3087" s="106"/>
      <c r="RG3087" s="106"/>
      <c r="RH3087" s="106"/>
      <c r="RI3087" s="106"/>
      <c r="RJ3087" s="106"/>
      <c r="RK3087" s="106"/>
      <c r="RL3087" s="106"/>
    </row>
    <row r="3088" spans="88:480" x14ac:dyDescent="0.3">
      <c r="CJ3088" s="103"/>
      <c r="FP3088" s="103"/>
      <c r="LL3088" s="103"/>
      <c r="NM3088" s="103"/>
      <c r="QT3088" s="106"/>
      <c r="QU3088" s="106"/>
      <c r="QV3088" s="106"/>
      <c r="QW3088" s="106"/>
      <c r="QX3088" s="106"/>
      <c r="QY3088" s="106"/>
      <c r="QZ3088" s="106"/>
      <c r="RA3088" s="106"/>
      <c r="RB3088" s="106"/>
      <c r="RC3088" s="106"/>
      <c r="RD3088" s="106"/>
      <c r="RE3088" s="106"/>
      <c r="RF3088" s="106"/>
      <c r="RG3088" s="106"/>
      <c r="RH3088" s="106"/>
      <c r="RI3088" s="106"/>
      <c r="RJ3088" s="106"/>
      <c r="RK3088" s="106"/>
      <c r="RL3088" s="106"/>
    </row>
    <row r="3089" spans="88:480" x14ac:dyDescent="0.3">
      <c r="CJ3089" s="103"/>
      <c r="FP3089" s="103"/>
      <c r="LL3089" s="103"/>
      <c r="NM3089" s="103"/>
      <c r="QT3089" s="106"/>
      <c r="QU3089" s="106"/>
      <c r="QV3089" s="106"/>
      <c r="QW3089" s="106"/>
      <c r="QX3089" s="106"/>
      <c r="QY3089" s="106"/>
      <c r="QZ3089" s="106"/>
      <c r="RA3089" s="106"/>
      <c r="RB3089" s="106"/>
      <c r="RC3089" s="106"/>
      <c r="RD3089" s="106"/>
      <c r="RE3089" s="106"/>
      <c r="RF3089" s="106"/>
      <c r="RG3089" s="106"/>
      <c r="RH3089" s="106"/>
      <c r="RI3089" s="106"/>
      <c r="RJ3089" s="106"/>
      <c r="RK3089" s="106"/>
      <c r="RL3089" s="106"/>
    </row>
    <row r="3090" spans="88:480" x14ac:dyDescent="0.3">
      <c r="CJ3090" s="103"/>
      <c r="FP3090" s="103"/>
      <c r="LL3090" s="103"/>
      <c r="NM3090" s="103"/>
      <c r="QT3090" s="106"/>
      <c r="QU3090" s="106"/>
      <c r="QV3090" s="106"/>
      <c r="QW3090" s="106"/>
      <c r="QX3090" s="106"/>
      <c r="QY3090" s="106"/>
      <c r="QZ3090" s="106"/>
      <c r="RA3090" s="106"/>
      <c r="RB3090" s="106"/>
      <c r="RC3090" s="106"/>
      <c r="RD3090" s="106"/>
      <c r="RE3090" s="106"/>
      <c r="RF3090" s="106"/>
      <c r="RG3090" s="106"/>
      <c r="RH3090" s="106"/>
      <c r="RI3090" s="106"/>
      <c r="RJ3090" s="106"/>
      <c r="RK3090" s="106"/>
      <c r="RL3090" s="106"/>
    </row>
    <row r="3091" spans="88:480" x14ac:dyDescent="0.3">
      <c r="CJ3091" s="103"/>
      <c r="FP3091" s="103"/>
      <c r="LL3091" s="103"/>
      <c r="NM3091" s="103"/>
      <c r="QT3091" s="106"/>
      <c r="QU3091" s="106"/>
      <c r="QV3091" s="106"/>
      <c r="QW3091" s="106"/>
      <c r="QX3091" s="106"/>
      <c r="QY3091" s="106"/>
      <c r="QZ3091" s="106"/>
      <c r="RA3091" s="106"/>
      <c r="RB3091" s="106"/>
      <c r="RC3091" s="106"/>
      <c r="RD3091" s="106"/>
      <c r="RE3091" s="106"/>
      <c r="RF3091" s="106"/>
      <c r="RG3091" s="106"/>
      <c r="RH3091" s="106"/>
      <c r="RI3091" s="106"/>
      <c r="RJ3091" s="106"/>
      <c r="RK3091" s="106"/>
      <c r="RL3091" s="106"/>
    </row>
    <row r="3092" spans="88:480" x14ac:dyDescent="0.3">
      <c r="CJ3092" s="103"/>
      <c r="FP3092" s="103"/>
      <c r="LL3092" s="103"/>
      <c r="NM3092" s="103"/>
      <c r="QT3092" s="106"/>
      <c r="QU3092" s="106"/>
      <c r="QV3092" s="106"/>
      <c r="QW3092" s="106"/>
      <c r="QX3092" s="106"/>
      <c r="QY3092" s="106"/>
      <c r="QZ3092" s="106"/>
      <c r="RA3092" s="106"/>
      <c r="RB3092" s="106"/>
      <c r="RC3092" s="106"/>
      <c r="RD3092" s="106"/>
      <c r="RE3092" s="106"/>
      <c r="RF3092" s="106"/>
      <c r="RG3092" s="106"/>
      <c r="RH3092" s="106"/>
      <c r="RI3092" s="106"/>
      <c r="RJ3092" s="106"/>
      <c r="RK3092" s="106"/>
      <c r="RL3092" s="106"/>
    </row>
    <row r="3093" spans="88:480" x14ac:dyDescent="0.3">
      <c r="CJ3093" s="103"/>
      <c r="FP3093" s="103"/>
      <c r="LL3093" s="103"/>
      <c r="NM3093" s="103"/>
      <c r="QT3093" s="106"/>
      <c r="QU3093" s="106"/>
      <c r="QV3093" s="106"/>
      <c r="QW3093" s="106"/>
      <c r="QX3093" s="106"/>
      <c r="QY3093" s="106"/>
      <c r="QZ3093" s="106"/>
      <c r="RA3093" s="106"/>
      <c r="RB3093" s="106"/>
      <c r="RC3093" s="106"/>
      <c r="RD3093" s="106"/>
      <c r="RE3093" s="106"/>
      <c r="RF3093" s="106"/>
      <c r="RG3093" s="106"/>
      <c r="RH3093" s="106"/>
      <c r="RI3093" s="106"/>
      <c r="RJ3093" s="106"/>
      <c r="RK3093" s="106"/>
      <c r="RL3093" s="106"/>
    </row>
    <row r="3094" spans="88:480" x14ac:dyDescent="0.3">
      <c r="CJ3094" s="103"/>
      <c r="FP3094" s="103"/>
      <c r="LL3094" s="103"/>
      <c r="NM3094" s="103"/>
      <c r="QT3094" s="106"/>
      <c r="QU3094" s="106"/>
      <c r="QV3094" s="106"/>
      <c r="QW3094" s="106"/>
      <c r="QX3094" s="106"/>
      <c r="QY3094" s="106"/>
      <c r="QZ3094" s="106"/>
      <c r="RA3094" s="106"/>
      <c r="RB3094" s="106"/>
      <c r="RC3094" s="106"/>
      <c r="RD3094" s="106"/>
      <c r="RE3094" s="106"/>
      <c r="RF3094" s="106"/>
      <c r="RG3094" s="106"/>
      <c r="RH3094" s="106"/>
      <c r="RI3094" s="106"/>
      <c r="RJ3094" s="106"/>
      <c r="RK3094" s="106"/>
      <c r="RL3094" s="106"/>
    </row>
    <row r="3095" spans="88:480" x14ac:dyDescent="0.3">
      <c r="CJ3095" s="103"/>
      <c r="FP3095" s="103"/>
      <c r="LL3095" s="103"/>
      <c r="NM3095" s="103"/>
      <c r="QT3095" s="106"/>
      <c r="QU3095" s="106"/>
      <c r="QV3095" s="106"/>
      <c r="QW3095" s="106"/>
      <c r="QX3095" s="106"/>
      <c r="QY3095" s="106"/>
      <c r="QZ3095" s="106"/>
      <c r="RA3095" s="106"/>
      <c r="RB3095" s="106"/>
      <c r="RC3095" s="106"/>
      <c r="RD3095" s="106"/>
      <c r="RE3095" s="106"/>
      <c r="RF3095" s="106"/>
      <c r="RG3095" s="106"/>
      <c r="RH3095" s="106"/>
      <c r="RI3095" s="106"/>
      <c r="RJ3095" s="106"/>
      <c r="RK3095" s="106"/>
      <c r="RL3095" s="106"/>
    </row>
    <row r="3096" spans="88:480" x14ac:dyDescent="0.3">
      <c r="CJ3096" s="103"/>
      <c r="FP3096" s="103"/>
      <c r="LL3096" s="103"/>
      <c r="NM3096" s="103"/>
      <c r="QT3096" s="106"/>
      <c r="QU3096" s="106"/>
      <c r="QV3096" s="106"/>
      <c r="QW3096" s="106"/>
      <c r="QX3096" s="106"/>
      <c r="QY3096" s="106"/>
      <c r="QZ3096" s="106"/>
      <c r="RA3096" s="106"/>
      <c r="RB3096" s="106"/>
      <c r="RC3096" s="106"/>
      <c r="RD3096" s="106"/>
      <c r="RE3096" s="106"/>
      <c r="RF3096" s="106"/>
      <c r="RG3096" s="106"/>
      <c r="RH3096" s="106"/>
      <c r="RI3096" s="106"/>
      <c r="RJ3096" s="106"/>
      <c r="RK3096" s="106"/>
      <c r="RL3096" s="106"/>
    </row>
    <row r="3097" spans="88:480" x14ac:dyDescent="0.3">
      <c r="CJ3097" s="103"/>
      <c r="FP3097" s="103"/>
      <c r="LL3097" s="103"/>
      <c r="NM3097" s="103"/>
      <c r="QT3097" s="106"/>
      <c r="QU3097" s="106"/>
      <c r="QV3097" s="106"/>
      <c r="QW3097" s="106"/>
      <c r="QX3097" s="106"/>
      <c r="QY3097" s="106"/>
      <c r="QZ3097" s="106"/>
      <c r="RA3097" s="106"/>
      <c r="RB3097" s="106"/>
      <c r="RC3097" s="106"/>
      <c r="RD3097" s="106"/>
      <c r="RE3097" s="106"/>
      <c r="RF3097" s="106"/>
      <c r="RG3097" s="106"/>
      <c r="RH3097" s="106"/>
      <c r="RI3097" s="106"/>
      <c r="RJ3097" s="106"/>
      <c r="RK3097" s="106"/>
      <c r="RL3097" s="106"/>
    </row>
    <row r="3098" spans="88:480" x14ac:dyDescent="0.3">
      <c r="CJ3098" s="103"/>
      <c r="FP3098" s="103"/>
      <c r="LL3098" s="103"/>
      <c r="NM3098" s="103"/>
      <c r="QT3098" s="106"/>
      <c r="QU3098" s="106"/>
      <c r="QV3098" s="106"/>
      <c r="QW3098" s="106"/>
      <c r="QX3098" s="106"/>
      <c r="QY3098" s="106"/>
      <c r="QZ3098" s="106"/>
      <c r="RA3098" s="106"/>
      <c r="RB3098" s="106"/>
      <c r="RC3098" s="106"/>
      <c r="RD3098" s="106"/>
      <c r="RE3098" s="106"/>
      <c r="RF3098" s="106"/>
      <c r="RG3098" s="106"/>
      <c r="RH3098" s="106"/>
      <c r="RI3098" s="106"/>
      <c r="RJ3098" s="106"/>
      <c r="RK3098" s="106"/>
      <c r="RL3098" s="106"/>
    </row>
    <row r="3099" spans="88:480" x14ac:dyDescent="0.3">
      <c r="CJ3099" s="103"/>
      <c r="FP3099" s="103"/>
      <c r="LL3099" s="103"/>
      <c r="NM3099" s="103"/>
      <c r="QT3099" s="106"/>
      <c r="QU3099" s="106"/>
      <c r="QV3099" s="106"/>
      <c r="QW3099" s="106"/>
      <c r="QX3099" s="106"/>
      <c r="QY3099" s="106"/>
      <c r="QZ3099" s="106"/>
      <c r="RA3099" s="106"/>
      <c r="RB3099" s="106"/>
      <c r="RC3099" s="106"/>
      <c r="RD3099" s="106"/>
      <c r="RE3099" s="106"/>
      <c r="RF3099" s="106"/>
      <c r="RG3099" s="106"/>
      <c r="RH3099" s="106"/>
      <c r="RI3099" s="106"/>
      <c r="RJ3099" s="106"/>
      <c r="RK3099" s="106"/>
      <c r="RL3099" s="106"/>
    </row>
    <row r="3100" spans="88:480" x14ac:dyDescent="0.3">
      <c r="CJ3100" s="103"/>
      <c r="FP3100" s="103"/>
      <c r="LL3100" s="103"/>
      <c r="NM3100" s="103"/>
      <c r="QT3100" s="106"/>
      <c r="QU3100" s="106"/>
      <c r="QV3100" s="106"/>
      <c r="QW3100" s="106"/>
      <c r="QX3100" s="106"/>
      <c r="QY3100" s="106"/>
      <c r="QZ3100" s="106"/>
      <c r="RA3100" s="106"/>
      <c r="RB3100" s="106"/>
      <c r="RC3100" s="106"/>
      <c r="RD3100" s="106"/>
      <c r="RE3100" s="106"/>
      <c r="RF3100" s="106"/>
      <c r="RG3100" s="106"/>
      <c r="RH3100" s="106"/>
      <c r="RI3100" s="106"/>
      <c r="RJ3100" s="106"/>
      <c r="RK3100" s="106"/>
      <c r="RL3100" s="106"/>
    </row>
    <row r="3101" spans="88:480" x14ac:dyDescent="0.3">
      <c r="CJ3101" s="103"/>
      <c r="FP3101" s="103"/>
      <c r="LL3101" s="103"/>
      <c r="NM3101" s="103"/>
      <c r="QT3101" s="106"/>
      <c r="QU3101" s="106"/>
      <c r="QV3101" s="106"/>
      <c r="QW3101" s="106"/>
      <c r="QX3101" s="106"/>
      <c r="QY3101" s="106"/>
      <c r="QZ3101" s="106"/>
      <c r="RA3101" s="106"/>
      <c r="RB3101" s="106"/>
      <c r="RC3101" s="106"/>
      <c r="RD3101" s="106"/>
      <c r="RE3101" s="106"/>
      <c r="RF3101" s="106"/>
      <c r="RG3101" s="106"/>
      <c r="RH3101" s="106"/>
      <c r="RI3101" s="106"/>
      <c r="RJ3101" s="106"/>
      <c r="RK3101" s="106"/>
      <c r="RL3101" s="106"/>
    </row>
    <row r="3102" spans="88:480" x14ac:dyDescent="0.3">
      <c r="CJ3102" s="103"/>
      <c r="FP3102" s="103"/>
      <c r="LL3102" s="103"/>
      <c r="NM3102" s="103"/>
      <c r="QT3102" s="106"/>
      <c r="QU3102" s="106"/>
      <c r="QV3102" s="106"/>
      <c r="QW3102" s="106"/>
      <c r="QX3102" s="106"/>
      <c r="QY3102" s="106"/>
      <c r="QZ3102" s="106"/>
      <c r="RA3102" s="106"/>
      <c r="RB3102" s="106"/>
      <c r="RC3102" s="106"/>
      <c r="RD3102" s="106"/>
      <c r="RE3102" s="106"/>
      <c r="RF3102" s="106"/>
      <c r="RG3102" s="106"/>
      <c r="RH3102" s="106"/>
      <c r="RI3102" s="106"/>
      <c r="RJ3102" s="106"/>
      <c r="RK3102" s="106"/>
      <c r="RL3102" s="106"/>
    </row>
    <row r="3103" spans="88:480" x14ac:dyDescent="0.3">
      <c r="CJ3103" s="103"/>
      <c r="FP3103" s="103"/>
      <c r="LL3103" s="103"/>
      <c r="NM3103" s="103"/>
      <c r="QT3103" s="106"/>
      <c r="QU3103" s="106"/>
      <c r="QV3103" s="106"/>
      <c r="QW3103" s="106"/>
      <c r="QX3103" s="106"/>
      <c r="QY3103" s="106"/>
      <c r="QZ3103" s="106"/>
      <c r="RA3103" s="106"/>
      <c r="RB3103" s="106"/>
      <c r="RC3103" s="106"/>
      <c r="RD3103" s="106"/>
      <c r="RE3103" s="106"/>
      <c r="RF3103" s="106"/>
      <c r="RG3103" s="106"/>
      <c r="RH3103" s="106"/>
      <c r="RI3103" s="106"/>
      <c r="RJ3103" s="106"/>
      <c r="RK3103" s="106"/>
      <c r="RL3103" s="106"/>
    </row>
    <row r="3104" spans="88:480" x14ac:dyDescent="0.3">
      <c r="CJ3104" s="103"/>
      <c r="FP3104" s="103"/>
      <c r="LL3104" s="103"/>
      <c r="NM3104" s="103"/>
      <c r="QT3104" s="106"/>
      <c r="QU3104" s="106"/>
      <c r="QV3104" s="106"/>
      <c r="QW3104" s="106"/>
      <c r="QX3104" s="106"/>
      <c r="QY3104" s="106"/>
      <c r="QZ3104" s="106"/>
      <c r="RA3104" s="106"/>
      <c r="RB3104" s="106"/>
      <c r="RC3104" s="106"/>
      <c r="RD3104" s="106"/>
      <c r="RE3104" s="106"/>
      <c r="RF3104" s="106"/>
      <c r="RG3104" s="106"/>
      <c r="RH3104" s="106"/>
      <c r="RI3104" s="106"/>
      <c r="RJ3104" s="106"/>
      <c r="RK3104" s="106"/>
      <c r="RL3104" s="106"/>
    </row>
    <row r="3105" spans="88:480" x14ac:dyDescent="0.3">
      <c r="CJ3105" s="103"/>
      <c r="FP3105" s="103"/>
      <c r="LL3105" s="103"/>
      <c r="NM3105" s="103"/>
      <c r="QT3105" s="106"/>
      <c r="QU3105" s="106"/>
      <c r="QV3105" s="106"/>
      <c r="QW3105" s="106"/>
      <c r="QX3105" s="106"/>
      <c r="QY3105" s="106"/>
      <c r="QZ3105" s="106"/>
      <c r="RA3105" s="106"/>
      <c r="RB3105" s="106"/>
      <c r="RC3105" s="106"/>
      <c r="RD3105" s="106"/>
      <c r="RE3105" s="106"/>
      <c r="RF3105" s="106"/>
      <c r="RG3105" s="106"/>
      <c r="RH3105" s="106"/>
      <c r="RI3105" s="106"/>
      <c r="RJ3105" s="106"/>
      <c r="RK3105" s="106"/>
      <c r="RL3105" s="106"/>
    </row>
    <row r="3106" spans="88:480" x14ac:dyDescent="0.3">
      <c r="CJ3106" s="103"/>
      <c r="FP3106" s="103"/>
      <c r="LL3106" s="103"/>
      <c r="NM3106" s="103"/>
      <c r="QT3106" s="106"/>
      <c r="QU3106" s="106"/>
      <c r="QV3106" s="106"/>
      <c r="QW3106" s="106"/>
      <c r="QX3106" s="106"/>
      <c r="QY3106" s="106"/>
      <c r="QZ3106" s="106"/>
      <c r="RA3106" s="106"/>
      <c r="RB3106" s="106"/>
      <c r="RC3106" s="106"/>
      <c r="RD3106" s="106"/>
      <c r="RE3106" s="106"/>
      <c r="RF3106" s="106"/>
      <c r="RG3106" s="106"/>
      <c r="RH3106" s="106"/>
      <c r="RI3106" s="106"/>
      <c r="RJ3106" s="106"/>
      <c r="RK3106" s="106"/>
      <c r="RL3106" s="106"/>
    </row>
    <row r="3107" spans="88:480" x14ac:dyDescent="0.3">
      <c r="CJ3107" s="103"/>
      <c r="FP3107" s="103"/>
      <c r="LL3107" s="103"/>
      <c r="NM3107" s="103"/>
      <c r="QT3107" s="106"/>
      <c r="QU3107" s="106"/>
      <c r="QV3107" s="106"/>
      <c r="QW3107" s="106"/>
      <c r="QX3107" s="106"/>
      <c r="QY3107" s="106"/>
      <c r="QZ3107" s="106"/>
      <c r="RA3107" s="106"/>
      <c r="RB3107" s="106"/>
      <c r="RC3107" s="106"/>
      <c r="RD3107" s="106"/>
      <c r="RE3107" s="106"/>
      <c r="RF3107" s="106"/>
      <c r="RG3107" s="106"/>
      <c r="RH3107" s="106"/>
      <c r="RI3107" s="106"/>
      <c r="RJ3107" s="106"/>
      <c r="RK3107" s="106"/>
      <c r="RL3107" s="106"/>
    </row>
    <row r="3108" spans="88:480" x14ac:dyDescent="0.3">
      <c r="CJ3108" s="103"/>
      <c r="FP3108" s="103"/>
      <c r="LL3108" s="103"/>
      <c r="NM3108" s="103"/>
      <c r="QT3108" s="106"/>
      <c r="QU3108" s="106"/>
      <c r="QV3108" s="106"/>
      <c r="QW3108" s="106"/>
      <c r="QX3108" s="106"/>
      <c r="QY3108" s="106"/>
      <c r="QZ3108" s="106"/>
      <c r="RA3108" s="106"/>
      <c r="RB3108" s="106"/>
      <c r="RC3108" s="106"/>
      <c r="RD3108" s="106"/>
      <c r="RE3108" s="106"/>
      <c r="RF3108" s="106"/>
      <c r="RG3108" s="106"/>
      <c r="RH3108" s="106"/>
      <c r="RI3108" s="106"/>
      <c r="RJ3108" s="106"/>
      <c r="RK3108" s="106"/>
      <c r="RL3108" s="106"/>
    </row>
    <row r="3109" spans="88:480" x14ac:dyDescent="0.3">
      <c r="CJ3109" s="103"/>
      <c r="FP3109" s="103"/>
      <c r="LL3109" s="103"/>
      <c r="NM3109" s="103"/>
      <c r="QT3109" s="106"/>
      <c r="QU3109" s="106"/>
      <c r="QV3109" s="106"/>
      <c r="QW3109" s="106"/>
      <c r="QX3109" s="106"/>
      <c r="QY3109" s="106"/>
      <c r="QZ3109" s="106"/>
      <c r="RA3109" s="106"/>
      <c r="RB3109" s="106"/>
      <c r="RC3109" s="106"/>
      <c r="RD3109" s="106"/>
      <c r="RE3109" s="106"/>
      <c r="RF3109" s="106"/>
      <c r="RG3109" s="106"/>
      <c r="RH3109" s="106"/>
      <c r="RI3109" s="106"/>
      <c r="RJ3109" s="106"/>
      <c r="RK3109" s="106"/>
      <c r="RL3109" s="106"/>
    </row>
    <row r="3110" spans="88:480" x14ac:dyDescent="0.3">
      <c r="CJ3110" s="103"/>
      <c r="FP3110" s="103"/>
      <c r="LL3110" s="103"/>
      <c r="NM3110" s="103"/>
      <c r="QT3110" s="106"/>
      <c r="QU3110" s="106"/>
      <c r="QV3110" s="106"/>
      <c r="QW3110" s="106"/>
      <c r="QX3110" s="106"/>
      <c r="QY3110" s="106"/>
      <c r="QZ3110" s="106"/>
      <c r="RA3110" s="106"/>
      <c r="RB3110" s="106"/>
      <c r="RC3110" s="106"/>
      <c r="RD3110" s="106"/>
      <c r="RE3110" s="106"/>
      <c r="RF3110" s="106"/>
      <c r="RG3110" s="106"/>
      <c r="RH3110" s="106"/>
      <c r="RI3110" s="106"/>
      <c r="RJ3110" s="106"/>
      <c r="RK3110" s="106"/>
      <c r="RL3110" s="106"/>
    </row>
    <row r="3111" spans="88:480" x14ac:dyDescent="0.3">
      <c r="CJ3111" s="103"/>
      <c r="FP3111" s="103"/>
      <c r="LL3111" s="103"/>
      <c r="NM3111" s="103"/>
      <c r="QT3111" s="106"/>
      <c r="QU3111" s="106"/>
      <c r="QV3111" s="106"/>
      <c r="QW3111" s="106"/>
      <c r="QX3111" s="106"/>
      <c r="QY3111" s="106"/>
      <c r="QZ3111" s="106"/>
      <c r="RA3111" s="106"/>
      <c r="RB3111" s="106"/>
      <c r="RC3111" s="106"/>
      <c r="RD3111" s="106"/>
      <c r="RE3111" s="106"/>
      <c r="RF3111" s="106"/>
      <c r="RG3111" s="106"/>
      <c r="RH3111" s="106"/>
      <c r="RI3111" s="106"/>
      <c r="RJ3111" s="106"/>
      <c r="RK3111" s="106"/>
      <c r="RL3111" s="106"/>
    </row>
    <row r="3112" spans="88:480" x14ac:dyDescent="0.3">
      <c r="CJ3112" s="103"/>
      <c r="FP3112" s="103"/>
      <c r="LL3112" s="103"/>
      <c r="NM3112" s="103"/>
      <c r="QT3112" s="106"/>
      <c r="QU3112" s="106"/>
      <c r="QV3112" s="106"/>
      <c r="QW3112" s="106"/>
      <c r="QX3112" s="106"/>
      <c r="QY3112" s="106"/>
      <c r="QZ3112" s="106"/>
      <c r="RA3112" s="106"/>
      <c r="RB3112" s="106"/>
      <c r="RC3112" s="106"/>
      <c r="RD3112" s="106"/>
      <c r="RE3112" s="106"/>
      <c r="RF3112" s="106"/>
      <c r="RG3112" s="106"/>
      <c r="RH3112" s="106"/>
      <c r="RI3112" s="106"/>
      <c r="RJ3112" s="106"/>
      <c r="RK3112" s="106"/>
      <c r="RL3112" s="106"/>
    </row>
    <row r="3113" spans="88:480" x14ac:dyDescent="0.3">
      <c r="CJ3113" s="103"/>
      <c r="FP3113" s="103"/>
      <c r="LL3113" s="103"/>
      <c r="NM3113" s="103"/>
      <c r="QT3113" s="106"/>
      <c r="QU3113" s="106"/>
      <c r="QV3113" s="106"/>
      <c r="QW3113" s="106"/>
      <c r="QX3113" s="106"/>
      <c r="QY3113" s="106"/>
      <c r="QZ3113" s="106"/>
      <c r="RA3113" s="106"/>
      <c r="RB3113" s="106"/>
      <c r="RC3113" s="106"/>
      <c r="RD3113" s="106"/>
      <c r="RE3113" s="106"/>
      <c r="RF3113" s="106"/>
      <c r="RG3113" s="106"/>
      <c r="RH3113" s="106"/>
      <c r="RI3113" s="106"/>
      <c r="RJ3113" s="106"/>
      <c r="RK3113" s="106"/>
      <c r="RL3113" s="106"/>
    </row>
    <row r="3114" spans="88:480" x14ac:dyDescent="0.3">
      <c r="CJ3114" s="103"/>
      <c r="FP3114" s="103"/>
      <c r="LL3114" s="103"/>
      <c r="NM3114" s="103"/>
      <c r="QT3114" s="106"/>
      <c r="QU3114" s="106"/>
      <c r="QV3114" s="106"/>
      <c r="QW3114" s="106"/>
      <c r="QX3114" s="106"/>
      <c r="QY3114" s="106"/>
      <c r="QZ3114" s="106"/>
      <c r="RA3114" s="106"/>
      <c r="RB3114" s="106"/>
      <c r="RC3114" s="106"/>
      <c r="RD3114" s="106"/>
      <c r="RE3114" s="106"/>
      <c r="RF3114" s="106"/>
      <c r="RG3114" s="106"/>
      <c r="RH3114" s="106"/>
      <c r="RI3114" s="106"/>
      <c r="RJ3114" s="106"/>
      <c r="RK3114" s="106"/>
      <c r="RL3114" s="106"/>
    </row>
    <row r="3115" spans="88:480" x14ac:dyDescent="0.3">
      <c r="CJ3115" s="103"/>
      <c r="FP3115" s="103"/>
      <c r="LL3115" s="103"/>
      <c r="NM3115" s="103"/>
      <c r="QT3115" s="106"/>
      <c r="QU3115" s="106"/>
      <c r="QV3115" s="106"/>
      <c r="QW3115" s="106"/>
      <c r="QX3115" s="106"/>
      <c r="QY3115" s="106"/>
      <c r="QZ3115" s="106"/>
      <c r="RA3115" s="106"/>
      <c r="RB3115" s="106"/>
      <c r="RC3115" s="106"/>
      <c r="RD3115" s="106"/>
      <c r="RE3115" s="106"/>
      <c r="RF3115" s="106"/>
      <c r="RG3115" s="106"/>
      <c r="RH3115" s="106"/>
      <c r="RI3115" s="106"/>
      <c r="RJ3115" s="106"/>
      <c r="RK3115" s="106"/>
      <c r="RL3115" s="106"/>
    </row>
    <row r="3116" spans="88:480" x14ac:dyDescent="0.3">
      <c r="CJ3116" s="103"/>
      <c r="FP3116" s="103"/>
      <c r="LL3116" s="103"/>
      <c r="NM3116" s="103"/>
      <c r="QT3116" s="106"/>
      <c r="QU3116" s="106"/>
      <c r="QV3116" s="106"/>
      <c r="QW3116" s="106"/>
      <c r="QX3116" s="106"/>
      <c r="QY3116" s="106"/>
      <c r="QZ3116" s="106"/>
      <c r="RA3116" s="106"/>
      <c r="RB3116" s="106"/>
      <c r="RC3116" s="106"/>
      <c r="RD3116" s="106"/>
      <c r="RE3116" s="106"/>
      <c r="RF3116" s="106"/>
      <c r="RG3116" s="106"/>
      <c r="RH3116" s="106"/>
      <c r="RI3116" s="106"/>
      <c r="RJ3116" s="106"/>
      <c r="RK3116" s="106"/>
      <c r="RL3116" s="106"/>
    </row>
    <row r="3117" spans="88:480" x14ac:dyDescent="0.3">
      <c r="CJ3117" s="103"/>
      <c r="FP3117" s="103"/>
      <c r="LL3117" s="103"/>
      <c r="NM3117" s="103"/>
      <c r="QT3117" s="106"/>
      <c r="QU3117" s="106"/>
      <c r="QV3117" s="106"/>
      <c r="QW3117" s="106"/>
      <c r="QX3117" s="106"/>
      <c r="QY3117" s="106"/>
      <c r="QZ3117" s="106"/>
      <c r="RA3117" s="106"/>
      <c r="RB3117" s="106"/>
      <c r="RC3117" s="106"/>
      <c r="RD3117" s="106"/>
      <c r="RE3117" s="106"/>
      <c r="RF3117" s="106"/>
      <c r="RG3117" s="106"/>
      <c r="RH3117" s="106"/>
      <c r="RI3117" s="106"/>
      <c r="RJ3117" s="106"/>
      <c r="RK3117" s="106"/>
      <c r="RL3117" s="106"/>
    </row>
    <row r="3118" spans="88:480" x14ac:dyDescent="0.3">
      <c r="CJ3118" s="103"/>
      <c r="FP3118" s="103"/>
      <c r="LL3118" s="103"/>
      <c r="NM3118" s="103"/>
      <c r="QT3118" s="106"/>
      <c r="QU3118" s="106"/>
      <c r="QV3118" s="106"/>
      <c r="QW3118" s="106"/>
      <c r="QX3118" s="106"/>
      <c r="QY3118" s="106"/>
      <c r="QZ3118" s="106"/>
      <c r="RA3118" s="106"/>
      <c r="RB3118" s="106"/>
      <c r="RC3118" s="106"/>
      <c r="RD3118" s="106"/>
      <c r="RE3118" s="106"/>
      <c r="RF3118" s="106"/>
      <c r="RG3118" s="106"/>
      <c r="RH3118" s="106"/>
      <c r="RI3118" s="106"/>
      <c r="RJ3118" s="106"/>
      <c r="RK3118" s="106"/>
      <c r="RL3118" s="106"/>
    </row>
    <row r="3119" spans="88:480" x14ac:dyDescent="0.3">
      <c r="CJ3119" s="103"/>
      <c r="FP3119" s="103"/>
      <c r="LL3119" s="103"/>
      <c r="NM3119" s="103"/>
      <c r="QT3119" s="106"/>
      <c r="QU3119" s="106"/>
      <c r="QV3119" s="106"/>
      <c r="QW3119" s="106"/>
      <c r="QX3119" s="106"/>
      <c r="QY3119" s="106"/>
      <c r="QZ3119" s="106"/>
      <c r="RA3119" s="106"/>
      <c r="RB3119" s="106"/>
      <c r="RC3119" s="106"/>
      <c r="RD3119" s="106"/>
      <c r="RE3119" s="106"/>
      <c r="RF3119" s="106"/>
      <c r="RG3119" s="106"/>
      <c r="RH3119" s="106"/>
      <c r="RI3119" s="106"/>
      <c r="RJ3119" s="106"/>
      <c r="RK3119" s="106"/>
      <c r="RL3119" s="106"/>
    </row>
    <row r="3120" spans="88:480" x14ac:dyDescent="0.3">
      <c r="CJ3120" s="103"/>
      <c r="FP3120" s="103"/>
      <c r="LL3120" s="103"/>
      <c r="NM3120" s="103"/>
      <c r="QT3120" s="106"/>
      <c r="QU3120" s="106"/>
      <c r="QV3120" s="106"/>
      <c r="QW3120" s="106"/>
      <c r="QX3120" s="106"/>
      <c r="QY3120" s="106"/>
      <c r="QZ3120" s="106"/>
      <c r="RA3120" s="106"/>
      <c r="RB3120" s="106"/>
      <c r="RC3120" s="106"/>
      <c r="RD3120" s="106"/>
      <c r="RE3120" s="106"/>
      <c r="RF3120" s="106"/>
      <c r="RG3120" s="106"/>
      <c r="RH3120" s="106"/>
      <c r="RI3120" s="106"/>
      <c r="RJ3120" s="106"/>
      <c r="RK3120" s="106"/>
      <c r="RL3120" s="106"/>
    </row>
    <row r="3121" spans="88:480" x14ac:dyDescent="0.3">
      <c r="CJ3121" s="103"/>
      <c r="FP3121" s="103"/>
      <c r="LL3121" s="103"/>
      <c r="NM3121" s="103"/>
      <c r="QT3121" s="106"/>
      <c r="QU3121" s="106"/>
      <c r="QV3121" s="106"/>
      <c r="QW3121" s="106"/>
      <c r="QX3121" s="106"/>
      <c r="QY3121" s="106"/>
      <c r="QZ3121" s="106"/>
      <c r="RA3121" s="106"/>
      <c r="RB3121" s="106"/>
      <c r="RC3121" s="106"/>
      <c r="RD3121" s="106"/>
      <c r="RE3121" s="106"/>
      <c r="RF3121" s="106"/>
      <c r="RG3121" s="106"/>
      <c r="RH3121" s="106"/>
      <c r="RI3121" s="106"/>
      <c r="RJ3121" s="106"/>
      <c r="RK3121" s="106"/>
      <c r="RL3121" s="106"/>
    </row>
    <row r="3122" spans="88:480" x14ac:dyDescent="0.3">
      <c r="CJ3122" s="103"/>
      <c r="FP3122" s="103"/>
      <c r="LL3122" s="103"/>
      <c r="NM3122" s="103"/>
      <c r="QT3122" s="106"/>
      <c r="QU3122" s="106"/>
      <c r="QV3122" s="106"/>
      <c r="QW3122" s="106"/>
      <c r="QX3122" s="106"/>
      <c r="QY3122" s="106"/>
      <c r="QZ3122" s="106"/>
      <c r="RA3122" s="106"/>
      <c r="RB3122" s="106"/>
      <c r="RC3122" s="106"/>
      <c r="RD3122" s="106"/>
      <c r="RE3122" s="106"/>
      <c r="RF3122" s="106"/>
      <c r="RG3122" s="106"/>
      <c r="RH3122" s="106"/>
      <c r="RI3122" s="106"/>
      <c r="RJ3122" s="106"/>
      <c r="RK3122" s="106"/>
      <c r="RL3122" s="106"/>
    </row>
    <row r="3123" spans="88:480" x14ac:dyDescent="0.3">
      <c r="CJ3123" s="103"/>
      <c r="FP3123" s="103"/>
      <c r="LL3123" s="103"/>
      <c r="NM3123" s="103"/>
      <c r="QT3123" s="106"/>
      <c r="QU3123" s="106"/>
      <c r="QV3123" s="106"/>
      <c r="QW3123" s="106"/>
      <c r="QX3123" s="106"/>
      <c r="QY3123" s="106"/>
      <c r="QZ3123" s="106"/>
      <c r="RA3123" s="106"/>
      <c r="RB3123" s="106"/>
      <c r="RC3123" s="106"/>
      <c r="RD3123" s="106"/>
      <c r="RE3123" s="106"/>
      <c r="RF3123" s="106"/>
      <c r="RG3123" s="106"/>
      <c r="RH3123" s="106"/>
      <c r="RI3123" s="106"/>
      <c r="RJ3123" s="106"/>
      <c r="RK3123" s="106"/>
      <c r="RL3123" s="106"/>
    </row>
    <row r="3124" spans="88:480" x14ac:dyDescent="0.3">
      <c r="CJ3124" s="103"/>
      <c r="FP3124" s="103"/>
      <c r="LL3124" s="103"/>
      <c r="NM3124" s="103"/>
      <c r="QT3124" s="106"/>
      <c r="QU3124" s="106"/>
      <c r="QV3124" s="106"/>
      <c r="QW3124" s="106"/>
      <c r="QX3124" s="106"/>
      <c r="QY3124" s="106"/>
      <c r="QZ3124" s="106"/>
      <c r="RA3124" s="106"/>
      <c r="RB3124" s="106"/>
      <c r="RC3124" s="106"/>
      <c r="RD3124" s="106"/>
      <c r="RE3124" s="106"/>
      <c r="RF3124" s="106"/>
      <c r="RG3124" s="106"/>
      <c r="RH3124" s="106"/>
      <c r="RI3124" s="106"/>
      <c r="RJ3124" s="106"/>
      <c r="RK3124" s="106"/>
      <c r="RL3124" s="106"/>
    </row>
    <row r="3125" spans="88:480" x14ac:dyDescent="0.3">
      <c r="CJ3125" s="103"/>
      <c r="FP3125" s="103"/>
      <c r="LL3125" s="103"/>
      <c r="NM3125" s="103"/>
      <c r="QT3125" s="106"/>
      <c r="QU3125" s="106"/>
      <c r="QV3125" s="106"/>
      <c r="QW3125" s="106"/>
      <c r="QX3125" s="106"/>
      <c r="QY3125" s="106"/>
      <c r="QZ3125" s="106"/>
      <c r="RA3125" s="106"/>
      <c r="RB3125" s="106"/>
      <c r="RC3125" s="106"/>
      <c r="RD3125" s="106"/>
      <c r="RE3125" s="106"/>
      <c r="RF3125" s="106"/>
      <c r="RG3125" s="106"/>
      <c r="RH3125" s="106"/>
      <c r="RI3125" s="106"/>
      <c r="RJ3125" s="106"/>
      <c r="RK3125" s="106"/>
      <c r="RL3125" s="106"/>
    </row>
    <row r="3126" spans="88:480" x14ac:dyDescent="0.3">
      <c r="CJ3126" s="103"/>
      <c r="FP3126" s="103"/>
      <c r="LL3126" s="103"/>
      <c r="NM3126" s="103"/>
      <c r="QT3126" s="106"/>
      <c r="QU3126" s="106"/>
      <c r="QV3126" s="106"/>
      <c r="QW3126" s="106"/>
      <c r="QX3126" s="106"/>
      <c r="QY3126" s="106"/>
      <c r="QZ3126" s="106"/>
      <c r="RA3126" s="106"/>
      <c r="RB3126" s="106"/>
      <c r="RC3126" s="106"/>
      <c r="RD3126" s="106"/>
      <c r="RE3126" s="106"/>
      <c r="RF3126" s="106"/>
      <c r="RG3126" s="106"/>
      <c r="RH3126" s="106"/>
      <c r="RI3126" s="106"/>
      <c r="RJ3126" s="106"/>
      <c r="RK3126" s="106"/>
      <c r="RL3126" s="106"/>
    </row>
    <row r="3127" spans="88:480" x14ac:dyDescent="0.3">
      <c r="CJ3127" s="103"/>
      <c r="FP3127" s="103"/>
      <c r="LL3127" s="103"/>
      <c r="NM3127" s="103"/>
      <c r="QT3127" s="106"/>
      <c r="QU3127" s="106"/>
      <c r="QV3127" s="106"/>
      <c r="QW3127" s="106"/>
      <c r="QX3127" s="106"/>
      <c r="QY3127" s="106"/>
      <c r="QZ3127" s="106"/>
      <c r="RA3127" s="106"/>
      <c r="RB3127" s="106"/>
      <c r="RC3127" s="106"/>
      <c r="RD3127" s="106"/>
      <c r="RE3127" s="106"/>
      <c r="RF3127" s="106"/>
      <c r="RG3127" s="106"/>
      <c r="RH3127" s="106"/>
      <c r="RI3127" s="106"/>
      <c r="RJ3127" s="106"/>
      <c r="RK3127" s="106"/>
      <c r="RL3127" s="106"/>
    </row>
    <row r="3128" spans="88:480" x14ac:dyDescent="0.3">
      <c r="CJ3128" s="103"/>
      <c r="FP3128" s="103"/>
      <c r="LL3128" s="103"/>
      <c r="NM3128" s="103"/>
      <c r="QT3128" s="106"/>
      <c r="QU3128" s="106"/>
      <c r="QV3128" s="106"/>
      <c r="QW3128" s="106"/>
      <c r="QX3128" s="106"/>
      <c r="QY3128" s="106"/>
      <c r="QZ3128" s="106"/>
      <c r="RA3128" s="106"/>
      <c r="RB3128" s="106"/>
      <c r="RC3128" s="106"/>
      <c r="RD3128" s="106"/>
      <c r="RE3128" s="106"/>
      <c r="RF3128" s="106"/>
      <c r="RG3128" s="106"/>
      <c r="RH3128" s="106"/>
      <c r="RI3128" s="106"/>
      <c r="RJ3128" s="106"/>
      <c r="RK3128" s="106"/>
      <c r="RL3128" s="106"/>
    </row>
    <row r="3129" spans="88:480" x14ac:dyDescent="0.3">
      <c r="CJ3129" s="103"/>
      <c r="FP3129" s="103"/>
      <c r="LL3129" s="103"/>
      <c r="NM3129" s="103"/>
      <c r="QT3129" s="106"/>
      <c r="QU3129" s="106"/>
      <c r="QV3129" s="106"/>
      <c r="QW3129" s="106"/>
      <c r="QX3129" s="106"/>
      <c r="QY3129" s="106"/>
      <c r="QZ3129" s="106"/>
      <c r="RA3129" s="106"/>
      <c r="RB3129" s="106"/>
      <c r="RC3129" s="106"/>
      <c r="RD3129" s="106"/>
      <c r="RE3129" s="106"/>
      <c r="RF3129" s="106"/>
      <c r="RG3129" s="106"/>
      <c r="RH3129" s="106"/>
      <c r="RI3129" s="106"/>
      <c r="RJ3129" s="106"/>
      <c r="RK3129" s="106"/>
      <c r="RL3129" s="106"/>
    </row>
    <row r="3130" spans="88:480" x14ac:dyDescent="0.3">
      <c r="CJ3130" s="103"/>
      <c r="FP3130" s="103"/>
      <c r="LL3130" s="103"/>
      <c r="NM3130" s="103"/>
      <c r="QT3130" s="106"/>
      <c r="QU3130" s="106"/>
      <c r="QV3130" s="106"/>
      <c r="QW3130" s="106"/>
      <c r="QX3130" s="106"/>
      <c r="QY3130" s="106"/>
      <c r="QZ3130" s="106"/>
      <c r="RA3130" s="106"/>
      <c r="RB3130" s="106"/>
      <c r="RC3130" s="106"/>
      <c r="RD3130" s="106"/>
      <c r="RE3130" s="106"/>
      <c r="RF3130" s="106"/>
      <c r="RG3130" s="106"/>
      <c r="RH3130" s="106"/>
      <c r="RI3130" s="106"/>
      <c r="RJ3130" s="106"/>
      <c r="RK3130" s="106"/>
      <c r="RL3130" s="106"/>
    </row>
    <row r="3131" spans="88:480" x14ac:dyDescent="0.3">
      <c r="CJ3131" s="103"/>
      <c r="FP3131" s="103"/>
      <c r="LL3131" s="103"/>
      <c r="NM3131" s="103"/>
      <c r="QT3131" s="106"/>
      <c r="QU3131" s="106"/>
      <c r="QV3131" s="106"/>
      <c r="QW3131" s="106"/>
      <c r="QX3131" s="106"/>
      <c r="QY3131" s="106"/>
      <c r="QZ3131" s="106"/>
      <c r="RA3131" s="106"/>
      <c r="RB3131" s="106"/>
      <c r="RC3131" s="106"/>
      <c r="RD3131" s="106"/>
      <c r="RE3131" s="106"/>
      <c r="RF3131" s="106"/>
      <c r="RG3131" s="106"/>
      <c r="RH3131" s="106"/>
      <c r="RI3131" s="106"/>
      <c r="RJ3131" s="106"/>
      <c r="RK3131" s="106"/>
      <c r="RL3131" s="106"/>
    </row>
    <row r="3132" spans="88:480" x14ac:dyDescent="0.3">
      <c r="CJ3132" s="103"/>
      <c r="FP3132" s="103"/>
      <c r="LL3132" s="103"/>
      <c r="NM3132" s="103"/>
      <c r="QT3132" s="106"/>
      <c r="QU3132" s="106"/>
      <c r="QV3132" s="106"/>
      <c r="QW3132" s="106"/>
      <c r="QX3132" s="106"/>
      <c r="QY3132" s="106"/>
      <c r="QZ3132" s="106"/>
      <c r="RA3132" s="106"/>
      <c r="RB3132" s="106"/>
      <c r="RC3132" s="106"/>
      <c r="RD3132" s="106"/>
      <c r="RE3132" s="106"/>
      <c r="RF3132" s="106"/>
      <c r="RG3132" s="106"/>
      <c r="RH3132" s="106"/>
      <c r="RI3132" s="106"/>
      <c r="RJ3132" s="106"/>
      <c r="RK3132" s="106"/>
      <c r="RL3132" s="106"/>
    </row>
    <row r="3133" spans="88:480" x14ac:dyDescent="0.3">
      <c r="CJ3133" s="103"/>
      <c r="FP3133" s="103"/>
      <c r="LL3133" s="103"/>
      <c r="NM3133" s="103"/>
      <c r="QT3133" s="106"/>
      <c r="QU3133" s="106"/>
      <c r="QV3133" s="106"/>
      <c r="QW3133" s="106"/>
      <c r="QX3133" s="106"/>
      <c r="QY3133" s="106"/>
      <c r="QZ3133" s="106"/>
      <c r="RA3133" s="106"/>
      <c r="RB3133" s="106"/>
      <c r="RC3133" s="106"/>
      <c r="RD3133" s="106"/>
      <c r="RE3133" s="106"/>
      <c r="RF3133" s="106"/>
      <c r="RG3133" s="106"/>
      <c r="RH3133" s="106"/>
      <c r="RI3133" s="106"/>
      <c r="RJ3133" s="106"/>
      <c r="RK3133" s="106"/>
      <c r="RL3133" s="106"/>
    </row>
    <row r="3134" spans="88:480" x14ac:dyDescent="0.3">
      <c r="CJ3134" s="103"/>
      <c r="FP3134" s="103"/>
      <c r="LL3134" s="103"/>
      <c r="NM3134" s="103"/>
      <c r="QT3134" s="106"/>
      <c r="QU3134" s="106"/>
      <c r="QV3134" s="106"/>
      <c r="QW3134" s="106"/>
      <c r="QX3134" s="106"/>
      <c r="QY3134" s="106"/>
      <c r="QZ3134" s="106"/>
      <c r="RA3134" s="106"/>
      <c r="RB3134" s="106"/>
      <c r="RC3134" s="106"/>
      <c r="RD3134" s="106"/>
      <c r="RE3134" s="106"/>
      <c r="RF3134" s="106"/>
      <c r="RG3134" s="106"/>
      <c r="RH3134" s="106"/>
      <c r="RI3134" s="106"/>
      <c r="RJ3134" s="106"/>
      <c r="RK3134" s="106"/>
      <c r="RL3134" s="106"/>
    </row>
    <row r="3135" spans="88:480" x14ac:dyDescent="0.3">
      <c r="CJ3135" s="103"/>
      <c r="FP3135" s="103"/>
      <c r="LL3135" s="103"/>
      <c r="NM3135" s="103"/>
      <c r="QT3135" s="106"/>
      <c r="QU3135" s="106"/>
      <c r="QV3135" s="106"/>
      <c r="QW3135" s="106"/>
      <c r="QX3135" s="106"/>
      <c r="QY3135" s="106"/>
      <c r="QZ3135" s="106"/>
      <c r="RA3135" s="106"/>
      <c r="RB3135" s="106"/>
      <c r="RC3135" s="106"/>
      <c r="RD3135" s="106"/>
      <c r="RE3135" s="106"/>
      <c r="RF3135" s="106"/>
      <c r="RG3135" s="106"/>
      <c r="RH3135" s="106"/>
      <c r="RI3135" s="106"/>
      <c r="RJ3135" s="106"/>
      <c r="RK3135" s="106"/>
      <c r="RL3135" s="106"/>
    </row>
    <row r="3136" spans="88:480" x14ac:dyDescent="0.3">
      <c r="CJ3136" s="103"/>
      <c r="FP3136" s="103"/>
      <c r="LL3136" s="103"/>
      <c r="NM3136" s="103"/>
      <c r="QT3136" s="106"/>
      <c r="QU3136" s="106"/>
      <c r="QV3136" s="106"/>
      <c r="QW3136" s="106"/>
      <c r="QX3136" s="106"/>
      <c r="QY3136" s="106"/>
      <c r="QZ3136" s="106"/>
      <c r="RA3136" s="106"/>
      <c r="RB3136" s="106"/>
      <c r="RC3136" s="106"/>
      <c r="RD3136" s="106"/>
      <c r="RE3136" s="106"/>
      <c r="RF3136" s="106"/>
      <c r="RG3136" s="106"/>
      <c r="RH3136" s="106"/>
      <c r="RI3136" s="106"/>
      <c r="RJ3136" s="106"/>
      <c r="RK3136" s="106"/>
      <c r="RL3136" s="106"/>
    </row>
    <row r="3137" spans="88:480" x14ac:dyDescent="0.3">
      <c r="CJ3137" s="103"/>
      <c r="FP3137" s="103"/>
      <c r="LL3137" s="103"/>
      <c r="NM3137" s="103"/>
      <c r="QT3137" s="106"/>
      <c r="QU3137" s="106"/>
      <c r="QV3137" s="106"/>
      <c r="QW3137" s="106"/>
      <c r="QX3137" s="106"/>
      <c r="QY3137" s="106"/>
      <c r="QZ3137" s="106"/>
      <c r="RA3137" s="106"/>
      <c r="RB3137" s="106"/>
      <c r="RC3137" s="106"/>
      <c r="RD3137" s="106"/>
      <c r="RE3137" s="106"/>
      <c r="RF3137" s="106"/>
      <c r="RG3137" s="106"/>
      <c r="RH3137" s="106"/>
      <c r="RI3137" s="106"/>
      <c r="RJ3137" s="106"/>
      <c r="RK3137" s="106"/>
      <c r="RL3137" s="106"/>
    </row>
    <row r="3138" spans="88:480" x14ac:dyDescent="0.3">
      <c r="CJ3138" s="103"/>
      <c r="FP3138" s="103"/>
      <c r="LL3138" s="103"/>
      <c r="NM3138" s="103"/>
      <c r="QT3138" s="106"/>
      <c r="QU3138" s="106"/>
      <c r="QV3138" s="106"/>
      <c r="QW3138" s="106"/>
      <c r="QX3138" s="106"/>
      <c r="QY3138" s="106"/>
      <c r="QZ3138" s="106"/>
      <c r="RA3138" s="106"/>
      <c r="RB3138" s="106"/>
      <c r="RC3138" s="106"/>
      <c r="RD3138" s="106"/>
      <c r="RE3138" s="106"/>
      <c r="RF3138" s="106"/>
      <c r="RG3138" s="106"/>
      <c r="RH3138" s="106"/>
      <c r="RI3138" s="106"/>
      <c r="RJ3138" s="106"/>
      <c r="RK3138" s="106"/>
      <c r="RL3138" s="106"/>
    </row>
    <row r="3139" spans="88:480" x14ac:dyDescent="0.3">
      <c r="CJ3139" s="103"/>
      <c r="FP3139" s="103"/>
      <c r="LL3139" s="103"/>
      <c r="NM3139" s="103"/>
      <c r="QT3139" s="106"/>
      <c r="QU3139" s="106"/>
      <c r="QV3139" s="106"/>
      <c r="QW3139" s="106"/>
      <c r="QX3139" s="106"/>
      <c r="QY3139" s="106"/>
      <c r="QZ3139" s="106"/>
      <c r="RA3139" s="106"/>
      <c r="RB3139" s="106"/>
      <c r="RC3139" s="106"/>
      <c r="RD3139" s="106"/>
      <c r="RE3139" s="106"/>
      <c r="RF3139" s="106"/>
      <c r="RG3139" s="106"/>
      <c r="RH3139" s="106"/>
      <c r="RI3139" s="106"/>
      <c r="RJ3139" s="106"/>
      <c r="RK3139" s="106"/>
      <c r="RL3139" s="106"/>
    </row>
    <row r="3140" spans="88:480" x14ac:dyDescent="0.3">
      <c r="CJ3140" s="103"/>
      <c r="FP3140" s="103"/>
      <c r="LL3140" s="103"/>
      <c r="NM3140" s="103"/>
      <c r="QT3140" s="106"/>
      <c r="QU3140" s="106"/>
      <c r="QV3140" s="106"/>
      <c r="QW3140" s="106"/>
      <c r="QX3140" s="106"/>
      <c r="QY3140" s="106"/>
      <c r="QZ3140" s="106"/>
      <c r="RA3140" s="106"/>
      <c r="RB3140" s="106"/>
      <c r="RC3140" s="106"/>
      <c r="RD3140" s="106"/>
      <c r="RE3140" s="106"/>
      <c r="RF3140" s="106"/>
      <c r="RG3140" s="106"/>
      <c r="RH3140" s="106"/>
      <c r="RI3140" s="106"/>
      <c r="RJ3140" s="106"/>
      <c r="RK3140" s="106"/>
      <c r="RL3140" s="106"/>
    </row>
    <row r="3141" spans="88:480" x14ac:dyDescent="0.3">
      <c r="CJ3141" s="103"/>
      <c r="FP3141" s="103"/>
      <c r="LL3141" s="103"/>
      <c r="NM3141" s="103"/>
      <c r="QT3141" s="106"/>
      <c r="QU3141" s="106"/>
      <c r="QV3141" s="106"/>
      <c r="QW3141" s="106"/>
      <c r="QX3141" s="106"/>
      <c r="QY3141" s="106"/>
      <c r="QZ3141" s="106"/>
      <c r="RA3141" s="106"/>
      <c r="RB3141" s="106"/>
      <c r="RC3141" s="106"/>
      <c r="RD3141" s="106"/>
      <c r="RE3141" s="106"/>
      <c r="RF3141" s="106"/>
      <c r="RG3141" s="106"/>
      <c r="RH3141" s="106"/>
      <c r="RI3141" s="106"/>
      <c r="RJ3141" s="106"/>
      <c r="RK3141" s="106"/>
      <c r="RL3141" s="106"/>
    </row>
    <row r="3142" spans="88:480" x14ac:dyDescent="0.3">
      <c r="CJ3142" s="103"/>
      <c r="FP3142" s="103"/>
      <c r="LL3142" s="103"/>
      <c r="NM3142" s="103"/>
      <c r="QT3142" s="106"/>
      <c r="QU3142" s="106"/>
      <c r="QV3142" s="106"/>
      <c r="QW3142" s="106"/>
      <c r="QX3142" s="106"/>
      <c r="QY3142" s="106"/>
      <c r="QZ3142" s="106"/>
      <c r="RA3142" s="106"/>
      <c r="RB3142" s="106"/>
      <c r="RC3142" s="106"/>
      <c r="RD3142" s="106"/>
      <c r="RE3142" s="106"/>
      <c r="RF3142" s="106"/>
      <c r="RG3142" s="106"/>
      <c r="RH3142" s="106"/>
      <c r="RI3142" s="106"/>
      <c r="RJ3142" s="106"/>
      <c r="RK3142" s="106"/>
      <c r="RL3142" s="106"/>
    </row>
    <row r="3143" spans="88:480" x14ac:dyDescent="0.3">
      <c r="CJ3143" s="103"/>
      <c r="FP3143" s="103"/>
      <c r="LL3143" s="103"/>
      <c r="NM3143" s="103"/>
      <c r="QT3143" s="106"/>
      <c r="QU3143" s="106"/>
      <c r="QV3143" s="106"/>
      <c r="QW3143" s="106"/>
      <c r="QX3143" s="106"/>
      <c r="QY3143" s="106"/>
      <c r="QZ3143" s="106"/>
      <c r="RA3143" s="106"/>
      <c r="RB3143" s="106"/>
      <c r="RC3143" s="106"/>
      <c r="RD3143" s="106"/>
      <c r="RE3143" s="106"/>
      <c r="RF3143" s="106"/>
      <c r="RG3143" s="106"/>
      <c r="RH3143" s="106"/>
      <c r="RI3143" s="106"/>
      <c r="RJ3143" s="106"/>
      <c r="RK3143" s="106"/>
      <c r="RL3143" s="106"/>
    </row>
    <row r="3144" spans="88:480" x14ac:dyDescent="0.3">
      <c r="CJ3144" s="103"/>
      <c r="FP3144" s="103"/>
      <c r="LL3144" s="103"/>
      <c r="NM3144" s="103"/>
      <c r="QT3144" s="106"/>
      <c r="QU3144" s="106"/>
      <c r="QV3144" s="106"/>
      <c r="QW3144" s="106"/>
      <c r="QX3144" s="106"/>
      <c r="QY3144" s="106"/>
      <c r="QZ3144" s="106"/>
      <c r="RA3144" s="106"/>
      <c r="RB3144" s="106"/>
      <c r="RC3144" s="106"/>
      <c r="RD3144" s="106"/>
      <c r="RE3144" s="106"/>
      <c r="RF3144" s="106"/>
      <c r="RG3144" s="106"/>
      <c r="RH3144" s="106"/>
      <c r="RI3144" s="106"/>
      <c r="RJ3144" s="106"/>
      <c r="RK3144" s="106"/>
      <c r="RL3144" s="106"/>
    </row>
    <row r="3145" spans="88:480" x14ac:dyDescent="0.3">
      <c r="CJ3145" s="103"/>
      <c r="FP3145" s="103"/>
      <c r="LL3145" s="103"/>
      <c r="NM3145" s="103"/>
      <c r="QT3145" s="106"/>
      <c r="QU3145" s="106"/>
      <c r="QV3145" s="106"/>
      <c r="QW3145" s="106"/>
      <c r="QX3145" s="106"/>
      <c r="QY3145" s="106"/>
      <c r="QZ3145" s="106"/>
      <c r="RA3145" s="106"/>
      <c r="RB3145" s="106"/>
      <c r="RC3145" s="106"/>
      <c r="RD3145" s="106"/>
      <c r="RE3145" s="106"/>
      <c r="RF3145" s="106"/>
      <c r="RG3145" s="106"/>
      <c r="RH3145" s="106"/>
      <c r="RI3145" s="106"/>
      <c r="RJ3145" s="106"/>
      <c r="RK3145" s="106"/>
      <c r="RL3145" s="106"/>
    </row>
    <row r="3146" spans="88:480" x14ac:dyDescent="0.3">
      <c r="CJ3146" s="103"/>
      <c r="FP3146" s="103"/>
      <c r="LL3146" s="103"/>
      <c r="NM3146" s="103"/>
      <c r="QT3146" s="106"/>
      <c r="QU3146" s="106"/>
      <c r="QV3146" s="106"/>
      <c r="QW3146" s="106"/>
      <c r="QX3146" s="106"/>
      <c r="QY3146" s="106"/>
      <c r="QZ3146" s="106"/>
      <c r="RA3146" s="106"/>
      <c r="RB3146" s="106"/>
      <c r="RC3146" s="106"/>
      <c r="RD3146" s="106"/>
      <c r="RE3146" s="106"/>
      <c r="RF3146" s="106"/>
      <c r="RG3146" s="106"/>
      <c r="RH3146" s="106"/>
      <c r="RI3146" s="106"/>
      <c r="RJ3146" s="106"/>
      <c r="RK3146" s="106"/>
      <c r="RL3146" s="106"/>
    </row>
    <row r="3147" spans="88:480" x14ac:dyDescent="0.3">
      <c r="CJ3147" s="103"/>
      <c r="FP3147" s="103"/>
      <c r="LL3147" s="103"/>
      <c r="NM3147" s="103"/>
      <c r="QT3147" s="106"/>
      <c r="QU3147" s="106"/>
      <c r="QV3147" s="106"/>
      <c r="QW3147" s="106"/>
      <c r="QX3147" s="106"/>
      <c r="QY3147" s="106"/>
      <c r="QZ3147" s="106"/>
      <c r="RA3147" s="106"/>
      <c r="RB3147" s="106"/>
      <c r="RC3147" s="106"/>
      <c r="RD3147" s="106"/>
      <c r="RE3147" s="106"/>
      <c r="RF3147" s="106"/>
      <c r="RG3147" s="106"/>
      <c r="RH3147" s="106"/>
      <c r="RI3147" s="106"/>
      <c r="RJ3147" s="106"/>
      <c r="RK3147" s="106"/>
      <c r="RL3147" s="106"/>
    </row>
    <row r="3148" spans="88:480" x14ac:dyDescent="0.3">
      <c r="CJ3148" s="103"/>
      <c r="FP3148" s="103"/>
      <c r="LL3148" s="103"/>
      <c r="NM3148" s="103"/>
      <c r="QT3148" s="106"/>
      <c r="QU3148" s="106"/>
      <c r="QV3148" s="106"/>
      <c r="QW3148" s="106"/>
      <c r="QX3148" s="106"/>
      <c r="QY3148" s="106"/>
      <c r="QZ3148" s="106"/>
      <c r="RA3148" s="106"/>
      <c r="RB3148" s="106"/>
      <c r="RC3148" s="106"/>
      <c r="RD3148" s="106"/>
      <c r="RE3148" s="106"/>
      <c r="RF3148" s="106"/>
      <c r="RG3148" s="106"/>
      <c r="RH3148" s="106"/>
      <c r="RI3148" s="106"/>
      <c r="RJ3148" s="106"/>
      <c r="RK3148" s="106"/>
      <c r="RL3148" s="106"/>
    </row>
    <row r="3149" spans="88:480" x14ac:dyDescent="0.3">
      <c r="CJ3149" s="103"/>
      <c r="FP3149" s="103"/>
      <c r="LL3149" s="103"/>
      <c r="NM3149" s="103"/>
      <c r="QT3149" s="106"/>
      <c r="QU3149" s="106"/>
      <c r="QV3149" s="106"/>
      <c r="QW3149" s="106"/>
      <c r="QX3149" s="106"/>
      <c r="QY3149" s="106"/>
      <c r="QZ3149" s="106"/>
      <c r="RA3149" s="106"/>
      <c r="RB3149" s="106"/>
      <c r="RC3149" s="106"/>
      <c r="RD3149" s="106"/>
      <c r="RE3149" s="106"/>
      <c r="RF3149" s="106"/>
      <c r="RG3149" s="106"/>
      <c r="RH3149" s="106"/>
      <c r="RI3149" s="106"/>
      <c r="RJ3149" s="106"/>
      <c r="RK3149" s="106"/>
      <c r="RL3149" s="106"/>
    </row>
    <row r="3150" spans="88:480" x14ac:dyDescent="0.3">
      <c r="CJ3150" s="103"/>
      <c r="FP3150" s="103"/>
      <c r="LL3150" s="103"/>
      <c r="NM3150" s="103"/>
      <c r="QT3150" s="106"/>
      <c r="QU3150" s="106"/>
      <c r="QV3150" s="106"/>
      <c r="QW3150" s="106"/>
      <c r="QX3150" s="106"/>
      <c r="QY3150" s="106"/>
      <c r="QZ3150" s="106"/>
      <c r="RA3150" s="106"/>
      <c r="RB3150" s="106"/>
      <c r="RC3150" s="106"/>
      <c r="RD3150" s="106"/>
      <c r="RE3150" s="106"/>
      <c r="RF3150" s="106"/>
      <c r="RG3150" s="106"/>
      <c r="RH3150" s="106"/>
      <c r="RI3150" s="106"/>
      <c r="RJ3150" s="106"/>
      <c r="RK3150" s="106"/>
      <c r="RL3150" s="106"/>
    </row>
    <row r="3151" spans="88:480" x14ac:dyDescent="0.3">
      <c r="CJ3151" s="103"/>
      <c r="FP3151" s="103"/>
      <c r="LL3151" s="103"/>
      <c r="NM3151" s="103"/>
      <c r="QT3151" s="106"/>
      <c r="QU3151" s="106"/>
      <c r="QV3151" s="106"/>
      <c r="QW3151" s="106"/>
      <c r="QX3151" s="106"/>
      <c r="QY3151" s="106"/>
      <c r="QZ3151" s="106"/>
      <c r="RA3151" s="106"/>
      <c r="RB3151" s="106"/>
      <c r="RC3151" s="106"/>
      <c r="RD3151" s="106"/>
      <c r="RE3151" s="106"/>
      <c r="RF3151" s="106"/>
      <c r="RG3151" s="106"/>
      <c r="RH3151" s="106"/>
      <c r="RI3151" s="106"/>
      <c r="RJ3151" s="106"/>
      <c r="RK3151" s="106"/>
      <c r="RL3151" s="106"/>
    </row>
    <row r="3152" spans="88:480" x14ac:dyDescent="0.3">
      <c r="CJ3152" s="103"/>
      <c r="FP3152" s="103"/>
      <c r="LL3152" s="103"/>
      <c r="NM3152" s="103"/>
      <c r="QT3152" s="106"/>
      <c r="QU3152" s="106"/>
      <c r="QV3152" s="106"/>
      <c r="QW3152" s="106"/>
      <c r="QX3152" s="106"/>
      <c r="QY3152" s="106"/>
      <c r="QZ3152" s="106"/>
      <c r="RA3152" s="106"/>
      <c r="RB3152" s="106"/>
      <c r="RC3152" s="106"/>
      <c r="RD3152" s="106"/>
      <c r="RE3152" s="106"/>
      <c r="RF3152" s="106"/>
      <c r="RG3152" s="106"/>
      <c r="RH3152" s="106"/>
      <c r="RI3152" s="106"/>
      <c r="RJ3152" s="106"/>
      <c r="RK3152" s="106"/>
      <c r="RL3152" s="106"/>
    </row>
    <row r="3153" spans="88:480" x14ac:dyDescent="0.3">
      <c r="CJ3153" s="103"/>
      <c r="FP3153" s="103"/>
      <c r="LL3153" s="103"/>
      <c r="NM3153" s="103"/>
      <c r="QT3153" s="106"/>
      <c r="QU3153" s="106"/>
      <c r="QV3153" s="106"/>
      <c r="QW3153" s="106"/>
      <c r="QX3153" s="106"/>
      <c r="QY3153" s="106"/>
      <c r="QZ3153" s="106"/>
      <c r="RA3153" s="106"/>
      <c r="RB3153" s="106"/>
      <c r="RC3153" s="106"/>
      <c r="RD3153" s="106"/>
      <c r="RE3153" s="106"/>
      <c r="RF3153" s="106"/>
      <c r="RG3153" s="106"/>
      <c r="RH3153" s="106"/>
      <c r="RI3153" s="106"/>
      <c r="RJ3153" s="106"/>
      <c r="RK3153" s="106"/>
      <c r="RL3153" s="106"/>
    </row>
    <row r="3154" spans="88:480" x14ac:dyDescent="0.3">
      <c r="CJ3154" s="103"/>
      <c r="FP3154" s="103"/>
      <c r="LL3154" s="103"/>
      <c r="NM3154" s="103"/>
      <c r="QT3154" s="106"/>
      <c r="QU3154" s="106"/>
      <c r="QV3154" s="106"/>
      <c r="QW3154" s="106"/>
      <c r="QX3154" s="106"/>
      <c r="QY3154" s="106"/>
      <c r="QZ3154" s="106"/>
      <c r="RA3154" s="106"/>
      <c r="RB3154" s="106"/>
      <c r="RC3154" s="106"/>
      <c r="RD3154" s="106"/>
      <c r="RE3154" s="106"/>
      <c r="RF3154" s="106"/>
      <c r="RG3154" s="106"/>
      <c r="RH3154" s="106"/>
      <c r="RI3154" s="106"/>
      <c r="RJ3154" s="106"/>
      <c r="RK3154" s="106"/>
      <c r="RL3154" s="106"/>
    </row>
    <row r="3155" spans="88:480" x14ac:dyDescent="0.3">
      <c r="CJ3155" s="103"/>
      <c r="FP3155" s="103"/>
      <c r="LL3155" s="103"/>
      <c r="NM3155" s="103"/>
      <c r="QT3155" s="106"/>
      <c r="QU3155" s="106"/>
      <c r="QV3155" s="106"/>
      <c r="QW3155" s="106"/>
      <c r="QX3155" s="106"/>
      <c r="QY3155" s="106"/>
      <c r="QZ3155" s="106"/>
      <c r="RA3155" s="106"/>
      <c r="RB3155" s="106"/>
      <c r="RC3155" s="106"/>
      <c r="RD3155" s="106"/>
      <c r="RE3155" s="106"/>
      <c r="RF3155" s="106"/>
      <c r="RG3155" s="106"/>
      <c r="RH3155" s="106"/>
      <c r="RI3155" s="106"/>
      <c r="RJ3155" s="106"/>
      <c r="RK3155" s="106"/>
      <c r="RL3155" s="106"/>
    </row>
    <row r="3156" spans="88:480" x14ac:dyDescent="0.3">
      <c r="CJ3156" s="103"/>
      <c r="FP3156" s="103"/>
      <c r="LL3156" s="103"/>
      <c r="NM3156" s="103"/>
      <c r="QT3156" s="106"/>
      <c r="QU3156" s="106"/>
      <c r="QV3156" s="106"/>
      <c r="QW3156" s="106"/>
      <c r="QX3156" s="106"/>
      <c r="QY3156" s="106"/>
      <c r="QZ3156" s="106"/>
      <c r="RA3156" s="106"/>
      <c r="RB3156" s="106"/>
      <c r="RC3156" s="106"/>
      <c r="RD3156" s="106"/>
      <c r="RE3156" s="106"/>
      <c r="RF3156" s="106"/>
      <c r="RG3156" s="106"/>
      <c r="RH3156" s="106"/>
      <c r="RI3156" s="106"/>
      <c r="RJ3156" s="106"/>
      <c r="RK3156" s="106"/>
      <c r="RL3156" s="106"/>
    </row>
    <row r="3157" spans="88:480" x14ac:dyDescent="0.3">
      <c r="CJ3157" s="103"/>
      <c r="FP3157" s="103"/>
      <c r="LL3157" s="103"/>
      <c r="NM3157" s="103"/>
      <c r="QT3157" s="106"/>
      <c r="QU3157" s="106"/>
      <c r="QV3157" s="106"/>
      <c r="QW3157" s="106"/>
      <c r="QX3157" s="106"/>
      <c r="QY3157" s="106"/>
      <c r="QZ3157" s="106"/>
      <c r="RA3157" s="106"/>
      <c r="RB3157" s="106"/>
      <c r="RC3157" s="106"/>
      <c r="RD3157" s="106"/>
      <c r="RE3157" s="106"/>
      <c r="RF3157" s="106"/>
      <c r="RG3157" s="106"/>
      <c r="RH3157" s="106"/>
      <c r="RI3157" s="106"/>
      <c r="RJ3157" s="106"/>
      <c r="RK3157" s="106"/>
      <c r="RL3157" s="106"/>
    </row>
    <row r="3158" spans="88:480" x14ac:dyDescent="0.3">
      <c r="CJ3158" s="103"/>
      <c r="FP3158" s="103"/>
      <c r="LL3158" s="103"/>
      <c r="NM3158" s="103"/>
      <c r="QT3158" s="106"/>
      <c r="QU3158" s="106"/>
      <c r="QV3158" s="106"/>
      <c r="QW3158" s="106"/>
      <c r="QX3158" s="106"/>
      <c r="QY3158" s="106"/>
      <c r="QZ3158" s="106"/>
      <c r="RA3158" s="106"/>
      <c r="RB3158" s="106"/>
      <c r="RC3158" s="106"/>
      <c r="RD3158" s="106"/>
      <c r="RE3158" s="106"/>
      <c r="RF3158" s="106"/>
      <c r="RG3158" s="106"/>
      <c r="RH3158" s="106"/>
      <c r="RI3158" s="106"/>
      <c r="RJ3158" s="106"/>
      <c r="RK3158" s="106"/>
      <c r="RL3158" s="106"/>
    </row>
    <row r="3159" spans="88:480" x14ac:dyDescent="0.3">
      <c r="CJ3159" s="103"/>
      <c r="FP3159" s="103"/>
      <c r="LL3159" s="103"/>
      <c r="NM3159" s="103"/>
      <c r="QT3159" s="106"/>
      <c r="QU3159" s="106"/>
      <c r="QV3159" s="106"/>
      <c r="QW3159" s="106"/>
      <c r="QX3159" s="106"/>
      <c r="QY3159" s="106"/>
      <c r="QZ3159" s="106"/>
      <c r="RA3159" s="106"/>
      <c r="RB3159" s="106"/>
      <c r="RC3159" s="106"/>
      <c r="RD3159" s="106"/>
      <c r="RE3159" s="106"/>
      <c r="RF3159" s="106"/>
      <c r="RG3159" s="106"/>
      <c r="RH3159" s="106"/>
      <c r="RI3159" s="106"/>
      <c r="RJ3159" s="106"/>
      <c r="RK3159" s="106"/>
      <c r="RL3159" s="106"/>
    </row>
    <row r="3160" spans="88:480" x14ac:dyDescent="0.3">
      <c r="CJ3160" s="103"/>
      <c r="FP3160" s="103"/>
      <c r="LL3160" s="103"/>
      <c r="NM3160" s="103"/>
      <c r="QT3160" s="106"/>
      <c r="QU3160" s="106"/>
      <c r="QV3160" s="106"/>
      <c r="QW3160" s="106"/>
      <c r="QX3160" s="106"/>
      <c r="QY3160" s="106"/>
      <c r="QZ3160" s="106"/>
      <c r="RA3160" s="106"/>
      <c r="RB3160" s="106"/>
      <c r="RC3160" s="106"/>
      <c r="RD3160" s="106"/>
      <c r="RE3160" s="106"/>
      <c r="RF3160" s="106"/>
      <c r="RG3160" s="106"/>
      <c r="RH3160" s="106"/>
      <c r="RI3160" s="106"/>
      <c r="RJ3160" s="106"/>
      <c r="RK3160" s="106"/>
      <c r="RL3160" s="106"/>
    </row>
    <row r="3161" spans="88:480" x14ac:dyDescent="0.3">
      <c r="CJ3161" s="103"/>
      <c r="FP3161" s="103"/>
      <c r="LL3161" s="103"/>
      <c r="NM3161" s="103"/>
      <c r="QT3161" s="106"/>
      <c r="QU3161" s="106"/>
      <c r="QV3161" s="106"/>
      <c r="QW3161" s="106"/>
      <c r="QX3161" s="106"/>
      <c r="QY3161" s="106"/>
      <c r="QZ3161" s="106"/>
      <c r="RA3161" s="106"/>
      <c r="RB3161" s="106"/>
      <c r="RC3161" s="106"/>
      <c r="RD3161" s="106"/>
      <c r="RE3161" s="106"/>
      <c r="RF3161" s="106"/>
      <c r="RG3161" s="106"/>
      <c r="RH3161" s="106"/>
      <c r="RI3161" s="106"/>
      <c r="RJ3161" s="106"/>
      <c r="RK3161" s="106"/>
      <c r="RL3161" s="106"/>
    </row>
    <row r="3162" spans="88:480" x14ac:dyDescent="0.3">
      <c r="CJ3162" s="103"/>
      <c r="FP3162" s="103"/>
      <c r="LL3162" s="103"/>
      <c r="NM3162" s="103"/>
      <c r="QT3162" s="106"/>
      <c r="QU3162" s="106"/>
      <c r="QV3162" s="106"/>
      <c r="QW3162" s="106"/>
      <c r="QX3162" s="106"/>
      <c r="QY3162" s="106"/>
      <c r="QZ3162" s="106"/>
      <c r="RA3162" s="106"/>
      <c r="RB3162" s="106"/>
      <c r="RC3162" s="106"/>
      <c r="RD3162" s="106"/>
      <c r="RE3162" s="106"/>
      <c r="RF3162" s="106"/>
      <c r="RG3162" s="106"/>
      <c r="RH3162" s="106"/>
      <c r="RI3162" s="106"/>
      <c r="RJ3162" s="106"/>
      <c r="RK3162" s="106"/>
      <c r="RL3162" s="106"/>
    </row>
    <row r="3163" spans="88:480" x14ac:dyDescent="0.3">
      <c r="CJ3163" s="103"/>
      <c r="FP3163" s="103"/>
      <c r="LL3163" s="103"/>
      <c r="NM3163" s="103"/>
      <c r="QT3163" s="106"/>
      <c r="QU3163" s="106"/>
      <c r="QV3163" s="106"/>
      <c r="QW3163" s="106"/>
      <c r="QX3163" s="106"/>
      <c r="QY3163" s="106"/>
      <c r="QZ3163" s="106"/>
      <c r="RA3163" s="106"/>
      <c r="RB3163" s="106"/>
      <c r="RC3163" s="106"/>
      <c r="RD3163" s="106"/>
      <c r="RE3163" s="106"/>
      <c r="RF3163" s="106"/>
      <c r="RG3163" s="106"/>
      <c r="RH3163" s="106"/>
      <c r="RI3163" s="106"/>
      <c r="RJ3163" s="106"/>
      <c r="RK3163" s="106"/>
      <c r="RL3163" s="106"/>
    </row>
    <row r="3164" spans="88:480" x14ac:dyDescent="0.3">
      <c r="CJ3164" s="103"/>
      <c r="FP3164" s="103"/>
      <c r="LL3164" s="103"/>
      <c r="NM3164" s="103"/>
      <c r="QT3164" s="106"/>
      <c r="QU3164" s="106"/>
      <c r="QV3164" s="106"/>
      <c r="QW3164" s="106"/>
      <c r="QX3164" s="106"/>
      <c r="QY3164" s="106"/>
      <c r="QZ3164" s="106"/>
      <c r="RA3164" s="106"/>
      <c r="RB3164" s="106"/>
      <c r="RC3164" s="106"/>
      <c r="RD3164" s="106"/>
      <c r="RE3164" s="106"/>
      <c r="RF3164" s="106"/>
      <c r="RG3164" s="106"/>
      <c r="RH3164" s="106"/>
      <c r="RI3164" s="106"/>
      <c r="RJ3164" s="106"/>
      <c r="RK3164" s="106"/>
      <c r="RL3164" s="106"/>
    </row>
    <row r="3165" spans="88:480" x14ac:dyDescent="0.3">
      <c r="CJ3165" s="103"/>
      <c r="FP3165" s="103"/>
      <c r="LL3165" s="103"/>
      <c r="NM3165" s="103"/>
      <c r="QT3165" s="106"/>
      <c r="QU3165" s="106"/>
      <c r="QV3165" s="106"/>
      <c r="QW3165" s="106"/>
      <c r="QX3165" s="106"/>
      <c r="QY3165" s="106"/>
      <c r="QZ3165" s="106"/>
      <c r="RA3165" s="106"/>
      <c r="RB3165" s="106"/>
      <c r="RC3165" s="106"/>
      <c r="RD3165" s="106"/>
      <c r="RE3165" s="106"/>
      <c r="RF3165" s="106"/>
      <c r="RG3165" s="106"/>
      <c r="RH3165" s="106"/>
      <c r="RI3165" s="106"/>
      <c r="RJ3165" s="106"/>
      <c r="RK3165" s="106"/>
      <c r="RL3165" s="106"/>
    </row>
    <row r="3166" spans="88:480" x14ac:dyDescent="0.3">
      <c r="CJ3166" s="103"/>
      <c r="FP3166" s="103"/>
      <c r="LL3166" s="103"/>
      <c r="NM3166" s="103"/>
      <c r="QT3166" s="106"/>
      <c r="QU3166" s="106"/>
      <c r="QV3166" s="106"/>
      <c r="QW3166" s="106"/>
      <c r="QX3166" s="106"/>
      <c r="QY3166" s="106"/>
      <c r="QZ3166" s="106"/>
      <c r="RA3166" s="106"/>
      <c r="RB3166" s="106"/>
      <c r="RC3166" s="106"/>
      <c r="RD3166" s="106"/>
      <c r="RE3166" s="106"/>
      <c r="RF3166" s="106"/>
      <c r="RG3166" s="106"/>
      <c r="RH3166" s="106"/>
      <c r="RI3166" s="106"/>
      <c r="RJ3166" s="106"/>
      <c r="RK3166" s="106"/>
      <c r="RL3166" s="106"/>
    </row>
    <row r="3167" spans="88:480" x14ac:dyDescent="0.3">
      <c r="CJ3167" s="103"/>
      <c r="FP3167" s="103"/>
      <c r="LL3167" s="103"/>
      <c r="NM3167" s="103"/>
      <c r="QT3167" s="106"/>
      <c r="QU3167" s="106"/>
      <c r="QV3167" s="106"/>
      <c r="QW3167" s="106"/>
      <c r="QX3167" s="106"/>
      <c r="QY3167" s="106"/>
      <c r="QZ3167" s="106"/>
      <c r="RA3167" s="106"/>
      <c r="RB3167" s="106"/>
      <c r="RC3167" s="106"/>
      <c r="RD3167" s="106"/>
      <c r="RE3167" s="106"/>
      <c r="RF3167" s="106"/>
      <c r="RG3167" s="106"/>
      <c r="RH3167" s="106"/>
      <c r="RI3167" s="106"/>
      <c r="RJ3167" s="106"/>
      <c r="RK3167" s="106"/>
      <c r="RL3167" s="106"/>
    </row>
    <row r="3168" spans="88:480" x14ac:dyDescent="0.3">
      <c r="CJ3168" s="103"/>
      <c r="FP3168" s="103"/>
      <c r="LL3168" s="103"/>
      <c r="NM3168" s="103"/>
      <c r="QT3168" s="106"/>
      <c r="QU3168" s="106"/>
      <c r="QV3168" s="106"/>
      <c r="QW3168" s="106"/>
      <c r="QX3168" s="106"/>
      <c r="QY3168" s="106"/>
      <c r="QZ3168" s="106"/>
      <c r="RA3168" s="106"/>
      <c r="RB3168" s="106"/>
      <c r="RC3168" s="106"/>
      <c r="RD3168" s="106"/>
      <c r="RE3168" s="106"/>
      <c r="RF3168" s="106"/>
      <c r="RG3168" s="106"/>
      <c r="RH3168" s="106"/>
      <c r="RI3168" s="106"/>
      <c r="RJ3168" s="106"/>
      <c r="RK3168" s="106"/>
      <c r="RL3168" s="106"/>
    </row>
    <row r="3169" spans="88:480" x14ac:dyDescent="0.3">
      <c r="CJ3169" s="103"/>
      <c r="FP3169" s="103"/>
      <c r="LL3169" s="103"/>
      <c r="NM3169" s="103"/>
      <c r="QT3169" s="106"/>
      <c r="QU3169" s="106"/>
      <c r="QV3169" s="106"/>
      <c r="QW3169" s="106"/>
      <c r="QX3169" s="106"/>
      <c r="QY3169" s="106"/>
      <c r="QZ3169" s="106"/>
      <c r="RA3169" s="106"/>
      <c r="RB3169" s="106"/>
      <c r="RC3169" s="106"/>
      <c r="RD3169" s="106"/>
      <c r="RE3169" s="106"/>
      <c r="RF3169" s="106"/>
      <c r="RG3169" s="106"/>
      <c r="RH3169" s="106"/>
      <c r="RI3169" s="106"/>
      <c r="RJ3169" s="106"/>
      <c r="RK3169" s="106"/>
      <c r="RL3169" s="106"/>
    </row>
    <row r="3170" spans="88:480" x14ac:dyDescent="0.3">
      <c r="CJ3170" s="103"/>
      <c r="FP3170" s="103"/>
      <c r="LL3170" s="103"/>
      <c r="NM3170" s="103"/>
      <c r="QT3170" s="106"/>
      <c r="QU3170" s="106"/>
      <c r="QV3170" s="106"/>
      <c r="QW3170" s="106"/>
      <c r="QX3170" s="106"/>
      <c r="QY3170" s="106"/>
      <c r="QZ3170" s="106"/>
      <c r="RA3170" s="106"/>
      <c r="RB3170" s="106"/>
      <c r="RC3170" s="106"/>
      <c r="RD3170" s="106"/>
      <c r="RE3170" s="106"/>
      <c r="RF3170" s="106"/>
      <c r="RG3170" s="106"/>
      <c r="RH3170" s="106"/>
      <c r="RI3170" s="106"/>
      <c r="RJ3170" s="106"/>
      <c r="RK3170" s="106"/>
      <c r="RL3170" s="106"/>
    </row>
    <row r="3171" spans="88:480" x14ac:dyDescent="0.3">
      <c r="CJ3171" s="103"/>
      <c r="FP3171" s="103"/>
      <c r="LL3171" s="103"/>
      <c r="NM3171" s="103"/>
      <c r="QT3171" s="106"/>
      <c r="QU3171" s="106"/>
      <c r="QV3171" s="106"/>
      <c r="QW3171" s="106"/>
      <c r="QX3171" s="106"/>
      <c r="QY3171" s="106"/>
      <c r="QZ3171" s="106"/>
      <c r="RA3171" s="106"/>
      <c r="RB3171" s="106"/>
      <c r="RC3171" s="106"/>
      <c r="RD3171" s="106"/>
      <c r="RE3171" s="106"/>
      <c r="RF3171" s="106"/>
      <c r="RG3171" s="106"/>
      <c r="RH3171" s="106"/>
      <c r="RI3171" s="106"/>
      <c r="RJ3171" s="106"/>
      <c r="RK3171" s="106"/>
      <c r="RL3171" s="106"/>
    </row>
    <row r="3172" spans="88:480" x14ac:dyDescent="0.3">
      <c r="CJ3172" s="103"/>
      <c r="FP3172" s="103"/>
      <c r="LL3172" s="103"/>
      <c r="NM3172" s="103"/>
      <c r="QT3172" s="106"/>
      <c r="QU3172" s="106"/>
      <c r="QV3172" s="106"/>
      <c r="QW3172" s="106"/>
      <c r="QX3172" s="106"/>
      <c r="QY3172" s="106"/>
      <c r="QZ3172" s="106"/>
      <c r="RA3172" s="106"/>
      <c r="RB3172" s="106"/>
      <c r="RC3172" s="106"/>
      <c r="RD3172" s="106"/>
      <c r="RE3172" s="106"/>
      <c r="RF3172" s="106"/>
      <c r="RG3172" s="106"/>
      <c r="RH3172" s="106"/>
      <c r="RI3172" s="106"/>
      <c r="RJ3172" s="106"/>
      <c r="RK3172" s="106"/>
      <c r="RL3172" s="106"/>
    </row>
    <row r="3173" spans="88:480" x14ac:dyDescent="0.3">
      <c r="CJ3173" s="103"/>
      <c r="FP3173" s="103"/>
      <c r="LL3173" s="103"/>
      <c r="NM3173" s="103"/>
      <c r="QT3173" s="106"/>
      <c r="QU3173" s="106"/>
      <c r="QV3173" s="106"/>
      <c r="QW3173" s="106"/>
      <c r="QX3173" s="106"/>
      <c r="QY3173" s="106"/>
      <c r="QZ3173" s="106"/>
      <c r="RA3173" s="106"/>
      <c r="RB3173" s="106"/>
      <c r="RC3173" s="106"/>
      <c r="RD3173" s="106"/>
      <c r="RE3173" s="106"/>
      <c r="RF3173" s="106"/>
      <c r="RG3173" s="106"/>
      <c r="RH3173" s="106"/>
      <c r="RI3173" s="106"/>
      <c r="RJ3173" s="106"/>
      <c r="RK3173" s="106"/>
      <c r="RL3173" s="106"/>
    </row>
    <row r="3174" spans="88:480" x14ac:dyDescent="0.3">
      <c r="CJ3174" s="103"/>
      <c r="FP3174" s="103"/>
      <c r="LL3174" s="103"/>
      <c r="NM3174" s="103"/>
      <c r="QT3174" s="106"/>
      <c r="QU3174" s="106"/>
      <c r="QV3174" s="106"/>
      <c r="QW3174" s="106"/>
      <c r="QX3174" s="106"/>
      <c r="QY3174" s="106"/>
      <c r="QZ3174" s="106"/>
      <c r="RA3174" s="106"/>
      <c r="RB3174" s="106"/>
      <c r="RC3174" s="106"/>
      <c r="RD3174" s="106"/>
      <c r="RE3174" s="106"/>
      <c r="RF3174" s="106"/>
      <c r="RG3174" s="106"/>
      <c r="RH3174" s="106"/>
      <c r="RI3174" s="106"/>
      <c r="RJ3174" s="106"/>
      <c r="RK3174" s="106"/>
      <c r="RL3174" s="106"/>
    </row>
    <row r="3175" spans="88:480" x14ac:dyDescent="0.3">
      <c r="CJ3175" s="103"/>
      <c r="FP3175" s="103"/>
      <c r="LL3175" s="103"/>
      <c r="NM3175" s="103"/>
      <c r="QT3175" s="106"/>
      <c r="QU3175" s="106"/>
      <c r="QV3175" s="106"/>
      <c r="QW3175" s="106"/>
      <c r="QX3175" s="106"/>
      <c r="QY3175" s="106"/>
      <c r="QZ3175" s="106"/>
      <c r="RA3175" s="106"/>
      <c r="RB3175" s="106"/>
      <c r="RC3175" s="106"/>
      <c r="RD3175" s="106"/>
      <c r="RE3175" s="106"/>
      <c r="RF3175" s="106"/>
      <c r="RG3175" s="106"/>
      <c r="RH3175" s="106"/>
      <c r="RI3175" s="106"/>
      <c r="RJ3175" s="106"/>
      <c r="RK3175" s="106"/>
      <c r="RL3175" s="106"/>
    </row>
    <row r="3176" spans="88:480" x14ac:dyDescent="0.3">
      <c r="CJ3176" s="103"/>
      <c r="FP3176" s="103"/>
      <c r="LL3176" s="103"/>
      <c r="NM3176" s="103"/>
      <c r="QT3176" s="106"/>
      <c r="QU3176" s="106"/>
      <c r="QV3176" s="106"/>
      <c r="QW3176" s="106"/>
      <c r="QX3176" s="106"/>
      <c r="QY3176" s="106"/>
      <c r="QZ3176" s="106"/>
      <c r="RA3176" s="106"/>
      <c r="RB3176" s="106"/>
      <c r="RC3176" s="106"/>
      <c r="RD3176" s="106"/>
      <c r="RE3176" s="106"/>
      <c r="RF3176" s="106"/>
      <c r="RG3176" s="106"/>
      <c r="RH3176" s="106"/>
      <c r="RI3176" s="106"/>
      <c r="RJ3176" s="106"/>
      <c r="RK3176" s="106"/>
      <c r="RL3176" s="106"/>
    </row>
    <row r="3177" spans="88:480" x14ac:dyDescent="0.3">
      <c r="CJ3177" s="103"/>
      <c r="FP3177" s="103"/>
      <c r="LL3177" s="103"/>
      <c r="NM3177" s="103"/>
      <c r="QT3177" s="106"/>
      <c r="QU3177" s="106"/>
      <c r="QV3177" s="106"/>
      <c r="QW3177" s="106"/>
      <c r="QX3177" s="106"/>
      <c r="QY3177" s="106"/>
      <c r="QZ3177" s="106"/>
      <c r="RA3177" s="106"/>
      <c r="RB3177" s="106"/>
      <c r="RC3177" s="106"/>
      <c r="RD3177" s="106"/>
      <c r="RE3177" s="106"/>
      <c r="RF3177" s="106"/>
      <c r="RG3177" s="106"/>
      <c r="RH3177" s="106"/>
      <c r="RI3177" s="106"/>
      <c r="RJ3177" s="106"/>
      <c r="RK3177" s="106"/>
      <c r="RL3177" s="106"/>
    </row>
    <row r="3178" spans="88:480" x14ac:dyDescent="0.3">
      <c r="CJ3178" s="103"/>
      <c r="FP3178" s="103"/>
      <c r="LL3178" s="103"/>
      <c r="NM3178" s="103"/>
      <c r="QT3178" s="106"/>
      <c r="QU3178" s="106"/>
      <c r="QV3178" s="106"/>
      <c r="QW3178" s="106"/>
      <c r="QX3178" s="106"/>
      <c r="QY3178" s="106"/>
      <c r="QZ3178" s="106"/>
      <c r="RA3178" s="106"/>
      <c r="RB3178" s="106"/>
      <c r="RC3178" s="106"/>
      <c r="RD3178" s="106"/>
      <c r="RE3178" s="106"/>
      <c r="RF3178" s="106"/>
      <c r="RG3178" s="106"/>
      <c r="RH3178" s="106"/>
      <c r="RI3178" s="106"/>
      <c r="RJ3178" s="106"/>
      <c r="RK3178" s="106"/>
      <c r="RL3178" s="106"/>
    </row>
    <row r="3179" spans="88:480" x14ac:dyDescent="0.3">
      <c r="CJ3179" s="103"/>
      <c r="FP3179" s="103"/>
      <c r="LL3179" s="103"/>
      <c r="NM3179" s="103"/>
      <c r="QT3179" s="106"/>
      <c r="QU3179" s="106"/>
      <c r="QV3179" s="106"/>
      <c r="QW3179" s="106"/>
      <c r="QX3179" s="106"/>
      <c r="QY3179" s="106"/>
      <c r="QZ3179" s="106"/>
      <c r="RA3179" s="106"/>
      <c r="RB3179" s="106"/>
      <c r="RC3179" s="106"/>
      <c r="RD3179" s="106"/>
      <c r="RE3179" s="106"/>
      <c r="RF3179" s="106"/>
      <c r="RG3179" s="106"/>
      <c r="RH3179" s="106"/>
      <c r="RI3179" s="106"/>
      <c r="RJ3179" s="106"/>
      <c r="RK3179" s="106"/>
      <c r="RL3179" s="106"/>
    </row>
    <row r="3180" spans="88:480" x14ac:dyDescent="0.3">
      <c r="CJ3180" s="103"/>
      <c r="FP3180" s="103"/>
      <c r="LL3180" s="103"/>
      <c r="NM3180" s="103"/>
      <c r="QT3180" s="106"/>
      <c r="QU3180" s="106"/>
      <c r="QV3180" s="106"/>
      <c r="QW3180" s="106"/>
      <c r="QX3180" s="106"/>
      <c r="QY3180" s="106"/>
      <c r="QZ3180" s="106"/>
      <c r="RA3180" s="106"/>
      <c r="RB3180" s="106"/>
      <c r="RC3180" s="106"/>
      <c r="RD3180" s="106"/>
      <c r="RE3180" s="106"/>
      <c r="RF3180" s="106"/>
      <c r="RG3180" s="106"/>
      <c r="RH3180" s="106"/>
      <c r="RI3180" s="106"/>
      <c r="RJ3180" s="106"/>
      <c r="RK3180" s="106"/>
      <c r="RL3180" s="106"/>
    </row>
    <row r="3181" spans="88:480" x14ac:dyDescent="0.3">
      <c r="CJ3181" s="103"/>
      <c r="FP3181" s="103"/>
      <c r="LL3181" s="103"/>
      <c r="NM3181" s="103"/>
      <c r="QT3181" s="106"/>
      <c r="QU3181" s="106"/>
      <c r="QV3181" s="106"/>
      <c r="QW3181" s="106"/>
      <c r="QX3181" s="106"/>
      <c r="QY3181" s="106"/>
      <c r="QZ3181" s="106"/>
      <c r="RA3181" s="106"/>
      <c r="RB3181" s="106"/>
      <c r="RC3181" s="106"/>
      <c r="RD3181" s="106"/>
      <c r="RE3181" s="106"/>
      <c r="RF3181" s="106"/>
      <c r="RG3181" s="106"/>
      <c r="RH3181" s="106"/>
      <c r="RI3181" s="106"/>
      <c r="RJ3181" s="106"/>
      <c r="RK3181" s="106"/>
      <c r="RL3181" s="106"/>
    </row>
    <row r="3182" spans="88:480" x14ac:dyDescent="0.3">
      <c r="CJ3182" s="103"/>
      <c r="FP3182" s="103"/>
      <c r="LL3182" s="103"/>
      <c r="NM3182" s="103"/>
      <c r="QT3182" s="106"/>
      <c r="QU3182" s="106"/>
      <c r="QV3182" s="106"/>
      <c r="QW3182" s="106"/>
      <c r="QX3182" s="106"/>
      <c r="QY3182" s="106"/>
      <c r="QZ3182" s="106"/>
      <c r="RA3182" s="106"/>
      <c r="RB3182" s="106"/>
      <c r="RC3182" s="106"/>
      <c r="RD3182" s="106"/>
      <c r="RE3182" s="106"/>
      <c r="RF3182" s="106"/>
      <c r="RG3182" s="106"/>
      <c r="RH3182" s="106"/>
      <c r="RI3182" s="106"/>
      <c r="RJ3182" s="106"/>
      <c r="RK3182" s="106"/>
      <c r="RL3182" s="106"/>
    </row>
    <row r="3183" spans="88:480" x14ac:dyDescent="0.3">
      <c r="CJ3183" s="103"/>
      <c r="FP3183" s="103"/>
      <c r="LL3183" s="103"/>
      <c r="NM3183" s="103"/>
      <c r="QT3183" s="106"/>
      <c r="QU3183" s="106"/>
      <c r="QV3183" s="106"/>
      <c r="QW3183" s="106"/>
      <c r="QX3183" s="106"/>
      <c r="QY3183" s="106"/>
      <c r="QZ3183" s="106"/>
      <c r="RA3183" s="106"/>
      <c r="RB3183" s="106"/>
      <c r="RC3183" s="106"/>
      <c r="RD3183" s="106"/>
      <c r="RE3183" s="106"/>
      <c r="RF3183" s="106"/>
      <c r="RG3183" s="106"/>
      <c r="RH3183" s="106"/>
      <c r="RI3183" s="106"/>
      <c r="RJ3183" s="106"/>
      <c r="RK3183" s="106"/>
      <c r="RL3183" s="106"/>
    </row>
    <row r="3184" spans="88:480" x14ac:dyDescent="0.3">
      <c r="CJ3184" s="103"/>
      <c r="FP3184" s="103"/>
      <c r="LL3184" s="103"/>
      <c r="NM3184" s="103"/>
      <c r="QT3184" s="106"/>
      <c r="QU3184" s="106"/>
      <c r="QV3184" s="106"/>
      <c r="QW3184" s="106"/>
      <c r="QX3184" s="106"/>
      <c r="QY3184" s="106"/>
      <c r="QZ3184" s="106"/>
      <c r="RA3184" s="106"/>
      <c r="RB3184" s="106"/>
      <c r="RC3184" s="106"/>
      <c r="RD3184" s="106"/>
      <c r="RE3184" s="106"/>
      <c r="RF3184" s="106"/>
      <c r="RG3184" s="106"/>
      <c r="RH3184" s="106"/>
      <c r="RI3184" s="106"/>
      <c r="RJ3184" s="106"/>
      <c r="RK3184" s="106"/>
      <c r="RL3184" s="106"/>
    </row>
    <row r="3185" spans="88:480" x14ac:dyDescent="0.3">
      <c r="CJ3185" s="103"/>
      <c r="FP3185" s="103"/>
      <c r="LL3185" s="103"/>
      <c r="NM3185" s="103"/>
      <c r="QT3185" s="106"/>
      <c r="QU3185" s="106"/>
      <c r="QV3185" s="106"/>
      <c r="QW3185" s="106"/>
      <c r="QX3185" s="106"/>
      <c r="QY3185" s="106"/>
      <c r="QZ3185" s="106"/>
      <c r="RA3185" s="106"/>
      <c r="RB3185" s="106"/>
      <c r="RC3185" s="106"/>
      <c r="RD3185" s="106"/>
      <c r="RE3185" s="106"/>
      <c r="RF3185" s="106"/>
      <c r="RG3185" s="106"/>
      <c r="RH3185" s="106"/>
      <c r="RI3185" s="106"/>
      <c r="RJ3185" s="106"/>
      <c r="RK3185" s="106"/>
      <c r="RL3185" s="106"/>
    </row>
    <row r="3186" spans="88:480" x14ac:dyDescent="0.3">
      <c r="CJ3186" s="103"/>
      <c r="FP3186" s="103"/>
      <c r="LL3186" s="103"/>
      <c r="NM3186" s="103"/>
      <c r="QT3186" s="106"/>
      <c r="QU3186" s="106"/>
      <c r="QV3186" s="106"/>
      <c r="QW3186" s="106"/>
      <c r="QX3186" s="106"/>
      <c r="QY3186" s="106"/>
      <c r="QZ3186" s="106"/>
      <c r="RA3186" s="106"/>
      <c r="RB3186" s="106"/>
      <c r="RC3186" s="106"/>
      <c r="RD3186" s="106"/>
      <c r="RE3186" s="106"/>
      <c r="RF3186" s="106"/>
      <c r="RG3186" s="106"/>
      <c r="RH3186" s="106"/>
      <c r="RI3186" s="106"/>
      <c r="RJ3186" s="106"/>
      <c r="RK3186" s="106"/>
      <c r="RL3186" s="106"/>
    </row>
    <row r="3187" spans="88:480" x14ac:dyDescent="0.3">
      <c r="CJ3187" s="103"/>
      <c r="FP3187" s="103"/>
      <c r="LL3187" s="103"/>
      <c r="NM3187" s="103"/>
      <c r="QT3187" s="106"/>
      <c r="QU3187" s="106"/>
      <c r="QV3187" s="106"/>
      <c r="QW3187" s="106"/>
      <c r="QX3187" s="106"/>
      <c r="QY3187" s="106"/>
      <c r="QZ3187" s="106"/>
      <c r="RA3187" s="106"/>
      <c r="RB3187" s="106"/>
      <c r="RC3187" s="106"/>
      <c r="RD3187" s="106"/>
      <c r="RE3187" s="106"/>
      <c r="RF3187" s="106"/>
      <c r="RG3187" s="106"/>
      <c r="RH3187" s="106"/>
      <c r="RI3187" s="106"/>
      <c r="RJ3187" s="106"/>
      <c r="RK3187" s="106"/>
      <c r="RL3187" s="106"/>
    </row>
    <row r="3188" spans="88:480" x14ac:dyDescent="0.3">
      <c r="CJ3188" s="103"/>
      <c r="FP3188" s="103"/>
      <c r="LL3188" s="103"/>
      <c r="NM3188" s="103"/>
      <c r="QT3188" s="106"/>
      <c r="QU3188" s="106"/>
      <c r="QV3188" s="106"/>
      <c r="QW3188" s="106"/>
      <c r="QX3188" s="106"/>
      <c r="QY3188" s="106"/>
      <c r="QZ3188" s="106"/>
      <c r="RA3188" s="106"/>
      <c r="RB3188" s="106"/>
      <c r="RC3188" s="106"/>
      <c r="RD3188" s="106"/>
      <c r="RE3188" s="106"/>
      <c r="RF3188" s="106"/>
      <c r="RG3188" s="106"/>
      <c r="RH3188" s="106"/>
      <c r="RI3188" s="106"/>
      <c r="RJ3188" s="106"/>
      <c r="RK3188" s="106"/>
      <c r="RL3188" s="106"/>
    </row>
    <row r="3189" spans="88:480" x14ac:dyDescent="0.3">
      <c r="CJ3189" s="103"/>
      <c r="FP3189" s="103"/>
      <c r="LL3189" s="103"/>
      <c r="NM3189" s="103"/>
      <c r="QT3189" s="106"/>
      <c r="QU3189" s="106"/>
      <c r="QV3189" s="106"/>
      <c r="QW3189" s="106"/>
      <c r="QX3189" s="106"/>
      <c r="QY3189" s="106"/>
      <c r="QZ3189" s="106"/>
      <c r="RA3189" s="106"/>
      <c r="RB3189" s="106"/>
      <c r="RC3189" s="106"/>
      <c r="RD3189" s="106"/>
      <c r="RE3189" s="106"/>
      <c r="RF3189" s="106"/>
      <c r="RG3189" s="106"/>
      <c r="RH3189" s="106"/>
      <c r="RI3189" s="106"/>
      <c r="RJ3189" s="106"/>
      <c r="RK3189" s="106"/>
      <c r="RL3189" s="106"/>
    </row>
    <row r="3190" spans="88:480" x14ac:dyDescent="0.3">
      <c r="CJ3190" s="103"/>
      <c r="FP3190" s="103"/>
      <c r="LL3190" s="103"/>
      <c r="NM3190" s="103"/>
      <c r="QT3190" s="106"/>
      <c r="QU3190" s="106"/>
      <c r="QV3190" s="106"/>
      <c r="QW3190" s="106"/>
      <c r="QX3190" s="106"/>
      <c r="QY3190" s="106"/>
      <c r="QZ3190" s="106"/>
      <c r="RA3190" s="106"/>
      <c r="RB3190" s="106"/>
      <c r="RC3190" s="106"/>
      <c r="RD3190" s="106"/>
      <c r="RE3190" s="106"/>
      <c r="RF3190" s="106"/>
      <c r="RG3190" s="106"/>
      <c r="RH3190" s="106"/>
      <c r="RI3190" s="106"/>
      <c r="RJ3190" s="106"/>
      <c r="RK3190" s="106"/>
      <c r="RL3190" s="106"/>
    </row>
    <row r="3191" spans="88:480" x14ac:dyDescent="0.3">
      <c r="CJ3191" s="103"/>
      <c r="FP3191" s="103"/>
      <c r="LL3191" s="103"/>
      <c r="NM3191" s="103"/>
      <c r="QT3191" s="106"/>
      <c r="QU3191" s="106"/>
      <c r="QV3191" s="106"/>
      <c r="QW3191" s="106"/>
      <c r="QX3191" s="106"/>
      <c r="QY3191" s="106"/>
      <c r="QZ3191" s="106"/>
      <c r="RA3191" s="106"/>
      <c r="RB3191" s="106"/>
      <c r="RC3191" s="106"/>
      <c r="RD3191" s="106"/>
      <c r="RE3191" s="106"/>
      <c r="RF3191" s="106"/>
      <c r="RG3191" s="106"/>
      <c r="RH3191" s="106"/>
      <c r="RI3191" s="106"/>
      <c r="RJ3191" s="106"/>
      <c r="RK3191" s="106"/>
      <c r="RL3191" s="106"/>
    </row>
    <row r="3192" spans="88:480" x14ac:dyDescent="0.3">
      <c r="CJ3192" s="103"/>
      <c r="FP3192" s="103"/>
      <c r="LL3192" s="103"/>
      <c r="NM3192" s="103"/>
      <c r="QT3192" s="106"/>
      <c r="QU3192" s="106"/>
      <c r="QV3192" s="106"/>
      <c r="QW3192" s="106"/>
      <c r="QX3192" s="106"/>
      <c r="QY3192" s="106"/>
      <c r="QZ3192" s="106"/>
      <c r="RA3192" s="106"/>
      <c r="RB3192" s="106"/>
      <c r="RC3192" s="106"/>
      <c r="RD3192" s="106"/>
      <c r="RE3192" s="106"/>
      <c r="RF3192" s="106"/>
      <c r="RG3192" s="106"/>
      <c r="RH3192" s="106"/>
      <c r="RI3192" s="106"/>
      <c r="RJ3192" s="106"/>
      <c r="RK3192" s="106"/>
      <c r="RL3192" s="106"/>
    </row>
    <row r="3193" spans="88:480" x14ac:dyDescent="0.3">
      <c r="CJ3193" s="103"/>
      <c r="FP3193" s="103"/>
      <c r="LL3193" s="103"/>
      <c r="NM3193" s="103"/>
      <c r="QT3193" s="106"/>
      <c r="QU3193" s="106"/>
      <c r="QV3193" s="106"/>
      <c r="QW3193" s="106"/>
      <c r="QX3193" s="106"/>
      <c r="QY3193" s="106"/>
      <c r="QZ3193" s="106"/>
      <c r="RA3193" s="106"/>
      <c r="RB3193" s="106"/>
      <c r="RC3193" s="106"/>
      <c r="RD3193" s="106"/>
      <c r="RE3193" s="106"/>
      <c r="RF3193" s="106"/>
      <c r="RG3193" s="106"/>
      <c r="RH3193" s="106"/>
      <c r="RI3193" s="106"/>
      <c r="RJ3193" s="106"/>
      <c r="RK3193" s="106"/>
      <c r="RL3193" s="106"/>
    </row>
    <row r="3194" spans="88:480" x14ac:dyDescent="0.3">
      <c r="CJ3194" s="103"/>
      <c r="FP3194" s="103"/>
      <c r="LL3194" s="103"/>
      <c r="NM3194" s="103"/>
      <c r="QT3194" s="106"/>
      <c r="QU3194" s="106"/>
      <c r="QV3194" s="106"/>
      <c r="QW3194" s="106"/>
      <c r="QX3194" s="106"/>
      <c r="QY3194" s="106"/>
      <c r="QZ3194" s="106"/>
      <c r="RA3194" s="106"/>
      <c r="RB3194" s="106"/>
      <c r="RC3194" s="106"/>
      <c r="RD3194" s="106"/>
      <c r="RE3194" s="106"/>
      <c r="RF3194" s="106"/>
      <c r="RG3194" s="106"/>
      <c r="RH3194" s="106"/>
      <c r="RI3194" s="106"/>
      <c r="RJ3194" s="106"/>
      <c r="RK3194" s="106"/>
      <c r="RL3194" s="106"/>
    </row>
    <row r="3195" spans="88:480" x14ac:dyDescent="0.3">
      <c r="CJ3195" s="103"/>
      <c r="FP3195" s="103"/>
      <c r="LL3195" s="103"/>
      <c r="NM3195" s="103"/>
      <c r="QT3195" s="106"/>
      <c r="QU3195" s="106"/>
      <c r="QV3195" s="106"/>
      <c r="QW3195" s="106"/>
      <c r="QX3195" s="106"/>
      <c r="QY3195" s="106"/>
      <c r="QZ3195" s="106"/>
      <c r="RA3195" s="106"/>
      <c r="RB3195" s="106"/>
      <c r="RC3195" s="106"/>
      <c r="RD3195" s="106"/>
      <c r="RE3195" s="106"/>
      <c r="RF3195" s="106"/>
      <c r="RG3195" s="106"/>
      <c r="RH3195" s="106"/>
      <c r="RI3195" s="106"/>
      <c r="RJ3195" s="106"/>
      <c r="RK3195" s="106"/>
      <c r="RL3195" s="106"/>
    </row>
    <row r="3196" spans="88:480" x14ac:dyDescent="0.3">
      <c r="CJ3196" s="103"/>
      <c r="FP3196" s="103"/>
      <c r="LL3196" s="103"/>
      <c r="NM3196" s="103"/>
      <c r="QT3196" s="106"/>
      <c r="QU3196" s="106"/>
      <c r="QV3196" s="106"/>
      <c r="QW3196" s="106"/>
      <c r="QX3196" s="106"/>
      <c r="QY3196" s="106"/>
      <c r="QZ3196" s="106"/>
      <c r="RA3196" s="106"/>
      <c r="RB3196" s="106"/>
      <c r="RC3196" s="106"/>
      <c r="RD3196" s="106"/>
      <c r="RE3196" s="106"/>
      <c r="RF3196" s="106"/>
      <c r="RG3196" s="106"/>
      <c r="RH3196" s="106"/>
      <c r="RI3196" s="106"/>
      <c r="RJ3196" s="106"/>
      <c r="RK3196" s="106"/>
      <c r="RL3196" s="106"/>
    </row>
    <row r="3197" spans="88:480" x14ac:dyDescent="0.3">
      <c r="CJ3197" s="103"/>
      <c r="FP3197" s="103"/>
      <c r="LL3197" s="103"/>
      <c r="NM3197" s="103"/>
      <c r="QT3197" s="106"/>
      <c r="QU3197" s="106"/>
      <c r="QV3197" s="106"/>
      <c r="QW3197" s="106"/>
      <c r="QX3197" s="106"/>
      <c r="QY3197" s="106"/>
      <c r="QZ3197" s="106"/>
      <c r="RA3197" s="106"/>
      <c r="RB3197" s="106"/>
      <c r="RC3197" s="106"/>
      <c r="RD3197" s="106"/>
      <c r="RE3197" s="106"/>
      <c r="RF3197" s="106"/>
      <c r="RG3197" s="106"/>
      <c r="RH3197" s="106"/>
      <c r="RI3197" s="106"/>
      <c r="RJ3197" s="106"/>
      <c r="RK3197" s="106"/>
      <c r="RL3197" s="106"/>
    </row>
    <row r="3198" spans="88:480" x14ac:dyDescent="0.3">
      <c r="CJ3198" s="103"/>
      <c r="FP3198" s="103"/>
      <c r="LL3198" s="103"/>
      <c r="NM3198" s="103"/>
      <c r="QT3198" s="106"/>
      <c r="QU3198" s="106"/>
      <c r="QV3198" s="106"/>
      <c r="QW3198" s="106"/>
      <c r="QX3198" s="106"/>
      <c r="QY3198" s="106"/>
      <c r="QZ3198" s="106"/>
      <c r="RA3198" s="106"/>
      <c r="RB3198" s="106"/>
      <c r="RC3198" s="106"/>
      <c r="RD3198" s="106"/>
      <c r="RE3198" s="106"/>
      <c r="RF3198" s="106"/>
      <c r="RG3198" s="106"/>
      <c r="RH3198" s="106"/>
      <c r="RI3198" s="106"/>
      <c r="RJ3198" s="106"/>
      <c r="RK3198" s="106"/>
      <c r="RL3198" s="106"/>
    </row>
    <row r="3199" spans="88:480" x14ac:dyDescent="0.3">
      <c r="CJ3199" s="103"/>
      <c r="FP3199" s="103"/>
      <c r="LL3199" s="103"/>
      <c r="NM3199" s="103"/>
      <c r="QT3199" s="106"/>
      <c r="QU3199" s="106"/>
      <c r="QV3199" s="106"/>
      <c r="QW3199" s="106"/>
      <c r="QX3199" s="106"/>
      <c r="QY3199" s="106"/>
      <c r="QZ3199" s="106"/>
      <c r="RA3199" s="106"/>
      <c r="RB3199" s="106"/>
      <c r="RC3199" s="106"/>
      <c r="RD3199" s="106"/>
      <c r="RE3199" s="106"/>
      <c r="RF3199" s="106"/>
      <c r="RG3199" s="106"/>
      <c r="RH3199" s="106"/>
      <c r="RI3199" s="106"/>
      <c r="RJ3199" s="106"/>
      <c r="RK3199" s="106"/>
      <c r="RL3199" s="106"/>
    </row>
    <row r="3200" spans="88:480" x14ac:dyDescent="0.3">
      <c r="CJ3200" s="103"/>
      <c r="FP3200" s="103"/>
      <c r="LL3200" s="103"/>
      <c r="NM3200" s="103"/>
      <c r="QT3200" s="106"/>
      <c r="QU3200" s="106"/>
      <c r="QV3200" s="106"/>
      <c r="QW3200" s="106"/>
      <c r="QX3200" s="106"/>
      <c r="QY3200" s="106"/>
      <c r="QZ3200" s="106"/>
      <c r="RA3200" s="106"/>
      <c r="RB3200" s="106"/>
      <c r="RC3200" s="106"/>
      <c r="RD3200" s="106"/>
      <c r="RE3200" s="106"/>
      <c r="RF3200" s="106"/>
      <c r="RG3200" s="106"/>
      <c r="RH3200" s="106"/>
      <c r="RI3200" s="106"/>
      <c r="RJ3200" s="106"/>
      <c r="RK3200" s="106"/>
      <c r="RL3200" s="106"/>
    </row>
    <row r="3201" spans="88:480" x14ac:dyDescent="0.3">
      <c r="CJ3201" s="103"/>
      <c r="FP3201" s="103"/>
      <c r="LL3201" s="103"/>
      <c r="NM3201" s="103"/>
      <c r="QT3201" s="106"/>
      <c r="QU3201" s="106"/>
      <c r="QV3201" s="106"/>
      <c r="QW3201" s="106"/>
      <c r="QX3201" s="106"/>
      <c r="QY3201" s="106"/>
      <c r="QZ3201" s="106"/>
      <c r="RA3201" s="106"/>
      <c r="RB3201" s="106"/>
      <c r="RC3201" s="106"/>
      <c r="RD3201" s="106"/>
      <c r="RE3201" s="106"/>
      <c r="RF3201" s="106"/>
      <c r="RG3201" s="106"/>
      <c r="RH3201" s="106"/>
      <c r="RI3201" s="106"/>
      <c r="RJ3201" s="106"/>
      <c r="RK3201" s="106"/>
      <c r="RL3201" s="106"/>
    </row>
    <row r="3202" spans="88:480" x14ac:dyDescent="0.3">
      <c r="CJ3202" s="103"/>
      <c r="FP3202" s="103"/>
      <c r="LL3202" s="103"/>
      <c r="NM3202" s="103"/>
      <c r="QT3202" s="106"/>
      <c r="QU3202" s="106"/>
      <c r="QV3202" s="106"/>
      <c r="QW3202" s="106"/>
      <c r="QX3202" s="106"/>
      <c r="QY3202" s="106"/>
      <c r="QZ3202" s="106"/>
      <c r="RA3202" s="106"/>
      <c r="RB3202" s="106"/>
      <c r="RC3202" s="106"/>
      <c r="RD3202" s="106"/>
      <c r="RE3202" s="106"/>
      <c r="RF3202" s="106"/>
      <c r="RG3202" s="106"/>
      <c r="RH3202" s="106"/>
      <c r="RI3202" s="106"/>
      <c r="RJ3202" s="106"/>
      <c r="RK3202" s="106"/>
      <c r="RL3202" s="106"/>
    </row>
    <row r="3203" spans="88:480" x14ac:dyDescent="0.3">
      <c r="CJ3203" s="103"/>
      <c r="FP3203" s="103"/>
      <c r="LL3203" s="103"/>
      <c r="NM3203" s="103"/>
      <c r="QT3203" s="106"/>
      <c r="QU3203" s="106"/>
      <c r="QV3203" s="106"/>
      <c r="QW3203" s="106"/>
      <c r="QX3203" s="106"/>
      <c r="QY3203" s="106"/>
      <c r="QZ3203" s="106"/>
      <c r="RA3203" s="106"/>
      <c r="RB3203" s="106"/>
      <c r="RC3203" s="106"/>
      <c r="RD3203" s="106"/>
      <c r="RE3203" s="106"/>
      <c r="RF3203" s="106"/>
      <c r="RG3203" s="106"/>
      <c r="RH3203" s="106"/>
      <c r="RI3203" s="106"/>
      <c r="RJ3203" s="106"/>
      <c r="RK3203" s="106"/>
      <c r="RL3203" s="106"/>
    </row>
    <row r="3204" spans="88:480" x14ac:dyDescent="0.3">
      <c r="CJ3204" s="103"/>
      <c r="FP3204" s="103"/>
      <c r="LL3204" s="103"/>
      <c r="NM3204" s="103"/>
      <c r="QT3204" s="106"/>
      <c r="QU3204" s="106"/>
      <c r="QV3204" s="106"/>
      <c r="QW3204" s="106"/>
      <c r="QX3204" s="106"/>
      <c r="QY3204" s="106"/>
      <c r="QZ3204" s="106"/>
      <c r="RA3204" s="106"/>
      <c r="RB3204" s="106"/>
      <c r="RC3204" s="106"/>
      <c r="RD3204" s="106"/>
      <c r="RE3204" s="106"/>
      <c r="RF3204" s="106"/>
      <c r="RG3204" s="106"/>
      <c r="RH3204" s="106"/>
      <c r="RI3204" s="106"/>
      <c r="RJ3204" s="106"/>
      <c r="RK3204" s="106"/>
      <c r="RL3204" s="106"/>
    </row>
    <row r="3205" spans="88:480" x14ac:dyDescent="0.3">
      <c r="CJ3205" s="103"/>
      <c r="FP3205" s="103"/>
      <c r="LL3205" s="103"/>
      <c r="NM3205" s="103"/>
      <c r="QT3205" s="106"/>
      <c r="QU3205" s="106"/>
      <c r="QV3205" s="106"/>
      <c r="QW3205" s="106"/>
      <c r="QX3205" s="106"/>
      <c r="QY3205" s="106"/>
      <c r="QZ3205" s="106"/>
      <c r="RA3205" s="106"/>
      <c r="RB3205" s="106"/>
      <c r="RC3205" s="106"/>
      <c r="RD3205" s="106"/>
      <c r="RE3205" s="106"/>
      <c r="RF3205" s="106"/>
      <c r="RG3205" s="106"/>
      <c r="RH3205" s="106"/>
      <c r="RI3205" s="106"/>
      <c r="RJ3205" s="106"/>
      <c r="RK3205" s="106"/>
      <c r="RL3205" s="106"/>
    </row>
    <row r="3206" spans="88:480" x14ac:dyDescent="0.3">
      <c r="CJ3206" s="103"/>
      <c r="FP3206" s="103"/>
      <c r="LL3206" s="103"/>
      <c r="NM3206" s="103"/>
      <c r="QT3206" s="106"/>
      <c r="QU3206" s="106"/>
      <c r="QV3206" s="106"/>
      <c r="QW3206" s="106"/>
      <c r="QX3206" s="106"/>
      <c r="QY3206" s="106"/>
      <c r="QZ3206" s="106"/>
      <c r="RA3206" s="106"/>
      <c r="RB3206" s="106"/>
      <c r="RC3206" s="106"/>
      <c r="RD3206" s="106"/>
      <c r="RE3206" s="106"/>
      <c r="RF3206" s="106"/>
      <c r="RG3206" s="106"/>
      <c r="RH3206" s="106"/>
      <c r="RI3206" s="106"/>
      <c r="RJ3206" s="106"/>
      <c r="RK3206" s="106"/>
      <c r="RL3206" s="106"/>
    </row>
    <row r="3207" spans="88:480" x14ac:dyDescent="0.3">
      <c r="CJ3207" s="103"/>
      <c r="FP3207" s="103"/>
      <c r="LL3207" s="103"/>
      <c r="NM3207" s="103"/>
      <c r="QT3207" s="106"/>
      <c r="QU3207" s="106"/>
      <c r="QV3207" s="106"/>
      <c r="QW3207" s="106"/>
      <c r="QX3207" s="106"/>
      <c r="QY3207" s="106"/>
      <c r="QZ3207" s="106"/>
      <c r="RA3207" s="106"/>
      <c r="RB3207" s="106"/>
      <c r="RC3207" s="106"/>
      <c r="RD3207" s="106"/>
      <c r="RE3207" s="106"/>
      <c r="RF3207" s="106"/>
      <c r="RG3207" s="106"/>
      <c r="RH3207" s="106"/>
      <c r="RI3207" s="106"/>
      <c r="RJ3207" s="106"/>
      <c r="RK3207" s="106"/>
      <c r="RL3207" s="106"/>
    </row>
    <row r="3208" spans="88:480" x14ac:dyDescent="0.3">
      <c r="CJ3208" s="103"/>
      <c r="FP3208" s="103"/>
      <c r="LL3208" s="103"/>
      <c r="NM3208" s="103"/>
      <c r="QT3208" s="106"/>
      <c r="QU3208" s="106"/>
      <c r="QV3208" s="106"/>
      <c r="QW3208" s="106"/>
      <c r="QX3208" s="106"/>
      <c r="QY3208" s="106"/>
      <c r="QZ3208" s="106"/>
      <c r="RA3208" s="106"/>
      <c r="RB3208" s="106"/>
      <c r="RC3208" s="106"/>
      <c r="RD3208" s="106"/>
      <c r="RE3208" s="106"/>
      <c r="RF3208" s="106"/>
      <c r="RG3208" s="106"/>
      <c r="RH3208" s="106"/>
      <c r="RI3208" s="106"/>
      <c r="RJ3208" s="106"/>
      <c r="RK3208" s="106"/>
      <c r="RL3208" s="106"/>
    </row>
    <row r="3209" spans="88:480" x14ac:dyDescent="0.3">
      <c r="CJ3209" s="103"/>
      <c r="FP3209" s="103"/>
      <c r="LL3209" s="103"/>
      <c r="NM3209" s="103"/>
      <c r="QT3209" s="106"/>
      <c r="QU3209" s="106"/>
      <c r="QV3209" s="106"/>
      <c r="QW3209" s="106"/>
      <c r="QX3209" s="106"/>
      <c r="QY3209" s="106"/>
      <c r="QZ3209" s="106"/>
      <c r="RA3209" s="106"/>
      <c r="RB3209" s="106"/>
      <c r="RC3209" s="106"/>
      <c r="RD3209" s="106"/>
      <c r="RE3209" s="106"/>
      <c r="RF3209" s="106"/>
      <c r="RG3209" s="106"/>
      <c r="RH3209" s="106"/>
      <c r="RI3209" s="106"/>
      <c r="RJ3209" s="106"/>
      <c r="RK3209" s="106"/>
      <c r="RL3209" s="106"/>
    </row>
    <row r="3210" spans="88:480" x14ac:dyDescent="0.3">
      <c r="CJ3210" s="103"/>
      <c r="FP3210" s="103"/>
      <c r="LL3210" s="103"/>
      <c r="NM3210" s="103"/>
      <c r="QT3210" s="106"/>
      <c r="QU3210" s="106"/>
      <c r="QV3210" s="106"/>
      <c r="QW3210" s="106"/>
      <c r="QX3210" s="106"/>
      <c r="QY3210" s="106"/>
      <c r="QZ3210" s="106"/>
      <c r="RA3210" s="106"/>
      <c r="RB3210" s="106"/>
      <c r="RC3210" s="106"/>
      <c r="RD3210" s="106"/>
      <c r="RE3210" s="106"/>
      <c r="RF3210" s="106"/>
      <c r="RG3210" s="106"/>
      <c r="RH3210" s="106"/>
      <c r="RI3210" s="106"/>
      <c r="RJ3210" s="106"/>
      <c r="RK3210" s="106"/>
      <c r="RL3210" s="106"/>
    </row>
    <row r="3211" spans="88:480" x14ac:dyDescent="0.3">
      <c r="CJ3211" s="103"/>
      <c r="FP3211" s="103"/>
      <c r="LL3211" s="103"/>
      <c r="NM3211" s="103"/>
      <c r="QT3211" s="106"/>
      <c r="QU3211" s="106"/>
      <c r="QV3211" s="106"/>
      <c r="QW3211" s="106"/>
      <c r="QX3211" s="106"/>
      <c r="QY3211" s="106"/>
      <c r="QZ3211" s="106"/>
      <c r="RA3211" s="106"/>
      <c r="RB3211" s="106"/>
      <c r="RC3211" s="106"/>
      <c r="RD3211" s="106"/>
      <c r="RE3211" s="106"/>
      <c r="RF3211" s="106"/>
      <c r="RG3211" s="106"/>
      <c r="RH3211" s="106"/>
      <c r="RI3211" s="106"/>
      <c r="RJ3211" s="106"/>
      <c r="RK3211" s="106"/>
      <c r="RL3211" s="106"/>
    </row>
    <row r="3212" spans="88:480" x14ac:dyDescent="0.3">
      <c r="CJ3212" s="103"/>
      <c r="FP3212" s="103"/>
      <c r="LL3212" s="103"/>
      <c r="NM3212" s="103"/>
      <c r="QT3212" s="106"/>
      <c r="QU3212" s="106"/>
      <c r="QV3212" s="106"/>
      <c r="QW3212" s="106"/>
      <c r="QX3212" s="106"/>
      <c r="QY3212" s="106"/>
      <c r="QZ3212" s="106"/>
      <c r="RA3212" s="106"/>
      <c r="RB3212" s="106"/>
      <c r="RC3212" s="106"/>
      <c r="RD3212" s="106"/>
      <c r="RE3212" s="106"/>
      <c r="RF3212" s="106"/>
      <c r="RG3212" s="106"/>
      <c r="RH3212" s="106"/>
      <c r="RI3212" s="106"/>
      <c r="RJ3212" s="106"/>
      <c r="RK3212" s="106"/>
      <c r="RL3212" s="106"/>
    </row>
    <row r="3213" spans="88:480" x14ac:dyDescent="0.3">
      <c r="CJ3213" s="103"/>
      <c r="FP3213" s="103"/>
      <c r="LL3213" s="103"/>
      <c r="NM3213" s="103"/>
      <c r="QT3213" s="106"/>
      <c r="QU3213" s="106"/>
      <c r="QV3213" s="106"/>
      <c r="QW3213" s="106"/>
      <c r="QX3213" s="106"/>
      <c r="QY3213" s="106"/>
      <c r="QZ3213" s="106"/>
      <c r="RA3213" s="106"/>
      <c r="RB3213" s="106"/>
      <c r="RC3213" s="106"/>
      <c r="RD3213" s="106"/>
      <c r="RE3213" s="106"/>
      <c r="RF3213" s="106"/>
      <c r="RG3213" s="106"/>
      <c r="RH3213" s="106"/>
      <c r="RI3213" s="106"/>
      <c r="RJ3213" s="106"/>
      <c r="RK3213" s="106"/>
      <c r="RL3213" s="106"/>
    </row>
    <row r="3214" spans="88:480" x14ac:dyDescent="0.3">
      <c r="CJ3214" s="103"/>
      <c r="FP3214" s="103"/>
      <c r="LL3214" s="103"/>
      <c r="NM3214" s="103"/>
      <c r="QT3214" s="106"/>
      <c r="QU3214" s="106"/>
      <c r="QV3214" s="106"/>
      <c r="QW3214" s="106"/>
      <c r="QX3214" s="106"/>
      <c r="QY3214" s="106"/>
      <c r="QZ3214" s="106"/>
      <c r="RA3214" s="106"/>
      <c r="RB3214" s="106"/>
      <c r="RC3214" s="106"/>
      <c r="RD3214" s="106"/>
      <c r="RE3214" s="106"/>
      <c r="RF3214" s="106"/>
      <c r="RG3214" s="106"/>
      <c r="RH3214" s="106"/>
      <c r="RI3214" s="106"/>
      <c r="RJ3214" s="106"/>
      <c r="RK3214" s="106"/>
      <c r="RL3214" s="106"/>
    </row>
    <row r="3215" spans="88:480" x14ac:dyDescent="0.3">
      <c r="CJ3215" s="103"/>
      <c r="FP3215" s="103"/>
      <c r="LL3215" s="103"/>
      <c r="NM3215" s="103"/>
      <c r="QT3215" s="106"/>
      <c r="QU3215" s="106"/>
      <c r="QV3215" s="106"/>
      <c r="QW3215" s="106"/>
      <c r="QX3215" s="106"/>
      <c r="QY3215" s="106"/>
      <c r="QZ3215" s="106"/>
      <c r="RA3215" s="106"/>
      <c r="RB3215" s="106"/>
      <c r="RC3215" s="106"/>
      <c r="RD3215" s="106"/>
      <c r="RE3215" s="106"/>
      <c r="RF3215" s="106"/>
      <c r="RG3215" s="106"/>
      <c r="RH3215" s="106"/>
      <c r="RI3215" s="106"/>
      <c r="RJ3215" s="106"/>
      <c r="RK3215" s="106"/>
      <c r="RL3215" s="106"/>
    </row>
    <row r="3216" spans="88:480" x14ac:dyDescent="0.3">
      <c r="CJ3216" s="103"/>
      <c r="FP3216" s="103"/>
      <c r="LL3216" s="103"/>
      <c r="NM3216" s="103"/>
      <c r="QT3216" s="106"/>
      <c r="QU3216" s="106"/>
      <c r="QV3216" s="106"/>
      <c r="QW3216" s="106"/>
      <c r="QX3216" s="106"/>
      <c r="QY3216" s="106"/>
      <c r="QZ3216" s="106"/>
      <c r="RA3216" s="106"/>
      <c r="RB3216" s="106"/>
      <c r="RC3216" s="106"/>
      <c r="RD3216" s="106"/>
      <c r="RE3216" s="106"/>
      <c r="RF3216" s="106"/>
      <c r="RG3216" s="106"/>
      <c r="RH3216" s="106"/>
      <c r="RI3216" s="106"/>
      <c r="RJ3216" s="106"/>
      <c r="RK3216" s="106"/>
      <c r="RL3216" s="106"/>
    </row>
    <row r="3217" spans="88:480" x14ac:dyDescent="0.3">
      <c r="CJ3217" s="103"/>
      <c r="FP3217" s="103"/>
      <c r="LL3217" s="103"/>
      <c r="NM3217" s="103"/>
      <c r="QT3217" s="106"/>
      <c r="QU3217" s="106"/>
      <c r="QV3217" s="106"/>
      <c r="QW3217" s="106"/>
      <c r="QX3217" s="106"/>
      <c r="QY3217" s="106"/>
      <c r="QZ3217" s="106"/>
      <c r="RA3217" s="106"/>
      <c r="RB3217" s="106"/>
      <c r="RC3217" s="106"/>
      <c r="RD3217" s="106"/>
      <c r="RE3217" s="106"/>
      <c r="RF3217" s="106"/>
      <c r="RG3217" s="106"/>
      <c r="RH3217" s="106"/>
      <c r="RI3217" s="106"/>
      <c r="RJ3217" s="106"/>
      <c r="RK3217" s="106"/>
      <c r="RL3217" s="106"/>
    </row>
    <row r="3218" spans="88:480" x14ac:dyDescent="0.3">
      <c r="CJ3218" s="103"/>
      <c r="FP3218" s="103"/>
      <c r="LL3218" s="103"/>
      <c r="NM3218" s="103"/>
      <c r="QT3218" s="106"/>
      <c r="QU3218" s="106"/>
      <c r="QV3218" s="106"/>
      <c r="QW3218" s="106"/>
      <c r="QX3218" s="106"/>
      <c r="QY3218" s="106"/>
      <c r="QZ3218" s="106"/>
      <c r="RA3218" s="106"/>
      <c r="RB3218" s="106"/>
      <c r="RC3218" s="106"/>
      <c r="RD3218" s="106"/>
      <c r="RE3218" s="106"/>
      <c r="RF3218" s="106"/>
      <c r="RG3218" s="106"/>
      <c r="RH3218" s="106"/>
      <c r="RI3218" s="106"/>
      <c r="RJ3218" s="106"/>
      <c r="RK3218" s="106"/>
      <c r="RL3218" s="106"/>
    </row>
    <row r="3219" spans="88:480" x14ac:dyDescent="0.3">
      <c r="CJ3219" s="103"/>
      <c r="FP3219" s="103"/>
      <c r="LL3219" s="103"/>
      <c r="NM3219" s="103"/>
      <c r="QT3219" s="106"/>
      <c r="QU3219" s="106"/>
      <c r="QV3219" s="106"/>
      <c r="QW3219" s="106"/>
      <c r="QX3219" s="106"/>
      <c r="QY3219" s="106"/>
      <c r="QZ3219" s="106"/>
      <c r="RA3219" s="106"/>
      <c r="RB3219" s="106"/>
      <c r="RC3219" s="106"/>
      <c r="RD3219" s="106"/>
      <c r="RE3219" s="106"/>
      <c r="RF3219" s="106"/>
      <c r="RG3219" s="106"/>
      <c r="RH3219" s="106"/>
      <c r="RI3219" s="106"/>
      <c r="RJ3219" s="106"/>
      <c r="RK3219" s="106"/>
      <c r="RL3219" s="106"/>
    </row>
    <row r="3220" spans="88:480" x14ac:dyDescent="0.3">
      <c r="CJ3220" s="103"/>
      <c r="FP3220" s="103"/>
      <c r="LL3220" s="103"/>
      <c r="NM3220" s="103"/>
      <c r="QT3220" s="106"/>
      <c r="QU3220" s="106"/>
      <c r="QV3220" s="106"/>
      <c r="QW3220" s="106"/>
      <c r="QX3220" s="106"/>
      <c r="QY3220" s="106"/>
      <c r="QZ3220" s="106"/>
      <c r="RA3220" s="106"/>
      <c r="RB3220" s="106"/>
      <c r="RC3220" s="106"/>
      <c r="RD3220" s="106"/>
      <c r="RE3220" s="106"/>
      <c r="RF3220" s="106"/>
      <c r="RG3220" s="106"/>
      <c r="RH3220" s="106"/>
      <c r="RI3220" s="106"/>
      <c r="RJ3220" s="106"/>
      <c r="RK3220" s="106"/>
      <c r="RL3220" s="106"/>
    </row>
    <row r="3221" spans="88:480" x14ac:dyDescent="0.3">
      <c r="CJ3221" s="103"/>
      <c r="FP3221" s="103"/>
      <c r="LL3221" s="103"/>
      <c r="NM3221" s="103"/>
      <c r="QT3221" s="106"/>
      <c r="QU3221" s="106"/>
      <c r="QV3221" s="106"/>
      <c r="QW3221" s="106"/>
      <c r="QX3221" s="106"/>
      <c r="QY3221" s="106"/>
      <c r="QZ3221" s="106"/>
      <c r="RA3221" s="106"/>
      <c r="RB3221" s="106"/>
      <c r="RC3221" s="106"/>
      <c r="RD3221" s="106"/>
      <c r="RE3221" s="106"/>
      <c r="RF3221" s="106"/>
      <c r="RG3221" s="106"/>
      <c r="RH3221" s="106"/>
      <c r="RI3221" s="106"/>
      <c r="RJ3221" s="106"/>
      <c r="RK3221" s="106"/>
      <c r="RL3221" s="106"/>
    </row>
    <row r="3222" spans="88:480" x14ac:dyDescent="0.3">
      <c r="CJ3222" s="103"/>
      <c r="FP3222" s="103"/>
      <c r="LL3222" s="103"/>
      <c r="NM3222" s="103"/>
      <c r="QT3222" s="106"/>
      <c r="QU3222" s="106"/>
      <c r="QV3222" s="106"/>
      <c r="QW3222" s="106"/>
      <c r="QX3222" s="106"/>
      <c r="QY3222" s="106"/>
      <c r="QZ3222" s="106"/>
      <c r="RA3222" s="106"/>
      <c r="RB3222" s="106"/>
      <c r="RC3222" s="106"/>
      <c r="RD3222" s="106"/>
      <c r="RE3222" s="106"/>
      <c r="RF3222" s="106"/>
      <c r="RG3222" s="106"/>
      <c r="RH3222" s="106"/>
      <c r="RI3222" s="106"/>
      <c r="RJ3222" s="106"/>
      <c r="RK3222" s="106"/>
      <c r="RL3222" s="106"/>
    </row>
    <row r="3223" spans="88:480" x14ac:dyDescent="0.3">
      <c r="CJ3223" s="103"/>
      <c r="FP3223" s="103"/>
      <c r="LL3223" s="103"/>
      <c r="NM3223" s="103"/>
      <c r="QT3223" s="106"/>
      <c r="QU3223" s="106"/>
      <c r="QV3223" s="106"/>
      <c r="QW3223" s="106"/>
      <c r="QX3223" s="106"/>
      <c r="QY3223" s="106"/>
      <c r="QZ3223" s="106"/>
      <c r="RA3223" s="106"/>
      <c r="RB3223" s="106"/>
      <c r="RC3223" s="106"/>
      <c r="RD3223" s="106"/>
      <c r="RE3223" s="106"/>
      <c r="RF3223" s="106"/>
      <c r="RG3223" s="106"/>
      <c r="RH3223" s="106"/>
      <c r="RI3223" s="106"/>
      <c r="RJ3223" s="106"/>
      <c r="RK3223" s="106"/>
      <c r="RL3223" s="106"/>
    </row>
    <row r="3224" spans="88:480" x14ac:dyDescent="0.3">
      <c r="CJ3224" s="103"/>
      <c r="FP3224" s="103"/>
      <c r="LL3224" s="103"/>
      <c r="NM3224" s="103"/>
      <c r="QT3224" s="106"/>
      <c r="QU3224" s="106"/>
      <c r="QV3224" s="106"/>
      <c r="QW3224" s="106"/>
      <c r="QX3224" s="106"/>
      <c r="QY3224" s="106"/>
      <c r="QZ3224" s="106"/>
      <c r="RA3224" s="106"/>
      <c r="RB3224" s="106"/>
      <c r="RC3224" s="106"/>
      <c r="RD3224" s="106"/>
      <c r="RE3224" s="106"/>
      <c r="RF3224" s="106"/>
      <c r="RG3224" s="106"/>
      <c r="RH3224" s="106"/>
      <c r="RI3224" s="106"/>
      <c r="RJ3224" s="106"/>
      <c r="RK3224" s="106"/>
      <c r="RL3224" s="106"/>
    </row>
    <row r="3225" spans="88:480" x14ac:dyDescent="0.3">
      <c r="CJ3225" s="103"/>
      <c r="FP3225" s="103"/>
      <c r="LL3225" s="103"/>
      <c r="NM3225" s="103"/>
      <c r="QT3225" s="106"/>
      <c r="QU3225" s="106"/>
      <c r="QV3225" s="106"/>
      <c r="QW3225" s="106"/>
      <c r="QX3225" s="106"/>
      <c r="QY3225" s="106"/>
      <c r="QZ3225" s="106"/>
      <c r="RA3225" s="106"/>
      <c r="RB3225" s="106"/>
      <c r="RC3225" s="106"/>
      <c r="RD3225" s="106"/>
      <c r="RE3225" s="106"/>
      <c r="RF3225" s="106"/>
      <c r="RG3225" s="106"/>
      <c r="RH3225" s="106"/>
      <c r="RI3225" s="106"/>
      <c r="RJ3225" s="106"/>
      <c r="RK3225" s="106"/>
      <c r="RL3225" s="106"/>
    </row>
    <row r="3226" spans="88:480" x14ac:dyDescent="0.3">
      <c r="CJ3226" s="103"/>
      <c r="FP3226" s="103"/>
      <c r="LL3226" s="103"/>
      <c r="NM3226" s="103"/>
      <c r="QT3226" s="106"/>
      <c r="QU3226" s="106"/>
      <c r="QV3226" s="106"/>
      <c r="QW3226" s="106"/>
      <c r="QX3226" s="106"/>
      <c r="QY3226" s="106"/>
      <c r="QZ3226" s="106"/>
      <c r="RA3226" s="106"/>
      <c r="RB3226" s="106"/>
      <c r="RC3226" s="106"/>
      <c r="RD3226" s="106"/>
      <c r="RE3226" s="106"/>
      <c r="RF3226" s="106"/>
      <c r="RG3226" s="106"/>
      <c r="RH3226" s="106"/>
      <c r="RI3226" s="106"/>
      <c r="RJ3226" s="106"/>
      <c r="RK3226" s="106"/>
      <c r="RL3226" s="106"/>
    </row>
    <row r="3227" spans="88:480" x14ac:dyDescent="0.3">
      <c r="CJ3227" s="103"/>
      <c r="FP3227" s="103"/>
      <c r="LL3227" s="103"/>
      <c r="NM3227" s="103"/>
      <c r="QT3227" s="106"/>
      <c r="QU3227" s="106"/>
      <c r="QV3227" s="106"/>
      <c r="QW3227" s="106"/>
      <c r="QX3227" s="106"/>
      <c r="QY3227" s="106"/>
      <c r="QZ3227" s="106"/>
      <c r="RA3227" s="106"/>
      <c r="RB3227" s="106"/>
      <c r="RC3227" s="106"/>
      <c r="RD3227" s="106"/>
      <c r="RE3227" s="106"/>
      <c r="RF3227" s="106"/>
      <c r="RG3227" s="106"/>
      <c r="RH3227" s="106"/>
      <c r="RI3227" s="106"/>
      <c r="RJ3227" s="106"/>
      <c r="RK3227" s="106"/>
      <c r="RL3227" s="106"/>
    </row>
    <row r="3228" spans="88:480" x14ac:dyDescent="0.3">
      <c r="CJ3228" s="103"/>
      <c r="FP3228" s="103"/>
      <c r="LL3228" s="103"/>
      <c r="NM3228" s="103"/>
      <c r="QT3228" s="106"/>
      <c r="QU3228" s="106"/>
      <c r="QV3228" s="106"/>
      <c r="QW3228" s="106"/>
      <c r="QX3228" s="106"/>
      <c r="QY3228" s="106"/>
      <c r="QZ3228" s="106"/>
      <c r="RA3228" s="106"/>
      <c r="RB3228" s="106"/>
      <c r="RC3228" s="106"/>
      <c r="RD3228" s="106"/>
      <c r="RE3228" s="106"/>
      <c r="RF3228" s="106"/>
      <c r="RG3228" s="106"/>
      <c r="RH3228" s="106"/>
      <c r="RI3228" s="106"/>
      <c r="RJ3228" s="106"/>
      <c r="RK3228" s="106"/>
      <c r="RL3228" s="106"/>
    </row>
    <row r="3229" spans="88:480" x14ac:dyDescent="0.3">
      <c r="CJ3229" s="103"/>
      <c r="FP3229" s="103"/>
      <c r="LL3229" s="103"/>
      <c r="NM3229" s="103"/>
      <c r="QT3229" s="106"/>
      <c r="QU3229" s="106"/>
      <c r="QV3229" s="106"/>
      <c r="QW3229" s="106"/>
      <c r="QX3229" s="106"/>
      <c r="QY3229" s="106"/>
      <c r="QZ3229" s="106"/>
      <c r="RA3229" s="106"/>
      <c r="RB3229" s="106"/>
      <c r="RC3229" s="106"/>
      <c r="RD3229" s="106"/>
      <c r="RE3229" s="106"/>
      <c r="RF3229" s="106"/>
      <c r="RG3229" s="106"/>
      <c r="RH3229" s="106"/>
      <c r="RI3229" s="106"/>
      <c r="RJ3229" s="106"/>
      <c r="RK3229" s="106"/>
      <c r="RL3229" s="106"/>
    </row>
    <row r="3230" spans="88:480" x14ac:dyDescent="0.3">
      <c r="CJ3230" s="103"/>
      <c r="FP3230" s="103"/>
      <c r="LL3230" s="103"/>
      <c r="NM3230" s="103"/>
      <c r="QT3230" s="106"/>
      <c r="QU3230" s="106"/>
      <c r="QV3230" s="106"/>
      <c r="QW3230" s="106"/>
      <c r="QX3230" s="106"/>
      <c r="QY3230" s="106"/>
      <c r="QZ3230" s="106"/>
      <c r="RA3230" s="106"/>
      <c r="RB3230" s="106"/>
      <c r="RC3230" s="106"/>
      <c r="RD3230" s="106"/>
      <c r="RE3230" s="106"/>
      <c r="RF3230" s="106"/>
      <c r="RG3230" s="106"/>
      <c r="RH3230" s="106"/>
      <c r="RI3230" s="106"/>
      <c r="RJ3230" s="106"/>
      <c r="RK3230" s="106"/>
      <c r="RL3230" s="106"/>
    </row>
    <row r="3231" spans="88:480" x14ac:dyDescent="0.3">
      <c r="CJ3231" s="103"/>
      <c r="FP3231" s="103"/>
      <c r="LL3231" s="103"/>
      <c r="NM3231" s="103"/>
      <c r="QT3231" s="106"/>
      <c r="QU3231" s="106"/>
      <c r="QV3231" s="106"/>
      <c r="QW3231" s="106"/>
      <c r="QX3231" s="106"/>
      <c r="QY3231" s="106"/>
      <c r="QZ3231" s="106"/>
      <c r="RA3231" s="106"/>
      <c r="RB3231" s="106"/>
      <c r="RC3231" s="106"/>
      <c r="RD3231" s="106"/>
      <c r="RE3231" s="106"/>
      <c r="RF3231" s="106"/>
      <c r="RG3231" s="106"/>
      <c r="RH3231" s="106"/>
      <c r="RI3231" s="106"/>
      <c r="RJ3231" s="106"/>
      <c r="RK3231" s="106"/>
      <c r="RL3231" s="106"/>
    </row>
    <row r="3232" spans="88:480" x14ac:dyDescent="0.3">
      <c r="CJ3232" s="103"/>
      <c r="FP3232" s="103"/>
      <c r="LL3232" s="103"/>
      <c r="NM3232" s="103"/>
      <c r="QT3232" s="106"/>
      <c r="QU3232" s="106"/>
      <c r="QV3232" s="106"/>
      <c r="QW3232" s="106"/>
      <c r="QX3232" s="106"/>
      <c r="QY3232" s="106"/>
      <c r="QZ3232" s="106"/>
      <c r="RA3232" s="106"/>
      <c r="RB3232" s="106"/>
      <c r="RC3232" s="106"/>
      <c r="RD3232" s="106"/>
      <c r="RE3232" s="106"/>
      <c r="RF3232" s="106"/>
      <c r="RG3232" s="106"/>
      <c r="RH3232" s="106"/>
      <c r="RI3232" s="106"/>
      <c r="RJ3232" s="106"/>
      <c r="RK3232" s="106"/>
      <c r="RL3232" s="106"/>
    </row>
    <row r="3233" spans="88:480" x14ac:dyDescent="0.3">
      <c r="CJ3233" s="103"/>
      <c r="FP3233" s="103"/>
      <c r="LL3233" s="103"/>
      <c r="NM3233" s="103"/>
      <c r="QT3233" s="106"/>
      <c r="QU3233" s="106"/>
      <c r="QV3233" s="106"/>
      <c r="QW3233" s="106"/>
      <c r="QX3233" s="106"/>
      <c r="QY3233" s="106"/>
      <c r="QZ3233" s="106"/>
      <c r="RA3233" s="106"/>
      <c r="RB3233" s="106"/>
      <c r="RC3233" s="106"/>
      <c r="RD3233" s="106"/>
      <c r="RE3233" s="106"/>
      <c r="RF3233" s="106"/>
      <c r="RG3233" s="106"/>
      <c r="RH3233" s="106"/>
      <c r="RI3233" s="106"/>
      <c r="RJ3233" s="106"/>
      <c r="RK3233" s="106"/>
      <c r="RL3233" s="106"/>
    </row>
    <row r="3234" spans="88:480" x14ac:dyDescent="0.3">
      <c r="CJ3234" s="103"/>
      <c r="FP3234" s="103"/>
      <c r="LL3234" s="103"/>
      <c r="NM3234" s="103"/>
      <c r="QT3234" s="106"/>
      <c r="QU3234" s="106"/>
      <c r="QV3234" s="106"/>
      <c r="QW3234" s="106"/>
      <c r="QX3234" s="106"/>
      <c r="QY3234" s="106"/>
      <c r="QZ3234" s="106"/>
      <c r="RA3234" s="106"/>
      <c r="RB3234" s="106"/>
      <c r="RC3234" s="106"/>
      <c r="RD3234" s="106"/>
      <c r="RE3234" s="106"/>
      <c r="RF3234" s="106"/>
      <c r="RG3234" s="106"/>
      <c r="RH3234" s="106"/>
      <c r="RI3234" s="106"/>
      <c r="RJ3234" s="106"/>
      <c r="RK3234" s="106"/>
      <c r="RL3234" s="106"/>
    </row>
    <row r="3235" spans="88:480" x14ac:dyDescent="0.3">
      <c r="CJ3235" s="103"/>
      <c r="FP3235" s="103"/>
      <c r="LL3235" s="103"/>
      <c r="NM3235" s="103"/>
      <c r="QT3235" s="106"/>
      <c r="QU3235" s="106"/>
      <c r="QV3235" s="106"/>
      <c r="QW3235" s="106"/>
      <c r="QX3235" s="106"/>
      <c r="QY3235" s="106"/>
      <c r="QZ3235" s="106"/>
      <c r="RA3235" s="106"/>
      <c r="RB3235" s="106"/>
      <c r="RC3235" s="106"/>
      <c r="RD3235" s="106"/>
      <c r="RE3235" s="106"/>
      <c r="RF3235" s="106"/>
      <c r="RG3235" s="106"/>
      <c r="RH3235" s="106"/>
      <c r="RI3235" s="106"/>
      <c r="RJ3235" s="106"/>
      <c r="RK3235" s="106"/>
      <c r="RL3235" s="106"/>
    </row>
    <row r="3236" spans="88:480" x14ac:dyDescent="0.3">
      <c r="CJ3236" s="103"/>
      <c r="FP3236" s="103"/>
      <c r="LL3236" s="103"/>
      <c r="NM3236" s="103"/>
      <c r="QT3236" s="106"/>
      <c r="QU3236" s="106"/>
      <c r="QV3236" s="106"/>
      <c r="QW3236" s="106"/>
      <c r="QX3236" s="106"/>
      <c r="QY3236" s="106"/>
      <c r="QZ3236" s="106"/>
      <c r="RA3236" s="106"/>
      <c r="RB3236" s="106"/>
      <c r="RC3236" s="106"/>
      <c r="RD3236" s="106"/>
      <c r="RE3236" s="106"/>
      <c r="RF3236" s="106"/>
      <c r="RG3236" s="106"/>
      <c r="RH3236" s="106"/>
      <c r="RI3236" s="106"/>
      <c r="RJ3236" s="106"/>
      <c r="RK3236" s="106"/>
      <c r="RL3236" s="106"/>
    </row>
    <row r="3237" spans="88:480" x14ac:dyDescent="0.3">
      <c r="CJ3237" s="103"/>
      <c r="FP3237" s="103"/>
      <c r="LL3237" s="103"/>
      <c r="NM3237" s="103"/>
      <c r="QT3237" s="106"/>
      <c r="QU3237" s="106"/>
      <c r="QV3237" s="106"/>
      <c r="QW3237" s="106"/>
      <c r="QX3237" s="106"/>
      <c r="QY3237" s="106"/>
      <c r="QZ3237" s="106"/>
      <c r="RA3237" s="106"/>
      <c r="RB3237" s="106"/>
      <c r="RC3237" s="106"/>
      <c r="RD3237" s="106"/>
      <c r="RE3237" s="106"/>
      <c r="RF3237" s="106"/>
      <c r="RG3237" s="106"/>
      <c r="RH3237" s="106"/>
      <c r="RI3237" s="106"/>
      <c r="RJ3237" s="106"/>
      <c r="RK3237" s="106"/>
      <c r="RL3237" s="106"/>
    </row>
    <row r="3238" spans="88:480" x14ac:dyDescent="0.3">
      <c r="CJ3238" s="103"/>
      <c r="FP3238" s="103"/>
      <c r="LL3238" s="103"/>
      <c r="NM3238" s="103"/>
      <c r="QT3238" s="106"/>
      <c r="QU3238" s="106"/>
      <c r="QV3238" s="106"/>
      <c r="QW3238" s="106"/>
      <c r="QX3238" s="106"/>
      <c r="QY3238" s="106"/>
      <c r="QZ3238" s="106"/>
      <c r="RA3238" s="106"/>
      <c r="RB3238" s="106"/>
      <c r="RC3238" s="106"/>
      <c r="RD3238" s="106"/>
      <c r="RE3238" s="106"/>
      <c r="RF3238" s="106"/>
      <c r="RG3238" s="106"/>
      <c r="RH3238" s="106"/>
      <c r="RI3238" s="106"/>
      <c r="RJ3238" s="106"/>
      <c r="RK3238" s="106"/>
      <c r="RL3238" s="106"/>
    </row>
    <row r="3239" spans="88:480" x14ac:dyDescent="0.3">
      <c r="CJ3239" s="103"/>
      <c r="FP3239" s="103"/>
      <c r="LL3239" s="103"/>
      <c r="NM3239" s="103"/>
      <c r="QT3239" s="106"/>
      <c r="QU3239" s="106"/>
      <c r="QV3239" s="106"/>
      <c r="QW3239" s="106"/>
      <c r="QX3239" s="106"/>
      <c r="QY3239" s="106"/>
      <c r="QZ3239" s="106"/>
      <c r="RA3239" s="106"/>
      <c r="RB3239" s="106"/>
      <c r="RC3239" s="106"/>
      <c r="RD3239" s="106"/>
      <c r="RE3239" s="106"/>
      <c r="RF3239" s="106"/>
      <c r="RG3239" s="106"/>
      <c r="RH3239" s="106"/>
      <c r="RI3239" s="106"/>
      <c r="RJ3239" s="106"/>
      <c r="RK3239" s="106"/>
      <c r="RL3239" s="106"/>
    </row>
    <row r="3240" spans="88:480" x14ac:dyDescent="0.3">
      <c r="CJ3240" s="103"/>
      <c r="FP3240" s="103"/>
      <c r="LL3240" s="103"/>
      <c r="NM3240" s="103"/>
      <c r="QT3240" s="106"/>
      <c r="QU3240" s="106"/>
      <c r="QV3240" s="106"/>
      <c r="QW3240" s="106"/>
      <c r="QX3240" s="106"/>
      <c r="QY3240" s="106"/>
      <c r="QZ3240" s="106"/>
      <c r="RA3240" s="106"/>
      <c r="RB3240" s="106"/>
      <c r="RC3240" s="106"/>
      <c r="RD3240" s="106"/>
      <c r="RE3240" s="106"/>
      <c r="RF3240" s="106"/>
      <c r="RG3240" s="106"/>
      <c r="RH3240" s="106"/>
      <c r="RI3240" s="106"/>
      <c r="RJ3240" s="106"/>
      <c r="RK3240" s="106"/>
      <c r="RL3240" s="106"/>
    </row>
    <row r="3241" spans="88:480" x14ac:dyDescent="0.3">
      <c r="CJ3241" s="103"/>
      <c r="FP3241" s="103"/>
      <c r="LL3241" s="103"/>
      <c r="NM3241" s="103"/>
      <c r="QT3241" s="106"/>
      <c r="QU3241" s="106"/>
      <c r="QV3241" s="106"/>
      <c r="QW3241" s="106"/>
      <c r="QX3241" s="106"/>
      <c r="QY3241" s="106"/>
      <c r="QZ3241" s="106"/>
      <c r="RA3241" s="106"/>
      <c r="RB3241" s="106"/>
      <c r="RC3241" s="106"/>
      <c r="RD3241" s="106"/>
      <c r="RE3241" s="106"/>
      <c r="RF3241" s="106"/>
      <c r="RG3241" s="106"/>
      <c r="RH3241" s="106"/>
      <c r="RI3241" s="106"/>
      <c r="RJ3241" s="106"/>
      <c r="RK3241" s="106"/>
      <c r="RL3241" s="106"/>
    </row>
    <row r="3242" spans="88:480" x14ac:dyDescent="0.3">
      <c r="CJ3242" s="103"/>
      <c r="FP3242" s="103"/>
      <c r="LL3242" s="103"/>
      <c r="NM3242" s="103"/>
      <c r="QT3242" s="106"/>
      <c r="QU3242" s="106"/>
      <c r="QV3242" s="106"/>
      <c r="QW3242" s="106"/>
      <c r="QX3242" s="106"/>
      <c r="QY3242" s="106"/>
      <c r="QZ3242" s="106"/>
      <c r="RA3242" s="106"/>
      <c r="RB3242" s="106"/>
      <c r="RC3242" s="106"/>
      <c r="RD3242" s="106"/>
      <c r="RE3242" s="106"/>
      <c r="RF3242" s="106"/>
      <c r="RG3242" s="106"/>
      <c r="RH3242" s="106"/>
      <c r="RI3242" s="106"/>
      <c r="RJ3242" s="106"/>
      <c r="RK3242" s="106"/>
      <c r="RL3242" s="106"/>
    </row>
    <row r="3243" spans="88:480" x14ac:dyDescent="0.3">
      <c r="CJ3243" s="103"/>
      <c r="FP3243" s="103"/>
      <c r="LL3243" s="103"/>
      <c r="NM3243" s="103"/>
      <c r="QT3243" s="106"/>
      <c r="QU3243" s="106"/>
      <c r="QV3243" s="106"/>
      <c r="QW3243" s="106"/>
      <c r="QX3243" s="106"/>
      <c r="QY3243" s="106"/>
      <c r="QZ3243" s="106"/>
      <c r="RA3243" s="106"/>
      <c r="RB3243" s="106"/>
      <c r="RC3243" s="106"/>
      <c r="RD3243" s="106"/>
      <c r="RE3243" s="106"/>
      <c r="RF3243" s="106"/>
      <c r="RG3243" s="106"/>
      <c r="RH3243" s="106"/>
      <c r="RI3243" s="106"/>
      <c r="RJ3243" s="106"/>
      <c r="RK3243" s="106"/>
      <c r="RL3243" s="106"/>
    </row>
    <row r="3244" spans="88:480" x14ac:dyDescent="0.3">
      <c r="CJ3244" s="103"/>
      <c r="FP3244" s="103"/>
      <c r="LL3244" s="103"/>
      <c r="NM3244" s="103"/>
      <c r="QT3244" s="106"/>
      <c r="QU3244" s="106"/>
      <c r="QV3244" s="106"/>
      <c r="QW3244" s="106"/>
      <c r="QX3244" s="106"/>
      <c r="QY3244" s="106"/>
      <c r="QZ3244" s="106"/>
      <c r="RA3244" s="106"/>
      <c r="RB3244" s="106"/>
      <c r="RC3244" s="106"/>
      <c r="RD3244" s="106"/>
      <c r="RE3244" s="106"/>
      <c r="RF3244" s="106"/>
      <c r="RG3244" s="106"/>
      <c r="RH3244" s="106"/>
      <c r="RI3244" s="106"/>
      <c r="RJ3244" s="106"/>
      <c r="RK3244" s="106"/>
      <c r="RL3244" s="106"/>
    </row>
    <row r="3245" spans="88:480" x14ac:dyDescent="0.3">
      <c r="CJ3245" s="103"/>
      <c r="FP3245" s="103"/>
      <c r="LL3245" s="103"/>
      <c r="NM3245" s="103"/>
      <c r="QT3245" s="106"/>
      <c r="QU3245" s="106"/>
      <c r="QV3245" s="106"/>
      <c r="QW3245" s="106"/>
      <c r="QX3245" s="106"/>
      <c r="QY3245" s="106"/>
      <c r="QZ3245" s="106"/>
      <c r="RA3245" s="106"/>
      <c r="RB3245" s="106"/>
      <c r="RC3245" s="106"/>
      <c r="RD3245" s="106"/>
      <c r="RE3245" s="106"/>
      <c r="RF3245" s="106"/>
      <c r="RG3245" s="106"/>
      <c r="RH3245" s="106"/>
      <c r="RI3245" s="106"/>
      <c r="RJ3245" s="106"/>
      <c r="RK3245" s="106"/>
      <c r="RL3245" s="106"/>
    </row>
    <row r="3246" spans="88:480" x14ac:dyDescent="0.3">
      <c r="CJ3246" s="103"/>
      <c r="FP3246" s="103"/>
      <c r="LL3246" s="103"/>
      <c r="NM3246" s="103"/>
      <c r="QT3246" s="106"/>
      <c r="QU3246" s="106"/>
      <c r="QV3246" s="106"/>
      <c r="QW3246" s="106"/>
      <c r="QX3246" s="106"/>
      <c r="QY3246" s="106"/>
      <c r="QZ3246" s="106"/>
      <c r="RA3246" s="106"/>
      <c r="RB3246" s="106"/>
      <c r="RC3246" s="106"/>
      <c r="RD3246" s="106"/>
      <c r="RE3246" s="106"/>
      <c r="RF3246" s="106"/>
      <c r="RG3246" s="106"/>
      <c r="RH3246" s="106"/>
      <c r="RI3246" s="106"/>
      <c r="RJ3246" s="106"/>
      <c r="RK3246" s="106"/>
      <c r="RL3246" s="106"/>
    </row>
    <row r="3247" spans="88:480" x14ac:dyDescent="0.3">
      <c r="CJ3247" s="103"/>
      <c r="FP3247" s="103"/>
      <c r="LL3247" s="103"/>
      <c r="NM3247" s="103"/>
      <c r="QT3247" s="106"/>
      <c r="QU3247" s="106"/>
      <c r="QV3247" s="106"/>
      <c r="QW3247" s="106"/>
      <c r="QX3247" s="106"/>
      <c r="QY3247" s="106"/>
      <c r="QZ3247" s="106"/>
      <c r="RA3247" s="106"/>
      <c r="RB3247" s="106"/>
      <c r="RC3247" s="106"/>
      <c r="RD3247" s="106"/>
      <c r="RE3247" s="106"/>
      <c r="RF3247" s="106"/>
      <c r="RG3247" s="106"/>
      <c r="RH3247" s="106"/>
      <c r="RI3247" s="106"/>
      <c r="RJ3247" s="106"/>
      <c r="RK3247" s="106"/>
      <c r="RL3247" s="106"/>
    </row>
    <row r="3248" spans="88:480" x14ac:dyDescent="0.3">
      <c r="CJ3248" s="103"/>
      <c r="FP3248" s="103"/>
      <c r="LL3248" s="103"/>
      <c r="NM3248" s="103"/>
      <c r="QT3248" s="106"/>
      <c r="QU3248" s="106"/>
      <c r="QV3248" s="106"/>
      <c r="QW3248" s="106"/>
      <c r="QX3248" s="106"/>
      <c r="QY3248" s="106"/>
      <c r="QZ3248" s="106"/>
      <c r="RA3248" s="106"/>
      <c r="RB3248" s="106"/>
      <c r="RC3248" s="106"/>
      <c r="RD3248" s="106"/>
      <c r="RE3248" s="106"/>
      <c r="RF3248" s="106"/>
      <c r="RG3248" s="106"/>
      <c r="RH3248" s="106"/>
      <c r="RI3248" s="106"/>
      <c r="RJ3248" s="106"/>
      <c r="RK3248" s="106"/>
      <c r="RL3248" s="106"/>
    </row>
    <row r="3249" spans="88:480" x14ac:dyDescent="0.3">
      <c r="CJ3249" s="103"/>
      <c r="FP3249" s="103"/>
      <c r="LL3249" s="103"/>
      <c r="NM3249" s="103"/>
      <c r="QT3249" s="106"/>
      <c r="QU3249" s="106"/>
      <c r="QV3249" s="106"/>
      <c r="QW3249" s="106"/>
      <c r="QX3249" s="106"/>
      <c r="QY3249" s="106"/>
      <c r="QZ3249" s="106"/>
      <c r="RA3249" s="106"/>
      <c r="RB3249" s="106"/>
      <c r="RC3249" s="106"/>
      <c r="RD3249" s="106"/>
      <c r="RE3249" s="106"/>
      <c r="RF3249" s="106"/>
      <c r="RG3249" s="106"/>
      <c r="RH3249" s="106"/>
      <c r="RI3249" s="106"/>
      <c r="RJ3249" s="106"/>
      <c r="RK3249" s="106"/>
      <c r="RL3249" s="106"/>
    </row>
    <row r="3250" spans="88:480" x14ac:dyDescent="0.3">
      <c r="CJ3250" s="103"/>
      <c r="FP3250" s="103"/>
      <c r="LL3250" s="103"/>
      <c r="NM3250" s="103"/>
      <c r="QT3250" s="106"/>
      <c r="QU3250" s="106"/>
      <c r="QV3250" s="106"/>
      <c r="QW3250" s="106"/>
      <c r="QX3250" s="106"/>
      <c r="QY3250" s="106"/>
      <c r="QZ3250" s="106"/>
      <c r="RA3250" s="106"/>
      <c r="RB3250" s="106"/>
      <c r="RC3250" s="106"/>
      <c r="RD3250" s="106"/>
      <c r="RE3250" s="106"/>
      <c r="RF3250" s="106"/>
      <c r="RG3250" s="106"/>
      <c r="RH3250" s="106"/>
      <c r="RI3250" s="106"/>
      <c r="RJ3250" s="106"/>
      <c r="RK3250" s="106"/>
      <c r="RL3250" s="106"/>
    </row>
    <row r="3251" spans="88:480" x14ac:dyDescent="0.3">
      <c r="CJ3251" s="103"/>
      <c r="FP3251" s="103"/>
      <c r="LL3251" s="103"/>
      <c r="NM3251" s="103"/>
      <c r="QT3251" s="106"/>
      <c r="QU3251" s="106"/>
      <c r="QV3251" s="106"/>
      <c r="QW3251" s="106"/>
      <c r="QX3251" s="106"/>
      <c r="QY3251" s="106"/>
      <c r="QZ3251" s="106"/>
      <c r="RA3251" s="106"/>
      <c r="RB3251" s="106"/>
      <c r="RC3251" s="106"/>
      <c r="RD3251" s="106"/>
      <c r="RE3251" s="106"/>
      <c r="RF3251" s="106"/>
      <c r="RG3251" s="106"/>
      <c r="RH3251" s="106"/>
      <c r="RI3251" s="106"/>
      <c r="RJ3251" s="106"/>
      <c r="RK3251" s="106"/>
      <c r="RL3251" s="106"/>
    </row>
    <row r="3252" spans="88:480" x14ac:dyDescent="0.3">
      <c r="CJ3252" s="103"/>
      <c r="FP3252" s="103"/>
      <c r="LL3252" s="103"/>
      <c r="NM3252" s="103"/>
      <c r="QT3252" s="106"/>
      <c r="QU3252" s="106"/>
      <c r="QV3252" s="106"/>
      <c r="QW3252" s="106"/>
      <c r="QX3252" s="106"/>
      <c r="QY3252" s="106"/>
      <c r="QZ3252" s="106"/>
      <c r="RA3252" s="106"/>
      <c r="RB3252" s="106"/>
      <c r="RC3252" s="106"/>
      <c r="RD3252" s="106"/>
      <c r="RE3252" s="106"/>
      <c r="RF3252" s="106"/>
      <c r="RG3252" s="106"/>
      <c r="RH3252" s="106"/>
      <c r="RI3252" s="106"/>
      <c r="RJ3252" s="106"/>
      <c r="RK3252" s="106"/>
      <c r="RL3252" s="106"/>
    </row>
    <row r="3253" spans="88:480" x14ac:dyDescent="0.3">
      <c r="CJ3253" s="103"/>
      <c r="FP3253" s="103"/>
      <c r="LL3253" s="103"/>
      <c r="NM3253" s="103"/>
      <c r="QT3253" s="106"/>
      <c r="QU3253" s="106"/>
      <c r="QV3253" s="106"/>
      <c r="QW3253" s="106"/>
      <c r="QX3253" s="106"/>
      <c r="QY3253" s="106"/>
      <c r="QZ3253" s="106"/>
      <c r="RA3253" s="106"/>
      <c r="RB3253" s="106"/>
      <c r="RC3253" s="106"/>
      <c r="RD3253" s="106"/>
      <c r="RE3253" s="106"/>
      <c r="RF3253" s="106"/>
      <c r="RG3253" s="106"/>
      <c r="RH3253" s="106"/>
      <c r="RI3253" s="106"/>
      <c r="RJ3253" s="106"/>
      <c r="RK3253" s="106"/>
      <c r="RL3253" s="106"/>
    </row>
    <row r="3254" spans="88:480" x14ac:dyDescent="0.3">
      <c r="CJ3254" s="103"/>
      <c r="FP3254" s="103"/>
      <c r="LL3254" s="103"/>
      <c r="NM3254" s="103"/>
      <c r="QT3254" s="106"/>
      <c r="QU3254" s="106"/>
      <c r="QV3254" s="106"/>
      <c r="QW3254" s="106"/>
      <c r="QX3254" s="106"/>
      <c r="QY3254" s="106"/>
      <c r="QZ3254" s="106"/>
      <c r="RA3254" s="106"/>
      <c r="RB3254" s="106"/>
      <c r="RC3254" s="106"/>
      <c r="RD3254" s="106"/>
      <c r="RE3254" s="106"/>
      <c r="RF3254" s="106"/>
      <c r="RG3254" s="106"/>
      <c r="RH3254" s="106"/>
      <c r="RI3254" s="106"/>
      <c r="RJ3254" s="106"/>
      <c r="RK3254" s="106"/>
      <c r="RL3254" s="106"/>
    </row>
    <row r="3255" spans="88:480" x14ac:dyDescent="0.3">
      <c r="CJ3255" s="103"/>
      <c r="FP3255" s="103"/>
      <c r="LL3255" s="103"/>
      <c r="NM3255" s="103"/>
      <c r="QT3255" s="106"/>
      <c r="QU3255" s="106"/>
      <c r="QV3255" s="106"/>
      <c r="QW3255" s="106"/>
      <c r="QX3255" s="106"/>
      <c r="QY3255" s="106"/>
      <c r="QZ3255" s="106"/>
      <c r="RA3255" s="106"/>
      <c r="RB3255" s="106"/>
      <c r="RC3255" s="106"/>
      <c r="RD3255" s="106"/>
      <c r="RE3255" s="106"/>
      <c r="RF3255" s="106"/>
      <c r="RG3255" s="106"/>
      <c r="RH3255" s="106"/>
      <c r="RI3255" s="106"/>
      <c r="RJ3255" s="106"/>
      <c r="RK3255" s="106"/>
      <c r="RL3255" s="106"/>
    </row>
    <row r="3256" spans="88:480" x14ac:dyDescent="0.3">
      <c r="CJ3256" s="103"/>
      <c r="FP3256" s="103"/>
      <c r="LL3256" s="103"/>
      <c r="NM3256" s="103"/>
      <c r="QT3256" s="106"/>
      <c r="QU3256" s="106"/>
      <c r="QV3256" s="106"/>
      <c r="QW3256" s="106"/>
      <c r="QX3256" s="106"/>
      <c r="QY3256" s="106"/>
      <c r="QZ3256" s="106"/>
      <c r="RA3256" s="106"/>
      <c r="RB3256" s="106"/>
      <c r="RC3256" s="106"/>
      <c r="RD3256" s="106"/>
      <c r="RE3256" s="106"/>
      <c r="RF3256" s="106"/>
      <c r="RG3256" s="106"/>
      <c r="RH3256" s="106"/>
      <c r="RI3256" s="106"/>
      <c r="RJ3256" s="106"/>
      <c r="RK3256" s="106"/>
      <c r="RL3256" s="106"/>
    </row>
    <row r="3257" spans="88:480" x14ac:dyDescent="0.3">
      <c r="CJ3257" s="103"/>
      <c r="FP3257" s="103"/>
      <c r="LL3257" s="103"/>
      <c r="NM3257" s="103"/>
      <c r="QT3257" s="106"/>
      <c r="QU3257" s="106"/>
      <c r="QV3257" s="106"/>
      <c r="QW3257" s="106"/>
      <c r="QX3257" s="106"/>
      <c r="QY3257" s="106"/>
      <c r="QZ3257" s="106"/>
      <c r="RA3257" s="106"/>
      <c r="RB3257" s="106"/>
      <c r="RC3257" s="106"/>
      <c r="RD3257" s="106"/>
      <c r="RE3257" s="106"/>
      <c r="RF3257" s="106"/>
      <c r="RG3257" s="106"/>
      <c r="RH3257" s="106"/>
      <c r="RI3257" s="106"/>
      <c r="RJ3257" s="106"/>
      <c r="RK3257" s="106"/>
      <c r="RL3257" s="106"/>
    </row>
    <row r="3258" spans="88:480" x14ac:dyDescent="0.3">
      <c r="CJ3258" s="103"/>
      <c r="FP3258" s="103"/>
      <c r="LL3258" s="103"/>
      <c r="NM3258" s="103"/>
      <c r="QT3258" s="106"/>
      <c r="QU3258" s="106"/>
      <c r="QV3258" s="106"/>
      <c r="QW3258" s="106"/>
      <c r="QX3258" s="106"/>
      <c r="QY3258" s="106"/>
      <c r="QZ3258" s="106"/>
      <c r="RA3258" s="106"/>
      <c r="RB3258" s="106"/>
      <c r="RC3258" s="106"/>
      <c r="RD3258" s="106"/>
      <c r="RE3258" s="106"/>
      <c r="RF3258" s="106"/>
      <c r="RG3258" s="106"/>
      <c r="RH3258" s="106"/>
      <c r="RI3258" s="106"/>
      <c r="RJ3258" s="106"/>
      <c r="RK3258" s="106"/>
      <c r="RL3258" s="106"/>
    </row>
    <row r="3259" spans="88:480" x14ac:dyDescent="0.3">
      <c r="CJ3259" s="103"/>
      <c r="FP3259" s="103"/>
      <c r="LL3259" s="103"/>
      <c r="NM3259" s="103"/>
      <c r="QT3259" s="106"/>
      <c r="QU3259" s="106"/>
      <c r="QV3259" s="106"/>
      <c r="QW3259" s="106"/>
      <c r="QX3259" s="106"/>
      <c r="QY3259" s="106"/>
      <c r="QZ3259" s="106"/>
      <c r="RA3259" s="106"/>
      <c r="RB3259" s="106"/>
      <c r="RC3259" s="106"/>
      <c r="RD3259" s="106"/>
      <c r="RE3259" s="106"/>
      <c r="RF3259" s="106"/>
      <c r="RG3259" s="106"/>
      <c r="RH3259" s="106"/>
      <c r="RI3259" s="106"/>
      <c r="RJ3259" s="106"/>
      <c r="RK3259" s="106"/>
      <c r="RL3259" s="106"/>
    </row>
    <row r="3260" spans="88:480" x14ac:dyDescent="0.3">
      <c r="CJ3260" s="103"/>
      <c r="FP3260" s="103"/>
      <c r="LL3260" s="103"/>
      <c r="NM3260" s="103"/>
      <c r="QT3260" s="106"/>
      <c r="QU3260" s="106"/>
      <c r="QV3260" s="106"/>
      <c r="QW3260" s="106"/>
      <c r="QX3260" s="106"/>
      <c r="QY3260" s="106"/>
      <c r="QZ3260" s="106"/>
      <c r="RA3260" s="106"/>
      <c r="RB3260" s="106"/>
      <c r="RC3260" s="106"/>
      <c r="RD3260" s="106"/>
      <c r="RE3260" s="106"/>
      <c r="RF3260" s="106"/>
      <c r="RG3260" s="106"/>
      <c r="RH3260" s="106"/>
      <c r="RI3260" s="106"/>
      <c r="RJ3260" s="106"/>
      <c r="RK3260" s="106"/>
      <c r="RL3260" s="106"/>
    </row>
    <row r="3261" spans="88:480" x14ac:dyDescent="0.3">
      <c r="CJ3261" s="103"/>
      <c r="FP3261" s="103"/>
      <c r="LL3261" s="103"/>
      <c r="NM3261" s="103"/>
      <c r="QT3261" s="106"/>
      <c r="QU3261" s="106"/>
      <c r="QV3261" s="106"/>
      <c r="QW3261" s="106"/>
      <c r="QX3261" s="106"/>
      <c r="QY3261" s="106"/>
      <c r="QZ3261" s="106"/>
      <c r="RA3261" s="106"/>
      <c r="RB3261" s="106"/>
      <c r="RC3261" s="106"/>
      <c r="RD3261" s="106"/>
      <c r="RE3261" s="106"/>
      <c r="RF3261" s="106"/>
      <c r="RG3261" s="106"/>
      <c r="RH3261" s="106"/>
      <c r="RI3261" s="106"/>
      <c r="RJ3261" s="106"/>
      <c r="RK3261" s="106"/>
      <c r="RL3261" s="106"/>
    </row>
    <row r="3262" spans="88:480" x14ac:dyDescent="0.3">
      <c r="CJ3262" s="103"/>
      <c r="FP3262" s="103"/>
      <c r="LL3262" s="103"/>
      <c r="NM3262" s="103"/>
      <c r="QT3262" s="106"/>
      <c r="QU3262" s="106"/>
      <c r="QV3262" s="106"/>
      <c r="QW3262" s="106"/>
      <c r="QX3262" s="106"/>
      <c r="QY3262" s="106"/>
      <c r="QZ3262" s="106"/>
      <c r="RA3262" s="106"/>
      <c r="RB3262" s="106"/>
      <c r="RC3262" s="106"/>
      <c r="RD3262" s="106"/>
      <c r="RE3262" s="106"/>
      <c r="RF3262" s="106"/>
      <c r="RG3262" s="106"/>
      <c r="RH3262" s="106"/>
      <c r="RI3262" s="106"/>
      <c r="RJ3262" s="106"/>
      <c r="RK3262" s="106"/>
      <c r="RL3262" s="106"/>
    </row>
    <row r="3263" spans="88:480" x14ac:dyDescent="0.3">
      <c r="CJ3263" s="103"/>
      <c r="FP3263" s="103"/>
      <c r="LL3263" s="103"/>
      <c r="NM3263" s="103"/>
      <c r="QT3263" s="106"/>
      <c r="QU3263" s="106"/>
      <c r="QV3263" s="106"/>
      <c r="QW3263" s="106"/>
      <c r="QX3263" s="106"/>
      <c r="QY3263" s="106"/>
      <c r="QZ3263" s="106"/>
      <c r="RA3263" s="106"/>
      <c r="RB3263" s="106"/>
      <c r="RC3263" s="106"/>
      <c r="RD3263" s="106"/>
      <c r="RE3263" s="106"/>
      <c r="RF3263" s="106"/>
      <c r="RG3263" s="106"/>
      <c r="RH3263" s="106"/>
      <c r="RI3263" s="106"/>
      <c r="RJ3263" s="106"/>
      <c r="RK3263" s="106"/>
      <c r="RL3263" s="106"/>
    </row>
    <row r="3264" spans="88:480" x14ac:dyDescent="0.3">
      <c r="CJ3264" s="103"/>
      <c r="FP3264" s="103"/>
      <c r="LL3264" s="103"/>
      <c r="NM3264" s="103"/>
      <c r="QT3264" s="106"/>
      <c r="QU3264" s="106"/>
      <c r="QV3264" s="106"/>
      <c r="QW3264" s="106"/>
      <c r="QX3264" s="106"/>
      <c r="QY3264" s="106"/>
      <c r="QZ3264" s="106"/>
      <c r="RA3264" s="106"/>
      <c r="RB3264" s="106"/>
      <c r="RC3264" s="106"/>
      <c r="RD3264" s="106"/>
      <c r="RE3264" s="106"/>
      <c r="RF3264" s="106"/>
      <c r="RG3264" s="106"/>
      <c r="RH3264" s="106"/>
      <c r="RI3264" s="106"/>
      <c r="RJ3264" s="106"/>
      <c r="RK3264" s="106"/>
      <c r="RL3264" s="106"/>
    </row>
    <row r="3265" spans="88:480" x14ac:dyDescent="0.3">
      <c r="CJ3265" s="103"/>
      <c r="FP3265" s="103"/>
      <c r="LL3265" s="103"/>
      <c r="NM3265" s="103"/>
      <c r="QT3265" s="106"/>
      <c r="QU3265" s="106"/>
      <c r="QV3265" s="106"/>
      <c r="QW3265" s="106"/>
      <c r="QX3265" s="106"/>
      <c r="QY3265" s="106"/>
      <c r="QZ3265" s="106"/>
      <c r="RA3265" s="106"/>
      <c r="RB3265" s="106"/>
      <c r="RC3265" s="106"/>
      <c r="RD3265" s="106"/>
      <c r="RE3265" s="106"/>
      <c r="RF3265" s="106"/>
      <c r="RG3265" s="106"/>
      <c r="RH3265" s="106"/>
      <c r="RI3265" s="106"/>
      <c r="RJ3265" s="106"/>
      <c r="RK3265" s="106"/>
      <c r="RL3265" s="106"/>
    </row>
    <row r="3266" spans="88:480" x14ac:dyDescent="0.3">
      <c r="CJ3266" s="103"/>
      <c r="FP3266" s="103"/>
      <c r="LL3266" s="103"/>
      <c r="NM3266" s="103"/>
      <c r="QT3266" s="106"/>
      <c r="QU3266" s="106"/>
      <c r="QV3266" s="106"/>
      <c r="QW3266" s="106"/>
      <c r="QX3266" s="106"/>
      <c r="QY3266" s="106"/>
      <c r="QZ3266" s="106"/>
      <c r="RA3266" s="106"/>
      <c r="RB3266" s="106"/>
      <c r="RC3266" s="106"/>
      <c r="RD3266" s="106"/>
      <c r="RE3266" s="106"/>
      <c r="RF3266" s="106"/>
      <c r="RG3266" s="106"/>
      <c r="RH3266" s="106"/>
      <c r="RI3266" s="106"/>
      <c r="RJ3266" s="106"/>
      <c r="RK3266" s="106"/>
      <c r="RL3266" s="106"/>
    </row>
    <row r="3267" spans="88:480" x14ac:dyDescent="0.3">
      <c r="CJ3267" s="103"/>
      <c r="FP3267" s="103"/>
      <c r="LL3267" s="103"/>
      <c r="NM3267" s="103"/>
      <c r="QT3267" s="106"/>
      <c r="QU3267" s="106"/>
      <c r="QV3267" s="106"/>
      <c r="QW3267" s="106"/>
      <c r="QX3267" s="106"/>
      <c r="QY3267" s="106"/>
      <c r="QZ3267" s="106"/>
      <c r="RA3267" s="106"/>
      <c r="RB3267" s="106"/>
      <c r="RC3267" s="106"/>
      <c r="RD3267" s="106"/>
      <c r="RE3267" s="106"/>
      <c r="RF3267" s="106"/>
      <c r="RG3267" s="106"/>
      <c r="RH3267" s="106"/>
      <c r="RI3267" s="106"/>
      <c r="RJ3267" s="106"/>
      <c r="RK3267" s="106"/>
      <c r="RL3267" s="106"/>
    </row>
    <row r="3268" spans="88:480" x14ac:dyDescent="0.3">
      <c r="CJ3268" s="103"/>
      <c r="FP3268" s="103"/>
      <c r="LL3268" s="103"/>
      <c r="NM3268" s="103"/>
      <c r="QT3268" s="106"/>
      <c r="QU3268" s="106"/>
      <c r="QV3268" s="106"/>
      <c r="QW3268" s="106"/>
      <c r="QX3268" s="106"/>
      <c r="QY3268" s="106"/>
      <c r="QZ3268" s="106"/>
      <c r="RA3268" s="106"/>
      <c r="RB3268" s="106"/>
      <c r="RC3268" s="106"/>
      <c r="RD3268" s="106"/>
      <c r="RE3268" s="106"/>
      <c r="RF3268" s="106"/>
      <c r="RG3268" s="106"/>
      <c r="RH3268" s="106"/>
      <c r="RI3268" s="106"/>
      <c r="RJ3268" s="106"/>
      <c r="RK3268" s="106"/>
      <c r="RL3268" s="106"/>
    </row>
    <row r="3269" spans="88:480" x14ac:dyDescent="0.3">
      <c r="CJ3269" s="103"/>
      <c r="FP3269" s="103"/>
      <c r="LL3269" s="103"/>
      <c r="NM3269" s="103"/>
      <c r="QT3269" s="106"/>
      <c r="QU3269" s="106"/>
      <c r="QV3269" s="106"/>
      <c r="QW3269" s="106"/>
      <c r="QX3269" s="106"/>
      <c r="QY3269" s="106"/>
      <c r="QZ3269" s="106"/>
      <c r="RA3269" s="106"/>
      <c r="RB3269" s="106"/>
      <c r="RC3269" s="106"/>
      <c r="RD3269" s="106"/>
      <c r="RE3269" s="106"/>
      <c r="RF3269" s="106"/>
      <c r="RG3269" s="106"/>
      <c r="RH3269" s="106"/>
      <c r="RI3269" s="106"/>
      <c r="RJ3269" s="106"/>
      <c r="RK3269" s="106"/>
      <c r="RL3269" s="106"/>
    </row>
    <row r="3270" spans="88:480" x14ac:dyDescent="0.3">
      <c r="CJ3270" s="103"/>
      <c r="FP3270" s="103"/>
      <c r="LL3270" s="103"/>
      <c r="NM3270" s="103"/>
      <c r="QT3270" s="106"/>
      <c r="QU3270" s="106"/>
      <c r="QV3270" s="106"/>
      <c r="QW3270" s="106"/>
      <c r="QX3270" s="106"/>
      <c r="QY3270" s="106"/>
      <c r="QZ3270" s="106"/>
      <c r="RA3270" s="106"/>
      <c r="RB3270" s="106"/>
      <c r="RC3270" s="106"/>
      <c r="RD3270" s="106"/>
      <c r="RE3270" s="106"/>
      <c r="RF3270" s="106"/>
      <c r="RG3270" s="106"/>
      <c r="RH3270" s="106"/>
      <c r="RI3270" s="106"/>
      <c r="RJ3270" s="106"/>
      <c r="RK3270" s="106"/>
      <c r="RL3270" s="106"/>
    </row>
    <row r="3271" spans="88:480" x14ac:dyDescent="0.3">
      <c r="CJ3271" s="103"/>
      <c r="FP3271" s="103"/>
      <c r="LL3271" s="103"/>
      <c r="NM3271" s="103"/>
      <c r="QT3271" s="106"/>
      <c r="QU3271" s="106"/>
      <c r="QV3271" s="106"/>
      <c r="QW3271" s="106"/>
      <c r="QX3271" s="106"/>
      <c r="QY3271" s="106"/>
      <c r="QZ3271" s="106"/>
      <c r="RA3271" s="106"/>
      <c r="RB3271" s="106"/>
      <c r="RC3271" s="106"/>
      <c r="RD3271" s="106"/>
      <c r="RE3271" s="106"/>
      <c r="RF3271" s="106"/>
      <c r="RG3271" s="106"/>
      <c r="RH3271" s="106"/>
      <c r="RI3271" s="106"/>
      <c r="RJ3271" s="106"/>
      <c r="RK3271" s="106"/>
      <c r="RL3271" s="106"/>
    </row>
    <row r="3272" spans="88:480" x14ac:dyDescent="0.3">
      <c r="CJ3272" s="103"/>
      <c r="FP3272" s="103"/>
      <c r="LL3272" s="103"/>
      <c r="NM3272" s="103"/>
      <c r="QT3272" s="106"/>
      <c r="QU3272" s="106"/>
      <c r="QV3272" s="106"/>
      <c r="QW3272" s="106"/>
      <c r="QX3272" s="106"/>
      <c r="QY3272" s="106"/>
      <c r="QZ3272" s="106"/>
      <c r="RA3272" s="106"/>
      <c r="RB3272" s="106"/>
      <c r="RC3272" s="106"/>
      <c r="RD3272" s="106"/>
      <c r="RE3272" s="106"/>
      <c r="RF3272" s="106"/>
      <c r="RG3272" s="106"/>
      <c r="RH3272" s="106"/>
      <c r="RI3272" s="106"/>
      <c r="RJ3272" s="106"/>
      <c r="RK3272" s="106"/>
      <c r="RL3272" s="106"/>
    </row>
    <row r="3273" spans="88:480" x14ac:dyDescent="0.3">
      <c r="CJ3273" s="103"/>
      <c r="FP3273" s="103"/>
      <c r="LL3273" s="103"/>
      <c r="NM3273" s="103"/>
      <c r="QT3273" s="106"/>
      <c r="QU3273" s="106"/>
      <c r="QV3273" s="106"/>
      <c r="QW3273" s="106"/>
      <c r="QX3273" s="106"/>
      <c r="QY3273" s="106"/>
      <c r="QZ3273" s="106"/>
      <c r="RA3273" s="106"/>
      <c r="RB3273" s="106"/>
      <c r="RC3273" s="106"/>
      <c r="RD3273" s="106"/>
      <c r="RE3273" s="106"/>
      <c r="RF3273" s="106"/>
      <c r="RG3273" s="106"/>
      <c r="RH3273" s="106"/>
      <c r="RI3273" s="106"/>
      <c r="RJ3273" s="106"/>
      <c r="RK3273" s="106"/>
      <c r="RL3273" s="106"/>
    </row>
    <row r="3274" spans="88:480" x14ac:dyDescent="0.3">
      <c r="CJ3274" s="103"/>
      <c r="FP3274" s="103"/>
      <c r="LL3274" s="103"/>
      <c r="NM3274" s="103"/>
      <c r="QT3274" s="106"/>
      <c r="QU3274" s="106"/>
      <c r="QV3274" s="106"/>
      <c r="QW3274" s="106"/>
      <c r="QX3274" s="106"/>
      <c r="QY3274" s="106"/>
      <c r="QZ3274" s="106"/>
      <c r="RA3274" s="106"/>
      <c r="RB3274" s="106"/>
      <c r="RC3274" s="106"/>
      <c r="RD3274" s="106"/>
      <c r="RE3274" s="106"/>
      <c r="RF3274" s="106"/>
      <c r="RG3274" s="106"/>
      <c r="RH3274" s="106"/>
      <c r="RI3274" s="106"/>
      <c r="RJ3274" s="106"/>
      <c r="RK3274" s="106"/>
      <c r="RL3274" s="106"/>
    </row>
    <row r="3275" spans="88:480" x14ac:dyDescent="0.3">
      <c r="CJ3275" s="103"/>
      <c r="FP3275" s="103"/>
      <c r="LL3275" s="103"/>
      <c r="NM3275" s="103"/>
      <c r="QT3275" s="106"/>
      <c r="QU3275" s="106"/>
      <c r="QV3275" s="106"/>
      <c r="QW3275" s="106"/>
      <c r="QX3275" s="106"/>
      <c r="QY3275" s="106"/>
      <c r="QZ3275" s="106"/>
      <c r="RA3275" s="106"/>
      <c r="RB3275" s="106"/>
      <c r="RC3275" s="106"/>
      <c r="RD3275" s="106"/>
      <c r="RE3275" s="106"/>
      <c r="RF3275" s="106"/>
      <c r="RG3275" s="106"/>
      <c r="RH3275" s="106"/>
      <c r="RI3275" s="106"/>
      <c r="RJ3275" s="106"/>
      <c r="RK3275" s="106"/>
      <c r="RL3275" s="106"/>
    </row>
    <row r="3276" spans="88:480" x14ac:dyDescent="0.3">
      <c r="CJ3276" s="103"/>
      <c r="FP3276" s="103"/>
      <c r="LL3276" s="103"/>
      <c r="NM3276" s="103"/>
      <c r="QT3276" s="106"/>
      <c r="QU3276" s="106"/>
      <c r="QV3276" s="106"/>
      <c r="QW3276" s="106"/>
      <c r="QX3276" s="106"/>
      <c r="QY3276" s="106"/>
      <c r="QZ3276" s="106"/>
      <c r="RA3276" s="106"/>
      <c r="RB3276" s="106"/>
      <c r="RC3276" s="106"/>
      <c r="RD3276" s="106"/>
      <c r="RE3276" s="106"/>
      <c r="RF3276" s="106"/>
      <c r="RG3276" s="106"/>
      <c r="RH3276" s="106"/>
      <c r="RI3276" s="106"/>
      <c r="RJ3276" s="106"/>
      <c r="RK3276" s="106"/>
      <c r="RL3276" s="106"/>
    </row>
    <row r="3277" spans="88:480" x14ac:dyDescent="0.3">
      <c r="CJ3277" s="103"/>
      <c r="FP3277" s="103"/>
      <c r="LL3277" s="103"/>
      <c r="NM3277" s="103"/>
      <c r="QT3277" s="106"/>
      <c r="QU3277" s="106"/>
      <c r="QV3277" s="106"/>
      <c r="QW3277" s="106"/>
      <c r="QX3277" s="106"/>
      <c r="QY3277" s="106"/>
      <c r="QZ3277" s="106"/>
      <c r="RA3277" s="106"/>
      <c r="RB3277" s="106"/>
      <c r="RC3277" s="106"/>
      <c r="RD3277" s="106"/>
      <c r="RE3277" s="106"/>
      <c r="RF3277" s="106"/>
      <c r="RG3277" s="106"/>
      <c r="RH3277" s="106"/>
      <c r="RI3277" s="106"/>
      <c r="RJ3277" s="106"/>
      <c r="RK3277" s="106"/>
      <c r="RL3277" s="106"/>
    </row>
    <row r="3278" spans="88:480" x14ac:dyDescent="0.3">
      <c r="CJ3278" s="103"/>
      <c r="FP3278" s="103"/>
      <c r="LL3278" s="103"/>
      <c r="NM3278" s="103"/>
      <c r="QT3278" s="106"/>
      <c r="QU3278" s="106"/>
      <c r="QV3278" s="106"/>
      <c r="QW3278" s="106"/>
      <c r="QX3278" s="106"/>
      <c r="QY3278" s="106"/>
      <c r="QZ3278" s="106"/>
      <c r="RA3278" s="106"/>
      <c r="RB3278" s="106"/>
      <c r="RC3278" s="106"/>
      <c r="RD3278" s="106"/>
      <c r="RE3278" s="106"/>
      <c r="RF3278" s="106"/>
      <c r="RG3278" s="106"/>
      <c r="RH3278" s="106"/>
      <c r="RI3278" s="106"/>
      <c r="RJ3278" s="106"/>
      <c r="RK3278" s="106"/>
      <c r="RL3278" s="106"/>
    </row>
    <row r="3279" spans="88:480" x14ac:dyDescent="0.3">
      <c r="CJ3279" s="103"/>
      <c r="FP3279" s="103"/>
      <c r="LL3279" s="103"/>
      <c r="NM3279" s="103"/>
      <c r="QT3279" s="106"/>
      <c r="QU3279" s="106"/>
      <c r="QV3279" s="106"/>
      <c r="QW3279" s="106"/>
      <c r="QX3279" s="106"/>
      <c r="QY3279" s="106"/>
      <c r="QZ3279" s="106"/>
      <c r="RA3279" s="106"/>
      <c r="RB3279" s="106"/>
      <c r="RC3279" s="106"/>
      <c r="RD3279" s="106"/>
      <c r="RE3279" s="106"/>
      <c r="RF3279" s="106"/>
      <c r="RG3279" s="106"/>
      <c r="RH3279" s="106"/>
      <c r="RI3279" s="106"/>
      <c r="RJ3279" s="106"/>
      <c r="RK3279" s="106"/>
      <c r="RL3279" s="106"/>
    </row>
    <row r="3280" spans="88:480" x14ac:dyDescent="0.3">
      <c r="CJ3280" s="103"/>
      <c r="FP3280" s="103"/>
      <c r="LL3280" s="103"/>
      <c r="NM3280" s="103"/>
      <c r="QT3280" s="106"/>
      <c r="QU3280" s="106"/>
      <c r="QV3280" s="106"/>
      <c r="QW3280" s="106"/>
      <c r="QX3280" s="106"/>
      <c r="QY3280" s="106"/>
      <c r="QZ3280" s="106"/>
      <c r="RA3280" s="106"/>
      <c r="RB3280" s="106"/>
      <c r="RC3280" s="106"/>
      <c r="RD3280" s="106"/>
      <c r="RE3280" s="106"/>
      <c r="RF3280" s="106"/>
      <c r="RG3280" s="106"/>
      <c r="RH3280" s="106"/>
      <c r="RI3280" s="106"/>
      <c r="RJ3280" s="106"/>
      <c r="RK3280" s="106"/>
      <c r="RL3280" s="106"/>
    </row>
    <row r="3281" spans="88:480" x14ac:dyDescent="0.3">
      <c r="CJ3281" s="103"/>
      <c r="FP3281" s="103"/>
      <c r="LL3281" s="103"/>
      <c r="NM3281" s="103"/>
      <c r="QT3281" s="106"/>
      <c r="QU3281" s="106"/>
      <c r="QV3281" s="106"/>
      <c r="QW3281" s="106"/>
      <c r="QX3281" s="106"/>
      <c r="QY3281" s="106"/>
      <c r="QZ3281" s="106"/>
      <c r="RA3281" s="106"/>
      <c r="RB3281" s="106"/>
      <c r="RC3281" s="106"/>
      <c r="RD3281" s="106"/>
      <c r="RE3281" s="106"/>
      <c r="RF3281" s="106"/>
      <c r="RG3281" s="106"/>
      <c r="RH3281" s="106"/>
      <c r="RI3281" s="106"/>
      <c r="RJ3281" s="106"/>
      <c r="RK3281" s="106"/>
      <c r="RL3281" s="106"/>
    </row>
    <row r="3282" spans="88:480" x14ac:dyDescent="0.3">
      <c r="CJ3282" s="103"/>
      <c r="FP3282" s="103"/>
      <c r="LL3282" s="103"/>
      <c r="NM3282" s="103"/>
      <c r="QT3282" s="106"/>
      <c r="QU3282" s="106"/>
      <c r="QV3282" s="106"/>
      <c r="QW3282" s="106"/>
      <c r="QX3282" s="106"/>
      <c r="QY3282" s="106"/>
      <c r="QZ3282" s="106"/>
      <c r="RA3282" s="106"/>
      <c r="RB3282" s="106"/>
      <c r="RC3282" s="106"/>
      <c r="RD3282" s="106"/>
      <c r="RE3282" s="106"/>
      <c r="RF3282" s="106"/>
      <c r="RG3282" s="106"/>
      <c r="RH3282" s="106"/>
      <c r="RI3282" s="106"/>
      <c r="RJ3282" s="106"/>
      <c r="RK3282" s="106"/>
      <c r="RL3282" s="106"/>
    </row>
    <row r="3283" spans="88:480" x14ac:dyDescent="0.3">
      <c r="CJ3283" s="103"/>
      <c r="FP3283" s="103"/>
      <c r="LL3283" s="103"/>
      <c r="NM3283" s="103"/>
      <c r="QT3283" s="106"/>
      <c r="QU3283" s="106"/>
      <c r="QV3283" s="106"/>
      <c r="QW3283" s="106"/>
      <c r="QX3283" s="106"/>
      <c r="QY3283" s="106"/>
      <c r="QZ3283" s="106"/>
      <c r="RA3283" s="106"/>
      <c r="RB3283" s="106"/>
      <c r="RC3283" s="106"/>
      <c r="RD3283" s="106"/>
      <c r="RE3283" s="106"/>
      <c r="RF3283" s="106"/>
      <c r="RG3283" s="106"/>
      <c r="RH3283" s="106"/>
      <c r="RI3283" s="106"/>
      <c r="RJ3283" s="106"/>
      <c r="RK3283" s="106"/>
      <c r="RL3283" s="106"/>
    </row>
    <row r="3284" spans="88:480" x14ac:dyDescent="0.3">
      <c r="CJ3284" s="103"/>
      <c r="FP3284" s="103"/>
      <c r="LL3284" s="103"/>
      <c r="NM3284" s="103"/>
      <c r="QT3284" s="106"/>
      <c r="QU3284" s="106"/>
      <c r="QV3284" s="106"/>
      <c r="QW3284" s="106"/>
      <c r="QX3284" s="106"/>
      <c r="QY3284" s="106"/>
      <c r="QZ3284" s="106"/>
      <c r="RA3284" s="106"/>
      <c r="RB3284" s="106"/>
      <c r="RC3284" s="106"/>
      <c r="RD3284" s="106"/>
      <c r="RE3284" s="106"/>
      <c r="RF3284" s="106"/>
      <c r="RG3284" s="106"/>
      <c r="RH3284" s="106"/>
      <c r="RI3284" s="106"/>
      <c r="RJ3284" s="106"/>
      <c r="RK3284" s="106"/>
      <c r="RL3284" s="106"/>
    </row>
    <row r="3285" spans="88:480" x14ac:dyDescent="0.3">
      <c r="CJ3285" s="103"/>
      <c r="FP3285" s="103"/>
      <c r="LL3285" s="103"/>
      <c r="NM3285" s="103"/>
      <c r="QT3285" s="106"/>
      <c r="QU3285" s="106"/>
      <c r="QV3285" s="106"/>
      <c r="QW3285" s="106"/>
      <c r="QX3285" s="106"/>
      <c r="QY3285" s="106"/>
      <c r="QZ3285" s="106"/>
      <c r="RA3285" s="106"/>
      <c r="RB3285" s="106"/>
      <c r="RC3285" s="106"/>
      <c r="RD3285" s="106"/>
      <c r="RE3285" s="106"/>
      <c r="RF3285" s="106"/>
      <c r="RG3285" s="106"/>
      <c r="RH3285" s="106"/>
      <c r="RI3285" s="106"/>
      <c r="RJ3285" s="106"/>
      <c r="RK3285" s="106"/>
      <c r="RL3285" s="106"/>
    </row>
    <row r="3286" spans="88:480" x14ac:dyDescent="0.3">
      <c r="CJ3286" s="103"/>
      <c r="FP3286" s="103"/>
      <c r="LL3286" s="103"/>
      <c r="NM3286" s="103"/>
      <c r="QT3286" s="106"/>
      <c r="QU3286" s="106"/>
      <c r="QV3286" s="106"/>
      <c r="QW3286" s="106"/>
      <c r="QX3286" s="106"/>
      <c r="QY3286" s="106"/>
      <c r="QZ3286" s="106"/>
      <c r="RA3286" s="106"/>
      <c r="RB3286" s="106"/>
      <c r="RC3286" s="106"/>
      <c r="RD3286" s="106"/>
      <c r="RE3286" s="106"/>
      <c r="RF3286" s="106"/>
      <c r="RG3286" s="106"/>
      <c r="RH3286" s="106"/>
      <c r="RI3286" s="106"/>
      <c r="RJ3286" s="106"/>
      <c r="RK3286" s="106"/>
      <c r="RL3286" s="106"/>
    </row>
    <row r="3287" spans="88:480" x14ac:dyDescent="0.3">
      <c r="CJ3287" s="103"/>
      <c r="FP3287" s="103"/>
      <c r="LL3287" s="103"/>
      <c r="NM3287" s="103"/>
      <c r="QT3287" s="106"/>
      <c r="QU3287" s="106"/>
      <c r="QV3287" s="106"/>
      <c r="QW3287" s="106"/>
      <c r="QX3287" s="106"/>
      <c r="QY3287" s="106"/>
      <c r="QZ3287" s="106"/>
      <c r="RA3287" s="106"/>
      <c r="RB3287" s="106"/>
      <c r="RC3287" s="106"/>
      <c r="RD3287" s="106"/>
      <c r="RE3287" s="106"/>
      <c r="RF3287" s="106"/>
      <c r="RG3287" s="106"/>
      <c r="RH3287" s="106"/>
      <c r="RI3287" s="106"/>
      <c r="RJ3287" s="106"/>
      <c r="RK3287" s="106"/>
      <c r="RL3287" s="106"/>
    </row>
    <row r="3288" spans="88:480" x14ac:dyDescent="0.3">
      <c r="CJ3288" s="103"/>
      <c r="FP3288" s="103"/>
      <c r="LL3288" s="103"/>
      <c r="NM3288" s="103"/>
      <c r="QT3288" s="106"/>
      <c r="QU3288" s="106"/>
      <c r="QV3288" s="106"/>
      <c r="QW3288" s="106"/>
      <c r="QX3288" s="106"/>
      <c r="QY3288" s="106"/>
      <c r="QZ3288" s="106"/>
      <c r="RA3288" s="106"/>
      <c r="RB3288" s="106"/>
      <c r="RC3288" s="106"/>
      <c r="RD3288" s="106"/>
      <c r="RE3288" s="106"/>
      <c r="RF3288" s="106"/>
      <c r="RG3288" s="106"/>
      <c r="RH3288" s="106"/>
      <c r="RI3288" s="106"/>
      <c r="RJ3288" s="106"/>
      <c r="RK3288" s="106"/>
      <c r="RL3288" s="106"/>
    </row>
    <row r="3289" spans="88:480" x14ac:dyDescent="0.3">
      <c r="CJ3289" s="103"/>
      <c r="FP3289" s="103"/>
      <c r="LL3289" s="103"/>
      <c r="NM3289" s="103"/>
      <c r="QT3289" s="106"/>
      <c r="QU3289" s="106"/>
      <c r="QV3289" s="106"/>
      <c r="QW3289" s="106"/>
      <c r="QX3289" s="106"/>
      <c r="QY3289" s="106"/>
      <c r="QZ3289" s="106"/>
      <c r="RA3289" s="106"/>
      <c r="RB3289" s="106"/>
      <c r="RC3289" s="106"/>
      <c r="RD3289" s="106"/>
      <c r="RE3289" s="106"/>
      <c r="RF3289" s="106"/>
      <c r="RG3289" s="106"/>
      <c r="RH3289" s="106"/>
      <c r="RI3289" s="106"/>
      <c r="RJ3289" s="106"/>
      <c r="RK3289" s="106"/>
      <c r="RL3289" s="106"/>
    </row>
    <row r="3290" spans="88:480" x14ac:dyDescent="0.3">
      <c r="CJ3290" s="103"/>
      <c r="FP3290" s="103"/>
      <c r="LL3290" s="103"/>
      <c r="NM3290" s="103"/>
      <c r="QT3290" s="106"/>
      <c r="QU3290" s="106"/>
      <c r="QV3290" s="106"/>
      <c r="QW3290" s="106"/>
      <c r="QX3290" s="106"/>
      <c r="QY3290" s="106"/>
      <c r="QZ3290" s="106"/>
      <c r="RA3290" s="106"/>
      <c r="RB3290" s="106"/>
      <c r="RC3290" s="106"/>
      <c r="RD3290" s="106"/>
      <c r="RE3290" s="106"/>
      <c r="RF3290" s="106"/>
      <c r="RG3290" s="106"/>
      <c r="RH3290" s="106"/>
      <c r="RI3290" s="106"/>
      <c r="RJ3290" s="106"/>
      <c r="RK3290" s="106"/>
      <c r="RL3290" s="106"/>
    </row>
    <row r="3291" spans="88:480" x14ac:dyDescent="0.3">
      <c r="CJ3291" s="103"/>
      <c r="FP3291" s="103"/>
      <c r="LL3291" s="103"/>
      <c r="NM3291" s="103"/>
      <c r="QT3291" s="106"/>
      <c r="QU3291" s="106"/>
      <c r="QV3291" s="106"/>
      <c r="QW3291" s="106"/>
      <c r="QX3291" s="106"/>
      <c r="QY3291" s="106"/>
      <c r="QZ3291" s="106"/>
      <c r="RA3291" s="106"/>
      <c r="RB3291" s="106"/>
      <c r="RC3291" s="106"/>
      <c r="RD3291" s="106"/>
      <c r="RE3291" s="106"/>
      <c r="RF3291" s="106"/>
      <c r="RG3291" s="106"/>
      <c r="RH3291" s="106"/>
      <c r="RI3291" s="106"/>
      <c r="RJ3291" s="106"/>
      <c r="RK3291" s="106"/>
      <c r="RL3291" s="106"/>
    </row>
    <row r="3292" spans="88:480" x14ac:dyDescent="0.3">
      <c r="CJ3292" s="103"/>
      <c r="FP3292" s="103"/>
      <c r="LL3292" s="103"/>
      <c r="NM3292" s="103"/>
      <c r="QT3292" s="106"/>
      <c r="QU3292" s="106"/>
      <c r="QV3292" s="106"/>
      <c r="QW3292" s="106"/>
      <c r="QX3292" s="106"/>
      <c r="QY3292" s="106"/>
      <c r="QZ3292" s="106"/>
      <c r="RA3292" s="106"/>
      <c r="RB3292" s="106"/>
      <c r="RC3292" s="106"/>
      <c r="RD3292" s="106"/>
      <c r="RE3292" s="106"/>
      <c r="RF3292" s="106"/>
      <c r="RG3292" s="106"/>
      <c r="RH3292" s="106"/>
      <c r="RI3292" s="106"/>
      <c r="RJ3292" s="106"/>
      <c r="RK3292" s="106"/>
      <c r="RL3292" s="106"/>
    </row>
    <row r="3293" spans="88:480" x14ac:dyDescent="0.3">
      <c r="CJ3293" s="103"/>
      <c r="FP3293" s="103"/>
      <c r="LL3293" s="103"/>
      <c r="NM3293" s="103"/>
      <c r="QT3293" s="106"/>
      <c r="QU3293" s="106"/>
      <c r="QV3293" s="106"/>
      <c r="QW3293" s="106"/>
      <c r="QX3293" s="106"/>
      <c r="QY3293" s="106"/>
      <c r="QZ3293" s="106"/>
      <c r="RA3293" s="106"/>
      <c r="RB3293" s="106"/>
      <c r="RC3293" s="106"/>
      <c r="RD3293" s="106"/>
      <c r="RE3293" s="106"/>
      <c r="RF3293" s="106"/>
      <c r="RG3293" s="106"/>
      <c r="RH3293" s="106"/>
      <c r="RI3293" s="106"/>
      <c r="RJ3293" s="106"/>
      <c r="RK3293" s="106"/>
      <c r="RL3293" s="106"/>
    </row>
    <row r="3294" spans="88:480" x14ac:dyDescent="0.3">
      <c r="CJ3294" s="103"/>
      <c r="FP3294" s="103"/>
      <c r="LL3294" s="103"/>
      <c r="NM3294" s="103"/>
      <c r="QT3294" s="106"/>
      <c r="QU3294" s="106"/>
      <c r="QV3294" s="106"/>
      <c r="QW3294" s="106"/>
      <c r="QX3294" s="106"/>
      <c r="QY3294" s="106"/>
      <c r="QZ3294" s="106"/>
      <c r="RA3294" s="106"/>
      <c r="RB3294" s="106"/>
      <c r="RC3294" s="106"/>
      <c r="RD3294" s="106"/>
      <c r="RE3294" s="106"/>
      <c r="RF3294" s="106"/>
      <c r="RG3294" s="106"/>
      <c r="RH3294" s="106"/>
      <c r="RI3294" s="106"/>
      <c r="RJ3294" s="106"/>
      <c r="RK3294" s="106"/>
      <c r="RL3294" s="106"/>
    </row>
    <row r="3295" spans="88:480" x14ac:dyDescent="0.3">
      <c r="CJ3295" s="103"/>
      <c r="FP3295" s="103"/>
      <c r="LL3295" s="103"/>
      <c r="NM3295" s="103"/>
      <c r="QT3295" s="106"/>
      <c r="QU3295" s="106"/>
      <c r="QV3295" s="106"/>
      <c r="QW3295" s="106"/>
      <c r="QX3295" s="106"/>
      <c r="QY3295" s="106"/>
      <c r="QZ3295" s="106"/>
      <c r="RA3295" s="106"/>
      <c r="RB3295" s="106"/>
      <c r="RC3295" s="106"/>
      <c r="RD3295" s="106"/>
      <c r="RE3295" s="106"/>
      <c r="RF3295" s="106"/>
      <c r="RG3295" s="106"/>
      <c r="RH3295" s="106"/>
      <c r="RI3295" s="106"/>
      <c r="RJ3295" s="106"/>
      <c r="RK3295" s="106"/>
      <c r="RL3295" s="106"/>
    </row>
    <row r="3296" spans="88:480" x14ac:dyDescent="0.3">
      <c r="CJ3296" s="103"/>
      <c r="FP3296" s="103"/>
      <c r="LL3296" s="103"/>
      <c r="NM3296" s="103"/>
      <c r="QT3296" s="106"/>
      <c r="QU3296" s="106"/>
      <c r="QV3296" s="106"/>
      <c r="QW3296" s="106"/>
      <c r="QX3296" s="106"/>
      <c r="QY3296" s="106"/>
      <c r="QZ3296" s="106"/>
      <c r="RA3296" s="106"/>
      <c r="RB3296" s="106"/>
      <c r="RC3296" s="106"/>
      <c r="RD3296" s="106"/>
      <c r="RE3296" s="106"/>
      <c r="RF3296" s="106"/>
      <c r="RG3296" s="106"/>
      <c r="RH3296" s="106"/>
      <c r="RI3296" s="106"/>
      <c r="RJ3296" s="106"/>
      <c r="RK3296" s="106"/>
      <c r="RL3296" s="106"/>
    </row>
    <row r="3297" spans="88:480" x14ac:dyDescent="0.3">
      <c r="CJ3297" s="103"/>
      <c r="FP3297" s="103"/>
      <c r="LL3297" s="103"/>
      <c r="NM3297" s="103"/>
      <c r="QT3297" s="106"/>
      <c r="QU3297" s="106"/>
      <c r="QV3297" s="106"/>
      <c r="QW3297" s="106"/>
      <c r="QX3297" s="106"/>
      <c r="QY3297" s="106"/>
      <c r="QZ3297" s="106"/>
      <c r="RA3297" s="106"/>
      <c r="RB3297" s="106"/>
      <c r="RC3297" s="106"/>
      <c r="RD3297" s="106"/>
      <c r="RE3297" s="106"/>
      <c r="RF3297" s="106"/>
      <c r="RG3297" s="106"/>
      <c r="RH3297" s="106"/>
      <c r="RI3297" s="106"/>
      <c r="RJ3297" s="106"/>
      <c r="RK3297" s="106"/>
      <c r="RL3297" s="106"/>
    </row>
    <row r="3298" spans="88:480" x14ac:dyDescent="0.3">
      <c r="CJ3298" s="103"/>
      <c r="FP3298" s="103"/>
      <c r="LL3298" s="103"/>
      <c r="NM3298" s="103"/>
      <c r="QT3298" s="106"/>
      <c r="QU3298" s="106"/>
      <c r="QV3298" s="106"/>
      <c r="QW3298" s="106"/>
      <c r="QX3298" s="106"/>
      <c r="QY3298" s="106"/>
      <c r="QZ3298" s="106"/>
      <c r="RA3298" s="106"/>
      <c r="RB3298" s="106"/>
      <c r="RC3298" s="106"/>
      <c r="RD3298" s="106"/>
      <c r="RE3298" s="106"/>
      <c r="RF3298" s="106"/>
      <c r="RG3298" s="106"/>
      <c r="RH3298" s="106"/>
      <c r="RI3298" s="106"/>
      <c r="RJ3298" s="106"/>
      <c r="RK3298" s="106"/>
      <c r="RL3298" s="106"/>
    </row>
    <row r="3299" spans="88:480" x14ac:dyDescent="0.3">
      <c r="CJ3299" s="103"/>
      <c r="FP3299" s="103"/>
      <c r="LL3299" s="103"/>
      <c r="NM3299" s="103"/>
      <c r="QT3299" s="106"/>
      <c r="QU3299" s="106"/>
      <c r="QV3299" s="106"/>
      <c r="QW3299" s="106"/>
      <c r="QX3299" s="106"/>
      <c r="QY3299" s="106"/>
      <c r="QZ3299" s="106"/>
      <c r="RA3299" s="106"/>
      <c r="RB3299" s="106"/>
      <c r="RC3299" s="106"/>
      <c r="RD3299" s="106"/>
      <c r="RE3299" s="106"/>
      <c r="RF3299" s="106"/>
      <c r="RG3299" s="106"/>
      <c r="RH3299" s="106"/>
      <c r="RI3299" s="106"/>
      <c r="RJ3299" s="106"/>
      <c r="RK3299" s="106"/>
      <c r="RL3299" s="106"/>
    </row>
    <row r="3300" spans="88:480" x14ac:dyDescent="0.3">
      <c r="CJ3300" s="103"/>
      <c r="FP3300" s="103"/>
      <c r="LL3300" s="103"/>
      <c r="NM3300" s="103"/>
      <c r="QT3300" s="106"/>
      <c r="QU3300" s="106"/>
      <c r="QV3300" s="106"/>
      <c r="QW3300" s="106"/>
      <c r="QX3300" s="106"/>
      <c r="QY3300" s="106"/>
      <c r="QZ3300" s="106"/>
      <c r="RA3300" s="106"/>
      <c r="RB3300" s="106"/>
      <c r="RC3300" s="106"/>
      <c r="RD3300" s="106"/>
      <c r="RE3300" s="106"/>
      <c r="RF3300" s="106"/>
      <c r="RG3300" s="106"/>
      <c r="RH3300" s="106"/>
      <c r="RI3300" s="106"/>
      <c r="RJ3300" s="106"/>
      <c r="RK3300" s="106"/>
      <c r="RL3300" s="106"/>
    </row>
    <row r="3301" spans="88:480" x14ac:dyDescent="0.3">
      <c r="CJ3301" s="103"/>
      <c r="FP3301" s="103"/>
      <c r="LL3301" s="103"/>
      <c r="NM3301" s="103"/>
      <c r="QT3301" s="106"/>
      <c r="QU3301" s="106"/>
      <c r="QV3301" s="106"/>
      <c r="QW3301" s="106"/>
      <c r="QX3301" s="106"/>
      <c r="QY3301" s="106"/>
      <c r="QZ3301" s="106"/>
      <c r="RA3301" s="106"/>
      <c r="RB3301" s="106"/>
      <c r="RC3301" s="106"/>
      <c r="RD3301" s="106"/>
      <c r="RE3301" s="106"/>
      <c r="RF3301" s="106"/>
      <c r="RG3301" s="106"/>
      <c r="RH3301" s="106"/>
      <c r="RI3301" s="106"/>
      <c r="RJ3301" s="106"/>
      <c r="RK3301" s="106"/>
      <c r="RL3301" s="106"/>
    </row>
    <row r="3302" spans="88:480" x14ac:dyDescent="0.3">
      <c r="CJ3302" s="103"/>
      <c r="FP3302" s="103"/>
      <c r="LL3302" s="103"/>
      <c r="NM3302" s="103"/>
      <c r="QT3302" s="106"/>
      <c r="QU3302" s="106"/>
      <c r="QV3302" s="106"/>
      <c r="QW3302" s="106"/>
      <c r="QX3302" s="106"/>
      <c r="QY3302" s="106"/>
      <c r="QZ3302" s="106"/>
      <c r="RA3302" s="106"/>
      <c r="RB3302" s="106"/>
      <c r="RC3302" s="106"/>
      <c r="RD3302" s="106"/>
      <c r="RE3302" s="106"/>
      <c r="RF3302" s="106"/>
      <c r="RG3302" s="106"/>
      <c r="RH3302" s="106"/>
      <c r="RI3302" s="106"/>
      <c r="RJ3302" s="106"/>
      <c r="RK3302" s="106"/>
      <c r="RL3302" s="106"/>
    </row>
    <row r="3303" spans="88:480" x14ac:dyDescent="0.3">
      <c r="CJ3303" s="103"/>
      <c r="FP3303" s="103"/>
      <c r="LL3303" s="103"/>
      <c r="NM3303" s="103"/>
      <c r="QT3303" s="106"/>
      <c r="QU3303" s="106"/>
      <c r="QV3303" s="106"/>
      <c r="QW3303" s="106"/>
      <c r="QX3303" s="106"/>
      <c r="QY3303" s="106"/>
      <c r="QZ3303" s="106"/>
      <c r="RA3303" s="106"/>
      <c r="RB3303" s="106"/>
      <c r="RC3303" s="106"/>
      <c r="RD3303" s="106"/>
      <c r="RE3303" s="106"/>
      <c r="RF3303" s="106"/>
      <c r="RG3303" s="106"/>
      <c r="RH3303" s="106"/>
      <c r="RI3303" s="106"/>
      <c r="RJ3303" s="106"/>
      <c r="RK3303" s="106"/>
      <c r="RL3303" s="106"/>
    </row>
    <row r="3304" spans="88:480" x14ac:dyDescent="0.3">
      <c r="CJ3304" s="103"/>
      <c r="FP3304" s="103"/>
      <c r="LL3304" s="103"/>
      <c r="NM3304" s="103"/>
      <c r="QT3304" s="106"/>
      <c r="QU3304" s="106"/>
      <c r="QV3304" s="106"/>
      <c r="QW3304" s="106"/>
      <c r="QX3304" s="106"/>
      <c r="QY3304" s="106"/>
      <c r="QZ3304" s="106"/>
      <c r="RA3304" s="106"/>
      <c r="RB3304" s="106"/>
      <c r="RC3304" s="106"/>
      <c r="RD3304" s="106"/>
      <c r="RE3304" s="106"/>
      <c r="RF3304" s="106"/>
      <c r="RG3304" s="106"/>
      <c r="RH3304" s="106"/>
      <c r="RI3304" s="106"/>
      <c r="RJ3304" s="106"/>
      <c r="RK3304" s="106"/>
      <c r="RL3304" s="106"/>
    </row>
    <row r="3305" spans="88:480" x14ac:dyDescent="0.3">
      <c r="CJ3305" s="103"/>
      <c r="FP3305" s="103"/>
      <c r="LL3305" s="103"/>
      <c r="NM3305" s="103"/>
      <c r="QT3305" s="106"/>
      <c r="QU3305" s="106"/>
      <c r="QV3305" s="106"/>
      <c r="QW3305" s="106"/>
      <c r="QX3305" s="106"/>
      <c r="QY3305" s="106"/>
      <c r="QZ3305" s="106"/>
      <c r="RA3305" s="106"/>
      <c r="RB3305" s="106"/>
      <c r="RC3305" s="106"/>
      <c r="RD3305" s="106"/>
      <c r="RE3305" s="106"/>
      <c r="RF3305" s="106"/>
      <c r="RG3305" s="106"/>
      <c r="RH3305" s="106"/>
      <c r="RI3305" s="106"/>
      <c r="RJ3305" s="106"/>
      <c r="RK3305" s="106"/>
      <c r="RL3305" s="106"/>
    </row>
    <row r="3306" spans="88:480" x14ac:dyDescent="0.3">
      <c r="CJ3306" s="103"/>
      <c r="FP3306" s="103"/>
      <c r="LL3306" s="103"/>
      <c r="NM3306" s="103"/>
      <c r="QT3306" s="106"/>
      <c r="QU3306" s="106"/>
      <c r="QV3306" s="106"/>
      <c r="QW3306" s="106"/>
      <c r="QX3306" s="106"/>
      <c r="QY3306" s="106"/>
      <c r="QZ3306" s="106"/>
      <c r="RA3306" s="106"/>
      <c r="RB3306" s="106"/>
      <c r="RC3306" s="106"/>
      <c r="RD3306" s="106"/>
      <c r="RE3306" s="106"/>
      <c r="RF3306" s="106"/>
      <c r="RG3306" s="106"/>
      <c r="RH3306" s="106"/>
      <c r="RI3306" s="106"/>
      <c r="RJ3306" s="106"/>
      <c r="RK3306" s="106"/>
      <c r="RL3306" s="106"/>
    </row>
    <row r="3307" spans="88:480" x14ac:dyDescent="0.3">
      <c r="CJ3307" s="103"/>
      <c r="FP3307" s="103"/>
      <c r="LL3307" s="103"/>
      <c r="NM3307" s="103"/>
      <c r="QT3307" s="106"/>
      <c r="QU3307" s="106"/>
      <c r="QV3307" s="106"/>
      <c r="QW3307" s="106"/>
      <c r="QX3307" s="106"/>
      <c r="QY3307" s="106"/>
      <c r="QZ3307" s="106"/>
      <c r="RA3307" s="106"/>
      <c r="RB3307" s="106"/>
      <c r="RC3307" s="106"/>
      <c r="RD3307" s="106"/>
      <c r="RE3307" s="106"/>
      <c r="RF3307" s="106"/>
      <c r="RG3307" s="106"/>
      <c r="RH3307" s="106"/>
      <c r="RI3307" s="106"/>
      <c r="RJ3307" s="106"/>
      <c r="RK3307" s="106"/>
      <c r="RL3307" s="106"/>
    </row>
    <row r="3308" spans="88:480" x14ac:dyDescent="0.3">
      <c r="CJ3308" s="103"/>
      <c r="FP3308" s="103"/>
      <c r="LL3308" s="103"/>
      <c r="NM3308" s="103"/>
      <c r="QT3308" s="106"/>
      <c r="QU3308" s="106"/>
      <c r="QV3308" s="106"/>
      <c r="QW3308" s="106"/>
      <c r="QX3308" s="106"/>
      <c r="QY3308" s="106"/>
      <c r="QZ3308" s="106"/>
      <c r="RA3308" s="106"/>
      <c r="RB3308" s="106"/>
      <c r="RC3308" s="106"/>
      <c r="RD3308" s="106"/>
      <c r="RE3308" s="106"/>
      <c r="RF3308" s="106"/>
      <c r="RG3308" s="106"/>
      <c r="RH3308" s="106"/>
      <c r="RI3308" s="106"/>
      <c r="RJ3308" s="106"/>
      <c r="RK3308" s="106"/>
      <c r="RL3308" s="106"/>
    </row>
    <row r="3309" spans="88:480" x14ac:dyDescent="0.3">
      <c r="CJ3309" s="103"/>
      <c r="FP3309" s="103"/>
      <c r="LL3309" s="103"/>
      <c r="NM3309" s="103"/>
      <c r="QT3309" s="106"/>
      <c r="QU3309" s="106"/>
      <c r="QV3309" s="106"/>
      <c r="QW3309" s="106"/>
      <c r="QX3309" s="106"/>
      <c r="QY3309" s="106"/>
      <c r="QZ3309" s="106"/>
      <c r="RA3309" s="106"/>
      <c r="RB3309" s="106"/>
      <c r="RC3309" s="106"/>
      <c r="RD3309" s="106"/>
      <c r="RE3309" s="106"/>
      <c r="RF3309" s="106"/>
      <c r="RG3309" s="106"/>
      <c r="RH3309" s="106"/>
      <c r="RI3309" s="106"/>
      <c r="RJ3309" s="106"/>
      <c r="RK3309" s="106"/>
      <c r="RL3309" s="106"/>
    </row>
    <row r="3310" spans="88:480" x14ac:dyDescent="0.3">
      <c r="CJ3310" s="103"/>
      <c r="FP3310" s="103"/>
      <c r="LL3310" s="103"/>
      <c r="NM3310" s="103"/>
      <c r="QT3310" s="106"/>
      <c r="QU3310" s="106"/>
      <c r="QV3310" s="106"/>
      <c r="QW3310" s="106"/>
      <c r="QX3310" s="106"/>
      <c r="QY3310" s="106"/>
      <c r="QZ3310" s="106"/>
      <c r="RA3310" s="106"/>
      <c r="RB3310" s="106"/>
      <c r="RC3310" s="106"/>
      <c r="RD3310" s="106"/>
      <c r="RE3310" s="106"/>
      <c r="RF3310" s="106"/>
      <c r="RG3310" s="106"/>
      <c r="RH3310" s="106"/>
      <c r="RI3310" s="106"/>
      <c r="RJ3310" s="106"/>
      <c r="RK3310" s="106"/>
      <c r="RL3310" s="106"/>
    </row>
    <row r="3311" spans="88:480" x14ac:dyDescent="0.3">
      <c r="CJ3311" s="103"/>
      <c r="FP3311" s="103"/>
      <c r="LL3311" s="103"/>
      <c r="NM3311" s="103"/>
      <c r="QT3311" s="106"/>
      <c r="QU3311" s="106"/>
      <c r="QV3311" s="106"/>
      <c r="QW3311" s="106"/>
      <c r="QX3311" s="106"/>
      <c r="QY3311" s="106"/>
      <c r="QZ3311" s="106"/>
      <c r="RA3311" s="106"/>
      <c r="RB3311" s="106"/>
      <c r="RC3311" s="106"/>
      <c r="RD3311" s="106"/>
      <c r="RE3311" s="106"/>
      <c r="RF3311" s="106"/>
      <c r="RG3311" s="106"/>
      <c r="RH3311" s="106"/>
      <c r="RI3311" s="106"/>
      <c r="RJ3311" s="106"/>
      <c r="RK3311" s="106"/>
      <c r="RL3311" s="106"/>
    </row>
    <row r="3312" spans="88:480" x14ac:dyDescent="0.3">
      <c r="CJ3312" s="103"/>
      <c r="FP3312" s="103"/>
      <c r="LL3312" s="103"/>
      <c r="NM3312" s="103"/>
      <c r="QT3312" s="106"/>
      <c r="QU3312" s="106"/>
      <c r="QV3312" s="106"/>
      <c r="QW3312" s="106"/>
      <c r="QX3312" s="106"/>
      <c r="QY3312" s="106"/>
      <c r="QZ3312" s="106"/>
      <c r="RA3312" s="106"/>
      <c r="RB3312" s="106"/>
      <c r="RC3312" s="106"/>
      <c r="RD3312" s="106"/>
      <c r="RE3312" s="106"/>
      <c r="RF3312" s="106"/>
      <c r="RG3312" s="106"/>
      <c r="RH3312" s="106"/>
      <c r="RI3312" s="106"/>
      <c r="RJ3312" s="106"/>
      <c r="RK3312" s="106"/>
      <c r="RL3312" s="106"/>
    </row>
    <row r="3313" spans="88:480" x14ac:dyDescent="0.3">
      <c r="CJ3313" s="103"/>
      <c r="FP3313" s="103"/>
      <c r="LL3313" s="103"/>
      <c r="NM3313" s="103"/>
      <c r="QT3313" s="106"/>
      <c r="QU3313" s="106"/>
      <c r="QV3313" s="106"/>
      <c r="QW3313" s="106"/>
      <c r="QX3313" s="106"/>
      <c r="QY3313" s="106"/>
      <c r="QZ3313" s="106"/>
      <c r="RA3313" s="106"/>
      <c r="RB3313" s="106"/>
      <c r="RC3313" s="106"/>
      <c r="RD3313" s="106"/>
      <c r="RE3313" s="106"/>
      <c r="RF3313" s="106"/>
      <c r="RG3313" s="106"/>
      <c r="RH3313" s="106"/>
      <c r="RI3313" s="106"/>
      <c r="RJ3313" s="106"/>
      <c r="RK3313" s="106"/>
      <c r="RL3313" s="106"/>
    </row>
    <row r="3314" spans="88:480" x14ac:dyDescent="0.3">
      <c r="CJ3314" s="103"/>
      <c r="FP3314" s="103"/>
      <c r="LL3314" s="103"/>
      <c r="NM3314" s="103"/>
      <c r="QT3314" s="106"/>
      <c r="QU3314" s="106"/>
      <c r="QV3314" s="106"/>
      <c r="QW3314" s="106"/>
      <c r="QX3314" s="106"/>
      <c r="QY3314" s="106"/>
      <c r="QZ3314" s="106"/>
      <c r="RA3314" s="106"/>
      <c r="RB3314" s="106"/>
      <c r="RC3314" s="106"/>
      <c r="RD3314" s="106"/>
      <c r="RE3314" s="106"/>
      <c r="RF3314" s="106"/>
      <c r="RG3314" s="106"/>
      <c r="RH3314" s="106"/>
      <c r="RI3314" s="106"/>
      <c r="RJ3314" s="106"/>
      <c r="RK3314" s="106"/>
      <c r="RL3314" s="106"/>
    </row>
    <row r="3315" spans="88:480" x14ac:dyDescent="0.3">
      <c r="CJ3315" s="103"/>
      <c r="FP3315" s="103"/>
      <c r="LL3315" s="103"/>
      <c r="NM3315" s="103"/>
      <c r="QT3315" s="106"/>
      <c r="QU3315" s="106"/>
      <c r="QV3315" s="106"/>
      <c r="QW3315" s="106"/>
      <c r="QX3315" s="106"/>
      <c r="QY3315" s="106"/>
      <c r="QZ3315" s="106"/>
      <c r="RA3315" s="106"/>
      <c r="RB3315" s="106"/>
      <c r="RC3315" s="106"/>
      <c r="RD3315" s="106"/>
      <c r="RE3315" s="106"/>
      <c r="RF3315" s="106"/>
      <c r="RG3315" s="106"/>
      <c r="RH3315" s="106"/>
      <c r="RI3315" s="106"/>
      <c r="RJ3315" s="106"/>
      <c r="RK3315" s="106"/>
      <c r="RL3315" s="106"/>
    </row>
    <row r="3316" spans="88:480" x14ac:dyDescent="0.3">
      <c r="CJ3316" s="103"/>
      <c r="FP3316" s="103"/>
      <c r="LL3316" s="103"/>
      <c r="NM3316" s="103"/>
      <c r="QT3316" s="106"/>
      <c r="QU3316" s="106"/>
      <c r="QV3316" s="106"/>
      <c r="QW3316" s="106"/>
      <c r="QX3316" s="106"/>
      <c r="QY3316" s="106"/>
      <c r="QZ3316" s="106"/>
      <c r="RA3316" s="106"/>
      <c r="RB3316" s="106"/>
      <c r="RC3316" s="106"/>
      <c r="RD3316" s="106"/>
      <c r="RE3316" s="106"/>
      <c r="RF3316" s="106"/>
      <c r="RG3316" s="106"/>
      <c r="RH3316" s="106"/>
      <c r="RI3316" s="106"/>
      <c r="RJ3316" s="106"/>
      <c r="RK3316" s="106"/>
      <c r="RL3316" s="106"/>
    </row>
    <row r="3317" spans="88:480" x14ac:dyDescent="0.3">
      <c r="CJ3317" s="103"/>
      <c r="FP3317" s="103"/>
      <c r="LL3317" s="103"/>
      <c r="NM3317" s="103"/>
      <c r="QT3317" s="106"/>
      <c r="QU3317" s="106"/>
      <c r="QV3317" s="106"/>
      <c r="QW3317" s="106"/>
      <c r="QX3317" s="106"/>
      <c r="QY3317" s="106"/>
      <c r="QZ3317" s="106"/>
      <c r="RA3317" s="106"/>
      <c r="RB3317" s="106"/>
      <c r="RC3317" s="106"/>
      <c r="RD3317" s="106"/>
      <c r="RE3317" s="106"/>
      <c r="RF3317" s="106"/>
      <c r="RG3317" s="106"/>
      <c r="RH3317" s="106"/>
      <c r="RI3317" s="106"/>
      <c r="RJ3317" s="106"/>
      <c r="RK3317" s="106"/>
      <c r="RL3317" s="106"/>
    </row>
    <row r="3318" spans="88:480" x14ac:dyDescent="0.3">
      <c r="CJ3318" s="103"/>
      <c r="FP3318" s="103"/>
      <c r="LL3318" s="103"/>
      <c r="NM3318" s="103"/>
      <c r="QT3318" s="106"/>
      <c r="QU3318" s="106"/>
      <c r="QV3318" s="106"/>
      <c r="QW3318" s="106"/>
      <c r="QX3318" s="106"/>
      <c r="QY3318" s="106"/>
      <c r="QZ3318" s="106"/>
      <c r="RA3318" s="106"/>
      <c r="RB3318" s="106"/>
      <c r="RC3318" s="106"/>
      <c r="RD3318" s="106"/>
      <c r="RE3318" s="106"/>
      <c r="RF3318" s="106"/>
      <c r="RG3318" s="106"/>
      <c r="RH3318" s="106"/>
      <c r="RI3318" s="106"/>
      <c r="RJ3318" s="106"/>
      <c r="RK3318" s="106"/>
      <c r="RL3318" s="106"/>
    </row>
    <row r="3319" spans="88:480" x14ac:dyDescent="0.3">
      <c r="CJ3319" s="103"/>
      <c r="FP3319" s="103"/>
      <c r="LL3319" s="103"/>
      <c r="NM3319" s="103"/>
      <c r="QT3319" s="106"/>
      <c r="QU3319" s="106"/>
      <c r="QV3319" s="106"/>
      <c r="QW3319" s="106"/>
      <c r="QX3319" s="106"/>
      <c r="QY3319" s="106"/>
      <c r="QZ3319" s="106"/>
      <c r="RA3319" s="106"/>
      <c r="RB3319" s="106"/>
      <c r="RC3319" s="106"/>
      <c r="RD3319" s="106"/>
      <c r="RE3319" s="106"/>
      <c r="RF3319" s="106"/>
      <c r="RG3319" s="106"/>
      <c r="RH3319" s="106"/>
      <c r="RI3319" s="106"/>
      <c r="RJ3319" s="106"/>
      <c r="RK3319" s="106"/>
      <c r="RL3319" s="106"/>
    </row>
    <row r="3320" spans="88:480" x14ac:dyDescent="0.3">
      <c r="CJ3320" s="103"/>
      <c r="FP3320" s="103"/>
      <c r="LL3320" s="103"/>
      <c r="NM3320" s="103"/>
      <c r="QT3320" s="106"/>
      <c r="QU3320" s="106"/>
      <c r="QV3320" s="106"/>
      <c r="QW3320" s="106"/>
      <c r="QX3320" s="106"/>
      <c r="QY3320" s="106"/>
      <c r="QZ3320" s="106"/>
      <c r="RA3320" s="106"/>
      <c r="RB3320" s="106"/>
      <c r="RC3320" s="106"/>
      <c r="RD3320" s="106"/>
      <c r="RE3320" s="106"/>
      <c r="RF3320" s="106"/>
      <c r="RG3320" s="106"/>
      <c r="RH3320" s="106"/>
      <c r="RI3320" s="106"/>
      <c r="RJ3320" s="106"/>
      <c r="RK3320" s="106"/>
      <c r="RL3320" s="106"/>
    </row>
    <row r="3321" spans="88:480" x14ac:dyDescent="0.3">
      <c r="CJ3321" s="103"/>
      <c r="FP3321" s="103"/>
      <c r="LL3321" s="103"/>
      <c r="NM3321" s="103"/>
      <c r="QT3321" s="106"/>
      <c r="QU3321" s="106"/>
      <c r="QV3321" s="106"/>
      <c r="QW3321" s="106"/>
      <c r="QX3321" s="106"/>
      <c r="QY3321" s="106"/>
      <c r="QZ3321" s="106"/>
      <c r="RA3321" s="106"/>
      <c r="RB3321" s="106"/>
      <c r="RC3321" s="106"/>
      <c r="RD3321" s="106"/>
      <c r="RE3321" s="106"/>
      <c r="RF3321" s="106"/>
      <c r="RG3321" s="106"/>
      <c r="RH3321" s="106"/>
      <c r="RI3321" s="106"/>
      <c r="RJ3321" s="106"/>
      <c r="RK3321" s="106"/>
      <c r="RL3321" s="106"/>
    </row>
    <row r="3322" spans="88:480" x14ac:dyDescent="0.3">
      <c r="CJ3322" s="103"/>
      <c r="FP3322" s="103"/>
      <c r="LL3322" s="103"/>
      <c r="NM3322" s="103"/>
      <c r="QT3322" s="106"/>
      <c r="QU3322" s="106"/>
      <c r="QV3322" s="106"/>
      <c r="QW3322" s="106"/>
      <c r="QX3322" s="106"/>
      <c r="QY3322" s="106"/>
      <c r="QZ3322" s="106"/>
      <c r="RA3322" s="106"/>
      <c r="RB3322" s="106"/>
      <c r="RC3322" s="106"/>
      <c r="RD3322" s="106"/>
      <c r="RE3322" s="106"/>
      <c r="RF3322" s="106"/>
      <c r="RG3322" s="106"/>
      <c r="RH3322" s="106"/>
      <c r="RI3322" s="106"/>
      <c r="RJ3322" s="106"/>
      <c r="RK3322" s="106"/>
      <c r="RL3322" s="106"/>
    </row>
    <row r="3323" spans="88:480" x14ac:dyDescent="0.3">
      <c r="CJ3323" s="103"/>
      <c r="FP3323" s="103"/>
      <c r="LL3323" s="103"/>
      <c r="NM3323" s="103"/>
      <c r="QT3323" s="106"/>
      <c r="QU3323" s="106"/>
      <c r="QV3323" s="106"/>
      <c r="QW3323" s="106"/>
      <c r="QX3323" s="106"/>
      <c r="QY3323" s="106"/>
      <c r="QZ3323" s="106"/>
      <c r="RA3323" s="106"/>
      <c r="RB3323" s="106"/>
      <c r="RC3323" s="106"/>
      <c r="RD3323" s="106"/>
      <c r="RE3323" s="106"/>
      <c r="RF3323" s="106"/>
      <c r="RG3323" s="106"/>
      <c r="RH3323" s="106"/>
      <c r="RI3323" s="106"/>
      <c r="RJ3323" s="106"/>
      <c r="RK3323" s="106"/>
      <c r="RL3323" s="106"/>
    </row>
    <row r="3324" spans="88:480" x14ac:dyDescent="0.3">
      <c r="CJ3324" s="103"/>
      <c r="FP3324" s="103"/>
      <c r="LL3324" s="103"/>
      <c r="NM3324" s="103"/>
      <c r="QT3324" s="106"/>
      <c r="QU3324" s="106"/>
      <c r="QV3324" s="106"/>
      <c r="QW3324" s="106"/>
      <c r="QX3324" s="106"/>
      <c r="QY3324" s="106"/>
      <c r="QZ3324" s="106"/>
      <c r="RA3324" s="106"/>
      <c r="RB3324" s="106"/>
      <c r="RC3324" s="106"/>
      <c r="RD3324" s="106"/>
      <c r="RE3324" s="106"/>
      <c r="RF3324" s="106"/>
      <c r="RG3324" s="106"/>
      <c r="RH3324" s="106"/>
      <c r="RI3324" s="106"/>
      <c r="RJ3324" s="106"/>
      <c r="RK3324" s="106"/>
      <c r="RL3324" s="106"/>
    </row>
    <row r="3325" spans="88:480" x14ac:dyDescent="0.3">
      <c r="CJ3325" s="103"/>
      <c r="FP3325" s="103"/>
      <c r="LL3325" s="103"/>
      <c r="NM3325" s="103"/>
      <c r="QT3325" s="106"/>
      <c r="QU3325" s="106"/>
      <c r="QV3325" s="106"/>
      <c r="QW3325" s="106"/>
      <c r="QX3325" s="106"/>
      <c r="QY3325" s="106"/>
      <c r="QZ3325" s="106"/>
      <c r="RA3325" s="106"/>
      <c r="RB3325" s="106"/>
      <c r="RC3325" s="106"/>
      <c r="RD3325" s="106"/>
      <c r="RE3325" s="106"/>
      <c r="RF3325" s="106"/>
      <c r="RG3325" s="106"/>
      <c r="RH3325" s="106"/>
      <c r="RI3325" s="106"/>
      <c r="RJ3325" s="106"/>
      <c r="RK3325" s="106"/>
      <c r="RL3325" s="106"/>
    </row>
    <row r="3326" spans="88:480" x14ac:dyDescent="0.3">
      <c r="CJ3326" s="103"/>
      <c r="FP3326" s="103"/>
      <c r="LL3326" s="103"/>
      <c r="NM3326" s="103"/>
      <c r="QT3326" s="106"/>
      <c r="QU3326" s="106"/>
      <c r="QV3326" s="106"/>
      <c r="QW3326" s="106"/>
      <c r="QX3326" s="106"/>
      <c r="QY3326" s="106"/>
      <c r="QZ3326" s="106"/>
      <c r="RA3326" s="106"/>
      <c r="RB3326" s="106"/>
      <c r="RC3326" s="106"/>
      <c r="RD3326" s="106"/>
      <c r="RE3326" s="106"/>
      <c r="RF3326" s="106"/>
      <c r="RG3326" s="106"/>
      <c r="RH3326" s="106"/>
      <c r="RI3326" s="106"/>
      <c r="RJ3326" s="106"/>
      <c r="RK3326" s="106"/>
      <c r="RL3326" s="106"/>
    </row>
    <row r="3327" spans="88:480" x14ac:dyDescent="0.3">
      <c r="CJ3327" s="103"/>
      <c r="FP3327" s="103"/>
      <c r="LL3327" s="103"/>
      <c r="NM3327" s="103"/>
      <c r="QT3327" s="106"/>
      <c r="QU3327" s="106"/>
      <c r="QV3327" s="106"/>
      <c r="QW3327" s="106"/>
      <c r="QX3327" s="106"/>
      <c r="QY3327" s="106"/>
      <c r="QZ3327" s="106"/>
      <c r="RA3327" s="106"/>
      <c r="RB3327" s="106"/>
      <c r="RC3327" s="106"/>
      <c r="RD3327" s="106"/>
      <c r="RE3327" s="106"/>
      <c r="RF3327" s="106"/>
      <c r="RG3327" s="106"/>
      <c r="RH3327" s="106"/>
      <c r="RI3327" s="106"/>
      <c r="RJ3327" s="106"/>
      <c r="RK3327" s="106"/>
      <c r="RL3327" s="106"/>
    </row>
    <row r="3328" spans="88:480" x14ac:dyDescent="0.3">
      <c r="CJ3328" s="103"/>
      <c r="FP3328" s="103"/>
      <c r="LL3328" s="103"/>
      <c r="NM3328" s="103"/>
      <c r="QT3328" s="106"/>
      <c r="QU3328" s="106"/>
      <c r="QV3328" s="106"/>
      <c r="QW3328" s="106"/>
      <c r="QX3328" s="106"/>
      <c r="QY3328" s="106"/>
      <c r="QZ3328" s="106"/>
      <c r="RA3328" s="106"/>
      <c r="RB3328" s="106"/>
      <c r="RC3328" s="106"/>
      <c r="RD3328" s="106"/>
      <c r="RE3328" s="106"/>
      <c r="RF3328" s="106"/>
      <c r="RG3328" s="106"/>
      <c r="RH3328" s="106"/>
      <c r="RI3328" s="106"/>
      <c r="RJ3328" s="106"/>
      <c r="RK3328" s="106"/>
      <c r="RL3328" s="106"/>
    </row>
    <row r="3329" spans="88:480" x14ac:dyDescent="0.3">
      <c r="CJ3329" s="103"/>
      <c r="FP3329" s="103"/>
      <c r="LL3329" s="103"/>
      <c r="NM3329" s="103"/>
      <c r="QT3329" s="106"/>
      <c r="QU3329" s="106"/>
      <c r="QV3329" s="106"/>
      <c r="QW3329" s="106"/>
      <c r="QX3329" s="106"/>
      <c r="QY3329" s="106"/>
      <c r="QZ3329" s="106"/>
      <c r="RA3329" s="106"/>
      <c r="RB3329" s="106"/>
      <c r="RC3329" s="106"/>
      <c r="RD3329" s="106"/>
      <c r="RE3329" s="106"/>
      <c r="RF3329" s="106"/>
      <c r="RG3329" s="106"/>
      <c r="RH3329" s="106"/>
      <c r="RI3329" s="106"/>
      <c r="RJ3329" s="106"/>
      <c r="RK3329" s="106"/>
      <c r="RL3329" s="106"/>
    </row>
    <row r="3330" spans="88:480" x14ac:dyDescent="0.3">
      <c r="CJ3330" s="103"/>
      <c r="FP3330" s="103"/>
      <c r="LL3330" s="103"/>
      <c r="NM3330" s="103"/>
      <c r="QT3330" s="106"/>
      <c r="QU3330" s="106"/>
      <c r="QV3330" s="106"/>
      <c r="QW3330" s="106"/>
      <c r="QX3330" s="106"/>
      <c r="QY3330" s="106"/>
      <c r="QZ3330" s="106"/>
      <c r="RA3330" s="106"/>
      <c r="RB3330" s="106"/>
      <c r="RC3330" s="106"/>
      <c r="RD3330" s="106"/>
      <c r="RE3330" s="106"/>
      <c r="RF3330" s="106"/>
      <c r="RG3330" s="106"/>
      <c r="RH3330" s="106"/>
      <c r="RI3330" s="106"/>
      <c r="RJ3330" s="106"/>
      <c r="RK3330" s="106"/>
      <c r="RL3330" s="106"/>
    </row>
    <row r="3331" spans="88:480" x14ac:dyDescent="0.3">
      <c r="CJ3331" s="103"/>
      <c r="FP3331" s="103"/>
      <c r="LL3331" s="103"/>
      <c r="NM3331" s="103"/>
      <c r="QT3331" s="106"/>
      <c r="QU3331" s="106"/>
      <c r="QV3331" s="106"/>
      <c r="QW3331" s="106"/>
      <c r="QX3331" s="106"/>
      <c r="QY3331" s="106"/>
      <c r="QZ3331" s="106"/>
      <c r="RA3331" s="106"/>
      <c r="RB3331" s="106"/>
      <c r="RC3331" s="106"/>
      <c r="RD3331" s="106"/>
      <c r="RE3331" s="106"/>
      <c r="RF3331" s="106"/>
      <c r="RG3331" s="106"/>
      <c r="RH3331" s="106"/>
      <c r="RI3331" s="106"/>
      <c r="RJ3331" s="106"/>
      <c r="RK3331" s="106"/>
      <c r="RL3331" s="106"/>
    </row>
    <row r="3332" spans="88:480" x14ac:dyDescent="0.3">
      <c r="CJ3332" s="103"/>
      <c r="FP3332" s="103"/>
      <c r="LL3332" s="103"/>
      <c r="NM3332" s="103"/>
      <c r="QT3332" s="106"/>
      <c r="QU3332" s="106"/>
      <c r="QV3332" s="106"/>
      <c r="QW3332" s="106"/>
      <c r="QX3332" s="106"/>
      <c r="QY3332" s="106"/>
      <c r="QZ3332" s="106"/>
      <c r="RA3332" s="106"/>
      <c r="RB3332" s="106"/>
      <c r="RC3332" s="106"/>
      <c r="RD3332" s="106"/>
      <c r="RE3332" s="106"/>
      <c r="RF3332" s="106"/>
      <c r="RG3332" s="106"/>
      <c r="RH3332" s="106"/>
      <c r="RI3332" s="106"/>
      <c r="RJ3332" s="106"/>
      <c r="RK3332" s="106"/>
      <c r="RL3332" s="106"/>
    </row>
    <row r="3333" spans="88:480" x14ac:dyDescent="0.3">
      <c r="CJ3333" s="103"/>
      <c r="FP3333" s="103"/>
      <c r="LL3333" s="103"/>
      <c r="NM3333" s="103"/>
      <c r="QT3333" s="106"/>
      <c r="QU3333" s="106"/>
      <c r="QV3333" s="106"/>
      <c r="QW3333" s="106"/>
      <c r="QX3333" s="106"/>
      <c r="QY3333" s="106"/>
      <c r="QZ3333" s="106"/>
      <c r="RA3333" s="106"/>
      <c r="RB3333" s="106"/>
      <c r="RC3333" s="106"/>
      <c r="RD3333" s="106"/>
      <c r="RE3333" s="106"/>
      <c r="RF3333" s="106"/>
      <c r="RG3333" s="106"/>
      <c r="RH3333" s="106"/>
      <c r="RI3333" s="106"/>
      <c r="RJ3333" s="106"/>
      <c r="RK3333" s="106"/>
      <c r="RL3333" s="106"/>
    </row>
    <row r="3334" spans="88:480" x14ac:dyDescent="0.3">
      <c r="CJ3334" s="103"/>
      <c r="FP3334" s="103"/>
      <c r="LL3334" s="103"/>
      <c r="NM3334" s="103"/>
      <c r="QT3334" s="106"/>
      <c r="QU3334" s="106"/>
      <c r="QV3334" s="106"/>
      <c r="QW3334" s="106"/>
      <c r="QX3334" s="106"/>
      <c r="QY3334" s="106"/>
      <c r="QZ3334" s="106"/>
      <c r="RA3334" s="106"/>
      <c r="RB3334" s="106"/>
      <c r="RC3334" s="106"/>
      <c r="RD3334" s="106"/>
      <c r="RE3334" s="106"/>
      <c r="RF3334" s="106"/>
      <c r="RG3334" s="106"/>
      <c r="RH3334" s="106"/>
      <c r="RI3334" s="106"/>
      <c r="RJ3334" s="106"/>
      <c r="RK3334" s="106"/>
      <c r="RL3334" s="106"/>
    </row>
    <row r="3335" spans="88:480" x14ac:dyDescent="0.3">
      <c r="CJ3335" s="103"/>
      <c r="FP3335" s="103"/>
      <c r="LL3335" s="103"/>
      <c r="NM3335" s="103"/>
      <c r="QT3335" s="106"/>
      <c r="QU3335" s="106"/>
      <c r="QV3335" s="106"/>
      <c r="QW3335" s="106"/>
      <c r="QX3335" s="106"/>
      <c r="QY3335" s="106"/>
      <c r="QZ3335" s="106"/>
      <c r="RA3335" s="106"/>
      <c r="RB3335" s="106"/>
      <c r="RC3335" s="106"/>
      <c r="RD3335" s="106"/>
      <c r="RE3335" s="106"/>
      <c r="RF3335" s="106"/>
      <c r="RG3335" s="106"/>
      <c r="RH3335" s="106"/>
      <c r="RI3335" s="106"/>
      <c r="RJ3335" s="106"/>
      <c r="RK3335" s="106"/>
      <c r="RL3335" s="106"/>
    </row>
    <row r="3336" spans="88:480" x14ac:dyDescent="0.3">
      <c r="CJ3336" s="103"/>
      <c r="FP3336" s="103"/>
      <c r="LL3336" s="103"/>
      <c r="NM3336" s="103"/>
      <c r="QT3336" s="106"/>
      <c r="QU3336" s="106"/>
      <c r="QV3336" s="106"/>
      <c r="QW3336" s="106"/>
      <c r="QX3336" s="106"/>
      <c r="QY3336" s="106"/>
      <c r="QZ3336" s="106"/>
      <c r="RA3336" s="106"/>
      <c r="RB3336" s="106"/>
      <c r="RC3336" s="106"/>
      <c r="RD3336" s="106"/>
      <c r="RE3336" s="106"/>
      <c r="RF3336" s="106"/>
      <c r="RG3336" s="106"/>
      <c r="RH3336" s="106"/>
      <c r="RI3336" s="106"/>
      <c r="RJ3336" s="106"/>
      <c r="RK3336" s="106"/>
      <c r="RL3336" s="106"/>
    </row>
    <row r="3337" spans="88:480" x14ac:dyDescent="0.3">
      <c r="CJ3337" s="103"/>
      <c r="FP3337" s="103"/>
      <c r="LL3337" s="103"/>
      <c r="NM3337" s="103"/>
      <c r="QT3337" s="106"/>
      <c r="QU3337" s="106"/>
      <c r="QV3337" s="106"/>
      <c r="QW3337" s="106"/>
      <c r="QX3337" s="106"/>
      <c r="QY3337" s="106"/>
      <c r="QZ3337" s="106"/>
      <c r="RA3337" s="106"/>
      <c r="RB3337" s="106"/>
      <c r="RC3337" s="106"/>
      <c r="RD3337" s="106"/>
      <c r="RE3337" s="106"/>
      <c r="RF3337" s="106"/>
      <c r="RG3337" s="106"/>
      <c r="RH3337" s="106"/>
      <c r="RI3337" s="106"/>
      <c r="RJ3337" s="106"/>
      <c r="RK3337" s="106"/>
      <c r="RL3337" s="106"/>
    </row>
    <row r="3338" spans="88:480" x14ac:dyDescent="0.3">
      <c r="CJ3338" s="103"/>
      <c r="FP3338" s="103"/>
      <c r="LL3338" s="103"/>
      <c r="NM3338" s="103"/>
      <c r="QT3338" s="106"/>
      <c r="QU3338" s="106"/>
      <c r="QV3338" s="106"/>
      <c r="QW3338" s="106"/>
      <c r="QX3338" s="106"/>
      <c r="QY3338" s="106"/>
      <c r="QZ3338" s="106"/>
      <c r="RA3338" s="106"/>
      <c r="RB3338" s="106"/>
      <c r="RC3338" s="106"/>
      <c r="RD3338" s="106"/>
      <c r="RE3338" s="106"/>
      <c r="RF3338" s="106"/>
      <c r="RG3338" s="106"/>
      <c r="RH3338" s="106"/>
      <c r="RI3338" s="106"/>
      <c r="RJ3338" s="106"/>
      <c r="RK3338" s="106"/>
      <c r="RL3338" s="106"/>
    </row>
    <row r="3339" spans="88:480" x14ac:dyDescent="0.3">
      <c r="CJ3339" s="103"/>
      <c r="FP3339" s="103"/>
      <c r="LL3339" s="103"/>
      <c r="NM3339" s="103"/>
      <c r="QT3339" s="106"/>
      <c r="QU3339" s="106"/>
      <c r="QV3339" s="106"/>
      <c r="QW3339" s="106"/>
      <c r="QX3339" s="106"/>
      <c r="QY3339" s="106"/>
      <c r="QZ3339" s="106"/>
      <c r="RA3339" s="106"/>
      <c r="RB3339" s="106"/>
      <c r="RC3339" s="106"/>
      <c r="RD3339" s="106"/>
      <c r="RE3339" s="106"/>
      <c r="RF3339" s="106"/>
      <c r="RG3339" s="106"/>
      <c r="RH3339" s="106"/>
      <c r="RI3339" s="106"/>
      <c r="RJ3339" s="106"/>
      <c r="RK3339" s="106"/>
      <c r="RL3339" s="106"/>
    </row>
    <row r="3340" spans="88:480" x14ac:dyDescent="0.3">
      <c r="CJ3340" s="103"/>
      <c r="FP3340" s="103"/>
      <c r="LL3340" s="103"/>
      <c r="NM3340" s="103"/>
      <c r="QT3340" s="106"/>
      <c r="QU3340" s="106"/>
      <c r="QV3340" s="106"/>
      <c r="QW3340" s="106"/>
      <c r="QX3340" s="106"/>
      <c r="QY3340" s="106"/>
      <c r="QZ3340" s="106"/>
      <c r="RA3340" s="106"/>
      <c r="RB3340" s="106"/>
      <c r="RC3340" s="106"/>
      <c r="RD3340" s="106"/>
      <c r="RE3340" s="106"/>
      <c r="RF3340" s="106"/>
      <c r="RG3340" s="106"/>
      <c r="RH3340" s="106"/>
      <c r="RI3340" s="106"/>
      <c r="RJ3340" s="106"/>
      <c r="RK3340" s="106"/>
      <c r="RL3340" s="106"/>
    </row>
    <row r="3341" spans="88:480" x14ac:dyDescent="0.3">
      <c r="CJ3341" s="103"/>
      <c r="FP3341" s="103"/>
      <c r="LL3341" s="103"/>
      <c r="NM3341" s="103"/>
      <c r="QT3341" s="106"/>
      <c r="QU3341" s="106"/>
      <c r="QV3341" s="106"/>
      <c r="QW3341" s="106"/>
      <c r="QX3341" s="106"/>
      <c r="QY3341" s="106"/>
      <c r="QZ3341" s="106"/>
      <c r="RA3341" s="106"/>
      <c r="RB3341" s="106"/>
      <c r="RC3341" s="106"/>
      <c r="RD3341" s="106"/>
      <c r="RE3341" s="106"/>
      <c r="RF3341" s="106"/>
      <c r="RG3341" s="106"/>
      <c r="RH3341" s="106"/>
      <c r="RI3341" s="106"/>
      <c r="RJ3341" s="106"/>
      <c r="RK3341" s="106"/>
      <c r="RL3341" s="106"/>
    </row>
    <row r="3342" spans="88:480" x14ac:dyDescent="0.3">
      <c r="CJ3342" s="103"/>
      <c r="FP3342" s="103"/>
      <c r="LL3342" s="103"/>
      <c r="NM3342" s="103"/>
      <c r="QT3342" s="106"/>
      <c r="QU3342" s="106"/>
      <c r="QV3342" s="106"/>
      <c r="QW3342" s="106"/>
      <c r="QX3342" s="106"/>
      <c r="QY3342" s="106"/>
      <c r="QZ3342" s="106"/>
      <c r="RA3342" s="106"/>
      <c r="RB3342" s="106"/>
      <c r="RC3342" s="106"/>
      <c r="RD3342" s="106"/>
      <c r="RE3342" s="106"/>
      <c r="RF3342" s="106"/>
      <c r="RG3342" s="106"/>
      <c r="RH3342" s="106"/>
      <c r="RI3342" s="106"/>
      <c r="RJ3342" s="106"/>
      <c r="RK3342" s="106"/>
      <c r="RL3342" s="106"/>
    </row>
    <row r="3343" spans="88:480" x14ac:dyDescent="0.3">
      <c r="CJ3343" s="103"/>
      <c r="FP3343" s="103"/>
      <c r="LL3343" s="103"/>
      <c r="NM3343" s="103"/>
      <c r="QT3343" s="106"/>
      <c r="QU3343" s="106"/>
      <c r="QV3343" s="106"/>
      <c r="QW3343" s="106"/>
      <c r="QX3343" s="106"/>
      <c r="QY3343" s="106"/>
      <c r="QZ3343" s="106"/>
      <c r="RA3343" s="106"/>
      <c r="RB3343" s="106"/>
      <c r="RC3343" s="106"/>
      <c r="RD3343" s="106"/>
      <c r="RE3343" s="106"/>
      <c r="RF3343" s="106"/>
      <c r="RG3343" s="106"/>
      <c r="RH3343" s="106"/>
      <c r="RI3343" s="106"/>
      <c r="RJ3343" s="106"/>
      <c r="RK3343" s="106"/>
      <c r="RL3343" s="106"/>
    </row>
    <row r="3344" spans="88:480" x14ac:dyDescent="0.3">
      <c r="CJ3344" s="103"/>
      <c r="FP3344" s="103"/>
      <c r="LL3344" s="103"/>
      <c r="NM3344" s="103"/>
      <c r="QT3344" s="106"/>
      <c r="QU3344" s="106"/>
      <c r="QV3344" s="106"/>
      <c r="QW3344" s="106"/>
      <c r="QX3344" s="106"/>
      <c r="QY3344" s="106"/>
      <c r="QZ3344" s="106"/>
      <c r="RA3344" s="106"/>
      <c r="RB3344" s="106"/>
      <c r="RC3344" s="106"/>
      <c r="RD3344" s="106"/>
      <c r="RE3344" s="106"/>
      <c r="RF3344" s="106"/>
      <c r="RG3344" s="106"/>
      <c r="RH3344" s="106"/>
      <c r="RI3344" s="106"/>
      <c r="RJ3344" s="106"/>
      <c r="RK3344" s="106"/>
      <c r="RL3344" s="106"/>
    </row>
    <row r="3345" spans="88:480" x14ac:dyDescent="0.3">
      <c r="CJ3345" s="103"/>
      <c r="FP3345" s="103"/>
      <c r="LL3345" s="103"/>
      <c r="NM3345" s="103"/>
      <c r="QT3345" s="106"/>
      <c r="QU3345" s="106"/>
      <c r="QV3345" s="106"/>
      <c r="QW3345" s="106"/>
      <c r="QX3345" s="106"/>
      <c r="QY3345" s="106"/>
      <c r="QZ3345" s="106"/>
      <c r="RA3345" s="106"/>
      <c r="RB3345" s="106"/>
      <c r="RC3345" s="106"/>
      <c r="RD3345" s="106"/>
      <c r="RE3345" s="106"/>
      <c r="RF3345" s="106"/>
      <c r="RG3345" s="106"/>
      <c r="RH3345" s="106"/>
      <c r="RI3345" s="106"/>
      <c r="RJ3345" s="106"/>
      <c r="RK3345" s="106"/>
      <c r="RL3345" s="106"/>
    </row>
    <row r="3346" spans="88:480" x14ac:dyDescent="0.3">
      <c r="CJ3346" s="103"/>
      <c r="FP3346" s="103"/>
      <c r="LL3346" s="103"/>
      <c r="NM3346" s="103"/>
      <c r="QT3346" s="106"/>
      <c r="QU3346" s="106"/>
      <c r="QV3346" s="106"/>
      <c r="QW3346" s="106"/>
      <c r="QX3346" s="106"/>
      <c r="QY3346" s="106"/>
      <c r="QZ3346" s="106"/>
      <c r="RA3346" s="106"/>
      <c r="RB3346" s="106"/>
      <c r="RC3346" s="106"/>
      <c r="RD3346" s="106"/>
      <c r="RE3346" s="106"/>
      <c r="RF3346" s="106"/>
      <c r="RG3346" s="106"/>
      <c r="RH3346" s="106"/>
      <c r="RI3346" s="106"/>
      <c r="RJ3346" s="106"/>
      <c r="RK3346" s="106"/>
      <c r="RL3346" s="106"/>
    </row>
    <row r="3347" spans="88:480" x14ac:dyDescent="0.3">
      <c r="CJ3347" s="103"/>
      <c r="FP3347" s="103"/>
      <c r="LL3347" s="103"/>
      <c r="NM3347" s="103"/>
      <c r="QT3347" s="106"/>
      <c r="QU3347" s="106"/>
      <c r="QV3347" s="106"/>
      <c r="QW3347" s="106"/>
      <c r="QX3347" s="106"/>
      <c r="QY3347" s="106"/>
      <c r="QZ3347" s="106"/>
      <c r="RA3347" s="106"/>
      <c r="RB3347" s="106"/>
      <c r="RC3347" s="106"/>
      <c r="RD3347" s="106"/>
      <c r="RE3347" s="106"/>
      <c r="RF3347" s="106"/>
      <c r="RG3347" s="106"/>
      <c r="RH3347" s="106"/>
      <c r="RI3347" s="106"/>
      <c r="RJ3347" s="106"/>
      <c r="RK3347" s="106"/>
      <c r="RL3347" s="106"/>
    </row>
    <row r="3348" spans="88:480" x14ac:dyDescent="0.3">
      <c r="CJ3348" s="103"/>
      <c r="FP3348" s="103"/>
      <c r="LL3348" s="103"/>
      <c r="NM3348" s="103"/>
      <c r="QT3348" s="106"/>
      <c r="QU3348" s="106"/>
      <c r="QV3348" s="106"/>
      <c r="QW3348" s="106"/>
      <c r="QX3348" s="106"/>
      <c r="QY3348" s="106"/>
      <c r="QZ3348" s="106"/>
      <c r="RA3348" s="106"/>
      <c r="RB3348" s="106"/>
      <c r="RC3348" s="106"/>
      <c r="RD3348" s="106"/>
      <c r="RE3348" s="106"/>
      <c r="RF3348" s="106"/>
      <c r="RG3348" s="106"/>
      <c r="RH3348" s="106"/>
      <c r="RI3348" s="106"/>
      <c r="RJ3348" s="106"/>
      <c r="RK3348" s="106"/>
      <c r="RL3348" s="106"/>
    </row>
    <row r="3349" spans="88:480" x14ac:dyDescent="0.3">
      <c r="CJ3349" s="103"/>
      <c r="FP3349" s="103"/>
      <c r="LL3349" s="103"/>
      <c r="NM3349" s="103"/>
      <c r="QT3349" s="106"/>
      <c r="QU3349" s="106"/>
      <c r="QV3349" s="106"/>
      <c r="QW3349" s="106"/>
      <c r="QX3349" s="106"/>
      <c r="QY3349" s="106"/>
      <c r="QZ3349" s="106"/>
      <c r="RA3349" s="106"/>
      <c r="RB3349" s="106"/>
      <c r="RC3349" s="106"/>
      <c r="RD3349" s="106"/>
      <c r="RE3349" s="106"/>
      <c r="RF3349" s="106"/>
      <c r="RG3349" s="106"/>
      <c r="RH3349" s="106"/>
      <c r="RI3349" s="106"/>
      <c r="RJ3349" s="106"/>
      <c r="RK3349" s="106"/>
      <c r="RL3349" s="106"/>
    </row>
    <row r="3350" spans="88:480" x14ac:dyDescent="0.3">
      <c r="CJ3350" s="103"/>
      <c r="FP3350" s="103"/>
      <c r="LL3350" s="103"/>
      <c r="NM3350" s="103"/>
      <c r="QT3350" s="106"/>
      <c r="QU3350" s="106"/>
      <c r="QV3350" s="106"/>
      <c r="QW3350" s="106"/>
      <c r="QX3350" s="106"/>
      <c r="QY3350" s="106"/>
      <c r="QZ3350" s="106"/>
      <c r="RA3350" s="106"/>
      <c r="RB3350" s="106"/>
      <c r="RC3350" s="106"/>
      <c r="RD3350" s="106"/>
      <c r="RE3350" s="106"/>
      <c r="RF3350" s="106"/>
      <c r="RG3350" s="106"/>
      <c r="RH3350" s="106"/>
      <c r="RI3350" s="106"/>
      <c r="RJ3350" s="106"/>
      <c r="RK3350" s="106"/>
      <c r="RL3350" s="106"/>
    </row>
    <row r="3351" spans="88:480" x14ac:dyDescent="0.3">
      <c r="CJ3351" s="103"/>
      <c r="FP3351" s="103"/>
      <c r="LL3351" s="103"/>
      <c r="NM3351" s="103"/>
      <c r="QT3351" s="106"/>
      <c r="QU3351" s="106"/>
      <c r="QV3351" s="106"/>
      <c r="QW3351" s="106"/>
      <c r="QX3351" s="106"/>
      <c r="QY3351" s="106"/>
      <c r="QZ3351" s="106"/>
      <c r="RA3351" s="106"/>
      <c r="RB3351" s="106"/>
      <c r="RC3351" s="106"/>
      <c r="RD3351" s="106"/>
      <c r="RE3351" s="106"/>
      <c r="RF3351" s="106"/>
      <c r="RG3351" s="106"/>
      <c r="RH3351" s="106"/>
      <c r="RI3351" s="106"/>
      <c r="RJ3351" s="106"/>
      <c r="RK3351" s="106"/>
      <c r="RL3351" s="106"/>
    </row>
    <row r="3352" spans="88:480" x14ac:dyDescent="0.3">
      <c r="CJ3352" s="103"/>
      <c r="FP3352" s="103"/>
      <c r="LL3352" s="103"/>
      <c r="NM3352" s="103"/>
      <c r="QT3352" s="106"/>
      <c r="QU3352" s="106"/>
      <c r="QV3352" s="106"/>
      <c r="QW3352" s="106"/>
      <c r="QX3352" s="106"/>
      <c r="QY3352" s="106"/>
      <c r="QZ3352" s="106"/>
      <c r="RA3352" s="106"/>
      <c r="RB3352" s="106"/>
      <c r="RC3352" s="106"/>
      <c r="RD3352" s="106"/>
      <c r="RE3352" s="106"/>
      <c r="RF3352" s="106"/>
      <c r="RG3352" s="106"/>
      <c r="RH3352" s="106"/>
      <c r="RI3352" s="106"/>
      <c r="RJ3352" s="106"/>
      <c r="RK3352" s="106"/>
      <c r="RL3352" s="106"/>
    </row>
    <row r="3353" spans="88:480" x14ac:dyDescent="0.3">
      <c r="CJ3353" s="103"/>
      <c r="FP3353" s="103"/>
      <c r="LL3353" s="103"/>
      <c r="NM3353" s="103"/>
      <c r="QT3353" s="106"/>
      <c r="QU3353" s="106"/>
      <c r="QV3353" s="106"/>
      <c r="QW3353" s="106"/>
      <c r="QX3353" s="106"/>
      <c r="QY3353" s="106"/>
      <c r="QZ3353" s="106"/>
      <c r="RA3353" s="106"/>
      <c r="RB3353" s="106"/>
      <c r="RC3353" s="106"/>
      <c r="RD3353" s="106"/>
      <c r="RE3353" s="106"/>
      <c r="RF3353" s="106"/>
      <c r="RG3353" s="106"/>
      <c r="RH3353" s="106"/>
      <c r="RI3353" s="106"/>
      <c r="RJ3353" s="106"/>
      <c r="RK3353" s="106"/>
      <c r="RL3353" s="106"/>
    </row>
    <row r="3354" spans="88:480" x14ac:dyDescent="0.3">
      <c r="CJ3354" s="103"/>
      <c r="FP3354" s="103"/>
      <c r="LL3354" s="103"/>
      <c r="NM3354" s="103"/>
      <c r="QT3354" s="106"/>
      <c r="QU3354" s="106"/>
      <c r="QV3354" s="106"/>
      <c r="QW3354" s="106"/>
      <c r="QX3354" s="106"/>
      <c r="QY3354" s="106"/>
      <c r="QZ3354" s="106"/>
      <c r="RA3354" s="106"/>
      <c r="RB3354" s="106"/>
      <c r="RC3354" s="106"/>
      <c r="RD3354" s="106"/>
      <c r="RE3354" s="106"/>
      <c r="RF3354" s="106"/>
      <c r="RG3354" s="106"/>
      <c r="RH3354" s="106"/>
      <c r="RI3354" s="106"/>
      <c r="RJ3354" s="106"/>
      <c r="RK3354" s="106"/>
      <c r="RL3354" s="106"/>
    </row>
    <row r="3355" spans="88:480" x14ac:dyDescent="0.3">
      <c r="CJ3355" s="103"/>
      <c r="FP3355" s="103"/>
      <c r="LL3355" s="103"/>
      <c r="NM3355" s="103"/>
      <c r="QT3355" s="106"/>
      <c r="QU3355" s="106"/>
      <c r="QV3355" s="106"/>
      <c r="QW3355" s="106"/>
      <c r="QX3355" s="106"/>
      <c r="QY3355" s="106"/>
      <c r="QZ3355" s="106"/>
      <c r="RA3355" s="106"/>
      <c r="RB3355" s="106"/>
      <c r="RC3355" s="106"/>
      <c r="RD3355" s="106"/>
      <c r="RE3355" s="106"/>
      <c r="RF3355" s="106"/>
      <c r="RG3355" s="106"/>
      <c r="RH3355" s="106"/>
      <c r="RI3355" s="106"/>
      <c r="RJ3355" s="106"/>
      <c r="RK3355" s="106"/>
      <c r="RL3355" s="106"/>
    </row>
    <row r="3356" spans="88:480" x14ac:dyDescent="0.3">
      <c r="CJ3356" s="103"/>
      <c r="FP3356" s="103"/>
      <c r="LL3356" s="103"/>
      <c r="NM3356" s="103"/>
      <c r="QT3356" s="106"/>
      <c r="QU3356" s="106"/>
      <c r="QV3356" s="106"/>
      <c r="QW3356" s="106"/>
      <c r="QX3356" s="106"/>
      <c r="QY3356" s="106"/>
      <c r="QZ3356" s="106"/>
      <c r="RA3356" s="106"/>
      <c r="RB3356" s="106"/>
      <c r="RC3356" s="106"/>
      <c r="RD3356" s="106"/>
      <c r="RE3356" s="106"/>
      <c r="RF3356" s="106"/>
      <c r="RG3356" s="106"/>
      <c r="RH3356" s="106"/>
      <c r="RI3356" s="106"/>
      <c r="RJ3356" s="106"/>
      <c r="RK3356" s="106"/>
      <c r="RL3356" s="106"/>
    </row>
    <row r="3357" spans="88:480" x14ac:dyDescent="0.3">
      <c r="CJ3357" s="103"/>
      <c r="FP3357" s="103"/>
      <c r="LL3357" s="103"/>
      <c r="NM3357" s="103"/>
      <c r="QT3357" s="106"/>
      <c r="QU3357" s="106"/>
      <c r="QV3357" s="106"/>
      <c r="QW3357" s="106"/>
      <c r="QX3357" s="106"/>
      <c r="QY3357" s="106"/>
      <c r="QZ3357" s="106"/>
      <c r="RA3357" s="106"/>
      <c r="RB3357" s="106"/>
      <c r="RC3357" s="106"/>
      <c r="RD3357" s="106"/>
      <c r="RE3357" s="106"/>
      <c r="RF3357" s="106"/>
      <c r="RG3357" s="106"/>
      <c r="RH3357" s="106"/>
      <c r="RI3357" s="106"/>
      <c r="RJ3357" s="106"/>
      <c r="RK3357" s="106"/>
      <c r="RL3357" s="106"/>
    </row>
    <row r="3358" spans="88:480" x14ac:dyDescent="0.3">
      <c r="CJ3358" s="103"/>
      <c r="FP3358" s="103"/>
      <c r="LL3358" s="103"/>
      <c r="NM3358" s="103"/>
      <c r="QT3358" s="106"/>
      <c r="QU3358" s="106"/>
      <c r="QV3358" s="106"/>
      <c r="QW3358" s="106"/>
      <c r="QX3358" s="106"/>
      <c r="QY3358" s="106"/>
      <c r="QZ3358" s="106"/>
      <c r="RA3358" s="106"/>
      <c r="RB3358" s="106"/>
      <c r="RC3358" s="106"/>
      <c r="RD3358" s="106"/>
      <c r="RE3358" s="106"/>
      <c r="RF3358" s="106"/>
      <c r="RG3358" s="106"/>
      <c r="RH3358" s="106"/>
      <c r="RI3358" s="106"/>
      <c r="RJ3358" s="106"/>
      <c r="RK3358" s="106"/>
      <c r="RL3358" s="106"/>
    </row>
    <row r="3359" spans="88:480" x14ac:dyDescent="0.3">
      <c r="CJ3359" s="103"/>
      <c r="FP3359" s="103"/>
      <c r="LL3359" s="103"/>
      <c r="NM3359" s="103"/>
      <c r="QT3359" s="106"/>
      <c r="QU3359" s="106"/>
      <c r="QV3359" s="106"/>
      <c r="QW3359" s="106"/>
      <c r="QX3359" s="106"/>
      <c r="QY3359" s="106"/>
      <c r="QZ3359" s="106"/>
      <c r="RA3359" s="106"/>
      <c r="RB3359" s="106"/>
      <c r="RC3359" s="106"/>
      <c r="RD3359" s="106"/>
      <c r="RE3359" s="106"/>
      <c r="RF3359" s="106"/>
      <c r="RG3359" s="106"/>
      <c r="RH3359" s="106"/>
      <c r="RI3359" s="106"/>
      <c r="RJ3359" s="106"/>
      <c r="RK3359" s="106"/>
      <c r="RL3359" s="106"/>
    </row>
    <row r="3360" spans="88:480" x14ac:dyDescent="0.3">
      <c r="CJ3360" s="103"/>
      <c r="FP3360" s="103"/>
      <c r="LL3360" s="103"/>
      <c r="NM3360" s="103"/>
      <c r="QT3360" s="106"/>
      <c r="QU3360" s="106"/>
      <c r="QV3360" s="106"/>
      <c r="QW3360" s="106"/>
      <c r="QX3360" s="106"/>
      <c r="QY3360" s="106"/>
      <c r="QZ3360" s="106"/>
      <c r="RA3360" s="106"/>
      <c r="RB3360" s="106"/>
      <c r="RC3360" s="106"/>
      <c r="RD3360" s="106"/>
      <c r="RE3360" s="106"/>
      <c r="RF3360" s="106"/>
      <c r="RG3360" s="106"/>
      <c r="RH3360" s="106"/>
      <c r="RI3360" s="106"/>
      <c r="RJ3360" s="106"/>
      <c r="RK3360" s="106"/>
      <c r="RL3360" s="106"/>
    </row>
    <row r="3361" spans="88:480" x14ac:dyDescent="0.3">
      <c r="CJ3361" s="103"/>
      <c r="FP3361" s="103"/>
      <c r="LL3361" s="103"/>
      <c r="NM3361" s="103"/>
      <c r="QT3361" s="106"/>
      <c r="QU3361" s="106"/>
      <c r="QV3361" s="106"/>
      <c r="QW3361" s="106"/>
      <c r="QX3361" s="106"/>
      <c r="QY3361" s="106"/>
      <c r="QZ3361" s="106"/>
      <c r="RA3361" s="106"/>
      <c r="RB3361" s="106"/>
      <c r="RC3361" s="106"/>
      <c r="RD3361" s="106"/>
      <c r="RE3361" s="106"/>
      <c r="RF3361" s="106"/>
      <c r="RG3361" s="106"/>
      <c r="RH3361" s="106"/>
      <c r="RI3361" s="106"/>
      <c r="RJ3361" s="106"/>
      <c r="RK3361" s="106"/>
      <c r="RL3361" s="106"/>
    </row>
    <row r="3362" spans="88:480" x14ac:dyDescent="0.3">
      <c r="CJ3362" s="103"/>
      <c r="FP3362" s="103"/>
      <c r="LL3362" s="103"/>
      <c r="NM3362" s="103"/>
      <c r="QT3362" s="106"/>
      <c r="QU3362" s="106"/>
      <c r="QV3362" s="106"/>
      <c r="QW3362" s="106"/>
      <c r="QX3362" s="106"/>
      <c r="QY3362" s="106"/>
      <c r="QZ3362" s="106"/>
      <c r="RA3362" s="106"/>
      <c r="RB3362" s="106"/>
      <c r="RC3362" s="106"/>
      <c r="RD3362" s="106"/>
      <c r="RE3362" s="106"/>
      <c r="RF3362" s="106"/>
      <c r="RG3362" s="106"/>
      <c r="RH3362" s="106"/>
      <c r="RI3362" s="106"/>
      <c r="RJ3362" s="106"/>
      <c r="RK3362" s="106"/>
      <c r="RL3362" s="106"/>
    </row>
    <row r="3363" spans="88:480" x14ac:dyDescent="0.3">
      <c r="CJ3363" s="103"/>
      <c r="FP3363" s="103"/>
      <c r="LL3363" s="103"/>
      <c r="NM3363" s="103"/>
      <c r="QT3363" s="106"/>
      <c r="QU3363" s="106"/>
      <c r="QV3363" s="106"/>
      <c r="QW3363" s="106"/>
      <c r="QX3363" s="106"/>
      <c r="QY3363" s="106"/>
      <c r="QZ3363" s="106"/>
      <c r="RA3363" s="106"/>
      <c r="RB3363" s="106"/>
      <c r="RC3363" s="106"/>
      <c r="RD3363" s="106"/>
      <c r="RE3363" s="106"/>
      <c r="RF3363" s="106"/>
      <c r="RG3363" s="106"/>
      <c r="RH3363" s="106"/>
      <c r="RI3363" s="106"/>
      <c r="RJ3363" s="106"/>
      <c r="RK3363" s="106"/>
      <c r="RL3363" s="106"/>
    </row>
    <row r="3364" spans="88:480" x14ac:dyDescent="0.3">
      <c r="CJ3364" s="103"/>
      <c r="FP3364" s="103"/>
      <c r="LL3364" s="103"/>
      <c r="NM3364" s="103"/>
      <c r="QT3364" s="106"/>
      <c r="QU3364" s="106"/>
      <c r="QV3364" s="106"/>
      <c r="QW3364" s="106"/>
      <c r="QX3364" s="106"/>
      <c r="QY3364" s="106"/>
      <c r="QZ3364" s="106"/>
      <c r="RA3364" s="106"/>
      <c r="RB3364" s="106"/>
      <c r="RC3364" s="106"/>
      <c r="RD3364" s="106"/>
      <c r="RE3364" s="106"/>
      <c r="RF3364" s="106"/>
      <c r="RG3364" s="106"/>
      <c r="RH3364" s="106"/>
      <c r="RI3364" s="106"/>
      <c r="RJ3364" s="106"/>
      <c r="RK3364" s="106"/>
      <c r="RL3364" s="106"/>
    </row>
    <row r="3365" spans="88:480" x14ac:dyDescent="0.3">
      <c r="CJ3365" s="103"/>
      <c r="FP3365" s="103"/>
      <c r="LL3365" s="103"/>
      <c r="NM3365" s="103"/>
      <c r="QT3365" s="106"/>
      <c r="QU3365" s="106"/>
      <c r="QV3365" s="106"/>
      <c r="QW3365" s="106"/>
      <c r="QX3365" s="106"/>
      <c r="QY3365" s="106"/>
      <c r="QZ3365" s="106"/>
      <c r="RA3365" s="106"/>
      <c r="RB3365" s="106"/>
      <c r="RC3365" s="106"/>
      <c r="RD3365" s="106"/>
      <c r="RE3365" s="106"/>
      <c r="RF3365" s="106"/>
      <c r="RG3365" s="106"/>
      <c r="RH3365" s="106"/>
      <c r="RI3365" s="106"/>
      <c r="RJ3365" s="106"/>
      <c r="RK3365" s="106"/>
      <c r="RL3365" s="106"/>
    </row>
    <row r="3366" spans="88:480" x14ac:dyDescent="0.3">
      <c r="CJ3366" s="103"/>
      <c r="FP3366" s="103"/>
      <c r="LL3366" s="103"/>
      <c r="NM3366" s="103"/>
      <c r="QT3366" s="106"/>
      <c r="QU3366" s="106"/>
      <c r="QV3366" s="106"/>
      <c r="QW3366" s="106"/>
      <c r="QX3366" s="106"/>
      <c r="QY3366" s="106"/>
      <c r="QZ3366" s="106"/>
      <c r="RA3366" s="106"/>
      <c r="RB3366" s="106"/>
      <c r="RC3366" s="106"/>
      <c r="RD3366" s="106"/>
      <c r="RE3366" s="106"/>
      <c r="RF3366" s="106"/>
      <c r="RG3366" s="106"/>
      <c r="RH3366" s="106"/>
      <c r="RI3366" s="106"/>
      <c r="RJ3366" s="106"/>
      <c r="RK3366" s="106"/>
      <c r="RL3366" s="106"/>
    </row>
    <row r="3367" spans="88:480" x14ac:dyDescent="0.3">
      <c r="CJ3367" s="103"/>
      <c r="FP3367" s="103"/>
      <c r="LL3367" s="103"/>
      <c r="NM3367" s="103"/>
      <c r="QT3367" s="106"/>
      <c r="QU3367" s="106"/>
      <c r="QV3367" s="106"/>
      <c r="QW3367" s="106"/>
      <c r="QX3367" s="106"/>
      <c r="QY3367" s="106"/>
      <c r="QZ3367" s="106"/>
      <c r="RA3367" s="106"/>
      <c r="RB3367" s="106"/>
      <c r="RC3367" s="106"/>
      <c r="RD3367" s="106"/>
      <c r="RE3367" s="106"/>
      <c r="RF3367" s="106"/>
      <c r="RG3367" s="106"/>
      <c r="RH3367" s="106"/>
      <c r="RI3367" s="106"/>
      <c r="RJ3367" s="106"/>
      <c r="RK3367" s="106"/>
      <c r="RL3367" s="106"/>
    </row>
    <row r="3368" spans="88:480" x14ac:dyDescent="0.3">
      <c r="CJ3368" s="103"/>
      <c r="FP3368" s="103"/>
      <c r="LL3368" s="103"/>
      <c r="NM3368" s="103"/>
      <c r="QT3368" s="106"/>
      <c r="QU3368" s="106"/>
      <c r="QV3368" s="106"/>
      <c r="QW3368" s="106"/>
      <c r="QX3368" s="106"/>
      <c r="QY3368" s="106"/>
      <c r="QZ3368" s="106"/>
      <c r="RA3368" s="106"/>
      <c r="RB3368" s="106"/>
      <c r="RC3368" s="106"/>
      <c r="RD3368" s="106"/>
      <c r="RE3368" s="106"/>
      <c r="RF3368" s="106"/>
      <c r="RG3368" s="106"/>
      <c r="RH3368" s="106"/>
      <c r="RI3368" s="106"/>
      <c r="RJ3368" s="106"/>
      <c r="RK3368" s="106"/>
      <c r="RL3368" s="106"/>
    </row>
    <row r="3369" spans="88:480" x14ac:dyDescent="0.3">
      <c r="CJ3369" s="103"/>
      <c r="FP3369" s="103"/>
      <c r="LL3369" s="103"/>
      <c r="NM3369" s="103"/>
      <c r="QT3369" s="106"/>
      <c r="QU3369" s="106"/>
      <c r="QV3369" s="106"/>
      <c r="QW3369" s="106"/>
      <c r="QX3369" s="106"/>
      <c r="QY3369" s="106"/>
      <c r="QZ3369" s="106"/>
      <c r="RA3369" s="106"/>
      <c r="RB3369" s="106"/>
      <c r="RC3369" s="106"/>
      <c r="RD3369" s="106"/>
      <c r="RE3369" s="106"/>
      <c r="RF3369" s="106"/>
      <c r="RG3369" s="106"/>
      <c r="RH3369" s="106"/>
      <c r="RI3369" s="106"/>
      <c r="RJ3369" s="106"/>
      <c r="RK3369" s="106"/>
      <c r="RL3369" s="106"/>
    </row>
    <row r="3370" spans="88:480" x14ac:dyDescent="0.3">
      <c r="CJ3370" s="103"/>
      <c r="FP3370" s="103"/>
      <c r="LL3370" s="103"/>
      <c r="NM3370" s="103"/>
      <c r="QT3370" s="106"/>
      <c r="QU3370" s="106"/>
      <c r="QV3370" s="106"/>
      <c r="QW3370" s="106"/>
      <c r="QX3370" s="106"/>
      <c r="QY3370" s="106"/>
      <c r="QZ3370" s="106"/>
      <c r="RA3370" s="106"/>
      <c r="RB3370" s="106"/>
      <c r="RC3370" s="106"/>
      <c r="RD3370" s="106"/>
      <c r="RE3370" s="106"/>
      <c r="RF3370" s="106"/>
      <c r="RG3370" s="106"/>
      <c r="RH3370" s="106"/>
      <c r="RI3370" s="106"/>
      <c r="RJ3370" s="106"/>
      <c r="RK3370" s="106"/>
      <c r="RL3370" s="106"/>
    </row>
    <row r="3371" spans="88:480" x14ac:dyDescent="0.3">
      <c r="CJ3371" s="103"/>
      <c r="FP3371" s="103"/>
      <c r="LL3371" s="103"/>
      <c r="NM3371" s="103"/>
      <c r="QT3371" s="106"/>
      <c r="QU3371" s="106"/>
      <c r="QV3371" s="106"/>
      <c r="QW3371" s="106"/>
      <c r="QX3371" s="106"/>
      <c r="QY3371" s="106"/>
      <c r="QZ3371" s="106"/>
      <c r="RA3371" s="106"/>
      <c r="RB3371" s="106"/>
      <c r="RC3371" s="106"/>
      <c r="RD3371" s="106"/>
      <c r="RE3371" s="106"/>
      <c r="RF3371" s="106"/>
      <c r="RG3371" s="106"/>
      <c r="RH3371" s="106"/>
      <c r="RI3371" s="106"/>
      <c r="RJ3371" s="106"/>
      <c r="RK3371" s="106"/>
      <c r="RL3371" s="106"/>
    </row>
    <row r="3372" spans="88:480" x14ac:dyDescent="0.3">
      <c r="CJ3372" s="103"/>
      <c r="FP3372" s="103"/>
      <c r="LL3372" s="103"/>
      <c r="NM3372" s="103"/>
      <c r="QT3372" s="106"/>
      <c r="QU3372" s="106"/>
      <c r="QV3372" s="106"/>
      <c r="QW3372" s="106"/>
      <c r="QX3372" s="106"/>
      <c r="QY3372" s="106"/>
      <c r="QZ3372" s="106"/>
      <c r="RA3372" s="106"/>
      <c r="RB3372" s="106"/>
      <c r="RC3372" s="106"/>
      <c r="RD3372" s="106"/>
      <c r="RE3372" s="106"/>
      <c r="RF3372" s="106"/>
      <c r="RG3372" s="106"/>
      <c r="RH3372" s="106"/>
      <c r="RI3372" s="106"/>
      <c r="RJ3372" s="106"/>
      <c r="RK3372" s="106"/>
      <c r="RL3372" s="106"/>
    </row>
    <row r="3373" spans="88:480" x14ac:dyDescent="0.3">
      <c r="CJ3373" s="103"/>
      <c r="FP3373" s="103"/>
      <c r="LL3373" s="103"/>
      <c r="NM3373" s="103"/>
      <c r="QT3373" s="106"/>
      <c r="QU3373" s="106"/>
      <c r="QV3373" s="106"/>
      <c r="QW3373" s="106"/>
      <c r="QX3373" s="106"/>
      <c r="QY3373" s="106"/>
      <c r="QZ3373" s="106"/>
      <c r="RA3373" s="106"/>
      <c r="RB3373" s="106"/>
      <c r="RC3373" s="106"/>
      <c r="RD3373" s="106"/>
      <c r="RE3373" s="106"/>
      <c r="RF3373" s="106"/>
      <c r="RG3373" s="106"/>
      <c r="RH3373" s="106"/>
      <c r="RI3373" s="106"/>
      <c r="RJ3373" s="106"/>
      <c r="RK3373" s="106"/>
      <c r="RL3373" s="106"/>
    </row>
    <row r="3374" spans="88:480" x14ac:dyDescent="0.3">
      <c r="CJ3374" s="103"/>
      <c r="FP3374" s="103"/>
      <c r="LL3374" s="103"/>
      <c r="NM3374" s="103"/>
      <c r="QT3374" s="106"/>
      <c r="QU3374" s="106"/>
      <c r="QV3374" s="106"/>
      <c r="QW3374" s="106"/>
      <c r="QX3374" s="106"/>
      <c r="QY3374" s="106"/>
      <c r="QZ3374" s="106"/>
      <c r="RA3374" s="106"/>
      <c r="RB3374" s="106"/>
      <c r="RC3374" s="106"/>
      <c r="RD3374" s="106"/>
      <c r="RE3374" s="106"/>
      <c r="RF3374" s="106"/>
      <c r="RG3374" s="106"/>
      <c r="RH3374" s="106"/>
      <c r="RI3374" s="106"/>
      <c r="RJ3374" s="106"/>
      <c r="RK3374" s="106"/>
      <c r="RL3374" s="106"/>
    </row>
    <row r="3375" spans="88:480" x14ac:dyDescent="0.3">
      <c r="CJ3375" s="103"/>
      <c r="FP3375" s="103"/>
      <c r="LL3375" s="103"/>
      <c r="NM3375" s="103"/>
      <c r="QT3375" s="106"/>
      <c r="QU3375" s="106"/>
      <c r="QV3375" s="106"/>
      <c r="QW3375" s="106"/>
      <c r="QX3375" s="106"/>
      <c r="QY3375" s="106"/>
      <c r="QZ3375" s="106"/>
      <c r="RA3375" s="106"/>
      <c r="RB3375" s="106"/>
      <c r="RC3375" s="106"/>
      <c r="RD3375" s="106"/>
      <c r="RE3375" s="106"/>
      <c r="RF3375" s="106"/>
      <c r="RG3375" s="106"/>
      <c r="RH3375" s="106"/>
      <c r="RI3375" s="106"/>
      <c r="RJ3375" s="106"/>
      <c r="RK3375" s="106"/>
      <c r="RL3375" s="106"/>
    </row>
    <row r="3376" spans="88:480" x14ac:dyDescent="0.3">
      <c r="CJ3376" s="103"/>
      <c r="FP3376" s="103"/>
      <c r="LL3376" s="103"/>
      <c r="NM3376" s="103"/>
      <c r="QT3376" s="106"/>
      <c r="QU3376" s="106"/>
      <c r="QV3376" s="106"/>
      <c r="QW3376" s="106"/>
      <c r="QX3376" s="106"/>
      <c r="QY3376" s="106"/>
      <c r="QZ3376" s="106"/>
      <c r="RA3376" s="106"/>
      <c r="RB3376" s="106"/>
      <c r="RC3376" s="106"/>
      <c r="RD3376" s="106"/>
      <c r="RE3376" s="106"/>
      <c r="RF3376" s="106"/>
      <c r="RG3376" s="106"/>
      <c r="RH3376" s="106"/>
      <c r="RI3376" s="106"/>
      <c r="RJ3376" s="106"/>
      <c r="RK3376" s="106"/>
      <c r="RL3376" s="106"/>
    </row>
    <row r="3377" spans="88:480" x14ac:dyDescent="0.3">
      <c r="CJ3377" s="103"/>
      <c r="FP3377" s="103"/>
      <c r="LL3377" s="103"/>
      <c r="NM3377" s="103"/>
      <c r="QT3377" s="106"/>
      <c r="QU3377" s="106"/>
      <c r="QV3377" s="106"/>
      <c r="QW3377" s="106"/>
      <c r="QX3377" s="106"/>
      <c r="QY3377" s="106"/>
      <c r="QZ3377" s="106"/>
      <c r="RA3377" s="106"/>
      <c r="RB3377" s="106"/>
      <c r="RC3377" s="106"/>
      <c r="RD3377" s="106"/>
      <c r="RE3377" s="106"/>
      <c r="RF3377" s="106"/>
      <c r="RG3377" s="106"/>
      <c r="RH3377" s="106"/>
      <c r="RI3377" s="106"/>
      <c r="RJ3377" s="106"/>
      <c r="RK3377" s="106"/>
      <c r="RL3377" s="106"/>
    </row>
    <row r="3378" spans="88:480" x14ac:dyDescent="0.3">
      <c r="CJ3378" s="103"/>
      <c r="FP3378" s="103"/>
      <c r="LL3378" s="103"/>
      <c r="NM3378" s="103"/>
      <c r="QT3378" s="106"/>
      <c r="QU3378" s="106"/>
      <c r="QV3378" s="106"/>
      <c r="QW3378" s="106"/>
      <c r="QX3378" s="106"/>
      <c r="QY3378" s="106"/>
      <c r="QZ3378" s="106"/>
      <c r="RA3378" s="106"/>
      <c r="RB3378" s="106"/>
      <c r="RC3378" s="106"/>
      <c r="RD3378" s="106"/>
      <c r="RE3378" s="106"/>
      <c r="RF3378" s="106"/>
      <c r="RG3378" s="106"/>
      <c r="RH3378" s="106"/>
      <c r="RI3378" s="106"/>
      <c r="RJ3378" s="106"/>
      <c r="RK3378" s="106"/>
      <c r="RL3378" s="106"/>
    </row>
    <row r="3379" spans="88:480" x14ac:dyDescent="0.3">
      <c r="CJ3379" s="103"/>
      <c r="FP3379" s="103"/>
      <c r="LL3379" s="103"/>
      <c r="NM3379" s="103"/>
      <c r="QT3379" s="106"/>
      <c r="QU3379" s="106"/>
      <c r="QV3379" s="106"/>
      <c r="QW3379" s="106"/>
      <c r="QX3379" s="106"/>
      <c r="QY3379" s="106"/>
      <c r="QZ3379" s="106"/>
      <c r="RA3379" s="106"/>
      <c r="RB3379" s="106"/>
      <c r="RC3379" s="106"/>
      <c r="RD3379" s="106"/>
      <c r="RE3379" s="106"/>
      <c r="RF3379" s="106"/>
      <c r="RG3379" s="106"/>
      <c r="RH3379" s="106"/>
      <c r="RI3379" s="106"/>
      <c r="RJ3379" s="106"/>
      <c r="RK3379" s="106"/>
      <c r="RL3379" s="106"/>
    </row>
    <row r="3380" spans="88:480" x14ac:dyDescent="0.3">
      <c r="CJ3380" s="103"/>
      <c r="FP3380" s="103"/>
      <c r="LL3380" s="103"/>
      <c r="NM3380" s="103"/>
      <c r="QT3380" s="106"/>
      <c r="QU3380" s="106"/>
      <c r="QV3380" s="106"/>
      <c r="QW3380" s="106"/>
      <c r="QX3380" s="106"/>
      <c r="QY3380" s="106"/>
      <c r="QZ3380" s="106"/>
      <c r="RA3380" s="106"/>
      <c r="RB3380" s="106"/>
      <c r="RC3380" s="106"/>
      <c r="RD3380" s="106"/>
      <c r="RE3380" s="106"/>
      <c r="RF3380" s="106"/>
      <c r="RG3380" s="106"/>
      <c r="RH3380" s="106"/>
      <c r="RI3380" s="106"/>
      <c r="RJ3380" s="106"/>
      <c r="RK3380" s="106"/>
      <c r="RL3380" s="106"/>
    </row>
    <row r="3381" spans="88:480" x14ac:dyDescent="0.3">
      <c r="CJ3381" s="103"/>
      <c r="FP3381" s="103"/>
      <c r="LL3381" s="103"/>
      <c r="NM3381" s="103"/>
      <c r="QT3381" s="106"/>
      <c r="QU3381" s="106"/>
      <c r="QV3381" s="106"/>
      <c r="QW3381" s="106"/>
      <c r="QX3381" s="106"/>
      <c r="QY3381" s="106"/>
      <c r="QZ3381" s="106"/>
      <c r="RA3381" s="106"/>
      <c r="RB3381" s="106"/>
      <c r="RC3381" s="106"/>
      <c r="RD3381" s="106"/>
      <c r="RE3381" s="106"/>
      <c r="RF3381" s="106"/>
      <c r="RG3381" s="106"/>
      <c r="RH3381" s="106"/>
      <c r="RI3381" s="106"/>
      <c r="RJ3381" s="106"/>
      <c r="RK3381" s="106"/>
      <c r="RL3381" s="106"/>
    </row>
    <row r="3382" spans="88:480" x14ac:dyDescent="0.3">
      <c r="CJ3382" s="103"/>
      <c r="FP3382" s="103"/>
      <c r="LL3382" s="103"/>
      <c r="NM3382" s="103"/>
      <c r="QT3382" s="106"/>
      <c r="QU3382" s="106"/>
      <c r="QV3382" s="106"/>
      <c r="QW3382" s="106"/>
      <c r="QX3382" s="106"/>
      <c r="QY3382" s="106"/>
      <c r="QZ3382" s="106"/>
      <c r="RA3382" s="106"/>
      <c r="RB3382" s="106"/>
      <c r="RC3382" s="106"/>
      <c r="RD3382" s="106"/>
      <c r="RE3382" s="106"/>
      <c r="RF3382" s="106"/>
      <c r="RG3382" s="106"/>
      <c r="RH3382" s="106"/>
      <c r="RI3382" s="106"/>
      <c r="RJ3382" s="106"/>
      <c r="RK3382" s="106"/>
      <c r="RL3382" s="106"/>
    </row>
    <row r="3383" spans="88:480" x14ac:dyDescent="0.3">
      <c r="CJ3383" s="103"/>
      <c r="FP3383" s="103"/>
      <c r="LL3383" s="103"/>
      <c r="NM3383" s="103"/>
      <c r="QT3383" s="106"/>
      <c r="QU3383" s="106"/>
      <c r="QV3383" s="106"/>
      <c r="QW3383" s="106"/>
      <c r="QX3383" s="106"/>
      <c r="QY3383" s="106"/>
      <c r="QZ3383" s="106"/>
      <c r="RA3383" s="106"/>
      <c r="RB3383" s="106"/>
      <c r="RC3383" s="106"/>
      <c r="RD3383" s="106"/>
      <c r="RE3383" s="106"/>
      <c r="RF3383" s="106"/>
      <c r="RG3383" s="106"/>
      <c r="RH3383" s="106"/>
      <c r="RI3383" s="106"/>
      <c r="RJ3383" s="106"/>
      <c r="RK3383" s="106"/>
      <c r="RL3383" s="106"/>
    </row>
    <row r="3384" spans="88:480" x14ac:dyDescent="0.3">
      <c r="CJ3384" s="103"/>
      <c r="FP3384" s="103"/>
      <c r="LL3384" s="103"/>
      <c r="NM3384" s="103"/>
      <c r="QT3384" s="106"/>
      <c r="QU3384" s="106"/>
      <c r="QV3384" s="106"/>
      <c r="QW3384" s="106"/>
      <c r="QX3384" s="106"/>
      <c r="QY3384" s="106"/>
      <c r="QZ3384" s="106"/>
      <c r="RA3384" s="106"/>
      <c r="RB3384" s="106"/>
      <c r="RC3384" s="106"/>
      <c r="RD3384" s="106"/>
      <c r="RE3384" s="106"/>
      <c r="RF3384" s="106"/>
      <c r="RG3384" s="106"/>
      <c r="RH3384" s="106"/>
      <c r="RI3384" s="106"/>
      <c r="RJ3384" s="106"/>
      <c r="RK3384" s="106"/>
      <c r="RL3384" s="106"/>
    </row>
    <row r="3385" spans="88:480" x14ac:dyDescent="0.3">
      <c r="CJ3385" s="103"/>
      <c r="FP3385" s="103"/>
      <c r="LL3385" s="103"/>
      <c r="NM3385" s="103"/>
      <c r="QT3385" s="106"/>
      <c r="QU3385" s="106"/>
      <c r="QV3385" s="106"/>
      <c r="QW3385" s="106"/>
      <c r="QX3385" s="106"/>
      <c r="QY3385" s="106"/>
      <c r="QZ3385" s="106"/>
      <c r="RA3385" s="106"/>
      <c r="RB3385" s="106"/>
      <c r="RC3385" s="106"/>
      <c r="RD3385" s="106"/>
      <c r="RE3385" s="106"/>
      <c r="RF3385" s="106"/>
      <c r="RG3385" s="106"/>
      <c r="RH3385" s="106"/>
      <c r="RI3385" s="106"/>
      <c r="RJ3385" s="106"/>
      <c r="RK3385" s="106"/>
      <c r="RL3385" s="106"/>
    </row>
    <row r="3386" spans="88:480" x14ac:dyDescent="0.3">
      <c r="CJ3386" s="103"/>
      <c r="FP3386" s="103"/>
      <c r="LL3386" s="103"/>
      <c r="NM3386" s="103"/>
      <c r="QT3386" s="106"/>
      <c r="QU3386" s="106"/>
      <c r="QV3386" s="106"/>
      <c r="QW3386" s="106"/>
      <c r="QX3386" s="106"/>
      <c r="QY3386" s="106"/>
      <c r="QZ3386" s="106"/>
      <c r="RA3386" s="106"/>
      <c r="RB3386" s="106"/>
      <c r="RC3386" s="106"/>
      <c r="RD3386" s="106"/>
      <c r="RE3386" s="106"/>
      <c r="RF3386" s="106"/>
      <c r="RG3386" s="106"/>
      <c r="RH3386" s="106"/>
      <c r="RI3386" s="106"/>
      <c r="RJ3386" s="106"/>
      <c r="RK3386" s="106"/>
      <c r="RL3386" s="106"/>
    </row>
    <row r="3387" spans="88:480" x14ac:dyDescent="0.3">
      <c r="CJ3387" s="103"/>
      <c r="FP3387" s="103"/>
      <c r="LL3387" s="103"/>
      <c r="NM3387" s="103"/>
      <c r="QT3387" s="106"/>
      <c r="QU3387" s="106"/>
      <c r="QV3387" s="106"/>
      <c r="QW3387" s="106"/>
      <c r="QX3387" s="106"/>
      <c r="QY3387" s="106"/>
      <c r="QZ3387" s="106"/>
      <c r="RA3387" s="106"/>
      <c r="RB3387" s="106"/>
      <c r="RC3387" s="106"/>
      <c r="RD3387" s="106"/>
      <c r="RE3387" s="106"/>
      <c r="RF3387" s="106"/>
      <c r="RG3387" s="106"/>
      <c r="RH3387" s="106"/>
      <c r="RI3387" s="106"/>
      <c r="RJ3387" s="106"/>
      <c r="RK3387" s="106"/>
      <c r="RL3387" s="106"/>
    </row>
    <row r="3388" spans="88:480" x14ac:dyDescent="0.3">
      <c r="CJ3388" s="103"/>
      <c r="FP3388" s="103"/>
      <c r="LL3388" s="103"/>
      <c r="NM3388" s="103"/>
      <c r="QT3388" s="106"/>
      <c r="QU3388" s="106"/>
      <c r="QV3388" s="106"/>
      <c r="QW3388" s="106"/>
      <c r="QX3388" s="106"/>
      <c r="QY3388" s="106"/>
      <c r="QZ3388" s="106"/>
      <c r="RA3388" s="106"/>
      <c r="RB3388" s="106"/>
      <c r="RC3388" s="106"/>
      <c r="RD3388" s="106"/>
      <c r="RE3388" s="106"/>
      <c r="RF3388" s="106"/>
      <c r="RG3388" s="106"/>
      <c r="RH3388" s="106"/>
      <c r="RI3388" s="106"/>
      <c r="RJ3388" s="106"/>
      <c r="RK3388" s="106"/>
      <c r="RL3388" s="106"/>
    </row>
    <row r="3389" spans="88:480" x14ac:dyDescent="0.3">
      <c r="CJ3389" s="103"/>
      <c r="FP3389" s="103"/>
      <c r="LL3389" s="103"/>
      <c r="NM3389" s="103"/>
      <c r="QT3389" s="106"/>
      <c r="QU3389" s="106"/>
      <c r="QV3389" s="106"/>
      <c r="QW3389" s="106"/>
      <c r="QX3389" s="106"/>
      <c r="QY3389" s="106"/>
      <c r="QZ3389" s="106"/>
      <c r="RA3389" s="106"/>
      <c r="RB3389" s="106"/>
      <c r="RC3389" s="106"/>
      <c r="RD3389" s="106"/>
      <c r="RE3389" s="106"/>
      <c r="RF3389" s="106"/>
      <c r="RG3389" s="106"/>
      <c r="RH3389" s="106"/>
      <c r="RI3389" s="106"/>
      <c r="RJ3389" s="106"/>
      <c r="RK3389" s="106"/>
      <c r="RL3389" s="106"/>
    </row>
    <row r="3390" spans="88:480" x14ac:dyDescent="0.3">
      <c r="CJ3390" s="103"/>
      <c r="FP3390" s="103"/>
      <c r="LL3390" s="103"/>
      <c r="NM3390" s="103"/>
      <c r="QT3390" s="106"/>
      <c r="QU3390" s="106"/>
      <c r="QV3390" s="106"/>
      <c r="QW3390" s="106"/>
      <c r="QX3390" s="106"/>
      <c r="QY3390" s="106"/>
      <c r="QZ3390" s="106"/>
      <c r="RA3390" s="106"/>
      <c r="RB3390" s="106"/>
      <c r="RC3390" s="106"/>
      <c r="RD3390" s="106"/>
      <c r="RE3390" s="106"/>
      <c r="RF3390" s="106"/>
      <c r="RG3390" s="106"/>
      <c r="RH3390" s="106"/>
      <c r="RI3390" s="106"/>
      <c r="RJ3390" s="106"/>
      <c r="RK3390" s="106"/>
      <c r="RL3390" s="106"/>
    </row>
    <row r="3391" spans="88:480" x14ac:dyDescent="0.3">
      <c r="CJ3391" s="103"/>
      <c r="FP3391" s="103"/>
      <c r="LL3391" s="103"/>
      <c r="NM3391" s="103"/>
      <c r="QT3391" s="106"/>
      <c r="QU3391" s="106"/>
      <c r="QV3391" s="106"/>
      <c r="QW3391" s="106"/>
      <c r="QX3391" s="106"/>
      <c r="QY3391" s="106"/>
      <c r="QZ3391" s="106"/>
      <c r="RA3391" s="106"/>
      <c r="RB3391" s="106"/>
      <c r="RC3391" s="106"/>
      <c r="RD3391" s="106"/>
      <c r="RE3391" s="106"/>
      <c r="RF3391" s="106"/>
      <c r="RG3391" s="106"/>
      <c r="RH3391" s="106"/>
      <c r="RI3391" s="106"/>
      <c r="RJ3391" s="106"/>
      <c r="RK3391" s="106"/>
      <c r="RL3391" s="106"/>
    </row>
    <row r="3392" spans="88:480" x14ac:dyDescent="0.3">
      <c r="CJ3392" s="103"/>
      <c r="FP3392" s="103"/>
      <c r="LL3392" s="103"/>
      <c r="NM3392" s="103"/>
      <c r="QT3392" s="106"/>
      <c r="QU3392" s="106"/>
      <c r="QV3392" s="106"/>
      <c r="QW3392" s="106"/>
      <c r="QX3392" s="106"/>
      <c r="QY3392" s="106"/>
      <c r="QZ3392" s="106"/>
      <c r="RA3392" s="106"/>
      <c r="RB3392" s="106"/>
      <c r="RC3392" s="106"/>
      <c r="RD3392" s="106"/>
      <c r="RE3392" s="106"/>
      <c r="RF3392" s="106"/>
      <c r="RG3392" s="106"/>
      <c r="RH3392" s="106"/>
      <c r="RI3392" s="106"/>
      <c r="RJ3392" s="106"/>
      <c r="RK3392" s="106"/>
      <c r="RL3392" s="106"/>
    </row>
    <row r="3393" spans="88:480" x14ac:dyDescent="0.3">
      <c r="CJ3393" s="103"/>
      <c r="FP3393" s="103"/>
      <c r="LL3393" s="103"/>
      <c r="NM3393" s="103"/>
      <c r="QT3393" s="106"/>
      <c r="QU3393" s="106"/>
      <c r="QV3393" s="106"/>
      <c r="QW3393" s="106"/>
      <c r="QX3393" s="106"/>
      <c r="QY3393" s="106"/>
      <c r="QZ3393" s="106"/>
      <c r="RA3393" s="106"/>
      <c r="RB3393" s="106"/>
      <c r="RC3393" s="106"/>
      <c r="RD3393" s="106"/>
      <c r="RE3393" s="106"/>
      <c r="RF3393" s="106"/>
      <c r="RG3393" s="106"/>
      <c r="RH3393" s="106"/>
      <c r="RI3393" s="106"/>
      <c r="RJ3393" s="106"/>
      <c r="RK3393" s="106"/>
      <c r="RL3393" s="106"/>
    </row>
    <row r="3394" spans="88:480" x14ac:dyDescent="0.3">
      <c r="CJ3394" s="103"/>
      <c r="FP3394" s="103"/>
      <c r="LL3394" s="103"/>
      <c r="NM3394" s="103"/>
      <c r="QT3394" s="106"/>
      <c r="QU3394" s="106"/>
      <c r="QV3394" s="106"/>
      <c r="QW3394" s="106"/>
      <c r="QX3394" s="106"/>
      <c r="QY3394" s="106"/>
      <c r="QZ3394" s="106"/>
      <c r="RA3394" s="106"/>
      <c r="RB3394" s="106"/>
      <c r="RC3394" s="106"/>
      <c r="RD3394" s="106"/>
      <c r="RE3394" s="106"/>
      <c r="RF3394" s="106"/>
      <c r="RG3394" s="106"/>
      <c r="RH3394" s="106"/>
      <c r="RI3394" s="106"/>
      <c r="RJ3394" s="106"/>
      <c r="RK3394" s="106"/>
      <c r="RL3394" s="106"/>
    </row>
    <row r="3395" spans="88:480" x14ac:dyDescent="0.3">
      <c r="CJ3395" s="103"/>
      <c r="FP3395" s="103"/>
      <c r="LL3395" s="103"/>
      <c r="NM3395" s="103"/>
      <c r="QT3395" s="106"/>
      <c r="QU3395" s="106"/>
      <c r="QV3395" s="106"/>
      <c r="QW3395" s="106"/>
      <c r="QX3395" s="106"/>
      <c r="QY3395" s="106"/>
      <c r="QZ3395" s="106"/>
      <c r="RA3395" s="106"/>
      <c r="RB3395" s="106"/>
      <c r="RC3395" s="106"/>
      <c r="RD3395" s="106"/>
      <c r="RE3395" s="106"/>
      <c r="RF3395" s="106"/>
      <c r="RG3395" s="106"/>
      <c r="RH3395" s="106"/>
      <c r="RI3395" s="106"/>
      <c r="RJ3395" s="106"/>
      <c r="RK3395" s="106"/>
      <c r="RL3395" s="106"/>
    </row>
    <row r="3396" spans="88:480" x14ac:dyDescent="0.3">
      <c r="CJ3396" s="103"/>
      <c r="FP3396" s="103"/>
      <c r="LL3396" s="103"/>
      <c r="NM3396" s="103"/>
      <c r="QT3396" s="106"/>
      <c r="QU3396" s="106"/>
      <c r="QV3396" s="106"/>
      <c r="QW3396" s="106"/>
      <c r="QX3396" s="106"/>
      <c r="QY3396" s="106"/>
      <c r="QZ3396" s="106"/>
      <c r="RA3396" s="106"/>
      <c r="RB3396" s="106"/>
      <c r="RC3396" s="106"/>
      <c r="RD3396" s="106"/>
      <c r="RE3396" s="106"/>
      <c r="RF3396" s="106"/>
      <c r="RG3396" s="106"/>
      <c r="RH3396" s="106"/>
      <c r="RI3396" s="106"/>
      <c r="RJ3396" s="106"/>
      <c r="RK3396" s="106"/>
      <c r="RL3396" s="106"/>
    </row>
    <row r="3397" spans="88:480" x14ac:dyDescent="0.3">
      <c r="CJ3397" s="103"/>
      <c r="FP3397" s="103"/>
      <c r="LL3397" s="103"/>
      <c r="NM3397" s="103"/>
      <c r="QT3397" s="106"/>
      <c r="QU3397" s="106"/>
      <c r="QV3397" s="106"/>
      <c r="QW3397" s="106"/>
      <c r="QX3397" s="106"/>
      <c r="QY3397" s="106"/>
      <c r="QZ3397" s="106"/>
      <c r="RA3397" s="106"/>
      <c r="RB3397" s="106"/>
      <c r="RC3397" s="106"/>
      <c r="RD3397" s="106"/>
      <c r="RE3397" s="106"/>
      <c r="RF3397" s="106"/>
      <c r="RG3397" s="106"/>
      <c r="RH3397" s="106"/>
      <c r="RI3397" s="106"/>
      <c r="RJ3397" s="106"/>
      <c r="RK3397" s="106"/>
      <c r="RL3397" s="106"/>
    </row>
    <row r="3398" spans="88:480" x14ac:dyDescent="0.3">
      <c r="CJ3398" s="103"/>
      <c r="FP3398" s="103"/>
      <c r="LL3398" s="103"/>
      <c r="NM3398" s="103"/>
      <c r="QT3398" s="106"/>
      <c r="QU3398" s="106"/>
      <c r="QV3398" s="106"/>
      <c r="QW3398" s="106"/>
      <c r="QX3398" s="106"/>
      <c r="QY3398" s="106"/>
      <c r="QZ3398" s="106"/>
      <c r="RA3398" s="106"/>
      <c r="RB3398" s="106"/>
      <c r="RC3398" s="106"/>
      <c r="RD3398" s="106"/>
      <c r="RE3398" s="106"/>
      <c r="RF3398" s="106"/>
      <c r="RG3398" s="106"/>
      <c r="RH3398" s="106"/>
      <c r="RI3398" s="106"/>
      <c r="RJ3398" s="106"/>
      <c r="RK3398" s="106"/>
      <c r="RL3398" s="106"/>
    </row>
    <row r="3399" spans="88:480" x14ac:dyDescent="0.3">
      <c r="CJ3399" s="103"/>
      <c r="FP3399" s="103"/>
      <c r="LL3399" s="103"/>
      <c r="NM3399" s="103"/>
      <c r="QT3399" s="106"/>
      <c r="QU3399" s="106"/>
      <c r="QV3399" s="106"/>
      <c r="QW3399" s="106"/>
      <c r="QX3399" s="106"/>
      <c r="QY3399" s="106"/>
      <c r="QZ3399" s="106"/>
      <c r="RA3399" s="106"/>
      <c r="RB3399" s="106"/>
      <c r="RC3399" s="106"/>
      <c r="RD3399" s="106"/>
      <c r="RE3399" s="106"/>
      <c r="RF3399" s="106"/>
      <c r="RG3399" s="106"/>
      <c r="RH3399" s="106"/>
      <c r="RI3399" s="106"/>
      <c r="RJ3399" s="106"/>
      <c r="RK3399" s="106"/>
      <c r="RL3399" s="106"/>
    </row>
    <row r="3400" spans="88:480" x14ac:dyDescent="0.3">
      <c r="CJ3400" s="103"/>
      <c r="FP3400" s="103"/>
      <c r="LL3400" s="103"/>
      <c r="NM3400" s="103"/>
      <c r="QT3400" s="106"/>
      <c r="QU3400" s="106"/>
      <c r="QV3400" s="106"/>
      <c r="QW3400" s="106"/>
      <c r="QX3400" s="106"/>
      <c r="QY3400" s="106"/>
      <c r="QZ3400" s="106"/>
      <c r="RA3400" s="106"/>
      <c r="RB3400" s="106"/>
      <c r="RC3400" s="106"/>
      <c r="RD3400" s="106"/>
      <c r="RE3400" s="106"/>
      <c r="RF3400" s="106"/>
      <c r="RG3400" s="106"/>
      <c r="RH3400" s="106"/>
      <c r="RI3400" s="106"/>
      <c r="RJ3400" s="106"/>
      <c r="RK3400" s="106"/>
      <c r="RL3400" s="106"/>
    </row>
    <row r="3401" spans="88:480" x14ac:dyDescent="0.3">
      <c r="CJ3401" s="103"/>
      <c r="FP3401" s="103"/>
      <c r="LL3401" s="103"/>
      <c r="NM3401" s="103"/>
      <c r="QT3401" s="106"/>
      <c r="QU3401" s="106"/>
      <c r="QV3401" s="106"/>
      <c r="QW3401" s="106"/>
      <c r="QX3401" s="106"/>
      <c r="QY3401" s="106"/>
      <c r="QZ3401" s="106"/>
      <c r="RA3401" s="106"/>
      <c r="RB3401" s="106"/>
      <c r="RC3401" s="106"/>
      <c r="RD3401" s="106"/>
      <c r="RE3401" s="106"/>
      <c r="RF3401" s="106"/>
      <c r="RG3401" s="106"/>
      <c r="RH3401" s="106"/>
      <c r="RI3401" s="106"/>
      <c r="RJ3401" s="106"/>
      <c r="RK3401" s="106"/>
      <c r="RL3401" s="106"/>
    </row>
    <row r="3402" spans="88:480" x14ac:dyDescent="0.3">
      <c r="CJ3402" s="103"/>
      <c r="FP3402" s="103"/>
      <c r="LL3402" s="103"/>
      <c r="NM3402" s="103"/>
      <c r="QT3402" s="106"/>
      <c r="QU3402" s="106"/>
      <c r="QV3402" s="106"/>
      <c r="QW3402" s="106"/>
      <c r="QX3402" s="106"/>
      <c r="QY3402" s="106"/>
      <c r="QZ3402" s="106"/>
      <c r="RA3402" s="106"/>
      <c r="RB3402" s="106"/>
      <c r="RC3402" s="106"/>
      <c r="RD3402" s="106"/>
      <c r="RE3402" s="106"/>
      <c r="RF3402" s="106"/>
      <c r="RG3402" s="106"/>
      <c r="RH3402" s="106"/>
      <c r="RI3402" s="106"/>
      <c r="RJ3402" s="106"/>
      <c r="RK3402" s="106"/>
      <c r="RL3402" s="106"/>
    </row>
    <row r="3403" spans="88:480" x14ac:dyDescent="0.3">
      <c r="CJ3403" s="103"/>
      <c r="FP3403" s="103"/>
      <c r="LL3403" s="103"/>
      <c r="NM3403" s="103"/>
      <c r="QT3403" s="106"/>
      <c r="QU3403" s="106"/>
      <c r="QV3403" s="106"/>
      <c r="QW3403" s="106"/>
      <c r="QX3403" s="106"/>
      <c r="QY3403" s="106"/>
      <c r="QZ3403" s="106"/>
      <c r="RA3403" s="106"/>
      <c r="RB3403" s="106"/>
      <c r="RC3403" s="106"/>
      <c r="RD3403" s="106"/>
      <c r="RE3403" s="106"/>
      <c r="RF3403" s="106"/>
      <c r="RG3403" s="106"/>
      <c r="RH3403" s="106"/>
      <c r="RI3403" s="106"/>
      <c r="RJ3403" s="106"/>
      <c r="RK3403" s="106"/>
      <c r="RL3403" s="106"/>
    </row>
    <row r="3404" spans="88:480" x14ac:dyDescent="0.3">
      <c r="CJ3404" s="103"/>
      <c r="FP3404" s="103"/>
      <c r="LL3404" s="103"/>
      <c r="NM3404" s="103"/>
      <c r="QT3404" s="106"/>
      <c r="QU3404" s="106"/>
      <c r="QV3404" s="106"/>
      <c r="QW3404" s="106"/>
      <c r="QX3404" s="106"/>
      <c r="QY3404" s="106"/>
      <c r="QZ3404" s="106"/>
      <c r="RA3404" s="106"/>
      <c r="RB3404" s="106"/>
      <c r="RC3404" s="106"/>
      <c r="RD3404" s="106"/>
      <c r="RE3404" s="106"/>
      <c r="RF3404" s="106"/>
      <c r="RG3404" s="106"/>
      <c r="RH3404" s="106"/>
      <c r="RI3404" s="106"/>
      <c r="RJ3404" s="106"/>
      <c r="RK3404" s="106"/>
      <c r="RL3404" s="106"/>
    </row>
    <row r="3405" spans="88:480" x14ac:dyDescent="0.3">
      <c r="CJ3405" s="103"/>
      <c r="FP3405" s="103"/>
      <c r="LL3405" s="103"/>
      <c r="NM3405" s="103"/>
      <c r="QT3405" s="106"/>
      <c r="QU3405" s="106"/>
      <c r="QV3405" s="106"/>
      <c r="QW3405" s="106"/>
      <c r="QX3405" s="106"/>
      <c r="QY3405" s="106"/>
      <c r="QZ3405" s="106"/>
      <c r="RA3405" s="106"/>
      <c r="RB3405" s="106"/>
      <c r="RC3405" s="106"/>
      <c r="RD3405" s="106"/>
      <c r="RE3405" s="106"/>
      <c r="RF3405" s="106"/>
      <c r="RG3405" s="106"/>
      <c r="RH3405" s="106"/>
      <c r="RI3405" s="106"/>
      <c r="RJ3405" s="106"/>
      <c r="RK3405" s="106"/>
      <c r="RL3405" s="106"/>
    </row>
    <row r="3406" spans="88:480" x14ac:dyDescent="0.3">
      <c r="CJ3406" s="103"/>
      <c r="FP3406" s="103"/>
      <c r="LL3406" s="103"/>
      <c r="NM3406" s="103"/>
      <c r="QT3406" s="106"/>
      <c r="QU3406" s="106"/>
      <c r="QV3406" s="106"/>
      <c r="QW3406" s="106"/>
      <c r="QX3406" s="106"/>
      <c r="QY3406" s="106"/>
      <c r="QZ3406" s="106"/>
      <c r="RA3406" s="106"/>
      <c r="RB3406" s="106"/>
      <c r="RC3406" s="106"/>
      <c r="RD3406" s="106"/>
      <c r="RE3406" s="106"/>
      <c r="RF3406" s="106"/>
      <c r="RG3406" s="106"/>
      <c r="RH3406" s="106"/>
      <c r="RI3406" s="106"/>
      <c r="RJ3406" s="106"/>
      <c r="RK3406" s="106"/>
      <c r="RL3406" s="106"/>
    </row>
    <row r="3407" spans="88:480" x14ac:dyDescent="0.3">
      <c r="CJ3407" s="103"/>
      <c r="FP3407" s="103"/>
      <c r="LL3407" s="103"/>
      <c r="NM3407" s="103"/>
      <c r="QT3407" s="106"/>
      <c r="QU3407" s="106"/>
      <c r="QV3407" s="106"/>
      <c r="QW3407" s="106"/>
      <c r="QX3407" s="106"/>
      <c r="QY3407" s="106"/>
      <c r="QZ3407" s="106"/>
      <c r="RA3407" s="106"/>
      <c r="RB3407" s="106"/>
      <c r="RC3407" s="106"/>
      <c r="RD3407" s="106"/>
      <c r="RE3407" s="106"/>
      <c r="RF3407" s="106"/>
      <c r="RG3407" s="106"/>
      <c r="RH3407" s="106"/>
      <c r="RI3407" s="106"/>
      <c r="RJ3407" s="106"/>
      <c r="RK3407" s="106"/>
      <c r="RL3407" s="106"/>
    </row>
    <row r="3408" spans="88:480" x14ac:dyDescent="0.3">
      <c r="CJ3408" s="103"/>
      <c r="FP3408" s="103"/>
      <c r="LL3408" s="103"/>
      <c r="NM3408" s="103"/>
      <c r="QT3408" s="106"/>
      <c r="QU3408" s="106"/>
      <c r="QV3408" s="106"/>
      <c r="QW3408" s="106"/>
      <c r="QX3408" s="106"/>
      <c r="QY3408" s="106"/>
      <c r="QZ3408" s="106"/>
      <c r="RA3408" s="106"/>
      <c r="RB3408" s="106"/>
      <c r="RC3408" s="106"/>
      <c r="RD3408" s="106"/>
      <c r="RE3408" s="106"/>
      <c r="RF3408" s="106"/>
      <c r="RG3408" s="106"/>
      <c r="RH3408" s="106"/>
      <c r="RI3408" s="106"/>
      <c r="RJ3408" s="106"/>
      <c r="RK3408" s="106"/>
      <c r="RL3408" s="106"/>
    </row>
    <row r="3409" spans="88:480" x14ac:dyDescent="0.3">
      <c r="CJ3409" s="103"/>
      <c r="FP3409" s="103"/>
      <c r="LL3409" s="103"/>
      <c r="NM3409" s="103"/>
      <c r="QT3409" s="106"/>
      <c r="QU3409" s="106"/>
      <c r="QV3409" s="106"/>
      <c r="QW3409" s="106"/>
      <c r="QX3409" s="106"/>
      <c r="QY3409" s="106"/>
      <c r="QZ3409" s="106"/>
      <c r="RA3409" s="106"/>
      <c r="RB3409" s="106"/>
      <c r="RC3409" s="106"/>
      <c r="RD3409" s="106"/>
      <c r="RE3409" s="106"/>
      <c r="RF3409" s="106"/>
      <c r="RG3409" s="106"/>
      <c r="RH3409" s="106"/>
      <c r="RI3409" s="106"/>
      <c r="RJ3409" s="106"/>
      <c r="RK3409" s="106"/>
      <c r="RL3409" s="106"/>
    </row>
    <row r="3410" spans="88:480" x14ac:dyDescent="0.3">
      <c r="CJ3410" s="103"/>
      <c r="FP3410" s="103"/>
      <c r="LL3410" s="103"/>
      <c r="NM3410" s="103"/>
      <c r="QT3410" s="106"/>
      <c r="QU3410" s="106"/>
      <c r="QV3410" s="106"/>
      <c r="QW3410" s="106"/>
      <c r="QX3410" s="106"/>
      <c r="QY3410" s="106"/>
      <c r="QZ3410" s="106"/>
      <c r="RA3410" s="106"/>
      <c r="RB3410" s="106"/>
      <c r="RC3410" s="106"/>
      <c r="RD3410" s="106"/>
      <c r="RE3410" s="106"/>
      <c r="RF3410" s="106"/>
      <c r="RG3410" s="106"/>
      <c r="RH3410" s="106"/>
      <c r="RI3410" s="106"/>
      <c r="RJ3410" s="106"/>
      <c r="RK3410" s="106"/>
      <c r="RL3410" s="106"/>
    </row>
    <row r="3411" spans="88:480" x14ac:dyDescent="0.3">
      <c r="CJ3411" s="103"/>
      <c r="FP3411" s="103"/>
      <c r="LL3411" s="103"/>
      <c r="NM3411" s="103"/>
      <c r="QT3411" s="106"/>
      <c r="QU3411" s="106"/>
      <c r="QV3411" s="106"/>
      <c r="QW3411" s="106"/>
      <c r="QX3411" s="106"/>
      <c r="QY3411" s="106"/>
      <c r="QZ3411" s="106"/>
      <c r="RA3411" s="106"/>
      <c r="RB3411" s="106"/>
      <c r="RC3411" s="106"/>
      <c r="RD3411" s="106"/>
      <c r="RE3411" s="106"/>
      <c r="RF3411" s="106"/>
      <c r="RG3411" s="106"/>
      <c r="RH3411" s="106"/>
      <c r="RI3411" s="106"/>
      <c r="RJ3411" s="106"/>
      <c r="RK3411" s="106"/>
      <c r="RL3411" s="106"/>
    </row>
    <row r="3412" spans="88:480" x14ac:dyDescent="0.3">
      <c r="CJ3412" s="103"/>
      <c r="FP3412" s="103"/>
      <c r="LL3412" s="103"/>
      <c r="NM3412" s="103"/>
      <c r="QT3412" s="106"/>
      <c r="QU3412" s="106"/>
      <c r="QV3412" s="106"/>
      <c r="QW3412" s="106"/>
      <c r="QX3412" s="106"/>
      <c r="QY3412" s="106"/>
      <c r="QZ3412" s="106"/>
      <c r="RA3412" s="106"/>
      <c r="RB3412" s="106"/>
      <c r="RC3412" s="106"/>
      <c r="RD3412" s="106"/>
      <c r="RE3412" s="106"/>
      <c r="RF3412" s="106"/>
      <c r="RG3412" s="106"/>
      <c r="RH3412" s="106"/>
      <c r="RI3412" s="106"/>
      <c r="RJ3412" s="106"/>
      <c r="RK3412" s="106"/>
      <c r="RL3412" s="106"/>
    </row>
    <row r="3413" spans="88:480" x14ac:dyDescent="0.3">
      <c r="CJ3413" s="103"/>
      <c r="FP3413" s="103"/>
      <c r="LL3413" s="103"/>
      <c r="NM3413" s="103"/>
      <c r="QT3413" s="106"/>
      <c r="QU3413" s="106"/>
      <c r="QV3413" s="106"/>
      <c r="QW3413" s="106"/>
      <c r="QX3413" s="106"/>
      <c r="QY3413" s="106"/>
      <c r="QZ3413" s="106"/>
      <c r="RA3413" s="106"/>
      <c r="RB3413" s="106"/>
      <c r="RC3413" s="106"/>
      <c r="RD3413" s="106"/>
      <c r="RE3413" s="106"/>
      <c r="RF3413" s="106"/>
      <c r="RG3413" s="106"/>
      <c r="RH3413" s="106"/>
      <c r="RI3413" s="106"/>
      <c r="RJ3413" s="106"/>
      <c r="RK3413" s="106"/>
      <c r="RL3413" s="106"/>
    </row>
    <row r="3414" spans="88:480" x14ac:dyDescent="0.3">
      <c r="CJ3414" s="103"/>
      <c r="FP3414" s="103"/>
      <c r="LL3414" s="103"/>
      <c r="NM3414" s="103"/>
      <c r="QT3414" s="106"/>
      <c r="QU3414" s="106"/>
      <c r="QV3414" s="106"/>
      <c r="QW3414" s="106"/>
      <c r="QX3414" s="106"/>
      <c r="QY3414" s="106"/>
      <c r="QZ3414" s="106"/>
      <c r="RA3414" s="106"/>
      <c r="RB3414" s="106"/>
      <c r="RC3414" s="106"/>
      <c r="RD3414" s="106"/>
      <c r="RE3414" s="106"/>
      <c r="RF3414" s="106"/>
      <c r="RG3414" s="106"/>
      <c r="RH3414" s="106"/>
      <c r="RI3414" s="106"/>
      <c r="RJ3414" s="106"/>
      <c r="RK3414" s="106"/>
      <c r="RL3414" s="106"/>
    </row>
    <row r="3415" spans="88:480" x14ac:dyDescent="0.3">
      <c r="CJ3415" s="103"/>
      <c r="FP3415" s="103"/>
      <c r="LL3415" s="103"/>
      <c r="NM3415" s="103"/>
      <c r="QT3415" s="106"/>
      <c r="QU3415" s="106"/>
      <c r="QV3415" s="106"/>
      <c r="QW3415" s="106"/>
      <c r="QX3415" s="106"/>
      <c r="QY3415" s="106"/>
      <c r="QZ3415" s="106"/>
      <c r="RA3415" s="106"/>
      <c r="RB3415" s="106"/>
      <c r="RC3415" s="106"/>
      <c r="RD3415" s="106"/>
      <c r="RE3415" s="106"/>
      <c r="RF3415" s="106"/>
      <c r="RG3415" s="106"/>
      <c r="RH3415" s="106"/>
      <c r="RI3415" s="106"/>
      <c r="RJ3415" s="106"/>
      <c r="RK3415" s="106"/>
      <c r="RL3415" s="106"/>
    </row>
    <row r="3416" spans="88:480" x14ac:dyDescent="0.3">
      <c r="CJ3416" s="103"/>
      <c r="FP3416" s="103"/>
      <c r="LL3416" s="103"/>
      <c r="NM3416" s="103"/>
      <c r="QT3416" s="106"/>
      <c r="QU3416" s="106"/>
      <c r="QV3416" s="106"/>
      <c r="QW3416" s="106"/>
      <c r="QX3416" s="106"/>
      <c r="QY3416" s="106"/>
      <c r="QZ3416" s="106"/>
      <c r="RA3416" s="106"/>
      <c r="RB3416" s="106"/>
      <c r="RC3416" s="106"/>
      <c r="RD3416" s="106"/>
      <c r="RE3416" s="106"/>
      <c r="RF3416" s="106"/>
      <c r="RG3416" s="106"/>
      <c r="RH3416" s="106"/>
      <c r="RI3416" s="106"/>
      <c r="RJ3416" s="106"/>
      <c r="RK3416" s="106"/>
      <c r="RL3416" s="106"/>
    </row>
    <row r="3417" spans="88:480" x14ac:dyDescent="0.3">
      <c r="CJ3417" s="103"/>
      <c r="FP3417" s="103"/>
      <c r="LL3417" s="103"/>
      <c r="NM3417" s="103"/>
      <c r="QT3417" s="106"/>
      <c r="QU3417" s="106"/>
      <c r="QV3417" s="106"/>
      <c r="QW3417" s="106"/>
      <c r="QX3417" s="106"/>
      <c r="QY3417" s="106"/>
      <c r="QZ3417" s="106"/>
      <c r="RA3417" s="106"/>
      <c r="RB3417" s="106"/>
      <c r="RC3417" s="106"/>
      <c r="RD3417" s="106"/>
      <c r="RE3417" s="106"/>
      <c r="RF3417" s="106"/>
      <c r="RG3417" s="106"/>
      <c r="RH3417" s="106"/>
      <c r="RI3417" s="106"/>
      <c r="RJ3417" s="106"/>
      <c r="RK3417" s="106"/>
      <c r="RL3417" s="106"/>
    </row>
    <row r="3418" spans="88:480" x14ac:dyDescent="0.3">
      <c r="CJ3418" s="103"/>
      <c r="FP3418" s="103"/>
      <c r="LL3418" s="103"/>
      <c r="NM3418" s="103"/>
      <c r="QT3418" s="106"/>
      <c r="QU3418" s="106"/>
      <c r="QV3418" s="106"/>
      <c r="QW3418" s="106"/>
      <c r="QX3418" s="106"/>
      <c r="QY3418" s="106"/>
      <c r="QZ3418" s="106"/>
      <c r="RA3418" s="106"/>
      <c r="RB3418" s="106"/>
      <c r="RC3418" s="106"/>
      <c r="RD3418" s="106"/>
      <c r="RE3418" s="106"/>
      <c r="RF3418" s="106"/>
      <c r="RG3418" s="106"/>
      <c r="RH3418" s="106"/>
      <c r="RI3418" s="106"/>
      <c r="RJ3418" s="106"/>
      <c r="RK3418" s="106"/>
      <c r="RL3418" s="106"/>
    </row>
    <row r="3419" spans="88:480" x14ac:dyDescent="0.3">
      <c r="CJ3419" s="103"/>
      <c r="FP3419" s="103"/>
      <c r="LL3419" s="103"/>
      <c r="NM3419" s="103"/>
      <c r="QT3419" s="106"/>
      <c r="QU3419" s="106"/>
      <c r="QV3419" s="106"/>
      <c r="QW3419" s="106"/>
      <c r="QX3419" s="106"/>
      <c r="QY3419" s="106"/>
      <c r="QZ3419" s="106"/>
      <c r="RA3419" s="106"/>
      <c r="RB3419" s="106"/>
      <c r="RC3419" s="106"/>
      <c r="RD3419" s="106"/>
      <c r="RE3419" s="106"/>
      <c r="RF3419" s="106"/>
      <c r="RG3419" s="106"/>
      <c r="RH3419" s="106"/>
      <c r="RI3419" s="106"/>
      <c r="RJ3419" s="106"/>
      <c r="RK3419" s="106"/>
      <c r="RL3419" s="106"/>
    </row>
    <row r="3420" spans="88:480" x14ac:dyDescent="0.3">
      <c r="CJ3420" s="103"/>
      <c r="FP3420" s="103"/>
      <c r="LL3420" s="103"/>
      <c r="NM3420" s="103"/>
      <c r="QT3420" s="106"/>
      <c r="QU3420" s="106"/>
      <c r="QV3420" s="106"/>
      <c r="QW3420" s="106"/>
      <c r="QX3420" s="106"/>
      <c r="QY3420" s="106"/>
      <c r="QZ3420" s="106"/>
      <c r="RA3420" s="106"/>
      <c r="RB3420" s="106"/>
      <c r="RC3420" s="106"/>
      <c r="RD3420" s="106"/>
      <c r="RE3420" s="106"/>
      <c r="RF3420" s="106"/>
      <c r="RG3420" s="106"/>
      <c r="RH3420" s="106"/>
      <c r="RI3420" s="106"/>
      <c r="RJ3420" s="106"/>
      <c r="RK3420" s="106"/>
      <c r="RL3420" s="106"/>
    </row>
    <row r="3421" spans="88:480" x14ac:dyDescent="0.3">
      <c r="CJ3421" s="103"/>
      <c r="FP3421" s="103"/>
      <c r="LL3421" s="103"/>
      <c r="NM3421" s="103"/>
      <c r="QT3421" s="106"/>
      <c r="QU3421" s="106"/>
      <c r="QV3421" s="106"/>
      <c r="QW3421" s="106"/>
      <c r="QX3421" s="106"/>
      <c r="QY3421" s="106"/>
      <c r="QZ3421" s="106"/>
      <c r="RA3421" s="106"/>
      <c r="RB3421" s="106"/>
      <c r="RC3421" s="106"/>
      <c r="RD3421" s="106"/>
      <c r="RE3421" s="106"/>
      <c r="RF3421" s="106"/>
      <c r="RG3421" s="106"/>
      <c r="RH3421" s="106"/>
      <c r="RI3421" s="106"/>
      <c r="RJ3421" s="106"/>
      <c r="RK3421" s="106"/>
      <c r="RL3421" s="106"/>
    </row>
    <row r="3422" spans="88:480" x14ac:dyDescent="0.3">
      <c r="CJ3422" s="103"/>
      <c r="FP3422" s="103"/>
      <c r="LL3422" s="103"/>
      <c r="NM3422" s="103"/>
      <c r="QT3422" s="106"/>
      <c r="QU3422" s="106"/>
      <c r="QV3422" s="106"/>
      <c r="QW3422" s="106"/>
      <c r="QX3422" s="106"/>
      <c r="QY3422" s="106"/>
      <c r="QZ3422" s="106"/>
      <c r="RA3422" s="106"/>
      <c r="RB3422" s="106"/>
      <c r="RC3422" s="106"/>
      <c r="RD3422" s="106"/>
      <c r="RE3422" s="106"/>
      <c r="RF3422" s="106"/>
      <c r="RG3422" s="106"/>
      <c r="RH3422" s="106"/>
      <c r="RI3422" s="106"/>
      <c r="RJ3422" s="106"/>
      <c r="RK3422" s="106"/>
      <c r="RL3422" s="106"/>
    </row>
    <row r="3423" spans="88:480" x14ac:dyDescent="0.3">
      <c r="CJ3423" s="103"/>
      <c r="FP3423" s="103"/>
      <c r="LL3423" s="103"/>
      <c r="NM3423" s="103"/>
      <c r="QT3423" s="106"/>
      <c r="QU3423" s="106"/>
      <c r="QV3423" s="106"/>
      <c r="QW3423" s="106"/>
      <c r="QX3423" s="106"/>
      <c r="QY3423" s="106"/>
      <c r="QZ3423" s="106"/>
      <c r="RA3423" s="106"/>
      <c r="RB3423" s="106"/>
      <c r="RC3423" s="106"/>
      <c r="RD3423" s="106"/>
      <c r="RE3423" s="106"/>
      <c r="RF3423" s="106"/>
      <c r="RG3423" s="106"/>
      <c r="RH3423" s="106"/>
      <c r="RI3423" s="106"/>
      <c r="RJ3423" s="106"/>
      <c r="RK3423" s="106"/>
      <c r="RL3423" s="106"/>
    </row>
    <row r="3424" spans="88:480" x14ac:dyDescent="0.3">
      <c r="CJ3424" s="103"/>
      <c r="FP3424" s="103"/>
      <c r="LL3424" s="103"/>
      <c r="NM3424" s="103"/>
      <c r="QT3424" s="106"/>
      <c r="QU3424" s="106"/>
      <c r="QV3424" s="106"/>
      <c r="QW3424" s="106"/>
      <c r="QX3424" s="106"/>
      <c r="QY3424" s="106"/>
      <c r="QZ3424" s="106"/>
      <c r="RA3424" s="106"/>
      <c r="RB3424" s="106"/>
      <c r="RC3424" s="106"/>
      <c r="RD3424" s="106"/>
      <c r="RE3424" s="106"/>
      <c r="RF3424" s="106"/>
      <c r="RG3424" s="106"/>
      <c r="RH3424" s="106"/>
      <c r="RI3424" s="106"/>
      <c r="RJ3424" s="106"/>
      <c r="RK3424" s="106"/>
      <c r="RL3424" s="106"/>
    </row>
    <row r="3425" spans="88:480" x14ac:dyDescent="0.3">
      <c r="CJ3425" s="103"/>
      <c r="FP3425" s="103"/>
      <c r="LL3425" s="103"/>
      <c r="NM3425" s="103"/>
      <c r="QT3425" s="106"/>
      <c r="QU3425" s="106"/>
      <c r="QV3425" s="106"/>
      <c r="QW3425" s="106"/>
      <c r="QX3425" s="106"/>
      <c r="QY3425" s="106"/>
      <c r="QZ3425" s="106"/>
      <c r="RA3425" s="106"/>
      <c r="RB3425" s="106"/>
      <c r="RC3425" s="106"/>
      <c r="RD3425" s="106"/>
      <c r="RE3425" s="106"/>
      <c r="RF3425" s="106"/>
      <c r="RG3425" s="106"/>
      <c r="RH3425" s="106"/>
      <c r="RI3425" s="106"/>
      <c r="RJ3425" s="106"/>
      <c r="RK3425" s="106"/>
      <c r="RL3425" s="106"/>
    </row>
    <row r="3426" spans="88:480" x14ac:dyDescent="0.3">
      <c r="CJ3426" s="103"/>
      <c r="FP3426" s="103"/>
      <c r="LL3426" s="103"/>
      <c r="NM3426" s="103"/>
      <c r="QT3426" s="106"/>
      <c r="QU3426" s="106"/>
      <c r="QV3426" s="106"/>
      <c r="QW3426" s="106"/>
      <c r="QX3426" s="106"/>
      <c r="QY3426" s="106"/>
      <c r="QZ3426" s="106"/>
      <c r="RA3426" s="106"/>
      <c r="RB3426" s="106"/>
      <c r="RC3426" s="106"/>
      <c r="RD3426" s="106"/>
      <c r="RE3426" s="106"/>
      <c r="RF3426" s="106"/>
      <c r="RG3426" s="106"/>
      <c r="RH3426" s="106"/>
      <c r="RI3426" s="106"/>
      <c r="RJ3426" s="106"/>
      <c r="RK3426" s="106"/>
      <c r="RL3426" s="106"/>
    </row>
    <row r="3427" spans="88:480" x14ac:dyDescent="0.3">
      <c r="CJ3427" s="103"/>
      <c r="FP3427" s="103"/>
      <c r="LL3427" s="103"/>
      <c r="NM3427" s="103"/>
      <c r="QT3427" s="106"/>
      <c r="QU3427" s="106"/>
      <c r="QV3427" s="106"/>
      <c r="QW3427" s="106"/>
      <c r="QX3427" s="106"/>
      <c r="QY3427" s="106"/>
      <c r="QZ3427" s="106"/>
      <c r="RA3427" s="106"/>
      <c r="RB3427" s="106"/>
      <c r="RC3427" s="106"/>
      <c r="RD3427" s="106"/>
      <c r="RE3427" s="106"/>
      <c r="RF3427" s="106"/>
      <c r="RG3427" s="106"/>
      <c r="RH3427" s="106"/>
      <c r="RI3427" s="106"/>
      <c r="RJ3427" s="106"/>
      <c r="RK3427" s="106"/>
      <c r="RL3427" s="106"/>
    </row>
    <row r="3428" spans="88:480" x14ac:dyDescent="0.3">
      <c r="CJ3428" s="103"/>
      <c r="FP3428" s="103"/>
      <c r="LL3428" s="103"/>
      <c r="NM3428" s="103"/>
      <c r="QT3428" s="106"/>
      <c r="QU3428" s="106"/>
      <c r="QV3428" s="106"/>
      <c r="QW3428" s="106"/>
      <c r="QX3428" s="106"/>
      <c r="QY3428" s="106"/>
      <c r="QZ3428" s="106"/>
      <c r="RA3428" s="106"/>
      <c r="RB3428" s="106"/>
      <c r="RC3428" s="106"/>
      <c r="RD3428" s="106"/>
      <c r="RE3428" s="106"/>
      <c r="RF3428" s="106"/>
      <c r="RG3428" s="106"/>
      <c r="RH3428" s="106"/>
      <c r="RI3428" s="106"/>
      <c r="RJ3428" s="106"/>
      <c r="RK3428" s="106"/>
      <c r="RL3428" s="106"/>
    </row>
    <row r="3429" spans="88:480" x14ac:dyDescent="0.3">
      <c r="CJ3429" s="103"/>
      <c r="FP3429" s="103"/>
      <c r="LL3429" s="103"/>
      <c r="NM3429" s="103"/>
      <c r="QT3429" s="106"/>
      <c r="QU3429" s="106"/>
      <c r="QV3429" s="106"/>
      <c r="QW3429" s="106"/>
      <c r="QX3429" s="106"/>
      <c r="QY3429" s="106"/>
      <c r="QZ3429" s="106"/>
      <c r="RA3429" s="106"/>
      <c r="RB3429" s="106"/>
      <c r="RC3429" s="106"/>
      <c r="RD3429" s="106"/>
      <c r="RE3429" s="106"/>
      <c r="RF3429" s="106"/>
      <c r="RG3429" s="106"/>
      <c r="RH3429" s="106"/>
      <c r="RI3429" s="106"/>
      <c r="RJ3429" s="106"/>
      <c r="RK3429" s="106"/>
      <c r="RL3429" s="106"/>
    </row>
    <row r="3430" spans="88:480" x14ac:dyDescent="0.3">
      <c r="CJ3430" s="103"/>
      <c r="FP3430" s="103"/>
      <c r="LL3430" s="103"/>
      <c r="NM3430" s="103"/>
      <c r="QT3430" s="106"/>
      <c r="QU3430" s="106"/>
      <c r="QV3430" s="106"/>
      <c r="QW3430" s="106"/>
      <c r="QX3430" s="106"/>
      <c r="QY3430" s="106"/>
      <c r="QZ3430" s="106"/>
      <c r="RA3430" s="106"/>
      <c r="RB3430" s="106"/>
      <c r="RC3430" s="106"/>
      <c r="RD3430" s="106"/>
      <c r="RE3430" s="106"/>
      <c r="RF3430" s="106"/>
      <c r="RG3430" s="106"/>
      <c r="RH3430" s="106"/>
      <c r="RI3430" s="106"/>
      <c r="RJ3430" s="106"/>
      <c r="RK3430" s="106"/>
      <c r="RL3430" s="106"/>
    </row>
    <row r="3431" spans="88:480" x14ac:dyDescent="0.3">
      <c r="CJ3431" s="103"/>
      <c r="FP3431" s="103"/>
      <c r="LL3431" s="103"/>
      <c r="NM3431" s="103"/>
      <c r="QT3431" s="106"/>
      <c r="QU3431" s="106"/>
      <c r="QV3431" s="106"/>
      <c r="QW3431" s="106"/>
      <c r="QX3431" s="106"/>
      <c r="QY3431" s="106"/>
      <c r="QZ3431" s="106"/>
      <c r="RA3431" s="106"/>
      <c r="RB3431" s="106"/>
      <c r="RC3431" s="106"/>
      <c r="RD3431" s="106"/>
      <c r="RE3431" s="106"/>
      <c r="RF3431" s="106"/>
      <c r="RG3431" s="106"/>
      <c r="RH3431" s="106"/>
      <c r="RI3431" s="106"/>
      <c r="RJ3431" s="106"/>
      <c r="RK3431" s="106"/>
      <c r="RL3431" s="106"/>
    </row>
    <row r="3432" spans="88:480" x14ac:dyDescent="0.3">
      <c r="CJ3432" s="103"/>
      <c r="FP3432" s="103"/>
      <c r="LL3432" s="103"/>
      <c r="NM3432" s="103"/>
      <c r="QT3432" s="106"/>
      <c r="QU3432" s="106"/>
      <c r="QV3432" s="106"/>
      <c r="QW3432" s="106"/>
      <c r="QX3432" s="106"/>
      <c r="QY3432" s="106"/>
      <c r="QZ3432" s="106"/>
      <c r="RA3432" s="106"/>
      <c r="RB3432" s="106"/>
      <c r="RC3432" s="106"/>
      <c r="RD3432" s="106"/>
      <c r="RE3432" s="106"/>
      <c r="RF3432" s="106"/>
      <c r="RG3432" s="106"/>
      <c r="RH3432" s="106"/>
      <c r="RI3432" s="106"/>
      <c r="RJ3432" s="106"/>
      <c r="RK3432" s="106"/>
      <c r="RL3432" s="106"/>
    </row>
    <row r="3433" spans="88:480" x14ac:dyDescent="0.3">
      <c r="CJ3433" s="103"/>
      <c r="FP3433" s="103"/>
      <c r="LL3433" s="103"/>
      <c r="NM3433" s="103"/>
      <c r="QT3433" s="106"/>
      <c r="QU3433" s="106"/>
      <c r="QV3433" s="106"/>
      <c r="QW3433" s="106"/>
      <c r="QX3433" s="106"/>
      <c r="QY3433" s="106"/>
      <c r="QZ3433" s="106"/>
      <c r="RA3433" s="106"/>
      <c r="RB3433" s="106"/>
      <c r="RC3433" s="106"/>
      <c r="RD3433" s="106"/>
      <c r="RE3433" s="106"/>
      <c r="RF3433" s="106"/>
      <c r="RG3433" s="106"/>
      <c r="RH3433" s="106"/>
      <c r="RI3433" s="106"/>
      <c r="RJ3433" s="106"/>
      <c r="RK3433" s="106"/>
      <c r="RL3433" s="106"/>
    </row>
    <row r="3434" spans="88:480" x14ac:dyDescent="0.3">
      <c r="CJ3434" s="103"/>
      <c r="FP3434" s="103"/>
      <c r="LL3434" s="103"/>
      <c r="NM3434" s="103"/>
      <c r="QT3434" s="106"/>
      <c r="QU3434" s="106"/>
      <c r="QV3434" s="106"/>
      <c r="QW3434" s="106"/>
      <c r="QX3434" s="106"/>
      <c r="QY3434" s="106"/>
      <c r="QZ3434" s="106"/>
      <c r="RA3434" s="106"/>
      <c r="RB3434" s="106"/>
      <c r="RC3434" s="106"/>
      <c r="RD3434" s="106"/>
      <c r="RE3434" s="106"/>
      <c r="RF3434" s="106"/>
      <c r="RG3434" s="106"/>
      <c r="RH3434" s="106"/>
      <c r="RI3434" s="106"/>
      <c r="RJ3434" s="106"/>
      <c r="RK3434" s="106"/>
      <c r="RL3434" s="106"/>
    </row>
    <row r="3435" spans="88:480" x14ac:dyDescent="0.3">
      <c r="CJ3435" s="103"/>
      <c r="FP3435" s="103"/>
      <c r="LL3435" s="103"/>
      <c r="NM3435" s="103"/>
      <c r="QT3435" s="106"/>
      <c r="QU3435" s="106"/>
      <c r="QV3435" s="106"/>
      <c r="QW3435" s="106"/>
      <c r="QX3435" s="106"/>
      <c r="QY3435" s="106"/>
      <c r="QZ3435" s="106"/>
      <c r="RA3435" s="106"/>
      <c r="RB3435" s="106"/>
      <c r="RC3435" s="106"/>
      <c r="RD3435" s="106"/>
      <c r="RE3435" s="106"/>
      <c r="RF3435" s="106"/>
      <c r="RG3435" s="106"/>
      <c r="RH3435" s="106"/>
      <c r="RI3435" s="106"/>
      <c r="RJ3435" s="106"/>
      <c r="RK3435" s="106"/>
      <c r="RL3435" s="106"/>
    </row>
    <row r="3436" spans="88:480" x14ac:dyDescent="0.3">
      <c r="CJ3436" s="103"/>
      <c r="FP3436" s="103"/>
      <c r="LL3436" s="103"/>
      <c r="NM3436" s="103"/>
      <c r="QT3436" s="106"/>
      <c r="QU3436" s="106"/>
      <c r="QV3436" s="106"/>
      <c r="QW3436" s="106"/>
      <c r="QX3436" s="106"/>
      <c r="QY3436" s="106"/>
      <c r="QZ3436" s="106"/>
      <c r="RA3436" s="106"/>
      <c r="RB3436" s="106"/>
      <c r="RC3436" s="106"/>
      <c r="RD3436" s="106"/>
      <c r="RE3436" s="106"/>
      <c r="RF3436" s="106"/>
      <c r="RG3436" s="106"/>
      <c r="RH3436" s="106"/>
      <c r="RI3436" s="106"/>
      <c r="RJ3436" s="106"/>
      <c r="RK3436" s="106"/>
      <c r="RL3436" s="106"/>
    </row>
    <row r="3437" spans="88:480" x14ac:dyDescent="0.3">
      <c r="CJ3437" s="103"/>
      <c r="FP3437" s="103"/>
      <c r="LL3437" s="103"/>
      <c r="NM3437" s="103"/>
      <c r="QT3437" s="106"/>
      <c r="QU3437" s="106"/>
      <c r="QV3437" s="106"/>
      <c r="QW3437" s="106"/>
      <c r="QX3437" s="106"/>
      <c r="QY3437" s="106"/>
      <c r="QZ3437" s="106"/>
      <c r="RA3437" s="106"/>
      <c r="RB3437" s="106"/>
      <c r="RC3437" s="106"/>
      <c r="RD3437" s="106"/>
      <c r="RE3437" s="106"/>
      <c r="RF3437" s="106"/>
      <c r="RG3437" s="106"/>
      <c r="RH3437" s="106"/>
      <c r="RI3437" s="106"/>
      <c r="RJ3437" s="106"/>
      <c r="RK3437" s="106"/>
      <c r="RL3437" s="106"/>
    </row>
    <row r="3438" spans="88:480" x14ac:dyDescent="0.3">
      <c r="CJ3438" s="103"/>
      <c r="FP3438" s="103"/>
      <c r="LL3438" s="103"/>
      <c r="NM3438" s="103"/>
      <c r="QT3438" s="106"/>
      <c r="QU3438" s="106"/>
      <c r="QV3438" s="106"/>
      <c r="QW3438" s="106"/>
      <c r="QX3438" s="106"/>
      <c r="QY3438" s="106"/>
      <c r="QZ3438" s="106"/>
      <c r="RA3438" s="106"/>
      <c r="RB3438" s="106"/>
      <c r="RC3438" s="106"/>
      <c r="RD3438" s="106"/>
      <c r="RE3438" s="106"/>
      <c r="RF3438" s="106"/>
      <c r="RG3438" s="106"/>
      <c r="RH3438" s="106"/>
      <c r="RI3438" s="106"/>
      <c r="RJ3438" s="106"/>
      <c r="RK3438" s="106"/>
      <c r="RL3438" s="106"/>
    </row>
    <row r="3439" spans="88:480" x14ac:dyDescent="0.3">
      <c r="CJ3439" s="103"/>
      <c r="FP3439" s="103"/>
      <c r="LL3439" s="103"/>
      <c r="NM3439" s="103"/>
      <c r="QT3439" s="106"/>
      <c r="QU3439" s="106"/>
      <c r="QV3439" s="106"/>
      <c r="QW3439" s="106"/>
      <c r="QX3439" s="106"/>
      <c r="QY3439" s="106"/>
      <c r="QZ3439" s="106"/>
      <c r="RA3439" s="106"/>
      <c r="RB3439" s="106"/>
      <c r="RC3439" s="106"/>
      <c r="RD3439" s="106"/>
      <c r="RE3439" s="106"/>
      <c r="RF3439" s="106"/>
      <c r="RG3439" s="106"/>
      <c r="RH3439" s="106"/>
      <c r="RI3439" s="106"/>
      <c r="RJ3439" s="106"/>
      <c r="RK3439" s="106"/>
      <c r="RL3439" s="106"/>
    </row>
    <row r="3440" spans="88:480" x14ac:dyDescent="0.3">
      <c r="CJ3440" s="103"/>
      <c r="FP3440" s="103"/>
      <c r="LL3440" s="103"/>
      <c r="NM3440" s="103"/>
      <c r="QT3440" s="106"/>
      <c r="QU3440" s="106"/>
      <c r="QV3440" s="106"/>
      <c r="QW3440" s="106"/>
      <c r="QX3440" s="106"/>
      <c r="QY3440" s="106"/>
      <c r="QZ3440" s="106"/>
      <c r="RA3440" s="106"/>
      <c r="RB3440" s="106"/>
      <c r="RC3440" s="106"/>
      <c r="RD3440" s="106"/>
      <c r="RE3440" s="106"/>
      <c r="RF3440" s="106"/>
      <c r="RG3440" s="106"/>
      <c r="RH3440" s="106"/>
      <c r="RI3440" s="106"/>
      <c r="RJ3440" s="106"/>
      <c r="RK3440" s="106"/>
      <c r="RL3440" s="106"/>
    </row>
    <row r="3441" spans="88:480" x14ac:dyDescent="0.3">
      <c r="CJ3441" s="103"/>
      <c r="FP3441" s="103"/>
      <c r="LL3441" s="103"/>
      <c r="NM3441" s="103"/>
      <c r="QT3441" s="106"/>
      <c r="QU3441" s="106"/>
      <c r="QV3441" s="106"/>
      <c r="QW3441" s="106"/>
      <c r="QX3441" s="106"/>
      <c r="QY3441" s="106"/>
      <c r="QZ3441" s="106"/>
      <c r="RA3441" s="106"/>
      <c r="RB3441" s="106"/>
      <c r="RC3441" s="106"/>
      <c r="RD3441" s="106"/>
      <c r="RE3441" s="106"/>
      <c r="RF3441" s="106"/>
      <c r="RG3441" s="106"/>
      <c r="RH3441" s="106"/>
      <c r="RI3441" s="106"/>
      <c r="RJ3441" s="106"/>
      <c r="RK3441" s="106"/>
      <c r="RL3441" s="106"/>
    </row>
    <row r="3442" spans="88:480" x14ac:dyDescent="0.3">
      <c r="CJ3442" s="103"/>
      <c r="FP3442" s="103"/>
      <c r="LL3442" s="103"/>
      <c r="NM3442" s="103"/>
      <c r="QT3442" s="106"/>
      <c r="QU3442" s="106"/>
      <c r="QV3442" s="106"/>
      <c r="QW3442" s="106"/>
      <c r="QX3442" s="106"/>
      <c r="QY3442" s="106"/>
      <c r="QZ3442" s="106"/>
      <c r="RA3442" s="106"/>
      <c r="RB3442" s="106"/>
      <c r="RC3442" s="106"/>
      <c r="RD3442" s="106"/>
      <c r="RE3442" s="106"/>
      <c r="RF3442" s="106"/>
      <c r="RG3442" s="106"/>
      <c r="RH3442" s="106"/>
      <c r="RI3442" s="106"/>
      <c r="RJ3442" s="106"/>
      <c r="RK3442" s="106"/>
      <c r="RL3442" s="106"/>
    </row>
    <row r="3443" spans="88:480" x14ac:dyDescent="0.3">
      <c r="CJ3443" s="103"/>
      <c r="FP3443" s="103"/>
      <c r="LL3443" s="103"/>
      <c r="NM3443" s="103"/>
      <c r="QT3443" s="106"/>
      <c r="QU3443" s="106"/>
      <c r="QV3443" s="106"/>
      <c r="QW3443" s="106"/>
      <c r="QX3443" s="106"/>
      <c r="QY3443" s="106"/>
      <c r="QZ3443" s="106"/>
      <c r="RA3443" s="106"/>
      <c r="RB3443" s="106"/>
      <c r="RC3443" s="106"/>
      <c r="RD3443" s="106"/>
      <c r="RE3443" s="106"/>
      <c r="RF3443" s="106"/>
      <c r="RG3443" s="106"/>
      <c r="RH3443" s="106"/>
      <c r="RI3443" s="106"/>
      <c r="RJ3443" s="106"/>
      <c r="RK3443" s="106"/>
      <c r="RL3443" s="106"/>
    </row>
    <row r="3444" spans="88:480" x14ac:dyDescent="0.3">
      <c r="CJ3444" s="103"/>
      <c r="FP3444" s="103"/>
      <c r="LL3444" s="103"/>
      <c r="NM3444" s="103"/>
      <c r="QT3444" s="106"/>
      <c r="QU3444" s="106"/>
      <c r="QV3444" s="106"/>
      <c r="QW3444" s="106"/>
      <c r="QX3444" s="106"/>
      <c r="QY3444" s="106"/>
      <c r="QZ3444" s="106"/>
      <c r="RA3444" s="106"/>
      <c r="RB3444" s="106"/>
      <c r="RC3444" s="106"/>
      <c r="RD3444" s="106"/>
      <c r="RE3444" s="106"/>
      <c r="RF3444" s="106"/>
      <c r="RG3444" s="106"/>
      <c r="RH3444" s="106"/>
      <c r="RI3444" s="106"/>
      <c r="RJ3444" s="106"/>
      <c r="RK3444" s="106"/>
      <c r="RL3444" s="106"/>
    </row>
    <row r="3445" spans="88:480" x14ac:dyDescent="0.3">
      <c r="CJ3445" s="103"/>
      <c r="FP3445" s="103"/>
      <c r="LL3445" s="103"/>
      <c r="NM3445" s="103"/>
      <c r="QT3445" s="106"/>
      <c r="QU3445" s="106"/>
      <c r="QV3445" s="106"/>
      <c r="QW3445" s="106"/>
      <c r="QX3445" s="106"/>
      <c r="QY3445" s="106"/>
      <c r="QZ3445" s="106"/>
      <c r="RA3445" s="106"/>
      <c r="RB3445" s="106"/>
      <c r="RC3445" s="106"/>
      <c r="RD3445" s="106"/>
      <c r="RE3445" s="106"/>
      <c r="RF3445" s="106"/>
      <c r="RG3445" s="106"/>
      <c r="RH3445" s="106"/>
      <c r="RI3445" s="106"/>
      <c r="RJ3445" s="106"/>
      <c r="RK3445" s="106"/>
      <c r="RL3445" s="106"/>
    </row>
    <row r="3446" spans="88:480" x14ac:dyDescent="0.3">
      <c r="CJ3446" s="103"/>
      <c r="FP3446" s="103"/>
      <c r="LL3446" s="103"/>
      <c r="NM3446" s="103"/>
      <c r="QT3446" s="106"/>
      <c r="QU3446" s="106"/>
      <c r="QV3446" s="106"/>
      <c r="QW3446" s="106"/>
      <c r="QX3446" s="106"/>
      <c r="QY3446" s="106"/>
      <c r="QZ3446" s="106"/>
      <c r="RA3446" s="106"/>
      <c r="RB3446" s="106"/>
      <c r="RC3446" s="106"/>
      <c r="RD3446" s="106"/>
      <c r="RE3446" s="106"/>
      <c r="RF3446" s="106"/>
      <c r="RG3446" s="106"/>
      <c r="RH3446" s="106"/>
      <c r="RI3446" s="106"/>
      <c r="RJ3446" s="106"/>
      <c r="RK3446" s="106"/>
      <c r="RL3446" s="106"/>
    </row>
    <row r="3447" spans="88:480" x14ac:dyDescent="0.3">
      <c r="CJ3447" s="103"/>
      <c r="FP3447" s="103"/>
      <c r="LL3447" s="103"/>
      <c r="NM3447" s="103"/>
      <c r="QT3447" s="106"/>
      <c r="QU3447" s="106"/>
      <c r="QV3447" s="106"/>
      <c r="QW3447" s="106"/>
      <c r="QX3447" s="106"/>
      <c r="QY3447" s="106"/>
      <c r="QZ3447" s="106"/>
      <c r="RA3447" s="106"/>
      <c r="RB3447" s="106"/>
      <c r="RC3447" s="106"/>
      <c r="RD3447" s="106"/>
      <c r="RE3447" s="106"/>
      <c r="RF3447" s="106"/>
      <c r="RG3447" s="106"/>
      <c r="RH3447" s="106"/>
      <c r="RI3447" s="106"/>
      <c r="RJ3447" s="106"/>
      <c r="RK3447" s="106"/>
      <c r="RL3447" s="106"/>
    </row>
    <row r="3448" spans="88:480" x14ac:dyDescent="0.3">
      <c r="CJ3448" s="103"/>
      <c r="FP3448" s="103"/>
      <c r="LL3448" s="103"/>
      <c r="NM3448" s="103"/>
      <c r="QT3448" s="106"/>
      <c r="QU3448" s="106"/>
      <c r="QV3448" s="106"/>
      <c r="QW3448" s="106"/>
      <c r="QX3448" s="106"/>
      <c r="QY3448" s="106"/>
      <c r="QZ3448" s="106"/>
      <c r="RA3448" s="106"/>
      <c r="RB3448" s="106"/>
      <c r="RC3448" s="106"/>
      <c r="RD3448" s="106"/>
      <c r="RE3448" s="106"/>
      <c r="RF3448" s="106"/>
      <c r="RG3448" s="106"/>
      <c r="RH3448" s="106"/>
      <c r="RI3448" s="106"/>
      <c r="RJ3448" s="106"/>
      <c r="RK3448" s="106"/>
      <c r="RL3448" s="106"/>
    </row>
    <row r="3449" spans="88:480" x14ac:dyDescent="0.3">
      <c r="CJ3449" s="103"/>
      <c r="FP3449" s="103"/>
      <c r="LL3449" s="103"/>
      <c r="NM3449" s="103"/>
      <c r="QT3449" s="106"/>
      <c r="QU3449" s="106"/>
      <c r="QV3449" s="106"/>
      <c r="QW3449" s="106"/>
      <c r="QX3449" s="106"/>
      <c r="QY3449" s="106"/>
      <c r="QZ3449" s="106"/>
      <c r="RA3449" s="106"/>
      <c r="RB3449" s="106"/>
      <c r="RC3449" s="106"/>
      <c r="RD3449" s="106"/>
      <c r="RE3449" s="106"/>
      <c r="RF3449" s="106"/>
      <c r="RG3449" s="106"/>
      <c r="RH3449" s="106"/>
      <c r="RI3449" s="106"/>
      <c r="RJ3449" s="106"/>
      <c r="RK3449" s="106"/>
      <c r="RL3449" s="106"/>
    </row>
    <row r="3450" spans="88:480" x14ac:dyDescent="0.3">
      <c r="CJ3450" s="103"/>
      <c r="FP3450" s="103"/>
      <c r="LL3450" s="103"/>
      <c r="NM3450" s="103"/>
      <c r="QT3450" s="106"/>
      <c r="QU3450" s="106"/>
      <c r="QV3450" s="106"/>
      <c r="QW3450" s="106"/>
      <c r="QX3450" s="106"/>
      <c r="QY3450" s="106"/>
      <c r="QZ3450" s="106"/>
      <c r="RA3450" s="106"/>
      <c r="RB3450" s="106"/>
      <c r="RC3450" s="106"/>
      <c r="RD3450" s="106"/>
      <c r="RE3450" s="106"/>
      <c r="RF3450" s="106"/>
      <c r="RG3450" s="106"/>
      <c r="RH3450" s="106"/>
      <c r="RI3450" s="106"/>
      <c r="RJ3450" s="106"/>
      <c r="RK3450" s="106"/>
      <c r="RL3450" s="106"/>
    </row>
    <row r="3451" spans="88:480" x14ac:dyDescent="0.3">
      <c r="CJ3451" s="103"/>
      <c r="FP3451" s="103"/>
      <c r="LL3451" s="103"/>
      <c r="NM3451" s="103"/>
      <c r="QT3451" s="106"/>
      <c r="QU3451" s="106"/>
      <c r="QV3451" s="106"/>
      <c r="QW3451" s="106"/>
      <c r="QX3451" s="106"/>
      <c r="QY3451" s="106"/>
      <c r="QZ3451" s="106"/>
      <c r="RA3451" s="106"/>
      <c r="RB3451" s="106"/>
      <c r="RC3451" s="106"/>
      <c r="RD3451" s="106"/>
      <c r="RE3451" s="106"/>
      <c r="RF3451" s="106"/>
      <c r="RG3451" s="106"/>
      <c r="RH3451" s="106"/>
      <c r="RI3451" s="106"/>
      <c r="RJ3451" s="106"/>
      <c r="RK3451" s="106"/>
      <c r="RL3451" s="106"/>
    </row>
    <row r="3452" spans="88:480" x14ac:dyDescent="0.3">
      <c r="CJ3452" s="103"/>
      <c r="FP3452" s="103"/>
      <c r="LL3452" s="103"/>
      <c r="NM3452" s="103"/>
      <c r="QT3452" s="106"/>
      <c r="QU3452" s="106"/>
      <c r="QV3452" s="106"/>
      <c r="QW3452" s="106"/>
      <c r="QX3452" s="106"/>
      <c r="QY3452" s="106"/>
      <c r="QZ3452" s="106"/>
      <c r="RA3452" s="106"/>
      <c r="RB3452" s="106"/>
      <c r="RC3452" s="106"/>
      <c r="RD3452" s="106"/>
      <c r="RE3452" s="106"/>
      <c r="RF3452" s="106"/>
      <c r="RG3452" s="106"/>
      <c r="RH3452" s="106"/>
      <c r="RI3452" s="106"/>
      <c r="RJ3452" s="106"/>
      <c r="RK3452" s="106"/>
      <c r="RL3452" s="106"/>
    </row>
    <row r="3453" spans="88:480" x14ac:dyDescent="0.3">
      <c r="CJ3453" s="103"/>
      <c r="FP3453" s="103"/>
      <c r="LL3453" s="103"/>
      <c r="NM3453" s="103"/>
      <c r="QT3453" s="106"/>
      <c r="QU3453" s="106"/>
      <c r="QV3453" s="106"/>
      <c r="QW3453" s="106"/>
      <c r="QX3453" s="106"/>
      <c r="QY3453" s="106"/>
      <c r="QZ3453" s="106"/>
      <c r="RA3453" s="106"/>
      <c r="RB3453" s="106"/>
      <c r="RC3453" s="106"/>
      <c r="RD3453" s="106"/>
      <c r="RE3453" s="106"/>
      <c r="RF3453" s="106"/>
      <c r="RG3453" s="106"/>
      <c r="RH3453" s="106"/>
      <c r="RI3453" s="106"/>
      <c r="RJ3453" s="106"/>
      <c r="RK3453" s="106"/>
      <c r="RL3453" s="106"/>
    </row>
    <row r="3454" spans="88:480" x14ac:dyDescent="0.3">
      <c r="CJ3454" s="103"/>
      <c r="FP3454" s="103"/>
      <c r="LL3454" s="103"/>
      <c r="NM3454" s="103"/>
      <c r="QT3454" s="106"/>
      <c r="QU3454" s="106"/>
      <c r="QV3454" s="106"/>
      <c r="QW3454" s="106"/>
      <c r="QX3454" s="106"/>
      <c r="QY3454" s="106"/>
      <c r="QZ3454" s="106"/>
      <c r="RA3454" s="106"/>
      <c r="RB3454" s="106"/>
      <c r="RC3454" s="106"/>
      <c r="RD3454" s="106"/>
      <c r="RE3454" s="106"/>
      <c r="RF3454" s="106"/>
      <c r="RG3454" s="106"/>
      <c r="RH3454" s="106"/>
      <c r="RI3454" s="106"/>
      <c r="RJ3454" s="106"/>
      <c r="RK3454" s="106"/>
      <c r="RL3454" s="106"/>
    </row>
    <row r="3455" spans="88:480" x14ac:dyDescent="0.3">
      <c r="CJ3455" s="103"/>
      <c r="FP3455" s="103"/>
      <c r="LL3455" s="103"/>
      <c r="NM3455" s="103"/>
      <c r="QT3455" s="106"/>
      <c r="QU3455" s="106"/>
      <c r="QV3455" s="106"/>
      <c r="QW3455" s="106"/>
      <c r="QX3455" s="106"/>
      <c r="QY3455" s="106"/>
      <c r="QZ3455" s="106"/>
      <c r="RA3455" s="106"/>
      <c r="RB3455" s="106"/>
      <c r="RC3455" s="106"/>
      <c r="RD3455" s="106"/>
      <c r="RE3455" s="106"/>
      <c r="RF3455" s="106"/>
      <c r="RG3455" s="106"/>
      <c r="RH3455" s="106"/>
      <c r="RI3455" s="106"/>
      <c r="RJ3455" s="106"/>
      <c r="RK3455" s="106"/>
      <c r="RL3455" s="106"/>
    </row>
    <row r="3456" spans="88:480" x14ac:dyDescent="0.3">
      <c r="CJ3456" s="103"/>
      <c r="FP3456" s="103"/>
      <c r="LL3456" s="103"/>
      <c r="NM3456" s="103"/>
      <c r="QT3456" s="106"/>
      <c r="QU3456" s="106"/>
      <c r="QV3456" s="106"/>
      <c r="QW3456" s="106"/>
      <c r="QX3456" s="106"/>
      <c r="QY3456" s="106"/>
      <c r="QZ3456" s="106"/>
      <c r="RA3456" s="106"/>
      <c r="RB3456" s="106"/>
      <c r="RC3456" s="106"/>
      <c r="RD3456" s="106"/>
      <c r="RE3456" s="106"/>
      <c r="RF3456" s="106"/>
      <c r="RG3456" s="106"/>
      <c r="RH3456" s="106"/>
      <c r="RI3456" s="106"/>
      <c r="RJ3456" s="106"/>
      <c r="RK3456" s="106"/>
      <c r="RL3456" s="106"/>
    </row>
    <row r="3457" spans="88:480" x14ac:dyDescent="0.3">
      <c r="CJ3457" s="103"/>
      <c r="FP3457" s="103"/>
      <c r="LL3457" s="103"/>
      <c r="NM3457" s="103"/>
      <c r="QT3457" s="106"/>
      <c r="QU3457" s="106"/>
      <c r="QV3457" s="106"/>
      <c r="QW3457" s="106"/>
      <c r="QX3457" s="106"/>
      <c r="QY3457" s="106"/>
      <c r="QZ3457" s="106"/>
      <c r="RA3457" s="106"/>
      <c r="RB3457" s="106"/>
      <c r="RC3457" s="106"/>
      <c r="RD3457" s="106"/>
      <c r="RE3457" s="106"/>
      <c r="RF3457" s="106"/>
      <c r="RG3457" s="106"/>
      <c r="RH3457" s="106"/>
      <c r="RI3457" s="106"/>
      <c r="RJ3457" s="106"/>
      <c r="RK3457" s="106"/>
      <c r="RL3457" s="106"/>
    </row>
    <row r="3458" spans="88:480" x14ac:dyDescent="0.3">
      <c r="CJ3458" s="103"/>
      <c r="FP3458" s="103"/>
      <c r="LL3458" s="103"/>
      <c r="NM3458" s="103"/>
      <c r="QT3458" s="106"/>
      <c r="QU3458" s="106"/>
      <c r="QV3458" s="106"/>
      <c r="QW3458" s="106"/>
      <c r="QX3458" s="106"/>
      <c r="QY3458" s="106"/>
      <c r="QZ3458" s="106"/>
      <c r="RA3458" s="106"/>
      <c r="RB3458" s="106"/>
      <c r="RC3458" s="106"/>
      <c r="RD3458" s="106"/>
      <c r="RE3458" s="106"/>
      <c r="RF3458" s="106"/>
      <c r="RG3458" s="106"/>
      <c r="RH3458" s="106"/>
      <c r="RI3458" s="106"/>
      <c r="RJ3458" s="106"/>
      <c r="RK3458" s="106"/>
      <c r="RL3458" s="106"/>
    </row>
    <row r="3459" spans="88:480" x14ac:dyDescent="0.3">
      <c r="CJ3459" s="103"/>
      <c r="FP3459" s="103"/>
      <c r="LL3459" s="103"/>
      <c r="NM3459" s="103"/>
      <c r="QT3459" s="106"/>
      <c r="QU3459" s="106"/>
      <c r="QV3459" s="106"/>
      <c r="QW3459" s="106"/>
      <c r="QX3459" s="106"/>
      <c r="QY3459" s="106"/>
      <c r="QZ3459" s="106"/>
      <c r="RA3459" s="106"/>
      <c r="RB3459" s="106"/>
      <c r="RC3459" s="106"/>
      <c r="RD3459" s="106"/>
      <c r="RE3459" s="106"/>
      <c r="RF3459" s="106"/>
      <c r="RG3459" s="106"/>
      <c r="RH3459" s="106"/>
      <c r="RI3459" s="106"/>
      <c r="RJ3459" s="106"/>
      <c r="RK3459" s="106"/>
      <c r="RL3459" s="106"/>
    </row>
    <row r="3460" spans="88:480" x14ac:dyDescent="0.3">
      <c r="CJ3460" s="103"/>
      <c r="FP3460" s="103"/>
      <c r="LL3460" s="103"/>
      <c r="NM3460" s="103"/>
      <c r="QT3460" s="106"/>
      <c r="QU3460" s="106"/>
      <c r="QV3460" s="106"/>
      <c r="QW3460" s="106"/>
      <c r="QX3460" s="106"/>
      <c r="QY3460" s="106"/>
      <c r="QZ3460" s="106"/>
      <c r="RA3460" s="106"/>
      <c r="RB3460" s="106"/>
      <c r="RC3460" s="106"/>
      <c r="RD3460" s="106"/>
      <c r="RE3460" s="106"/>
      <c r="RF3460" s="106"/>
      <c r="RG3460" s="106"/>
      <c r="RH3460" s="106"/>
      <c r="RI3460" s="106"/>
      <c r="RJ3460" s="106"/>
      <c r="RK3460" s="106"/>
      <c r="RL3460" s="106"/>
    </row>
    <row r="3461" spans="88:480" x14ac:dyDescent="0.3">
      <c r="CJ3461" s="103"/>
      <c r="FP3461" s="103"/>
      <c r="LL3461" s="103"/>
      <c r="NM3461" s="103"/>
      <c r="QT3461" s="106"/>
      <c r="QU3461" s="106"/>
      <c r="QV3461" s="106"/>
      <c r="QW3461" s="106"/>
      <c r="QX3461" s="106"/>
      <c r="QY3461" s="106"/>
      <c r="QZ3461" s="106"/>
      <c r="RA3461" s="106"/>
      <c r="RB3461" s="106"/>
      <c r="RC3461" s="106"/>
      <c r="RD3461" s="106"/>
      <c r="RE3461" s="106"/>
      <c r="RF3461" s="106"/>
      <c r="RG3461" s="106"/>
      <c r="RH3461" s="106"/>
      <c r="RI3461" s="106"/>
      <c r="RJ3461" s="106"/>
      <c r="RK3461" s="106"/>
      <c r="RL3461" s="106"/>
    </row>
    <row r="3462" spans="88:480" x14ac:dyDescent="0.3">
      <c r="CJ3462" s="103"/>
      <c r="FP3462" s="103"/>
      <c r="LL3462" s="103"/>
      <c r="NM3462" s="103"/>
      <c r="QT3462" s="106"/>
      <c r="QU3462" s="106"/>
      <c r="QV3462" s="106"/>
      <c r="QW3462" s="106"/>
      <c r="QX3462" s="106"/>
      <c r="QY3462" s="106"/>
      <c r="QZ3462" s="106"/>
      <c r="RA3462" s="106"/>
      <c r="RB3462" s="106"/>
      <c r="RC3462" s="106"/>
      <c r="RD3462" s="106"/>
      <c r="RE3462" s="106"/>
      <c r="RF3462" s="106"/>
      <c r="RG3462" s="106"/>
      <c r="RH3462" s="106"/>
      <c r="RI3462" s="106"/>
      <c r="RJ3462" s="106"/>
      <c r="RK3462" s="106"/>
      <c r="RL3462" s="106"/>
    </row>
    <row r="3463" spans="88:480" x14ac:dyDescent="0.3">
      <c r="CJ3463" s="103"/>
      <c r="FP3463" s="103"/>
      <c r="LL3463" s="103"/>
      <c r="NM3463" s="103"/>
      <c r="QT3463" s="106"/>
      <c r="QU3463" s="106"/>
      <c r="QV3463" s="106"/>
      <c r="QW3463" s="106"/>
      <c r="QX3463" s="106"/>
      <c r="QY3463" s="106"/>
      <c r="QZ3463" s="106"/>
      <c r="RA3463" s="106"/>
      <c r="RB3463" s="106"/>
      <c r="RC3463" s="106"/>
      <c r="RD3463" s="106"/>
      <c r="RE3463" s="106"/>
      <c r="RF3463" s="106"/>
      <c r="RG3463" s="106"/>
      <c r="RH3463" s="106"/>
      <c r="RI3463" s="106"/>
      <c r="RJ3463" s="106"/>
      <c r="RK3463" s="106"/>
      <c r="RL3463" s="106"/>
    </row>
    <row r="3464" spans="88:480" x14ac:dyDescent="0.3">
      <c r="CJ3464" s="103"/>
      <c r="FP3464" s="103"/>
      <c r="LL3464" s="103"/>
      <c r="NM3464" s="103"/>
      <c r="QT3464" s="106"/>
      <c r="QU3464" s="106"/>
      <c r="QV3464" s="106"/>
      <c r="QW3464" s="106"/>
      <c r="QX3464" s="106"/>
      <c r="QY3464" s="106"/>
      <c r="QZ3464" s="106"/>
      <c r="RA3464" s="106"/>
      <c r="RB3464" s="106"/>
      <c r="RC3464" s="106"/>
      <c r="RD3464" s="106"/>
      <c r="RE3464" s="106"/>
      <c r="RF3464" s="106"/>
      <c r="RG3464" s="106"/>
      <c r="RH3464" s="106"/>
      <c r="RI3464" s="106"/>
      <c r="RJ3464" s="106"/>
      <c r="RK3464" s="106"/>
      <c r="RL3464" s="106"/>
    </row>
    <row r="3465" spans="88:480" x14ac:dyDescent="0.3">
      <c r="CJ3465" s="103"/>
      <c r="FP3465" s="103"/>
      <c r="LL3465" s="103"/>
      <c r="NM3465" s="103"/>
      <c r="QT3465" s="106"/>
      <c r="QU3465" s="106"/>
      <c r="QV3465" s="106"/>
      <c r="QW3465" s="106"/>
      <c r="QX3465" s="106"/>
      <c r="QY3465" s="106"/>
      <c r="QZ3465" s="106"/>
      <c r="RA3465" s="106"/>
      <c r="RB3465" s="106"/>
      <c r="RC3465" s="106"/>
      <c r="RD3465" s="106"/>
      <c r="RE3465" s="106"/>
      <c r="RF3465" s="106"/>
      <c r="RG3465" s="106"/>
      <c r="RH3465" s="106"/>
      <c r="RI3465" s="106"/>
      <c r="RJ3465" s="106"/>
      <c r="RK3465" s="106"/>
      <c r="RL3465" s="106"/>
    </row>
    <row r="3466" spans="88:480" x14ac:dyDescent="0.3">
      <c r="CJ3466" s="103"/>
      <c r="FP3466" s="103"/>
      <c r="LL3466" s="103"/>
      <c r="NM3466" s="103"/>
      <c r="QT3466" s="106"/>
      <c r="QU3466" s="106"/>
      <c r="QV3466" s="106"/>
      <c r="QW3466" s="106"/>
      <c r="QX3466" s="106"/>
      <c r="QY3466" s="106"/>
      <c r="QZ3466" s="106"/>
      <c r="RA3466" s="106"/>
      <c r="RB3466" s="106"/>
      <c r="RC3466" s="106"/>
      <c r="RD3466" s="106"/>
      <c r="RE3466" s="106"/>
      <c r="RF3466" s="106"/>
      <c r="RG3466" s="106"/>
      <c r="RH3466" s="106"/>
      <c r="RI3466" s="106"/>
      <c r="RJ3466" s="106"/>
      <c r="RK3466" s="106"/>
      <c r="RL3466" s="106"/>
    </row>
    <row r="3467" spans="88:480" x14ac:dyDescent="0.3">
      <c r="CJ3467" s="103"/>
      <c r="FP3467" s="103"/>
      <c r="LL3467" s="103"/>
      <c r="NM3467" s="103"/>
      <c r="QT3467" s="106"/>
      <c r="QU3467" s="106"/>
      <c r="QV3467" s="106"/>
      <c r="QW3467" s="106"/>
      <c r="QX3467" s="106"/>
      <c r="QY3467" s="106"/>
      <c r="QZ3467" s="106"/>
      <c r="RA3467" s="106"/>
      <c r="RB3467" s="106"/>
      <c r="RC3467" s="106"/>
      <c r="RD3467" s="106"/>
      <c r="RE3467" s="106"/>
      <c r="RF3467" s="106"/>
      <c r="RG3467" s="106"/>
      <c r="RH3467" s="106"/>
      <c r="RI3467" s="106"/>
      <c r="RJ3467" s="106"/>
      <c r="RK3467" s="106"/>
      <c r="RL3467" s="106"/>
    </row>
    <row r="3468" spans="88:480" x14ac:dyDescent="0.3">
      <c r="CJ3468" s="103"/>
      <c r="FP3468" s="103"/>
      <c r="LL3468" s="103"/>
      <c r="NM3468" s="103"/>
      <c r="QT3468" s="106"/>
      <c r="QU3468" s="106"/>
      <c r="QV3468" s="106"/>
      <c r="QW3468" s="106"/>
      <c r="QX3468" s="106"/>
      <c r="QY3468" s="106"/>
      <c r="QZ3468" s="106"/>
      <c r="RA3468" s="106"/>
      <c r="RB3468" s="106"/>
      <c r="RC3468" s="106"/>
      <c r="RD3468" s="106"/>
      <c r="RE3468" s="106"/>
      <c r="RF3468" s="106"/>
      <c r="RG3468" s="106"/>
      <c r="RH3468" s="106"/>
      <c r="RI3468" s="106"/>
      <c r="RJ3468" s="106"/>
      <c r="RK3468" s="106"/>
      <c r="RL3468" s="106"/>
    </row>
    <row r="3469" spans="88:480" x14ac:dyDescent="0.3">
      <c r="CJ3469" s="103"/>
      <c r="FP3469" s="103"/>
      <c r="LL3469" s="103"/>
      <c r="NM3469" s="103"/>
      <c r="QT3469" s="106"/>
      <c r="QU3469" s="106"/>
      <c r="QV3469" s="106"/>
      <c r="QW3469" s="106"/>
      <c r="QX3469" s="106"/>
      <c r="QY3469" s="106"/>
      <c r="QZ3469" s="106"/>
      <c r="RA3469" s="106"/>
      <c r="RB3469" s="106"/>
      <c r="RC3469" s="106"/>
      <c r="RD3469" s="106"/>
      <c r="RE3469" s="106"/>
      <c r="RF3469" s="106"/>
      <c r="RG3469" s="106"/>
      <c r="RH3469" s="106"/>
      <c r="RI3469" s="106"/>
      <c r="RJ3469" s="106"/>
      <c r="RK3469" s="106"/>
      <c r="RL3469" s="106"/>
    </row>
    <row r="3470" spans="88:480" x14ac:dyDescent="0.3">
      <c r="CJ3470" s="103"/>
      <c r="FP3470" s="103"/>
      <c r="LL3470" s="103"/>
      <c r="NM3470" s="103"/>
      <c r="QT3470" s="106"/>
      <c r="QU3470" s="106"/>
      <c r="QV3470" s="106"/>
      <c r="QW3470" s="106"/>
      <c r="QX3470" s="106"/>
      <c r="QY3470" s="106"/>
      <c r="QZ3470" s="106"/>
      <c r="RA3470" s="106"/>
      <c r="RB3470" s="106"/>
      <c r="RC3470" s="106"/>
      <c r="RD3470" s="106"/>
      <c r="RE3470" s="106"/>
      <c r="RF3470" s="106"/>
      <c r="RG3470" s="106"/>
      <c r="RH3470" s="106"/>
      <c r="RI3470" s="106"/>
      <c r="RJ3470" s="106"/>
      <c r="RK3470" s="106"/>
      <c r="RL3470" s="106"/>
    </row>
    <row r="3471" spans="88:480" x14ac:dyDescent="0.3">
      <c r="CJ3471" s="103"/>
      <c r="FP3471" s="103"/>
      <c r="LL3471" s="103"/>
      <c r="NM3471" s="103"/>
      <c r="QT3471" s="106"/>
      <c r="QU3471" s="106"/>
      <c r="QV3471" s="106"/>
      <c r="QW3471" s="106"/>
      <c r="QX3471" s="106"/>
      <c r="QY3471" s="106"/>
      <c r="QZ3471" s="106"/>
      <c r="RA3471" s="106"/>
      <c r="RB3471" s="106"/>
      <c r="RC3471" s="106"/>
      <c r="RD3471" s="106"/>
      <c r="RE3471" s="106"/>
      <c r="RF3471" s="106"/>
      <c r="RG3471" s="106"/>
      <c r="RH3471" s="106"/>
      <c r="RI3471" s="106"/>
      <c r="RJ3471" s="106"/>
      <c r="RK3471" s="106"/>
      <c r="RL3471" s="106"/>
    </row>
    <row r="3472" spans="88:480" x14ac:dyDescent="0.3">
      <c r="CJ3472" s="103"/>
      <c r="FP3472" s="103"/>
      <c r="LL3472" s="103"/>
      <c r="NM3472" s="103"/>
      <c r="QT3472" s="106"/>
      <c r="QU3472" s="106"/>
      <c r="QV3472" s="106"/>
      <c r="QW3472" s="106"/>
      <c r="QX3472" s="106"/>
      <c r="QY3472" s="106"/>
      <c r="QZ3472" s="106"/>
      <c r="RA3472" s="106"/>
      <c r="RB3472" s="106"/>
      <c r="RC3472" s="106"/>
      <c r="RD3472" s="106"/>
      <c r="RE3472" s="106"/>
      <c r="RF3472" s="106"/>
      <c r="RG3472" s="106"/>
      <c r="RH3472" s="106"/>
      <c r="RI3472" s="106"/>
      <c r="RJ3472" s="106"/>
      <c r="RK3472" s="106"/>
      <c r="RL3472" s="106"/>
    </row>
    <row r="3473" spans="88:480" x14ac:dyDescent="0.3">
      <c r="CJ3473" s="103"/>
      <c r="FP3473" s="103"/>
      <c r="LL3473" s="103"/>
      <c r="NM3473" s="103"/>
      <c r="QT3473" s="106"/>
      <c r="QU3473" s="106"/>
      <c r="QV3473" s="106"/>
      <c r="QW3473" s="106"/>
      <c r="QX3473" s="106"/>
      <c r="QY3473" s="106"/>
      <c r="QZ3473" s="106"/>
      <c r="RA3473" s="106"/>
      <c r="RB3473" s="106"/>
      <c r="RC3473" s="106"/>
      <c r="RD3473" s="106"/>
      <c r="RE3473" s="106"/>
      <c r="RF3473" s="106"/>
      <c r="RG3473" s="106"/>
      <c r="RH3473" s="106"/>
      <c r="RI3473" s="106"/>
      <c r="RJ3473" s="106"/>
      <c r="RK3473" s="106"/>
      <c r="RL3473" s="106"/>
    </row>
    <row r="3474" spans="88:480" x14ac:dyDescent="0.3">
      <c r="CJ3474" s="103"/>
      <c r="FP3474" s="103"/>
      <c r="LL3474" s="103"/>
      <c r="NM3474" s="103"/>
      <c r="QT3474" s="106"/>
      <c r="QU3474" s="106"/>
      <c r="QV3474" s="106"/>
      <c r="QW3474" s="106"/>
      <c r="QX3474" s="106"/>
      <c r="QY3474" s="106"/>
      <c r="QZ3474" s="106"/>
      <c r="RA3474" s="106"/>
      <c r="RB3474" s="106"/>
      <c r="RC3474" s="106"/>
      <c r="RD3474" s="106"/>
      <c r="RE3474" s="106"/>
      <c r="RF3474" s="106"/>
      <c r="RG3474" s="106"/>
      <c r="RH3474" s="106"/>
      <c r="RI3474" s="106"/>
      <c r="RJ3474" s="106"/>
      <c r="RK3474" s="106"/>
      <c r="RL3474" s="106"/>
    </row>
    <row r="3475" spans="88:480" x14ac:dyDescent="0.3">
      <c r="CJ3475" s="103"/>
      <c r="FP3475" s="103"/>
      <c r="LL3475" s="103"/>
      <c r="NM3475" s="103"/>
      <c r="QT3475" s="106"/>
      <c r="QU3475" s="106"/>
      <c r="QV3475" s="106"/>
      <c r="QW3475" s="106"/>
      <c r="QX3475" s="106"/>
      <c r="QY3475" s="106"/>
      <c r="QZ3475" s="106"/>
      <c r="RA3475" s="106"/>
      <c r="RB3475" s="106"/>
      <c r="RC3475" s="106"/>
      <c r="RD3475" s="106"/>
      <c r="RE3475" s="106"/>
      <c r="RF3475" s="106"/>
      <c r="RG3475" s="106"/>
      <c r="RH3475" s="106"/>
      <c r="RI3475" s="106"/>
      <c r="RJ3475" s="106"/>
      <c r="RK3475" s="106"/>
      <c r="RL3475" s="106"/>
    </row>
    <row r="3476" spans="88:480" x14ac:dyDescent="0.3">
      <c r="CJ3476" s="103"/>
      <c r="FP3476" s="103"/>
      <c r="LL3476" s="103"/>
      <c r="NM3476" s="103"/>
      <c r="QT3476" s="106"/>
      <c r="QU3476" s="106"/>
      <c r="QV3476" s="106"/>
      <c r="QW3476" s="106"/>
      <c r="QX3476" s="106"/>
      <c r="QY3476" s="106"/>
      <c r="QZ3476" s="106"/>
      <c r="RA3476" s="106"/>
      <c r="RB3476" s="106"/>
      <c r="RC3476" s="106"/>
      <c r="RD3476" s="106"/>
      <c r="RE3476" s="106"/>
      <c r="RF3476" s="106"/>
      <c r="RG3476" s="106"/>
      <c r="RH3476" s="106"/>
      <c r="RI3476" s="106"/>
      <c r="RJ3476" s="106"/>
      <c r="RK3476" s="106"/>
      <c r="RL3476" s="106"/>
    </row>
    <row r="3477" spans="88:480" x14ac:dyDescent="0.3">
      <c r="CJ3477" s="103"/>
      <c r="FP3477" s="103"/>
      <c r="LL3477" s="103"/>
      <c r="NM3477" s="103"/>
      <c r="QT3477" s="106"/>
      <c r="QU3477" s="106"/>
      <c r="QV3477" s="106"/>
      <c r="QW3477" s="106"/>
      <c r="QX3477" s="106"/>
      <c r="QY3477" s="106"/>
      <c r="QZ3477" s="106"/>
      <c r="RA3477" s="106"/>
      <c r="RB3477" s="106"/>
      <c r="RC3477" s="106"/>
      <c r="RD3477" s="106"/>
      <c r="RE3477" s="106"/>
      <c r="RF3477" s="106"/>
      <c r="RG3477" s="106"/>
      <c r="RH3477" s="106"/>
      <c r="RI3477" s="106"/>
      <c r="RJ3477" s="106"/>
      <c r="RK3477" s="106"/>
      <c r="RL3477" s="106"/>
    </row>
    <row r="3478" spans="88:480" x14ac:dyDescent="0.3">
      <c r="CJ3478" s="103"/>
      <c r="FP3478" s="103"/>
      <c r="LL3478" s="103"/>
      <c r="NM3478" s="103"/>
      <c r="QT3478" s="106"/>
      <c r="QU3478" s="106"/>
      <c r="QV3478" s="106"/>
      <c r="QW3478" s="106"/>
      <c r="QX3478" s="106"/>
      <c r="QY3478" s="106"/>
      <c r="QZ3478" s="106"/>
      <c r="RA3478" s="106"/>
      <c r="RB3478" s="106"/>
      <c r="RC3478" s="106"/>
      <c r="RD3478" s="106"/>
      <c r="RE3478" s="106"/>
      <c r="RF3478" s="106"/>
      <c r="RG3478" s="106"/>
      <c r="RH3478" s="106"/>
      <c r="RI3478" s="106"/>
      <c r="RJ3478" s="106"/>
      <c r="RK3478" s="106"/>
      <c r="RL3478" s="106"/>
    </row>
    <row r="3479" spans="88:480" x14ac:dyDescent="0.3">
      <c r="CJ3479" s="103"/>
      <c r="FP3479" s="103"/>
      <c r="LL3479" s="103"/>
      <c r="NM3479" s="103"/>
      <c r="QT3479" s="106"/>
      <c r="QU3479" s="106"/>
      <c r="QV3479" s="106"/>
      <c r="QW3479" s="106"/>
      <c r="QX3479" s="106"/>
      <c r="QY3479" s="106"/>
      <c r="QZ3479" s="106"/>
      <c r="RA3479" s="106"/>
      <c r="RB3479" s="106"/>
      <c r="RC3479" s="106"/>
      <c r="RD3479" s="106"/>
      <c r="RE3479" s="106"/>
      <c r="RF3479" s="106"/>
      <c r="RG3479" s="106"/>
      <c r="RH3479" s="106"/>
      <c r="RI3479" s="106"/>
      <c r="RJ3479" s="106"/>
      <c r="RK3479" s="106"/>
      <c r="RL3479" s="106"/>
    </row>
    <row r="3480" spans="88:480" x14ac:dyDescent="0.3">
      <c r="CJ3480" s="103"/>
      <c r="FP3480" s="103"/>
      <c r="LL3480" s="103"/>
      <c r="NM3480" s="103"/>
      <c r="QT3480" s="106"/>
      <c r="QU3480" s="106"/>
      <c r="QV3480" s="106"/>
      <c r="QW3480" s="106"/>
      <c r="QX3480" s="106"/>
      <c r="QY3480" s="106"/>
      <c r="QZ3480" s="106"/>
      <c r="RA3480" s="106"/>
      <c r="RB3480" s="106"/>
      <c r="RC3480" s="106"/>
      <c r="RD3480" s="106"/>
      <c r="RE3480" s="106"/>
      <c r="RF3480" s="106"/>
      <c r="RG3480" s="106"/>
      <c r="RH3480" s="106"/>
      <c r="RI3480" s="106"/>
      <c r="RJ3480" s="106"/>
      <c r="RK3480" s="106"/>
      <c r="RL3480" s="106"/>
    </row>
    <row r="3481" spans="88:480" x14ac:dyDescent="0.3">
      <c r="CJ3481" s="103"/>
      <c r="FP3481" s="103"/>
      <c r="LL3481" s="103"/>
      <c r="NM3481" s="103"/>
      <c r="QT3481" s="106"/>
      <c r="QU3481" s="106"/>
      <c r="QV3481" s="106"/>
      <c r="QW3481" s="106"/>
      <c r="QX3481" s="106"/>
      <c r="QY3481" s="106"/>
      <c r="QZ3481" s="106"/>
      <c r="RA3481" s="106"/>
      <c r="RB3481" s="106"/>
      <c r="RC3481" s="106"/>
      <c r="RD3481" s="106"/>
      <c r="RE3481" s="106"/>
      <c r="RF3481" s="106"/>
      <c r="RG3481" s="106"/>
      <c r="RH3481" s="106"/>
      <c r="RI3481" s="106"/>
      <c r="RJ3481" s="106"/>
      <c r="RK3481" s="106"/>
      <c r="RL3481" s="106"/>
    </row>
    <row r="3482" spans="88:480" x14ac:dyDescent="0.3">
      <c r="CJ3482" s="103"/>
      <c r="FP3482" s="103"/>
      <c r="LL3482" s="103"/>
      <c r="NM3482" s="103"/>
      <c r="QT3482" s="106"/>
      <c r="QU3482" s="106"/>
      <c r="QV3482" s="106"/>
      <c r="QW3482" s="106"/>
      <c r="QX3482" s="106"/>
      <c r="QY3482" s="106"/>
      <c r="QZ3482" s="106"/>
      <c r="RA3482" s="106"/>
      <c r="RB3482" s="106"/>
      <c r="RC3482" s="106"/>
      <c r="RD3482" s="106"/>
      <c r="RE3482" s="106"/>
      <c r="RF3482" s="106"/>
      <c r="RG3482" s="106"/>
      <c r="RH3482" s="106"/>
      <c r="RI3482" s="106"/>
      <c r="RJ3482" s="106"/>
      <c r="RK3482" s="106"/>
      <c r="RL3482" s="106"/>
    </row>
    <row r="3483" spans="88:480" x14ac:dyDescent="0.3">
      <c r="CJ3483" s="103"/>
      <c r="FP3483" s="103"/>
      <c r="LL3483" s="103"/>
      <c r="NM3483" s="103"/>
      <c r="QT3483" s="106"/>
      <c r="QU3483" s="106"/>
      <c r="QV3483" s="106"/>
      <c r="QW3483" s="106"/>
      <c r="QX3483" s="106"/>
      <c r="QY3483" s="106"/>
      <c r="QZ3483" s="106"/>
      <c r="RA3483" s="106"/>
      <c r="RB3483" s="106"/>
      <c r="RC3483" s="106"/>
      <c r="RD3483" s="106"/>
      <c r="RE3483" s="106"/>
      <c r="RF3483" s="106"/>
      <c r="RG3483" s="106"/>
      <c r="RH3483" s="106"/>
      <c r="RI3483" s="106"/>
      <c r="RJ3483" s="106"/>
      <c r="RK3483" s="106"/>
      <c r="RL3483" s="106"/>
    </row>
    <row r="3484" spans="88:480" x14ac:dyDescent="0.3">
      <c r="CJ3484" s="103"/>
      <c r="FP3484" s="103"/>
      <c r="LL3484" s="103"/>
      <c r="NM3484" s="103"/>
      <c r="QT3484" s="106"/>
      <c r="QU3484" s="106"/>
      <c r="QV3484" s="106"/>
      <c r="QW3484" s="106"/>
      <c r="QX3484" s="106"/>
      <c r="QY3484" s="106"/>
      <c r="QZ3484" s="106"/>
      <c r="RA3484" s="106"/>
      <c r="RB3484" s="106"/>
      <c r="RC3484" s="106"/>
      <c r="RD3484" s="106"/>
      <c r="RE3484" s="106"/>
      <c r="RF3484" s="106"/>
      <c r="RG3484" s="106"/>
      <c r="RH3484" s="106"/>
      <c r="RI3484" s="106"/>
      <c r="RJ3484" s="106"/>
      <c r="RK3484" s="106"/>
      <c r="RL3484" s="106"/>
    </row>
    <row r="3485" spans="88:480" x14ac:dyDescent="0.3">
      <c r="CJ3485" s="103"/>
      <c r="FP3485" s="103"/>
      <c r="LL3485" s="103"/>
      <c r="NM3485" s="103"/>
      <c r="QT3485" s="106"/>
      <c r="QU3485" s="106"/>
      <c r="QV3485" s="106"/>
      <c r="QW3485" s="106"/>
      <c r="QX3485" s="106"/>
      <c r="QY3485" s="106"/>
      <c r="QZ3485" s="106"/>
      <c r="RA3485" s="106"/>
      <c r="RB3485" s="106"/>
      <c r="RC3485" s="106"/>
      <c r="RD3485" s="106"/>
      <c r="RE3485" s="106"/>
      <c r="RF3485" s="106"/>
      <c r="RG3485" s="106"/>
      <c r="RH3485" s="106"/>
      <c r="RI3485" s="106"/>
      <c r="RJ3485" s="106"/>
      <c r="RK3485" s="106"/>
      <c r="RL3485" s="106"/>
    </row>
    <row r="3486" spans="88:480" x14ac:dyDescent="0.3">
      <c r="CJ3486" s="103"/>
      <c r="FP3486" s="103"/>
      <c r="LL3486" s="103"/>
      <c r="NM3486" s="103"/>
      <c r="QT3486" s="106"/>
      <c r="QU3486" s="106"/>
      <c r="QV3486" s="106"/>
      <c r="QW3486" s="106"/>
      <c r="QX3486" s="106"/>
      <c r="QY3486" s="106"/>
      <c r="QZ3486" s="106"/>
      <c r="RA3486" s="106"/>
      <c r="RB3486" s="106"/>
      <c r="RC3486" s="106"/>
      <c r="RD3486" s="106"/>
      <c r="RE3486" s="106"/>
      <c r="RF3486" s="106"/>
      <c r="RG3486" s="106"/>
      <c r="RH3486" s="106"/>
      <c r="RI3486" s="106"/>
      <c r="RJ3486" s="106"/>
      <c r="RK3486" s="106"/>
      <c r="RL3486" s="106"/>
    </row>
    <row r="3487" spans="88:480" x14ac:dyDescent="0.3">
      <c r="CJ3487" s="103"/>
      <c r="FP3487" s="103"/>
      <c r="LL3487" s="103"/>
      <c r="NM3487" s="103"/>
      <c r="QT3487" s="106"/>
      <c r="QU3487" s="106"/>
      <c r="QV3487" s="106"/>
      <c r="QW3487" s="106"/>
      <c r="QX3487" s="106"/>
      <c r="QY3487" s="106"/>
      <c r="QZ3487" s="106"/>
      <c r="RA3487" s="106"/>
      <c r="RB3487" s="106"/>
      <c r="RC3487" s="106"/>
      <c r="RD3487" s="106"/>
      <c r="RE3487" s="106"/>
      <c r="RF3487" s="106"/>
      <c r="RG3487" s="106"/>
      <c r="RH3487" s="106"/>
      <c r="RI3487" s="106"/>
      <c r="RJ3487" s="106"/>
      <c r="RK3487" s="106"/>
      <c r="RL3487" s="106"/>
    </row>
    <row r="3488" spans="88:480" x14ac:dyDescent="0.3">
      <c r="CJ3488" s="103"/>
      <c r="FP3488" s="103"/>
      <c r="LL3488" s="103"/>
      <c r="NM3488" s="103"/>
      <c r="QT3488" s="106"/>
      <c r="QU3488" s="106"/>
      <c r="QV3488" s="106"/>
      <c r="QW3488" s="106"/>
      <c r="QX3488" s="106"/>
      <c r="QY3488" s="106"/>
      <c r="QZ3488" s="106"/>
      <c r="RA3488" s="106"/>
      <c r="RB3488" s="106"/>
      <c r="RC3488" s="106"/>
      <c r="RD3488" s="106"/>
      <c r="RE3488" s="106"/>
      <c r="RF3488" s="106"/>
      <c r="RG3488" s="106"/>
      <c r="RH3488" s="106"/>
      <c r="RI3488" s="106"/>
      <c r="RJ3488" s="106"/>
      <c r="RK3488" s="106"/>
      <c r="RL3488" s="106"/>
    </row>
    <row r="3489" spans="88:480" x14ac:dyDescent="0.3">
      <c r="CJ3489" s="103"/>
      <c r="FP3489" s="103"/>
      <c r="LL3489" s="103"/>
      <c r="NM3489" s="103"/>
      <c r="QT3489" s="106"/>
      <c r="QU3489" s="106"/>
      <c r="QV3489" s="106"/>
      <c r="QW3489" s="106"/>
      <c r="QX3489" s="106"/>
      <c r="QY3489" s="106"/>
      <c r="QZ3489" s="106"/>
      <c r="RA3489" s="106"/>
      <c r="RB3489" s="106"/>
      <c r="RC3489" s="106"/>
      <c r="RD3489" s="106"/>
      <c r="RE3489" s="106"/>
      <c r="RF3489" s="106"/>
      <c r="RG3489" s="106"/>
      <c r="RH3489" s="106"/>
      <c r="RI3489" s="106"/>
      <c r="RJ3489" s="106"/>
      <c r="RK3489" s="106"/>
      <c r="RL3489" s="106"/>
    </row>
    <row r="3490" spans="88:480" x14ac:dyDescent="0.3">
      <c r="CJ3490" s="103"/>
      <c r="FP3490" s="103"/>
      <c r="LL3490" s="103"/>
      <c r="NM3490" s="103"/>
      <c r="QT3490" s="106"/>
      <c r="QU3490" s="106"/>
      <c r="QV3490" s="106"/>
      <c r="QW3490" s="106"/>
      <c r="QX3490" s="106"/>
      <c r="QY3490" s="106"/>
      <c r="QZ3490" s="106"/>
      <c r="RA3490" s="106"/>
      <c r="RB3490" s="106"/>
      <c r="RC3490" s="106"/>
      <c r="RD3490" s="106"/>
      <c r="RE3490" s="106"/>
      <c r="RF3490" s="106"/>
      <c r="RG3490" s="106"/>
      <c r="RH3490" s="106"/>
      <c r="RI3490" s="106"/>
      <c r="RJ3490" s="106"/>
      <c r="RK3490" s="106"/>
      <c r="RL3490" s="106"/>
    </row>
    <row r="3491" spans="88:480" x14ac:dyDescent="0.3">
      <c r="CJ3491" s="103"/>
      <c r="FP3491" s="103"/>
      <c r="LL3491" s="103"/>
      <c r="NM3491" s="103"/>
      <c r="QT3491" s="106"/>
      <c r="QU3491" s="106"/>
      <c r="QV3491" s="106"/>
      <c r="QW3491" s="106"/>
      <c r="QX3491" s="106"/>
      <c r="QY3491" s="106"/>
      <c r="QZ3491" s="106"/>
      <c r="RA3491" s="106"/>
      <c r="RB3491" s="106"/>
      <c r="RC3491" s="106"/>
      <c r="RD3491" s="106"/>
      <c r="RE3491" s="106"/>
      <c r="RF3491" s="106"/>
      <c r="RG3491" s="106"/>
      <c r="RH3491" s="106"/>
      <c r="RI3491" s="106"/>
      <c r="RJ3491" s="106"/>
      <c r="RK3491" s="106"/>
      <c r="RL3491" s="106"/>
    </row>
    <row r="3492" spans="88:480" x14ac:dyDescent="0.3">
      <c r="CJ3492" s="103"/>
      <c r="FP3492" s="103"/>
      <c r="LL3492" s="103"/>
      <c r="NM3492" s="103"/>
      <c r="QT3492" s="106"/>
      <c r="QU3492" s="106"/>
      <c r="QV3492" s="106"/>
      <c r="QW3492" s="106"/>
      <c r="QX3492" s="106"/>
      <c r="QY3492" s="106"/>
      <c r="QZ3492" s="106"/>
      <c r="RA3492" s="106"/>
      <c r="RB3492" s="106"/>
      <c r="RC3492" s="106"/>
      <c r="RD3492" s="106"/>
      <c r="RE3492" s="106"/>
      <c r="RF3492" s="106"/>
      <c r="RG3492" s="106"/>
      <c r="RH3492" s="106"/>
      <c r="RI3492" s="106"/>
      <c r="RJ3492" s="106"/>
      <c r="RK3492" s="106"/>
      <c r="RL3492" s="106"/>
    </row>
    <row r="3493" spans="88:480" x14ac:dyDescent="0.3">
      <c r="CJ3493" s="103"/>
      <c r="FP3493" s="103"/>
      <c r="LL3493" s="103"/>
      <c r="NM3493" s="103"/>
      <c r="QT3493" s="106"/>
      <c r="QU3493" s="106"/>
      <c r="QV3493" s="106"/>
      <c r="QW3493" s="106"/>
      <c r="QX3493" s="106"/>
      <c r="QY3493" s="106"/>
      <c r="QZ3493" s="106"/>
      <c r="RA3493" s="106"/>
      <c r="RB3493" s="106"/>
      <c r="RC3493" s="106"/>
      <c r="RD3493" s="106"/>
      <c r="RE3493" s="106"/>
      <c r="RF3493" s="106"/>
      <c r="RG3493" s="106"/>
      <c r="RH3493" s="106"/>
      <c r="RI3493" s="106"/>
      <c r="RJ3493" s="106"/>
      <c r="RK3493" s="106"/>
      <c r="RL3493" s="106"/>
    </row>
    <row r="3494" spans="88:480" x14ac:dyDescent="0.3">
      <c r="CJ3494" s="103"/>
      <c r="FP3494" s="103"/>
      <c r="LL3494" s="103"/>
      <c r="NM3494" s="103"/>
      <c r="QT3494" s="106"/>
      <c r="QU3494" s="106"/>
      <c r="QV3494" s="106"/>
      <c r="QW3494" s="106"/>
      <c r="QX3494" s="106"/>
      <c r="QY3494" s="106"/>
      <c r="QZ3494" s="106"/>
      <c r="RA3494" s="106"/>
      <c r="RB3494" s="106"/>
      <c r="RC3494" s="106"/>
      <c r="RD3494" s="106"/>
      <c r="RE3494" s="106"/>
      <c r="RF3494" s="106"/>
      <c r="RG3494" s="106"/>
      <c r="RH3494" s="106"/>
      <c r="RI3494" s="106"/>
      <c r="RJ3494" s="106"/>
      <c r="RK3494" s="106"/>
      <c r="RL3494" s="106"/>
    </row>
    <row r="3495" spans="88:480" x14ac:dyDescent="0.3">
      <c r="CJ3495" s="103"/>
      <c r="FP3495" s="103"/>
      <c r="LL3495" s="103"/>
      <c r="NM3495" s="103"/>
      <c r="QT3495" s="106"/>
      <c r="QU3495" s="106"/>
      <c r="QV3495" s="106"/>
      <c r="QW3495" s="106"/>
      <c r="QX3495" s="106"/>
      <c r="QY3495" s="106"/>
      <c r="QZ3495" s="106"/>
      <c r="RA3495" s="106"/>
      <c r="RB3495" s="106"/>
      <c r="RC3495" s="106"/>
      <c r="RD3495" s="106"/>
      <c r="RE3495" s="106"/>
      <c r="RF3495" s="106"/>
      <c r="RG3495" s="106"/>
      <c r="RH3495" s="106"/>
      <c r="RI3495" s="106"/>
      <c r="RJ3495" s="106"/>
      <c r="RK3495" s="106"/>
      <c r="RL3495" s="106"/>
    </row>
    <row r="3496" spans="88:480" x14ac:dyDescent="0.3">
      <c r="CJ3496" s="103"/>
      <c r="FP3496" s="103"/>
      <c r="LL3496" s="103"/>
      <c r="NM3496" s="103"/>
      <c r="QT3496" s="106"/>
      <c r="QU3496" s="106"/>
      <c r="QV3496" s="106"/>
      <c r="QW3496" s="106"/>
      <c r="QX3496" s="106"/>
      <c r="QY3496" s="106"/>
      <c r="QZ3496" s="106"/>
      <c r="RA3496" s="106"/>
      <c r="RB3496" s="106"/>
      <c r="RC3496" s="106"/>
      <c r="RD3496" s="106"/>
      <c r="RE3496" s="106"/>
      <c r="RF3496" s="106"/>
      <c r="RG3496" s="106"/>
      <c r="RH3496" s="106"/>
      <c r="RI3496" s="106"/>
      <c r="RJ3496" s="106"/>
      <c r="RK3496" s="106"/>
      <c r="RL3496" s="106"/>
    </row>
    <row r="3497" spans="88:480" x14ac:dyDescent="0.3">
      <c r="CJ3497" s="103"/>
      <c r="FP3497" s="103"/>
      <c r="LL3497" s="103"/>
      <c r="NM3497" s="103"/>
      <c r="QT3497" s="106"/>
      <c r="QU3497" s="106"/>
      <c r="QV3497" s="106"/>
      <c r="QW3497" s="106"/>
      <c r="QX3497" s="106"/>
      <c r="QY3497" s="106"/>
      <c r="QZ3497" s="106"/>
      <c r="RA3497" s="106"/>
      <c r="RB3497" s="106"/>
      <c r="RC3497" s="106"/>
      <c r="RD3497" s="106"/>
      <c r="RE3497" s="106"/>
      <c r="RF3497" s="106"/>
      <c r="RG3497" s="106"/>
      <c r="RH3497" s="106"/>
      <c r="RI3497" s="106"/>
      <c r="RJ3497" s="106"/>
      <c r="RK3497" s="106"/>
      <c r="RL3497" s="106"/>
    </row>
    <row r="3498" spans="88:480" x14ac:dyDescent="0.3">
      <c r="CJ3498" s="103"/>
      <c r="FP3498" s="103"/>
      <c r="LL3498" s="103"/>
      <c r="NM3498" s="103"/>
      <c r="QT3498" s="106"/>
      <c r="QU3498" s="106"/>
      <c r="QV3498" s="106"/>
      <c r="QW3498" s="106"/>
      <c r="QX3498" s="106"/>
      <c r="QY3498" s="106"/>
      <c r="QZ3498" s="106"/>
      <c r="RA3498" s="106"/>
      <c r="RB3498" s="106"/>
      <c r="RC3498" s="106"/>
      <c r="RD3498" s="106"/>
      <c r="RE3498" s="106"/>
      <c r="RF3498" s="106"/>
      <c r="RG3498" s="106"/>
      <c r="RH3498" s="106"/>
      <c r="RI3498" s="106"/>
      <c r="RJ3498" s="106"/>
      <c r="RK3498" s="106"/>
      <c r="RL3498" s="106"/>
    </row>
    <row r="3499" spans="88:480" x14ac:dyDescent="0.3">
      <c r="CJ3499" s="103"/>
      <c r="FP3499" s="103"/>
      <c r="LL3499" s="103"/>
      <c r="NM3499" s="103"/>
      <c r="QT3499" s="106"/>
      <c r="QU3499" s="106"/>
      <c r="QV3499" s="106"/>
      <c r="QW3499" s="106"/>
      <c r="QX3499" s="106"/>
      <c r="QY3499" s="106"/>
      <c r="QZ3499" s="106"/>
      <c r="RA3499" s="106"/>
      <c r="RB3499" s="106"/>
      <c r="RC3499" s="106"/>
      <c r="RD3499" s="106"/>
      <c r="RE3499" s="106"/>
      <c r="RF3499" s="106"/>
      <c r="RG3499" s="106"/>
      <c r="RH3499" s="106"/>
      <c r="RI3499" s="106"/>
      <c r="RJ3499" s="106"/>
      <c r="RK3499" s="106"/>
      <c r="RL3499" s="106"/>
    </row>
    <row r="3500" spans="88:480" x14ac:dyDescent="0.3">
      <c r="CJ3500" s="103"/>
      <c r="FP3500" s="103"/>
      <c r="LL3500" s="103"/>
      <c r="NM3500" s="103"/>
      <c r="QT3500" s="106"/>
      <c r="QU3500" s="106"/>
      <c r="QV3500" s="106"/>
      <c r="QW3500" s="106"/>
      <c r="QX3500" s="106"/>
      <c r="QY3500" s="106"/>
      <c r="QZ3500" s="106"/>
      <c r="RA3500" s="106"/>
      <c r="RB3500" s="106"/>
      <c r="RC3500" s="106"/>
      <c r="RD3500" s="106"/>
      <c r="RE3500" s="106"/>
      <c r="RF3500" s="106"/>
      <c r="RG3500" s="106"/>
      <c r="RH3500" s="106"/>
      <c r="RI3500" s="106"/>
      <c r="RJ3500" s="106"/>
      <c r="RK3500" s="106"/>
      <c r="RL3500" s="106"/>
    </row>
    <row r="3501" spans="88:480" x14ac:dyDescent="0.3">
      <c r="CJ3501" s="103"/>
      <c r="FP3501" s="103"/>
      <c r="LL3501" s="103"/>
      <c r="NM3501" s="103"/>
      <c r="QT3501" s="106"/>
      <c r="QU3501" s="106"/>
      <c r="QV3501" s="106"/>
      <c r="QW3501" s="106"/>
      <c r="QX3501" s="106"/>
      <c r="QY3501" s="106"/>
      <c r="QZ3501" s="106"/>
      <c r="RA3501" s="106"/>
      <c r="RB3501" s="106"/>
      <c r="RC3501" s="106"/>
      <c r="RD3501" s="106"/>
      <c r="RE3501" s="106"/>
      <c r="RF3501" s="106"/>
      <c r="RG3501" s="106"/>
      <c r="RH3501" s="106"/>
      <c r="RI3501" s="106"/>
      <c r="RJ3501" s="106"/>
      <c r="RK3501" s="106"/>
      <c r="RL3501" s="106"/>
    </row>
    <row r="3502" spans="88:480" x14ac:dyDescent="0.3">
      <c r="CJ3502" s="103"/>
      <c r="FP3502" s="103"/>
      <c r="LL3502" s="103"/>
      <c r="NM3502" s="103"/>
      <c r="QT3502" s="106"/>
      <c r="QU3502" s="106"/>
      <c r="QV3502" s="106"/>
      <c r="QW3502" s="106"/>
      <c r="QX3502" s="106"/>
      <c r="QY3502" s="106"/>
      <c r="QZ3502" s="106"/>
      <c r="RA3502" s="106"/>
      <c r="RB3502" s="106"/>
      <c r="RC3502" s="106"/>
      <c r="RD3502" s="106"/>
      <c r="RE3502" s="106"/>
      <c r="RF3502" s="106"/>
      <c r="RG3502" s="106"/>
      <c r="RH3502" s="106"/>
      <c r="RI3502" s="106"/>
      <c r="RJ3502" s="106"/>
      <c r="RK3502" s="106"/>
      <c r="RL3502" s="106"/>
    </row>
    <row r="3503" spans="88:480" x14ac:dyDescent="0.3">
      <c r="CJ3503" s="103"/>
      <c r="FP3503" s="103"/>
      <c r="LL3503" s="103"/>
      <c r="NM3503" s="103"/>
      <c r="QT3503" s="106"/>
      <c r="QU3503" s="106"/>
      <c r="QV3503" s="106"/>
      <c r="QW3503" s="106"/>
      <c r="QX3503" s="106"/>
      <c r="QY3503" s="106"/>
      <c r="QZ3503" s="106"/>
      <c r="RA3503" s="106"/>
      <c r="RB3503" s="106"/>
      <c r="RC3503" s="106"/>
      <c r="RD3503" s="106"/>
      <c r="RE3503" s="106"/>
      <c r="RF3503" s="106"/>
      <c r="RG3503" s="106"/>
      <c r="RH3503" s="106"/>
      <c r="RI3503" s="106"/>
      <c r="RJ3503" s="106"/>
      <c r="RK3503" s="106"/>
      <c r="RL3503" s="106"/>
    </row>
    <row r="3504" spans="88:480" x14ac:dyDescent="0.3">
      <c r="CJ3504" s="103"/>
      <c r="FP3504" s="103"/>
      <c r="LL3504" s="103"/>
      <c r="NM3504" s="103"/>
      <c r="QT3504" s="106"/>
      <c r="QU3504" s="106"/>
      <c r="QV3504" s="106"/>
      <c r="QW3504" s="106"/>
      <c r="QX3504" s="106"/>
      <c r="QY3504" s="106"/>
      <c r="QZ3504" s="106"/>
      <c r="RA3504" s="106"/>
      <c r="RB3504" s="106"/>
      <c r="RC3504" s="106"/>
      <c r="RD3504" s="106"/>
      <c r="RE3504" s="106"/>
      <c r="RF3504" s="106"/>
      <c r="RG3504" s="106"/>
      <c r="RH3504" s="106"/>
      <c r="RI3504" s="106"/>
      <c r="RJ3504" s="106"/>
      <c r="RK3504" s="106"/>
      <c r="RL3504" s="106"/>
    </row>
    <row r="3505" spans="88:480" x14ac:dyDescent="0.3">
      <c r="CJ3505" s="103"/>
      <c r="FP3505" s="103"/>
      <c r="LL3505" s="103"/>
      <c r="NM3505" s="103"/>
      <c r="QT3505" s="106"/>
      <c r="QU3505" s="106"/>
      <c r="QV3505" s="106"/>
      <c r="QW3505" s="106"/>
      <c r="QX3505" s="106"/>
      <c r="QY3505" s="106"/>
      <c r="QZ3505" s="106"/>
      <c r="RA3505" s="106"/>
      <c r="RB3505" s="106"/>
      <c r="RC3505" s="106"/>
      <c r="RD3505" s="106"/>
      <c r="RE3505" s="106"/>
      <c r="RF3505" s="106"/>
      <c r="RG3505" s="106"/>
      <c r="RH3505" s="106"/>
      <c r="RI3505" s="106"/>
      <c r="RJ3505" s="106"/>
      <c r="RK3505" s="106"/>
      <c r="RL3505" s="106"/>
    </row>
    <row r="3506" spans="88:480" x14ac:dyDescent="0.3">
      <c r="CJ3506" s="103"/>
      <c r="FP3506" s="103"/>
      <c r="LL3506" s="103"/>
      <c r="NM3506" s="103"/>
      <c r="QT3506" s="106"/>
      <c r="QU3506" s="106"/>
      <c r="QV3506" s="106"/>
      <c r="QW3506" s="106"/>
      <c r="QX3506" s="106"/>
      <c r="QY3506" s="106"/>
      <c r="QZ3506" s="106"/>
      <c r="RA3506" s="106"/>
      <c r="RB3506" s="106"/>
      <c r="RC3506" s="106"/>
      <c r="RD3506" s="106"/>
      <c r="RE3506" s="106"/>
      <c r="RF3506" s="106"/>
      <c r="RG3506" s="106"/>
      <c r="RH3506" s="106"/>
      <c r="RI3506" s="106"/>
      <c r="RJ3506" s="106"/>
      <c r="RK3506" s="106"/>
      <c r="RL3506" s="106"/>
    </row>
    <row r="3507" spans="88:480" x14ac:dyDescent="0.3">
      <c r="CJ3507" s="103"/>
      <c r="FP3507" s="103"/>
      <c r="LL3507" s="103"/>
      <c r="NM3507" s="103"/>
      <c r="QT3507" s="106"/>
      <c r="QU3507" s="106"/>
      <c r="QV3507" s="106"/>
      <c r="QW3507" s="106"/>
      <c r="QX3507" s="106"/>
      <c r="QY3507" s="106"/>
      <c r="QZ3507" s="106"/>
      <c r="RA3507" s="106"/>
      <c r="RB3507" s="106"/>
      <c r="RC3507" s="106"/>
      <c r="RD3507" s="106"/>
      <c r="RE3507" s="106"/>
      <c r="RF3507" s="106"/>
      <c r="RG3507" s="106"/>
      <c r="RH3507" s="106"/>
      <c r="RI3507" s="106"/>
      <c r="RJ3507" s="106"/>
      <c r="RK3507" s="106"/>
      <c r="RL3507" s="106"/>
    </row>
    <row r="3508" spans="88:480" x14ac:dyDescent="0.3">
      <c r="CJ3508" s="103"/>
      <c r="FP3508" s="103"/>
      <c r="LL3508" s="103"/>
      <c r="NM3508" s="103"/>
      <c r="QT3508" s="106"/>
      <c r="QU3508" s="106"/>
      <c r="QV3508" s="106"/>
      <c r="QW3508" s="106"/>
      <c r="QX3508" s="106"/>
      <c r="QY3508" s="106"/>
      <c r="QZ3508" s="106"/>
      <c r="RA3508" s="106"/>
      <c r="RB3508" s="106"/>
      <c r="RC3508" s="106"/>
      <c r="RD3508" s="106"/>
      <c r="RE3508" s="106"/>
      <c r="RF3508" s="106"/>
      <c r="RG3508" s="106"/>
      <c r="RH3508" s="106"/>
      <c r="RI3508" s="106"/>
      <c r="RJ3508" s="106"/>
      <c r="RK3508" s="106"/>
      <c r="RL3508" s="106"/>
    </row>
    <row r="3509" spans="88:480" x14ac:dyDescent="0.3">
      <c r="CJ3509" s="103"/>
      <c r="FP3509" s="103"/>
      <c r="LL3509" s="103"/>
      <c r="NM3509" s="103"/>
      <c r="QT3509" s="106"/>
      <c r="QU3509" s="106"/>
      <c r="QV3509" s="106"/>
      <c r="QW3509" s="106"/>
      <c r="QX3509" s="106"/>
      <c r="QY3509" s="106"/>
      <c r="QZ3509" s="106"/>
      <c r="RA3509" s="106"/>
      <c r="RB3509" s="106"/>
      <c r="RC3509" s="106"/>
      <c r="RD3509" s="106"/>
      <c r="RE3509" s="106"/>
      <c r="RF3509" s="106"/>
      <c r="RG3509" s="106"/>
      <c r="RH3509" s="106"/>
      <c r="RI3509" s="106"/>
      <c r="RJ3509" s="106"/>
      <c r="RK3509" s="106"/>
      <c r="RL3509" s="106"/>
    </row>
    <row r="3510" spans="88:480" x14ac:dyDescent="0.3">
      <c r="CJ3510" s="103"/>
      <c r="FP3510" s="103"/>
      <c r="LL3510" s="103"/>
      <c r="NM3510" s="103"/>
      <c r="QT3510" s="106"/>
      <c r="QU3510" s="106"/>
      <c r="QV3510" s="106"/>
      <c r="QW3510" s="106"/>
      <c r="QX3510" s="106"/>
      <c r="QY3510" s="106"/>
      <c r="QZ3510" s="106"/>
      <c r="RA3510" s="106"/>
      <c r="RB3510" s="106"/>
      <c r="RC3510" s="106"/>
      <c r="RD3510" s="106"/>
      <c r="RE3510" s="106"/>
      <c r="RF3510" s="106"/>
      <c r="RG3510" s="106"/>
      <c r="RH3510" s="106"/>
      <c r="RI3510" s="106"/>
      <c r="RJ3510" s="106"/>
      <c r="RK3510" s="106"/>
      <c r="RL3510" s="106"/>
    </row>
    <row r="3511" spans="88:480" x14ac:dyDescent="0.3">
      <c r="CJ3511" s="103"/>
      <c r="FP3511" s="103"/>
      <c r="LL3511" s="103"/>
      <c r="NM3511" s="103"/>
      <c r="QT3511" s="106"/>
      <c r="QU3511" s="106"/>
      <c r="QV3511" s="106"/>
      <c r="QW3511" s="106"/>
      <c r="QX3511" s="106"/>
      <c r="QY3511" s="106"/>
      <c r="QZ3511" s="106"/>
      <c r="RA3511" s="106"/>
      <c r="RB3511" s="106"/>
      <c r="RC3511" s="106"/>
      <c r="RD3511" s="106"/>
      <c r="RE3511" s="106"/>
      <c r="RF3511" s="106"/>
      <c r="RG3511" s="106"/>
      <c r="RH3511" s="106"/>
      <c r="RI3511" s="106"/>
      <c r="RJ3511" s="106"/>
      <c r="RK3511" s="106"/>
      <c r="RL3511" s="106"/>
    </row>
    <row r="3512" spans="88:480" x14ac:dyDescent="0.3">
      <c r="CJ3512" s="103"/>
      <c r="FP3512" s="103"/>
      <c r="LL3512" s="103"/>
      <c r="NM3512" s="103"/>
      <c r="QT3512" s="106"/>
      <c r="QU3512" s="106"/>
      <c r="QV3512" s="106"/>
      <c r="QW3512" s="106"/>
      <c r="QX3512" s="106"/>
      <c r="QY3512" s="106"/>
      <c r="QZ3512" s="106"/>
      <c r="RA3512" s="106"/>
      <c r="RB3512" s="106"/>
      <c r="RC3512" s="106"/>
      <c r="RD3512" s="106"/>
      <c r="RE3512" s="106"/>
      <c r="RF3512" s="106"/>
      <c r="RG3512" s="106"/>
      <c r="RH3512" s="106"/>
      <c r="RI3512" s="106"/>
      <c r="RJ3512" s="106"/>
      <c r="RK3512" s="106"/>
      <c r="RL3512" s="106"/>
    </row>
    <row r="3513" spans="88:480" x14ac:dyDescent="0.3">
      <c r="CJ3513" s="103"/>
      <c r="FP3513" s="103"/>
      <c r="LL3513" s="103"/>
      <c r="NM3513" s="103"/>
      <c r="QT3513" s="106"/>
      <c r="QU3513" s="106"/>
      <c r="QV3513" s="106"/>
      <c r="QW3513" s="106"/>
      <c r="QX3513" s="106"/>
      <c r="QY3513" s="106"/>
      <c r="QZ3513" s="106"/>
      <c r="RA3513" s="106"/>
      <c r="RB3513" s="106"/>
      <c r="RC3513" s="106"/>
      <c r="RD3513" s="106"/>
      <c r="RE3513" s="106"/>
      <c r="RF3513" s="106"/>
      <c r="RG3513" s="106"/>
      <c r="RH3513" s="106"/>
      <c r="RI3513" s="106"/>
      <c r="RJ3513" s="106"/>
      <c r="RK3513" s="106"/>
      <c r="RL3513" s="106"/>
    </row>
    <row r="3514" spans="88:480" x14ac:dyDescent="0.3">
      <c r="CJ3514" s="103"/>
      <c r="FP3514" s="103"/>
      <c r="LL3514" s="103"/>
      <c r="NM3514" s="103"/>
      <c r="QT3514" s="106"/>
      <c r="QU3514" s="106"/>
      <c r="QV3514" s="106"/>
      <c r="QW3514" s="106"/>
      <c r="QX3514" s="106"/>
      <c r="QY3514" s="106"/>
      <c r="QZ3514" s="106"/>
      <c r="RA3514" s="106"/>
      <c r="RB3514" s="106"/>
      <c r="RC3514" s="106"/>
      <c r="RD3514" s="106"/>
      <c r="RE3514" s="106"/>
      <c r="RF3514" s="106"/>
      <c r="RG3514" s="106"/>
      <c r="RH3514" s="106"/>
      <c r="RI3514" s="106"/>
      <c r="RJ3514" s="106"/>
      <c r="RK3514" s="106"/>
      <c r="RL3514" s="106"/>
    </row>
    <row r="3515" spans="88:480" x14ac:dyDescent="0.3">
      <c r="CJ3515" s="103"/>
      <c r="FP3515" s="103"/>
      <c r="LL3515" s="103"/>
      <c r="NM3515" s="103"/>
      <c r="QT3515" s="106"/>
      <c r="QU3515" s="106"/>
      <c r="QV3515" s="106"/>
      <c r="QW3515" s="106"/>
      <c r="QX3515" s="106"/>
      <c r="QY3515" s="106"/>
      <c r="QZ3515" s="106"/>
      <c r="RA3515" s="106"/>
      <c r="RB3515" s="106"/>
      <c r="RC3515" s="106"/>
      <c r="RD3515" s="106"/>
      <c r="RE3515" s="106"/>
      <c r="RF3515" s="106"/>
      <c r="RG3515" s="106"/>
      <c r="RH3515" s="106"/>
      <c r="RI3515" s="106"/>
      <c r="RJ3515" s="106"/>
      <c r="RK3515" s="106"/>
      <c r="RL3515" s="106"/>
    </row>
    <row r="3516" spans="88:480" x14ac:dyDescent="0.3">
      <c r="CJ3516" s="103"/>
      <c r="FP3516" s="103"/>
      <c r="LL3516" s="103"/>
      <c r="NM3516" s="103"/>
      <c r="QT3516" s="106"/>
      <c r="QU3516" s="106"/>
      <c r="QV3516" s="106"/>
      <c r="QW3516" s="106"/>
      <c r="QX3516" s="106"/>
      <c r="QY3516" s="106"/>
      <c r="QZ3516" s="106"/>
      <c r="RA3516" s="106"/>
      <c r="RB3516" s="106"/>
      <c r="RC3516" s="106"/>
      <c r="RD3516" s="106"/>
      <c r="RE3516" s="106"/>
      <c r="RF3516" s="106"/>
      <c r="RG3516" s="106"/>
      <c r="RH3516" s="106"/>
      <c r="RI3516" s="106"/>
      <c r="RJ3516" s="106"/>
      <c r="RK3516" s="106"/>
      <c r="RL3516" s="106"/>
    </row>
    <row r="3517" spans="88:480" x14ac:dyDescent="0.3">
      <c r="CJ3517" s="103"/>
      <c r="FP3517" s="103"/>
      <c r="LL3517" s="103"/>
      <c r="NM3517" s="103"/>
      <c r="QT3517" s="106"/>
      <c r="QU3517" s="106"/>
      <c r="QV3517" s="106"/>
      <c r="QW3517" s="106"/>
      <c r="QX3517" s="106"/>
      <c r="QY3517" s="106"/>
      <c r="QZ3517" s="106"/>
      <c r="RA3517" s="106"/>
      <c r="RB3517" s="106"/>
      <c r="RC3517" s="106"/>
      <c r="RD3517" s="106"/>
      <c r="RE3517" s="106"/>
      <c r="RF3517" s="106"/>
      <c r="RG3517" s="106"/>
      <c r="RH3517" s="106"/>
      <c r="RI3517" s="106"/>
      <c r="RJ3517" s="106"/>
      <c r="RK3517" s="106"/>
      <c r="RL3517" s="106"/>
    </row>
    <row r="3518" spans="88:480" x14ac:dyDescent="0.3">
      <c r="CJ3518" s="103"/>
      <c r="FP3518" s="103"/>
      <c r="LL3518" s="103"/>
      <c r="NM3518" s="103"/>
      <c r="QT3518" s="106"/>
      <c r="QU3518" s="106"/>
      <c r="QV3518" s="106"/>
      <c r="QW3518" s="106"/>
      <c r="QX3518" s="106"/>
      <c r="QY3518" s="106"/>
      <c r="QZ3518" s="106"/>
      <c r="RA3518" s="106"/>
      <c r="RB3518" s="106"/>
      <c r="RC3518" s="106"/>
      <c r="RD3518" s="106"/>
      <c r="RE3518" s="106"/>
      <c r="RF3518" s="106"/>
      <c r="RG3518" s="106"/>
      <c r="RH3518" s="106"/>
      <c r="RI3518" s="106"/>
      <c r="RJ3518" s="106"/>
      <c r="RK3518" s="106"/>
      <c r="RL3518" s="106"/>
    </row>
    <row r="3519" spans="88:480" x14ac:dyDescent="0.3">
      <c r="CJ3519" s="103"/>
      <c r="FP3519" s="103"/>
      <c r="LL3519" s="103"/>
      <c r="NM3519" s="103"/>
      <c r="QT3519" s="106"/>
      <c r="QU3519" s="106"/>
      <c r="QV3519" s="106"/>
      <c r="QW3519" s="106"/>
      <c r="QX3519" s="106"/>
      <c r="QY3519" s="106"/>
      <c r="QZ3519" s="106"/>
      <c r="RA3519" s="106"/>
      <c r="RB3519" s="106"/>
      <c r="RC3519" s="106"/>
      <c r="RD3519" s="106"/>
      <c r="RE3519" s="106"/>
      <c r="RF3519" s="106"/>
      <c r="RG3519" s="106"/>
      <c r="RH3519" s="106"/>
      <c r="RI3519" s="106"/>
      <c r="RJ3519" s="106"/>
      <c r="RK3519" s="106"/>
      <c r="RL3519" s="106"/>
    </row>
    <row r="3520" spans="88:480" x14ac:dyDescent="0.3">
      <c r="CJ3520" s="103"/>
      <c r="FP3520" s="103"/>
      <c r="LL3520" s="103"/>
      <c r="NM3520" s="103"/>
      <c r="QT3520" s="106"/>
      <c r="QU3520" s="106"/>
      <c r="QV3520" s="106"/>
      <c r="QW3520" s="106"/>
      <c r="QX3520" s="106"/>
      <c r="QY3520" s="106"/>
      <c r="QZ3520" s="106"/>
      <c r="RA3520" s="106"/>
      <c r="RB3520" s="106"/>
      <c r="RC3520" s="106"/>
      <c r="RD3520" s="106"/>
      <c r="RE3520" s="106"/>
      <c r="RF3520" s="106"/>
      <c r="RG3520" s="106"/>
      <c r="RH3520" s="106"/>
      <c r="RI3520" s="106"/>
      <c r="RJ3520" s="106"/>
      <c r="RK3520" s="106"/>
      <c r="RL3520" s="106"/>
    </row>
    <row r="3521" spans="88:480" x14ac:dyDescent="0.3">
      <c r="CJ3521" s="103"/>
      <c r="FP3521" s="103"/>
      <c r="LL3521" s="103"/>
      <c r="NM3521" s="103"/>
      <c r="QT3521" s="106"/>
      <c r="QU3521" s="106"/>
      <c r="QV3521" s="106"/>
      <c r="QW3521" s="106"/>
      <c r="QX3521" s="106"/>
      <c r="QY3521" s="106"/>
      <c r="QZ3521" s="106"/>
      <c r="RA3521" s="106"/>
      <c r="RB3521" s="106"/>
      <c r="RC3521" s="106"/>
      <c r="RD3521" s="106"/>
      <c r="RE3521" s="106"/>
      <c r="RF3521" s="106"/>
      <c r="RG3521" s="106"/>
      <c r="RH3521" s="106"/>
      <c r="RI3521" s="106"/>
      <c r="RJ3521" s="106"/>
      <c r="RK3521" s="106"/>
      <c r="RL3521" s="106"/>
    </row>
    <row r="3522" spans="88:480" x14ac:dyDescent="0.3">
      <c r="CJ3522" s="103"/>
      <c r="FP3522" s="103"/>
      <c r="LL3522" s="103"/>
      <c r="NM3522" s="103"/>
      <c r="QT3522" s="106"/>
      <c r="QU3522" s="106"/>
      <c r="QV3522" s="106"/>
      <c r="QW3522" s="106"/>
      <c r="QX3522" s="106"/>
      <c r="QY3522" s="106"/>
      <c r="QZ3522" s="106"/>
      <c r="RA3522" s="106"/>
      <c r="RB3522" s="106"/>
      <c r="RC3522" s="106"/>
      <c r="RD3522" s="106"/>
      <c r="RE3522" s="106"/>
      <c r="RF3522" s="106"/>
      <c r="RG3522" s="106"/>
      <c r="RH3522" s="106"/>
      <c r="RI3522" s="106"/>
      <c r="RJ3522" s="106"/>
      <c r="RK3522" s="106"/>
      <c r="RL3522" s="106"/>
    </row>
    <row r="3523" spans="88:480" x14ac:dyDescent="0.3">
      <c r="CJ3523" s="103"/>
      <c r="FP3523" s="103"/>
      <c r="LL3523" s="103"/>
      <c r="NM3523" s="103"/>
      <c r="QT3523" s="106"/>
      <c r="QU3523" s="106"/>
      <c r="QV3523" s="106"/>
      <c r="QW3523" s="106"/>
      <c r="QX3523" s="106"/>
      <c r="QY3523" s="106"/>
      <c r="QZ3523" s="106"/>
      <c r="RA3523" s="106"/>
      <c r="RB3523" s="106"/>
      <c r="RC3523" s="106"/>
      <c r="RD3523" s="106"/>
      <c r="RE3523" s="106"/>
      <c r="RF3523" s="106"/>
      <c r="RG3523" s="106"/>
      <c r="RH3523" s="106"/>
      <c r="RI3523" s="106"/>
      <c r="RJ3523" s="106"/>
      <c r="RK3523" s="106"/>
      <c r="RL3523" s="106"/>
    </row>
    <row r="3524" spans="88:480" x14ac:dyDescent="0.3">
      <c r="CJ3524" s="103"/>
      <c r="FP3524" s="103"/>
      <c r="LL3524" s="103"/>
      <c r="NM3524" s="103"/>
      <c r="QT3524" s="106"/>
      <c r="QU3524" s="106"/>
      <c r="QV3524" s="106"/>
      <c r="QW3524" s="106"/>
      <c r="QX3524" s="106"/>
      <c r="QY3524" s="106"/>
      <c r="QZ3524" s="106"/>
      <c r="RA3524" s="106"/>
      <c r="RB3524" s="106"/>
      <c r="RC3524" s="106"/>
      <c r="RD3524" s="106"/>
      <c r="RE3524" s="106"/>
      <c r="RF3524" s="106"/>
      <c r="RG3524" s="106"/>
      <c r="RH3524" s="106"/>
      <c r="RI3524" s="106"/>
      <c r="RJ3524" s="106"/>
      <c r="RK3524" s="106"/>
      <c r="RL3524" s="106"/>
    </row>
    <row r="3525" spans="88:480" x14ac:dyDescent="0.3">
      <c r="CJ3525" s="103"/>
      <c r="FP3525" s="103"/>
      <c r="LL3525" s="103"/>
      <c r="NM3525" s="103"/>
      <c r="QT3525" s="106"/>
      <c r="QU3525" s="106"/>
      <c r="QV3525" s="106"/>
      <c r="QW3525" s="106"/>
      <c r="QX3525" s="106"/>
      <c r="QY3525" s="106"/>
      <c r="QZ3525" s="106"/>
      <c r="RA3525" s="106"/>
      <c r="RB3525" s="106"/>
      <c r="RC3525" s="106"/>
      <c r="RD3525" s="106"/>
      <c r="RE3525" s="106"/>
      <c r="RF3525" s="106"/>
      <c r="RG3525" s="106"/>
      <c r="RH3525" s="106"/>
      <c r="RI3525" s="106"/>
      <c r="RJ3525" s="106"/>
      <c r="RK3525" s="106"/>
      <c r="RL3525" s="106"/>
    </row>
    <row r="3526" spans="88:480" x14ac:dyDescent="0.3">
      <c r="CJ3526" s="103"/>
      <c r="FP3526" s="103"/>
      <c r="LL3526" s="103"/>
      <c r="NM3526" s="103"/>
      <c r="QT3526" s="106"/>
      <c r="QU3526" s="106"/>
      <c r="QV3526" s="106"/>
      <c r="QW3526" s="106"/>
      <c r="QX3526" s="106"/>
      <c r="QY3526" s="106"/>
      <c r="QZ3526" s="106"/>
      <c r="RA3526" s="106"/>
      <c r="RB3526" s="106"/>
      <c r="RC3526" s="106"/>
      <c r="RD3526" s="106"/>
      <c r="RE3526" s="106"/>
      <c r="RF3526" s="106"/>
      <c r="RG3526" s="106"/>
      <c r="RH3526" s="106"/>
      <c r="RI3526" s="106"/>
      <c r="RJ3526" s="106"/>
      <c r="RK3526" s="106"/>
      <c r="RL3526" s="106"/>
    </row>
    <row r="3527" spans="88:480" x14ac:dyDescent="0.3">
      <c r="CJ3527" s="103"/>
      <c r="FP3527" s="103"/>
      <c r="LL3527" s="103"/>
      <c r="NM3527" s="103"/>
      <c r="QT3527" s="106"/>
      <c r="QU3527" s="106"/>
      <c r="QV3527" s="106"/>
      <c r="QW3527" s="106"/>
      <c r="QX3527" s="106"/>
      <c r="QY3527" s="106"/>
      <c r="QZ3527" s="106"/>
      <c r="RA3527" s="106"/>
      <c r="RB3527" s="106"/>
      <c r="RC3527" s="106"/>
      <c r="RD3527" s="106"/>
      <c r="RE3527" s="106"/>
      <c r="RF3527" s="106"/>
      <c r="RG3527" s="106"/>
      <c r="RH3527" s="106"/>
      <c r="RI3527" s="106"/>
      <c r="RJ3527" s="106"/>
      <c r="RK3527" s="106"/>
      <c r="RL3527" s="106"/>
    </row>
    <row r="3528" spans="88:480" x14ac:dyDescent="0.3">
      <c r="CJ3528" s="103"/>
      <c r="FP3528" s="103"/>
      <c r="LL3528" s="103"/>
      <c r="NM3528" s="103"/>
      <c r="QT3528" s="106"/>
      <c r="QU3528" s="106"/>
      <c r="QV3528" s="106"/>
      <c r="QW3528" s="106"/>
      <c r="QX3528" s="106"/>
      <c r="QY3528" s="106"/>
      <c r="QZ3528" s="106"/>
      <c r="RA3528" s="106"/>
      <c r="RB3528" s="106"/>
      <c r="RC3528" s="106"/>
      <c r="RD3528" s="106"/>
      <c r="RE3528" s="106"/>
      <c r="RF3528" s="106"/>
      <c r="RG3528" s="106"/>
      <c r="RH3528" s="106"/>
      <c r="RI3528" s="106"/>
      <c r="RJ3528" s="106"/>
      <c r="RK3528" s="106"/>
      <c r="RL3528" s="106"/>
    </row>
    <row r="3529" spans="88:480" x14ac:dyDescent="0.3">
      <c r="CJ3529" s="103"/>
      <c r="FP3529" s="103"/>
      <c r="LL3529" s="103"/>
      <c r="NM3529" s="103"/>
      <c r="QT3529" s="106"/>
      <c r="QU3529" s="106"/>
      <c r="QV3529" s="106"/>
      <c r="QW3529" s="106"/>
      <c r="QX3529" s="106"/>
      <c r="QY3529" s="106"/>
      <c r="QZ3529" s="106"/>
      <c r="RA3529" s="106"/>
      <c r="RB3529" s="106"/>
      <c r="RC3529" s="106"/>
      <c r="RD3529" s="106"/>
      <c r="RE3529" s="106"/>
      <c r="RF3529" s="106"/>
      <c r="RG3529" s="106"/>
      <c r="RH3529" s="106"/>
      <c r="RI3529" s="106"/>
      <c r="RJ3529" s="106"/>
      <c r="RK3529" s="106"/>
      <c r="RL3529" s="106"/>
    </row>
    <row r="3530" spans="88:480" x14ac:dyDescent="0.3">
      <c r="CJ3530" s="103"/>
      <c r="FP3530" s="103"/>
      <c r="LL3530" s="103"/>
      <c r="NM3530" s="103"/>
      <c r="QT3530" s="106"/>
      <c r="QU3530" s="106"/>
      <c r="QV3530" s="106"/>
      <c r="QW3530" s="106"/>
      <c r="QX3530" s="106"/>
      <c r="QY3530" s="106"/>
      <c r="QZ3530" s="106"/>
      <c r="RA3530" s="106"/>
      <c r="RB3530" s="106"/>
      <c r="RC3530" s="106"/>
      <c r="RD3530" s="106"/>
      <c r="RE3530" s="106"/>
      <c r="RF3530" s="106"/>
      <c r="RG3530" s="106"/>
      <c r="RH3530" s="106"/>
      <c r="RI3530" s="106"/>
      <c r="RJ3530" s="106"/>
      <c r="RK3530" s="106"/>
      <c r="RL3530" s="106"/>
    </row>
    <row r="3531" spans="88:480" x14ac:dyDescent="0.3">
      <c r="CJ3531" s="103"/>
      <c r="FP3531" s="103"/>
      <c r="LL3531" s="103"/>
      <c r="NM3531" s="103"/>
      <c r="QT3531" s="106"/>
      <c r="QU3531" s="106"/>
      <c r="QV3531" s="106"/>
      <c r="QW3531" s="106"/>
      <c r="QX3531" s="106"/>
      <c r="QY3531" s="106"/>
      <c r="QZ3531" s="106"/>
      <c r="RA3531" s="106"/>
      <c r="RB3531" s="106"/>
      <c r="RC3531" s="106"/>
      <c r="RD3531" s="106"/>
      <c r="RE3531" s="106"/>
      <c r="RF3531" s="106"/>
      <c r="RG3531" s="106"/>
      <c r="RH3531" s="106"/>
      <c r="RI3531" s="106"/>
      <c r="RJ3531" s="106"/>
      <c r="RK3531" s="106"/>
      <c r="RL3531" s="106"/>
    </row>
    <row r="3532" spans="88:480" x14ac:dyDescent="0.3">
      <c r="CJ3532" s="103"/>
      <c r="FP3532" s="103"/>
      <c r="LL3532" s="103"/>
      <c r="NM3532" s="103"/>
      <c r="QT3532" s="106"/>
      <c r="QU3532" s="106"/>
      <c r="QV3532" s="106"/>
      <c r="QW3532" s="106"/>
      <c r="QX3532" s="106"/>
      <c r="QY3532" s="106"/>
      <c r="QZ3532" s="106"/>
      <c r="RA3532" s="106"/>
      <c r="RB3532" s="106"/>
      <c r="RC3532" s="106"/>
      <c r="RD3532" s="106"/>
      <c r="RE3532" s="106"/>
      <c r="RF3532" s="106"/>
      <c r="RG3532" s="106"/>
      <c r="RH3532" s="106"/>
      <c r="RI3532" s="106"/>
      <c r="RJ3532" s="106"/>
      <c r="RK3532" s="106"/>
      <c r="RL3532" s="106"/>
    </row>
    <row r="3533" spans="88:480" x14ac:dyDescent="0.3">
      <c r="CJ3533" s="103"/>
      <c r="FP3533" s="103"/>
      <c r="LL3533" s="103"/>
      <c r="NM3533" s="103"/>
      <c r="QT3533" s="106"/>
      <c r="QU3533" s="106"/>
      <c r="QV3533" s="106"/>
      <c r="QW3533" s="106"/>
      <c r="QX3533" s="106"/>
      <c r="QY3533" s="106"/>
      <c r="QZ3533" s="106"/>
      <c r="RA3533" s="106"/>
      <c r="RB3533" s="106"/>
      <c r="RC3533" s="106"/>
      <c r="RD3533" s="106"/>
      <c r="RE3533" s="106"/>
      <c r="RF3533" s="106"/>
      <c r="RG3533" s="106"/>
      <c r="RH3533" s="106"/>
      <c r="RI3533" s="106"/>
      <c r="RJ3533" s="106"/>
      <c r="RK3533" s="106"/>
      <c r="RL3533" s="106"/>
    </row>
    <row r="3534" spans="88:480" x14ac:dyDescent="0.3">
      <c r="CJ3534" s="103"/>
      <c r="FP3534" s="103"/>
      <c r="LL3534" s="103"/>
      <c r="NM3534" s="103"/>
      <c r="QT3534" s="106"/>
      <c r="QU3534" s="106"/>
      <c r="QV3534" s="106"/>
      <c r="QW3534" s="106"/>
      <c r="QX3534" s="106"/>
      <c r="QY3534" s="106"/>
      <c r="QZ3534" s="106"/>
      <c r="RA3534" s="106"/>
      <c r="RB3534" s="106"/>
      <c r="RC3534" s="106"/>
      <c r="RD3534" s="106"/>
      <c r="RE3534" s="106"/>
      <c r="RF3534" s="106"/>
      <c r="RG3534" s="106"/>
      <c r="RH3534" s="106"/>
      <c r="RI3534" s="106"/>
      <c r="RJ3534" s="106"/>
      <c r="RK3534" s="106"/>
      <c r="RL3534" s="106"/>
    </row>
    <row r="3535" spans="88:480" x14ac:dyDescent="0.3">
      <c r="CJ3535" s="103"/>
      <c r="FP3535" s="103"/>
      <c r="LL3535" s="103"/>
      <c r="NM3535" s="103"/>
      <c r="QT3535" s="106"/>
      <c r="QU3535" s="106"/>
      <c r="QV3535" s="106"/>
      <c r="QW3535" s="106"/>
      <c r="QX3535" s="106"/>
      <c r="QY3535" s="106"/>
      <c r="QZ3535" s="106"/>
      <c r="RA3535" s="106"/>
      <c r="RB3535" s="106"/>
      <c r="RC3535" s="106"/>
      <c r="RD3535" s="106"/>
      <c r="RE3535" s="106"/>
      <c r="RF3535" s="106"/>
      <c r="RG3535" s="106"/>
      <c r="RH3535" s="106"/>
      <c r="RI3535" s="106"/>
      <c r="RJ3535" s="106"/>
      <c r="RK3535" s="106"/>
      <c r="RL3535" s="106"/>
    </row>
    <row r="3536" spans="88:480" x14ac:dyDescent="0.3">
      <c r="CJ3536" s="103"/>
      <c r="FP3536" s="103"/>
      <c r="LL3536" s="103"/>
      <c r="NM3536" s="103"/>
      <c r="QT3536" s="106"/>
      <c r="QU3536" s="106"/>
      <c r="QV3536" s="106"/>
      <c r="QW3536" s="106"/>
      <c r="QX3536" s="106"/>
      <c r="QY3536" s="106"/>
      <c r="QZ3536" s="106"/>
      <c r="RA3536" s="106"/>
      <c r="RB3536" s="106"/>
      <c r="RC3536" s="106"/>
      <c r="RD3536" s="106"/>
      <c r="RE3536" s="106"/>
      <c r="RF3536" s="106"/>
      <c r="RG3536" s="106"/>
      <c r="RH3536" s="106"/>
      <c r="RI3536" s="106"/>
      <c r="RJ3536" s="106"/>
      <c r="RK3536" s="106"/>
      <c r="RL3536" s="106"/>
    </row>
    <row r="3537" spans="48:480" x14ac:dyDescent="0.3">
      <c r="CJ3537" s="103"/>
      <c r="FP3537" s="103"/>
      <c r="LL3537" s="103"/>
      <c r="NM3537" s="103"/>
      <c r="QT3537" s="106"/>
      <c r="QU3537" s="106"/>
      <c r="QV3537" s="106"/>
      <c r="QW3537" s="106"/>
      <c r="QX3537" s="106"/>
      <c r="QY3537" s="106"/>
      <c r="QZ3537" s="106"/>
      <c r="RA3537" s="106"/>
      <c r="RB3537" s="106"/>
      <c r="RC3537" s="106"/>
      <c r="RD3537" s="106"/>
      <c r="RE3537" s="106"/>
      <c r="RF3537" s="106"/>
      <c r="RG3537" s="106"/>
      <c r="RH3537" s="106"/>
      <c r="RI3537" s="106"/>
      <c r="RJ3537" s="106"/>
      <c r="RK3537" s="106"/>
      <c r="RL3537" s="106"/>
    </row>
    <row r="3538" spans="48:480" x14ac:dyDescent="0.3">
      <c r="CJ3538" s="103"/>
      <c r="FP3538" s="103"/>
      <c r="LL3538" s="103"/>
      <c r="NM3538" s="103"/>
      <c r="QT3538" s="106"/>
      <c r="QU3538" s="106"/>
      <c r="QV3538" s="106"/>
      <c r="QW3538" s="106"/>
      <c r="QX3538" s="106"/>
      <c r="QY3538" s="106"/>
      <c r="QZ3538" s="106"/>
      <c r="RA3538" s="106"/>
      <c r="RB3538" s="106"/>
      <c r="RC3538" s="106"/>
      <c r="RD3538" s="106"/>
      <c r="RE3538" s="106"/>
      <c r="RF3538" s="106"/>
      <c r="RG3538" s="106"/>
      <c r="RH3538" s="106"/>
      <c r="RI3538" s="106"/>
      <c r="RJ3538" s="106"/>
      <c r="RK3538" s="106"/>
      <c r="RL3538" s="106"/>
    </row>
    <row r="3539" spans="48:480" x14ac:dyDescent="0.3">
      <c r="CJ3539" s="103"/>
      <c r="FP3539" s="103"/>
      <c r="LL3539" s="103"/>
      <c r="NM3539" s="103"/>
      <c r="QT3539" s="106"/>
      <c r="QU3539" s="106"/>
      <c r="QV3539" s="106"/>
      <c r="QW3539" s="106"/>
      <c r="QX3539" s="106"/>
      <c r="QY3539" s="106"/>
      <c r="QZ3539" s="106"/>
      <c r="RA3539" s="106"/>
      <c r="RB3539" s="106"/>
      <c r="RC3539" s="106"/>
      <c r="RD3539" s="106"/>
      <c r="RE3539" s="106"/>
      <c r="RF3539" s="106"/>
      <c r="RG3539" s="106"/>
      <c r="RH3539" s="106"/>
      <c r="RI3539" s="106"/>
      <c r="RJ3539" s="106"/>
      <c r="RK3539" s="106"/>
      <c r="RL3539" s="106"/>
    </row>
    <row r="3540" spans="48:480" x14ac:dyDescent="0.3">
      <c r="AV3540" s="103"/>
      <c r="CJ3540" s="103"/>
      <c r="FP3540" s="103"/>
      <c r="LL3540" s="103"/>
      <c r="NM3540" s="103"/>
      <c r="QT3540" s="106"/>
      <c r="QU3540" s="106"/>
      <c r="QV3540" s="106"/>
      <c r="QW3540" s="106"/>
      <c r="QX3540" s="106"/>
      <c r="QY3540" s="106"/>
      <c r="QZ3540" s="106"/>
      <c r="RA3540" s="106"/>
      <c r="RB3540" s="106"/>
      <c r="RC3540" s="106"/>
      <c r="RD3540" s="106"/>
      <c r="RE3540" s="106"/>
      <c r="RF3540" s="106"/>
      <c r="RG3540" s="106"/>
      <c r="RH3540" s="106"/>
      <c r="RI3540" s="106"/>
      <c r="RJ3540" s="106"/>
      <c r="RK3540" s="106"/>
      <c r="RL3540" s="106"/>
    </row>
    <row r="3541" spans="48:480" x14ac:dyDescent="0.3">
      <c r="AV3541" s="103"/>
      <c r="CJ3541" s="103"/>
      <c r="FP3541" s="103"/>
      <c r="LL3541" s="103"/>
      <c r="NM3541" s="103"/>
      <c r="QT3541" s="106"/>
      <c r="QU3541" s="106"/>
      <c r="QV3541" s="106"/>
      <c r="QW3541" s="106"/>
      <c r="QX3541" s="106"/>
      <c r="QY3541" s="106"/>
      <c r="QZ3541" s="106"/>
      <c r="RA3541" s="106"/>
      <c r="RB3541" s="106"/>
      <c r="RC3541" s="106"/>
      <c r="RD3541" s="106"/>
      <c r="RE3541" s="106"/>
      <c r="RF3541" s="106"/>
      <c r="RG3541" s="106"/>
      <c r="RH3541" s="106"/>
      <c r="RI3541" s="106"/>
      <c r="RJ3541" s="106"/>
      <c r="RK3541" s="106"/>
      <c r="RL3541" s="106"/>
    </row>
    <row r="3542" spans="48:480" x14ac:dyDescent="0.3">
      <c r="AV3542" s="103"/>
      <c r="CJ3542" s="103"/>
      <c r="FP3542" s="103"/>
      <c r="LL3542" s="103"/>
      <c r="NM3542" s="103"/>
      <c r="QT3542" s="106"/>
      <c r="QU3542" s="106"/>
      <c r="QV3542" s="106"/>
      <c r="QW3542" s="106"/>
      <c r="QX3542" s="106"/>
      <c r="QY3542" s="106"/>
      <c r="QZ3542" s="106"/>
      <c r="RA3542" s="106"/>
      <c r="RB3542" s="106"/>
      <c r="RC3542" s="106"/>
      <c r="RD3542" s="106"/>
      <c r="RE3542" s="106"/>
      <c r="RF3542" s="106"/>
      <c r="RG3542" s="106"/>
      <c r="RH3542" s="106"/>
      <c r="RI3542" s="106"/>
      <c r="RJ3542" s="106"/>
      <c r="RK3542" s="106"/>
      <c r="RL3542" s="106"/>
    </row>
    <row r="3543" spans="48:480" x14ac:dyDescent="0.3">
      <c r="AV3543" s="103"/>
      <c r="CJ3543" s="103"/>
      <c r="FP3543" s="103"/>
      <c r="LL3543" s="103"/>
      <c r="NM3543" s="103"/>
      <c r="QT3543" s="106"/>
      <c r="QU3543" s="106"/>
      <c r="QV3543" s="106"/>
      <c r="QW3543" s="106"/>
      <c r="QX3543" s="106"/>
      <c r="QY3543" s="106"/>
      <c r="QZ3543" s="106"/>
      <c r="RA3543" s="106"/>
      <c r="RB3543" s="106"/>
      <c r="RC3543" s="106"/>
      <c r="RD3543" s="106"/>
      <c r="RE3543" s="106"/>
      <c r="RF3543" s="106"/>
      <c r="RG3543" s="106"/>
      <c r="RH3543" s="106"/>
      <c r="RI3543" s="106"/>
      <c r="RJ3543" s="106"/>
      <c r="RK3543" s="106"/>
      <c r="RL3543" s="106"/>
    </row>
    <row r="3544" spans="48:480" x14ac:dyDescent="0.3">
      <c r="AV3544" s="103"/>
      <c r="CJ3544" s="103"/>
      <c r="FP3544" s="103"/>
      <c r="LL3544" s="103"/>
      <c r="NM3544" s="103"/>
      <c r="QT3544" s="106"/>
      <c r="QU3544" s="106"/>
      <c r="QV3544" s="106"/>
      <c r="QW3544" s="106"/>
      <c r="QX3544" s="106"/>
      <c r="QY3544" s="106"/>
      <c r="QZ3544" s="106"/>
      <c r="RA3544" s="106"/>
      <c r="RB3544" s="106"/>
      <c r="RC3544" s="106"/>
      <c r="RD3544" s="106"/>
      <c r="RE3544" s="106"/>
      <c r="RF3544" s="106"/>
      <c r="RG3544" s="106"/>
      <c r="RH3544" s="106"/>
      <c r="RI3544" s="106"/>
      <c r="RJ3544" s="106"/>
      <c r="RK3544" s="106"/>
      <c r="RL3544" s="106"/>
    </row>
    <row r="3545" spans="48:480" x14ac:dyDescent="0.3">
      <c r="AV3545" s="103"/>
      <c r="CJ3545" s="103"/>
      <c r="FP3545" s="103"/>
      <c r="LL3545" s="103"/>
      <c r="NM3545" s="103"/>
      <c r="QT3545" s="106"/>
      <c r="QU3545" s="106"/>
      <c r="QV3545" s="106"/>
      <c r="QW3545" s="106"/>
      <c r="QX3545" s="106"/>
      <c r="QY3545" s="106"/>
      <c r="QZ3545" s="106"/>
      <c r="RA3545" s="106"/>
      <c r="RB3545" s="106"/>
      <c r="RC3545" s="106"/>
      <c r="RD3545" s="106"/>
      <c r="RE3545" s="106"/>
      <c r="RF3545" s="106"/>
      <c r="RG3545" s="106"/>
      <c r="RH3545" s="106"/>
      <c r="RI3545" s="106"/>
      <c r="RJ3545" s="106"/>
      <c r="RK3545" s="106"/>
      <c r="RL3545" s="106"/>
    </row>
    <row r="3546" spans="48:480" x14ac:dyDescent="0.3">
      <c r="AV3546" s="103"/>
      <c r="CJ3546" s="103"/>
      <c r="FP3546" s="103"/>
      <c r="LL3546" s="103"/>
      <c r="NM3546" s="103"/>
      <c r="QT3546" s="106"/>
      <c r="QU3546" s="106"/>
      <c r="QV3546" s="106"/>
      <c r="QW3546" s="106"/>
      <c r="QX3546" s="106"/>
      <c r="QY3546" s="106"/>
      <c r="QZ3546" s="106"/>
      <c r="RA3546" s="106"/>
      <c r="RB3546" s="106"/>
      <c r="RC3546" s="106"/>
      <c r="RD3546" s="106"/>
      <c r="RE3546" s="106"/>
      <c r="RF3546" s="106"/>
      <c r="RG3546" s="106"/>
      <c r="RH3546" s="106"/>
      <c r="RI3546" s="106"/>
      <c r="RJ3546" s="106"/>
      <c r="RK3546" s="106"/>
      <c r="RL3546" s="106"/>
    </row>
    <row r="3547" spans="48:480" x14ac:dyDescent="0.3">
      <c r="AV3547" s="103"/>
      <c r="CJ3547" s="103"/>
      <c r="FP3547" s="103"/>
      <c r="LL3547" s="103"/>
      <c r="NM3547" s="103"/>
      <c r="QT3547" s="106"/>
      <c r="QU3547" s="106"/>
      <c r="QV3547" s="106"/>
      <c r="QW3547" s="106"/>
      <c r="QX3547" s="106"/>
      <c r="QY3547" s="106"/>
      <c r="QZ3547" s="106"/>
      <c r="RA3547" s="106"/>
      <c r="RB3547" s="106"/>
      <c r="RC3547" s="106"/>
      <c r="RD3547" s="106"/>
      <c r="RE3547" s="106"/>
      <c r="RF3547" s="106"/>
      <c r="RG3547" s="106"/>
      <c r="RH3547" s="106"/>
      <c r="RI3547" s="106"/>
      <c r="RJ3547" s="106"/>
      <c r="RK3547" s="106"/>
      <c r="RL3547" s="106"/>
    </row>
    <row r="3548" spans="48:480" x14ac:dyDescent="0.3">
      <c r="AV3548" s="103"/>
      <c r="CJ3548" s="103"/>
      <c r="FP3548" s="103"/>
      <c r="LL3548" s="103"/>
      <c r="NM3548" s="103"/>
      <c r="QT3548" s="106"/>
      <c r="QU3548" s="106"/>
      <c r="QV3548" s="106"/>
      <c r="QW3548" s="106"/>
      <c r="QX3548" s="106"/>
      <c r="QY3548" s="106"/>
      <c r="QZ3548" s="106"/>
      <c r="RA3548" s="106"/>
      <c r="RB3548" s="106"/>
      <c r="RC3548" s="106"/>
      <c r="RD3548" s="106"/>
      <c r="RE3548" s="106"/>
      <c r="RF3548" s="106"/>
      <c r="RG3548" s="106"/>
      <c r="RH3548" s="106"/>
      <c r="RI3548" s="106"/>
      <c r="RJ3548" s="106"/>
      <c r="RK3548" s="106"/>
      <c r="RL3548" s="106"/>
    </row>
    <row r="3549" spans="48:480" x14ac:dyDescent="0.3">
      <c r="AV3549" s="103"/>
      <c r="CJ3549" s="103"/>
      <c r="FP3549" s="103"/>
      <c r="LL3549" s="103"/>
      <c r="NM3549" s="103"/>
      <c r="QT3549" s="106"/>
      <c r="QU3549" s="106"/>
      <c r="QV3549" s="106"/>
      <c r="QW3549" s="106"/>
      <c r="QX3549" s="106"/>
      <c r="QY3549" s="106"/>
      <c r="QZ3549" s="106"/>
      <c r="RA3549" s="106"/>
      <c r="RB3549" s="106"/>
      <c r="RC3549" s="106"/>
      <c r="RD3549" s="106"/>
      <c r="RE3549" s="106"/>
      <c r="RF3549" s="106"/>
      <c r="RG3549" s="106"/>
      <c r="RH3549" s="106"/>
      <c r="RI3549" s="106"/>
      <c r="RJ3549" s="106"/>
      <c r="RK3549" s="106"/>
      <c r="RL3549" s="106"/>
    </row>
    <row r="3550" spans="48:480" x14ac:dyDescent="0.3">
      <c r="AV3550" s="103"/>
      <c r="CJ3550" s="103"/>
      <c r="FP3550" s="103"/>
      <c r="LL3550" s="103"/>
      <c r="NM3550" s="103"/>
      <c r="QT3550" s="106"/>
      <c r="QU3550" s="106"/>
      <c r="QV3550" s="106"/>
      <c r="QW3550" s="106"/>
      <c r="QX3550" s="106"/>
      <c r="QY3550" s="106"/>
      <c r="QZ3550" s="106"/>
      <c r="RA3550" s="106"/>
      <c r="RB3550" s="106"/>
      <c r="RC3550" s="106"/>
      <c r="RD3550" s="106"/>
      <c r="RE3550" s="106"/>
      <c r="RF3550" s="106"/>
      <c r="RG3550" s="106"/>
      <c r="RH3550" s="106"/>
      <c r="RI3550" s="106"/>
      <c r="RJ3550" s="106"/>
      <c r="RK3550" s="106"/>
      <c r="RL3550" s="106"/>
    </row>
    <row r="3551" spans="48:480" x14ac:dyDescent="0.3">
      <c r="AV3551" s="103"/>
      <c r="CJ3551" s="103"/>
      <c r="FP3551" s="103"/>
      <c r="LL3551" s="103"/>
      <c r="NM3551" s="103"/>
      <c r="QT3551" s="106"/>
      <c r="QU3551" s="106"/>
      <c r="QV3551" s="106"/>
      <c r="QW3551" s="106"/>
      <c r="QX3551" s="106"/>
      <c r="QY3551" s="106"/>
      <c r="QZ3551" s="106"/>
      <c r="RA3551" s="106"/>
      <c r="RB3551" s="106"/>
      <c r="RC3551" s="106"/>
      <c r="RD3551" s="106"/>
      <c r="RE3551" s="106"/>
      <c r="RF3551" s="106"/>
      <c r="RG3551" s="106"/>
      <c r="RH3551" s="106"/>
      <c r="RI3551" s="106"/>
      <c r="RJ3551" s="106"/>
      <c r="RK3551" s="106"/>
      <c r="RL3551" s="106"/>
    </row>
    <row r="3552" spans="48:480" x14ac:dyDescent="0.3">
      <c r="AV3552" s="103"/>
      <c r="CJ3552" s="103"/>
      <c r="FP3552" s="103"/>
      <c r="LL3552" s="103"/>
      <c r="NM3552" s="103"/>
      <c r="QT3552" s="106"/>
      <c r="QU3552" s="106"/>
      <c r="QV3552" s="106"/>
      <c r="QW3552" s="106"/>
      <c r="QX3552" s="106"/>
      <c r="QY3552" s="106"/>
      <c r="QZ3552" s="106"/>
      <c r="RA3552" s="106"/>
      <c r="RB3552" s="106"/>
      <c r="RC3552" s="106"/>
      <c r="RD3552" s="106"/>
      <c r="RE3552" s="106"/>
      <c r="RF3552" s="106"/>
      <c r="RG3552" s="106"/>
      <c r="RH3552" s="106"/>
      <c r="RI3552" s="106"/>
      <c r="RJ3552" s="106"/>
      <c r="RK3552" s="106"/>
      <c r="RL3552" s="106"/>
    </row>
    <row r="3553" spans="48:480" x14ac:dyDescent="0.3">
      <c r="AV3553" s="103"/>
      <c r="CJ3553" s="103"/>
      <c r="FP3553" s="103"/>
      <c r="LL3553" s="103"/>
      <c r="NM3553" s="103"/>
      <c r="QT3553" s="106"/>
      <c r="QU3553" s="106"/>
      <c r="QV3553" s="106"/>
      <c r="QW3553" s="106"/>
      <c r="QX3553" s="106"/>
      <c r="QY3553" s="106"/>
      <c r="QZ3553" s="106"/>
      <c r="RA3553" s="106"/>
      <c r="RB3553" s="106"/>
      <c r="RC3553" s="106"/>
      <c r="RD3553" s="106"/>
      <c r="RE3553" s="106"/>
      <c r="RF3553" s="106"/>
      <c r="RG3553" s="106"/>
      <c r="RH3553" s="106"/>
      <c r="RI3553" s="106"/>
      <c r="RJ3553" s="106"/>
      <c r="RK3553" s="106"/>
      <c r="RL3553" s="106"/>
    </row>
    <row r="3554" spans="48:480" x14ac:dyDescent="0.3">
      <c r="AV3554" s="103"/>
      <c r="CJ3554" s="103"/>
      <c r="FP3554" s="103"/>
      <c r="LL3554" s="103"/>
      <c r="NM3554" s="103"/>
      <c r="QT3554" s="106"/>
      <c r="QU3554" s="106"/>
      <c r="QV3554" s="106"/>
      <c r="QW3554" s="106"/>
      <c r="QX3554" s="106"/>
      <c r="QY3554" s="106"/>
      <c r="QZ3554" s="106"/>
      <c r="RA3554" s="106"/>
      <c r="RB3554" s="106"/>
      <c r="RC3554" s="106"/>
      <c r="RD3554" s="106"/>
      <c r="RE3554" s="106"/>
      <c r="RF3554" s="106"/>
      <c r="RG3554" s="106"/>
      <c r="RH3554" s="106"/>
      <c r="RI3554" s="106"/>
      <c r="RJ3554" s="106"/>
      <c r="RK3554" s="106"/>
      <c r="RL3554" s="106"/>
    </row>
    <row r="3555" spans="48:480" x14ac:dyDescent="0.3">
      <c r="AV3555" s="103"/>
      <c r="CJ3555" s="103"/>
      <c r="FP3555" s="103"/>
      <c r="LL3555" s="103"/>
      <c r="NM3555" s="103"/>
      <c r="QT3555" s="106"/>
      <c r="QU3555" s="106"/>
      <c r="QV3555" s="106"/>
      <c r="QW3555" s="106"/>
      <c r="QX3555" s="106"/>
      <c r="QY3555" s="106"/>
      <c r="QZ3555" s="106"/>
      <c r="RA3555" s="106"/>
      <c r="RB3555" s="106"/>
      <c r="RC3555" s="106"/>
      <c r="RD3555" s="106"/>
      <c r="RE3555" s="106"/>
      <c r="RF3555" s="106"/>
      <c r="RG3555" s="106"/>
      <c r="RH3555" s="106"/>
      <c r="RI3555" s="106"/>
      <c r="RJ3555" s="106"/>
      <c r="RK3555" s="106"/>
      <c r="RL3555" s="106"/>
    </row>
    <row r="3556" spans="48:480" x14ac:dyDescent="0.3">
      <c r="AV3556" s="103"/>
      <c r="CJ3556" s="103"/>
      <c r="FP3556" s="103"/>
      <c r="LL3556" s="103"/>
      <c r="NM3556" s="103"/>
      <c r="QT3556" s="106"/>
      <c r="QU3556" s="106"/>
      <c r="QV3556" s="106"/>
      <c r="QW3556" s="106"/>
      <c r="QX3556" s="106"/>
      <c r="QY3556" s="106"/>
      <c r="QZ3556" s="106"/>
      <c r="RA3556" s="106"/>
      <c r="RB3556" s="106"/>
      <c r="RC3556" s="106"/>
      <c r="RD3556" s="106"/>
      <c r="RE3556" s="106"/>
      <c r="RF3556" s="106"/>
      <c r="RG3556" s="106"/>
      <c r="RH3556" s="106"/>
      <c r="RI3556" s="106"/>
      <c r="RJ3556" s="106"/>
      <c r="RK3556" s="106"/>
      <c r="RL3556" s="106"/>
    </row>
    <row r="3557" spans="48:480" x14ac:dyDescent="0.3">
      <c r="AV3557" s="103"/>
      <c r="CJ3557" s="103"/>
      <c r="FP3557" s="103"/>
      <c r="LL3557" s="103"/>
      <c r="NM3557" s="103"/>
      <c r="QT3557" s="106"/>
      <c r="QU3557" s="106"/>
      <c r="QV3557" s="106"/>
      <c r="QW3557" s="106"/>
      <c r="QX3557" s="106"/>
      <c r="QY3557" s="106"/>
      <c r="QZ3557" s="106"/>
      <c r="RA3557" s="106"/>
      <c r="RB3557" s="106"/>
      <c r="RC3557" s="106"/>
      <c r="RD3557" s="106"/>
      <c r="RE3557" s="106"/>
      <c r="RF3557" s="106"/>
      <c r="RG3557" s="106"/>
      <c r="RH3557" s="106"/>
      <c r="RI3557" s="106"/>
      <c r="RJ3557" s="106"/>
      <c r="RK3557" s="106"/>
      <c r="RL3557" s="106"/>
    </row>
    <row r="3558" spans="48:480" x14ac:dyDescent="0.3">
      <c r="AV3558" s="103"/>
      <c r="CJ3558" s="103"/>
      <c r="FP3558" s="103"/>
      <c r="LL3558" s="103"/>
      <c r="NM3558" s="103"/>
      <c r="QT3558" s="106"/>
      <c r="QU3558" s="106"/>
      <c r="QV3558" s="106"/>
      <c r="QW3558" s="106"/>
      <c r="QX3558" s="106"/>
      <c r="QY3558" s="106"/>
      <c r="QZ3558" s="106"/>
      <c r="RA3558" s="106"/>
      <c r="RB3558" s="106"/>
      <c r="RC3558" s="106"/>
      <c r="RD3558" s="106"/>
      <c r="RE3558" s="106"/>
      <c r="RF3558" s="106"/>
      <c r="RG3558" s="106"/>
      <c r="RH3558" s="106"/>
      <c r="RI3558" s="106"/>
      <c r="RJ3558" s="106"/>
      <c r="RK3558" s="106"/>
      <c r="RL3558" s="106"/>
    </row>
    <row r="3559" spans="48:480" x14ac:dyDescent="0.3">
      <c r="AV3559" s="103"/>
      <c r="CJ3559" s="103"/>
      <c r="FP3559" s="103"/>
      <c r="LL3559" s="103"/>
      <c r="NM3559" s="103"/>
      <c r="QT3559" s="106"/>
      <c r="QU3559" s="106"/>
      <c r="QV3559" s="106"/>
      <c r="QW3559" s="106"/>
      <c r="QX3559" s="106"/>
      <c r="QY3559" s="106"/>
      <c r="QZ3559" s="106"/>
      <c r="RA3559" s="106"/>
      <c r="RB3559" s="106"/>
      <c r="RC3559" s="106"/>
      <c r="RD3559" s="106"/>
      <c r="RE3559" s="106"/>
      <c r="RF3559" s="106"/>
      <c r="RG3559" s="106"/>
      <c r="RH3559" s="106"/>
      <c r="RI3559" s="106"/>
      <c r="RJ3559" s="106"/>
      <c r="RK3559" s="106"/>
      <c r="RL3559" s="106"/>
    </row>
    <row r="3560" spans="48:480" x14ac:dyDescent="0.3">
      <c r="AV3560" s="103"/>
      <c r="CJ3560" s="103"/>
      <c r="FP3560" s="103"/>
      <c r="LL3560" s="103"/>
      <c r="NM3560" s="103"/>
      <c r="QT3560" s="106"/>
      <c r="QU3560" s="106"/>
      <c r="QV3560" s="106"/>
      <c r="QW3560" s="106"/>
      <c r="QX3560" s="106"/>
      <c r="QY3560" s="106"/>
      <c r="QZ3560" s="106"/>
      <c r="RA3560" s="106"/>
      <c r="RB3560" s="106"/>
      <c r="RC3560" s="106"/>
      <c r="RD3560" s="106"/>
      <c r="RE3560" s="106"/>
      <c r="RF3560" s="106"/>
      <c r="RG3560" s="106"/>
      <c r="RH3560" s="106"/>
      <c r="RI3560" s="106"/>
      <c r="RJ3560" s="106"/>
      <c r="RK3560" s="106"/>
      <c r="RL3560" s="106"/>
    </row>
    <row r="3561" spans="48:480" x14ac:dyDescent="0.3">
      <c r="AV3561" s="103"/>
      <c r="CJ3561" s="103"/>
      <c r="FP3561" s="103"/>
      <c r="LL3561" s="103"/>
      <c r="NM3561" s="103"/>
      <c r="QT3561" s="106"/>
      <c r="QU3561" s="106"/>
      <c r="QV3561" s="106"/>
      <c r="QW3561" s="106"/>
      <c r="QX3561" s="106"/>
      <c r="QY3561" s="106"/>
      <c r="QZ3561" s="106"/>
      <c r="RA3561" s="106"/>
      <c r="RB3561" s="106"/>
      <c r="RC3561" s="106"/>
      <c r="RD3561" s="106"/>
      <c r="RE3561" s="106"/>
      <c r="RF3561" s="106"/>
      <c r="RG3561" s="106"/>
      <c r="RH3561" s="106"/>
      <c r="RI3561" s="106"/>
      <c r="RJ3561" s="106"/>
      <c r="RK3561" s="106"/>
      <c r="RL3561" s="106"/>
    </row>
    <row r="3562" spans="48:480" x14ac:dyDescent="0.3">
      <c r="AV3562" s="103"/>
      <c r="CJ3562" s="103"/>
      <c r="FP3562" s="103"/>
      <c r="LL3562" s="103"/>
      <c r="NM3562" s="103"/>
      <c r="QT3562" s="106"/>
      <c r="QU3562" s="106"/>
      <c r="QV3562" s="106"/>
      <c r="QW3562" s="106"/>
      <c r="QX3562" s="106"/>
      <c r="QY3562" s="106"/>
      <c r="QZ3562" s="106"/>
      <c r="RA3562" s="106"/>
      <c r="RB3562" s="106"/>
      <c r="RC3562" s="106"/>
      <c r="RD3562" s="106"/>
      <c r="RE3562" s="106"/>
      <c r="RF3562" s="106"/>
      <c r="RG3562" s="106"/>
      <c r="RH3562" s="106"/>
      <c r="RI3562" s="106"/>
      <c r="RJ3562" s="106"/>
      <c r="RK3562" s="106"/>
      <c r="RL3562" s="106"/>
    </row>
    <row r="3563" spans="48:480" x14ac:dyDescent="0.3">
      <c r="AV3563" s="103"/>
      <c r="CJ3563" s="103"/>
      <c r="FP3563" s="103"/>
      <c r="LL3563" s="103"/>
      <c r="NM3563" s="103"/>
      <c r="QT3563" s="106"/>
      <c r="QU3563" s="106"/>
      <c r="QV3563" s="106"/>
      <c r="QW3563" s="106"/>
      <c r="QX3563" s="106"/>
      <c r="QY3563" s="106"/>
      <c r="QZ3563" s="106"/>
      <c r="RA3563" s="106"/>
      <c r="RB3563" s="106"/>
      <c r="RC3563" s="106"/>
      <c r="RD3563" s="106"/>
      <c r="RE3563" s="106"/>
      <c r="RF3563" s="106"/>
      <c r="RG3563" s="106"/>
      <c r="RH3563" s="106"/>
      <c r="RI3563" s="106"/>
      <c r="RJ3563" s="106"/>
      <c r="RK3563" s="106"/>
      <c r="RL3563" s="106"/>
    </row>
    <row r="3564" spans="48:480" x14ac:dyDescent="0.3">
      <c r="CJ3564" s="103"/>
      <c r="FP3564" s="103"/>
      <c r="LL3564" s="103"/>
      <c r="NM3564" s="103"/>
      <c r="QT3564" s="106"/>
      <c r="QU3564" s="106"/>
      <c r="QV3564" s="106"/>
      <c r="QW3564" s="106"/>
      <c r="QX3564" s="106"/>
      <c r="QY3564" s="106"/>
      <c r="QZ3564" s="106"/>
      <c r="RA3564" s="106"/>
      <c r="RB3564" s="106"/>
      <c r="RC3564" s="106"/>
      <c r="RD3564" s="106"/>
      <c r="RE3564" s="106"/>
      <c r="RF3564" s="106"/>
      <c r="RG3564" s="106"/>
      <c r="RH3564" s="106"/>
      <c r="RI3564" s="106"/>
      <c r="RJ3564" s="106"/>
      <c r="RK3564" s="106"/>
      <c r="RL3564" s="106"/>
    </row>
    <row r="3565" spans="48:480" x14ac:dyDescent="0.3">
      <c r="CJ3565" s="103"/>
      <c r="FP3565" s="103"/>
      <c r="LL3565" s="103"/>
      <c r="NM3565" s="103"/>
      <c r="QT3565" s="106"/>
      <c r="QU3565" s="106"/>
      <c r="QV3565" s="106"/>
      <c r="QW3565" s="106"/>
      <c r="QX3565" s="106"/>
      <c r="QY3565" s="106"/>
      <c r="QZ3565" s="106"/>
      <c r="RA3565" s="106"/>
      <c r="RB3565" s="106"/>
      <c r="RC3565" s="106"/>
      <c r="RD3565" s="106"/>
      <c r="RE3565" s="106"/>
      <c r="RF3565" s="106"/>
      <c r="RG3565" s="106"/>
      <c r="RH3565" s="106"/>
      <c r="RI3565" s="106"/>
      <c r="RJ3565" s="106"/>
      <c r="RK3565" s="106"/>
      <c r="RL3565" s="106"/>
    </row>
    <row r="3566" spans="48:480" x14ac:dyDescent="0.3">
      <c r="AV3566" s="103"/>
      <c r="CJ3566" s="103"/>
      <c r="FP3566" s="103"/>
      <c r="LL3566" s="103"/>
      <c r="NM3566" s="103"/>
      <c r="QT3566" s="106"/>
      <c r="QU3566" s="106"/>
      <c r="QV3566" s="106"/>
      <c r="QW3566" s="106"/>
      <c r="QX3566" s="106"/>
      <c r="QY3566" s="106"/>
      <c r="QZ3566" s="106"/>
      <c r="RA3566" s="106"/>
      <c r="RB3566" s="106"/>
      <c r="RC3566" s="106"/>
      <c r="RD3566" s="106"/>
      <c r="RE3566" s="106"/>
      <c r="RF3566" s="106"/>
      <c r="RG3566" s="106"/>
      <c r="RH3566" s="106"/>
      <c r="RI3566" s="106"/>
      <c r="RJ3566" s="106"/>
      <c r="RK3566" s="106"/>
      <c r="RL3566" s="106"/>
    </row>
    <row r="3567" spans="48:480" x14ac:dyDescent="0.3">
      <c r="AV3567" s="103"/>
      <c r="CJ3567" s="103"/>
      <c r="FP3567" s="103"/>
      <c r="LL3567" s="103"/>
      <c r="NM3567" s="103"/>
      <c r="QT3567" s="106"/>
      <c r="QU3567" s="106"/>
      <c r="QV3567" s="106"/>
      <c r="QW3567" s="106"/>
      <c r="QX3567" s="106"/>
      <c r="QY3567" s="106"/>
      <c r="QZ3567" s="106"/>
      <c r="RA3567" s="106"/>
      <c r="RB3567" s="106"/>
      <c r="RC3567" s="106"/>
      <c r="RD3567" s="106"/>
      <c r="RE3567" s="106"/>
      <c r="RF3567" s="106"/>
      <c r="RG3567" s="106"/>
      <c r="RH3567" s="106"/>
      <c r="RI3567" s="106"/>
      <c r="RJ3567" s="106"/>
      <c r="RK3567" s="106"/>
      <c r="RL3567" s="106"/>
    </row>
    <row r="3568" spans="48:480" x14ac:dyDescent="0.3">
      <c r="AV3568" s="103"/>
      <c r="CJ3568" s="103"/>
      <c r="FP3568" s="103"/>
      <c r="LL3568" s="103"/>
      <c r="NM3568" s="103"/>
      <c r="QT3568" s="106"/>
      <c r="QU3568" s="106"/>
      <c r="QV3568" s="106"/>
      <c r="QW3568" s="106"/>
      <c r="QX3568" s="106"/>
      <c r="QY3568" s="106"/>
      <c r="QZ3568" s="106"/>
      <c r="RA3568" s="106"/>
      <c r="RB3568" s="106"/>
      <c r="RC3568" s="106"/>
      <c r="RD3568" s="106"/>
      <c r="RE3568" s="106"/>
      <c r="RF3568" s="106"/>
      <c r="RG3568" s="106"/>
      <c r="RH3568" s="106"/>
      <c r="RI3568" s="106"/>
      <c r="RJ3568" s="106"/>
      <c r="RK3568" s="106"/>
      <c r="RL3568" s="106"/>
    </row>
    <row r="3569" spans="48:480" x14ac:dyDescent="0.3">
      <c r="AV3569" s="103"/>
      <c r="CJ3569" s="103"/>
      <c r="FP3569" s="103"/>
      <c r="LL3569" s="103"/>
      <c r="NM3569" s="103"/>
      <c r="QT3569" s="106"/>
      <c r="QU3569" s="106"/>
      <c r="QV3569" s="106"/>
      <c r="QW3569" s="106"/>
      <c r="QX3569" s="106"/>
      <c r="QY3569" s="106"/>
      <c r="QZ3569" s="106"/>
      <c r="RA3569" s="106"/>
      <c r="RB3569" s="106"/>
      <c r="RC3569" s="106"/>
      <c r="RD3569" s="106"/>
      <c r="RE3569" s="106"/>
      <c r="RF3569" s="106"/>
      <c r="RG3569" s="106"/>
      <c r="RH3569" s="106"/>
      <c r="RI3569" s="106"/>
      <c r="RJ3569" s="106"/>
      <c r="RK3569" s="106"/>
      <c r="RL3569" s="106"/>
    </row>
    <row r="3570" spans="48:480" x14ac:dyDescent="0.3">
      <c r="AV3570" s="103"/>
      <c r="CJ3570" s="103"/>
      <c r="FP3570" s="103"/>
      <c r="LL3570" s="103"/>
      <c r="NM3570" s="103"/>
      <c r="QT3570" s="106"/>
      <c r="QU3570" s="106"/>
      <c r="QV3570" s="106"/>
      <c r="QW3570" s="106"/>
      <c r="QX3570" s="106"/>
      <c r="QY3570" s="106"/>
      <c r="QZ3570" s="106"/>
      <c r="RA3570" s="106"/>
      <c r="RB3570" s="106"/>
      <c r="RC3570" s="106"/>
      <c r="RD3570" s="106"/>
      <c r="RE3570" s="106"/>
      <c r="RF3570" s="106"/>
      <c r="RG3570" s="106"/>
      <c r="RH3570" s="106"/>
      <c r="RI3570" s="106"/>
      <c r="RJ3570" s="106"/>
      <c r="RK3570" s="106"/>
      <c r="RL3570" s="106"/>
    </row>
    <row r="3571" spans="48:480" x14ac:dyDescent="0.3">
      <c r="AV3571" s="103"/>
      <c r="CJ3571" s="103"/>
      <c r="FP3571" s="103"/>
      <c r="LL3571" s="103"/>
      <c r="NM3571" s="103"/>
      <c r="QT3571" s="106"/>
      <c r="QU3571" s="106"/>
      <c r="QV3571" s="106"/>
      <c r="QW3571" s="106"/>
      <c r="QX3571" s="106"/>
      <c r="QY3571" s="106"/>
      <c r="QZ3571" s="106"/>
      <c r="RA3571" s="106"/>
      <c r="RB3571" s="106"/>
      <c r="RC3571" s="106"/>
      <c r="RD3571" s="106"/>
      <c r="RE3571" s="106"/>
      <c r="RF3571" s="106"/>
      <c r="RG3571" s="106"/>
      <c r="RH3571" s="106"/>
      <c r="RI3571" s="106"/>
      <c r="RJ3571" s="106"/>
      <c r="RK3571" s="106"/>
      <c r="RL3571" s="106"/>
    </row>
    <row r="3572" spans="48:480" x14ac:dyDescent="0.3">
      <c r="AV3572" s="103"/>
      <c r="CJ3572" s="103"/>
      <c r="FP3572" s="103"/>
      <c r="LL3572" s="103"/>
      <c r="NM3572" s="103"/>
      <c r="QT3572" s="106"/>
      <c r="QU3572" s="106"/>
      <c r="QV3572" s="106"/>
      <c r="QW3572" s="106"/>
      <c r="QX3572" s="106"/>
      <c r="QY3572" s="106"/>
      <c r="QZ3572" s="106"/>
      <c r="RA3572" s="106"/>
      <c r="RB3572" s="106"/>
      <c r="RC3572" s="106"/>
      <c r="RD3572" s="106"/>
      <c r="RE3572" s="106"/>
      <c r="RF3572" s="106"/>
      <c r="RG3572" s="106"/>
      <c r="RH3572" s="106"/>
      <c r="RI3572" s="106"/>
      <c r="RJ3572" s="106"/>
      <c r="RK3572" s="106"/>
      <c r="RL3572" s="106"/>
    </row>
    <row r="3573" spans="48:480" x14ac:dyDescent="0.3">
      <c r="AV3573" s="103"/>
      <c r="CJ3573" s="103"/>
      <c r="FP3573" s="103"/>
      <c r="LL3573" s="103"/>
      <c r="NM3573" s="103"/>
      <c r="QT3573" s="106"/>
      <c r="QU3573" s="106"/>
      <c r="QV3573" s="106"/>
      <c r="QW3573" s="106"/>
      <c r="QX3573" s="106"/>
      <c r="QY3573" s="106"/>
      <c r="QZ3573" s="106"/>
      <c r="RA3573" s="106"/>
      <c r="RB3573" s="106"/>
      <c r="RC3573" s="106"/>
      <c r="RD3573" s="106"/>
      <c r="RE3573" s="106"/>
      <c r="RF3573" s="106"/>
      <c r="RG3573" s="106"/>
      <c r="RH3573" s="106"/>
      <c r="RI3573" s="106"/>
      <c r="RJ3573" s="106"/>
      <c r="RK3573" s="106"/>
      <c r="RL3573" s="106"/>
    </row>
    <row r="3574" spans="48:480" x14ac:dyDescent="0.3">
      <c r="AV3574" s="103"/>
      <c r="CJ3574" s="103"/>
      <c r="FP3574" s="103"/>
      <c r="LL3574" s="103"/>
      <c r="NM3574" s="103"/>
      <c r="QT3574" s="106"/>
      <c r="QU3574" s="106"/>
      <c r="QV3574" s="106"/>
      <c r="QW3574" s="106"/>
      <c r="QX3574" s="106"/>
      <c r="QY3574" s="106"/>
      <c r="QZ3574" s="106"/>
      <c r="RA3574" s="106"/>
      <c r="RB3574" s="106"/>
      <c r="RC3574" s="106"/>
      <c r="RD3574" s="106"/>
      <c r="RE3574" s="106"/>
      <c r="RF3574" s="106"/>
      <c r="RG3574" s="106"/>
      <c r="RH3574" s="106"/>
      <c r="RI3574" s="106"/>
      <c r="RJ3574" s="106"/>
      <c r="RK3574" s="106"/>
      <c r="RL3574" s="106"/>
    </row>
    <row r="3575" spans="48:480" x14ac:dyDescent="0.3">
      <c r="AV3575" s="103"/>
      <c r="CJ3575" s="103"/>
      <c r="FP3575" s="103"/>
      <c r="LL3575" s="103"/>
      <c r="NM3575" s="103"/>
      <c r="QT3575" s="106"/>
      <c r="QU3575" s="106"/>
      <c r="QV3575" s="106"/>
      <c r="QW3575" s="106"/>
      <c r="QX3575" s="106"/>
      <c r="QY3575" s="106"/>
      <c r="QZ3575" s="106"/>
      <c r="RA3575" s="106"/>
      <c r="RB3575" s="106"/>
      <c r="RC3575" s="106"/>
      <c r="RD3575" s="106"/>
      <c r="RE3575" s="106"/>
      <c r="RF3575" s="106"/>
      <c r="RG3575" s="106"/>
      <c r="RH3575" s="106"/>
      <c r="RI3575" s="106"/>
      <c r="RJ3575" s="106"/>
      <c r="RK3575" s="106"/>
      <c r="RL3575" s="106"/>
    </row>
    <row r="3576" spans="48:480" x14ac:dyDescent="0.3">
      <c r="AV3576" s="103"/>
      <c r="CJ3576" s="103"/>
      <c r="FP3576" s="103"/>
      <c r="LL3576" s="103"/>
      <c r="NM3576" s="103"/>
      <c r="QT3576" s="106"/>
      <c r="QU3576" s="106"/>
      <c r="QV3576" s="106"/>
      <c r="QW3576" s="106"/>
      <c r="QX3576" s="106"/>
      <c r="QY3576" s="106"/>
      <c r="QZ3576" s="106"/>
      <c r="RA3576" s="106"/>
      <c r="RB3576" s="106"/>
      <c r="RC3576" s="106"/>
      <c r="RD3576" s="106"/>
      <c r="RE3576" s="106"/>
      <c r="RF3576" s="106"/>
      <c r="RG3576" s="106"/>
      <c r="RH3576" s="106"/>
      <c r="RI3576" s="106"/>
      <c r="RJ3576" s="106"/>
      <c r="RK3576" s="106"/>
      <c r="RL3576" s="106"/>
    </row>
    <row r="3577" spans="48:480" x14ac:dyDescent="0.3">
      <c r="AV3577" s="103"/>
      <c r="CJ3577" s="103"/>
      <c r="FP3577" s="103"/>
      <c r="LL3577" s="103"/>
      <c r="NM3577" s="103"/>
      <c r="QT3577" s="106"/>
      <c r="QU3577" s="106"/>
      <c r="QV3577" s="106"/>
      <c r="QW3577" s="106"/>
      <c r="QX3577" s="106"/>
      <c r="QY3577" s="106"/>
      <c r="QZ3577" s="106"/>
      <c r="RA3577" s="106"/>
      <c r="RB3577" s="106"/>
      <c r="RC3577" s="106"/>
      <c r="RD3577" s="106"/>
      <c r="RE3577" s="106"/>
      <c r="RF3577" s="106"/>
      <c r="RG3577" s="106"/>
      <c r="RH3577" s="106"/>
      <c r="RI3577" s="106"/>
      <c r="RJ3577" s="106"/>
      <c r="RK3577" s="106"/>
      <c r="RL3577" s="106"/>
    </row>
    <row r="3578" spans="48:480" x14ac:dyDescent="0.3">
      <c r="AV3578" s="103"/>
      <c r="CJ3578" s="103"/>
      <c r="FP3578" s="103"/>
      <c r="LL3578" s="103"/>
      <c r="NM3578" s="103"/>
      <c r="QT3578" s="106"/>
      <c r="QU3578" s="106"/>
      <c r="QV3578" s="106"/>
      <c r="QW3578" s="106"/>
      <c r="QX3578" s="106"/>
      <c r="QY3578" s="106"/>
      <c r="QZ3578" s="106"/>
      <c r="RA3578" s="106"/>
      <c r="RB3578" s="106"/>
      <c r="RC3578" s="106"/>
      <c r="RD3578" s="106"/>
      <c r="RE3578" s="106"/>
      <c r="RF3578" s="106"/>
      <c r="RG3578" s="106"/>
      <c r="RH3578" s="106"/>
      <c r="RI3578" s="106"/>
      <c r="RJ3578" s="106"/>
      <c r="RK3578" s="106"/>
      <c r="RL3578" s="106"/>
    </row>
    <row r="3579" spans="48:480" x14ac:dyDescent="0.3">
      <c r="AV3579" s="103"/>
      <c r="CJ3579" s="103"/>
      <c r="FP3579" s="103"/>
      <c r="LL3579" s="103"/>
      <c r="NM3579" s="103"/>
      <c r="QT3579" s="106"/>
      <c r="QU3579" s="106"/>
      <c r="QV3579" s="106"/>
      <c r="QW3579" s="106"/>
      <c r="QX3579" s="106"/>
      <c r="QY3579" s="106"/>
      <c r="QZ3579" s="106"/>
      <c r="RA3579" s="106"/>
      <c r="RB3579" s="106"/>
      <c r="RC3579" s="106"/>
      <c r="RD3579" s="106"/>
      <c r="RE3579" s="106"/>
      <c r="RF3579" s="106"/>
      <c r="RG3579" s="106"/>
      <c r="RH3579" s="106"/>
      <c r="RI3579" s="106"/>
      <c r="RJ3579" s="106"/>
      <c r="RK3579" s="106"/>
      <c r="RL3579" s="106"/>
    </row>
    <row r="3580" spans="48:480" x14ac:dyDescent="0.3">
      <c r="AV3580" s="103"/>
      <c r="CJ3580" s="103"/>
      <c r="FP3580" s="103"/>
      <c r="LL3580" s="103"/>
      <c r="NM3580" s="103"/>
      <c r="QT3580" s="106"/>
      <c r="QU3580" s="106"/>
      <c r="QV3580" s="106"/>
      <c r="QW3580" s="106"/>
      <c r="QX3580" s="106"/>
      <c r="QY3580" s="106"/>
      <c r="QZ3580" s="106"/>
      <c r="RA3580" s="106"/>
      <c r="RB3580" s="106"/>
      <c r="RC3580" s="106"/>
      <c r="RD3580" s="106"/>
      <c r="RE3580" s="106"/>
      <c r="RF3580" s="106"/>
      <c r="RG3580" s="106"/>
      <c r="RH3580" s="106"/>
      <c r="RI3580" s="106"/>
      <c r="RJ3580" s="106"/>
      <c r="RK3580" s="106"/>
      <c r="RL3580" s="106"/>
    </row>
    <row r="3581" spans="48:480" x14ac:dyDescent="0.3">
      <c r="AV3581" s="103"/>
      <c r="CJ3581" s="103"/>
      <c r="FP3581" s="103"/>
      <c r="LL3581" s="103"/>
      <c r="NM3581" s="103"/>
      <c r="QT3581" s="106"/>
      <c r="QU3581" s="106"/>
      <c r="QV3581" s="106"/>
      <c r="QW3581" s="106"/>
      <c r="QX3581" s="106"/>
      <c r="QY3581" s="106"/>
      <c r="QZ3581" s="106"/>
      <c r="RA3581" s="106"/>
      <c r="RB3581" s="106"/>
      <c r="RC3581" s="106"/>
      <c r="RD3581" s="106"/>
      <c r="RE3581" s="106"/>
      <c r="RF3581" s="106"/>
      <c r="RG3581" s="106"/>
      <c r="RH3581" s="106"/>
      <c r="RI3581" s="106"/>
      <c r="RJ3581" s="106"/>
      <c r="RK3581" s="106"/>
      <c r="RL3581" s="106"/>
    </row>
    <row r="3582" spans="48:480" x14ac:dyDescent="0.3">
      <c r="AV3582" s="103"/>
      <c r="CJ3582" s="103"/>
      <c r="FP3582" s="103"/>
      <c r="LL3582" s="103"/>
      <c r="NM3582" s="103"/>
      <c r="QT3582" s="106"/>
      <c r="QU3582" s="106"/>
      <c r="QV3582" s="106"/>
      <c r="QW3582" s="106"/>
      <c r="QX3582" s="106"/>
      <c r="QY3582" s="106"/>
      <c r="QZ3582" s="106"/>
      <c r="RA3582" s="106"/>
      <c r="RB3582" s="106"/>
      <c r="RC3582" s="106"/>
      <c r="RD3582" s="106"/>
      <c r="RE3582" s="106"/>
      <c r="RF3582" s="106"/>
      <c r="RG3582" s="106"/>
      <c r="RH3582" s="106"/>
      <c r="RI3582" s="106"/>
      <c r="RJ3582" s="106"/>
      <c r="RK3582" s="106"/>
      <c r="RL3582" s="106"/>
    </row>
    <row r="3583" spans="48:480" x14ac:dyDescent="0.3">
      <c r="AV3583" s="103"/>
      <c r="CJ3583" s="103"/>
      <c r="FP3583" s="103"/>
      <c r="LL3583" s="103"/>
      <c r="NM3583" s="103"/>
      <c r="QT3583" s="106"/>
      <c r="QU3583" s="106"/>
      <c r="QV3583" s="106"/>
      <c r="QW3583" s="106"/>
      <c r="QX3583" s="106"/>
      <c r="QY3583" s="106"/>
      <c r="QZ3583" s="106"/>
      <c r="RA3583" s="106"/>
      <c r="RB3583" s="106"/>
      <c r="RC3583" s="106"/>
      <c r="RD3583" s="106"/>
      <c r="RE3583" s="106"/>
      <c r="RF3583" s="106"/>
      <c r="RG3583" s="106"/>
      <c r="RH3583" s="106"/>
      <c r="RI3583" s="106"/>
      <c r="RJ3583" s="106"/>
      <c r="RK3583" s="106"/>
      <c r="RL3583" s="106"/>
    </row>
    <row r="3584" spans="48:480" x14ac:dyDescent="0.3">
      <c r="AV3584" s="103"/>
      <c r="CJ3584" s="103"/>
      <c r="FP3584" s="103"/>
      <c r="LL3584" s="103"/>
      <c r="NM3584" s="103"/>
      <c r="QT3584" s="106"/>
      <c r="QU3584" s="106"/>
      <c r="QV3584" s="106"/>
      <c r="QW3584" s="106"/>
      <c r="QX3584" s="106"/>
      <c r="QY3584" s="106"/>
      <c r="QZ3584" s="106"/>
      <c r="RA3584" s="106"/>
      <c r="RB3584" s="106"/>
      <c r="RC3584" s="106"/>
      <c r="RD3584" s="106"/>
      <c r="RE3584" s="106"/>
      <c r="RF3584" s="106"/>
      <c r="RG3584" s="106"/>
      <c r="RH3584" s="106"/>
      <c r="RI3584" s="106"/>
      <c r="RJ3584" s="106"/>
      <c r="RK3584" s="106"/>
      <c r="RL3584" s="106"/>
    </row>
    <row r="3585" spans="48:480" x14ac:dyDescent="0.3">
      <c r="AV3585" s="103"/>
      <c r="CJ3585" s="103"/>
      <c r="FP3585" s="103"/>
      <c r="LL3585" s="103"/>
      <c r="NM3585" s="103"/>
      <c r="QT3585" s="106"/>
      <c r="QU3585" s="106"/>
      <c r="QV3585" s="106"/>
      <c r="QW3585" s="106"/>
      <c r="QX3585" s="106"/>
      <c r="QY3585" s="106"/>
      <c r="QZ3585" s="106"/>
      <c r="RA3585" s="106"/>
      <c r="RB3585" s="106"/>
      <c r="RC3585" s="106"/>
      <c r="RD3585" s="106"/>
      <c r="RE3585" s="106"/>
      <c r="RF3585" s="106"/>
      <c r="RG3585" s="106"/>
      <c r="RH3585" s="106"/>
      <c r="RI3585" s="106"/>
      <c r="RJ3585" s="106"/>
      <c r="RK3585" s="106"/>
      <c r="RL3585" s="106"/>
    </row>
    <row r="3586" spans="48:480" x14ac:dyDescent="0.3">
      <c r="AV3586" s="103"/>
      <c r="CJ3586" s="103"/>
      <c r="FP3586" s="103"/>
      <c r="LL3586" s="103"/>
      <c r="NM3586" s="103"/>
      <c r="QT3586" s="106"/>
      <c r="QU3586" s="106"/>
      <c r="QV3586" s="106"/>
      <c r="QW3586" s="106"/>
      <c r="QX3586" s="106"/>
      <c r="QY3586" s="106"/>
      <c r="QZ3586" s="106"/>
      <c r="RA3586" s="106"/>
      <c r="RB3586" s="106"/>
      <c r="RC3586" s="106"/>
      <c r="RD3586" s="106"/>
      <c r="RE3586" s="106"/>
      <c r="RF3586" s="106"/>
      <c r="RG3586" s="106"/>
      <c r="RH3586" s="106"/>
      <c r="RI3586" s="106"/>
      <c r="RJ3586" s="106"/>
      <c r="RK3586" s="106"/>
      <c r="RL3586" s="106"/>
    </row>
    <row r="3587" spans="48:480" x14ac:dyDescent="0.3">
      <c r="AV3587" s="103"/>
      <c r="CJ3587" s="103"/>
      <c r="FP3587" s="103"/>
      <c r="LL3587" s="103"/>
      <c r="NM3587" s="103"/>
      <c r="QT3587" s="106"/>
      <c r="QU3587" s="106"/>
      <c r="QV3587" s="106"/>
      <c r="QW3587" s="106"/>
      <c r="QX3587" s="106"/>
      <c r="QY3587" s="106"/>
      <c r="QZ3587" s="106"/>
      <c r="RA3587" s="106"/>
      <c r="RB3587" s="106"/>
      <c r="RC3587" s="106"/>
      <c r="RD3587" s="106"/>
      <c r="RE3587" s="106"/>
      <c r="RF3587" s="106"/>
      <c r="RG3587" s="106"/>
      <c r="RH3587" s="106"/>
      <c r="RI3587" s="106"/>
      <c r="RJ3587" s="106"/>
      <c r="RK3587" s="106"/>
      <c r="RL3587" s="106"/>
    </row>
    <row r="3588" spans="48:480" x14ac:dyDescent="0.3">
      <c r="AV3588" s="103"/>
      <c r="CJ3588" s="103"/>
      <c r="FP3588" s="103"/>
      <c r="LL3588" s="103"/>
      <c r="NM3588" s="103"/>
      <c r="QT3588" s="106"/>
      <c r="QU3588" s="106"/>
      <c r="QV3588" s="106"/>
      <c r="QW3588" s="106"/>
      <c r="QX3588" s="106"/>
      <c r="QY3588" s="106"/>
      <c r="QZ3588" s="106"/>
      <c r="RA3588" s="106"/>
      <c r="RB3588" s="106"/>
      <c r="RC3588" s="106"/>
      <c r="RD3588" s="106"/>
      <c r="RE3588" s="106"/>
      <c r="RF3588" s="106"/>
      <c r="RG3588" s="106"/>
      <c r="RH3588" s="106"/>
      <c r="RI3588" s="106"/>
      <c r="RJ3588" s="106"/>
      <c r="RK3588" s="106"/>
      <c r="RL3588" s="106"/>
    </row>
    <row r="3589" spans="48:480" x14ac:dyDescent="0.3">
      <c r="AV3589" s="103"/>
      <c r="CJ3589" s="103"/>
      <c r="FP3589" s="103"/>
      <c r="LL3589" s="103"/>
      <c r="NM3589" s="103"/>
      <c r="QT3589" s="106"/>
      <c r="QU3589" s="106"/>
      <c r="QV3589" s="106"/>
      <c r="QW3589" s="106"/>
      <c r="QX3589" s="106"/>
      <c r="QY3589" s="106"/>
      <c r="QZ3589" s="106"/>
      <c r="RA3589" s="106"/>
      <c r="RB3589" s="106"/>
      <c r="RC3589" s="106"/>
      <c r="RD3589" s="106"/>
      <c r="RE3589" s="106"/>
      <c r="RF3589" s="106"/>
      <c r="RG3589" s="106"/>
      <c r="RH3589" s="106"/>
      <c r="RI3589" s="106"/>
      <c r="RJ3589" s="106"/>
      <c r="RK3589" s="106"/>
      <c r="RL3589" s="106"/>
    </row>
    <row r="3590" spans="48:480" x14ac:dyDescent="0.3">
      <c r="AV3590" s="103"/>
      <c r="CJ3590" s="103"/>
      <c r="FP3590" s="103"/>
      <c r="LL3590" s="103"/>
      <c r="NM3590" s="103"/>
      <c r="QT3590" s="106"/>
      <c r="QU3590" s="106"/>
      <c r="QV3590" s="106"/>
      <c r="QW3590" s="106"/>
      <c r="QX3590" s="106"/>
      <c r="QY3590" s="106"/>
      <c r="QZ3590" s="106"/>
      <c r="RA3590" s="106"/>
      <c r="RB3590" s="106"/>
      <c r="RC3590" s="106"/>
      <c r="RD3590" s="106"/>
      <c r="RE3590" s="106"/>
      <c r="RF3590" s="106"/>
      <c r="RG3590" s="106"/>
      <c r="RH3590" s="106"/>
      <c r="RI3590" s="106"/>
      <c r="RJ3590" s="106"/>
      <c r="RK3590" s="106"/>
      <c r="RL3590" s="106"/>
    </row>
    <row r="3591" spans="48:480" x14ac:dyDescent="0.3">
      <c r="AV3591" s="103"/>
      <c r="CJ3591" s="103"/>
      <c r="FP3591" s="103"/>
      <c r="LL3591" s="103"/>
      <c r="NM3591" s="103"/>
      <c r="QT3591" s="106"/>
      <c r="QU3591" s="106"/>
      <c r="QV3591" s="106"/>
      <c r="QW3591" s="106"/>
      <c r="QX3591" s="106"/>
      <c r="QY3591" s="106"/>
      <c r="QZ3591" s="106"/>
      <c r="RA3591" s="106"/>
      <c r="RB3591" s="106"/>
      <c r="RC3591" s="106"/>
      <c r="RD3591" s="106"/>
      <c r="RE3591" s="106"/>
      <c r="RF3591" s="106"/>
      <c r="RG3591" s="106"/>
      <c r="RH3591" s="106"/>
      <c r="RI3591" s="106"/>
      <c r="RJ3591" s="106"/>
      <c r="RK3591" s="106"/>
      <c r="RL3591" s="106"/>
    </row>
    <row r="3592" spans="48:480" x14ac:dyDescent="0.3">
      <c r="AV3592" s="103"/>
      <c r="CJ3592" s="103"/>
      <c r="FP3592" s="103"/>
      <c r="LL3592" s="103"/>
      <c r="NM3592" s="103"/>
      <c r="QT3592" s="106"/>
      <c r="QU3592" s="106"/>
      <c r="QV3592" s="106"/>
      <c r="QW3592" s="106"/>
      <c r="QX3592" s="106"/>
      <c r="QY3592" s="106"/>
      <c r="QZ3592" s="106"/>
      <c r="RA3592" s="106"/>
      <c r="RB3592" s="106"/>
      <c r="RC3592" s="106"/>
      <c r="RD3592" s="106"/>
      <c r="RE3592" s="106"/>
      <c r="RF3592" s="106"/>
      <c r="RG3592" s="106"/>
      <c r="RH3592" s="106"/>
      <c r="RI3592" s="106"/>
      <c r="RJ3592" s="106"/>
      <c r="RK3592" s="106"/>
      <c r="RL3592" s="106"/>
    </row>
    <row r="3593" spans="48:480" x14ac:dyDescent="0.3">
      <c r="AV3593" s="103"/>
      <c r="CJ3593" s="103"/>
      <c r="FP3593" s="103"/>
      <c r="LL3593" s="103"/>
      <c r="NM3593" s="103"/>
      <c r="QT3593" s="106"/>
      <c r="QU3593" s="106"/>
      <c r="QV3593" s="106"/>
      <c r="QW3593" s="106"/>
      <c r="QX3593" s="106"/>
      <c r="QY3593" s="106"/>
      <c r="QZ3593" s="106"/>
      <c r="RA3593" s="106"/>
      <c r="RB3593" s="106"/>
      <c r="RC3593" s="106"/>
      <c r="RD3593" s="106"/>
      <c r="RE3593" s="106"/>
      <c r="RF3593" s="106"/>
      <c r="RG3593" s="106"/>
      <c r="RH3593" s="106"/>
      <c r="RI3593" s="106"/>
      <c r="RJ3593" s="106"/>
      <c r="RK3593" s="106"/>
      <c r="RL3593" s="106"/>
    </row>
    <row r="3594" spans="48:480" x14ac:dyDescent="0.3">
      <c r="AV3594" s="103"/>
      <c r="CJ3594" s="103"/>
      <c r="FP3594" s="103"/>
      <c r="LL3594" s="103"/>
      <c r="NM3594" s="103"/>
      <c r="QT3594" s="106"/>
      <c r="QU3594" s="106"/>
      <c r="QV3594" s="106"/>
      <c r="QW3594" s="106"/>
      <c r="QX3594" s="106"/>
      <c r="QY3594" s="106"/>
      <c r="QZ3594" s="106"/>
      <c r="RA3594" s="106"/>
      <c r="RB3594" s="106"/>
      <c r="RC3594" s="106"/>
      <c r="RD3594" s="106"/>
      <c r="RE3594" s="106"/>
      <c r="RF3594" s="106"/>
      <c r="RG3594" s="106"/>
      <c r="RH3594" s="106"/>
      <c r="RI3594" s="106"/>
      <c r="RJ3594" s="106"/>
      <c r="RK3594" s="106"/>
      <c r="RL3594" s="106"/>
    </row>
    <row r="3595" spans="48:480" x14ac:dyDescent="0.3">
      <c r="AV3595" s="103"/>
      <c r="CJ3595" s="103"/>
      <c r="FP3595" s="103"/>
      <c r="LL3595" s="103"/>
      <c r="NM3595" s="103"/>
      <c r="QT3595" s="106"/>
      <c r="QU3595" s="106"/>
      <c r="QV3595" s="106"/>
      <c r="QW3595" s="106"/>
      <c r="QX3595" s="106"/>
      <c r="QY3595" s="106"/>
      <c r="QZ3595" s="106"/>
      <c r="RA3595" s="106"/>
      <c r="RB3595" s="106"/>
      <c r="RC3595" s="106"/>
      <c r="RD3595" s="106"/>
      <c r="RE3595" s="106"/>
      <c r="RF3595" s="106"/>
      <c r="RG3595" s="106"/>
      <c r="RH3595" s="106"/>
      <c r="RI3595" s="106"/>
      <c r="RJ3595" s="106"/>
      <c r="RK3595" s="106"/>
      <c r="RL3595" s="106"/>
    </row>
    <row r="3596" spans="48:480" x14ac:dyDescent="0.3">
      <c r="AV3596" s="103"/>
      <c r="CJ3596" s="103"/>
      <c r="FP3596" s="103"/>
      <c r="LL3596" s="103"/>
      <c r="NM3596" s="103"/>
      <c r="QT3596" s="106"/>
      <c r="QU3596" s="106"/>
      <c r="QV3596" s="106"/>
      <c r="QW3596" s="106"/>
      <c r="QX3596" s="106"/>
      <c r="QY3596" s="106"/>
      <c r="QZ3596" s="106"/>
      <c r="RA3596" s="106"/>
      <c r="RB3596" s="106"/>
      <c r="RC3596" s="106"/>
      <c r="RD3596" s="106"/>
      <c r="RE3596" s="106"/>
      <c r="RF3596" s="106"/>
      <c r="RG3596" s="106"/>
      <c r="RH3596" s="106"/>
      <c r="RI3596" s="106"/>
      <c r="RJ3596" s="106"/>
      <c r="RK3596" s="106"/>
      <c r="RL3596" s="106"/>
    </row>
    <row r="3597" spans="48:480" x14ac:dyDescent="0.3">
      <c r="AV3597" s="103"/>
      <c r="CJ3597" s="103"/>
      <c r="FP3597" s="103"/>
      <c r="LL3597" s="103"/>
      <c r="NM3597" s="103"/>
      <c r="QT3597" s="106"/>
      <c r="QU3597" s="106"/>
      <c r="QV3597" s="106"/>
      <c r="QW3597" s="106"/>
      <c r="QX3597" s="106"/>
      <c r="QY3597" s="106"/>
      <c r="QZ3597" s="106"/>
      <c r="RA3597" s="106"/>
      <c r="RB3597" s="106"/>
      <c r="RC3597" s="106"/>
      <c r="RD3597" s="106"/>
      <c r="RE3597" s="106"/>
      <c r="RF3597" s="106"/>
      <c r="RG3597" s="106"/>
      <c r="RH3597" s="106"/>
      <c r="RI3597" s="106"/>
      <c r="RJ3597" s="106"/>
      <c r="RK3597" s="106"/>
      <c r="RL3597" s="106"/>
    </row>
    <row r="3598" spans="48:480" x14ac:dyDescent="0.3">
      <c r="AV3598" s="103"/>
      <c r="CJ3598" s="103"/>
      <c r="FP3598" s="103"/>
      <c r="LL3598" s="103"/>
      <c r="NM3598" s="103"/>
      <c r="QT3598" s="106"/>
      <c r="QU3598" s="106"/>
      <c r="QV3598" s="106"/>
      <c r="QW3598" s="106"/>
      <c r="QX3598" s="106"/>
      <c r="QY3598" s="106"/>
      <c r="QZ3598" s="106"/>
      <c r="RA3598" s="106"/>
      <c r="RB3598" s="106"/>
      <c r="RC3598" s="106"/>
      <c r="RD3598" s="106"/>
      <c r="RE3598" s="106"/>
      <c r="RF3598" s="106"/>
      <c r="RG3598" s="106"/>
      <c r="RH3598" s="106"/>
      <c r="RI3598" s="106"/>
      <c r="RJ3598" s="106"/>
      <c r="RK3598" s="106"/>
      <c r="RL3598" s="106"/>
    </row>
    <row r="3599" spans="48:480" x14ac:dyDescent="0.3">
      <c r="AV3599" s="103"/>
      <c r="CJ3599" s="103"/>
      <c r="FP3599" s="103"/>
      <c r="LL3599" s="103"/>
      <c r="NM3599" s="103"/>
      <c r="QT3599" s="106"/>
      <c r="QU3599" s="106"/>
      <c r="QV3599" s="106"/>
      <c r="QW3599" s="106"/>
      <c r="QX3599" s="106"/>
      <c r="QY3599" s="106"/>
      <c r="QZ3599" s="106"/>
      <c r="RA3599" s="106"/>
      <c r="RB3599" s="106"/>
      <c r="RC3599" s="106"/>
      <c r="RD3599" s="106"/>
      <c r="RE3599" s="106"/>
      <c r="RF3599" s="106"/>
      <c r="RG3599" s="106"/>
      <c r="RH3599" s="106"/>
      <c r="RI3599" s="106"/>
      <c r="RJ3599" s="106"/>
      <c r="RK3599" s="106"/>
      <c r="RL3599" s="106"/>
    </row>
    <row r="3600" spans="48:480" x14ac:dyDescent="0.3">
      <c r="AV3600" s="103"/>
      <c r="CJ3600" s="103"/>
      <c r="FP3600" s="103"/>
      <c r="LL3600" s="103"/>
      <c r="NM3600" s="103"/>
      <c r="QT3600" s="106"/>
      <c r="QU3600" s="106"/>
      <c r="QV3600" s="106"/>
      <c r="QW3600" s="106"/>
      <c r="QX3600" s="106"/>
      <c r="QY3600" s="106"/>
      <c r="QZ3600" s="106"/>
      <c r="RA3600" s="106"/>
      <c r="RB3600" s="106"/>
      <c r="RC3600" s="106"/>
      <c r="RD3600" s="106"/>
      <c r="RE3600" s="106"/>
      <c r="RF3600" s="106"/>
      <c r="RG3600" s="106"/>
      <c r="RH3600" s="106"/>
      <c r="RI3600" s="106"/>
      <c r="RJ3600" s="106"/>
      <c r="RK3600" s="106"/>
      <c r="RL3600" s="106"/>
    </row>
    <row r="3601" spans="48:480" x14ac:dyDescent="0.3">
      <c r="AV3601" s="103"/>
      <c r="CJ3601" s="103"/>
      <c r="FP3601" s="103"/>
      <c r="LL3601" s="103"/>
      <c r="NM3601" s="103"/>
      <c r="QT3601" s="106"/>
      <c r="QU3601" s="106"/>
      <c r="QV3601" s="106"/>
      <c r="QW3601" s="106"/>
      <c r="QX3601" s="106"/>
      <c r="QY3601" s="106"/>
      <c r="QZ3601" s="106"/>
      <c r="RA3601" s="106"/>
      <c r="RB3601" s="106"/>
      <c r="RC3601" s="106"/>
      <c r="RD3601" s="106"/>
      <c r="RE3601" s="106"/>
      <c r="RF3601" s="106"/>
      <c r="RG3601" s="106"/>
      <c r="RH3601" s="106"/>
      <c r="RI3601" s="106"/>
      <c r="RJ3601" s="106"/>
      <c r="RK3601" s="106"/>
      <c r="RL3601" s="106"/>
    </row>
    <row r="3602" spans="48:480" x14ac:dyDescent="0.3">
      <c r="AV3602" s="103"/>
      <c r="CJ3602" s="103"/>
      <c r="FP3602" s="103"/>
      <c r="LL3602" s="103"/>
      <c r="NM3602" s="103"/>
      <c r="QT3602" s="106"/>
      <c r="QU3602" s="106"/>
      <c r="QV3602" s="106"/>
      <c r="QW3602" s="106"/>
      <c r="QX3602" s="106"/>
      <c r="QY3602" s="106"/>
      <c r="QZ3602" s="106"/>
      <c r="RA3602" s="106"/>
      <c r="RB3602" s="106"/>
      <c r="RC3602" s="106"/>
      <c r="RD3602" s="106"/>
      <c r="RE3602" s="106"/>
      <c r="RF3602" s="106"/>
      <c r="RG3602" s="106"/>
      <c r="RH3602" s="106"/>
      <c r="RI3602" s="106"/>
      <c r="RJ3602" s="106"/>
      <c r="RK3602" s="106"/>
      <c r="RL3602" s="106"/>
    </row>
    <row r="3603" spans="48:480" x14ac:dyDescent="0.3">
      <c r="CJ3603" s="103"/>
      <c r="FP3603" s="103"/>
      <c r="LL3603" s="103"/>
      <c r="NM3603" s="103"/>
      <c r="QT3603" s="106"/>
      <c r="QU3603" s="106"/>
      <c r="QV3603" s="106"/>
      <c r="QW3603" s="106"/>
      <c r="QX3603" s="106"/>
      <c r="QY3603" s="106"/>
      <c r="QZ3603" s="106"/>
      <c r="RA3603" s="106"/>
      <c r="RB3603" s="106"/>
      <c r="RC3603" s="106"/>
      <c r="RD3603" s="106"/>
      <c r="RE3603" s="106"/>
      <c r="RF3603" s="106"/>
      <c r="RG3603" s="106"/>
      <c r="RH3603" s="106"/>
      <c r="RI3603" s="106"/>
      <c r="RJ3603" s="106"/>
      <c r="RK3603" s="106"/>
      <c r="RL3603" s="106"/>
    </row>
    <row r="3604" spans="48:480" x14ac:dyDescent="0.3">
      <c r="CJ3604" s="103"/>
      <c r="FP3604" s="103"/>
      <c r="LL3604" s="103"/>
      <c r="NM3604" s="103"/>
      <c r="QT3604" s="106"/>
      <c r="QU3604" s="106"/>
      <c r="QV3604" s="106"/>
      <c r="QW3604" s="106"/>
      <c r="QX3604" s="106"/>
      <c r="QY3604" s="106"/>
      <c r="QZ3604" s="106"/>
      <c r="RA3604" s="106"/>
      <c r="RB3604" s="106"/>
      <c r="RC3604" s="106"/>
      <c r="RD3604" s="106"/>
      <c r="RE3604" s="106"/>
      <c r="RF3604" s="106"/>
      <c r="RG3604" s="106"/>
      <c r="RH3604" s="106"/>
      <c r="RI3604" s="106"/>
      <c r="RJ3604" s="106"/>
      <c r="RK3604" s="106"/>
      <c r="RL3604" s="106"/>
    </row>
    <row r="3605" spans="48:480" x14ac:dyDescent="0.3">
      <c r="CJ3605" s="103"/>
      <c r="FP3605" s="103"/>
      <c r="LL3605" s="103"/>
      <c r="NM3605" s="103"/>
      <c r="QT3605" s="106"/>
      <c r="QU3605" s="106"/>
      <c r="QV3605" s="106"/>
      <c r="QW3605" s="106"/>
      <c r="QX3605" s="106"/>
      <c r="QY3605" s="106"/>
      <c r="QZ3605" s="106"/>
      <c r="RA3605" s="106"/>
      <c r="RB3605" s="106"/>
      <c r="RC3605" s="106"/>
      <c r="RD3605" s="106"/>
      <c r="RE3605" s="106"/>
      <c r="RF3605" s="106"/>
      <c r="RG3605" s="106"/>
      <c r="RH3605" s="106"/>
      <c r="RI3605" s="106"/>
      <c r="RJ3605" s="106"/>
      <c r="RK3605" s="106"/>
      <c r="RL3605" s="106"/>
    </row>
    <row r="3606" spans="48:480" x14ac:dyDescent="0.3">
      <c r="AV3606" s="103"/>
      <c r="CJ3606" s="103"/>
      <c r="FP3606" s="103"/>
      <c r="LL3606" s="103"/>
      <c r="NM3606" s="103"/>
      <c r="QT3606" s="106"/>
      <c r="QU3606" s="106"/>
      <c r="QV3606" s="106"/>
      <c r="QW3606" s="106"/>
      <c r="QX3606" s="106"/>
      <c r="QY3606" s="106"/>
      <c r="QZ3606" s="106"/>
      <c r="RA3606" s="106"/>
      <c r="RB3606" s="106"/>
      <c r="RC3606" s="106"/>
      <c r="RD3606" s="106"/>
      <c r="RE3606" s="106"/>
      <c r="RF3606" s="106"/>
      <c r="RG3606" s="106"/>
      <c r="RH3606" s="106"/>
      <c r="RI3606" s="106"/>
      <c r="RJ3606" s="106"/>
      <c r="RK3606" s="106"/>
      <c r="RL3606" s="106"/>
    </row>
    <row r="3607" spans="48:480" x14ac:dyDescent="0.3">
      <c r="AV3607" s="103"/>
      <c r="CJ3607" s="103"/>
      <c r="FP3607" s="103"/>
      <c r="LL3607" s="103"/>
      <c r="NM3607" s="103"/>
      <c r="QT3607" s="106"/>
      <c r="QU3607" s="106"/>
      <c r="QV3607" s="106"/>
      <c r="QW3607" s="106"/>
      <c r="QX3607" s="106"/>
      <c r="QY3607" s="106"/>
      <c r="QZ3607" s="106"/>
      <c r="RA3607" s="106"/>
      <c r="RB3607" s="106"/>
      <c r="RC3607" s="106"/>
      <c r="RD3607" s="106"/>
      <c r="RE3607" s="106"/>
      <c r="RF3607" s="106"/>
      <c r="RG3607" s="106"/>
      <c r="RH3607" s="106"/>
      <c r="RI3607" s="106"/>
      <c r="RJ3607" s="106"/>
      <c r="RK3607" s="106"/>
      <c r="RL3607" s="106"/>
    </row>
    <row r="3608" spans="48:480" x14ac:dyDescent="0.3">
      <c r="AV3608" s="103"/>
      <c r="CJ3608" s="103"/>
      <c r="FP3608" s="103"/>
      <c r="LL3608" s="103"/>
      <c r="NM3608" s="103"/>
      <c r="QT3608" s="106"/>
      <c r="QU3608" s="106"/>
      <c r="QV3608" s="106"/>
      <c r="QW3608" s="106"/>
      <c r="QX3608" s="106"/>
      <c r="QY3608" s="106"/>
      <c r="QZ3608" s="106"/>
      <c r="RA3608" s="106"/>
      <c r="RB3608" s="106"/>
      <c r="RC3608" s="106"/>
      <c r="RD3608" s="106"/>
      <c r="RE3608" s="106"/>
      <c r="RF3608" s="106"/>
      <c r="RG3608" s="106"/>
      <c r="RH3608" s="106"/>
      <c r="RI3608" s="106"/>
      <c r="RJ3608" s="106"/>
      <c r="RK3608" s="106"/>
      <c r="RL3608" s="106"/>
    </row>
    <row r="3609" spans="48:480" x14ac:dyDescent="0.3">
      <c r="AV3609" s="103"/>
      <c r="CJ3609" s="103"/>
      <c r="FP3609" s="103"/>
      <c r="LL3609" s="103"/>
      <c r="NM3609" s="103"/>
      <c r="QT3609" s="106"/>
      <c r="QU3609" s="106"/>
      <c r="QV3609" s="106"/>
      <c r="QW3609" s="106"/>
      <c r="QX3609" s="106"/>
      <c r="QY3609" s="106"/>
      <c r="QZ3609" s="106"/>
      <c r="RA3609" s="106"/>
      <c r="RB3609" s="106"/>
      <c r="RC3609" s="106"/>
      <c r="RD3609" s="106"/>
      <c r="RE3609" s="106"/>
      <c r="RF3609" s="106"/>
      <c r="RG3609" s="106"/>
      <c r="RH3609" s="106"/>
      <c r="RI3609" s="106"/>
      <c r="RJ3609" s="106"/>
      <c r="RK3609" s="106"/>
      <c r="RL3609" s="106"/>
    </row>
    <row r="3610" spans="48:480" x14ac:dyDescent="0.3">
      <c r="AV3610" s="103"/>
      <c r="CJ3610" s="103"/>
      <c r="FP3610" s="103"/>
      <c r="LL3610" s="103"/>
      <c r="NM3610" s="103"/>
      <c r="QT3610" s="106"/>
      <c r="QU3610" s="106"/>
      <c r="QV3610" s="106"/>
      <c r="QW3610" s="106"/>
      <c r="QX3610" s="106"/>
      <c r="QY3610" s="106"/>
      <c r="QZ3610" s="106"/>
      <c r="RA3610" s="106"/>
      <c r="RB3610" s="106"/>
      <c r="RC3610" s="106"/>
      <c r="RD3610" s="106"/>
      <c r="RE3610" s="106"/>
      <c r="RF3610" s="106"/>
      <c r="RG3610" s="106"/>
      <c r="RH3610" s="106"/>
      <c r="RI3610" s="106"/>
      <c r="RJ3610" s="106"/>
      <c r="RK3610" s="106"/>
      <c r="RL3610" s="106"/>
    </row>
    <row r="3611" spans="48:480" x14ac:dyDescent="0.3">
      <c r="AV3611" s="103"/>
      <c r="CJ3611" s="103"/>
      <c r="FP3611" s="103"/>
      <c r="LL3611" s="103"/>
      <c r="NM3611" s="103"/>
      <c r="QT3611" s="106"/>
      <c r="QU3611" s="106"/>
      <c r="QV3611" s="106"/>
      <c r="QW3611" s="106"/>
      <c r="QX3611" s="106"/>
      <c r="QY3611" s="106"/>
      <c r="QZ3611" s="106"/>
      <c r="RA3611" s="106"/>
      <c r="RB3611" s="106"/>
      <c r="RC3611" s="106"/>
      <c r="RD3611" s="106"/>
      <c r="RE3611" s="106"/>
      <c r="RF3611" s="106"/>
      <c r="RG3611" s="106"/>
      <c r="RH3611" s="106"/>
      <c r="RI3611" s="106"/>
      <c r="RJ3611" s="106"/>
      <c r="RK3611" s="106"/>
      <c r="RL3611" s="106"/>
    </row>
    <row r="3612" spans="48:480" x14ac:dyDescent="0.3">
      <c r="AV3612" s="103"/>
      <c r="CJ3612" s="103"/>
      <c r="FP3612" s="103"/>
      <c r="LL3612" s="103"/>
      <c r="NM3612" s="103"/>
      <c r="QT3612" s="106"/>
      <c r="QU3612" s="106"/>
      <c r="QV3612" s="106"/>
      <c r="QW3612" s="106"/>
      <c r="QX3612" s="106"/>
      <c r="QY3612" s="106"/>
      <c r="QZ3612" s="106"/>
      <c r="RA3612" s="106"/>
      <c r="RB3612" s="106"/>
      <c r="RC3612" s="106"/>
      <c r="RD3612" s="106"/>
      <c r="RE3612" s="106"/>
      <c r="RF3612" s="106"/>
      <c r="RG3612" s="106"/>
      <c r="RH3612" s="106"/>
      <c r="RI3612" s="106"/>
      <c r="RJ3612" s="106"/>
      <c r="RK3612" s="106"/>
      <c r="RL3612" s="106"/>
    </row>
    <row r="3613" spans="48:480" x14ac:dyDescent="0.3">
      <c r="AV3613" s="103"/>
      <c r="CJ3613" s="103"/>
      <c r="FP3613" s="103"/>
      <c r="LL3613" s="103"/>
      <c r="NM3613" s="103"/>
      <c r="QT3613" s="106"/>
      <c r="QU3613" s="106"/>
      <c r="QV3613" s="106"/>
      <c r="QW3613" s="106"/>
      <c r="QX3613" s="106"/>
      <c r="QY3613" s="106"/>
      <c r="QZ3613" s="106"/>
      <c r="RA3613" s="106"/>
      <c r="RB3613" s="106"/>
      <c r="RC3613" s="106"/>
      <c r="RD3613" s="106"/>
      <c r="RE3613" s="106"/>
      <c r="RF3613" s="106"/>
      <c r="RG3613" s="106"/>
      <c r="RH3613" s="106"/>
      <c r="RI3613" s="106"/>
      <c r="RJ3613" s="106"/>
      <c r="RK3613" s="106"/>
      <c r="RL3613" s="106"/>
    </row>
    <row r="3614" spans="48:480" x14ac:dyDescent="0.3">
      <c r="AV3614" s="103"/>
      <c r="CJ3614" s="103"/>
      <c r="FP3614" s="103"/>
      <c r="LL3614" s="103"/>
      <c r="NM3614" s="103"/>
      <c r="QT3614" s="106"/>
      <c r="QU3614" s="106"/>
      <c r="QV3614" s="106"/>
      <c r="QW3614" s="106"/>
      <c r="QX3614" s="106"/>
      <c r="QY3614" s="106"/>
      <c r="QZ3614" s="106"/>
      <c r="RA3614" s="106"/>
      <c r="RB3614" s="106"/>
      <c r="RC3614" s="106"/>
      <c r="RD3614" s="106"/>
      <c r="RE3614" s="106"/>
      <c r="RF3614" s="106"/>
      <c r="RG3614" s="106"/>
      <c r="RH3614" s="106"/>
      <c r="RI3614" s="106"/>
      <c r="RJ3614" s="106"/>
      <c r="RK3614" s="106"/>
      <c r="RL3614" s="106"/>
    </row>
    <row r="3615" spans="48:480" x14ac:dyDescent="0.3">
      <c r="AV3615" s="103"/>
      <c r="CJ3615" s="103"/>
      <c r="FP3615" s="103"/>
      <c r="LL3615" s="103"/>
      <c r="NM3615" s="103"/>
      <c r="QT3615" s="106"/>
      <c r="QU3615" s="106"/>
      <c r="QV3615" s="106"/>
      <c r="QW3615" s="106"/>
      <c r="QX3615" s="106"/>
      <c r="QY3615" s="106"/>
      <c r="QZ3615" s="106"/>
      <c r="RA3615" s="106"/>
      <c r="RB3615" s="106"/>
      <c r="RC3615" s="106"/>
      <c r="RD3615" s="106"/>
      <c r="RE3615" s="106"/>
      <c r="RF3615" s="106"/>
      <c r="RG3615" s="106"/>
      <c r="RH3615" s="106"/>
      <c r="RI3615" s="106"/>
      <c r="RJ3615" s="106"/>
      <c r="RK3615" s="106"/>
      <c r="RL3615" s="106"/>
    </row>
    <row r="3616" spans="48:480" x14ac:dyDescent="0.3">
      <c r="AV3616" s="103"/>
      <c r="CJ3616" s="103"/>
      <c r="FP3616" s="103"/>
      <c r="LL3616" s="103"/>
      <c r="NM3616" s="103"/>
      <c r="QT3616" s="106"/>
      <c r="QU3616" s="106"/>
      <c r="QV3616" s="106"/>
      <c r="QW3616" s="106"/>
      <c r="QX3616" s="106"/>
      <c r="QY3616" s="106"/>
      <c r="QZ3616" s="106"/>
      <c r="RA3616" s="106"/>
      <c r="RB3616" s="106"/>
      <c r="RC3616" s="106"/>
      <c r="RD3616" s="106"/>
      <c r="RE3616" s="106"/>
      <c r="RF3616" s="106"/>
      <c r="RG3616" s="106"/>
      <c r="RH3616" s="106"/>
      <c r="RI3616" s="106"/>
      <c r="RJ3616" s="106"/>
      <c r="RK3616" s="106"/>
      <c r="RL3616" s="106"/>
    </row>
    <row r="3617" spans="48:480" x14ac:dyDescent="0.3">
      <c r="AV3617" s="103"/>
      <c r="CJ3617" s="103"/>
      <c r="FP3617" s="103"/>
      <c r="LL3617" s="103"/>
      <c r="NM3617" s="103"/>
      <c r="QT3617" s="106"/>
      <c r="QU3617" s="106"/>
      <c r="QV3617" s="106"/>
      <c r="QW3617" s="106"/>
      <c r="QX3617" s="106"/>
      <c r="QY3617" s="106"/>
      <c r="QZ3617" s="106"/>
      <c r="RA3617" s="106"/>
      <c r="RB3617" s="106"/>
      <c r="RC3617" s="106"/>
      <c r="RD3617" s="106"/>
      <c r="RE3617" s="106"/>
      <c r="RF3617" s="106"/>
      <c r="RG3617" s="106"/>
      <c r="RH3617" s="106"/>
      <c r="RI3617" s="106"/>
      <c r="RJ3617" s="106"/>
      <c r="RK3617" s="106"/>
      <c r="RL3617" s="106"/>
    </row>
    <row r="3618" spans="48:480" x14ac:dyDescent="0.3">
      <c r="AV3618" s="103"/>
      <c r="CJ3618" s="103"/>
      <c r="FP3618" s="103"/>
      <c r="LL3618" s="103"/>
      <c r="NM3618" s="103"/>
      <c r="QT3618" s="106"/>
      <c r="QU3618" s="106"/>
      <c r="QV3618" s="106"/>
      <c r="QW3618" s="106"/>
      <c r="QX3618" s="106"/>
      <c r="QY3618" s="106"/>
      <c r="QZ3618" s="106"/>
      <c r="RA3618" s="106"/>
      <c r="RB3618" s="106"/>
      <c r="RC3618" s="106"/>
      <c r="RD3618" s="106"/>
      <c r="RE3618" s="106"/>
      <c r="RF3618" s="106"/>
      <c r="RG3618" s="106"/>
      <c r="RH3618" s="106"/>
      <c r="RI3618" s="106"/>
      <c r="RJ3618" s="106"/>
      <c r="RK3618" s="106"/>
      <c r="RL3618" s="106"/>
    </row>
    <row r="3619" spans="48:480" x14ac:dyDescent="0.3">
      <c r="AV3619" s="103"/>
      <c r="CJ3619" s="103"/>
      <c r="FP3619" s="103"/>
      <c r="LL3619" s="103"/>
      <c r="NM3619" s="103"/>
      <c r="QT3619" s="106"/>
      <c r="QU3619" s="106"/>
      <c r="QV3619" s="106"/>
      <c r="QW3619" s="106"/>
      <c r="QX3619" s="106"/>
      <c r="QY3619" s="106"/>
      <c r="QZ3619" s="106"/>
      <c r="RA3619" s="106"/>
      <c r="RB3619" s="106"/>
      <c r="RC3619" s="106"/>
      <c r="RD3619" s="106"/>
      <c r="RE3619" s="106"/>
      <c r="RF3619" s="106"/>
      <c r="RG3619" s="106"/>
      <c r="RH3619" s="106"/>
      <c r="RI3619" s="106"/>
      <c r="RJ3619" s="106"/>
      <c r="RK3619" s="106"/>
      <c r="RL3619" s="106"/>
    </row>
    <row r="3620" spans="48:480" x14ac:dyDescent="0.3">
      <c r="AV3620" s="103"/>
      <c r="CJ3620" s="103"/>
      <c r="FP3620" s="103"/>
      <c r="LL3620" s="103"/>
      <c r="NM3620" s="103"/>
      <c r="QT3620" s="106"/>
      <c r="QU3620" s="106"/>
      <c r="QV3620" s="106"/>
      <c r="QW3620" s="106"/>
      <c r="QX3620" s="106"/>
      <c r="QY3620" s="106"/>
      <c r="QZ3620" s="106"/>
      <c r="RA3620" s="106"/>
      <c r="RB3620" s="106"/>
      <c r="RC3620" s="106"/>
      <c r="RD3620" s="106"/>
      <c r="RE3620" s="106"/>
      <c r="RF3620" s="106"/>
      <c r="RG3620" s="106"/>
      <c r="RH3620" s="106"/>
      <c r="RI3620" s="106"/>
      <c r="RJ3620" s="106"/>
      <c r="RK3620" s="106"/>
      <c r="RL3620" s="106"/>
    </row>
    <row r="3621" spans="48:480" x14ac:dyDescent="0.3">
      <c r="AV3621" s="103"/>
      <c r="CJ3621" s="103"/>
      <c r="FP3621" s="103"/>
      <c r="LL3621" s="103"/>
      <c r="NM3621" s="103"/>
      <c r="QT3621" s="106"/>
      <c r="QU3621" s="106"/>
      <c r="QV3621" s="106"/>
      <c r="QW3621" s="106"/>
      <c r="QX3621" s="106"/>
      <c r="QY3621" s="106"/>
      <c r="QZ3621" s="106"/>
      <c r="RA3621" s="106"/>
      <c r="RB3621" s="106"/>
      <c r="RC3621" s="106"/>
      <c r="RD3621" s="106"/>
      <c r="RE3621" s="106"/>
      <c r="RF3621" s="106"/>
      <c r="RG3621" s="106"/>
      <c r="RH3621" s="106"/>
      <c r="RI3621" s="106"/>
      <c r="RJ3621" s="106"/>
      <c r="RK3621" s="106"/>
      <c r="RL3621" s="106"/>
    </row>
    <row r="3622" spans="48:480" x14ac:dyDescent="0.3">
      <c r="AV3622" s="103"/>
      <c r="CJ3622" s="103"/>
      <c r="FP3622" s="103"/>
      <c r="LL3622" s="103"/>
      <c r="NM3622" s="103"/>
      <c r="QT3622" s="106"/>
      <c r="QU3622" s="106"/>
      <c r="QV3622" s="106"/>
      <c r="QW3622" s="106"/>
      <c r="QX3622" s="106"/>
      <c r="QY3622" s="106"/>
      <c r="QZ3622" s="106"/>
      <c r="RA3622" s="106"/>
      <c r="RB3622" s="106"/>
      <c r="RC3622" s="106"/>
      <c r="RD3622" s="106"/>
      <c r="RE3622" s="106"/>
      <c r="RF3622" s="106"/>
      <c r="RG3622" s="106"/>
      <c r="RH3622" s="106"/>
      <c r="RI3622" s="106"/>
      <c r="RJ3622" s="106"/>
      <c r="RK3622" s="106"/>
      <c r="RL3622" s="106"/>
    </row>
    <row r="3623" spans="48:480" x14ac:dyDescent="0.3">
      <c r="AV3623" s="103"/>
      <c r="CJ3623" s="103"/>
      <c r="FP3623" s="103"/>
      <c r="LL3623" s="103"/>
      <c r="NM3623" s="103"/>
      <c r="QT3623" s="106"/>
      <c r="QU3623" s="106"/>
      <c r="QV3623" s="106"/>
      <c r="QW3623" s="106"/>
      <c r="QX3623" s="106"/>
      <c r="QY3623" s="106"/>
      <c r="QZ3623" s="106"/>
      <c r="RA3623" s="106"/>
      <c r="RB3623" s="106"/>
      <c r="RC3623" s="106"/>
      <c r="RD3623" s="106"/>
      <c r="RE3623" s="106"/>
      <c r="RF3623" s="106"/>
      <c r="RG3623" s="106"/>
      <c r="RH3623" s="106"/>
      <c r="RI3623" s="106"/>
      <c r="RJ3623" s="106"/>
      <c r="RK3623" s="106"/>
      <c r="RL3623" s="106"/>
    </row>
    <row r="3624" spans="48:480" x14ac:dyDescent="0.3">
      <c r="AV3624" s="103"/>
      <c r="CJ3624" s="103"/>
      <c r="FP3624" s="103"/>
      <c r="LL3624" s="103"/>
      <c r="NM3624" s="103"/>
      <c r="QT3624" s="106"/>
      <c r="QU3624" s="106"/>
      <c r="QV3624" s="106"/>
      <c r="QW3624" s="106"/>
      <c r="QX3624" s="106"/>
      <c r="QY3624" s="106"/>
      <c r="QZ3624" s="106"/>
      <c r="RA3624" s="106"/>
      <c r="RB3624" s="106"/>
      <c r="RC3624" s="106"/>
      <c r="RD3624" s="106"/>
      <c r="RE3624" s="106"/>
      <c r="RF3624" s="106"/>
      <c r="RG3624" s="106"/>
      <c r="RH3624" s="106"/>
      <c r="RI3624" s="106"/>
      <c r="RJ3624" s="106"/>
      <c r="RK3624" s="106"/>
      <c r="RL3624" s="106"/>
    </row>
    <row r="3625" spans="48:480" x14ac:dyDescent="0.3">
      <c r="AV3625" s="103"/>
      <c r="CJ3625" s="103"/>
      <c r="FP3625" s="103"/>
      <c r="LL3625" s="103"/>
      <c r="NM3625" s="103"/>
      <c r="QT3625" s="106"/>
      <c r="QU3625" s="106"/>
      <c r="QV3625" s="106"/>
      <c r="QW3625" s="106"/>
      <c r="QX3625" s="106"/>
      <c r="QY3625" s="106"/>
      <c r="QZ3625" s="106"/>
      <c r="RA3625" s="106"/>
      <c r="RB3625" s="106"/>
      <c r="RC3625" s="106"/>
      <c r="RD3625" s="106"/>
      <c r="RE3625" s="106"/>
      <c r="RF3625" s="106"/>
      <c r="RG3625" s="106"/>
      <c r="RH3625" s="106"/>
      <c r="RI3625" s="106"/>
      <c r="RJ3625" s="106"/>
      <c r="RK3625" s="106"/>
      <c r="RL3625" s="106"/>
    </row>
    <row r="3626" spans="48:480" x14ac:dyDescent="0.3">
      <c r="AV3626" s="103"/>
      <c r="CJ3626" s="103"/>
      <c r="FP3626" s="103"/>
      <c r="LL3626" s="103"/>
      <c r="NM3626" s="103"/>
      <c r="QT3626" s="106"/>
      <c r="QU3626" s="106"/>
      <c r="QV3626" s="106"/>
      <c r="QW3626" s="106"/>
      <c r="QX3626" s="106"/>
      <c r="QY3626" s="106"/>
      <c r="QZ3626" s="106"/>
      <c r="RA3626" s="106"/>
      <c r="RB3626" s="106"/>
      <c r="RC3626" s="106"/>
      <c r="RD3626" s="106"/>
      <c r="RE3626" s="106"/>
      <c r="RF3626" s="106"/>
      <c r="RG3626" s="106"/>
      <c r="RH3626" s="106"/>
      <c r="RI3626" s="106"/>
      <c r="RJ3626" s="106"/>
      <c r="RK3626" s="106"/>
      <c r="RL3626" s="106"/>
    </row>
    <row r="3627" spans="48:480" x14ac:dyDescent="0.3">
      <c r="AV3627" s="103"/>
      <c r="CJ3627" s="103"/>
      <c r="FP3627" s="103"/>
      <c r="LL3627" s="103"/>
      <c r="NM3627" s="103"/>
      <c r="QT3627" s="106"/>
      <c r="QU3627" s="106"/>
      <c r="QV3627" s="106"/>
      <c r="QW3627" s="106"/>
      <c r="QX3627" s="106"/>
      <c r="QY3627" s="106"/>
      <c r="QZ3627" s="106"/>
      <c r="RA3627" s="106"/>
      <c r="RB3627" s="106"/>
      <c r="RC3627" s="106"/>
      <c r="RD3627" s="106"/>
      <c r="RE3627" s="106"/>
      <c r="RF3627" s="106"/>
      <c r="RG3627" s="106"/>
      <c r="RH3627" s="106"/>
      <c r="RI3627" s="106"/>
      <c r="RJ3627" s="106"/>
      <c r="RK3627" s="106"/>
      <c r="RL3627" s="106"/>
    </row>
    <row r="3628" spans="48:480" x14ac:dyDescent="0.3">
      <c r="AV3628" s="103"/>
      <c r="CJ3628" s="103"/>
      <c r="FP3628" s="103"/>
      <c r="LL3628" s="103"/>
      <c r="NM3628" s="103"/>
      <c r="QT3628" s="106"/>
      <c r="QU3628" s="106"/>
      <c r="QV3628" s="106"/>
      <c r="QW3628" s="106"/>
      <c r="QX3628" s="106"/>
      <c r="QY3628" s="106"/>
      <c r="QZ3628" s="106"/>
      <c r="RA3628" s="106"/>
      <c r="RB3628" s="106"/>
      <c r="RC3628" s="106"/>
      <c r="RD3628" s="106"/>
      <c r="RE3628" s="106"/>
      <c r="RF3628" s="106"/>
      <c r="RG3628" s="106"/>
      <c r="RH3628" s="106"/>
      <c r="RI3628" s="106"/>
      <c r="RJ3628" s="106"/>
      <c r="RK3628" s="106"/>
      <c r="RL3628" s="106"/>
    </row>
    <row r="3629" spans="48:480" x14ac:dyDescent="0.3">
      <c r="AV3629" s="103"/>
      <c r="CJ3629" s="103"/>
      <c r="FP3629" s="103"/>
      <c r="LL3629" s="103"/>
      <c r="NM3629" s="103"/>
      <c r="QT3629" s="106"/>
      <c r="QU3629" s="106"/>
      <c r="QV3629" s="106"/>
      <c r="QW3629" s="106"/>
      <c r="QX3629" s="106"/>
      <c r="QY3629" s="106"/>
      <c r="QZ3629" s="106"/>
      <c r="RA3629" s="106"/>
      <c r="RB3629" s="106"/>
      <c r="RC3629" s="106"/>
      <c r="RD3629" s="106"/>
      <c r="RE3629" s="106"/>
      <c r="RF3629" s="106"/>
      <c r="RG3629" s="106"/>
      <c r="RH3629" s="106"/>
      <c r="RI3629" s="106"/>
      <c r="RJ3629" s="106"/>
      <c r="RK3629" s="106"/>
      <c r="RL3629" s="106"/>
    </row>
    <row r="3630" spans="48:480" x14ac:dyDescent="0.3">
      <c r="AV3630" s="103"/>
      <c r="CJ3630" s="103"/>
      <c r="FP3630" s="103"/>
      <c r="LL3630" s="103"/>
      <c r="NM3630" s="103"/>
      <c r="QT3630" s="106"/>
      <c r="QU3630" s="106"/>
      <c r="QV3630" s="106"/>
      <c r="QW3630" s="106"/>
      <c r="QX3630" s="106"/>
      <c r="QY3630" s="106"/>
      <c r="QZ3630" s="106"/>
      <c r="RA3630" s="106"/>
      <c r="RB3630" s="106"/>
      <c r="RC3630" s="106"/>
      <c r="RD3630" s="106"/>
      <c r="RE3630" s="106"/>
      <c r="RF3630" s="106"/>
      <c r="RG3630" s="106"/>
      <c r="RH3630" s="106"/>
      <c r="RI3630" s="106"/>
      <c r="RJ3630" s="106"/>
      <c r="RK3630" s="106"/>
      <c r="RL3630" s="106"/>
    </row>
    <row r="3631" spans="48:480" x14ac:dyDescent="0.3">
      <c r="AV3631" s="103"/>
      <c r="CJ3631" s="103"/>
      <c r="FP3631" s="103"/>
      <c r="LL3631" s="103"/>
      <c r="NM3631" s="103"/>
      <c r="QT3631" s="106"/>
      <c r="QU3631" s="106"/>
      <c r="QV3631" s="106"/>
      <c r="QW3631" s="106"/>
      <c r="QX3631" s="106"/>
      <c r="QY3631" s="106"/>
      <c r="QZ3631" s="106"/>
      <c r="RA3631" s="106"/>
      <c r="RB3631" s="106"/>
      <c r="RC3631" s="106"/>
      <c r="RD3631" s="106"/>
      <c r="RE3631" s="106"/>
      <c r="RF3631" s="106"/>
      <c r="RG3631" s="106"/>
      <c r="RH3631" s="106"/>
      <c r="RI3631" s="106"/>
      <c r="RJ3631" s="106"/>
      <c r="RK3631" s="106"/>
      <c r="RL3631" s="106"/>
    </row>
    <row r="3632" spans="48:480" x14ac:dyDescent="0.3">
      <c r="AV3632" s="103"/>
      <c r="CJ3632" s="103"/>
      <c r="FP3632" s="103"/>
      <c r="LL3632" s="103"/>
      <c r="NM3632" s="103"/>
      <c r="QT3632" s="106"/>
      <c r="QU3632" s="106"/>
      <c r="QV3632" s="106"/>
      <c r="QW3632" s="106"/>
      <c r="QX3632" s="106"/>
      <c r="QY3632" s="106"/>
      <c r="QZ3632" s="106"/>
      <c r="RA3632" s="106"/>
      <c r="RB3632" s="106"/>
      <c r="RC3632" s="106"/>
      <c r="RD3632" s="106"/>
      <c r="RE3632" s="106"/>
      <c r="RF3632" s="106"/>
      <c r="RG3632" s="106"/>
      <c r="RH3632" s="106"/>
      <c r="RI3632" s="106"/>
      <c r="RJ3632" s="106"/>
      <c r="RK3632" s="106"/>
      <c r="RL3632" s="106"/>
    </row>
    <row r="3633" spans="48:480" x14ac:dyDescent="0.3">
      <c r="AV3633" s="103"/>
      <c r="CJ3633" s="103"/>
      <c r="FP3633" s="103"/>
      <c r="LL3633" s="103"/>
      <c r="NM3633" s="103"/>
      <c r="QT3633" s="106"/>
      <c r="QU3633" s="106"/>
      <c r="QV3633" s="106"/>
      <c r="QW3633" s="106"/>
      <c r="QX3633" s="106"/>
      <c r="QY3633" s="106"/>
      <c r="QZ3633" s="106"/>
      <c r="RA3633" s="106"/>
      <c r="RB3633" s="106"/>
      <c r="RC3633" s="106"/>
      <c r="RD3633" s="106"/>
      <c r="RE3633" s="106"/>
      <c r="RF3633" s="106"/>
      <c r="RG3633" s="106"/>
      <c r="RH3633" s="106"/>
      <c r="RI3633" s="106"/>
      <c r="RJ3633" s="106"/>
      <c r="RK3633" s="106"/>
      <c r="RL3633" s="106"/>
    </row>
    <row r="3634" spans="48:480" x14ac:dyDescent="0.3">
      <c r="AV3634" s="103"/>
      <c r="CJ3634" s="103"/>
      <c r="FP3634" s="103"/>
      <c r="LL3634" s="103"/>
      <c r="NM3634" s="103"/>
      <c r="QT3634" s="106"/>
      <c r="QU3634" s="106"/>
      <c r="QV3634" s="106"/>
      <c r="QW3634" s="106"/>
      <c r="QX3634" s="106"/>
      <c r="QY3634" s="106"/>
      <c r="QZ3634" s="106"/>
      <c r="RA3634" s="106"/>
      <c r="RB3634" s="106"/>
      <c r="RC3634" s="106"/>
      <c r="RD3634" s="106"/>
      <c r="RE3634" s="106"/>
      <c r="RF3634" s="106"/>
      <c r="RG3634" s="106"/>
      <c r="RH3634" s="106"/>
      <c r="RI3634" s="106"/>
      <c r="RJ3634" s="106"/>
      <c r="RK3634" s="106"/>
      <c r="RL3634" s="106"/>
    </row>
    <row r="3635" spans="48:480" x14ac:dyDescent="0.3">
      <c r="AV3635" s="103"/>
      <c r="CJ3635" s="103"/>
      <c r="FP3635" s="103"/>
      <c r="LL3635" s="103"/>
      <c r="NM3635" s="103"/>
      <c r="QT3635" s="106"/>
      <c r="QU3635" s="106"/>
      <c r="QV3635" s="106"/>
      <c r="QW3635" s="106"/>
      <c r="QX3635" s="106"/>
      <c r="QY3635" s="106"/>
      <c r="QZ3635" s="106"/>
      <c r="RA3635" s="106"/>
      <c r="RB3635" s="106"/>
      <c r="RC3635" s="106"/>
      <c r="RD3635" s="106"/>
      <c r="RE3635" s="106"/>
      <c r="RF3635" s="106"/>
      <c r="RG3635" s="106"/>
      <c r="RH3635" s="106"/>
      <c r="RI3635" s="106"/>
      <c r="RJ3635" s="106"/>
      <c r="RK3635" s="106"/>
      <c r="RL3635" s="106"/>
    </row>
    <row r="3636" spans="48:480" x14ac:dyDescent="0.3">
      <c r="AV3636" s="103"/>
      <c r="CJ3636" s="103"/>
      <c r="FP3636" s="103"/>
      <c r="LL3636" s="103"/>
      <c r="NM3636" s="103"/>
      <c r="QT3636" s="106"/>
      <c r="QU3636" s="106"/>
      <c r="QV3636" s="106"/>
      <c r="QW3636" s="106"/>
      <c r="QX3636" s="106"/>
      <c r="QY3636" s="106"/>
      <c r="QZ3636" s="106"/>
      <c r="RA3636" s="106"/>
      <c r="RB3636" s="106"/>
      <c r="RC3636" s="106"/>
      <c r="RD3636" s="106"/>
      <c r="RE3636" s="106"/>
      <c r="RF3636" s="106"/>
      <c r="RG3636" s="106"/>
      <c r="RH3636" s="106"/>
      <c r="RI3636" s="106"/>
      <c r="RJ3636" s="106"/>
      <c r="RK3636" s="106"/>
      <c r="RL3636" s="106"/>
    </row>
    <row r="3637" spans="48:480" x14ac:dyDescent="0.3">
      <c r="AV3637" s="103"/>
      <c r="CJ3637" s="103"/>
      <c r="FP3637" s="103"/>
      <c r="LL3637" s="103"/>
      <c r="NM3637" s="103"/>
      <c r="QT3637" s="106"/>
      <c r="QU3637" s="106"/>
      <c r="QV3637" s="106"/>
      <c r="QW3637" s="106"/>
      <c r="QX3637" s="106"/>
      <c r="QY3637" s="106"/>
      <c r="QZ3637" s="106"/>
      <c r="RA3637" s="106"/>
      <c r="RB3637" s="106"/>
      <c r="RC3637" s="106"/>
      <c r="RD3637" s="106"/>
      <c r="RE3637" s="106"/>
      <c r="RF3637" s="106"/>
      <c r="RG3637" s="106"/>
      <c r="RH3637" s="106"/>
      <c r="RI3637" s="106"/>
      <c r="RJ3637" s="106"/>
      <c r="RK3637" s="106"/>
      <c r="RL3637" s="106"/>
    </row>
    <row r="3638" spans="48:480" x14ac:dyDescent="0.3">
      <c r="AV3638" s="103"/>
      <c r="CJ3638" s="103"/>
      <c r="FP3638" s="103"/>
      <c r="LL3638" s="103"/>
      <c r="NM3638" s="103"/>
      <c r="QT3638" s="106"/>
      <c r="QU3638" s="106"/>
      <c r="QV3638" s="106"/>
      <c r="QW3638" s="106"/>
      <c r="QX3638" s="106"/>
      <c r="QY3638" s="106"/>
      <c r="QZ3638" s="106"/>
      <c r="RA3638" s="106"/>
      <c r="RB3638" s="106"/>
      <c r="RC3638" s="106"/>
      <c r="RD3638" s="106"/>
      <c r="RE3638" s="106"/>
      <c r="RF3638" s="106"/>
      <c r="RG3638" s="106"/>
      <c r="RH3638" s="106"/>
      <c r="RI3638" s="106"/>
      <c r="RJ3638" s="106"/>
      <c r="RK3638" s="106"/>
      <c r="RL3638" s="106"/>
    </row>
    <row r="3639" spans="48:480" x14ac:dyDescent="0.3">
      <c r="AV3639" s="103"/>
      <c r="CJ3639" s="103"/>
      <c r="FP3639" s="103"/>
      <c r="LL3639" s="103"/>
      <c r="NM3639" s="103"/>
      <c r="QT3639" s="106"/>
      <c r="QU3639" s="106"/>
      <c r="QV3639" s="106"/>
      <c r="QW3639" s="106"/>
      <c r="QX3639" s="106"/>
      <c r="QY3639" s="106"/>
      <c r="QZ3639" s="106"/>
      <c r="RA3639" s="106"/>
      <c r="RB3639" s="106"/>
      <c r="RC3639" s="106"/>
      <c r="RD3639" s="106"/>
      <c r="RE3639" s="106"/>
      <c r="RF3639" s="106"/>
      <c r="RG3639" s="106"/>
      <c r="RH3639" s="106"/>
      <c r="RI3639" s="106"/>
      <c r="RJ3639" s="106"/>
      <c r="RK3639" s="106"/>
      <c r="RL3639" s="106"/>
    </row>
    <row r="3640" spans="48:480" x14ac:dyDescent="0.3">
      <c r="AV3640" s="103"/>
      <c r="CJ3640" s="103"/>
      <c r="FP3640" s="103"/>
      <c r="LL3640" s="103"/>
      <c r="NM3640" s="103"/>
      <c r="QT3640" s="106"/>
      <c r="QU3640" s="106"/>
      <c r="QV3640" s="106"/>
      <c r="QW3640" s="106"/>
      <c r="QX3640" s="106"/>
      <c r="QY3640" s="106"/>
      <c r="QZ3640" s="106"/>
      <c r="RA3640" s="106"/>
      <c r="RB3640" s="106"/>
      <c r="RC3640" s="106"/>
      <c r="RD3640" s="106"/>
      <c r="RE3640" s="106"/>
      <c r="RF3640" s="106"/>
      <c r="RG3640" s="106"/>
      <c r="RH3640" s="106"/>
      <c r="RI3640" s="106"/>
      <c r="RJ3640" s="106"/>
      <c r="RK3640" s="106"/>
      <c r="RL3640" s="106"/>
    </row>
    <row r="3641" spans="48:480" x14ac:dyDescent="0.3">
      <c r="AV3641" s="103"/>
      <c r="CJ3641" s="103"/>
      <c r="FP3641" s="103"/>
      <c r="LL3641" s="103"/>
      <c r="NM3641" s="103"/>
      <c r="QT3641" s="106"/>
      <c r="QU3641" s="106"/>
      <c r="QV3641" s="106"/>
      <c r="QW3641" s="106"/>
      <c r="QX3641" s="106"/>
      <c r="QY3641" s="106"/>
      <c r="QZ3641" s="106"/>
      <c r="RA3641" s="106"/>
      <c r="RB3641" s="106"/>
      <c r="RC3641" s="106"/>
      <c r="RD3641" s="106"/>
      <c r="RE3641" s="106"/>
      <c r="RF3641" s="106"/>
      <c r="RG3641" s="106"/>
      <c r="RH3641" s="106"/>
      <c r="RI3641" s="106"/>
      <c r="RJ3641" s="106"/>
      <c r="RK3641" s="106"/>
      <c r="RL3641" s="106"/>
    </row>
    <row r="3642" spans="48:480" x14ac:dyDescent="0.3">
      <c r="AV3642" s="103"/>
      <c r="CJ3642" s="103"/>
      <c r="FP3642" s="103"/>
      <c r="LL3642" s="103"/>
      <c r="NM3642" s="103"/>
      <c r="QT3642" s="106"/>
      <c r="QU3642" s="106"/>
      <c r="QV3642" s="106"/>
      <c r="QW3642" s="106"/>
      <c r="QX3642" s="106"/>
      <c r="QY3642" s="106"/>
      <c r="QZ3642" s="106"/>
      <c r="RA3642" s="106"/>
      <c r="RB3642" s="106"/>
      <c r="RC3642" s="106"/>
      <c r="RD3642" s="106"/>
      <c r="RE3642" s="106"/>
      <c r="RF3642" s="106"/>
      <c r="RG3642" s="106"/>
      <c r="RH3642" s="106"/>
      <c r="RI3642" s="106"/>
      <c r="RJ3642" s="106"/>
      <c r="RK3642" s="106"/>
      <c r="RL3642" s="106"/>
    </row>
    <row r="3643" spans="48:480" x14ac:dyDescent="0.3">
      <c r="AV3643" s="103"/>
      <c r="CJ3643" s="103"/>
      <c r="FP3643" s="103"/>
      <c r="LL3643" s="103"/>
      <c r="NM3643" s="103"/>
      <c r="QT3643" s="106"/>
      <c r="QU3643" s="106"/>
      <c r="QV3643" s="106"/>
      <c r="QW3643" s="106"/>
      <c r="QX3643" s="106"/>
      <c r="QY3643" s="106"/>
      <c r="QZ3643" s="106"/>
      <c r="RA3643" s="106"/>
      <c r="RB3643" s="106"/>
      <c r="RC3643" s="106"/>
      <c r="RD3643" s="106"/>
      <c r="RE3643" s="106"/>
      <c r="RF3643" s="106"/>
      <c r="RG3643" s="106"/>
      <c r="RH3643" s="106"/>
      <c r="RI3643" s="106"/>
      <c r="RJ3643" s="106"/>
      <c r="RK3643" s="106"/>
      <c r="RL3643" s="106"/>
    </row>
    <row r="3644" spans="48:480" x14ac:dyDescent="0.3">
      <c r="AV3644" s="103"/>
      <c r="CJ3644" s="103"/>
      <c r="FP3644" s="103"/>
      <c r="LL3644" s="103"/>
      <c r="NM3644" s="103"/>
      <c r="QT3644" s="106"/>
      <c r="QU3644" s="106"/>
      <c r="QV3644" s="106"/>
      <c r="QW3644" s="106"/>
      <c r="QX3644" s="106"/>
      <c r="QY3644" s="106"/>
      <c r="QZ3644" s="106"/>
      <c r="RA3644" s="106"/>
      <c r="RB3644" s="106"/>
      <c r="RC3644" s="106"/>
      <c r="RD3644" s="106"/>
      <c r="RE3644" s="106"/>
      <c r="RF3644" s="106"/>
      <c r="RG3644" s="106"/>
      <c r="RH3644" s="106"/>
      <c r="RI3644" s="106"/>
      <c r="RJ3644" s="106"/>
      <c r="RK3644" s="106"/>
      <c r="RL3644" s="106"/>
    </row>
    <row r="3645" spans="48:480" x14ac:dyDescent="0.3">
      <c r="AV3645" s="103"/>
      <c r="CJ3645" s="103"/>
      <c r="FP3645" s="103"/>
      <c r="LL3645" s="103"/>
      <c r="NM3645" s="103"/>
      <c r="QT3645" s="106"/>
      <c r="QU3645" s="106"/>
      <c r="QV3645" s="106"/>
      <c r="QW3645" s="106"/>
      <c r="QX3645" s="106"/>
      <c r="QY3645" s="106"/>
      <c r="QZ3645" s="106"/>
      <c r="RA3645" s="106"/>
      <c r="RB3645" s="106"/>
      <c r="RC3645" s="106"/>
      <c r="RD3645" s="106"/>
      <c r="RE3645" s="106"/>
      <c r="RF3645" s="106"/>
      <c r="RG3645" s="106"/>
      <c r="RH3645" s="106"/>
      <c r="RI3645" s="106"/>
      <c r="RJ3645" s="106"/>
      <c r="RK3645" s="106"/>
      <c r="RL3645" s="106"/>
    </row>
    <row r="3646" spans="48:480" x14ac:dyDescent="0.3">
      <c r="AV3646" s="103"/>
      <c r="CJ3646" s="103"/>
      <c r="FP3646" s="103"/>
      <c r="LL3646" s="103"/>
      <c r="NM3646" s="103"/>
      <c r="QT3646" s="106"/>
      <c r="QU3646" s="106"/>
      <c r="QV3646" s="106"/>
      <c r="QW3646" s="106"/>
      <c r="QX3646" s="106"/>
      <c r="QY3646" s="106"/>
      <c r="QZ3646" s="106"/>
      <c r="RA3646" s="106"/>
      <c r="RB3646" s="106"/>
      <c r="RC3646" s="106"/>
      <c r="RD3646" s="106"/>
      <c r="RE3646" s="106"/>
      <c r="RF3646" s="106"/>
      <c r="RG3646" s="106"/>
      <c r="RH3646" s="106"/>
      <c r="RI3646" s="106"/>
      <c r="RJ3646" s="106"/>
      <c r="RK3646" s="106"/>
      <c r="RL3646" s="106"/>
    </row>
    <row r="3647" spans="48:480" x14ac:dyDescent="0.3">
      <c r="AV3647" s="103"/>
      <c r="CJ3647" s="103"/>
      <c r="FP3647" s="103"/>
      <c r="LL3647" s="103"/>
      <c r="NM3647" s="103"/>
      <c r="QT3647" s="106"/>
      <c r="QU3647" s="106"/>
      <c r="QV3647" s="106"/>
      <c r="QW3647" s="106"/>
      <c r="QX3647" s="106"/>
      <c r="QY3647" s="106"/>
      <c r="QZ3647" s="106"/>
      <c r="RA3647" s="106"/>
      <c r="RB3647" s="106"/>
      <c r="RC3647" s="106"/>
      <c r="RD3647" s="106"/>
      <c r="RE3647" s="106"/>
      <c r="RF3647" s="106"/>
      <c r="RG3647" s="106"/>
      <c r="RH3647" s="106"/>
      <c r="RI3647" s="106"/>
      <c r="RJ3647" s="106"/>
      <c r="RK3647" s="106"/>
      <c r="RL3647" s="106"/>
    </row>
    <row r="3648" spans="48:480" x14ac:dyDescent="0.3">
      <c r="AV3648" s="103"/>
      <c r="CJ3648" s="103"/>
      <c r="FP3648" s="103"/>
      <c r="LL3648" s="103"/>
      <c r="NM3648" s="103"/>
      <c r="QT3648" s="106"/>
      <c r="QU3648" s="106"/>
      <c r="QV3648" s="106"/>
      <c r="QW3648" s="106"/>
      <c r="QX3648" s="106"/>
      <c r="QY3648" s="106"/>
      <c r="QZ3648" s="106"/>
      <c r="RA3648" s="106"/>
      <c r="RB3648" s="106"/>
      <c r="RC3648" s="106"/>
      <c r="RD3648" s="106"/>
      <c r="RE3648" s="106"/>
      <c r="RF3648" s="106"/>
      <c r="RG3648" s="106"/>
      <c r="RH3648" s="106"/>
      <c r="RI3648" s="106"/>
      <c r="RJ3648" s="106"/>
      <c r="RK3648" s="106"/>
      <c r="RL3648" s="106"/>
    </row>
    <row r="3649" spans="48:480" x14ac:dyDescent="0.3">
      <c r="AV3649" s="103"/>
      <c r="CJ3649" s="103"/>
      <c r="FP3649" s="103"/>
      <c r="LL3649" s="103"/>
      <c r="NM3649" s="103"/>
      <c r="QT3649" s="106"/>
      <c r="QU3649" s="106"/>
      <c r="QV3649" s="106"/>
      <c r="QW3649" s="106"/>
      <c r="QX3649" s="106"/>
      <c r="QY3649" s="106"/>
      <c r="QZ3649" s="106"/>
      <c r="RA3649" s="106"/>
      <c r="RB3649" s="106"/>
      <c r="RC3649" s="106"/>
      <c r="RD3649" s="106"/>
      <c r="RE3649" s="106"/>
      <c r="RF3649" s="106"/>
      <c r="RG3649" s="106"/>
      <c r="RH3649" s="106"/>
      <c r="RI3649" s="106"/>
      <c r="RJ3649" s="106"/>
      <c r="RK3649" s="106"/>
      <c r="RL3649" s="106"/>
    </row>
    <row r="3650" spans="48:480" x14ac:dyDescent="0.3">
      <c r="AV3650" s="103"/>
      <c r="CJ3650" s="103"/>
      <c r="FP3650" s="103"/>
      <c r="LL3650" s="103"/>
      <c r="NM3650" s="103"/>
      <c r="QT3650" s="106"/>
      <c r="QU3650" s="106"/>
      <c r="QV3650" s="106"/>
      <c r="QW3650" s="106"/>
      <c r="QX3650" s="106"/>
      <c r="QY3650" s="106"/>
      <c r="QZ3650" s="106"/>
      <c r="RA3650" s="106"/>
      <c r="RB3650" s="106"/>
      <c r="RC3650" s="106"/>
      <c r="RD3650" s="106"/>
      <c r="RE3650" s="106"/>
      <c r="RF3650" s="106"/>
      <c r="RG3650" s="106"/>
      <c r="RH3650" s="106"/>
      <c r="RI3650" s="106"/>
      <c r="RJ3650" s="106"/>
      <c r="RK3650" s="106"/>
      <c r="RL3650" s="106"/>
    </row>
    <row r="3651" spans="48:480" x14ac:dyDescent="0.3">
      <c r="AV3651" s="103"/>
      <c r="CJ3651" s="103"/>
      <c r="FP3651" s="103"/>
      <c r="LL3651" s="103"/>
      <c r="NM3651" s="103"/>
      <c r="QT3651" s="106"/>
      <c r="QU3651" s="106"/>
      <c r="QV3651" s="106"/>
      <c r="QW3651" s="106"/>
      <c r="QX3651" s="106"/>
      <c r="QY3651" s="106"/>
      <c r="QZ3651" s="106"/>
      <c r="RA3651" s="106"/>
      <c r="RB3651" s="106"/>
      <c r="RC3651" s="106"/>
      <c r="RD3651" s="106"/>
      <c r="RE3651" s="106"/>
      <c r="RF3651" s="106"/>
      <c r="RG3651" s="106"/>
      <c r="RH3651" s="106"/>
      <c r="RI3651" s="106"/>
      <c r="RJ3651" s="106"/>
      <c r="RK3651" s="106"/>
      <c r="RL3651" s="106"/>
    </row>
    <row r="3652" spans="48:480" x14ac:dyDescent="0.3">
      <c r="AV3652" s="103"/>
      <c r="CJ3652" s="103"/>
      <c r="FP3652" s="103"/>
      <c r="LL3652" s="103"/>
      <c r="NM3652" s="103"/>
      <c r="QT3652" s="106"/>
      <c r="QU3652" s="106"/>
      <c r="QV3652" s="106"/>
      <c r="QW3652" s="106"/>
      <c r="QX3652" s="106"/>
      <c r="QY3652" s="106"/>
      <c r="QZ3652" s="106"/>
      <c r="RA3652" s="106"/>
      <c r="RB3652" s="106"/>
      <c r="RC3652" s="106"/>
      <c r="RD3652" s="106"/>
      <c r="RE3652" s="106"/>
      <c r="RF3652" s="106"/>
      <c r="RG3652" s="106"/>
      <c r="RH3652" s="106"/>
      <c r="RI3652" s="106"/>
      <c r="RJ3652" s="106"/>
      <c r="RK3652" s="106"/>
      <c r="RL3652" s="106"/>
    </row>
    <row r="3653" spans="48:480" x14ac:dyDescent="0.3">
      <c r="AV3653" s="103"/>
      <c r="CJ3653" s="103"/>
      <c r="FP3653" s="103"/>
      <c r="LL3653" s="103"/>
      <c r="NM3653" s="103"/>
      <c r="QT3653" s="106"/>
      <c r="QU3653" s="106"/>
      <c r="QV3653" s="106"/>
      <c r="QW3653" s="106"/>
      <c r="QX3653" s="106"/>
      <c r="QY3653" s="106"/>
      <c r="QZ3653" s="106"/>
      <c r="RA3653" s="106"/>
      <c r="RB3653" s="106"/>
      <c r="RC3653" s="106"/>
      <c r="RD3653" s="106"/>
      <c r="RE3653" s="106"/>
      <c r="RF3653" s="106"/>
      <c r="RG3653" s="106"/>
      <c r="RH3653" s="106"/>
      <c r="RI3653" s="106"/>
      <c r="RJ3653" s="106"/>
      <c r="RK3653" s="106"/>
      <c r="RL3653" s="106"/>
    </row>
    <row r="3654" spans="48:480" x14ac:dyDescent="0.3">
      <c r="AV3654" s="103"/>
      <c r="CJ3654" s="103"/>
      <c r="FP3654" s="103"/>
      <c r="LL3654" s="103"/>
      <c r="NM3654" s="103"/>
      <c r="QT3654" s="106"/>
      <c r="QU3654" s="106"/>
      <c r="QV3654" s="106"/>
      <c r="QW3654" s="106"/>
      <c r="QX3654" s="106"/>
      <c r="QY3654" s="106"/>
      <c r="QZ3654" s="106"/>
      <c r="RA3654" s="106"/>
      <c r="RB3654" s="106"/>
      <c r="RC3654" s="106"/>
      <c r="RD3654" s="106"/>
      <c r="RE3654" s="106"/>
      <c r="RF3654" s="106"/>
      <c r="RG3654" s="106"/>
      <c r="RH3654" s="106"/>
      <c r="RI3654" s="106"/>
      <c r="RJ3654" s="106"/>
      <c r="RK3654" s="106"/>
      <c r="RL3654" s="106"/>
    </row>
    <row r="3655" spans="48:480" x14ac:dyDescent="0.3">
      <c r="AV3655" s="103"/>
      <c r="CJ3655" s="103"/>
      <c r="FP3655" s="103"/>
      <c r="LL3655" s="103"/>
      <c r="NM3655" s="103"/>
      <c r="QT3655" s="106"/>
      <c r="QU3655" s="106"/>
      <c r="QV3655" s="106"/>
      <c r="QW3655" s="106"/>
      <c r="QX3655" s="106"/>
      <c r="QY3655" s="106"/>
      <c r="QZ3655" s="106"/>
      <c r="RA3655" s="106"/>
      <c r="RB3655" s="106"/>
      <c r="RC3655" s="106"/>
      <c r="RD3655" s="106"/>
      <c r="RE3655" s="106"/>
      <c r="RF3655" s="106"/>
      <c r="RG3655" s="106"/>
      <c r="RH3655" s="106"/>
      <c r="RI3655" s="106"/>
      <c r="RJ3655" s="106"/>
      <c r="RK3655" s="106"/>
      <c r="RL3655" s="106"/>
    </row>
    <row r="3656" spans="48:480" x14ac:dyDescent="0.3">
      <c r="AV3656" s="103"/>
      <c r="CJ3656" s="103"/>
      <c r="FP3656" s="103"/>
      <c r="LL3656" s="103"/>
      <c r="NM3656" s="103"/>
      <c r="QT3656" s="106"/>
      <c r="QU3656" s="106"/>
      <c r="QV3656" s="106"/>
      <c r="QW3656" s="106"/>
      <c r="QX3656" s="106"/>
      <c r="QY3656" s="106"/>
      <c r="QZ3656" s="106"/>
      <c r="RA3656" s="106"/>
      <c r="RB3656" s="106"/>
      <c r="RC3656" s="106"/>
      <c r="RD3656" s="106"/>
      <c r="RE3656" s="106"/>
      <c r="RF3656" s="106"/>
      <c r="RG3656" s="106"/>
      <c r="RH3656" s="106"/>
      <c r="RI3656" s="106"/>
      <c r="RJ3656" s="106"/>
      <c r="RK3656" s="106"/>
      <c r="RL3656" s="106"/>
    </row>
    <row r="3657" spans="48:480" x14ac:dyDescent="0.3">
      <c r="AV3657" s="103"/>
      <c r="CJ3657" s="103"/>
      <c r="FP3657" s="103"/>
      <c r="LL3657" s="103"/>
      <c r="NM3657" s="103"/>
      <c r="QT3657" s="106"/>
      <c r="QU3657" s="106"/>
      <c r="QV3657" s="106"/>
      <c r="QW3657" s="106"/>
      <c r="QX3657" s="106"/>
      <c r="QY3657" s="106"/>
      <c r="QZ3657" s="106"/>
      <c r="RA3657" s="106"/>
      <c r="RB3657" s="106"/>
      <c r="RC3657" s="106"/>
      <c r="RD3657" s="106"/>
      <c r="RE3657" s="106"/>
      <c r="RF3657" s="106"/>
      <c r="RG3657" s="106"/>
      <c r="RH3657" s="106"/>
      <c r="RI3657" s="106"/>
      <c r="RJ3657" s="106"/>
      <c r="RK3657" s="106"/>
      <c r="RL3657" s="106"/>
    </row>
    <row r="3658" spans="48:480" x14ac:dyDescent="0.3">
      <c r="AV3658" s="103"/>
      <c r="CJ3658" s="103"/>
      <c r="FP3658" s="103"/>
      <c r="LL3658" s="103"/>
      <c r="NM3658" s="103"/>
      <c r="QT3658" s="106"/>
      <c r="QU3658" s="106"/>
      <c r="QV3658" s="106"/>
      <c r="QW3658" s="106"/>
      <c r="QX3658" s="106"/>
      <c r="QY3658" s="106"/>
      <c r="QZ3658" s="106"/>
      <c r="RA3658" s="106"/>
      <c r="RB3658" s="106"/>
      <c r="RC3658" s="106"/>
      <c r="RD3658" s="106"/>
      <c r="RE3658" s="106"/>
      <c r="RF3658" s="106"/>
      <c r="RG3658" s="106"/>
      <c r="RH3658" s="106"/>
      <c r="RI3658" s="106"/>
      <c r="RJ3658" s="106"/>
      <c r="RK3658" s="106"/>
      <c r="RL3658" s="106"/>
    </row>
    <row r="3659" spans="48:480" x14ac:dyDescent="0.3">
      <c r="CJ3659" s="103"/>
      <c r="FP3659" s="103"/>
      <c r="LL3659" s="103"/>
      <c r="NM3659" s="103"/>
      <c r="QT3659" s="106"/>
      <c r="QU3659" s="106"/>
      <c r="QV3659" s="106"/>
      <c r="QW3659" s="106"/>
      <c r="QX3659" s="106"/>
      <c r="QY3659" s="106"/>
      <c r="QZ3659" s="106"/>
      <c r="RA3659" s="106"/>
      <c r="RB3659" s="106"/>
      <c r="RC3659" s="106"/>
      <c r="RD3659" s="106"/>
      <c r="RE3659" s="106"/>
      <c r="RF3659" s="106"/>
      <c r="RG3659" s="106"/>
      <c r="RH3659" s="106"/>
      <c r="RI3659" s="106"/>
      <c r="RJ3659" s="106"/>
      <c r="RK3659" s="106"/>
      <c r="RL3659" s="106"/>
    </row>
    <row r="3660" spans="48:480" x14ac:dyDescent="0.3">
      <c r="CJ3660" s="103"/>
      <c r="FP3660" s="103"/>
      <c r="LL3660" s="103"/>
      <c r="NM3660" s="103"/>
      <c r="QT3660" s="106"/>
      <c r="QU3660" s="106"/>
      <c r="QV3660" s="106"/>
      <c r="QW3660" s="106"/>
      <c r="QX3660" s="106"/>
      <c r="QY3660" s="106"/>
      <c r="QZ3660" s="106"/>
      <c r="RA3660" s="106"/>
      <c r="RB3660" s="106"/>
      <c r="RC3660" s="106"/>
      <c r="RD3660" s="106"/>
      <c r="RE3660" s="106"/>
      <c r="RF3660" s="106"/>
      <c r="RG3660" s="106"/>
      <c r="RH3660" s="106"/>
      <c r="RI3660" s="106"/>
      <c r="RJ3660" s="106"/>
      <c r="RK3660" s="106"/>
      <c r="RL3660" s="106"/>
    </row>
    <row r="3661" spans="48:480" x14ac:dyDescent="0.3">
      <c r="CJ3661" s="103"/>
      <c r="FP3661" s="103"/>
      <c r="LL3661" s="103"/>
      <c r="NM3661" s="103"/>
      <c r="QT3661" s="106"/>
      <c r="QU3661" s="106"/>
      <c r="QV3661" s="106"/>
      <c r="QW3661" s="106"/>
      <c r="QX3661" s="106"/>
      <c r="QY3661" s="106"/>
      <c r="QZ3661" s="106"/>
      <c r="RA3661" s="106"/>
      <c r="RB3661" s="106"/>
      <c r="RC3661" s="106"/>
      <c r="RD3661" s="106"/>
      <c r="RE3661" s="106"/>
      <c r="RF3661" s="106"/>
      <c r="RG3661" s="106"/>
      <c r="RH3661" s="106"/>
      <c r="RI3661" s="106"/>
      <c r="RJ3661" s="106"/>
      <c r="RK3661" s="106"/>
      <c r="RL3661" s="106"/>
    </row>
    <row r="3662" spans="48:480" x14ac:dyDescent="0.3">
      <c r="CJ3662" s="103"/>
      <c r="FP3662" s="103"/>
      <c r="LL3662" s="103"/>
      <c r="NM3662" s="103"/>
      <c r="QT3662" s="106"/>
      <c r="QU3662" s="106"/>
      <c r="QV3662" s="106"/>
      <c r="QW3662" s="106"/>
      <c r="QX3662" s="106"/>
      <c r="QY3662" s="106"/>
      <c r="QZ3662" s="106"/>
      <c r="RA3662" s="106"/>
      <c r="RB3662" s="106"/>
      <c r="RC3662" s="106"/>
      <c r="RD3662" s="106"/>
      <c r="RE3662" s="106"/>
      <c r="RF3662" s="106"/>
      <c r="RG3662" s="106"/>
      <c r="RH3662" s="106"/>
      <c r="RI3662" s="106"/>
      <c r="RJ3662" s="106"/>
      <c r="RK3662" s="106"/>
      <c r="RL3662" s="106"/>
    </row>
    <row r="3663" spans="48:480" x14ac:dyDescent="0.3">
      <c r="AV3663" s="103"/>
      <c r="CJ3663" s="103"/>
      <c r="FP3663" s="103"/>
      <c r="LL3663" s="103"/>
      <c r="NM3663" s="103"/>
      <c r="QT3663" s="106"/>
      <c r="QU3663" s="106"/>
      <c r="QV3663" s="106"/>
      <c r="QW3663" s="106"/>
      <c r="QX3663" s="106"/>
      <c r="QY3663" s="106"/>
      <c r="QZ3663" s="106"/>
      <c r="RA3663" s="106"/>
      <c r="RB3663" s="106"/>
      <c r="RC3663" s="106"/>
      <c r="RD3663" s="106"/>
      <c r="RE3663" s="106"/>
      <c r="RF3663" s="106"/>
      <c r="RG3663" s="106"/>
      <c r="RH3663" s="106"/>
      <c r="RI3663" s="106"/>
      <c r="RJ3663" s="106"/>
      <c r="RK3663" s="106"/>
      <c r="RL3663" s="106"/>
    </row>
    <row r="3664" spans="48:480" x14ac:dyDescent="0.3">
      <c r="AV3664" s="103"/>
      <c r="CJ3664" s="103"/>
      <c r="FP3664" s="103"/>
      <c r="LL3664" s="103"/>
      <c r="NM3664" s="103"/>
      <c r="QT3664" s="106"/>
      <c r="QU3664" s="106"/>
      <c r="QV3664" s="106"/>
      <c r="QW3664" s="106"/>
      <c r="QX3664" s="106"/>
      <c r="QY3664" s="106"/>
      <c r="QZ3664" s="106"/>
      <c r="RA3664" s="106"/>
      <c r="RB3664" s="106"/>
      <c r="RC3664" s="106"/>
      <c r="RD3664" s="106"/>
      <c r="RE3664" s="106"/>
      <c r="RF3664" s="106"/>
      <c r="RG3664" s="106"/>
      <c r="RH3664" s="106"/>
      <c r="RI3664" s="106"/>
      <c r="RJ3664" s="106"/>
      <c r="RK3664" s="106"/>
      <c r="RL3664" s="106"/>
    </row>
    <row r="3665" spans="48:480" x14ac:dyDescent="0.3">
      <c r="AV3665" s="103"/>
      <c r="CJ3665" s="103"/>
      <c r="FP3665" s="103"/>
      <c r="LL3665" s="103"/>
      <c r="NM3665" s="103"/>
      <c r="QT3665" s="106"/>
      <c r="QU3665" s="106"/>
      <c r="QV3665" s="106"/>
      <c r="QW3665" s="106"/>
      <c r="QX3665" s="106"/>
      <c r="QY3665" s="106"/>
      <c r="QZ3665" s="106"/>
      <c r="RA3665" s="106"/>
      <c r="RB3665" s="106"/>
      <c r="RC3665" s="106"/>
      <c r="RD3665" s="106"/>
      <c r="RE3665" s="106"/>
      <c r="RF3665" s="106"/>
      <c r="RG3665" s="106"/>
      <c r="RH3665" s="106"/>
      <c r="RI3665" s="106"/>
      <c r="RJ3665" s="106"/>
      <c r="RK3665" s="106"/>
      <c r="RL3665" s="106"/>
    </row>
    <row r="3666" spans="48:480" x14ac:dyDescent="0.3">
      <c r="AV3666" s="103"/>
      <c r="CJ3666" s="103"/>
      <c r="FP3666" s="103"/>
      <c r="LL3666" s="103"/>
      <c r="NM3666" s="103"/>
      <c r="QT3666" s="106"/>
      <c r="QU3666" s="106"/>
      <c r="QV3666" s="106"/>
      <c r="QW3666" s="106"/>
      <c r="QX3666" s="106"/>
      <c r="QY3666" s="106"/>
      <c r="QZ3666" s="106"/>
      <c r="RA3666" s="106"/>
      <c r="RB3666" s="106"/>
      <c r="RC3666" s="106"/>
      <c r="RD3666" s="106"/>
      <c r="RE3666" s="106"/>
      <c r="RF3666" s="106"/>
      <c r="RG3666" s="106"/>
      <c r="RH3666" s="106"/>
      <c r="RI3666" s="106"/>
      <c r="RJ3666" s="106"/>
      <c r="RK3666" s="106"/>
      <c r="RL3666" s="106"/>
    </row>
    <row r="3667" spans="48:480" x14ac:dyDescent="0.3">
      <c r="AV3667" s="103"/>
      <c r="CJ3667" s="103"/>
      <c r="FP3667" s="103"/>
      <c r="LL3667" s="103"/>
      <c r="NM3667" s="103"/>
      <c r="QT3667" s="106"/>
      <c r="QU3667" s="106"/>
      <c r="QV3667" s="106"/>
      <c r="QW3667" s="106"/>
      <c r="QX3667" s="106"/>
      <c r="QY3667" s="106"/>
      <c r="QZ3667" s="106"/>
      <c r="RA3667" s="106"/>
      <c r="RB3667" s="106"/>
      <c r="RC3667" s="106"/>
      <c r="RD3667" s="106"/>
      <c r="RE3667" s="106"/>
      <c r="RF3667" s="106"/>
      <c r="RG3667" s="106"/>
      <c r="RH3667" s="106"/>
      <c r="RI3667" s="106"/>
      <c r="RJ3667" s="106"/>
      <c r="RK3667" s="106"/>
      <c r="RL3667" s="106"/>
    </row>
    <row r="3668" spans="48:480" x14ac:dyDescent="0.3">
      <c r="AV3668" s="103"/>
      <c r="CJ3668" s="103"/>
      <c r="FP3668" s="103"/>
      <c r="LL3668" s="103"/>
      <c r="NM3668" s="103"/>
      <c r="QT3668" s="106"/>
      <c r="QU3668" s="106"/>
      <c r="QV3668" s="106"/>
      <c r="QW3668" s="106"/>
      <c r="QX3668" s="106"/>
      <c r="QY3668" s="106"/>
      <c r="QZ3668" s="106"/>
      <c r="RA3668" s="106"/>
      <c r="RB3668" s="106"/>
      <c r="RC3668" s="106"/>
      <c r="RD3668" s="106"/>
      <c r="RE3668" s="106"/>
      <c r="RF3668" s="106"/>
      <c r="RG3668" s="106"/>
      <c r="RH3668" s="106"/>
      <c r="RI3668" s="106"/>
      <c r="RJ3668" s="106"/>
      <c r="RK3668" s="106"/>
      <c r="RL3668" s="106"/>
    </row>
    <row r="3669" spans="48:480" x14ac:dyDescent="0.3">
      <c r="AV3669" s="103"/>
      <c r="CJ3669" s="103"/>
      <c r="FP3669" s="103"/>
      <c r="LL3669" s="103"/>
      <c r="NM3669" s="103"/>
      <c r="QT3669" s="106"/>
      <c r="QU3669" s="106"/>
      <c r="QV3669" s="106"/>
      <c r="QW3669" s="106"/>
      <c r="QX3669" s="106"/>
      <c r="QY3669" s="106"/>
      <c r="QZ3669" s="106"/>
      <c r="RA3669" s="106"/>
      <c r="RB3669" s="106"/>
      <c r="RC3669" s="106"/>
      <c r="RD3669" s="106"/>
      <c r="RE3669" s="106"/>
      <c r="RF3669" s="106"/>
      <c r="RG3669" s="106"/>
      <c r="RH3669" s="106"/>
      <c r="RI3669" s="106"/>
      <c r="RJ3669" s="106"/>
      <c r="RK3669" s="106"/>
      <c r="RL3669" s="106"/>
    </row>
    <row r="3670" spans="48:480" x14ac:dyDescent="0.3">
      <c r="AV3670" s="103"/>
      <c r="CJ3670" s="103"/>
      <c r="FP3670" s="103"/>
      <c r="LL3670" s="103"/>
      <c r="NM3670" s="103"/>
      <c r="QT3670" s="106"/>
      <c r="QU3670" s="106"/>
      <c r="QV3670" s="106"/>
      <c r="QW3670" s="106"/>
      <c r="QX3670" s="106"/>
      <c r="QY3670" s="106"/>
      <c r="QZ3670" s="106"/>
      <c r="RA3670" s="106"/>
      <c r="RB3670" s="106"/>
      <c r="RC3670" s="106"/>
      <c r="RD3670" s="106"/>
      <c r="RE3670" s="106"/>
      <c r="RF3670" s="106"/>
      <c r="RG3670" s="106"/>
      <c r="RH3670" s="106"/>
      <c r="RI3670" s="106"/>
      <c r="RJ3670" s="106"/>
      <c r="RK3670" s="106"/>
      <c r="RL3670" s="106"/>
    </row>
    <row r="3671" spans="48:480" x14ac:dyDescent="0.3">
      <c r="AV3671" s="103"/>
      <c r="CJ3671" s="103"/>
      <c r="FP3671" s="103"/>
      <c r="LL3671" s="103"/>
      <c r="NM3671" s="103"/>
      <c r="QT3671" s="106"/>
      <c r="QU3671" s="106"/>
      <c r="QV3671" s="106"/>
      <c r="QW3671" s="106"/>
      <c r="QX3671" s="106"/>
      <c r="QY3671" s="106"/>
      <c r="QZ3671" s="106"/>
      <c r="RA3671" s="106"/>
      <c r="RB3671" s="106"/>
      <c r="RC3671" s="106"/>
      <c r="RD3671" s="106"/>
      <c r="RE3671" s="106"/>
      <c r="RF3671" s="106"/>
      <c r="RG3671" s="106"/>
      <c r="RH3671" s="106"/>
      <c r="RI3671" s="106"/>
      <c r="RJ3671" s="106"/>
      <c r="RK3671" s="106"/>
      <c r="RL3671" s="106"/>
    </row>
    <row r="3672" spans="48:480" x14ac:dyDescent="0.3">
      <c r="AV3672" s="103"/>
      <c r="CJ3672" s="103"/>
      <c r="FP3672" s="103"/>
      <c r="LL3672" s="103"/>
      <c r="NM3672" s="103"/>
      <c r="QT3672" s="106"/>
      <c r="QU3672" s="106"/>
      <c r="QV3672" s="106"/>
      <c r="QW3672" s="106"/>
      <c r="QX3672" s="106"/>
      <c r="QY3672" s="106"/>
      <c r="QZ3672" s="106"/>
      <c r="RA3672" s="106"/>
      <c r="RB3672" s="106"/>
      <c r="RC3672" s="106"/>
      <c r="RD3672" s="106"/>
      <c r="RE3672" s="106"/>
      <c r="RF3672" s="106"/>
      <c r="RG3672" s="106"/>
      <c r="RH3672" s="106"/>
      <c r="RI3672" s="106"/>
      <c r="RJ3672" s="106"/>
      <c r="RK3672" s="106"/>
      <c r="RL3672" s="106"/>
    </row>
    <row r="3673" spans="48:480" x14ac:dyDescent="0.3">
      <c r="AV3673" s="103"/>
      <c r="CJ3673" s="103"/>
      <c r="FP3673" s="103"/>
      <c r="LL3673" s="103"/>
      <c r="NM3673" s="103"/>
      <c r="QT3673" s="106"/>
      <c r="QU3673" s="106"/>
      <c r="QV3673" s="106"/>
      <c r="QW3673" s="106"/>
      <c r="QX3673" s="106"/>
      <c r="QY3673" s="106"/>
      <c r="QZ3673" s="106"/>
      <c r="RA3673" s="106"/>
      <c r="RB3673" s="106"/>
      <c r="RC3673" s="106"/>
      <c r="RD3673" s="106"/>
      <c r="RE3673" s="106"/>
      <c r="RF3673" s="106"/>
      <c r="RG3673" s="106"/>
      <c r="RH3673" s="106"/>
      <c r="RI3673" s="106"/>
      <c r="RJ3673" s="106"/>
      <c r="RK3673" s="106"/>
      <c r="RL3673" s="106"/>
    </row>
    <row r="3674" spans="48:480" x14ac:dyDescent="0.3">
      <c r="AV3674" s="103"/>
      <c r="CJ3674" s="103"/>
      <c r="FP3674" s="103"/>
      <c r="LL3674" s="103"/>
      <c r="NM3674" s="103"/>
      <c r="QT3674" s="106"/>
      <c r="QU3674" s="106"/>
      <c r="QV3674" s="106"/>
      <c r="QW3674" s="106"/>
      <c r="QX3674" s="106"/>
      <c r="QY3674" s="106"/>
      <c r="QZ3674" s="106"/>
      <c r="RA3674" s="106"/>
      <c r="RB3674" s="106"/>
      <c r="RC3674" s="106"/>
      <c r="RD3674" s="106"/>
      <c r="RE3674" s="106"/>
      <c r="RF3674" s="106"/>
      <c r="RG3674" s="106"/>
      <c r="RH3674" s="106"/>
      <c r="RI3674" s="106"/>
      <c r="RJ3674" s="106"/>
      <c r="RK3674" s="106"/>
      <c r="RL3674" s="106"/>
    </row>
    <row r="3675" spans="48:480" x14ac:dyDescent="0.3">
      <c r="AV3675" s="103"/>
      <c r="CJ3675" s="103"/>
      <c r="FP3675" s="103"/>
      <c r="LL3675" s="103"/>
      <c r="NM3675" s="103"/>
      <c r="QT3675" s="106"/>
      <c r="QU3675" s="106"/>
      <c r="QV3675" s="106"/>
      <c r="QW3675" s="106"/>
      <c r="QX3675" s="106"/>
      <c r="QY3675" s="106"/>
      <c r="QZ3675" s="106"/>
      <c r="RA3675" s="106"/>
      <c r="RB3675" s="106"/>
      <c r="RC3675" s="106"/>
      <c r="RD3675" s="106"/>
      <c r="RE3675" s="106"/>
      <c r="RF3675" s="106"/>
      <c r="RG3675" s="106"/>
      <c r="RH3675" s="106"/>
      <c r="RI3675" s="106"/>
      <c r="RJ3675" s="106"/>
      <c r="RK3675" s="106"/>
      <c r="RL3675" s="106"/>
    </row>
    <row r="3676" spans="48:480" x14ac:dyDescent="0.3">
      <c r="AV3676" s="103"/>
      <c r="CJ3676" s="103"/>
      <c r="FP3676" s="103"/>
      <c r="LL3676" s="103"/>
      <c r="NM3676" s="103"/>
      <c r="QT3676" s="106"/>
      <c r="QU3676" s="106"/>
      <c r="QV3676" s="106"/>
      <c r="QW3676" s="106"/>
      <c r="QX3676" s="106"/>
      <c r="QY3676" s="106"/>
      <c r="QZ3676" s="106"/>
      <c r="RA3676" s="106"/>
      <c r="RB3676" s="106"/>
      <c r="RC3676" s="106"/>
      <c r="RD3676" s="106"/>
      <c r="RE3676" s="106"/>
      <c r="RF3676" s="106"/>
      <c r="RG3676" s="106"/>
      <c r="RH3676" s="106"/>
      <c r="RI3676" s="106"/>
      <c r="RJ3676" s="106"/>
      <c r="RK3676" s="106"/>
      <c r="RL3676" s="106"/>
    </row>
    <row r="3677" spans="48:480" x14ac:dyDescent="0.3">
      <c r="AV3677" s="103"/>
      <c r="CJ3677" s="103"/>
      <c r="FP3677" s="103"/>
      <c r="LL3677" s="103"/>
      <c r="NM3677" s="103"/>
      <c r="QT3677" s="106"/>
      <c r="QU3677" s="106"/>
      <c r="QV3677" s="106"/>
      <c r="QW3677" s="106"/>
      <c r="QX3677" s="106"/>
      <c r="QY3677" s="106"/>
      <c r="QZ3677" s="106"/>
      <c r="RA3677" s="106"/>
      <c r="RB3677" s="106"/>
      <c r="RC3677" s="106"/>
      <c r="RD3677" s="106"/>
      <c r="RE3677" s="106"/>
      <c r="RF3677" s="106"/>
      <c r="RG3677" s="106"/>
      <c r="RH3677" s="106"/>
      <c r="RI3677" s="106"/>
      <c r="RJ3677" s="106"/>
      <c r="RK3677" s="106"/>
      <c r="RL3677" s="106"/>
    </row>
    <row r="3678" spans="48:480" x14ac:dyDescent="0.3">
      <c r="AV3678" s="103"/>
      <c r="CJ3678" s="103"/>
      <c r="FP3678" s="103"/>
      <c r="LL3678" s="103"/>
      <c r="NM3678" s="103"/>
      <c r="QT3678" s="106"/>
      <c r="QU3678" s="106"/>
      <c r="QV3678" s="106"/>
      <c r="QW3678" s="106"/>
      <c r="QX3678" s="106"/>
      <c r="QY3678" s="106"/>
      <c r="QZ3678" s="106"/>
      <c r="RA3678" s="106"/>
      <c r="RB3678" s="106"/>
      <c r="RC3678" s="106"/>
      <c r="RD3678" s="106"/>
      <c r="RE3678" s="106"/>
      <c r="RF3678" s="106"/>
      <c r="RG3678" s="106"/>
      <c r="RH3678" s="106"/>
      <c r="RI3678" s="106"/>
      <c r="RJ3678" s="106"/>
      <c r="RK3678" s="106"/>
      <c r="RL3678" s="106"/>
    </row>
    <row r="3679" spans="48:480" x14ac:dyDescent="0.3">
      <c r="AV3679" s="103"/>
      <c r="CJ3679" s="103"/>
      <c r="FP3679" s="103"/>
      <c r="LL3679" s="103"/>
      <c r="NM3679" s="103"/>
      <c r="QT3679" s="106"/>
      <c r="QU3679" s="106"/>
      <c r="QV3679" s="106"/>
      <c r="QW3679" s="106"/>
      <c r="QX3679" s="106"/>
      <c r="QY3679" s="106"/>
      <c r="QZ3679" s="106"/>
      <c r="RA3679" s="106"/>
      <c r="RB3679" s="106"/>
      <c r="RC3679" s="106"/>
      <c r="RD3679" s="106"/>
      <c r="RE3679" s="106"/>
      <c r="RF3679" s="106"/>
      <c r="RG3679" s="106"/>
      <c r="RH3679" s="106"/>
      <c r="RI3679" s="106"/>
      <c r="RJ3679" s="106"/>
      <c r="RK3679" s="106"/>
      <c r="RL3679" s="106"/>
    </row>
    <row r="3680" spans="48:480" x14ac:dyDescent="0.3">
      <c r="AV3680" s="103"/>
      <c r="CJ3680" s="103"/>
      <c r="FP3680" s="103"/>
      <c r="LL3680" s="103"/>
      <c r="NM3680" s="103"/>
      <c r="QT3680" s="106"/>
      <c r="QU3680" s="106"/>
      <c r="QV3680" s="106"/>
      <c r="QW3680" s="106"/>
      <c r="QX3680" s="106"/>
      <c r="QY3680" s="106"/>
      <c r="QZ3680" s="106"/>
      <c r="RA3680" s="106"/>
      <c r="RB3680" s="106"/>
      <c r="RC3680" s="106"/>
      <c r="RD3680" s="106"/>
      <c r="RE3680" s="106"/>
      <c r="RF3680" s="106"/>
      <c r="RG3680" s="106"/>
      <c r="RH3680" s="106"/>
      <c r="RI3680" s="106"/>
      <c r="RJ3680" s="106"/>
      <c r="RK3680" s="106"/>
      <c r="RL3680" s="106"/>
    </row>
    <row r="3681" spans="48:480" x14ac:dyDescent="0.3">
      <c r="AV3681" s="103"/>
      <c r="CJ3681" s="103"/>
      <c r="FP3681" s="103"/>
      <c r="LL3681" s="103"/>
      <c r="NM3681" s="103"/>
      <c r="QT3681" s="106"/>
      <c r="QU3681" s="106"/>
      <c r="QV3681" s="106"/>
      <c r="QW3681" s="106"/>
      <c r="QX3681" s="106"/>
      <c r="QY3681" s="106"/>
      <c r="QZ3681" s="106"/>
      <c r="RA3681" s="106"/>
      <c r="RB3681" s="106"/>
      <c r="RC3681" s="106"/>
      <c r="RD3681" s="106"/>
      <c r="RE3681" s="106"/>
      <c r="RF3681" s="106"/>
      <c r="RG3681" s="106"/>
      <c r="RH3681" s="106"/>
      <c r="RI3681" s="106"/>
      <c r="RJ3681" s="106"/>
      <c r="RK3681" s="106"/>
      <c r="RL3681" s="106"/>
    </row>
    <row r="3682" spans="48:480" x14ac:dyDescent="0.3">
      <c r="AV3682" s="103"/>
      <c r="CJ3682" s="103"/>
      <c r="FP3682" s="103"/>
      <c r="LL3682" s="103"/>
      <c r="NM3682" s="103"/>
      <c r="QT3682" s="106"/>
      <c r="QU3682" s="106"/>
      <c r="QV3682" s="106"/>
      <c r="QW3682" s="106"/>
      <c r="QX3682" s="106"/>
      <c r="QY3682" s="106"/>
      <c r="QZ3682" s="106"/>
      <c r="RA3682" s="106"/>
      <c r="RB3682" s="106"/>
      <c r="RC3682" s="106"/>
      <c r="RD3682" s="106"/>
      <c r="RE3682" s="106"/>
      <c r="RF3682" s="106"/>
      <c r="RG3682" s="106"/>
      <c r="RH3682" s="106"/>
      <c r="RI3682" s="106"/>
      <c r="RJ3682" s="106"/>
      <c r="RK3682" s="106"/>
      <c r="RL3682" s="106"/>
    </row>
    <row r="3683" spans="48:480" x14ac:dyDescent="0.3">
      <c r="AV3683" s="103"/>
      <c r="CJ3683" s="103"/>
      <c r="FP3683" s="103"/>
      <c r="LL3683" s="103"/>
      <c r="NM3683" s="103"/>
      <c r="QT3683" s="106"/>
      <c r="QU3683" s="106"/>
      <c r="QV3683" s="106"/>
      <c r="QW3683" s="106"/>
      <c r="QX3683" s="106"/>
      <c r="QY3683" s="106"/>
      <c r="QZ3683" s="106"/>
      <c r="RA3683" s="106"/>
      <c r="RB3683" s="106"/>
      <c r="RC3683" s="106"/>
      <c r="RD3683" s="106"/>
      <c r="RE3683" s="106"/>
      <c r="RF3683" s="106"/>
      <c r="RG3683" s="106"/>
      <c r="RH3683" s="106"/>
      <c r="RI3683" s="106"/>
      <c r="RJ3683" s="106"/>
      <c r="RK3683" s="106"/>
      <c r="RL3683" s="106"/>
    </row>
    <row r="3684" spans="48:480" x14ac:dyDescent="0.3">
      <c r="AV3684" s="103"/>
      <c r="CJ3684" s="103"/>
      <c r="FP3684" s="103"/>
      <c r="LL3684" s="103"/>
      <c r="NM3684" s="103"/>
      <c r="QT3684" s="106"/>
      <c r="QU3684" s="106"/>
      <c r="QV3684" s="106"/>
      <c r="QW3684" s="106"/>
      <c r="QX3684" s="106"/>
      <c r="QY3684" s="106"/>
      <c r="QZ3684" s="106"/>
      <c r="RA3684" s="106"/>
      <c r="RB3684" s="106"/>
      <c r="RC3684" s="106"/>
      <c r="RD3684" s="106"/>
      <c r="RE3684" s="106"/>
      <c r="RF3684" s="106"/>
      <c r="RG3684" s="106"/>
      <c r="RH3684" s="106"/>
      <c r="RI3684" s="106"/>
      <c r="RJ3684" s="106"/>
      <c r="RK3684" s="106"/>
      <c r="RL3684" s="106"/>
    </row>
    <row r="3685" spans="48:480" x14ac:dyDescent="0.3">
      <c r="AV3685" s="103"/>
      <c r="CJ3685" s="103"/>
      <c r="FP3685" s="103"/>
      <c r="LL3685" s="103"/>
      <c r="NM3685" s="103"/>
      <c r="QT3685" s="106"/>
      <c r="QU3685" s="106"/>
      <c r="QV3685" s="106"/>
      <c r="QW3685" s="106"/>
      <c r="QX3685" s="106"/>
      <c r="QY3685" s="106"/>
      <c r="QZ3685" s="106"/>
      <c r="RA3685" s="106"/>
      <c r="RB3685" s="106"/>
      <c r="RC3685" s="106"/>
      <c r="RD3685" s="106"/>
      <c r="RE3685" s="106"/>
      <c r="RF3685" s="106"/>
      <c r="RG3685" s="106"/>
      <c r="RH3685" s="106"/>
      <c r="RI3685" s="106"/>
      <c r="RJ3685" s="106"/>
      <c r="RK3685" s="106"/>
      <c r="RL3685" s="106"/>
    </row>
    <row r="3686" spans="48:480" x14ac:dyDescent="0.3">
      <c r="AV3686" s="103"/>
      <c r="CJ3686" s="103"/>
      <c r="FP3686" s="103"/>
      <c r="LL3686" s="103"/>
      <c r="NM3686" s="103"/>
      <c r="QT3686" s="106"/>
      <c r="QU3686" s="106"/>
      <c r="QV3686" s="106"/>
      <c r="QW3686" s="106"/>
      <c r="QX3686" s="106"/>
      <c r="QY3686" s="106"/>
      <c r="QZ3686" s="106"/>
      <c r="RA3686" s="106"/>
      <c r="RB3686" s="106"/>
      <c r="RC3686" s="106"/>
      <c r="RD3686" s="106"/>
      <c r="RE3686" s="106"/>
      <c r="RF3686" s="106"/>
      <c r="RG3686" s="106"/>
      <c r="RH3686" s="106"/>
      <c r="RI3686" s="106"/>
      <c r="RJ3686" s="106"/>
      <c r="RK3686" s="106"/>
      <c r="RL3686" s="106"/>
    </row>
    <row r="3687" spans="48:480" x14ac:dyDescent="0.3">
      <c r="AV3687" s="103"/>
      <c r="CJ3687" s="103"/>
      <c r="FP3687" s="103"/>
      <c r="LL3687" s="103"/>
      <c r="NM3687" s="103"/>
      <c r="QT3687" s="106"/>
      <c r="QU3687" s="106"/>
      <c r="QV3687" s="106"/>
      <c r="QW3687" s="106"/>
      <c r="QX3687" s="106"/>
      <c r="QY3687" s="106"/>
      <c r="QZ3687" s="106"/>
      <c r="RA3687" s="106"/>
      <c r="RB3687" s="106"/>
      <c r="RC3687" s="106"/>
      <c r="RD3687" s="106"/>
      <c r="RE3687" s="106"/>
      <c r="RF3687" s="106"/>
      <c r="RG3687" s="106"/>
      <c r="RH3687" s="106"/>
      <c r="RI3687" s="106"/>
      <c r="RJ3687" s="106"/>
      <c r="RK3687" s="106"/>
      <c r="RL3687" s="106"/>
    </row>
    <row r="3688" spans="48:480" x14ac:dyDescent="0.3">
      <c r="AV3688" s="103"/>
      <c r="CJ3688" s="103"/>
      <c r="FP3688" s="103"/>
      <c r="LL3688" s="103"/>
      <c r="NM3688" s="103"/>
      <c r="QT3688" s="106"/>
      <c r="QU3688" s="106"/>
      <c r="QV3688" s="106"/>
      <c r="QW3688" s="106"/>
      <c r="QX3688" s="106"/>
      <c r="QY3688" s="106"/>
      <c r="QZ3688" s="106"/>
      <c r="RA3688" s="106"/>
      <c r="RB3688" s="106"/>
      <c r="RC3688" s="106"/>
      <c r="RD3688" s="106"/>
      <c r="RE3688" s="106"/>
      <c r="RF3688" s="106"/>
      <c r="RG3688" s="106"/>
      <c r="RH3688" s="106"/>
      <c r="RI3688" s="106"/>
      <c r="RJ3688" s="106"/>
      <c r="RK3688" s="106"/>
      <c r="RL3688" s="106"/>
    </row>
    <row r="3689" spans="48:480" x14ac:dyDescent="0.3">
      <c r="AV3689" s="103"/>
      <c r="CJ3689" s="103"/>
      <c r="FP3689" s="103"/>
      <c r="LL3689" s="103"/>
      <c r="NM3689" s="103"/>
      <c r="QT3689" s="106"/>
      <c r="QU3689" s="106"/>
      <c r="QV3689" s="106"/>
      <c r="QW3689" s="106"/>
      <c r="QX3689" s="106"/>
      <c r="QY3689" s="106"/>
      <c r="QZ3689" s="106"/>
      <c r="RA3689" s="106"/>
      <c r="RB3689" s="106"/>
      <c r="RC3689" s="106"/>
      <c r="RD3689" s="106"/>
      <c r="RE3689" s="106"/>
      <c r="RF3689" s="106"/>
      <c r="RG3689" s="106"/>
      <c r="RH3689" s="106"/>
      <c r="RI3689" s="106"/>
      <c r="RJ3689" s="106"/>
      <c r="RK3689" s="106"/>
      <c r="RL3689" s="106"/>
    </row>
    <row r="3690" spans="48:480" x14ac:dyDescent="0.3">
      <c r="AV3690" s="103"/>
      <c r="CJ3690" s="103"/>
      <c r="FP3690" s="103"/>
      <c r="LL3690" s="103"/>
      <c r="NM3690" s="103"/>
      <c r="QT3690" s="106"/>
      <c r="QU3690" s="106"/>
      <c r="QV3690" s="106"/>
      <c r="QW3690" s="106"/>
      <c r="QX3690" s="106"/>
      <c r="QY3690" s="106"/>
      <c r="QZ3690" s="106"/>
      <c r="RA3690" s="106"/>
      <c r="RB3690" s="106"/>
      <c r="RC3690" s="106"/>
      <c r="RD3690" s="106"/>
      <c r="RE3690" s="106"/>
      <c r="RF3690" s="106"/>
      <c r="RG3690" s="106"/>
      <c r="RH3690" s="106"/>
      <c r="RI3690" s="106"/>
      <c r="RJ3690" s="106"/>
      <c r="RK3690" s="106"/>
      <c r="RL3690" s="106"/>
    </row>
    <row r="3691" spans="48:480" x14ac:dyDescent="0.3">
      <c r="AV3691" s="103"/>
      <c r="CJ3691" s="103"/>
      <c r="FP3691" s="103"/>
      <c r="LL3691" s="103"/>
      <c r="NM3691" s="103"/>
      <c r="QT3691" s="106"/>
      <c r="QU3691" s="106"/>
      <c r="QV3691" s="106"/>
      <c r="QW3691" s="106"/>
      <c r="QX3691" s="106"/>
      <c r="QY3691" s="106"/>
      <c r="QZ3691" s="106"/>
      <c r="RA3691" s="106"/>
      <c r="RB3691" s="106"/>
      <c r="RC3691" s="106"/>
      <c r="RD3691" s="106"/>
      <c r="RE3691" s="106"/>
      <c r="RF3691" s="106"/>
      <c r="RG3691" s="106"/>
      <c r="RH3691" s="106"/>
      <c r="RI3691" s="106"/>
      <c r="RJ3691" s="106"/>
      <c r="RK3691" s="106"/>
      <c r="RL3691" s="106"/>
    </row>
    <row r="3692" spans="48:480" x14ac:dyDescent="0.3">
      <c r="AV3692" s="103"/>
      <c r="CJ3692" s="103"/>
      <c r="FP3692" s="103"/>
      <c r="LL3692" s="103"/>
      <c r="NM3692" s="103"/>
      <c r="QT3692" s="106"/>
      <c r="QU3692" s="106"/>
      <c r="QV3692" s="106"/>
      <c r="QW3692" s="106"/>
      <c r="QX3692" s="106"/>
      <c r="QY3692" s="106"/>
      <c r="QZ3692" s="106"/>
      <c r="RA3692" s="106"/>
      <c r="RB3692" s="106"/>
      <c r="RC3692" s="106"/>
      <c r="RD3692" s="106"/>
      <c r="RE3692" s="106"/>
      <c r="RF3692" s="106"/>
      <c r="RG3692" s="106"/>
      <c r="RH3692" s="106"/>
      <c r="RI3692" s="106"/>
      <c r="RJ3692" s="106"/>
      <c r="RK3692" s="106"/>
      <c r="RL3692" s="106"/>
    </row>
    <row r="3693" spans="48:480" x14ac:dyDescent="0.3">
      <c r="AV3693" s="103"/>
      <c r="CJ3693" s="103"/>
      <c r="FP3693" s="103"/>
      <c r="LL3693" s="103"/>
      <c r="NM3693" s="103"/>
      <c r="QT3693" s="106"/>
      <c r="QU3693" s="106"/>
      <c r="QV3693" s="106"/>
      <c r="QW3693" s="106"/>
      <c r="QX3693" s="106"/>
      <c r="QY3693" s="106"/>
      <c r="QZ3693" s="106"/>
      <c r="RA3693" s="106"/>
      <c r="RB3693" s="106"/>
      <c r="RC3693" s="106"/>
      <c r="RD3693" s="106"/>
      <c r="RE3693" s="106"/>
      <c r="RF3693" s="106"/>
      <c r="RG3693" s="106"/>
      <c r="RH3693" s="106"/>
      <c r="RI3693" s="106"/>
      <c r="RJ3693" s="106"/>
      <c r="RK3693" s="106"/>
      <c r="RL3693" s="106"/>
    </row>
    <row r="3694" spans="48:480" x14ac:dyDescent="0.3">
      <c r="AV3694" s="103"/>
      <c r="CJ3694" s="103"/>
      <c r="FP3694" s="103"/>
      <c r="LL3694" s="103"/>
      <c r="NM3694" s="103"/>
      <c r="QT3694" s="106"/>
      <c r="QU3694" s="106"/>
      <c r="QV3694" s="106"/>
      <c r="QW3694" s="106"/>
      <c r="QX3694" s="106"/>
      <c r="QY3694" s="106"/>
      <c r="QZ3694" s="106"/>
      <c r="RA3694" s="106"/>
      <c r="RB3694" s="106"/>
      <c r="RC3694" s="106"/>
      <c r="RD3694" s="106"/>
      <c r="RE3694" s="106"/>
      <c r="RF3694" s="106"/>
      <c r="RG3694" s="106"/>
      <c r="RH3694" s="106"/>
      <c r="RI3694" s="106"/>
      <c r="RJ3694" s="106"/>
      <c r="RK3694" s="106"/>
      <c r="RL3694" s="106"/>
    </row>
    <row r="3695" spans="48:480" x14ac:dyDescent="0.3">
      <c r="AV3695" s="103"/>
      <c r="CJ3695" s="103"/>
      <c r="FP3695" s="103"/>
      <c r="LL3695" s="103"/>
      <c r="NM3695" s="103"/>
      <c r="QT3695" s="106"/>
      <c r="QU3695" s="106"/>
      <c r="QV3695" s="106"/>
      <c r="QW3695" s="106"/>
      <c r="QX3695" s="106"/>
      <c r="QY3695" s="106"/>
      <c r="QZ3695" s="106"/>
      <c r="RA3695" s="106"/>
      <c r="RB3695" s="106"/>
      <c r="RC3695" s="106"/>
      <c r="RD3695" s="106"/>
      <c r="RE3695" s="106"/>
      <c r="RF3695" s="106"/>
      <c r="RG3695" s="106"/>
      <c r="RH3695" s="106"/>
      <c r="RI3695" s="106"/>
      <c r="RJ3695" s="106"/>
      <c r="RK3695" s="106"/>
      <c r="RL3695" s="106"/>
    </row>
    <row r="3696" spans="48:480" x14ac:dyDescent="0.3">
      <c r="CJ3696" s="103"/>
      <c r="FP3696" s="103"/>
      <c r="LL3696" s="103"/>
      <c r="NM3696" s="103"/>
      <c r="QT3696" s="106"/>
      <c r="QU3696" s="106"/>
      <c r="QV3696" s="106"/>
      <c r="QW3696" s="106"/>
      <c r="QX3696" s="106"/>
      <c r="QY3696" s="106"/>
      <c r="QZ3696" s="106"/>
      <c r="RA3696" s="106"/>
      <c r="RB3696" s="106"/>
      <c r="RC3696" s="106"/>
      <c r="RD3696" s="106"/>
      <c r="RE3696" s="106"/>
      <c r="RF3696" s="106"/>
      <c r="RG3696" s="106"/>
      <c r="RH3696" s="106"/>
      <c r="RI3696" s="106"/>
      <c r="RJ3696" s="106"/>
      <c r="RK3696" s="106"/>
      <c r="RL3696" s="106"/>
    </row>
    <row r="3697" spans="48:480" x14ac:dyDescent="0.3">
      <c r="AV3697" s="103"/>
      <c r="CJ3697" s="103"/>
      <c r="FP3697" s="103"/>
      <c r="LL3697" s="103"/>
      <c r="NM3697" s="103"/>
      <c r="QT3697" s="106"/>
      <c r="QU3697" s="106"/>
      <c r="QV3697" s="106"/>
      <c r="QW3697" s="106"/>
      <c r="QX3697" s="106"/>
      <c r="QY3697" s="106"/>
      <c r="QZ3697" s="106"/>
      <c r="RA3697" s="106"/>
      <c r="RB3697" s="106"/>
      <c r="RC3697" s="106"/>
      <c r="RD3697" s="106"/>
      <c r="RE3697" s="106"/>
      <c r="RF3697" s="106"/>
      <c r="RG3697" s="106"/>
      <c r="RH3697" s="106"/>
      <c r="RI3697" s="106"/>
      <c r="RJ3697" s="106"/>
      <c r="RK3697" s="106"/>
      <c r="RL3697" s="106"/>
    </row>
    <row r="3698" spans="48:480" x14ac:dyDescent="0.3">
      <c r="AV3698" s="103"/>
      <c r="CJ3698" s="103"/>
      <c r="FP3698" s="103"/>
      <c r="LL3698" s="103"/>
      <c r="NM3698" s="103"/>
      <c r="QT3698" s="106"/>
      <c r="QU3698" s="106"/>
      <c r="QV3698" s="106"/>
      <c r="QW3698" s="106"/>
      <c r="QX3698" s="106"/>
      <c r="QY3698" s="106"/>
      <c r="QZ3698" s="106"/>
      <c r="RA3698" s="106"/>
      <c r="RB3698" s="106"/>
      <c r="RC3698" s="106"/>
      <c r="RD3698" s="106"/>
      <c r="RE3698" s="106"/>
      <c r="RF3698" s="106"/>
      <c r="RG3698" s="106"/>
      <c r="RH3698" s="106"/>
      <c r="RI3698" s="106"/>
      <c r="RJ3698" s="106"/>
      <c r="RK3698" s="106"/>
      <c r="RL3698" s="106"/>
    </row>
    <row r="3699" spans="48:480" x14ac:dyDescent="0.3">
      <c r="CJ3699" s="103"/>
      <c r="FP3699" s="103"/>
      <c r="LL3699" s="103"/>
      <c r="NM3699" s="103"/>
      <c r="QT3699" s="106"/>
      <c r="QU3699" s="106"/>
      <c r="QV3699" s="106"/>
      <c r="QW3699" s="106"/>
      <c r="QX3699" s="106"/>
      <c r="QY3699" s="106"/>
      <c r="QZ3699" s="106"/>
      <c r="RA3699" s="106"/>
      <c r="RB3699" s="106"/>
      <c r="RC3699" s="106"/>
      <c r="RD3699" s="106"/>
      <c r="RE3699" s="106"/>
      <c r="RF3699" s="106"/>
      <c r="RG3699" s="106"/>
      <c r="RH3699" s="106"/>
      <c r="RI3699" s="106"/>
      <c r="RJ3699" s="106"/>
      <c r="RK3699" s="106"/>
      <c r="RL3699" s="106"/>
    </row>
    <row r="3700" spans="48:480" x14ac:dyDescent="0.3">
      <c r="CJ3700" s="103"/>
      <c r="FP3700" s="103"/>
      <c r="LL3700" s="103"/>
      <c r="NM3700" s="103"/>
      <c r="QT3700" s="106"/>
      <c r="QU3700" s="106"/>
      <c r="QV3700" s="106"/>
      <c r="QW3700" s="106"/>
      <c r="QX3700" s="106"/>
      <c r="QY3700" s="106"/>
      <c r="QZ3700" s="106"/>
      <c r="RA3700" s="106"/>
      <c r="RB3700" s="106"/>
      <c r="RC3700" s="106"/>
      <c r="RD3700" s="106"/>
      <c r="RE3700" s="106"/>
      <c r="RF3700" s="106"/>
      <c r="RG3700" s="106"/>
      <c r="RH3700" s="106"/>
      <c r="RI3700" s="106"/>
      <c r="RJ3700" s="106"/>
      <c r="RK3700" s="106"/>
      <c r="RL3700" s="106"/>
    </row>
    <row r="3701" spans="48:480" x14ac:dyDescent="0.3">
      <c r="CJ3701" s="103"/>
      <c r="FP3701" s="103"/>
      <c r="LL3701" s="103"/>
      <c r="NM3701" s="103"/>
      <c r="QT3701" s="106"/>
      <c r="QU3701" s="106"/>
      <c r="QV3701" s="106"/>
      <c r="QW3701" s="106"/>
      <c r="QX3701" s="106"/>
      <c r="QY3701" s="106"/>
      <c r="QZ3701" s="106"/>
      <c r="RA3701" s="106"/>
      <c r="RB3701" s="106"/>
      <c r="RC3701" s="106"/>
      <c r="RD3701" s="106"/>
      <c r="RE3701" s="106"/>
      <c r="RF3701" s="106"/>
      <c r="RG3701" s="106"/>
      <c r="RH3701" s="106"/>
      <c r="RI3701" s="106"/>
      <c r="RJ3701" s="106"/>
      <c r="RK3701" s="106"/>
      <c r="RL3701" s="106"/>
    </row>
    <row r="3702" spans="48:480" x14ac:dyDescent="0.3">
      <c r="CJ3702" s="103"/>
      <c r="FP3702" s="103"/>
      <c r="LL3702" s="103"/>
      <c r="NM3702" s="103"/>
      <c r="QT3702" s="106"/>
      <c r="QU3702" s="106"/>
      <c r="QV3702" s="106"/>
      <c r="QW3702" s="106"/>
      <c r="QX3702" s="106"/>
      <c r="QY3702" s="106"/>
      <c r="QZ3702" s="106"/>
      <c r="RA3702" s="106"/>
      <c r="RB3702" s="106"/>
      <c r="RC3702" s="106"/>
      <c r="RD3702" s="106"/>
      <c r="RE3702" s="106"/>
      <c r="RF3702" s="106"/>
      <c r="RG3702" s="106"/>
      <c r="RH3702" s="106"/>
      <c r="RI3702" s="106"/>
      <c r="RJ3702" s="106"/>
      <c r="RK3702" s="106"/>
      <c r="RL3702" s="106"/>
    </row>
    <row r="3703" spans="48:480" x14ac:dyDescent="0.3">
      <c r="AV3703" s="103"/>
      <c r="CJ3703" s="103"/>
      <c r="FP3703" s="103"/>
      <c r="LL3703" s="103"/>
      <c r="NM3703" s="103"/>
      <c r="QT3703" s="106"/>
      <c r="QU3703" s="106"/>
      <c r="QV3703" s="106"/>
      <c r="QW3703" s="106"/>
      <c r="QX3703" s="106"/>
      <c r="QY3703" s="106"/>
      <c r="QZ3703" s="106"/>
      <c r="RA3703" s="106"/>
      <c r="RB3703" s="106"/>
      <c r="RC3703" s="106"/>
      <c r="RD3703" s="106"/>
      <c r="RE3703" s="106"/>
      <c r="RF3703" s="106"/>
      <c r="RG3703" s="106"/>
      <c r="RH3703" s="106"/>
      <c r="RI3703" s="106"/>
      <c r="RJ3703" s="106"/>
      <c r="RK3703" s="106"/>
      <c r="RL3703" s="106"/>
    </row>
    <row r="3704" spans="48:480" x14ac:dyDescent="0.3">
      <c r="CJ3704" s="103"/>
      <c r="FP3704" s="103"/>
      <c r="LL3704" s="103"/>
      <c r="NM3704" s="103"/>
      <c r="QT3704" s="106"/>
      <c r="QU3704" s="106"/>
      <c r="QV3704" s="106"/>
      <c r="QW3704" s="106"/>
      <c r="QX3704" s="106"/>
      <c r="QY3704" s="106"/>
      <c r="QZ3704" s="106"/>
      <c r="RA3704" s="106"/>
      <c r="RB3704" s="106"/>
      <c r="RC3704" s="106"/>
      <c r="RD3704" s="106"/>
      <c r="RE3704" s="106"/>
      <c r="RF3704" s="106"/>
      <c r="RG3704" s="106"/>
      <c r="RH3704" s="106"/>
      <c r="RI3704" s="106"/>
      <c r="RJ3704" s="106"/>
      <c r="RK3704" s="106"/>
      <c r="RL3704" s="106"/>
    </row>
    <row r="3705" spans="48:480" x14ac:dyDescent="0.3">
      <c r="AV3705" s="103"/>
      <c r="CJ3705" s="103"/>
      <c r="FP3705" s="103"/>
      <c r="LL3705" s="103"/>
      <c r="NM3705" s="103"/>
      <c r="QT3705" s="106"/>
      <c r="QU3705" s="106"/>
      <c r="QV3705" s="106"/>
      <c r="QW3705" s="106"/>
      <c r="QX3705" s="106"/>
      <c r="QY3705" s="106"/>
      <c r="QZ3705" s="106"/>
      <c r="RA3705" s="106"/>
      <c r="RB3705" s="106"/>
      <c r="RC3705" s="106"/>
      <c r="RD3705" s="106"/>
      <c r="RE3705" s="106"/>
      <c r="RF3705" s="106"/>
      <c r="RG3705" s="106"/>
      <c r="RH3705" s="106"/>
      <c r="RI3705" s="106"/>
      <c r="RJ3705" s="106"/>
      <c r="RK3705" s="106"/>
      <c r="RL3705" s="106"/>
    </row>
    <row r="3706" spans="48:480" x14ac:dyDescent="0.3">
      <c r="AV3706" s="103"/>
      <c r="CJ3706" s="103"/>
      <c r="FP3706" s="103"/>
      <c r="LL3706" s="103"/>
      <c r="NM3706" s="103"/>
      <c r="QT3706" s="106"/>
      <c r="QU3706" s="106"/>
      <c r="QV3706" s="106"/>
      <c r="QW3706" s="106"/>
      <c r="QX3706" s="106"/>
      <c r="QY3706" s="106"/>
      <c r="QZ3706" s="106"/>
      <c r="RA3706" s="106"/>
      <c r="RB3706" s="106"/>
      <c r="RC3706" s="106"/>
      <c r="RD3706" s="106"/>
      <c r="RE3706" s="106"/>
      <c r="RF3706" s="106"/>
      <c r="RG3706" s="106"/>
      <c r="RH3706" s="106"/>
      <c r="RI3706" s="106"/>
      <c r="RJ3706" s="106"/>
      <c r="RK3706" s="106"/>
      <c r="RL3706" s="106"/>
    </row>
    <row r="3707" spans="48:480" x14ac:dyDescent="0.3">
      <c r="AV3707" s="103"/>
      <c r="CJ3707" s="103"/>
      <c r="FP3707" s="103"/>
      <c r="LL3707" s="103"/>
      <c r="NM3707" s="103"/>
      <c r="QT3707" s="106"/>
      <c r="QU3707" s="106"/>
      <c r="QV3707" s="106"/>
      <c r="QW3707" s="106"/>
      <c r="QX3707" s="106"/>
      <c r="QY3707" s="106"/>
      <c r="QZ3707" s="106"/>
      <c r="RA3707" s="106"/>
      <c r="RB3707" s="106"/>
      <c r="RC3707" s="106"/>
      <c r="RD3707" s="106"/>
      <c r="RE3707" s="106"/>
      <c r="RF3707" s="106"/>
      <c r="RG3707" s="106"/>
      <c r="RH3707" s="106"/>
      <c r="RI3707" s="106"/>
      <c r="RJ3707" s="106"/>
      <c r="RK3707" s="106"/>
      <c r="RL3707" s="106"/>
    </row>
    <row r="3708" spans="48:480" x14ac:dyDescent="0.3">
      <c r="AV3708" s="103"/>
      <c r="CJ3708" s="103"/>
      <c r="FP3708" s="103"/>
      <c r="LL3708" s="103"/>
      <c r="NM3708" s="103"/>
      <c r="QT3708" s="106"/>
      <c r="QU3708" s="106"/>
      <c r="QV3708" s="106"/>
      <c r="QW3708" s="106"/>
      <c r="QX3708" s="106"/>
      <c r="QY3708" s="106"/>
      <c r="QZ3708" s="106"/>
      <c r="RA3708" s="106"/>
      <c r="RB3708" s="106"/>
      <c r="RC3708" s="106"/>
      <c r="RD3708" s="106"/>
      <c r="RE3708" s="106"/>
      <c r="RF3708" s="106"/>
      <c r="RG3708" s="106"/>
      <c r="RH3708" s="106"/>
      <c r="RI3708" s="106"/>
      <c r="RJ3708" s="106"/>
      <c r="RK3708" s="106"/>
      <c r="RL3708" s="106"/>
    </row>
    <row r="3709" spans="48:480" x14ac:dyDescent="0.3">
      <c r="AV3709" s="103"/>
      <c r="CJ3709" s="103"/>
      <c r="FP3709" s="103"/>
      <c r="LL3709" s="103"/>
      <c r="NM3709" s="103"/>
      <c r="QT3709" s="106"/>
      <c r="QU3709" s="106"/>
      <c r="QV3709" s="106"/>
      <c r="QW3709" s="106"/>
      <c r="QX3709" s="106"/>
      <c r="QY3709" s="106"/>
      <c r="QZ3709" s="106"/>
      <c r="RA3709" s="106"/>
      <c r="RB3709" s="106"/>
      <c r="RC3709" s="106"/>
      <c r="RD3709" s="106"/>
      <c r="RE3709" s="106"/>
      <c r="RF3709" s="106"/>
      <c r="RG3709" s="106"/>
      <c r="RH3709" s="106"/>
      <c r="RI3709" s="106"/>
      <c r="RJ3709" s="106"/>
      <c r="RK3709" s="106"/>
      <c r="RL3709" s="106"/>
    </row>
    <row r="3710" spans="48:480" x14ac:dyDescent="0.3">
      <c r="AV3710" s="103"/>
      <c r="CJ3710" s="103"/>
      <c r="FP3710" s="103"/>
      <c r="LL3710" s="103"/>
      <c r="NM3710" s="103"/>
      <c r="QT3710" s="106"/>
      <c r="QU3710" s="106"/>
      <c r="QV3710" s="106"/>
      <c r="QW3710" s="106"/>
      <c r="QX3710" s="106"/>
      <c r="QY3710" s="106"/>
      <c r="QZ3710" s="106"/>
      <c r="RA3710" s="106"/>
      <c r="RB3710" s="106"/>
      <c r="RC3710" s="106"/>
      <c r="RD3710" s="106"/>
      <c r="RE3710" s="106"/>
      <c r="RF3710" s="106"/>
      <c r="RG3710" s="106"/>
      <c r="RH3710" s="106"/>
      <c r="RI3710" s="106"/>
      <c r="RJ3710" s="106"/>
      <c r="RK3710" s="106"/>
      <c r="RL3710" s="106"/>
    </row>
    <row r="3711" spans="48:480" x14ac:dyDescent="0.3">
      <c r="AV3711" s="103"/>
      <c r="CJ3711" s="103"/>
      <c r="FP3711" s="103"/>
      <c r="LL3711" s="103"/>
      <c r="NM3711" s="103"/>
      <c r="QT3711" s="106"/>
      <c r="QU3711" s="106"/>
      <c r="QV3711" s="106"/>
      <c r="QW3711" s="106"/>
      <c r="QX3711" s="106"/>
      <c r="QY3711" s="106"/>
      <c r="QZ3711" s="106"/>
      <c r="RA3711" s="106"/>
      <c r="RB3711" s="106"/>
      <c r="RC3711" s="106"/>
      <c r="RD3711" s="106"/>
      <c r="RE3711" s="106"/>
      <c r="RF3711" s="106"/>
      <c r="RG3711" s="106"/>
      <c r="RH3711" s="106"/>
      <c r="RI3711" s="106"/>
      <c r="RJ3711" s="106"/>
      <c r="RK3711" s="106"/>
      <c r="RL3711" s="106"/>
    </row>
    <row r="3712" spans="48:480" x14ac:dyDescent="0.3">
      <c r="AV3712" s="103"/>
      <c r="CJ3712" s="103"/>
      <c r="FP3712" s="103"/>
      <c r="LL3712" s="103"/>
      <c r="NM3712" s="103"/>
      <c r="QT3712" s="106"/>
      <c r="QU3712" s="106"/>
      <c r="QV3712" s="106"/>
      <c r="QW3712" s="106"/>
      <c r="QX3712" s="106"/>
      <c r="QY3712" s="106"/>
      <c r="QZ3712" s="106"/>
      <c r="RA3712" s="106"/>
      <c r="RB3712" s="106"/>
      <c r="RC3712" s="106"/>
      <c r="RD3712" s="106"/>
      <c r="RE3712" s="106"/>
      <c r="RF3712" s="106"/>
      <c r="RG3712" s="106"/>
      <c r="RH3712" s="106"/>
      <c r="RI3712" s="106"/>
      <c r="RJ3712" s="106"/>
      <c r="RK3712" s="106"/>
      <c r="RL3712" s="106"/>
    </row>
    <row r="3713" spans="48:480" x14ac:dyDescent="0.3">
      <c r="AV3713" s="103"/>
      <c r="CJ3713" s="103"/>
      <c r="FP3713" s="103"/>
      <c r="LL3713" s="103"/>
      <c r="NM3713" s="103"/>
      <c r="QT3713" s="106"/>
      <c r="QU3713" s="106"/>
      <c r="QV3713" s="106"/>
      <c r="QW3713" s="106"/>
      <c r="QX3713" s="106"/>
      <c r="QY3713" s="106"/>
      <c r="QZ3713" s="106"/>
      <c r="RA3713" s="106"/>
      <c r="RB3713" s="106"/>
      <c r="RC3713" s="106"/>
      <c r="RD3713" s="106"/>
      <c r="RE3713" s="106"/>
      <c r="RF3713" s="106"/>
      <c r="RG3713" s="106"/>
      <c r="RH3713" s="106"/>
      <c r="RI3713" s="106"/>
      <c r="RJ3713" s="106"/>
      <c r="RK3713" s="106"/>
      <c r="RL3713" s="106"/>
    </row>
    <row r="3714" spans="48:480" x14ac:dyDescent="0.3">
      <c r="AV3714" s="103"/>
      <c r="CJ3714" s="103"/>
      <c r="FP3714" s="103"/>
      <c r="LL3714" s="103"/>
      <c r="NM3714" s="103"/>
      <c r="QT3714" s="106"/>
      <c r="QU3714" s="106"/>
      <c r="QV3714" s="106"/>
      <c r="QW3714" s="106"/>
      <c r="QX3714" s="106"/>
      <c r="QY3714" s="106"/>
      <c r="QZ3714" s="106"/>
      <c r="RA3714" s="106"/>
      <c r="RB3714" s="106"/>
      <c r="RC3714" s="106"/>
      <c r="RD3714" s="106"/>
      <c r="RE3714" s="106"/>
      <c r="RF3714" s="106"/>
      <c r="RG3714" s="106"/>
      <c r="RH3714" s="106"/>
      <c r="RI3714" s="106"/>
      <c r="RJ3714" s="106"/>
      <c r="RK3714" s="106"/>
      <c r="RL3714" s="106"/>
    </row>
    <row r="3715" spans="48:480" x14ac:dyDescent="0.3">
      <c r="AV3715" s="103"/>
      <c r="CJ3715" s="103"/>
      <c r="FP3715" s="103"/>
      <c r="LL3715" s="103"/>
      <c r="NM3715" s="103"/>
      <c r="QT3715" s="106"/>
      <c r="QU3715" s="106"/>
      <c r="QV3715" s="106"/>
      <c r="QW3715" s="106"/>
      <c r="QX3715" s="106"/>
      <c r="QY3715" s="106"/>
      <c r="QZ3715" s="106"/>
      <c r="RA3715" s="106"/>
      <c r="RB3715" s="106"/>
      <c r="RC3715" s="106"/>
      <c r="RD3715" s="106"/>
      <c r="RE3715" s="106"/>
      <c r="RF3715" s="106"/>
      <c r="RG3715" s="106"/>
      <c r="RH3715" s="106"/>
      <c r="RI3715" s="106"/>
      <c r="RJ3715" s="106"/>
      <c r="RK3715" s="106"/>
      <c r="RL3715" s="106"/>
    </row>
    <row r="3716" spans="48:480" x14ac:dyDescent="0.3">
      <c r="AV3716" s="103"/>
      <c r="CJ3716" s="103"/>
      <c r="FP3716" s="103"/>
      <c r="LL3716" s="103"/>
      <c r="NM3716" s="103"/>
      <c r="QT3716" s="106"/>
      <c r="QU3716" s="106"/>
      <c r="QV3716" s="106"/>
      <c r="QW3716" s="106"/>
      <c r="QX3716" s="106"/>
      <c r="QY3716" s="106"/>
      <c r="QZ3716" s="106"/>
      <c r="RA3716" s="106"/>
      <c r="RB3716" s="106"/>
      <c r="RC3716" s="106"/>
      <c r="RD3716" s="106"/>
      <c r="RE3716" s="106"/>
      <c r="RF3716" s="106"/>
      <c r="RG3716" s="106"/>
      <c r="RH3716" s="106"/>
      <c r="RI3716" s="106"/>
      <c r="RJ3716" s="106"/>
      <c r="RK3716" s="106"/>
      <c r="RL3716" s="106"/>
    </row>
    <row r="3717" spans="48:480" x14ac:dyDescent="0.3">
      <c r="AV3717" s="103"/>
      <c r="CJ3717" s="103"/>
      <c r="FP3717" s="103"/>
      <c r="LL3717" s="103"/>
      <c r="NM3717" s="103"/>
      <c r="QT3717" s="106"/>
      <c r="QU3717" s="106"/>
      <c r="QV3717" s="106"/>
      <c r="QW3717" s="106"/>
      <c r="QX3717" s="106"/>
      <c r="QY3717" s="106"/>
      <c r="QZ3717" s="106"/>
      <c r="RA3717" s="106"/>
      <c r="RB3717" s="106"/>
      <c r="RC3717" s="106"/>
      <c r="RD3717" s="106"/>
      <c r="RE3717" s="106"/>
      <c r="RF3717" s="106"/>
      <c r="RG3717" s="106"/>
      <c r="RH3717" s="106"/>
      <c r="RI3717" s="106"/>
      <c r="RJ3717" s="106"/>
      <c r="RK3717" s="106"/>
      <c r="RL3717" s="106"/>
    </row>
    <row r="3718" spans="48:480" x14ac:dyDescent="0.3">
      <c r="AV3718" s="103"/>
      <c r="CJ3718" s="103"/>
      <c r="FP3718" s="103"/>
      <c r="LL3718" s="103"/>
      <c r="NM3718" s="103"/>
      <c r="QT3718" s="106"/>
      <c r="QU3718" s="106"/>
      <c r="QV3718" s="106"/>
      <c r="QW3718" s="106"/>
      <c r="QX3718" s="106"/>
      <c r="QY3718" s="106"/>
      <c r="QZ3718" s="106"/>
      <c r="RA3718" s="106"/>
      <c r="RB3718" s="106"/>
      <c r="RC3718" s="106"/>
      <c r="RD3718" s="106"/>
      <c r="RE3718" s="106"/>
      <c r="RF3718" s="106"/>
      <c r="RG3718" s="106"/>
      <c r="RH3718" s="106"/>
      <c r="RI3718" s="106"/>
      <c r="RJ3718" s="106"/>
      <c r="RK3718" s="106"/>
      <c r="RL3718" s="106"/>
    </row>
    <row r="3719" spans="48:480" x14ac:dyDescent="0.3">
      <c r="AV3719" s="103"/>
      <c r="CJ3719" s="103"/>
      <c r="FP3719" s="103"/>
      <c r="LL3719" s="103"/>
      <c r="NM3719" s="103"/>
      <c r="QT3719" s="106"/>
      <c r="QU3719" s="106"/>
      <c r="QV3719" s="106"/>
      <c r="QW3719" s="106"/>
      <c r="QX3719" s="106"/>
      <c r="QY3719" s="106"/>
      <c r="QZ3719" s="106"/>
      <c r="RA3719" s="106"/>
      <c r="RB3719" s="106"/>
      <c r="RC3719" s="106"/>
      <c r="RD3719" s="106"/>
      <c r="RE3719" s="106"/>
      <c r="RF3719" s="106"/>
      <c r="RG3719" s="106"/>
      <c r="RH3719" s="106"/>
      <c r="RI3719" s="106"/>
      <c r="RJ3719" s="106"/>
      <c r="RK3719" s="106"/>
      <c r="RL3719" s="106"/>
    </row>
    <row r="3720" spans="48:480" x14ac:dyDescent="0.3">
      <c r="AV3720" s="103"/>
      <c r="CJ3720" s="103"/>
      <c r="FP3720" s="103"/>
      <c r="LL3720" s="103"/>
      <c r="NM3720" s="103"/>
      <c r="QT3720" s="106"/>
      <c r="QU3720" s="106"/>
      <c r="QV3720" s="106"/>
      <c r="QW3720" s="106"/>
      <c r="QX3720" s="106"/>
      <c r="QY3720" s="106"/>
      <c r="QZ3720" s="106"/>
      <c r="RA3720" s="106"/>
      <c r="RB3720" s="106"/>
      <c r="RC3720" s="106"/>
      <c r="RD3720" s="106"/>
      <c r="RE3720" s="106"/>
      <c r="RF3720" s="106"/>
      <c r="RG3720" s="106"/>
      <c r="RH3720" s="106"/>
      <c r="RI3720" s="106"/>
      <c r="RJ3720" s="106"/>
      <c r="RK3720" s="106"/>
      <c r="RL3720" s="106"/>
    </row>
    <row r="3721" spans="48:480" x14ac:dyDescent="0.3">
      <c r="AV3721" s="103"/>
      <c r="CJ3721" s="103"/>
      <c r="FP3721" s="103"/>
      <c r="LL3721" s="103"/>
      <c r="NM3721" s="103"/>
      <c r="QT3721" s="106"/>
      <c r="QU3721" s="106"/>
      <c r="QV3721" s="106"/>
      <c r="QW3721" s="106"/>
      <c r="QX3721" s="106"/>
      <c r="QY3721" s="106"/>
      <c r="QZ3721" s="106"/>
      <c r="RA3721" s="106"/>
      <c r="RB3721" s="106"/>
      <c r="RC3721" s="106"/>
      <c r="RD3721" s="106"/>
      <c r="RE3721" s="106"/>
      <c r="RF3721" s="106"/>
      <c r="RG3721" s="106"/>
      <c r="RH3721" s="106"/>
      <c r="RI3721" s="106"/>
      <c r="RJ3721" s="106"/>
      <c r="RK3721" s="106"/>
      <c r="RL3721" s="106"/>
    </row>
    <row r="3722" spans="48:480" x14ac:dyDescent="0.3">
      <c r="AV3722" s="103"/>
      <c r="CJ3722" s="103"/>
      <c r="FP3722" s="103"/>
      <c r="LL3722" s="103"/>
      <c r="NM3722" s="103"/>
      <c r="QT3722" s="106"/>
      <c r="QU3722" s="106"/>
      <c r="QV3722" s="106"/>
      <c r="QW3722" s="106"/>
      <c r="QX3722" s="106"/>
      <c r="QY3722" s="106"/>
      <c r="QZ3722" s="106"/>
      <c r="RA3722" s="106"/>
      <c r="RB3722" s="106"/>
      <c r="RC3722" s="106"/>
      <c r="RD3722" s="106"/>
      <c r="RE3722" s="106"/>
      <c r="RF3722" s="106"/>
      <c r="RG3722" s="106"/>
      <c r="RH3722" s="106"/>
      <c r="RI3722" s="106"/>
      <c r="RJ3722" s="106"/>
      <c r="RK3722" s="106"/>
      <c r="RL3722" s="106"/>
    </row>
    <row r="3723" spans="48:480" x14ac:dyDescent="0.3">
      <c r="AV3723" s="103"/>
      <c r="CJ3723" s="103"/>
      <c r="FP3723" s="103"/>
      <c r="LL3723" s="103"/>
      <c r="NM3723" s="103"/>
      <c r="QT3723" s="106"/>
      <c r="QU3723" s="106"/>
      <c r="QV3723" s="106"/>
      <c r="QW3723" s="106"/>
      <c r="QX3723" s="106"/>
      <c r="QY3723" s="106"/>
      <c r="QZ3723" s="106"/>
      <c r="RA3723" s="106"/>
      <c r="RB3723" s="106"/>
      <c r="RC3723" s="106"/>
      <c r="RD3723" s="106"/>
      <c r="RE3723" s="106"/>
      <c r="RF3723" s="106"/>
      <c r="RG3723" s="106"/>
      <c r="RH3723" s="106"/>
      <c r="RI3723" s="106"/>
      <c r="RJ3723" s="106"/>
      <c r="RK3723" s="106"/>
      <c r="RL3723" s="106"/>
    </row>
    <row r="3724" spans="48:480" x14ac:dyDescent="0.3">
      <c r="AV3724" s="103"/>
      <c r="CJ3724" s="103"/>
      <c r="FP3724" s="103"/>
      <c r="LL3724" s="103"/>
      <c r="NM3724" s="103"/>
      <c r="QT3724" s="106"/>
      <c r="QU3724" s="106"/>
      <c r="QV3724" s="106"/>
      <c r="QW3724" s="106"/>
      <c r="QX3724" s="106"/>
      <c r="QY3724" s="106"/>
      <c r="QZ3724" s="106"/>
      <c r="RA3724" s="106"/>
      <c r="RB3724" s="106"/>
      <c r="RC3724" s="106"/>
      <c r="RD3724" s="106"/>
      <c r="RE3724" s="106"/>
      <c r="RF3724" s="106"/>
      <c r="RG3724" s="106"/>
      <c r="RH3724" s="106"/>
      <c r="RI3724" s="106"/>
      <c r="RJ3724" s="106"/>
      <c r="RK3724" s="106"/>
      <c r="RL3724" s="106"/>
    </row>
    <row r="3725" spans="48:480" x14ac:dyDescent="0.3">
      <c r="AV3725" s="103"/>
      <c r="CJ3725" s="103"/>
      <c r="FP3725" s="103"/>
      <c r="LL3725" s="103"/>
      <c r="NM3725" s="103"/>
      <c r="QT3725" s="106"/>
      <c r="QU3725" s="106"/>
      <c r="QV3725" s="106"/>
      <c r="QW3725" s="106"/>
      <c r="QX3725" s="106"/>
      <c r="QY3725" s="106"/>
      <c r="QZ3725" s="106"/>
      <c r="RA3725" s="106"/>
      <c r="RB3725" s="106"/>
      <c r="RC3725" s="106"/>
      <c r="RD3725" s="106"/>
      <c r="RE3725" s="106"/>
      <c r="RF3725" s="106"/>
      <c r="RG3725" s="106"/>
      <c r="RH3725" s="106"/>
      <c r="RI3725" s="106"/>
      <c r="RJ3725" s="106"/>
      <c r="RK3725" s="106"/>
      <c r="RL3725" s="106"/>
    </row>
    <row r="3726" spans="48:480" x14ac:dyDescent="0.3">
      <c r="AV3726" s="103"/>
      <c r="CJ3726" s="103"/>
      <c r="FP3726" s="103"/>
      <c r="LL3726" s="103"/>
      <c r="NM3726" s="103"/>
      <c r="QT3726" s="106"/>
      <c r="QU3726" s="106"/>
      <c r="QV3726" s="106"/>
      <c r="QW3726" s="106"/>
      <c r="QX3726" s="106"/>
      <c r="QY3726" s="106"/>
      <c r="QZ3726" s="106"/>
      <c r="RA3726" s="106"/>
      <c r="RB3726" s="106"/>
      <c r="RC3726" s="106"/>
      <c r="RD3726" s="106"/>
      <c r="RE3726" s="106"/>
      <c r="RF3726" s="106"/>
      <c r="RG3726" s="106"/>
      <c r="RH3726" s="106"/>
      <c r="RI3726" s="106"/>
      <c r="RJ3726" s="106"/>
      <c r="RK3726" s="106"/>
      <c r="RL3726" s="106"/>
    </row>
    <row r="3727" spans="48:480" x14ac:dyDescent="0.3">
      <c r="AV3727" s="103"/>
      <c r="CJ3727" s="103"/>
      <c r="FP3727" s="103"/>
      <c r="LL3727" s="103"/>
      <c r="NM3727" s="103"/>
      <c r="QT3727" s="106"/>
      <c r="QU3727" s="106"/>
      <c r="QV3727" s="106"/>
      <c r="QW3727" s="106"/>
      <c r="QX3727" s="106"/>
      <c r="QY3727" s="106"/>
      <c r="QZ3727" s="106"/>
      <c r="RA3727" s="106"/>
      <c r="RB3727" s="106"/>
      <c r="RC3727" s="106"/>
      <c r="RD3727" s="106"/>
      <c r="RE3727" s="106"/>
      <c r="RF3727" s="106"/>
      <c r="RG3727" s="106"/>
      <c r="RH3727" s="106"/>
      <c r="RI3727" s="106"/>
      <c r="RJ3727" s="106"/>
      <c r="RK3727" s="106"/>
      <c r="RL3727" s="106"/>
    </row>
    <row r="3728" spans="48:480" x14ac:dyDescent="0.3">
      <c r="AV3728" s="103"/>
      <c r="CJ3728" s="103"/>
      <c r="FP3728" s="103"/>
      <c r="LL3728" s="103"/>
      <c r="NM3728" s="103"/>
      <c r="QT3728" s="106"/>
      <c r="QU3728" s="106"/>
      <c r="QV3728" s="106"/>
      <c r="QW3728" s="106"/>
      <c r="QX3728" s="106"/>
      <c r="QY3728" s="106"/>
      <c r="QZ3728" s="106"/>
      <c r="RA3728" s="106"/>
      <c r="RB3728" s="106"/>
      <c r="RC3728" s="106"/>
      <c r="RD3728" s="106"/>
      <c r="RE3728" s="106"/>
      <c r="RF3728" s="106"/>
      <c r="RG3728" s="106"/>
      <c r="RH3728" s="106"/>
      <c r="RI3728" s="106"/>
      <c r="RJ3728" s="106"/>
      <c r="RK3728" s="106"/>
      <c r="RL3728" s="106"/>
    </row>
    <row r="3729" spans="48:480" x14ac:dyDescent="0.3">
      <c r="AV3729" s="103"/>
      <c r="CJ3729" s="103"/>
      <c r="FP3729" s="103"/>
      <c r="LL3729" s="103"/>
      <c r="NM3729" s="103"/>
      <c r="QT3729" s="106"/>
      <c r="QU3729" s="106"/>
      <c r="QV3729" s="106"/>
      <c r="QW3729" s="106"/>
      <c r="QX3729" s="106"/>
      <c r="QY3729" s="106"/>
      <c r="QZ3729" s="106"/>
      <c r="RA3729" s="106"/>
      <c r="RB3729" s="106"/>
      <c r="RC3729" s="106"/>
      <c r="RD3729" s="106"/>
      <c r="RE3729" s="106"/>
      <c r="RF3729" s="106"/>
      <c r="RG3729" s="106"/>
      <c r="RH3729" s="106"/>
      <c r="RI3729" s="106"/>
      <c r="RJ3729" s="106"/>
      <c r="RK3729" s="106"/>
      <c r="RL3729" s="106"/>
    </row>
    <row r="3730" spans="48:480" x14ac:dyDescent="0.3">
      <c r="AV3730" s="103"/>
      <c r="CJ3730" s="103"/>
      <c r="FP3730" s="103"/>
      <c r="LL3730" s="103"/>
      <c r="NM3730" s="103"/>
      <c r="QT3730" s="106"/>
      <c r="QU3730" s="106"/>
      <c r="QV3730" s="106"/>
      <c r="QW3730" s="106"/>
      <c r="QX3730" s="106"/>
      <c r="QY3730" s="106"/>
      <c r="QZ3730" s="106"/>
      <c r="RA3730" s="106"/>
      <c r="RB3730" s="106"/>
      <c r="RC3730" s="106"/>
      <c r="RD3730" s="106"/>
      <c r="RE3730" s="106"/>
      <c r="RF3730" s="106"/>
      <c r="RG3730" s="106"/>
      <c r="RH3730" s="106"/>
      <c r="RI3730" s="106"/>
      <c r="RJ3730" s="106"/>
      <c r="RK3730" s="106"/>
      <c r="RL3730" s="106"/>
    </row>
    <row r="3731" spans="48:480" x14ac:dyDescent="0.3">
      <c r="AV3731" s="103"/>
      <c r="CJ3731" s="103"/>
      <c r="FP3731" s="103"/>
      <c r="LL3731" s="103"/>
      <c r="NM3731" s="103"/>
      <c r="QT3731" s="106"/>
      <c r="QU3731" s="106"/>
      <c r="QV3731" s="106"/>
      <c r="QW3731" s="106"/>
      <c r="QX3731" s="106"/>
      <c r="QY3731" s="106"/>
      <c r="QZ3731" s="106"/>
      <c r="RA3731" s="106"/>
      <c r="RB3731" s="106"/>
      <c r="RC3731" s="106"/>
      <c r="RD3731" s="106"/>
      <c r="RE3731" s="106"/>
      <c r="RF3731" s="106"/>
      <c r="RG3731" s="106"/>
      <c r="RH3731" s="106"/>
      <c r="RI3731" s="106"/>
      <c r="RJ3731" s="106"/>
      <c r="RK3731" s="106"/>
      <c r="RL3731" s="106"/>
    </row>
    <row r="3732" spans="48:480" x14ac:dyDescent="0.3">
      <c r="AV3732" s="103"/>
      <c r="CJ3732" s="103"/>
      <c r="FP3732" s="103"/>
      <c r="LL3732" s="103"/>
      <c r="NM3732" s="103"/>
      <c r="QT3732" s="106"/>
      <c r="QU3732" s="106"/>
      <c r="QV3732" s="106"/>
      <c r="QW3732" s="106"/>
      <c r="QX3732" s="106"/>
      <c r="QY3732" s="106"/>
      <c r="QZ3732" s="106"/>
      <c r="RA3732" s="106"/>
      <c r="RB3732" s="106"/>
      <c r="RC3732" s="106"/>
      <c r="RD3732" s="106"/>
      <c r="RE3732" s="106"/>
      <c r="RF3732" s="106"/>
      <c r="RG3732" s="106"/>
      <c r="RH3732" s="106"/>
      <c r="RI3732" s="106"/>
      <c r="RJ3732" s="106"/>
      <c r="RK3732" s="106"/>
      <c r="RL3732" s="106"/>
    </row>
    <row r="3733" spans="48:480" x14ac:dyDescent="0.3">
      <c r="AV3733" s="103"/>
      <c r="CJ3733" s="103"/>
      <c r="FP3733" s="103"/>
      <c r="LL3733" s="103"/>
      <c r="NM3733" s="103"/>
      <c r="QT3733" s="106"/>
      <c r="QU3733" s="106"/>
      <c r="QV3733" s="106"/>
      <c r="QW3733" s="106"/>
      <c r="QX3733" s="106"/>
      <c r="QY3733" s="106"/>
      <c r="QZ3733" s="106"/>
      <c r="RA3733" s="106"/>
      <c r="RB3733" s="106"/>
      <c r="RC3733" s="106"/>
      <c r="RD3733" s="106"/>
      <c r="RE3733" s="106"/>
      <c r="RF3733" s="106"/>
      <c r="RG3733" s="106"/>
      <c r="RH3733" s="106"/>
      <c r="RI3733" s="106"/>
      <c r="RJ3733" s="106"/>
      <c r="RK3733" s="106"/>
      <c r="RL3733" s="106"/>
    </row>
    <row r="3734" spans="48:480" x14ac:dyDescent="0.3">
      <c r="AV3734" s="103"/>
      <c r="CJ3734" s="103"/>
      <c r="FP3734" s="103"/>
      <c r="LL3734" s="103"/>
      <c r="NM3734" s="103"/>
      <c r="QT3734" s="106"/>
      <c r="QU3734" s="106"/>
      <c r="QV3734" s="106"/>
      <c r="QW3734" s="106"/>
      <c r="QX3734" s="106"/>
      <c r="QY3734" s="106"/>
      <c r="QZ3734" s="106"/>
      <c r="RA3734" s="106"/>
      <c r="RB3734" s="106"/>
      <c r="RC3734" s="106"/>
      <c r="RD3734" s="106"/>
      <c r="RE3734" s="106"/>
      <c r="RF3734" s="106"/>
      <c r="RG3734" s="106"/>
      <c r="RH3734" s="106"/>
      <c r="RI3734" s="106"/>
      <c r="RJ3734" s="106"/>
      <c r="RK3734" s="106"/>
      <c r="RL3734" s="106"/>
    </row>
    <row r="3735" spans="48:480" x14ac:dyDescent="0.3">
      <c r="AV3735" s="103"/>
      <c r="CJ3735" s="103"/>
      <c r="FP3735" s="103"/>
      <c r="LL3735" s="103"/>
      <c r="NM3735" s="103"/>
      <c r="QT3735" s="106"/>
      <c r="QU3735" s="106"/>
      <c r="QV3735" s="106"/>
      <c r="QW3735" s="106"/>
      <c r="QX3735" s="106"/>
      <c r="QY3735" s="106"/>
      <c r="QZ3735" s="106"/>
      <c r="RA3735" s="106"/>
      <c r="RB3735" s="106"/>
      <c r="RC3735" s="106"/>
      <c r="RD3735" s="106"/>
      <c r="RE3735" s="106"/>
      <c r="RF3735" s="106"/>
      <c r="RG3735" s="106"/>
      <c r="RH3735" s="106"/>
      <c r="RI3735" s="106"/>
      <c r="RJ3735" s="106"/>
      <c r="RK3735" s="106"/>
      <c r="RL3735" s="106"/>
    </row>
    <row r="3736" spans="48:480" x14ac:dyDescent="0.3">
      <c r="AV3736" s="103"/>
      <c r="CJ3736" s="103"/>
      <c r="FP3736" s="103"/>
      <c r="LL3736" s="103"/>
      <c r="NM3736" s="103"/>
      <c r="QT3736" s="106"/>
      <c r="QU3736" s="106"/>
      <c r="QV3736" s="106"/>
      <c r="QW3736" s="106"/>
      <c r="QX3736" s="106"/>
      <c r="QY3736" s="106"/>
      <c r="QZ3736" s="106"/>
      <c r="RA3736" s="106"/>
      <c r="RB3736" s="106"/>
      <c r="RC3736" s="106"/>
      <c r="RD3736" s="106"/>
      <c r="RE3736" s="106"/>
      <c r="RF3736" s="106"/>
      <c r="RG3736" s="106"/>
      <c r="RH3736" s="106"/>
      <c r="RI3736" s="106"/>
      <c r="RJ3736" s="106"/>
      <c r="RK3736" s="106"/>
      <c r="RL3736" s="106"/>
    </row>
    <row r="3737" spans="48:480" x14ac:dyDescent="0.3">
      <c r="AV3737" s="103"/>
      <c r="CJ3737" s="103"/>
      <c r="FP3737" s="103"/>
      <c r="LL3737" s="103"/>
      <c r="NM3737" s="103"/>
      <c r="QT3737" s="106"/>
      <c r="QU3737" s="106"/>
      <c r="QV3737" s="106"/>
      <c r="QW3737" s="106"/>
      <c r="QX3737" s="106"/>
      <c r="QY3737" s="106"/>
      <c r="QZ3737" s="106"/>
      <c r="RA3737" s="106"/>
      <c r="RB3737" s="106"/>
      <c r="RC3737" s="106"/>
      <c r="RD3737" s="106"/>
      <c r="RE3737" s="106"/>
      <c r="RF3737" s="106"/>
      <c r="RG3737" s="106"/>
      <c r="RH3737" s="106"/>
      <c r="RI3737" s="106"/>
      <c r="RJ3737" s="106"/>
      <c r="RK3737" s="106"/>
      <c r="RL3737" s="106"/>
    </row>
    <row r="3738" spans="48:480" x14ac:dyDescent="0.3">
      <c r="AV3738" s="103"/>
      <c r="CJ3738" s="103"/>
      <c r="FP3738" s="103"/>
      <c r="LL3738" s="103"/>
      <c r="NM3738" s="103"/>
      <c r="QT3738" s="106"/>
      <c r="QU3738" s="106"/>
      <c r="QV3738" s="106"/>
      <c r="QW3738" s="106"/>
      <c r="QX3738" s="106"/>
      <c r="QY3738" s="106"/>
      <c r="QZ3738" s="106"/>
      <c r="RA3738" s="106"/>
      <c r="RB3738" s="106"/>
      <c r="RC3738" s="106"/>
      <c r="RD3738" s="106"/>
      <c r="RE3738" s="106"/>
      <c r="RF3738" s="106"/>
      <c r="RG3738" s="106"/>
      <c r="RH3738" s="106"/>
      <c r="RI3738" s="106"/>
      <c r="RJ3738" s="106"/>
      <c r="RK3738" s="106"/>
      <c r="RL3738" s="106"/>
    </row>
    <row r="3739" spans="48:480" x14ac:dyDescent="0.3">
      <c r="AV3739" s="103"/>
      <c r="CJ3739" s="103"/>
      <c r="FP3739" s="103"/>
      <c r="LL3739" s="103"/>
      <c r="NM3739" s="103"/>
      <c r="QT3739" s="106"/>
      <c r="QU3739" s="106"/>
      <c r="QV3739" s="106"/>
      <c r="QW3739" s="106"/>
      <c r="QX3739" s="106"/>
      <c r="QY3739" s="106"/>
      <c r="QZ3739" s="106"/>
      <c r="RA3739" s="106"/>
      <c r="RB3739" s="106"/>
      <c r="RC3739" s="106"/>
      <c r="RD3739" s="106"/>
      <c r="RE3739" s="106"/>
      <c r="RF3739" s="106"/>
      <c r="RG3739" s="106"/>
      <c r="RH3739" s="106"/>
      <c r="RI3739" s="106"/>
      <c r="RJ3739" s="106"/>
      <c r="RK3739" s="106"/>
      <c r="RL3739" s="106"/>
    </row>
    <row r="3740" spans="48:480" x14ac:dyDescent="0.3">
      <c r="AV3740" s="103"/>
      <c r="CJ3740" s="103"/>
      <c r="FP3740" s="103"/>
      <c r="LL3740" s="103"/>
      <c r="NM3740" s="103"/>
      <c r="QT3740" s="106"/>
      <c r="QU3740" s="106"/>
      <c r="QV3740" s="106"/>
      <c r="QW3740" s="106"/>
      <c r="QX3740" s="106"/>
      <c r="QY3740" s="106"/>
      <c r="QZ3740" s="106"/>
      <c r="RA3740" s="106"/>
      <c r="RB3740" s="106"/>
      <c r="RC3740" s="106"/>
      <c r="RD3740" s="106"/>
      <c r="RE3740" s="106"/>
      <c r="RF3740" s="106"/>
      <c r="RG3740" s="106"/>
      <c r="RH3740" s="106"/>
      <c r="RI3740" s="106"/>
      <c r="RJ3740" s="106"/>
      <c r="RK3740" s="106"/>
      <c r="RL3740" s="106"/>
    </row>
    <row r="3741" spans="48:480" x14ac:dyDescent="0.3">
      <c r="AV3741" s="103"/>
      <c r="CJ3741" s="103"/>
      <c r="FP3741" s="103"/>
      <c r="LL3741" s="103"/>
      <c r="NM3741" s="103"/>
      <c r="QT3741" s="106"/>
      <c r="QU3741" s="106"/>
      <c r="QV3741" s="106"/>
      <c r="QW3741" s="106"/>
      <c r="QX3741" s="106"/>
      <c r="QY3741" s="106"/>
      <c r="QZ3741" s="106"/>
      <c r="RA3741" s="106"/>
      <c r="RB3741" s="106"/>
      <c r="RC3741" s="106"/>
      <c r="RD3741" s="106"/>
      <c r="RE3741" s="106"/>
      <c r="RF3741" s="106"/>
      <c r="RG3741" s="106"/>
      <c r="RH3741" s="106"/>
      <c r="RI3741" s="106"/>
      <c r="RJ3741" s="106"/>
      <c r="RK3741" s="106"/>
      <c r="RL3741" s="106"/>
    </row>
    <row r="3742" spans="48:480" x14ac:dyDescent="0.3">
      <c r="AV3742" s="103"/>
      <c r="CJ3742" s="103"/>
      <c r="FP3742" s="103"/>
      <c r="LL3742" s="103"/>
      <c r="NM3742" s="103"/>
      <c r="QT3742" s="106"/>
      <c r="QU3742" s="106"/>
      <c r="QV3742" s="106"/>
      <c r="QW3742" s="106"/>
      <c r="QX3742" s="106"/>
      <c r="QY3742" s="106"/>
      <c r="QZ3742" s="106"/>
      <c r="RA3742" s="106"/>
      <c r="RB3742" s="106"/>
      <c r="RC3742" s="106"/>
      <c r="RD3742" s="106"/>
      <c r="RE3742" s="106"/>
      <c r="RF3742" s="106"/>
      <c r="RG3742" s="106"/>
      <c r="RH3742" s="106"/>
      <c r="RI3742" s="106"/>
      <c r="RJ3742" s="106"/>
      <c r="RK3742" s="106"/>
      <c r="RL3742" s="106"/>
    </row>
    <row r="3743" spans="48:480" x14ac:dyDescent="0.3">
      <c r="AV3743" s="103"/>
      <c r="CJ3743" s="103"/>
      <c r="FP3743" s="103"/>
      <c r="LL3743" s="103"/>
      <c r="NM3743" s="103"/>
      <c r="QT3743" s="106"/>
      <c r="QU3743" s="106"/>
      <c r="QV3743" s="106"/>
      <c r="QW3743" s="106"/>
      <c r="QX3743" s="106"/>
      <c r="QY3743" s="106"/>
      <c r="QZ3743" s="106"/>
      <c r="RA3743" s="106"/>
      <c r="RB3743" s="106"/>
      <c r="RC3743" s="106"/>
      <c r="RD3743" s="106"/>
      <c r="RE3743" s="106"/>
      <c r="RF3743" s="106"/>
      <c r="RG3743" s="106"/>
      <c r="RH3743" s="106"/>
      <c r="RI3743" s="106"/>
      <c r="RJ3743" s="106"/>
      <c r="RK3743" s="106"/>
      <c r="RL3743" s="106"/>
    </row>
    <row r="3744" spans="48:480" x14ac:dyDescent="0.3">
      <c r="AV3744" s="103"/>
      <c r="CJ3744" s="103"/>
      <c r="FP3744" s="103"/>
      <c r="LL3744" s="103"/>
      <c r="NM3744" s="103"/>
      <c r="QT3744" s="106"/>
      <c r="QU3744" s="106"/>
      <c r="QV3744" s="106"/>
      <c r="QW3744" s="106"/>
      <c r="QX3744" s="106"/>
      <c r="QY3744" s="106"/>
      <c r="QZ3744" s="106"/>
      <c r="RA3744" s="106"/>
      <c r="RB3744" s="106"/>
      <c r="RC3744" s="106"/>
      <c r="RD3744" s="106"/>
      <c r="RE3744" s="106"/>
      <c r="RF3744" s="106"/>
      <c r="RG3744" s="106"/>
      <c r="RH3744" s="106"/>
      <c r="RI3744" s="106"/>
      <c r="RJ3744" s="106"/>
      <c r="RK3744" s="106"/>
      <c r="RL3744" s="106"/>
    </row>
    <row r="3745" spans="48:480" x14ac:dyDescent="0.3">
      <c r="AV3745" s="103"/>
      <c r="CJ3745" s="103"/>
      <c r="FP3745" s="103"/>
      <c r="LL3745" s="103"/>
      <c r="NM3745" s="103"/>
      <c r="QT3745" s="106"/>
      <c r="QU3745" s="106"/>
      <c r="QV3745" s="106"/>
      <c r="QW3745" s="106"/>
      <c r="QX3745" s="106"/>
      <c r="QY3745" s="106"/>
      <c r="QZ3745" s="106"/>
      <c r="RA3745" s="106"/>
      <c r="RB3745" s="106"/>
      <c r="RC3745" s="106"/>
      <c r="RD3745" s="106"/>
      <c r="RE3745" s="106"/>
      <c r="RF3745" s="106"/>
      <c r="RG3745" s="106"/>
      <c r="RH3745" s="106"/>
      <c r="RI3745" s="106"/>
      <c r="RJ3745" s="106"/>
      <c r="RK3745" s="106"/>
      <c r="RL3745" s="106"/>
    </row>
    <row r="3746" spans="48:480" x14ac:dyDescent="0.3">
      <c r="AV3746" s="103"/>
      <c r="CJ3746" s="103"/>
      <c r="FP3746" s="103"/>
      <c r="LL3746" s="103"/>
      <c r="NM3746" s="103"/>
      <c r="QT3746" s="106"/>
      <c r="QU3746" s="106"/>
      <c r="QV3746" s="106"/>
      <c r="QW3746" s="106"/>
      <c r="QX3746" s="106"/>
      <c r="QY3746" s="106"/>
      <c r="QZ3746" s="106"/>
      <c r="RA3746" s="106"/>
      <c r="RB3746" s="106"/>
      <c r="RC3746" s="106"/>
      <c r="RD3746" s="106"/>
      <c r="RE3746" s="106"/>
      <c r="RF3746" s="106"/>
      <c r="RG3746" s="106"/>
      <c r="RH3746" s="106"/>
      <c r="RI3746" s="106"/>
      <c r="RJ3746" s="106"/>
      <c r="RK3746" s="106"/>
      <c r="RL3746" s="106"/>
    </row>
    <row r="3747" spans="48:480" x14ac:dyDescent="0.3">
      <c r="AV3747" s="103"/>
      <c r="CJ3747" s="103"/>
      <c r="FP3747" s="103"/>
      <c r="LL3747" s="103"/>
      <c r="NM3747" s="103"/>
      <c r="QT3747" s="106"/>
      <c r="QU3747" s="106"/>
      <c r="QV3747" s="106"/>
      <c r="QW3747" s="106"/>
      <c r="QX3747" s="106"/>
      <c r="QY3747" s="106"/>
      <c r="QZ3747" s="106"/>
      <c r="RA3747" s="106"/>
      <c r="RB3747" s="106"/>
      <c r="RC3747" s="106"/>
      <c r="RD3747" s="106"/>
      <c r="RE3747" s="106"/>
      <c r="RF3747" s="106"/>
      <c r="RG3747" s="106"/>
      <c r="RH3747" s="106"/>
      <c r="RI3747" s="106"/>
      <c r="RJ3747" s="106"/>
      <c r="RK3747" s="106"/>
      <c r="RL3747" s="106"/>
    </row>
    <row r="3748" spans="48:480" x14ac:dyDescent="0.3">
      <c r="AV3748" s="103"/>
      <c r="CJ3748" s="103"/>
      <c r="FP3748" s="103"/>
      <c r="LL3748" s="103"/>
      <c r="NM3748" s="103"/>
      <c r="QT3748" s="106"/>
      <c r="QU3748" s="106"/>
      <c r="QV3748" s="106"/>
      <c r="QW3748" s="106"/>
      <c r="QX3748" s="106"/>
      <c r="QY3748" s="106"/>
      <c r="QZ3748" s="106"/>
      <c r="RA3748" s="106"/>
      <c r="RB3748" s="106"/>
      <c r="RC3748" s="106"/>
      <c r="RD3748" s="106"/>
      <c r="RE3748" s="106"/>
      <c r="RF3748" s="106"/>
      <c r="RG3748" s="106"/>
      <c r="RH3748" s="106"/>
      <c r="RI3748" s="106"/>
      <c r="RJ3748" s="106"/>
      <c r="RK3748" s="106"/>
      <c r="RL3748" s="106"/>
    </row>
    <row r="3749" spans="48:480" x14ac:dyDescent="0.3">
      <c r="AV3749" s="103"/>
      <c r="CJ3749" s="103"/>
      <c r="FP3749" s="103"/>
      <c r="LL3749" s="103"/>
      <c r="NM3749" s="103"/>
      <c r="QT3749" s="106"/>
      <c r="QU3749" s="106"/>
      <c r="QV3749" s="106"/>
      <c r="QW3749" s="106"/>
      <c r="QX3749" s="106"/>
      <c r="QY3749" s="106"/>
      <c r="QZ3749" s="106"/>
      <c r="RA3749" s="106"/>
      <c r="RB3749" s="106"/>
      <c r="RC3749" s="106"/>
      <c r="RD3749" s="106"/>
      <c r="RE3749" s="106"/>
      <c r="RF3749" s="106"/>
      <c r="RG3749" s="106"/>
      <c r="RH3749" s="106"/>
      <c r="RI3749" s="106"/>
      <c r="RJ3749" s="106"/>
      <c r="RK3749" s="106"/>
      <c r="RL3749" s="106"/>
    </row>
    <row r="3750" spans="48:480" x14ac:dyDescent="0.3">
      <c r="AV3750" s="103"/>
      <c r="CJ3750" s="103"/>
      <c r="FP3750" s="103"/>
      <c r="LL3750" s="103"/>
      <c r="NM3750" s="103"/>
      <c r="QT3750" s="106"/>
      <c r="QU3750" s="106"/>
      <c r="QV3750" s="106"/>
      <c r="QW3750" s="106"/>
      <c r="QX3750" s="106"/>
      <c r="QY3750" s="106"/>
      <c r="QZ3750" s="106"/>
      <c r="RA3750" s="106"/>
      <c r="RB3750" s="106"/>
      <c r="RC3750" s="106"/>
      <c r="RD3750" s="106"/>
      <c r="RE3750" s="106"/>
      <c r="RF3750" s="106"/>
      <c r="RG3750" s="106"/>
      <c r="RH3750" s="106"/>
      <c r="RI3750" s="106"/>
      <c r="RJ3750" s="106"/>
      <c r="RK3750" s="106"/>
      <c r="RL3750" s="106"/>
    </row>
    <row r="3751" spans="48:480" x14ac:dyDescent="0.3">
      <c r="AV3751" s="103"/>
      <c r="CJ3751" s="103"/>
      <c r="FP3751" s="103"/>
      <c r="LL3751" s="103"/>
      <c r="NM3751" s="103"/>
      <c r="QT3751" s="106"/>
      <c r="QU3751" s="106"/>
      <c r="QV3751" s="106"/>
      <c r="QW3751" s="106"/>
      <c r="QX3751" s="106"/>
      <c r="QY3751" s="106"/>
      <c r="QZ3751" s="106"/>
      <c r="RA3751" s="106"/>
      <c r="RB3751" s="106"/>
      <c r="RC3751" s="106"/>
      <c r="RD3751" s="106"/>
      <c r="RE3751" s="106"/>
      <c r="RF3751" s="106"/>
      <c r="RG3751" s="106"/>
      <c r="RH3751" s="106"/>
      <c r="RI3751" s="106"/>
      <c r="RJ3751" s="106"/>
      <c r="RK3751" s="106"/>
      <c r="RL3751" s="106"/>
    </row>
    <row r="3752" spans="48:480" x14ac:dyDescent="0.3">
      <c r="AV3752" s="103"/>
      <c r="CJ3752" s="103"/>
      <c r="FP3752" s="103"/>
      <c r="LL3752" s="103"/>
      <c r="NM3752" s="103"/>
      <c r="QT3752" s="106"/>
      <c r="QU3752" s="106"/>
      <c r="QV3752" s="106"/>
      <c r="QW3752" s="106"/>
      <c r="QX3752" s="106"/>
      <c r="QY3752" s="106"/>
      <c r="QZ3752" s="106"/>
      <c r="RA3752" s="106"/>
      <c r="RB3752" s="106"/>
      <c r="RC3752" s="106"/>
      <c r="RD3752" s="106"/>
      <c r="RE3752" s="106"/>
      <c r="RF3752" s="106"/>
      <c r="RG3752" s="106"/>
      <c r="RH3752" s="106"/>
      <c r="RI3752" s="106"/>
      <c r="RJ3752" s="106"/>
      <c r="RK3752" s="106"/>
      <c r="RL3752" s="106"/>
    </row>
    <row r="3753" spans="48:480" x14ac:dyDescent="0.3">
      <c r="AV3753" s="103"/>
      <c r="CJ3753" s="103"/>
      <c r="FP3753" s="103"/>
      <c r="LL3753" s="103"/>
      <c r="NM3753" s="103"/>
      <c r="QT3753" s="106"/>
      <c r="QU3753" s="106"/>
      <c r="QV3753" s="106"/>
      <c r="QW3753" s="106"/>
      <c r="QX3753" s="106"/>
      <c r="QY3753" s="106"/>
      <c r="QZ3753" s="106"/>
      <c r="RA3753" s="106"/>
      <c r="RB3753" s="106"/>
      <c r="RC3753" s="106"/>
      <c r="RD3753" s="106"/>
      <c r="RE3753" s="106"/>
      <c r="RF3753" s="106"/>
      <c r="RG3753" s="106"/>
      <c r="RH3753" s="106"/>
      <c r="RI3753" s="106"/>
      <c r="RJ3753" s="106"/>
      <c r="RK3753" s="106"/>
      <c r="RL3753" s="106"/>
    </row>
    <row r="3754" spans="48:480" x14ac:dyDescent="0.3">
      <c r="AV3754" s="103"/>
      <c r="CJ3754" s="103"/>
      <c r="FP3754" s="103"/>
      <c r="LL3754" s="103"/>
      <c r="NM3754" s="103"/>
      <c r="QT3754" s="106"/>
      <c r="QU3754" s="106"/>
      <c r="QV3754" s="106"/>
      <c r="QW3754" s="106"/>
      <c r="QX3754" s="106"/>
      <c r="QY3754" s="106"/>
      <c r="QZ3754" s="106"/>
      <c r="RA3754" s="106"/>
      <c r="RB3754" s="106"/>
      <c r="RC3754" s="106"/>
      <c r="RD3754" s="106"/>
      <c r="RE3754" s="106"/>
      <c r="RF3754" s="106"/>
      <c r="RG3754" s="106"/>
      <c r="RH3754" s="106"/>
      <c r="RI3754" s="106"/>
      <c r="RJ3754" s="106"/>
      <c r="RK3754" s="106"/>
      <c r="RL3754" s="106"/>
    </row>
    <row r="3755" spans="48:480" x14ac:dyDescent="0.3">
      <c r="AV3755" s="103"/>
      <c r="CJ3755" s="103"/>
      <c r="FP3755" s="103"/>
      <c r="LL3755" s="103"/>
      <c r="NM3755" s="103"/>
      <c r="QT3755" s="106"/>
      <c r="QU3755" s="106"/>
      <c r="QV3755" s="106"/>
      <c r="QW3755" s="106"/>
      <c r="QX3755" s="106"/>
      <c r="QY3755" s="106"/>
      <c r="QZ3755" s="106"/>
      <c r="RA3755" s="106"/>
      <c r="RB3755" s="106"/>
      <c r="RC3755" s="106"/>
      <c r="RD3755" s="106"/>
      <c r="RE3755" s="106"/>
      <c r="RF3755" s="106"/>
      <c r="RG3755" s="106"/>
      <c r="RH3755" s="106"/>
      <c r="RI3755" s="106"/>
      <c r="RJ3755" s="106"/>
      <c r="RK3755" s="106"/>
      <c r="RL3755" s="106"/>
    </row>
    <row r="3756" spans="48:480" x14ac:dyDescent="0.3">
      <c r="AV3756" s="103"/>
      <c r="CJ3756" s="103"/>
      <c r="FP3756" s="103"/>
      <c r="LL3756" s="103"/>
      <c r="NM3756" s="103"/>
      <c r="QT3756" s="106"/>
      <c r="QU3756" s="106"/>
      <c r="QV3756" s="106"/>
      <c r="QW3756" s="106"/>
      <c r="QX3756" s="106"/>
      <c r="QY3756" s="106"/>
      <c r="QZ3756" s="106"/>
      <c r="RA3756" s="106"/>
      <c r="RB3756" s="106"/>
      <c r="RC3756" s="106"/>
      <c r="RD3756" s="106"/>
      <c r="RE3756" s="106"/>
      <c r="RF3756" s="106"/>
      <c r="RG3756" s="106"/>
      <c r="RH3756" s="106"/>
      <c r="RI3756" s="106"/>
      <c r="RJ3756" s="106"/>
      <c r="RK3756" s="106"/>
      <c r="RL3756" s="106"/>
    </row>
    <row r="3757" spans="48:480" x14ac:dyDescent="0.3">
      <c r="AV3757" s="103"/>
      <c r="CJ3757" s="103"/>
      <c r="FP3757" s="103"/>
      <c r="LL3757" s="103"/>
      <c r="NM3757" s="103"/>
      <c r="QT3757" s="106"/>
      <c r="QU3757" s="106"/>
      <c r="QV3757" s="106"/>
      <c r="QW3757" s="106"/>
      <c r="QX3757" s="106"/>
      <c r="QY3757" s="106"/>
      <c r="QZ3757" s="106"/>
      <c r="RA3757" s="106"/>
      <c r="RB3757" s="106"/>
      <c r="RC3757" s="106"/>
      <c r="RD3757" s="106"/>
      <c r="RE3757" s="106"/>
      <c r="RF3757" s="106"/>
      <c r="RG3757" s="106"/>
      <c r="RH3757" s="106"/>
      <c r="RI3757" s="106"/>
      <c r="RJ3757" s="106"/>
      <c r="RK3757" s="106"/>
      <c r="RL3757" s="106"/>
    </row>
    <row r="3758" spans="48:480" x14ac:dyDescent="0.3">
      <c r="AV3758" s="103"/>
      <c r="CJ3758" s="103"/>
      <c r="FP3758" s="103"/>
      <c r="LL3758" s="103"/>
      <c r="NM3758" s="103"/>
      <c r="QT3758" s="106"/>
      <c r="QU3758" s="106"/>
      <c r="QV3758" s="106"/>
      <c r="QW3758" s="106"/>
      <c r="QX3758" s="106"/>
      <c r="QY3758" s="106"/>
      <c r="QZ3758" s="106"/>
      <c r="RA3758" s="106"/>
      <c r="RB3758" s="106"/>
      <c r="RC3758" s="106"/>
      <c r="RD3758" s="106"/>
      <c r="RE3758" s="106"/>
      <c r="RF3758" s="106"/>
      <c r="RG3758" s="106"/>
      <c r="RH3758" s="106"/>
      <c r="RI3758" s="106"/>
      <c r="RJ3758" s="106"/>
      <c r="RK3758" s="106"/>
      <c r="RL3758" s="106"/>
    </row>
    <row r="3759" spans="48:480" x14ac:dyDescent="0.3">
      <c r="AV3759" s="103"/>
      <c r="CJ3759" s="103"/>
      <c r="FP3759" s="103"/>
      <c r="LL3759" s="103"/>
      <c r="NM3759" s="103"/>
      <c r="QT3759" s="106"/>
      <c r="QU3759" s="106"/>
      <c r="QV3759" s="106"/>
      <c r="QW3759" s="106"/>
      <c r="QX3759" s="106"/>
      <c r="QY3759" s="106"/>
      <c r="QZ3759" s="106"/>
      <c r="RA3759" s="106"/>
      <c r="RB3759" s="106"/>
      <c r="RC3759" s="106"/>
      <c r="RD3759" s="106"/>
      <c r="RE3759" s="106"/>
      <c r="RF3759" s="106"/>
      <c r="RG3759" s="106"/>
      <c r="RH3759" s="106"/>
      <c r="RI3759" s="106"/>
      <c r="RJ3759" s="106"/>
      <c r="RK3759" s="106"/>
      <c r="RL3759" s="106"/>
    </row>
    <row r="3760" spans="48:480" x14ac:dyDescent="0.3">
      <c r="AV3760" s="103"/>
      <c r="CJ3760" s="103"/>
      <c r="FP3760" s="103"/>
      <c r="LL3760" s="103"/>
      <c r="NM3760" s="103"/>
      <c r="QT3760" s="106"/>
      <c r="QU3760" s="106"/>
      <c r="QV3760" s="106"/>
      <c r="QW3760" s="106"/>
      <c r="QX3760" s="106"/>
      <c r="QY3760" s="106"/>
      <c r="QZ3760" s="106"/>
      <c r="RA3760" s="106"/>
      <c r="RB3760" s="106"/>
      <c r="RC3760" s="106"/>
      <c r="RD3760" s="106"/>
      <c r="RE3760" s="106"/>
      <c r="RF3760" s="106"/>
      <c r="RG3760" s="106"/>
      <c r="RH3760" s="106"/>
      <c r="RI3760" s="106"/>
      <c r="RJ3760" s="106"/>
      <c r="RK3760" s="106"/>
      <c r="RL3760" s="106"/>
    </row>
    <row r="3761" spans="48:480" x14ac:dyDescent="0.3">
      <c r="AV3761" s="103"/>
      <c r="CJ3761" s="103"/>
      <c r="FP3761" s="103"/>
      <c r="LL3761" s="103"/>
      <c r="NM3761" s="103"/>
      <c r="QT3761" s="106"/>
      <c r="QU3761" s="106"/>
      <c r="QV3761" s="106"/>
      <c r="QW3761" s="106"/>
      <c r="QX3761" s="106"/>
      <c r="QY3761" s="106"/>
      <c r="QZ3761" s="106"/>
      <c r="RA3761" s="106"/>
      <c r="RB3761" s="106"/>
      <c r="RC3761" s="106"/>
      <c r="RD3761" s="106"/>
      <c r="RE3761" s="106"/>
      <c r="RF3761" s="106"/>
      <c r="RG3761" s="106"/>
      <c r="RH3761" s="106"/>
      <c r="RI3761" s="106"/>
      <c r="RJ3761" s="106"/>
      <c r="RK3761" s="106"/>
      <c r="RL3761" s="106"/>
    </row>
    <row r="3762" spans="48:480" x14ac:dyDescent="0.3">
      <c r="AV3762" s="103"/>
      <c r="CJ3762" s="103"/>
      <c r="FP3762" s="103"/>
      <c r="LL3762" s="103"/>
      <c r="NM3762" s="103"/>
      <c r="QT3762" s="106"/>
      <c r="QU3762" s="106"/>
      <c r="QV3762" s="106"/>
      <c r="QW3762" s="106"/>
      <c r="QX3762" s="106"/>
      <c r="QY3762" s="106"/>
      <c r="QZ3762" s="106"/>
      <c r="RA3762" s="106"/>
      <c r="RB3762" s="106"/>
      <c r="RC3762" s="106"/>
      <c r="RD3762" s="106"/>
      <c r="RE3762" s="106"/>
      <c r="RF3762" s="106"/>
      <c r="RG3762" s="106"/>
      <c r="RH3762" s="106"/>
      <c r="RI3762" s="106"/>
      <c r="RJ3762" s="106"/>
      <c r="RK3762" s="106"/>
      <c r="RL3762" s="106"/>
    </row>
    <row r="3763" spans="48:480" x14ac:dyDescent="0.3">
      <c r="AV3763" s="103"/>
      <c r="CJ3763" s="103"/>
      <c r="FP3763" s="103"/>
      <c r="LL3763" s="103"/>
      <c r="NM3763" s="103"/>
      <c r="QT3763" s="106"/>
      <c r="QU3763" s="106"/>
      <c r="QV3763" s="106"/>
      <c r="QW3763" s="106"/>
      <c r="QX3763" s="106"/>
      <c r="QY3763" s="106"/>
      <c r="QZ3763" s="106"/>
      <c r="RA3763" s="106"/>
      <c r="RB3763" s="106"/>
      <c r="RC3763" s="106"/>
      <c r="RD3763" s="106"/>
      <c r="RE3763" s="106"/>
      <c r="RF3763" s="106"/>
      <c r="RG3763" s="106"/>
      <c r="RH3763" s="106"/>
      <c r="RI3763" s="106"/>
      <c r="RJ3763" s="106"/>
      <c r="RK3763" s="106"/>
      <c r="RL3763" s="106"/>
    </row>
    <row r="3764" spans="48:480" x14ac:dyDescent="0.3">
      <c r="AV3764" s="103"/>
      <c r="CJ3764" s="103"/>
      <c r="FP3764" s="103"/>
      <c r="LL3764" s="103"/>
      <c r="NM3764" s="103"/>
      <c r="QT3764" s="106"/>
      <c r="QU3764" s="106"/>
      <c r="QV3764" s="106"/>
      <c r="QW3764" s="106"/>
      <c r="QX3764" s="106"/>
      <c r="QY3764" s="106"/>
      <c r="QZ3764" s="106"/>
      <c r="RA3764" s="106"/>
      <c r="RB3764" s="106"/>
      <c r="RC3764" s="106"/>
      <c r="RD3764" s="106"/>
      <c r="RE3764" s="106"/>
      <c r="RF3764" s="106"/>
      <c r="RG3764" s="106"/>
      <c r="RH3764" s="106"/>
      <c r="RI3764" s="106"/>
      <c r="RJ3764" s="106"/>
      <c r="RK3764" s="106"/>
      <c r="RL3764" s="106"/>
    </row>
    <row r="3765" spans="48:480" x14ac:dyDescent="0.3">
      <c r="AV3765" s="103"/>
      <c r="CJ3765" s="103"/>
      <c r="FP3765" s="103"/>
      <c r="LL3765" s="103"/>
      <c r="NM3765" s="103"/>
      <c r="QT3765" s="106"/>
      <c r="QU3765" s="106"/>
      <c r="QV3765" s="106"/>
      <c r="QW3765" s="106"/>
      <c r="QX3765" s="106"/>
      <c r="QY3765" s="106"/>
      <c r="QZ3765" s="106"/>
      <c r="RA3765" s="106"/>
      <c r="RB3765" s="106"/>
      <c r="RC3765" s="106"/>
      <c r="RD3765" s="106"/>
      <c r="RE3765" s="106"/>
      <c r="RF3765" s="106"/>
      <c r="RG3765" s="106"/>
      <c r="RH3765" s="106"/>
      <c r="RI3765" s="106"/>
      <c r="RJ3765" s="106"/>
      <c r="RK3765" s="106"/>
      <c r="RL3765" s="106"/>
    </row>
    <row r="3766" spans="48:480" x14ac:dyDescent="0.3">
      <c r="AV3766" s="103"/>
      <c r="CJ3766" s="103"/>
      <c r="FP3766" s="103"/>
      <c r="LL3766" s="103"/>
      <c r="NM3766" s="103"/>
      <c r="QT3766" s="106"/>
      <c r="QU3766" s="106"/>
      <c r="QV3766" s="106"/>
      <c r="QW3766" s="106"/>
      <c r="QX3766" s="106"/>
      <c r="QY3766" s="106"/>
      <c r="QZ3766" s="106"/>
      <c r="RA3766" s="106"/>
      <c r="RB3766" s="106"/>
      <c r="RC3766" s="106"/>
      <c r="RD3766" s="106"/>
      <c r="RE3766" s="106"/>
      <c r="RF3766" s="106"/>
      <c r="RG3766" s="106"/>
      <c r="RH3766" s="106"/>
      <c r="RI3766" s="106"/>
      <c r="RJ3766" s="106"/>
      <c r="RK3766" s="106"/>
      <c r="RL3766" s="106"/>
    </row>
    <row r="3767" spans="48:480" x14ac:dyDescent="0.3">
      <c r="CJ3767" s="103"/>
      <c r="FP3767" s="103"/>
      <c r="LL3767" s="103"/>
      <c r="NM3767" s="103"/>
      <c r="QT3767" s="106"/>
      <c r="QU3767" s="106"/>
      <c r="QV3767" s="106"/>
      <c r="QW3767" s="106"/>
      <c r="QX3767" s="106"/>
      <c r="QY3767" s="106"/>
      <c r="QZ3767" s="106"/>
      <c r="RA3767" s="106"/>
      <c r="RB3767" s="106"/>
      <c r="RC3767" s="106"/>
      <c r="RD3767" s="106"/>
      <c r="RE3767" s="106"/>
      <c r="RF3767" s="106"/>
      <c r="RG3767" s="106"/>
      <c r="RH3767" s="106"/>
      <c r="RI3767" s="106"/>
      <c r="RJ3767" s="106"/>
      <c r="RK3767" s="106"/>
      <c r="RL3767" s="106"/>
    </row>
    <row r="3768" spans="48:480" x14ac:dyDescent="0.3">
      <c r="CJ3768" s="103"/>
      <c r="FP3768" s="103"/>
      <c r="LL3768" s="103"/>
      <c r="NM3768" s="103"/>
      <c r="QT3768" s="106"/>
      <c r="QU3768" s="106"/>
      <c r="QV3768" s="106"/>
      <c r="QW3768" s="106"/>
      <c r="QX3768" s="106"/>
      <c r="QY3768" s="106"/>
      <c r="QZ3768" s="106"/>
      <c r="RA3768" s="106"/>
      <c r="RB3768" s="106"/>
      <c r="RC3768" s="106"/>
      <c r="RD3768" s="106"/>
      <c r="RE3768" s="106"/>
      <c r="RF3768" s="106"/>
      <c r="RG3768" s="106"/>
      <c r="RH3768" s="106"/>
      <c r="RI3768" s="106"/>
      <c r="RJ3768" s="106"/>
      <c r="RK3768" s="106"/>
      <c r="RL3768" s="106"/>
    </row>
    <row r="3769" spans="48:480" x14ac:dyDescent="0.3">
      <c r="CJ3769" s="103"/>
      <c r="FP3769" s="103"/>
      <c r="LL3769" s="103"/>
      <c r="NM3769" s="103"/>
      <c r="QT3769" s="106"/>
      <c r="QU3769" s="106"/>
      <c r="QV3769" s="106"/>
      <c r="QW3769" s="106"/>
      <c r="QX3769" s="106"/>
      <c r="QY3769" s="106"/>
      <c r="QZ3769" s="106"/>
      <c r="RA3769" s="106"/>
      <c r="RB3769" s="106"/>
      <c r="RC3769" s="106"/>
      <c r="RD3769" s="106"/>
      <c r="RE3769" s="106"/>
      <c r="RF3769" s="106"/>
      <c r="RG3769" s="106"/>
      <c r="RH3769" s="106"/>
      <c r="RI3769" s="106"/>
      <c r="RJ3769" s="106"/>
      <c r="RK3769" s="106"/>
      <c r="RL3769" s="106"/>
    </row>
    <row r="3770" spans="48:480" x14ac:dyDescent="0.3">
      <c r="AV3770" s="103"/>
      <c r="CJ3770" s="103"/>
      <c r="FP3770" s="103"/>
      <c r="LL3770" s="103"/>
      <c r="NM3770" s="103"/>
      <c r="QT3770" s="106"/>
      <c r="QU3770" s="106"/>
      <c r="QV3770" s="106"/>
      <c r="QW3770" s="106"/>
      <c r="QX3770" s="106"/>
      <c r="QY3770" s="106"/>
      <c r="QZ3770" s="106"/>
      <c r="RA3770" s="106"/>
      <c r="RB3770" s="106"/>
      <c r="RC3770" s="106"/>
      <c r="RD3770" s="106"/>
      <c r="RE3770" s="106"/>
      <c r="RF3770" s="106"/>
      <c r="RG3770" s="106"/>
      <c r="RH3770" s="106"/>
      <c r="RI3770" s="106"/>
      <c r="RJ3770" s="106"/>
      <c r="RK3770" s="106"/>
      <c r="RL3770" s="106"/>
    </row>
    <row r="3771" spans="48:480" x14ac:dyDescent="0.3">
      <c r="CJ3771" s="103"/>
      <c r="FP3771" s="103"/>
      <c r="LL3771" s="103"/>
      <c r="NM3771" s="103"/>
      <c r="QT3771" s="106"/>
      <c r="QU3771" s="106"/>
      <c r="QV3771" s="106"/>
      <c r="QW3771" s="106"/>
      <c r="QX3771" s="106"/>
      <c r="QY3771" s="106"/>
      <c r="QZ3771" s="106"/>
      <c r="RA3771" s="106"/>
      <c r="RB3771" s="106"/>
      <c r="RC3771" s="106"/>
      <c r="RD3771" s="106"/>
      <c r="RE3771" s="106"/>
      <c r="RF3771" s="106"/>
      <c r="RG3771" s="106"/>
      <c r="RH3771" s="106"/>
      <c r="RI3771" s="106"/>
      <c r="RJ3771" s="106"/>
      <c r="RK3771" s="106"/>
      <c r="RL3771" s="106"/>
    </row>
    <row r="3772" spans="48:480" x14ac:dyDescent="0.3">
      <c r="CJ3772" s="103"/>
      <c r="FP3772" s="103"/>
      <c r="LL3772" s="103"/>
      <c r="NM3772" s="103"/>
      <c r="QT3772" s="106"/>
      <c r="QU3772" s="106"/>
      <c r="QV3772" s="106"/>
      <c r="QW3772" s="106"/>
      <c r="QX3772" s="106"/>
      <c r="QY3772" s="106"/>
      <c r="QZ3772" s="106"/>
      <c r="RA3772" s="106"/>
      <c r="RB3772" s="106"/>
      <c r="RC3772" s="106"/>
      <c r="RD3772" s="106"/>
      <c r="RE3772" s="106"/>
      <c r="RF3772" s="106"/>
      <c r="RG3772" s="106"/>
      <c r="RH3772" s="106"/>
      <c r="RI3772" s="106"/>
      <c r="RJ3772" s="106"/>
      <c r="RK3772" s="106"/>
      <c r="RL3772" s="106"/>
    </row>
    <row r="3773" spans="48:480" x14ac:dyDescent="0.3">
      <c r="AV3773" s="103"/>
      <c r="CJ3773" s="103"/>
      <c r="FP3773" s="103"/>
      <c r="LL3773" s="103"/>
      <c r="NM3773" s="103"/>
      <c r="QT3773" s="106"/>
      <c r="QU3773" s="106"/>
      <c r="QV3773" s="106"/>
      <c r="QW3773" s="106"/>
      <c r="QX3773" s="106"/>
      <c r="QY3773" s="106"/>
      <c r="QZ3773" s="106"/>
      <c r="RA3773" s="106"/>
      <c r="RB3773" s="106"/>
      <c r="RC3773" s="106"/>
      <c r="RD3773" s="106"/>
      <c r="RE3773" s="106"/>
      <c r="RF3773" s="106"/>
      <c r="RG3773" s="106"/>
      <c r="RH3773" s="106"/>
      <c r="RI3773" s="106"/>
      <c r="RJ3773" s="106"/>
      <c r="RK3773" s="106"/>
      <c r="RL3773" s="106"/>
    </row>
    <row r="3774" spans="48:480" x14ac:dyDescent="0.3">
      <c r="AV3774" s="103"/>
      <c r="CJ3774" s="103"/>
      <c r="FP3774" s="103"/>
      <c r="LL3774" s="103"/>
      <c r="NM3774" s="103"/>
      <c r="QT3774" s="106"/>
      <c r="QU3774" s="106"/>
      <c r="QV3774" s="106"/>
      <c r="QW3774" s="106"/>
      <c r="QX3774" s="106"/>
      <c r="QY3774" s="106"/>
      <c r="QZ3774" s="106"/>
      <c r="RA3774" s="106"/>
      <c r="RB3774" s="106"/>
      <c r="RC3774" s="106"/>
      <c r="RD3774" s="106"/>
      <c r="RE3774" s="106"/>
      <c r="RF3774" s="106"/>
      <c r="RG3774" s="106"/>
      <c r="RH3774" s="106"/>
      <c r="RI3774" s="106"/>
      <c r="RJ3774" s="106"/>
      <c r="RK3774" s="106"/>
      <c r="RL3774" s="106"/>
    </row>
    <row r="3775" spans="48:480" x14ac:dyDescent="0.3">
      <c r="AV3775" s="103"/>
      <c r="CJ3775" s="103"/>
      <c r="FP3775" s="103"/>
      <c r="LL3775" s="103"/>
      <c r="NM3775" s="103"/>
      <c r="QT3775" s="106"/>
      <c r="QU3775" s="106"/>
      <c r="QV3775" s="106"/>
      <c r="QW3775" s="106"/>
      <c r="QX3775" s="106"/>
      <c r="QY3775" s="106"/>
      <c r="QZ3775" s="106"/>
      <c r="RA3775" s="106"/>
      <c r="RB3775" s="106"/>
      <c r="RC3775" s="106"/>
      <c r="RD3775" s="106"/>
      <c r="RE3775" s="106"/>
      <c r="RF3775" s="106"/>
      <c r="RG3775" s="106"/>
      <c r="RH3775" s="106"/>
      <c r="RI3775" s="106"/>
      <c r="RJ3775" s="106"/>
      <c r="RK3775" s="106"/>
      <c r="RL3775" s="106"/>
    </row>
    <row r="3776" spans="48:480" x14ac:dyDescent="0.3">
      <c r="AV3776" s="103"/>
      <c r="CJ3776" s="103"/>
      <c r="FP3776" s="103"/>
      <c r="LL3776" s="103"/>
      <c r="NM3776" s="103"/>
      <c r="QT3776" s="106"/>
      <c r="QU3776" s="106"/>
      <c r="QV3776" s="106"/>
      <c r="QW3776" s="106"/>
      <c r="QX3776" s="106"/>
      <c r="QY3776" s="106"/>
      <c r="QZ3776" s="106"/>
      <c r="RA3776" s="106"/>
      <c r="RB3776" s="106"/>
      <c r="RC3776" s="106"/>
      <c r="RD3776" s="106"/>
      <c r="RE3776" s="106"/>
      <c r="RF3776" s="106"/>
      <c r="RG3776" s="106"/>
      <c r="RH3776" s="106"/>
      <c r="RI3776" s="106"/>
      <c r="RJ3776" s="106"/>
      <c r="RK3776" s="106"/>
      <c r="RL3776" s="106"/>
    </row>
    <row r="3777" spans="48:480" x14ac:dyDescent="0.3">
      <c r="AV3777" s="103"/>
      <c r="CJ3777" s="103"/>
      <c r="FP3777" s="103"/>
      <c r="LL3777" s="103"/>
      <c r="NM3777" s="103"/>
      <c r="QT3777" s="106"/>
      <c r="QU3777" s="106"/>
      <c r="QV3777" s="106"/>
      <c r="QW3777" s="106"/>
      <c r="QX3777" s="106"/>
      <c r="QY3777" s="106"/>
      <c r="QZ3777" s="106"/>
      <c r="RA3777" s="106"/>
      <c r="RB3777" s="106"/>
      <c r="RC3777" s="106"/>
      <c r="RD3777" s="106"/>
      <c r="RE3777" s="106"/>
      <c r="RF3777" s="106"/>
      <c r="RG3777" s="106"/>
      <c r="RH3777" s="106"/>
      <c r="RI3777" s="106"/>
      <c r="RJ3777" s="106"/>
      <c r="RK3777" s="106"/>
      <c r="RL3777" s="106"/>
    </row>
    <row r="3778" spans="48:480" x14ac:dyDescent="0.3">
      <c r="AV3778" s="103"/>
      <c r="CJ3778" s="103"/>
      <c r="FP3778" s="103"/>
      <c r="LL3778" s="103"/>
      <c r="NM3778" s="103"/>
      <c r="QT3778" s="106"/>
      <c r="QU3778" s="106"/>
      <c r="QV3778" s="106"/>
      <c r="QW3778" s="106"/>
      <c r="QX3778" s="106"/>
      <c r="QY3778" s="106"/>
      <c r="QZ3778" s="106"/>
      <c r="RA3778" s="106"/>
      <c r="RB3778" s="106"/>
      <c r="RC3778" s="106"/>
      <c r="RD3778" s="106"/>
      <c r="RE3778" s="106"/>
      <c r="RF3778" s="106"/>
      <c r="RG3778" s="106"/>
      <c r="RH3778" s="106"/>
      <c r="RI3778" s="106"/>
      <c r="RJ3778" s="106"/>
      <c r="RK3778" s="106"/>
      <c r="RL3778" s="106"/>
    </row>
    <row r="3779" spans="48:480" x14ac:dyDescent="0.3">
      <c r="AV3779" s="103"/>
      <c r="CJ3779" s="103"/>
      <c r="FP3779" s="103"/>
      <c r="LL3779" s="103"/>
      <c r="NM3779" s="103"/>
      <c r="QT3779" s="106"/>
      <c r="QU3779" s="106"/>
      <c r="QV3779" s="106"/>
      <c r="QW3779" s="106"/>
      <c r="QX3779" s="106"/>
      <c r="QY3779" s="106"/>
      <c r="QZ3779" s="106"/>
      <c r="RA3779" s="106"/>
      <c r="RB3779" s="106"/>
      <c r="RC3779" s="106"/>
      <c r="RD3779" s="106"/>
      <c r="RE3779" s="106"/>
      <c r="RF3779" s="106"/>
      <c r="RG3779" s="106"/>
      <c r="RH3779" s="106"/>
      <c r="RI3779" s="106"/>
      <c r="RJ3779" s="106"/>
      <c r="RK3779" s="106"/>
      <c r="RL3779" s="106"/>
    </row>
    <row r="3780" spans="48:480" x14ac:dyDescent="0.3">
      <c r="AV3780" s="103"/>
      <c r="CJ3780" s="103"/>
      <c r="FP3780" s="103"/>
      <c r="LL3780" s="103"/>
      <c r="NM3780" s="103"/>
      <c r="QT3780" s="106"/>
      <c r="QU3780" s="106"/>
      <c r="QV3780" s="106"/>
      <c r="QW3780" s="106"/>
      <c r="QX3780" s="106"/>
      <c r="QY3780" s="106"/>
      <c r="QZ3780" s="106"/>
      <c r="RA3780" s="106"/>
      <c r="RB3780" s="106"/>
      <c r="RC3780" s="106"/>
      <c r="RD3780" s="106"/>
      <c r="RE3780" s="106"/>
      <c r="RF3780" s="106"/>
      <c r="RG3780" s="106"/>
      <c r="RH3780" s="106"/>
      <c r="RI3780" s="106"/>
      <c r="RJ3780" s="106"/>
      <c r="RK3780" s="106"/>
      <c r="RL3780" s="106"/>
    </row>
    <row r="3781" spans="48:480" x14ac:dyDescent="0.3">
      <c r="AV3781" s="103"/>
      <c r="CJ3781" s="103"/>
      <c r="FP3781" s="103"/>
      <c r="LL3781" s="103"/>
      <c r="NM3781" s="103"/>
      <c r="QT3781" s="106"/>
      <c r="QU3781" s="106"/>
      <c r="QV3781" s="106"/>
      <c r="QW3781" s="106"/>
      <c r="QX3781" s="106"/>
      <c r="QY3781" s="106"/>
      <c r="QZ3781" s="106"/>
      <c r="RA3781" s="106"/>
      <c r="RB3781" s="106"/>
      <c r="RC3781" s="106"/>
      <c r="RD3781" s="106"/>
      <c r="RE3781" s="106"/>
      <c r="RF3781" s="106"/>
      <c r="RG3781" s="106"/>
      <c r="RH3781" s="106"/>
      <c r="RI3781" s="106"/>
      <c r="RJ3781" s="106"/>
      <c r="RK3781" s="106"/>
      <c r="RL3781" s="106"/>
    </row>
    <row r="3782" spans="48:480" x14ac:dyDescent="0.3">
      <c r="AV3782" s="103"/>
      <c r="CJ3782" s="103"/>
      <c r="FP3782" s="103"/>
      <c r="LL3782" s="103"/>
      <c r="NM3782" s="103"/>
      <c r="QT3782" s="106"/>
      <c r="QU3782" s="106"/>
      <c r="QV3782" s="106"/>
      <c r="QW3782" s="106"/>
      <c r="QX3782" s="106"/>
      <c r="QY3782" s="106"/>
      <c r="QZ3782" s="106"/>
      <c r="RA3782" s="106"/>
      <c r="RB3782" s="106"/>
      <c r="RC3782" s="106"/>
      <c r="RD3782" s="106"/>
      <c r="RE3782" s="106"/>
      <c r="RF3782" s="106"/>
      <c r="RG3782" s="106"/>
      <c r="RH3782" s="106"/>
      <c r="RI3782" s="106"/>
      <c r="RJ3782" s="106"/>
      <c r="RK3782" s="106"/>
      <c r="RL3782" s="106"/>
    </row>
    <row r="3783" spans="48:480" x14ac:dyDescent="0.3">
      <c r="AV3783" s="103"/>
      <c r="CJ3783" s="103"/>
      <c r="FP3783" s="103"/>
      <c r="LL3783" s="103"/>
      <c r="NM3783" s="103"/>
      <c r="QT3783" s="106"/>
      <c r="QU3783" s="106"/>
      <c r="QV3783" s="106"/>
      <c r="QW3783" s="106"/>
      <c r="QX3783" s="106"/>
      <c r="QY3783" s="106"/>
      <c r="QZ3783" s="106"/>
      <c r="RA3783" s="106"/>
      <c r="RB3783" s="106"/>
      <c r="RC3783" s="106"/>
      <c r="RD3783" s="106"/>
      <c r="RE3783" s="106"/>
      <c r="RF3783" s="106"/>
      <c r="RG3783" s="106"/>
      <c r="RH3783" s="106"/>
      <c r="RI3783" s="106"/>
      <c r="RJ3783" s="106"/>
      <c r="RK3783" s="106"/>
      <c r="RL3783" s="106"/>
    </row>
    <row r="3784" spans="48:480" x14ac:dyDescent="0.3">
      <c r="AV3784" s="103"/>
      <c r="CJ3784" s="103"/>
      <c r="FP3784" s="103"/>
      <c r="LL3784" s="103"/>
      <c r="NM3784" s="103"/>
      <c r="QT3784" s="106"/>
      <c r="QU3784" s="106"/>
      <c r="QV3784" s="106"/>
      <c r="QW3784" s="106"/>
      <c r="QX3784" s="106"/>
      <c r="QY3784" s="106"/>
      <c r="QZ3784" s="106"/>
      <c r="RA3784" s="106"/>
      <c r="RB3784" s="106"/>
      <c r="RC3784" s="106"/>
      <c r="RD3784" s="106"/>
      <c r="RE3784" s="106"/>
      <c r="RF3784" s="106"/>
      <c r="RG3784" s="106"/>
      <c r="RH3784" s="106"/>
      <c r="RI3784" s="106"/>
      <c r="RJ3784" s="106"/>
      <c r="RK3784" s="106"/>
      <c r="RL3784" s="106"/>
    </row>
    <row r="3785" spans="48:480" x14ac:dyDescent="0.3">
      <c r="AV3785" s="103"/>
      <c r="CJ3785" s="103"/>
      <c r="FP3785" s="103"/>
      <c r="LL3785" s="103"/>
      <c r="NM3785" s="103"/>
      <c r="QT3785" s="106"/>
      <c r="QU3785" s="106"/>
      <c r="QV3785" s="106"/>
      <c r="QW3785" s="106"/>
      <c r="QX3785" s="106"/>
      <c r="QY3785" s="106"/>
      <c r="QZ3785" s="106"/>
      <c r="RA3785" s="106"/>
      <c r="RB3785" s="106"/>
      <c r="RC3785" s="106"/>
      <c r="RD3785" s="106"/>
      <c r="RE3785" s="106"/>
      <c r="RF3785" s="106"/>
      <c r="RG3785" s="106"/>
      <c r="RH3785" s="106"/>
      <c r="RI3785" s="106"/>
      <c r="RJ3785" s="106"/>
      <c r="RK3785" s="106"/>
      <c r="RL3785" s="106"/>
    </row>
    <row r="3786" spans="48:480" x14ac:dyDescent="0.3">
      <c r="AV3786" s="103"/>
      <c r="CJ3786" s="103"/>
      <c r="FP3786" s="103"/>
      <c r="LL3786" s="103"/>
      <c r="NM3786" s="103"/>
      <c r="QT3786" s="106"/>
      <c r="QU3786" s="106"/>
      <c r="QV3786" s="106"/>
      <c r="QW3786" s="106"/>
      <c r="QX3786" s="106"/>
      <c r="QY3786" s="106"/>
      <c r="QZ3786" s="106"/>
      <c r="RA3786" s="106"/>
      <c r="RB3786" s="106"/>
      <c r="RC3786" s="106"/>
      <c r="RD3786" s="106"/>
      <c r="RE3786" s="106"/>
      <c r="RF3786" s="106"/>
      <c r="RG3786" s="106"/>
      <c r="RH3786" s="106"/>
      <c r="RI3786" s="106"/>
      <c r="RJ3786" s="106"/>
      <c r="RK3786" s="106"/>
      <c r="RL3786" s="106"/>
    </row>
    <row r="3787" spans="48:480" x14ac:dyDescent="0.3">
      <c r="AV3787" s="103"/>
      <c r="CJ3787" s="103"/>
      <c r="FP3787" s="103"/>
      <c r="LL3787" s="103"/>
      <c r="NM3787" s="103"/>
      <c r="QT3787" s="106"/>
      <c r="QU3787" s="106"/>
      <c r="QV3787" s="106"/>
      <c r="QW3787" s="106"/>
      <c r="QX3787" s="106"/>
      <c r="QY3787" s="106"/>
      <c r="QZ3787" s="106"/>
      <c r="RA3787" s="106"/>
      <c r="RB3787" s="106"/>
      <c r="RC3787" s="106"/>
      <c r="RD3787" s="106"/>
      <c r="RE3787" s="106"/>
      <c r="RF3787" s="106"/>
      <c r="RG3787" s="106"/>
      <c r="RH3787" s="106"/>
      <c r="RI3787" s="106"/>
      <c r="RJ3787" s="106"/>
      <c r="RK3787" s="106"/>
      <c r="RL3787" s="106"/>
    </row>
    <row r="3788" spans="48:480" x14ac:dyDescent="0.3">
      <c r="AV3788" s="103"/>
      <c r="CJ3788" s="103"/>
      <c r="FP3788" s="103"/>
      <c r="LL3788" s="103"/>
      <c r="NM3788" s="103"/>
      <c r="QT3788" s="106"/>
      <c r="QU3788" s="106"/>
      <c r="QV3788" s="106"/>
      <c r="QW3788" s="106"/>
      <c r="QX3788" s="106"/>
      <c r="QY3788" s="106"/>
      <c r="QZ3788" s="106"/>
      <c r="RA3788" s="106"/>
      <c r="RB3788" s="106"/>
      <c r="RC3788" s="106"/>
      <c r="RD3788" s="106"/>
      <c r="RE3788" s="106"/>
      <c r="RF3788" s="106"/>
      <c r="RG3788" s="106"/>
      <c r="RH3788" s="106"/>
      <c r="RI3788" s="106"/>
      <c r="RJ3788" s="106"/>
      <c r="RK3788" s="106"/>
      <c r="RL3788" s="106"/>
    </row>
    <row r="3789" spans="48:480" x14ac:dyDescent="0.3">
      <c r="AV3789" s="103"/>
      <c r="CJ3789" s="103"/>
      <c r="FP3789" s="103"/>
      <c r="LL3789" s="103"/>
      <c r="NM3789" s="103"/>
      <c r="QT3789" s="106"/>
      <c r="QU3789" s="106"/>
      <c r="QV3789" s="106"/>
      <c r="QW3789" s="106"/>
      <c r="QX3789" s="106"/>
      <c r="QY3789" s="106"/>
      <c r="QZ3789" s="106"/>
      <c r="RA3789" s="106"/>
      <c r="RB3789" s="106"/>
      <c r="RC3789" s="106"/>
      <c r="RD3789" s="106"/>
      <c r="RE3789" s="106"/>
      <c r="RF3789" s="106"/>
      <c r="RG3789" s="106"/>
      <c r="RH3789" s="106"/>
      <c r="RI3789" s="106"/>
      <c r="RJ3789" s="106"/>
      <c r="RK3789" s="106"/>
      <c r="RL3789" s="106"/>
    </row>
    <row r="3790" spans="48:480" x14ac:dyDescent="0.3">
      <c r="AV3790" s="103"/>
      <c r="CJ3790" s="103"/>
      <c r="FP3790" s="103"/>
      <c r="LL3790" s="103"/>
      <c r="NM3790" s="103"/>
      <c r="QT3790" s="106"/>
      <c r="QU3790" s="106"/>
      <c r="QV3790" s="106"/>
      <c r="QW3790" s="106"/>
      <c r="QX3790" s="106"/>
      <c r="QY3790" s="106"/>
      <c r="QZ3790" s="106"/>
      <c r="RA3790" s="106"/>
      <c r="RB3790" s="106"/>
      <c r="RC3790" s="106"/>
      <c r="RD3790" s="106"/>
      <c r="RE3790" s="106"/>
      <c r="RF3790" s="106"/>
      <c r="RG3790" s="106"/>
      <c r="RH3790" s="106"/>
      <c r="RI3790" s="106"/>
      <c r="RJ3790" s="106"/>
      <c r="RK3790" s="106"/>
      <c r="RL3790" s="106"/>
    </row>
    <row r="3791" spans="48:480" x14ac:dyDescent="0.3">
      <c r="AV3791" s="103"/>
      <c r="CJ3791" s="103"/>
      <c r="FP3791" s="103"/>
      <c r="LL3791" s="103"/>
      <c r="NM3791" s="103"/>
      <c r="QT3791" s="106"/>
      <c r="QU3791" s="106"/>
      <c r="QV3791" s="106"/>
      <c r="QW3791" s="106"/>
      <c r="QX3791" s="106"/>
      <c r="QY3791" s="106"/>
      <c r="QZ3791" s="106"/>
      <c r="RA3791" s="106"/>
      <c r="RB3791" s="106"/>
      <c r="RC3791" s="106"/>
      <c r="RD3791" s="106"/>
      <c r="RE3791" s="106"/>
      <c r="RF3791" s="106"/>
      <c r="RG3791" s="106"/>
      <c r="RH3791" s="106"/>
      <c r="RI3791" s="106"/>
      <c r="RJ3791" s="106"/>
      <c r="RK3791" s="106"/>
      <c r="RL3791" s="106"/>
    </row>
    <row r="3792" spans="48:480" x14ac:dyDescent="0.3">
      <c r="AV3792" s="103"/>
      <c r="CJ3792" s="103"/>
      <c r="FP3792" s="103"/>
      <c r="LL3792" s="103"/>
      <c r="NM3792" s="103"/>
      <c r="QT3792" s="106"/>
      <c r="QU3792" s="106"/>
      <c r="QV3792" s="106"/>
      <c r="QW3792" s="106"/>
      <c r="QX3792" s="106"/>
      <c r="QY3792" s="106"/>
      <c r="QZ3792" s="106"/>
      <c r="RA3792" s="106"/>
      <c r="RB3792" s="106"/>
      <c r="RC3792" s="106"/>
      <c r="RD3792" s="106"/>
      <c r="RE3792" s="106"/>
      <c r="RF3792" s="106"/>
      <c r="RG3792" s="106"/>
      <c r="RH3792" s="106"/>
      <c r="RI3792" s="106"/>
      <c r="RJ3792" s="106"/>
      <c r="RK3792" s="106"/>
      <c r="RL3792" s="106"/>
    </row>
    <row r="3793" spans="48:480" x14ac:dyDescent="0.3">
      <c r="AV3793" s="103"/>
      <c r="CJ3793" s="103"/>
      <c r="FP3793" s="103"/>
      <c r="LL3793" s="103"/>
      <c r="NM3793" s="103"/>
      <c r="QT3793" s="106"/>
      <c r="QU3793" s="106"/>
      <c r="QV3793" s="106"/>
      <c r="QW3793" s="106"/>
      <c r="QX3793" s="106"/>
      <c r="QY3793" s="106"/>
      <c r="QZ3793" s="106"/>
      <c r="RA3793" s="106"/>
      <c r="RB3793" s="106"/>
      <c r="RC3793" s="106"/>
      <c r="RD3793" s="106"/>
      <c r="RE3793" s="106"/>
      <c r="RF3793" s="106"/>
      <c r="RG3793" s="106"/>
      <c r="RH3793" s="106"/>
      <c r="RI3793" s="106"/>
      <c r="RJ3793" s="106"/>
      <c r="RK3793" s="106"/>
      <c r="RL3793" s="106"/>
    </row>
    <row r="3794" spans="48:480" x14ac:dyDescent="0.3">
      <c r="AV3794" s="103"/>
      <c r="CJ3794" s="103"/>
      <c r="FP3794" s="103"/>
      <c r="LL3794" s="103"/>
      <c r="NM3794" s="103"/>
      <c r="QT3794" s="106"/>
      <c r="QU3794" s="106"/>
      <c r="QV3794" s="106"/>
      <c r="QW3794" s="106"/>
      <c r="QX3794" s="106"/>
      <c r="QY3794" s="106"/>
      <c r="QZ3794" s="106"/>
      <c r="RA3794" s="106"/>
      <c r="RB3794" s="106"/>
      <c r="RC3794" s="106"/>
      <c r="RD3794" s="106"/>
      <c r="RE3794" s="106"/>
      <c r="RF3794" s="106"/>
      <c r="RG3794" s="106"/>
      <c r="RH3794" s="106"/>
      <c r="RI3794" s="106"/>
      <c r="RJ3794" s="106"/>
      <c r="RK3794" s="106"/>
      <c r="RL3794" s="106"/>
    </row>
    <row r="3795" spans="48:480" x14ac:dyDescent="0.3">
      <c r="AV3795" s="103"/>
      <c r="CJ3795" s="103"/>
      <c r="FP3795" s="103"/>
      <c r="LL3795" s="103"/>
      <c r="NM3795" s="103"/>
      <c r="QT3795" s="106"/>
      <c r="QU3795" s="106"/>
      <c r="QV3795" s="106"/>
      <c r="QW3795" s="106"/>
      <c r="QX3795" s="106"/>
      <c r="QY3795" s="106"/>
      <c r="QZ3795" s="106"/>
      <c r="RA3795" s="106"/>
      <c r="RB3795" s="106"/>
      <c r="RC3795" s="106"/>
      <c r="RD3795" s="106"/>
      <c r="RE3795" s="106"/>
      <c r="RF3795" s="106"/>
      <c r="RG3795" s="106"/>
      <c r="RH3795" s="106"/>
      <c r="RI3795" s="106"/>
      <c r="RJ3795" s="106"/>
      <c r="RK3795" s="106"/>
      <c r="RL3795" s="106"/>
    </row>
    <row r="3796" spans="48:480" x14ac:dyDescent="0.3">
      <c r="AV3796" s="103"/>
      <c r="CJ3796" s="103"/>
      <c r="FP3796" s="103"/>
      <c r="LL3796" s="103"/>
      <c r="NM3796" s="103"/>
      <c r="QT3796" s="106"/>
      <c r="QU3796" s="106"/>
      <c r="QV3796" s="106"/>
      <c r="QW3796" s="106"/>
      <c r="QX3796" s="106"/>
      <c r="QY3796" s="106"/>
      <c r="QZ3796" s="106"/>
      <c r="RA3796" s="106"/>
      <c r="RB3796" s="106"/>
      <c r="RC3796" s="106"/>
      <c r="RD3796" s="106"/>
      <c r="RE3796" s="106"/>
      <c r="RF3796" s="106"/>
      <c r="RG3796" s="106"/>
      <c r="RH3796" s="106"/>
      <c r="RI3796" s="106"/>
      <c r="RJ3796" s="106"/>
      <c r="RK3796" s="106"/>
      <c r="RL3796" s="106"/>
    </row>
    <row r="3797" spans="48:480" x14ac:dyDescent="0.3">
      <c r="AV3797" s="103"/>
      <c r="CJ3797" s="103"/>
      <c r="FP3797" s="103"/>
      <c r="LL3797" s="103"/>
      <c r="NM3797" s="103"/>
      <c r="QT3797" s="106"/>
      <c r="QU3797" s="106"/>
      <c r="QV3797" s="106"/>
      <c r="QW3797" s="106"/>
      <c r="QX3797" s="106"/>
      <c r="QY3797" s="106"/>
      <c r="QZ3797" s="106"/>
      <c r="RA3797" s="106"/>
      <c r="RB3797" s="106"/>
      <c r="RC3797" s="106"/>
      <c r="RD3797" s="106"/>
      <c r="RE3797" s="106"/>
      <c r="RF3797" s="106"/>
      <c r="RG3797" s="106"/>
      <c r="RH3797" s="106"/>
      <c r="RI3797" s="106"/>
      <c r="RJ3797" s="106"/>
      <c r="RK3797" s="106"/>
      <c r="RL3797" s="106"/>
    </row>
    <row r="3798" spans="48:480" x14ac:dyDescent="0.3">
      <c r="AV3798" s="103"/>
      <c r="CJ3798" s="103"/>
      <c r="FP3798" s="103"/>
      <c r="LL3798" s="103"/>
      <c r="NM3798" s="103"/>
      <c r="QT3798" s="106"/>
      <c r="QU3798" s="106"/>
      <c r="QV3798" s="106"/>
      <c r="QW3798" s="106"/>
      <c r="QX3798" s="106"/>
      <c r="QY3798" s="106"/>
      <c r="QZ3798" s="106"/>
      <c r="RA3798" s="106"/>
      <c r="RB3798" s="106"/>
      <c r="RC3798" s="106"/>
      <c r="RD3798" s="106"/>
      <c r="RE3798" s="106"/>
      <c r="RF3798" s="106"/>
      <c r="RG3798" s="106"/>
      <c r="RH3798" s="106"/>
      <c r="RI3798" s="106"/>
      <c r="RJ3798" s="106"/>
      <c r="RK3798" s="106"/>
      <c r="RL3798" s="106"/>
    </row>
    <row r="3799" spans="48:480" x14ac:dyDescent="0.3">
      <c r="AV3799" s="103"/>
      <c r="CJ3799" s="103"/>
      <c r="FP3799" s="103"/>
      <c r="LL3799" s="103"/>
      <c r="NM3799" s="103"/>
      <c r="QT3799" s="106"/>
      <c r="QU3799" s="106"/>
      <c r="QV3799" s="106"/>
      <c r="QW3799" s="106"/>
      <c r="QX3799" s="106"/>
      <c r="QY3799" s="106"/>
      <c r="QZ3799" s="106"/>
      <c r="RA3799" s="106"/>
      <c r="RB3799" s="106"/>
      <c r="RC3799" s="106"/>
      <c r="RD3799" s="106"/>
      <c r="RE3799" s="106"/>
      <c r="RF3799" s="106"/>
      <c r="RG3799" s="106"/>
      <c r="RH3799" s="106"/>
      <c r="RI3799" s="106"/>
      <c r="RJ3799" s="106"/>
      <c r="RK3799" s="106"/>
      <c r="RL3799" s="106"/>
    </row>
    <row r="3800" spans="48:480" x14ac:dyDescent="0.3">
      <c r="AV3800" s="103"/>
      <c r="CJ3800" s="103"/>
      <c r="FP3800" s="103"/>
      <c r="LL3800" s="103"/>
      <c r="NM3800" s="103"/>
      <c r="QT3800" s="106"/>
      <c r="QU3800" s="106"/>
      <c r="QV3800" s="106"/>
      <c r="QW3800" s="106"/>
      <c r="QX3800" s="106"/>
      <c r="QY3800" s="106"/>
      <c r="QZ3800" s="106"/>
      <c r="RA3800" s="106"/>
      <c r="RB3800" s="106"/>
      <c r="RC3800" s="106"/>
      <c r="RD3800" s="106"/>
      <c r="RE3800" s="106"/>
      <c r="RF3800" s="106"/>
      <c r="RG3800" s="106"/>
      <c r="RH3800" s="106"/>
      <c r="RI3800" s="106"/>
      <c r="RJ3800" s="106"/>
      <c r="RK3800" s="106"/>
      <c r="RL3800" s="106"/>
    </row>
    <row r="3801" spans="48:480" x14ac:dyDescent="0.3">
      <c r="AV3801" s="103"/>
      <c r="CJ3801" s="103"/>
      <c r="FP3801" s="103"/>
      <c r="LL3801" s="103"/>
      <c r="NM3801" s="103"/>
      <c r="QT3801" s="106"/>
      <c r="QU3801" s="106"/>
      <c r="QV3801" s="106"/>
      <c r="QW3801" s="106"/>
      <c r="QX3801" s="106"/>
      <c r="QY3801" s="106"/>
      <c r="QZ3801" s="106"/>
      <c r="RA3801" s="106"/>
      <c r="RB3801" s="106"/>
      <c r="RC3801" s="106"/>
      <c r="RD3801" s="106"/>
      <c r="RE3801" s="106"/>
      <c r="RF3801" s="106"/>
      <c r="RG3801" s="106"/>
      <c r="RH3801" s="106"/>
      <c r="RI3801" s="106"/>
      <c r="RJ3801" s="106"/>
      <c r="RK3801" s="106"/>
      <c r="RL3801" s="106"/>
    </row>
    <row r="3802" spans="48:480" x14ac:dyDescent="0.3">
      <c r="AV3802" s="103"/>
      <c r="CJ3802" s="103"/>
      <c r="FP3802" s="103"/>
      <c r="LL3802" s="103"/>
      <c r="NM3802" s="103"/>
      <c r="QT3802" s="106"/>
      <c r="QU3802" s="106"/>
      <c r="QV3802" s="106"/>
      <c r="QW3802" s="106"/>
      <c r="QX3802" s="106"/>
      <c r="QY3802" s="106"/>
      <c r="QZ3802" s="106"/>
      <c r="RA3802" s="106"/>
      <c r="RB3802" s="106"/>
      <c r="RC3802" s="106"/>
      <c r="RD3802" s="106"/>
      <c r="RE3802" s="106"/>
      <c r="RF3802" s="106"/>
      <c r="RG3802" s="106"/>
      <c r="RH3802" s="106"/>
      <c r="RI3802" s="106"/>
      <c r="RJ3802" s="106"/>
      <c r="RK3802" s="106"/>
      <c r="RL3802" s="106"/>
    </row>
    <row r="3803" spans="48:480" x14ac:dyDescent="0.3">
      <c r="CJ3803" s="103"/>
      <c r="FP3803" s="103"/>
      <c r="LL3803" s="103"/>
      <c r="NM3803" s="103"/>
      <c r="QT3803" s="106"/>
      <c r="QU3803" s="106"/>
      <c r="QV3803" s="106"/>
      <c r="QW3803" s="106"/>
      <c r="QX3803" s="106"/>
      <c r="QY3803" s="106"/>
      <c r="QZ3803" s="106"/>
      <c r="RA3803" s="106"/>
      <c r="RB3803" s="106"/>
      <c r="RC3803" s="106"/>
      <c r="RD3803" s="106"/>
      <c r="RE3803" s="106"/>
      <c r="RF3803" s="106"/>
      <c r="RG3803" s="106"/>
      <c r="RH3803" s="106"/>
      <c r="RI3803" s="106"/>
      <c r="RJ3803" s="106"/>
      <c r="RK3803" s="106"/>
      <c r="RL3803" s="106"/>
    </row>
    <row r="3804" spans="48:480" x14ac:dyDescent="0.3">
      <c r="CJ3804" s="103"/>
      <c r="FP3804" s="103"/>
      <c r="LL3804" s="103"/>
      <c r="NM3804" s="103"/>
      <c r="QT3804" s="106"/>
      <c r="QU3804" s="106"/>
      <c r="QV3804" s="106"/>
      <c r="QW3804" s="106"/>
      <c r="QX3804" s="106"/>
      <c r="QY3804" s="106"/>
      <c r="QZ3804" s="106"/>
      <c r="RA3804" s="106"/>
      <c r="RB3804" s="106"/>
      <c r="RC3804" s="106"/>
      <c r="RD3804" s="106"/>
      <c r="RE3804" s="106"/>
      <c r="RF3804" s="106"/>
      <c r="RG3804" s="106"/>
      <c r="RH3804" s="106"/>
      <c r="RI3804" s="106"/>
      <c r="RJ3804" s="106"/>
      <c r="RK3804" s="106"/>
      <c r="RL3804" s="106"/>
    </row>
    <row r="3805" spans="48:480" x14ac:dyDescent="0.3">
      <c r="CJ3805" s="103"/>
      <c r="FP3805" s="103"/>
      <c r="LL3805" s="103"/>
      <c r="NM3805" s="103"/>
      <c r="QT3805" s="106"/>
      <c r="QU3805" s="106"/>
      <c r="QV3805" s="106"/>
      <c r="QW3805" s="106"/>
      <c r="QX3805" s="106"/>
      <c r="QY3805" s="106"/>
      <c r="QZ3805" s="106"/>
      <c r="RA3805" s="106"/>
      <c r="RB3805" s="106"/>
      <c r="RC3805" s="106"/>
      <c r="RD3805" s="106"/>
      <c r="RE3805" s="106"/>
      <c r="RF3805" s="106"/>
      <c r="RG3805" s="106"/>
      <c r="RH3805" s="106"/>
      <c r="RI3805" s="106"/>
      <c r="RJ3805" s="106"/>
      <c r="RK3805" s="106"/>
      <c r="RL3805" s="106"/>
    </row>
    <row r="3806" spans="48:480" x14ac:dyDescent="0.3">
      <c r="AV3806" s="103"/>
      <c r="CJ3806" s="103"/>
      <c r="FP3806" s="103"/>
      <c r="LL3806" s="103"/>
      <c r="NM3806" s="103"/>
      <c r="QT3806" s="106"/>
      <c r="QU3806" s="106"/>
      <c r="QV3806" s="106"/>
      <c r="QW3806" s="106"/>
      <c r="QX3806" s="106"/>
      <c r="QY3806" s="106"/>
      <c r="QZ3806" s="106"/>
      <c r="RA3806" s="106"/>
      <c r="RB3806" s="106"/>
      <c r="RC3806" s="106"/>
      <c r="RD3806" s="106"/>
      <c r="RE3806" s="106"/>
      <c r="RF3806" s="106"/>
      <c r="RG3806" s="106"/>
      <c r="RH3806" s="106"/>
      <c r="RI3806" s="106"/>
      <c r="RJ3806" s="106"/>
      <c r="RK3806" s="106"/>
      <c r="RL3806" s="106"/>
    </row>
    <row r="3807" spans="48:480" x14ac:dyDescent="0.3">
      <c r="AV3807" s="103"/>
      <c r="CJ3807" s="103"/>
      <c r="FP3807" s="103"/>
      <c r="LL3807" s="103"/>
      <c r="NM3807" s="103"/>
      <c r="QT3807" s="106"/>
      <c r="QU3807" s="106"/>
      <c r="QV3807" s="106"/>
      <c r="QW3807" s="106"/>
      <c r="QX3807" s="106"/>
      <c r="QY3807" s="106"/>
      <c r="QZ3807" s="106"/>
      <c r="RA3807" s="106"/>
      <c r="RB3807" s="106"/>
      <c r="RC3807" s="106"/>
      <c r="RD3807" s="106"/>
      <c r="RE3807" s="106"/>
      <c r="RF3807" s="106"/>
      <c r="RG3807" s="106"/>
      <c r="RH3807" s="106"/>
      <c r="RI3807" s="106"/>
      <c r="RJ3807" s="106"/>
      <c r="RK3807" s="106"/>
      <c r="RL3807" s="106"/>
    </row>
    <row r="3808" spans="48:480" x14ac:dyDescent="0.3">
      <c r="AV3808" s="103"/>
      <c r="CJ3808" s="103"/>
      <c r="FP3808" s="103"/>
      <c r="LL3808" s="103"/>
      <c r="NM3808" s="103"/>
      <c r="QT3808" s="106"/>
      <c r="QU3808" s="106"/>
      <c r="QV3808" s="106"/>
      <c r="QW3808" s="106"/>
      <c r="QX3808" s="106"/>
      <c r="QY3808" s="106"/>
      <c r="QZ3808" s="106"/>
      <c r="RA3808" s="106"/>
      <c r="RB3808" s="106"/>
      <c r="RC3808" s="106"/>
      <c r="RD3808" s="106"/>
      <c r="RE3808" s="106"/>
      <c r="RF3808" s="106"/>
      <c r="RG3808" s="106"/>
      <c r="RH3808" s="106"/>
      <c r="RI3808" s="106"/>
      <c r="RJ3808" s="106"/>
      <c r="RK3808" s="106"/>
      <c r="RL3808" s="106"/>
    </row>
    <row r="3809" spans="48:480" x14ac:dyDescent="0.3">
      <c r="AV3809" s="103"/>
      <c r="CJ3809" s="103"/>
      <c r="FP3809" s="103"/>
      <c r="LL3809" s="103"/>
      <c r="NM3809" s="103"/>
      <c r="QT3809" s="106"/>
      <c r="QU3809" s="106"/>
      <c r="QV3809" s="106"/>
      <c r="QW3809" s="106"/>
      <c r="QX3809" s="106"/>
      <c r="QY3809" s="106"/>
      <c r="QZ3809" s="106"/>
      <c r="RA3809" s="106"/>
      <c r="RB3809" s="106"/>
      <c r="RC3809" s="106"/>
      <c r="RD3809" s="106"/>
      <c r="RE3809" s="106"/>
      <c r="RF3809" s="106"/>
      <c r="RG3809" s="106"/>
      <c r="RH3809" s="106"/>
      <c r="RI3809" s="106"/>
      <c r="RJ3809" s="106"/>
      <c r="RK3809" s="106"/>
      <c r="RL3809" s="106"/>
    </row>
    <row r="3810" spans="48:480" x14ac:dyDescent="0.3">
      <c r="AV3810" s="103"/>
      <c r="CJ3810" s="103"/>
      <c r="FP3810" s="103"/>
      <c r="LL3810" s="103"/>
      <c r="NM3810" s="103"/>
      <c r="QT3810" s="106"/>
      <c r="QU3810" s="106"/>
      <c r="QV3810" s="106"/>
      <c r="QW3810" s="106"/>
      <c r="QX3810" s="106"/>
      <c r="QY3810" s="106"/>
      <c r="QZ3810" s="106"/>
      <c r="RA3810" s="106"/>
      <c r="RB3810" s="106"/>
      <c r="RC3810" s="106"/>
      <c r="RD3810" s="106"/>
      <c r="RE3810" s="106"/>
      <c r="RF3810" s="106"/>
      <c r="RG3810" s="106"/>
      <c r="RH3810" s="106"/>
      <c r="RI3810" s="106"/>
      <c r="RJ3810" s="106"/>
      <c r="RK3810" s="106"/>
      <c r="RL3810" s="106"/>
    </row>
    <row r="3811" spans="48:480" x14ac:dyDescent="0.3">
      <c r="AV3811" s="103"/>
      <c r="CJ3811" s="103"/>
      <c r="FP3811" s="103"/>
      <c r="LL3811" s="103"/>
      <c r="NM3811" s="103"/>
      <c r="QT3811" s="106"/>
      <c r="QU3811" s="106"/>
      <c r="QV3811" s="106"/>
      <c r="QW3811" s="106"/>
      <c r="QX3811" s="106"/>
      <c r="QY3811" s="106"/>
      <c r="QZ3811" s="106"/>
      <c r="RA3811" s="106"/>
      <c r="RB3811" s="106"/>
      <c r="RC3811" s="106"/>
      <c r="RD3811" s="106"/>
      <c r="RE3811" s="106"/>
      <c r="RF3811" s="106"/>
      <c r="RG3811" s="106"/>
      <c r="RH3811" s="106"/>
      <c r="RI3811" s="106"/>
      <c r="RJ3811" s="106"/>
      <c r="RK3811" s="106"/>
      <c r="RL3811" s="106"/>
    </row>
    <row r="3812" spans="48:480" x14ac:dyDescent="0.3">
      <c r="AV3812" s="103"/>
      <c r="CJ3812" s="103"/>
      <c r="FP3812" s="103"/>
      <c r="LL3812" s="103"/>
      <c r="NM3812" s="103"/>
      <c r="QT3812" s="106"/>
      <c r="QU3812" s="106"/>
      <c r="QV3812" s="106"/>
      <c r="QW3812" s="106"/>
      <c r="QX3812" s="106"/>
      <c r="QY3812" s="106"/>
      <c r="QZ3812" s="106"/>
      <c r="RA3812" s="106"/>
      <c r="RB3812" s="106"/>
      <c r="RC3812" s="106"/>
      <c r="RD3812" s="106"/>
      <c r="RE3812" s="106"/>
      <c r="RF3812" s="106"/>
      <c r="RG3812" s="106"/>
      <c r="RH3812" s="106"/>
      <c r="RI3812" s="106"/>
      <c r="RJ3812" s="106"/>
      <c r="RK3812" s="106"/>
      <c r="RL3812" s="106"/>
    </row>
    <row r="3813" spans="48:480" x14ac:dyDescent="0.3">
      <c r="AV3813" s="103"/>
      <c r="CJ3813" s="103"/>
      <c r="FP3813" s="103"/>
      <c r="LL3813" s="103"/>
      <c r="NM3813" s="103"/>
      <c r="QT3813" s="106"/>
      <c r="QU3813" s="106"/>
      <c r="QV3813" s="106"/>
      <c r="QW3813" s="106"/>
      <c r="QX3813" s="106"/>
      <c r="QY3813" s="106"/>
      <c r="QZ3813" s="106"/>
      <c r="RA3813" s="106"/>
      <c r="RB3813" s="106"/>
      <c r="RC3813" s="106"/>
      <c r="RD3813" s="106"/>
      <c r="RE3813" s="106"/>
      <c r="RF3813" s="106"/>
      <c r="RG3813" s="106"/>
      <c r="RH3813" s="106"/>
      <c r="RI3813" s="106"/>
      <c r="RJ3813" s="106"/>
      <c r="RK3813" s="106"/>
      <c r="RL3813" s="106"/>
    </row>
    <row r="3814" spans="48:480" x14ac:dyDescent="0.3">
      <c r="AV3814" s="103"/>
      <c r="CJ3814" s="103"/>
      <c r="FP3814" s="103"/>
      <c r="LL3814" s="103"/>
      <c r="NM3814" s="103"/>
      <c r="QT3814" s="106"/>
      <c r="QU3814" s="106"/>
      <c r="QV3814" s="106"/>
      <c r="QW3814" s="106"/>
      <c r="QX3814" s="106"/>
      <c r="QY3814" s="106"/>
      <c r="QZ3814" s="106"/>
      <c r="RA3814" s="106"/>
      <c r="RB3814" s="106"/>
      <c r="RC3814" s="106"/>
      <c r="RD3814" s="106"/>
      <c r="RE3814" s="106"/>
      <c r="RF3814" s="106"/>
      <c r="RG3814" s="106"/>
      <c r="RH3814" s="106"/>
      <c r="RI3814" s="106"/>
      <c r="RJ3814" s="106"/>
      <c r="RK3814" s="106"/>
      <c r="RL3814" s="106"/>
    </row>
    <row r="3815" spans="48:480" x14ac:dyDescent="0.3">
      <c r="AV3815" s="103"/>
      <c r="CJ3815" s="103"/>
      <c r="FP3815" s="103"/>
      <c r="LL3815" s="103"/>
      <c r="NM3815" s="103"/>
      <c r="QT3815" s="106"/>
      <c r="QU3815" s="106"/>
      <c r="QV3815" s="106"/>
      <c r="QW3815" s="106"/>
      <c r="QX3815" s="106"/>
      <c r="QY3815" s="106"/>
      <c r="QZ3815" s="106"/>
      <c r="RA3815" s="106"/>
      <c r="RB3815" s="106"/>
      <c r="RC3815" s="106"/>
      <c r="RD3815" s="106"/>
      <c r="RE3815" s="106"/>
      <c r="RF3815" s="106"/>
      <c r="RG3815" s="106"/>
      <c r="RH3815" s="106"/>
      <c r="RI3815" s="106"/>
      <c r="RJ3815" s="106"/>
      <c r="RK3815" s="106"/>
      <c r="RL3815" s="106"/>
    </row>
    <row r="3816" spans="48:480" x14ac:dyDescent="0.3">
      <c r="AV3816" s="103"/>
      <c r="CJ3816" s="103"/>
      <c r="FP3816" s="103"/>
      <c r="LL3816" s="103"/>
      <c r="NM3816" s="103"/>
      <c r="QT3816" s="106"/>
      <c r="QU3816" s="106"/>
      <c r="QV3816" s="106"/>
      <c r="QW3816" s="106"/>
      <c r="QX3816" s="106"/>
      <c r="QY3816" s="106"/>
      <c r="QZ3816" s="106"/>
      <c r="RA3816" s="106"/>
      <c r="RB3816" s="106"/>
      <c r="RC3816" s="106"/>
      <c r="RD3816" s="106"/>
      <c r="RE3816" s="106"/>
      <c r="RF3816" s="106"/>
      <c r="RG3816" s="106"/>
      <c r="RH3816" s="106"/>
      <c r="RI3816" s="106"/>
      <c r="RJ3816" s="106"/>
      <c r="RK3816" s="106"/>
      <c r="RL3816" s="106"/>
    </row>
    <row r="3817" spans="48:480" x14ac:dyDescent="0.3">
      <c r="AV3817" s="103"/>
      <c r="CJ3817" s="103"/>
      <c r="FP3817" s="103"/>
      <c r="LL3817" s="103"/>
      <c r="NM3817" s="103"/>
      <c r="QT3817" s="106"/>
      <c r="QU3817" s="106"/>
      <c r="QV3817" s="106"/>
      <c r="QW3817" s="106"/>
      <c r="QX3817" s="106"/>
      <c r="QY3817" s="106"/>
      <c r="QZ3817" s="106"/>
      <c r="RA3817" s="106"/>
      <c r="RB3817" s="106"/>
      <c r="RC3817" s="106"/>
      <c r="RD3817" s="106"/>
      <c r="RE3817" s="106"/>
      <c r="RF3817" s="106"/>
      <c r="RG3817" s="106"/>
      <c r="RH3817" s="106"/>
      <c r="RI3817" s="106"/>
      <c r="RJ3817" s="106"/>
      <c r="RK3817" s="106"/>
      <c r="RL3817" s="106"/>
    </row>
    <row r="3818" spans="48:480" x14ac:dyDescent="0.3">
      <c r="AV3818" s="103"/>
      <c r="CJ3818" s="103"/>
      <c r="FP3818" s="103"/>
      <c r="LL3818" s="103"/>
      <c r="NM3818" s="103"/>
      <c r="QT3818" s="106"/>
      <c r="QU3818" s="106"/>
      <c r="QV3818" s="106"/>
      <c r="QW3818" s="106"/>
      <c r="QX3818" s="106"/>
      <c r="QY3818" s="106"/>
      <c r="QZ3818" s="106"/>
      <c r="RA3818" s="106"/>
      <c r="RB3818" s="106"/>
      <c r="RC3818" s="106"/>
      <c r="RD3818" s="106"/>
      <c r="RE3818" s="106"/>
      <c r="RF3818" s="106"/>
      <c r="RG3818" s="106"/>
      <c r="RH3818" s="106"/>
      <c r="RI3818" s="106"/>
      <c r="RJ3818" s="106"/>
      <c r="RK3818" s="106"/>
      <c r="RL3818" s="106"/>
    </row>
    <row r="3819" spans="48:480" x14ac:dyDescent="0.3">
      <c r="CJ3819" s="103"/>
      <c r="FP3819" s="103"/>
      <c r="LL3819" s="103"/>
      <c r="NM3819" s="103"/>
      <c r="QT3819" s="106"/>
      <c r="QU3819" s="106"/>
      <c r="QV3819" s="106"/>
      <c r="QW3819" s="106"/>
      <c r="QX3819" s="106"/>
      <c r="QY3819" s="106"/>
      <c r="QZ3819" s="106"/>
      <c r="RA3819" s="106"/>
      <c r="RB3819" s="106"/>
      <c r="RC3819" s="106"/>
      <c r="RD3819" s="106"/>
      <c r="RE3819" s="106"/>
      <c r="RF3819" s="106"/>
      <c r="RG3819" s="106"/>
      <c r="RH3819" s="106"/>
      <c r="RI3819" s="106"/>
      <c r="RJ3819" s="106"/>
      <c r="RK3819" s="106"/>
      <c r="RL3819" s="106"/>
    </row>
    <row r="3820" spans="48:480" x14ac:dyDescent="0.3">
      <c r="AV3820" s="103"/>
      <c r="CJ3820" s="103"/>
      <c r="FP3820" s="103"/>
      <c r="LL3820" s="103"/>
      <c r="NM3820" s="103"/>
      <c r="QT3820" s="106"/>
      <c r="QU3820" s="106"/>
      <c r="QV3820" s="106"/>
      <c r="QW3820" s="106"/>
      <c r="QX3820" s="106"/>
      <c r="QY3820" s="106"/>
      <c r="QZ3820" s="106"/>
      <c r="RA3820" s="106"/>
      <c r="RB3820" s="106"/>
      <c r="RC3820" s="106"/>
      <c r="RD3820" s="106"/>
      <c r="RE3820" s="106"/>
      <c r="RF3820" s="106"/>
      <c r="RG3820" s="106"/>
      <c r="RH3820" s="106"/>
      <c r="RI3820" s="106"/>
      <c r="RJ3820" s="106"/>
      <c r="RK3820" s="106"/>
      <c r="RL3820" s="106"/>
    </row>
    <row r="3821" spans="48:480" x14ac:dyDescent="0.3">
      <c r="AV3821" s="103"/>
      <c r="CJ3821" s="103"/>
      <c r="FP3821" s="103"/>
      <c r="LL3821" s="103"/>
      <c r="NM3821" s="103"/>
      <c r="QT3821" s="106"/>
      <c r="QU3821" s="106"/>
      <c r="QV3821" s="106"/>
      <c r="QW3821" s="106"/>
      <c r="QX3821" s="106"/>
      <c r="QY3821" s="106"/>
      <c r="QZ3821" s="106"/>
      <c r="RA3821" s="106"/>
      <c r="RB3821" s="106"/>
      <c r="RC3821" s="106"/>
      <c r="RD3821" s="106"/>
      <c r="RE3821" s="106"/>
      <c r="RF3821" s="106"/>
      <c r="RG3821" s="106"/>
      <c r="RH3821" s="106"/>
      <c r="RI3821" s="106"/>
      <c r="RJ3821" s="106"/>
      <c r="RK3821" s="106"/>
      <c r="RL3821" s="106"/>
    </row>
    <row r="3822" spans="48:480" x14ac:dyDescent="0.3">
      <c r="AV3822" s="103"/>
      <c r="CJ3822" s="103"/>
      <c r="FP3822" s="103"/>
      <c r="LL3822" s="103"/>
      <c r="NM3822" s="103"/>
      <c r="QT3822" s="106"/>
      <c r="QU3822" s="106"/>
      <c r="QV3822" s="106"/>
      <c r="QW3822" s="106"/>
      <c r="QX3822" s="106"/>
      <c r="QY3822" s="106"/>
      <c r="QZ3822" s="106"/>
      <c r="RA3822" s="106"/>
      <c r="RB3822" s="106"/>
      <c r="RC3822" s="106"/>
      <c r="RD3822" s="106"/>
      <c r="RE3822" s="106"/>
      <c r="RF3822" s="106"/>
      <c r="RG3822" s="106"/>
      <c r="RH3822" s="106"/>
      <c r="RI3822" s="106"/>
      <c r="RJ3822" s="106"/>
      <c r="RK3822" s="106"/>
      <c r="RL3822" s="106"/>
    </row>
    <row r="3823" spans="48:480" x14ac:dyDescent="0.3">
      <c r="AV3823" s="103"/>
      <c r="CJ3823" s="103"/>
      <c r="FP3823" s="103"/>
      <c r="LL3823" s="103"/>
      <c r="NM3823" s="103"/>
      <c r="QT3823" s="106"/>
      <c r="QU3823" s="106"/>
      <c r="QV3823" s="106"/>
      <c r="QW3823" s="106"/>
      <c r="QX3823" s="106"/>
      <c r="QY3823" s="106"/>
      <c r="QZ3823" s="106"/>
      <c r="RA3823" s="106"/>
      <c r="RB3823" s="106"/>
      <c r="RC3823" s="106"/>
      <c r="RD3823" s="106"/>
      <c r="RE3823" s="106"/>
      <c r="RF3823" s="106"/>
      <c r="RG3823" s="106"/>
      <c r="RH3823" s="106"/>
      <c r="RI3823" s="106"/>
      <c r="RJ3823" s="106"/>
      <c r="RK3823" s="106"/>
      <c r="RL3823" s="106"/>
    </row>
    <row r="3824" spans="48:480" x14ac:dyDescent="0.3">
      <c r="AV3824" s="103"/>
      <c r="CJ3824" s="103"/>
      <c r="FP3824" s="103"/>
      <c r="LL3824" s="103"/>
      <c r="NM3824" s="103"/>
      <c r="QT3824" s="106"/>
      <c r="QU3824" s="106"/>
      <c r="QV3824" s="106"/>
      <c r="QW3824" s="106"/>
      <c r="QX3824" s="106"/>
      <c r="QY3824" s="106"/>
      <c r="QZ3824" s="106"/>
      <c r="RA3824" s="106"/>
      <c r="RB3824" s="106"/>
      <c r="RC3824" s="106"/>
      <c r="RD3824" s="106"/>
      <c r="RE3824" s="106"/>
      <c r="RF3824" s="106"/>
      <c r="RG3824" s="106"/>
      <c r="RH3824" s="106"/>
      <c r="RI3824" s="106"/>
      <c r="RJ3824" s="106"/>
      <c r="RK3824" s="106"/>
      <c r="RL3824" s="106"/>
    </row>
    <row r="3825" spans="48:480" x14ac:dyDescent="0.3">
      <c r="AV3825" s="103"/>
      <c r="CJ3825" s="103"/>
      <c r="FP3825" s="103"/>
      <c r="LL3825" s="103"/>
      <c r="NM3825" s="103"/>
      <c r="QT3825" s="106"/>
      <c r="QU3825" s="106"/>
      <c r="QV3825" s="106"/>
      <c r="QW3825" s="106"/>
      <c r="QX3825" s="106"/>
      <c r="QY3825" s="106"/>
      <c r="QZ3825" s="106"/>
      <c r="RA3825" s="106"/>
      <c r="RB3825" s="106"/>
      <c r="RC3825" s="106"/>
      <c r="RD3825" s="106"/>
      <c r="RE3825" s="106"/>
      <c r="RF3825" s="106"/>
      <c r="RG3825" s="106"/>
      <c r="RH3825" s="106"/>
      <c r="RI3825" s="106"/>
      <c r="RJ3825" s="106"/>
      <c r="RK3825" s="106"/>
      <c r="RL3825" s="106"/>
    </row>
    <row r="3826" spans="48:480" x14ac:dyDescent="0.3">
      <c r="AV3826" s="103"/>
      <c r="CJ3826" s="103"/>
      <c r="FP3826" s="103"/>
      <c r="LL3826" s="103"/>
      <c r="NM3826" s="103"/>
      <c r="QT3826" s="106"/>
      <c r="QU3826" s="106"/>
      <c r="QV3826" s="106"/>
      <c r="QW3826" s="106"/>
      <c r="QX3826" s="106"/>
      <c r="QY3826" s="106"/>
      <c r="QZ3826" s="106"/>
      <c r="RA3826" s="106"/>
      <c r="RB3826" s="106"/>
      <c r="RC3826" s="106"/>
      <c r="RD3826" s="106"/>
      <c r="RE3826" s="106"/>
      <c r="RF3826" s="106"/>
      <c r="RG3826" s="106"/>
      <c r="RH3826" s="106"/>
      <c r="RI3826" s="106"/>
      <c r="RJ3826" s="106"/>
      <c r="RK3826" s="106"/>
      <c r="RL3826" s="106"/>
    </row>
    <row r="3827" spans="48:480" x14ac:dyDescent="0.3">
      <c r="AV3827" s="103"/>
      <c r="CJ3827" s="103"/>
      <c r="FP3827" s="103"/>
      <c r="LL3827" s="103"/>
      <c r="NM3827" s="103"/>
      <c r="QT3827" s="106"/>
      <c r="QU3827" s="106"/>
      <c r="QV3827" s="106"/>
      <c r="QW3827" s="106"/>
      <c r="QX3827" s="106"/>
      <c r="QY3827" s="106"/>
      <c r="QZ3827" s="106"/>
      <c r="RA3827" s="106"/>
      <c r="RB3827" s="106"/>
      <c r="RC3827" s="106"/>
      <c r="RD3827" s="106"/>
      <c r="RE3827" s="106"/>
      <c r="RF3827" s="106"/>
      <c r="RG3827" s="106"/>
      <c r="RH3827" s="106"/>
      <c r="RI3827" s="106"/>
      <c r="RJ3827" s="106"/>
      <c r="RK3827" s="106"/>
      <c r="RL3827" s="106"/>
    </row>
    <row r="3828" spans="48:480" x14ac:dyDescent="0.3">
      <c r="AV3828" s="103"/>
      <c r="CJ3828" s="103"/>
      <c r="FP3828" s="103"/>
      <c r="LL3828" s="103"/>
      <c r="NM3828" s="103"/>
      <c r="QT3828" s="106"/>
      <c r="QU3828" s="106"/>
      <c r="QV3828" s="106"/>
      <c r="QW3828" s="106"/>
      <c r="QX3828" s="106"/>
      <c r="QY3828" s="106"/>
      <c r="QZ3828" s="106"/>
      <c r="RA3828" s="106"/>
      <c r="RB3828" s="106"/>
      <c r="RC3828" s="106"/>
      <c r="RD3828" s="106"/>
      <c r="RE3828" s="106"/>
      <c r="RF3828" s="106"/>
      <c r="RG3828" s="106"/>
      <c r="RH3828" s="106"/>
      <c r="RI3828" s="106"/>
      <c r="RJ3828" s="106"/>
      <c r="RK3828" s="106"/>
      <c r="RL3828" s="106"/>
    </row>
    <row r="3829" spans="48:480" x14ac:dyDescent="0.3">
      <c r="AV3829" s="103"/>
      <c r="CJ3829" s="103"/>
      <c r="FP3829" s="103"/>
      <c r="LL3829" s="103"/>
      <c r="NM3829" s="103"/>
      <c r="QT3829" s="106"/>
      <c r="QU3829" s="106"/>
      <c r="QV3829" s="106"/>
      <c r="QW3829" s="106"/>
      <c r="QX3829" s="106"/>
      <c r="QY3829" s="106"/>
      <c r="QZ3829" s="106"/>
      <c r="RA3829" s="106"/>
      <c r="RB3829" s="106"/>
      <c r="RC3829" s="106"/>
      <c r="RD3829" s="106"/>
      <c r="RE3829" s="106"/>
      <c r="RF3829" s="106"/>
      <c r="RG3829" s="106"/>
      <c r="RH3829" s="106"/>
      <c r="RI3829" s="106"/>
      <c r="RJ3829" s="106"/>
      <c r="RK3829" s="106"/>
      <c r="RL3829" s="106"/>
    </row>
    <row r="3830" spans="48:480" x14ac:dyDescent="0.3">
      <c r="CJ3830" s="103"/>
      <c r="FP3830" s="103"/>
      <c r="LL3830" s="103"/>
      <c r="NM3830" s="103"/>
      <c r="QT3830" s="106"/>
      <c r="QU3830" s="106"/>
      <c r="QV3830" s="106"/>
      <c r="QW3830" s="106"/>
      <c r="QX3830" s="106"/>
      <c r="QY3830" s="106"/>
      <c r="QZ3830" s="106"/>
      <c r="RA3830" s="106"/>
      <c r="RB3830" s="106"/>
      <c r="RC3830" s="106"/>
      <c r="RD3830" s="106"/>
      <c r="RE3830" s="106"/>
      <c r="RF3830" s="106"/>
      <c r="RG3830" s="106"/>
      <c r="RH3830" s="106"/>
      <c r="RI3830" s="106"/>
      <c r="RJ3830" s="106"/>
      <c r="RK3830" s="106"/>
      <c r="RL3830" s="106"/>
    </row>
    <row r="3831" spans="48:480" x14ac:dyDescent="0.3">
      <c r="AV3831" s="103"/>
      <c r="CJ3831" s="103"/>
      <c r="FP3831" s="103"/>
      <c r="LL3831" s="103"/>
      <c r="NM3831" s="103"/>
      <c r="QT3831" s="106"/>
      <c r="QU3831" s="106"/>
      <c r="QV3831" s="106"/>
      <c r="QW3831" s="106"/>
      <c r="QX3831" s="106"/>
      <c r="QY3831" s="106"/>
      <c r="QZ3831" s="106"/>
      <c r="RA3831" s="106"/>
      <c r="RB3831" s="106"/>
      <c r="RC3831" s="106"/>
      <c r="RD3831" s="106"/>
      <c r="RE3831" s="106"/>
      <c r="RF3831" s="106"/>
      <c r="RG3831" s="106"/>
      <c r="RH3831" s="106"/>
      <c r="RI3831" s="106"/>
      <c r="RJ3831" s="106"/>
      <c r="RK3831" s="106"/>
      <c r="RL3831" s="106"/>
    </row>
    <row r="3832" spans="48:480" x14ac:dyDescent="0.3">
      <c r="AV3832" s="103"/>
      <c r="CJ3832" s="103"/>
      <c r="FP3832" s="103"/>
      <c r="LL3832" s="103"/>
      <c r="NM3832" s="103"/>
      <c r="QT3832" s="106"/>
      <c r="QU3832" s="106"/>
      <c r="QV3832" s="106"/>
      <c r="QW3832" s="106"/>
      <c r="QX3832" s="106"/>
      <c r="QY3832" s="106"/>
      <c r="QZ3832" s="106"/>
      <c r="RA3832" s="106"/>
      <c r="RB3832" s="106"/>
      <c r="RC3832" s="106"/>
      <c r="RD3832" s="106"/>
      <c r="RE3832" s="106"/>
      <c r="RF3832" s="106"/>
      <c r="RG3832" s="106"/>
      <c r="RH3832" s="106"/>
      <c r="RI3832" s="106"/>
      <c r="RJ3832" s="106"/>
      <c r="RK3832" s="106"/>
      <c r="RL3832" s="106"/>
    </row>
    <row r="3833" spans="48:480" x14ac:dyDescent="0.3">
      <c r="AV3833" s="103"/>
      <c r="CJ3833" s="103"/>
      <c r="FP3833" s="103"/>
      <c r="LL3833" s="103"/>
      <c r="NM3833" s="103"/>
      <c r="QT3833" s="106"/>
      <c r="QU3833" s="106"/>
      <c r="QV3833" s="106"/>
      <c r="QW3833" s="106"/>
      <c r="QX3833" s="106"/>
      <c r="QY3833" s="106"/>
      <c r="QZ3833" s="106"/>
      <c r="RA3833" s="106"/>
      <c r="RB3833" s="106"/>
      <c r="RC3833" s="106"/>
      <c r="RD3833" s="106"/>
      <c r="RE3833" s="106"/>
      <c r="RF3833" s="106"/>
      <c r="RG3833" s="106"/>
      <c r="RH3833" s="106"/>
      <c r="RI3833" s="106"/>
      <c r="RJ3833" s="106"/>
      <c r="RK3833" s="106"/>
      <c r="RL3833" s="106"/>
    </row>
    <row r="3834" spans="48:480" x14ac:dyDescent="0.3">
      <c r="AV3834" s="103"/>
      <c r="CJ3834" s="103"/>
      <c r="FP3834" s="103"/>
      <c r="LL3834" s="103"/>
      <c r="NM3834" s="103"/>
      <c r="QT3834" s="106"/>
      <c r="QU3834" s="106"/>
      <c r="QV3834" s="106"/>
      <c r="QW3834" s="106"/>
      <c r="QX3834" s="106"/>
      <c r="QY3834" s="106"/>
      <c r="QZ3834" s="106"/>
      <c r="RA3834" s="106"/>
      <c r="RB3834" s="106"/>
      <c r="RC3834" s="106"/>
      <c r="RD3834" s="106"/>
      <c r="RE3834" s="106"/>
      <c r="RF3834" s="106"/>
      <c r="RG3834" s="106"/>
      <c r="RH3834" s="106"/>
      <c r="RI3834" s="106"/>
      <c r="RJ3834" s="106"/>
      <c r="RK3834" s="106"/>
      <c r="RL3834" s="106"/>
    </row>
    <row r="3835" spans="48:480" x14ac:dyDescent="0.3">
      <c r="AV3835" s="103"/>
      <c r="CJ3835" s="103"/>
      <c r="FP3835" s="103"/>
      <c r="LL3835" s="103"/>
      <c r="NM3835" s="103"/>
      <c r="QT3835" s="106"/>
      <c r="QU3835" s="106"/>
      <c r="QV3835" s="106"/>
      <c r="QW3835" s="106"/>
      <c r="QX3835" s="106"/>
      <c r="QY3835" s="106"/>
      <c r="QZ3835" s="106"/>
      <c r="RA3835" s="106"/>
      <c r="RB3835" s="106"/>
      <c r="RC3835" s="106"/>
      <c r="RD3835" s="106"/>
      <c r="RE3835" s="106"/>
      <c r="RF3835" s="106"/>
      <c r="RG3835" s="106"/>
      <c r="RH3835" s="106"/>
      <c r="RI3835" s="106"/>
      <c r="RJ3835" s="106"/>
      <c r="RK3835" s="106"/>
      <c r="RL3835" s="106"/>
    </row>
    <row r="3836" spans="48:480" x14ac:dyDescent="0.3">
      <c r="AV3836" s="103"/>
      <c r="CJ3836" s="103"/>
      <c r="FP3836" s="103"/>
      <c r="LL3836" s="103"/>
      <c r="NM3836" s="103"/>
      <c r="QT3836" s="106"/>
      <c r="QU3836" s="106"/>
      <c r="QV3836" s="106"/>
      <c r="QW3836" s="106"/>
      <c r="QX3836" s="106"/>
      <c r="QY3836" s="106"/>
      <c r="QZ3836" s="106"/>
      <c r="RA3836" s="106"/>
      <c r="RB3836" s="106"/>
      <c r="RC3836" s="106"/>
      <c r="RD3836" s="106"/>
      <c r="RE3836" s="106"/>
      <c r="RF3836" s="106"/>
      <c r="RG3836" s="106"/>
      <c r="RH3836" s="106"/>
      <c r="RI3836" s="106"/>
      <c r="RJ3836" s="106"/>
      <c r="RK3836" s="106"/>
      <c r="RL3836" s="106"/>
    </row>
    <row r="3837" spans="48:480" x14ac:dyDescent="0.3">
      <c r="AV3837" s="103"/>
      <c r="CJ3837" s="103"/>
      <c r="FP3837" s="103"/>
      <c r="LL3837" s="103"/>
      <c r="NM3837" s="103"/>
      <c r="QT3837" s="106"/>
      <c r="QU3837" s="106"/>
      <c r="QV3837" s="106"/>
      <c r="QW3837" s="106"/>
      <c r="QX3837" s="106"/>
      <c r="QY3837" s="106"/>
      <c r="QZ3837" s="106"/>
      <c r="RA3837" s="106"/>
      <c r="RB3837" s="106"/>
      <c r="RC3837" s="106"/>
      <c r="RD3837" s="106"/>
      <c r="RE3837" s="106"/>
      <c r="RF3837" s="106"/>
      <c r="RG3837" s="106"/>
      <c r="RH3837" s="106"/>
      <c r="RI3837" s="106"/>
      <c r="RJ3837" s="106"/>
      <c r="RK3837" s="106"/>
      <c r="RL3837" s="106"/>
    </row>
    <row r="3838" spans="48:480" x14ac:dyDescent="0.3">
      <c r="AV3838" s="103"/>
      <c r="CJ3838" s="103"/>
      <c r="FP3838" s="103"/>
      <c r="LL3838" s="103"/>
      <c r="NM3838" s="103"/>
      <c r="QT3838" s="106"/>
      <c r="QU3838" s="106"/>
      <c r="QV3838" s="106"/>
      <c r="QW3838" s="106"/>
      <c r="QX3838" s="106"/>
      <c r="QY3838" s="106"/>
      <c r="QZ3838" s="106"/>
      <c r="RA3838" s="106"/>
      <c r="RB3838" s="106"/>
      <c r="RC3838" s="106"/>
      <c r="RD3838" s="106"/>
      <c r="RE3838" s="106"/>
      <c r="RF3838" s="106"/>
      <c r="RG3838" s="106"/>
      <c r="RH3838" s="106"/>
      <c r="RI3838" s="106"/>
      <c r="RJ3838" s="106"/>
      <c r="RK3838" s="106"/>
      <c r="RL3838" s="106"/>
    </row>
    <row r="3839" spans="48:480" x14ac:dyDescent="0.3">
      <c r="AV3839" s="103"/>
      <c r="CJ3839" s="103"/>
      <c r="FP3839" s="103"/>
      <c r="LL3839" s="103"/>
      <c r="NM3839" s="103"/>
      <c r="QT3839" s="106"/>
      <c r="QU3839" s="106"/>
      <c r="QV3839" s="106"/>
      <c r="QW3839" s="106"/>
      <c r="QX3839" s="106"/>
      <c r="QY3839" s="106"/>
      <c r="QZ3839" s="106"/>
      <c r="RA3839" s="106"/>
      <c r="RB3839" s="106"/>
      <c r="RC3839" s="106"/>
      <c r="RD3839" s="106"/>
      <c r="RE3839" s="106"/>
      <c r="RF3839" s="106"/>
      <c r="RG3839" s="106"/>
      <c r="RH3839" s="106"/>
      <c r="RI3839" s="106"/>
      <c r="RJ3839" s="106"/>
      <c r="RK3839" s="106"/>
      <c r="RL3839" s="106"/>
    </row>
    <row r="3840" spans="48:480" x14ac:dyDescent="0.3">
      <c r="AV3840" s="103"/>
      <c r="CJ3840" s="103"/>
      <c r="FP3840" s="103"/>
      <c r="LL3840" s="103"/>
      <c r="NM3840" s="103"/>
      <c r="QT3840" s="106"/>
      <c r="QU3840" s="106"/>
      <c r="QV3840" s="106"/>
      <c r="QW3840" s="106"/>
      <c r="QX3840" s="106"/>
      <c r="QY3840" s="106"/>
      <c r="QZ3840" s="106"/>
      <c r="RA3840" s="106"/>
      <c r="RB3840" s="106"/>
      <c r="RC3840" s="106"/>
      <c r="RD3840" s="106"/>
      <c r="RE3840" s="106"/>
      <c r="RF3840" s="106"/>
      <c r="RG3840" s="106"/>
      <c r="RH3840" s="106"/>
      <c r="RI3840" s="106"/>
      <c r="RJ3840" s="106"/>
      <c r="RK3840" s="106"/>
      <c r="RL3840" s="106"/>
    </row>
    <row r="3841" spans="48:480" x14ac:dyDescent="0.3">
      <c r="AV3841" s="103"/>
      <c r="CJ3841" s="103"/>
      <c r="FP3841" s="103"/>
      <c r="LL3841" s="103"/>
      <c r="NM3841" s="103"/>
      <c r="QT3841" s="106"/>
      <c r="QU3841" s="106"/>
      <c r="QV3841" s="106"/>
      <c r="QW3841" s="106"/>
      <c r="QX3841" s="106"/>
      <c r="QY3841" s="106"/>
      <c r="QZ3841" s="106"/>
      <c r="RA3841" s="106"/>
      <c r="RB3841" s="106"/>
      <c r="RC3841" s="106"/>
      <c r="RD3841" s="106"/>
      <c r="RE3841" s="106"/>
      <c r="RF3841" s="106"/>
      <c r="RG3841" s="106"/>
      <c r="RH3841" s="106"/>
      <c r="RI3841" s="106"/>
      <c r="RJ3841" s="106"/>
      <c r="RK3841" s="106"/>
      <c r="RL3841" s="106"/>
    </row>
    <row r="3842" spans="48:480" x14ac:dyDescent="0.3">
      <c r="AV3842" s="103"/>
      <c r="CJ3842" s="103"/>
      <c r="FP3842" s="103"/>
      <c r="LL3842" s="103"/>
      <c r="NM3842" s="103"/>
      <c r="QT3842" s="106"/>
      <c r="QU3842" s="106"/>
      <c r="QV3842" s="106"/>
      <c r="QW3842" s="106"/>
      <c r="QX3842" s="106"/>
      <c r="QY3842" s="106"/>
      <c r="QZ3842" s="106"/>
      <c r="RA3842" s="106"/>
      <c r="RB3842" s="106"/>
      <c r="RC3842" s="106"/>
      <c r="RD3842" s="106"/>
      <c r="RE3842" s="106"/>
      <c r="RF3842" s="106"/>
      <c r="RG3842" s="106"/>
      <c r="RH3842" s="106"/>
      <c r="RI3842" s="106"/>
      <c r="RJ3842" s="106"/>
      <c r="RK3842" s="106"/>
      <c r="RL3842" s="106"/>
    </row>
    <row r="3843" spans="48:480" x14ac:dyDescent="0.3">
      <c r="AV3843" s="103"/>
      <c r="CJ3843" s="103"/>
      <c r="FP3843" s="103"/>
      <c r="LL3843" s="103"/>
      <c r="NM3843" s="103"/>
      <c r="QT3843" s="106"/>
      <c r="QU3843" s="106"/>
      <c r="QV3843" s="106"/>
      <c r="QW3843" s="106"/>
      <c r="QX3843" s="106"/>
      <c r="QY3843" s="106"/>
      <c r="QZ3843" s="106"/>
      <c r="RA3843" s="106"/>
      <c r="RB3843" s="106"/>
      <c r="RC3843" s="106"/>
      <c r="RD3843" s="106"/>
      <c r="RE3843" s="106"/>
      <c r="RF3843" s="106"/>
      <c r="RG3843" s="106"/>
      <c r="RH3843" s="106"/>
      <c r="RI3843" s="106"/>
      <c r="RJ3843" s="106"/>
      <c r="RK3843" s="106"/>
      <c r="RL3843" s="106"/>
    </row>
    <row r="3844" spans="48:480" x14ac:dyDescent="0.3">
      <c r="AV3844" s="103"/>
      <c r="CJ3844" s="103"/>
      <c r="FP3844" s="103"/>
      <c r="LL3844" s="103"/>
      <c r="NM3844" s="103"/>
      <c r="QT3844" s="106"/>
      <c r="QU3844" s="106"/>
      <c r="QV3844" s="106"/>
      <c r="QW3844" s="106"/>
      <c r="QX3844" s="106"/>
      <c r="QY3844" s="106"/>
      <c r="QZ3844" s="106"/>
      <c r="RA3844" s="106"/>
      <c r="RB3844" s="106"/>
      <c r="RC3844" s="106"/>
      <c r="RD3844" s="106"/>
      <c r="RE3844" s="106"/>
      <c r="RF3844" s="106"/>
      <c r="RG3844" s="106"/>
      <c r="RH3844" s="106"/>
      <c r="RI3844" s="106"/>
      <c r="RJ3844" s="106"/>
      <c r="RK3844" s="106"/>
      <c r="RL3844" s="106"/>
    </row>
    <row r="3845" spans="48:480" x14ac:dyDescent="0.3">
      <c r="AV3845" s="103"/>
      <c r="CJ3845" s="103"/>
      <c r="FP3845" s="103"/>
      <c r="LL3845" s="103"/>
      <c r="NM3845" s="103"/>
      <c r="QT3845" s="106"/>
      <c r="QU3845" s="106"/>
      <c r="QV3845" s="106"/>
      <c r="QW3845" s="106"/>
      <c r="QX3845" s="106"/>
      <c r="QY3845" s="106"/>
      <c r="QZ3845" s="106"/>
      <c r="RA3845" s="106"/>
      <c r="RB3845" s="106"/>
      <c r="RC3845" s="106"/>
      <c r="RD3845" s="106"/>
      <c r="RE3845" s="106"/>
      <c r="RF3845" s="106"/>
      <c r="RG3845" s="106"/>
      <c r="RH3845" s="106"/>
      <c r="RI3845" s="106"/>
      <c r="RJ3845" s="106"/>
      <c r="RK3845" s="106"/>
      <c r="RL3845" s="106"/>
    </row>
    <row r="3846" spans="48:480" x14ac:dyDescent="0.3">
      <c r="AV3846" s="103"/>
      <c r="CJ3846" s="103"/>
      <c r="FP3846" s="103"/>
      <c r="LL3846" s="103"/>
      <c r="NM3846" s="103"/>
      <c r="QT3846" s="106"/>
      <c r="QU3846" s="106"/>
      <c r="QV3846" s="106"/>
      <c r="QW3846" s="106"/>
      <c r="QX3846" s="106"/>
      <c r="QY3846" s="106"/>
      <c r="QZ3846" s="106"/>
      <c r="RA3846" s="106"/>
      <c r="RB3846" s="106"/>
      <c r="RC3846" s="106"/>
      <c r="RD3846" s="106"/>
      <c r="RE3846" s="106"/>
      <c r="RF3846" s="106"/>
      <c r="RG3846" s="106"/>
      <c r="RH3846" s="106"/>
      <c r="RI3846" s="106"/>
      <c r="RJ3846" s="106"/>
      <c r="RK3846" s="106"/>
      <c r="RL3846" s="106"/>
    </row>
    <row r="3847" spans="48:480" x14ac:dyDescent="0.3">
      <c r="AV3847" s="103"/>
      <c r="CJ3847" s="103"/>
      <c r="FP3847" s="103"/>
      <c r="LL3847" s="103"/>
      <c r="NM3847" s="103"/>
      <c r="QT3847" s="106"/>
      <c r="QU3847" s="106"/>
      <c r="QV3847" s="106"/>
      <c r="QW3847" s="106"/>
      <c r="QX3847" s="106"/>
      <c r="QY3847" s="106"/>
      <c r="QZ3847" s="106"/>
      <c r="RA3847" s="106"/>
      <c r="RB3847" s="106"/>
      <c r="RC3847" s="106"/>
      <c r="RD3847" s="106"/>
      <c r="RE3847" s="106"/>
      <c r="RF3847" s="106"/>
      <c r="RG3847" s="106"/>
      <c r="RH3847" s="106"/>
      <c r="RI3847" s="106"/>
      <c r="RJ3847" s="106"/>
      <c r="RK3847" s="106"/>
      <c r="RL3847" s="106"/>
    </row>
    <row r="3848" spans="48:480" x14ac:dyDescent="0.3">
      <c r="AV3848" s="103"/>
      <c r="CJ3848" s="103"/>
      <c r="FP3848" s="103"/>
      <c r="LL3848" s="103"/>
      <c r="NM3848" s="103"/>
      <c r="QT3848" s="106"/>
      <c r="QU3848" s="106"/>
      <c r="QV3848" s="106"/>
      <c r="QW3848" s="106"/>
      <c r="QX3848" s="106"/>
      <c r="QY3848" s="106"/>
      <c r="QZ3848" s="106"/>
      <c r="RA3848" s="106"/>
      <c r="RB3848" s="106"/>
      <c r="RC3848" s="106"/>
      <c r="RD3848" s="106"/>
      <c r="RE3848" s="106"/>
      <c r="RF3848" s="106"/>
      <c r="RG3848" s="106"/>
      <c r="RH3848" s="106"/>
      <c r="RI3848" s="106"/>
      <c r="RJ3848" s="106"/>
      <c r="RK3848" s="106"/>
      <c r="RL3848" s="106"/>
    </row>
    <row r="3849" spans="48:480" x14ac:dyDescent="0.3">
      <c r="AV3849" s="103"/>
      <c r="CJ3849" s="103"/>
      <c r="FP3849" s="103"/>
      <c r="LL3849" s="103"/>
      <c r="NM3849" s="103"/>
      <c r="QT3849" s="106"/>
      <c r="QU3849" s="106"/>
      <c r="QV3849" s="106"/>
      <c r="QW3849" s="106"/>
      <c r="QX3849" s="106"/>
      <c r="QY3849" s="106"/>
      <c r="QZ3849" s="106"/>
      <c r="RA3849" s="106"/>
      <c r="RB3849" s="106"/>
      <c r="RC3849" s="106"/>
      <c r="RD3849" s="106"/>
      <c r="RE3849" s="106"/>
      <c r="RF3849" s="106"/>
      <c r="RG3849" s="106"/>
      <c r="RH3849" s="106"/>
      <c r="RI3849" s="106"/>
      <c r="RJ3849" s="106"/>
      <c r="RK3849" s="106"/>
      <c r="RL3849" s="106"/>
    </row>
    <row r="3850" spans="48:480" x14ac:dyDescent="0.3">
      <c r="AV3850" s="103"/>
      <c r="CJ3850" s="103"/>
      <c r="FP3850" s="103"/>
      <c r="LL3850" s="103"/>
      <c r="NM3850" s="103"/>
      <c r="QT3850" s="106"/>
      <c r="QU3850" s="106"/>
      <c r="QV3850" s="106"/>
      <c r="QW3850" s="106"/>
      <c r="QX3850" s="106"/>
      <c r="QY3850" s="106"/>
      <c r="QZ3850" s="106"/>
      <c r="RA3850" s="106"/>
      <c r="RB3850" s="106"/>
      <c r="RC3850" s="106"/>
      <c r="RD3850" s="106"/>
      <c r="RE3850" s="106"/>
      <c r="RF3850" s="106"/>
      <c r="RG3850" s="106"/>
      <c r="RH3850" s="106"/>
      <c r="RI3850" s="106"/>
      <c r="RJ3850" s="106"/>
      <c r="RK3850" s="106"/>
      <c r="RL3850" s="106"/>
    </row>
    <row r="3851" spans="48:480" x14ac:dyDescent="0.3">
      <c r="AV3851" s="103"/>
      <c r="CJ3851" s="103"/>
      <c r="FP3851" s="103"/>
      <c r="LL3851" s="103"/>
      <c r="NM3851" s="103"/>
      <c r="QT3851" s="106"/>
      <c r="QU3851" s="106"/>
      <c r="QV3851" s="106"/>
      <c r="QW3851" s="106"/>
      <c r="QX3851" s="106"/>
      <c r="QY3851" s="106"/>
      <c r="QZ3851" s="106"/>
      <c r="RA3851" s="106"/>
      <c r="RB3851" s="106"/>
      <c r="RC3851" s="106"/>
      <c r="RD3851" s="106"/>
      <c r="RE3851" s="106"/>
      <c r="RF3851" s="106"/>
      <c r="RG3851" s="106"/>
      <c r="RH3851" s="106"/>
      <c r="RI3851" s="106"/>
      <c r="RJ3851" s="106"/>
      <c r="RK3851" s="106"/>
      <c r="RL3851" s="106"/>
    </row>
    <row r="3852" spans="48:480" x14ac:dyDescent="0.3">
      <c r="AV3852" s="103"/>
      <c r="CJ3852" s="103"/>
      <c r="FP3852" s="103"/>
      <c r="LL3852" s="103"/>
      <c r="NM3852" s="103"/>
      <c r="QT3852" s="106"/>
      <c r="QU3852" s="106"/>
      <c r="QV3852" s="106"/>
      <c r="QW3852" s="106"/>
      <c r="QX3852" s="106"/>
      <c r="QY3852" s="106"/>
      <c r="QZ3852" s="106"/>
      <c r="RA3852" s="106"/>
      <c r="RB3852" s="106"/>
      <c r="RC3852" s="106"/>
      <c r="RD3852" s="106"/>
      <c r="RE3852" s="106"/>
      <c r="RF3852" s="106"/>
      <c r="RG3852" s="106"/>
      <c r="RH3852" s="106"/>
      <c r="RI3852" s="106"/>
      <c r="RJ3852" s="106"/>
      <c r="RK3852" s="106"/>
      <c r="RL3852" s="106"/>
    </row>
    <row r="3853" spans="48:480" x14ac:dyDescent="0.3">
      <c r="AV3853" s="103"/>
      <c r="CJ3853" s="103"/>
      <c r="FP3853" s="103"/>
      <c r="LL3853" s="103"/>
      <c r="NM3853" s="103"/>
      <c r="QT3853" s="106"/>
      <c r="QU3853" s="106"/>
      <c r="QV3853" s="106"/>
      <c r="QW3853" s="106"/>
      <c r="QX3853" s="106"/>
      <c r="QY3853" s="106"/>
      <c r="QZ3853" s="106"/>
      <c r="RA3853" s="106"/>
      <c r="RB3853" s="106"/>
      <c r="RC3853" s="106"/>
      <c r="RD3853" s="106"/>
      <c r="RE3853" s="106"/>
      <c r="RF3853" s="106"/>
      <c r="RG3853" s="106"/>
      <c r="RH3853" s="106"/>
      <c r="RI3853" s="106"/>
      <c r="RJ3853" s="106"/>
      <c r="RK3853" s="106"/>
      <c r="RL3853" s="106"/>
    </row>
    <row r="3854" spans="48:480" x14ac:dyDescent="0.3">
      <c r="CJ3854" s="103"/>
      <c r="FP3854" s="103"/>
      <c r="LL3854" s="103"/>
      <c r="NM3854" s="103"/>
      <c r="QT3854" s="106"/>
      <c r="QU3854" s="106"/>
      <c r="QV3854" s="106"/>
      <c r="QW3854" s="106"/>
      <c r="QX3854" s="106"/>
      <c r="QY3854" s="106"/>
      <c r="QZ3854" s="106"/>
      <c r="RA3854" s="106"/>
      <c r="RB3854" s="106"/>
      <c r="RC3854" s="106"/>
      <c r="RD3854" s="106"/>
      <c r="RE3854" s="106"/>
      <c r="RF3854" s="106"/>
      <c r="RG3854" s="106"/>
      <c r="RH3854" s="106"/>
      <c r="RI3854" s="106"/>
      <c r="RJ3854" s="106"/>
      <c r="RK3854" s="106"/>
      <c r="RL3854" s="106"/>
    </row>
    <row r="3855" spans="48:480" x14ac:dyDescent="0.3">
      <c r="CJ3855" s="103"/>
      <c r="FP3855" s="103"/>
      <c r="LL3855" s="103"/>
      <c r="NM3855" s="103"/>
      <c r="QT3855" s="106"/>
      <c r="QU3855" s="106"/>
      <c r="QV3855" s="106"/>
      <c r="QW3855" s="106"/>
      <c r="QX3855" s="106"/>
      <c r="QY3855" s="106"/>
      <c r="QZ3855" s="106"/>
      <c r="RA3855" s="106"/>
      <c r="RB3855" s="106"/>
      <c r="RC3855" s="106"/>
      <c r="RD3855" s="106"/>
      <c r="RE3855" s="106"/>
      <c r="RF3855" s="106"/>
      <c r="RG3855" s="106"/>
      <c r="RH3855" s="106"/>
      <c r="RI3855" s="106"/>
      <c r="RJ3855" s="106"/>
      <c r="RK3855" s="106"/>
      <c r="RL3855" s="106"/>
    </row>
    <row r="3856" spans="48:480" x14ac:dyDescent="0.3">
      <c r="CJ3856" s="103"/>
      <c r="FP3856" s="103"/>
      <c r="LL3856" s="103"/>
      <c r="NM3856" s="103"/>
      <c r="QT3856" s="106"/>
      <c r="QU3856" s="106"/>
      <c r="QV3856" s="106"/>
      <c r="QW3856" s="106"/>
      <c r="QX3856" s="106"/>
      <c r="QY3856" s="106"/>
      <c r="QZ3856" s="106"/>
      <c r="RA3856" s="106"/>
      <c r="RB3856" s="106"/>
      <c r="RC3856" s="106"/>
      <c r="RD3856" s="106"/>
      <c r="RE3856" s="106"/>
      <c r="RF3856" s="106"/>
      <c r="RG3856" s="106"/>
      <c r="RH3856" s="106"/>
      <c r="RI3856" s="106"/>
      <c r="RJ3856" s="106"/>
      <c r="RK3856" s="106"/>
      <c r="RL3856" s="106"/>
    </row>
    <row r="3857" spans="48:480" x14ac:dyDescent="0.3">
      <c r="CJ3857" s="103"/>
      <c r="FP3857" s="103"/>
      <c r="LL3857" s="103"/>
      <c r="NM3857" s="103"/>
      <c r="QT3857" s="106"/>
      <c r="QU3857" s="106"/>
      <c r="QV3857" s="106"/>
      <c r="QW3857" s="106"/>
      <c r="QX3857" s="106"/>
      <c r="QY3857" s="106"/>
      <c r="QZ3857" s="106"/>
      <c r="RA3857" s="106"/>
      <c r="RB3857" s="106"/>
      <c r="RC3857" s="106"/>
      <c r="RD3857" s="106"/>
      <c r="RE3857" s="106"/>
      <c r="RF3857" s="106"/>
      <c r="RG3857" s="106"/>
      <c r="RH3857" s="106"/>
      <c r="RI3857" s="106"/>
      <c r="RJ3857" s="106"/>
      <c r="RK3857" s="106"/>
      <c r="RL3857" s="106"/>
    </row>
    <row r="3858" spans="48:480" x14ac:dyDescent="0.3">
      <c r="CJ3858" s="103"/>
      <c r="FP3858" s="103"/>
      <c r="LL3858" s="103"/>
      <c r="NM3858" s="103"/>
      <c r="QT3858" s="106"/>
      <c r="QU3858" s="106"/>
      <c r="QV3858" s="106"/>
      <c r="QW3858" s="106"/>
      <c r="QX3858" s="106"/>
      <c r="QY3858" s="106"/>
      <c r="QZ3858" s="106"/>
      <c r="RA3858" s="106"/>
      <c r="RB3858" s="106"/>
      <c r="RC3858" s="106"/>
      <c r="RD3858" s="106"/>
      <c r="RE3858" s="106"/>
      <c r="RF3858" s="106"/>
      <c r="RG3858" s="106"/>
      <c r="RH3858" s="106"/>
      <c r="RI3858" s="106"/>
      <c r="RJ3858" s="106"/>
      <c r="RK3858" s="106"/>
      <c r="RL3858" s="106"/>
    </row>
    <row r="3859" spans="48:480" x14ac:dyDescent="0.3">
      <c r="AV3859" s="103"/>
      <c r="CJ3859" s="103"/>
      <c r="FP3859" s="103"/>
      <c r="LL3859" s="103"/>
      <c r="NM3859" s="103"/>
      <c r="QT3859" s="106"/>
      <c r="QU3859" s="106"/>
      <c r="QV3859" s="106"/>
      <c r="QW3859" s="106"/>
      <c r="QX3859" s="106"/>
      <c r="QY3859" s="106"/>
      <c r="QZ3859" s="106"/>
      <c r="RA3859" s="106"/>
      <c r="RB3859" s="106"/>
      <c r="RC3859" s="106"/>
      <c r="RD3859" s="106"/>
      <c r="RE3859" s="106"/>
      <c r="RF3859" s="106"/>
      <c r="RG3859" s="106"/>
      <c r="RH3859" s="106"/>
      <c r="RI3859" s="106"/>
      <c r="RJ3859" s="106"/>
      <c r="RK3859" s="106"/>
      <c r="RL3859" s="106"/>
    </row>
    <row r="3860" spans="48:480" x14ac:dyDescent="0.3">
      <c r="AV3860" s="103"/>
      <c r="CJ3860" s="103"/>
      <c r="FP3860" s="103"/>
      <c r="LL3860" s="103"/>
      <c r="NM3860" s="103"/>
      <c r="QT3860" s="106"/>
      <c r="QU3860" s="106"/>
      <c r="QV3860" s="106"/>
      <c r="QW3860" s="106"/>
      <c r="QX3860" s="106"/>
      <c r="QY3860" s="106"/>
      <c r="QZ3860" s="106"/>
      <c r="RA3860" s="106"/>
      <c r="RB3860" s="106"/>
      <c r="RC3860" s="106"/>
      <c r="RD3860" s="106"/>
      <c r="RE3860" s="106"/>
      <c r="RF3860" s="106"/>
      <c r="RG3860" s="106"/>
      <c r="RH3860" s="106"/>
      <c r="RI3860" s="106"/>
      <c r="RJ3860" s="106"/>
      <c r="RK3860" s="106"/>
      <c r="RL3860" s="106"/>
    </row>
    <row r="3861" spans="48:480" x14ac:dyDescent="0.3">
      <c r="AV3861" s="103"/>
      <c r="CJ3861" s="103"/>
      <c r="FP3861" s="103"/>
      <c r="LL3861" s="103"/>
      <c r="NM3861" s="103"/>
      <c r="QT3861" s="106"/>
      <c r="QU3861" s="106"/>
      <c r="QV3861" s="106"/>
      <c r="QW3861" s="106"/>
      <c r="QX3861" s="106"/>
      <c r="QY3861" s="106"/>
      <c r="QZ3861" s="106"/>
      <c r="RA3861" s="106"/>
      <c r="RB3861" s="106"/>
      <c r="RC3861" s="106"/>
      <c r="RD3861" s="106"/>
      <c r="RE3861" s="106"/>
      <c r="RF3861" s="106"/>
      <c r="RG3861" s="106"/>
      <c r="RH3861" s="106"/>
      <c r="RI3861" s="106"/>
      <c r="RJ3861" s="106"/>
      <c r="RK3861" s="106"/>
      <c r="RL3861" s="106"/>
    </row>
    <row r="3862" spans="48:480" x14ac:dyDescent="0.3">
      <c r="AV3862" s="103"/>
      <c r="CJ3862" s="103"/>
      <c r="FP3862" s="103"/>
      <c r="LL3862" s="103"/>
      <c r="NM3862" s="103"/>
      <c r="QT3862" s="106"/>
      <c r="QU3862" s="106"/>
      <c r="QV3862" s="106"/>
      <c r="QW3862" s="106"/>
      <c r="QX3862" s="106"/>
      <c r="QY3862" s="106"/>
      <c r="QZ3862" s="106"/>
      <c r="RA3862" s="106"/>
      <c r="RB3862" s="106"/>
      <c r="RC3862" s="106"/>
      <c r="RD3862" s="106"/>
      <c r="RE3862" s="106"/>
      <c r="RF3862" s="106"/>
      <c r="RG3862" s="106"/>
      <c r="RH3862" s="106"/>
      <c r="RI3862" s="106"/>
      <c r="RJ3862" s="106"/>
      <c r="RK3862" s="106"/>
      <c r="RL3862" s="106"/>
    </row>
    <row r="3863" spans="48:480" x14ac:dyDescent="0.3">
      <c r="AV3863" s="103"/>
      <c r="CJ3863" s="103"/>
      <c r="FP3863" s="103"/>
      <c r="LL3863" s="103"/>
      <c r="NM3863" s="103"/>
      <c r="QT3863" s="106"/>
      <c r="QU3863" s="106"/>
      <c r="QV3863" s="106"/>
      <c r="QW3863" s="106"/>
      <c r="QX3863" s="106"/>
      <c r="QY3863" s="106"/>
      <c r="QZ3863" s="106"/>
      <c r="RA3863" s="106"/>
      <c r="RB3863" s="106"/>
      <c r="RC3863" s="106"/>
      <c r="RD3863" s="106"/>
      <c r="RE3863" s="106"/>
      <c r="RF3863" s="106"/>
      <c r="RG3863" s="106"/>
      <c r="RH3863" s="106"/>
      <c r="RI3863" s="106"/>
      <c r="RJ3863" s="106"/>
      <c r="RK3863" s="106"/>
      <c r="RL3863" s="106"/>
    </row>
    <row r="3864" spans="48:480" x14ac:dyDescent="0.3">
      <c r="AV3864" s="103"/>
      <c r="CJ3864" s="103"/>
      <c r="FP3864" s="103"/>
      <c r="LL3864" s="103"/>
      <c r="NM3864" s="103"/>
      <c r="QT3864" s="106"/>
      <c r="QU3864" s="106"/>
      <c r="QV3864" s="106"/>
      <c r="QW3864" s="106"/>
      <c r="QX3864" s="106"/>
      <c r="QY3864" s="106"/>
      <c r="QZ3864" s="106"/>
      <c r="RA3864" s="106"/>
      <c r="RB3864" s="106"/>
      <c r="RC3864" s="106"/>
      <c r="RD3864" s="106"/>
      <c r="RE3864" s="106"/>
      <c r="RF3864" s="106"/>
      <c r="RG3864" s="106"/>
      <c r="RH3864" s="106"/>
      <c r="RI3864" s="106"/>
      <c r="RJ3864" s="106"/>
      <c r="RK3864" s="106"/>
      <c r="RL3864" s="106"/>
    </row>
    <row r="3865" spans="48:480" x14ac:dyDescent="0.3">
      <c r="AV3865" s="103"/>
      <c r="CJ3865" s="103"/>
      <c r="FP3865" s="103"/>
      <c r="LL3865" s="103"/>
      <c r="NM3865" s="103"/>
      <c r="QT3865" s="106"/>
      <c r="QU3865" s="106"/>
      <c r="QV3865" s="106"/>
      <c r="QW3865" s="106"/>
      <c r="QX3865" s="106"/>
      <c r="QY3865" s="106"/>
      <c r="QZ3865" s="106"/>
      <c r="RA3865" s="106"/>
      <c r="RB3865" s="106"/>
      <c r="RC3865" s="106"/>
      <c r="RD3865" s="106"/>
      <c r="RE3865" s="106"/>
      <c r="RF3865" s="106"/>
      <c r="RG3865" s="106"/>
      <c r="RH3865" s="106"/>
      <c r="RI3865" s="106"/>
      <c r="RJ3865" s="106"/>
      <c r="RK3865" s="106"/>
      <c r="RL3865" s="106"/>
    </row>
    <row r="3866" spans="48:480" x14ac:dyDescent="0.3">
      <c r="AV3866" s="103"/>
      <c r="CJ3866" s="103"/>
      <c r="FP3866" s="103"/>
      <c r="LL3866" s="103"/>
      <c r="NM3866" s="103"/>
      <c r="QT3866" s="106"/>
      <c r="QU3866" s="106"/>
      <c r="QV3866" s="106"/>
      <c r="QW3866" s="106"/>
      <c r="QX3866" s="106"/>
      <c r="QY3866" s="106"/>
      <c r="QZ3866" s="106"/>
      <c r="RA3866" s="106"/>
      <c r="RB3866" s="106"/>
      <c r="RC3866" s="106"/>
      <c r="RD3866" s="106"/>
      <c r="RE3866" s="106"/>
      <c r="RF3866" s="106"/>
      <c r="RG3866" s="106"/>
      <c r="RH3866" s="106"/>
      <c r="RI3866" s="106"/>
      <c r="RJ3866" s="106"/>
      <c r="RK3866" s="106"/>
      <c r="RL3866" s="106"/>
    </row>
    <row r="3867" spans="48:480" x14ac:dyDescent="0.3">
      <c r="AV3867" s="103"/>
      <c r="CJ3867" s="103"/>
      <c r="FP3867" s="103"/>
      <c r="LL3867" s="103"/>
      <c r="NM3867" s="103"/>
      <c r="QT3867" s="106"/>
      <c r="QU3867" s="106"/>
      <c r="QV3867" s="106"/>
      <c r="QW3867" s="106"/>
      <c r="QX3867" s="106"/>
      <c r="QY3867" s="106"/>
      <c r="QZ3867" s="106"/>
      <c r="RA3867" s="106"/>
      <c r="RB3867" s="106"/>
      <c r="RC3867" s="106"/>
      <c r="RD3867" s="106"/>
      <c r="RE3867" s="106"/>
      <c r="RF3867" s="106"/>
      <c r="RG3867" s="106"/>
      <c r="RH3867" s="106"/>
      <c r="RI3867" s="106"/>
      <c r="RJ3867" s="106"/>
      <c r="RK3867" s="106"/>
      <c r="RL3867" s="106"/>
    </row>
    <row r="3868" spans="48:480" x14ac:dyDescent="0.3">
      <c r="AV3868" s="103"/>
      <c r="CJ3868" s="103"/>
      <c r="FP3868" s="103"/>
      <c r="LL3868" s="103"/>
      <c r="NM3868" s="103"/>
      <c r="QT3868" s="106"/>
      <c r="QU3868" s="106"/>
      <c r="QV3868" s="106"/>
      <c r="QW3868" s="106"/>
      <c r="QX3868" s="106"/>
      <c r="QY3868" s="106"/>
      <c r="QZ3868" s="106"/>
      <c r="RA3868" s="106"/>
      <c r="RB3868" s="106"/>
      <c r="RC3868" s="106"/>
      <c r="RD3868" s="106"/>
      <c r="RE3868" s="106"/>
      <c r="RF3868" s="106"/>
      <c r="RG3868" s="106"/>
      <c r="RH3868" s="106"/>
      <c r="RI3868" s="106"/>
      <c r="RJ3868" s="106"/>
      <c r="RK3868" s="106"/>
      <c r="RL3868" s="106"/>
    </row>
    <row r="3869" spans="48:480" x14ac:dyDescent="0.3">
      <c r="AV3869" s="103"/>
      <c r="CJ3869" s="103"/>
      <c r="FP3869" s="103"/>
      <c r="LL3869" s="103"/>
      <c r="NM3869" s="103"/>
      <c r="QT3869" s="106"/>
      <c r="QU3869" s="106"/>
      <c r="QV3869" s="106"/>
      <c r="QW3869" s="106"/>
      <c r="QX3869" s="106"/>
      <c r="QY3869" s="106"/>
      <c r="QZ3869" s="106"/>
      <c r="RA3869" s="106"/>
      <c r="RB3869" s="106"/>
      <c r="RC3869" s="106"/>
      <c r="RD3869" s="106"/>
      <c r="RE3869" s="106"/>
      <c r="RF3869" s="106"/>
      <c r="RG3869" s="106"/>
      <c r="RH3869" s="106"/>
      <c r="RI3869" s="106"/>
      <c r="RJ3869" s="106"/>
      <c r="RK3869" s="106"/>
      <c r="RL3869" s="106"/>
    </row>
    <row r="3870" spans="48:480" x14ac:dyDescent="0.3">
      <c r="AV3870" s="103"/>
      <c r="CJ3870" s="103"/>
      <c r="FP3870" s="103"/>
      <c r="LL3870" s="103"/>
      <c r="NM3870" s="103"/>
      <c r="QT3870" s="106"/>
      <c r="QU3870" s="106"/>
      <c r="QV3870" s="106"/>
      <c r="QW3870" s="106"/>
      <c r="QX3870" s="106"/>
      <c r="QY3870" s="106"/>
      <c r="QZ3870" s="106"/>
      <c r="RA3870" s="106"/>
      <c r="RB3870" s="106"/>
      <c r="RC3870" s="106"/>
      <c r="RD3870" s="106"/>
      <c r="RE3870" s="106"/>
      <c r="RF3870" s="106"/>
      <c r="RG3870" s="106"/>
      <c r="RH3870" s="106"/>
      <c r="RI3870" s="106"/>
      <c r="RJ3870" s="106"/>
      <c r="RK3870" s="106"/>
      <c r="RL3870" s="106"/>
    </row>
    <row r="3871" spans="48:480" x14ac:dyDescent="0.3">
      <c r="AV3871" s="103"/>
      <c r="CJ3871" s="103"/>
      <c r="FP3871" s="103"/>
      <c r="LL3871" s="103"/>
      <c r="NM3871" s="103"/>
      <c r="QT3871" s="106"/>
      <c r="QU3871" s="106"/>
      <c r="QV3871" s="106"/>
      <c r="QW3871" s="106"/>
      <c r="QX3871" s="106"/>
      <c r="QY3871" s="106"/>
      <c r="QZ3871" s="106"/>
      <c r="RA3871" s="106"/>
      <c r="RB3871" s="106"/>
      <c r="RC3871" s="106"/>
      <c r="RD3871" s="106"/>
      <c r="RE3871" s="106"/>
      <c r="RF3871" s="106"/>
      <c r="RG3871" s="106"/>
      <c r="RH3871" s="106"/>
      <c r="RI3871" s="106"/>
      <c r="RJ3871" s="106"/>
      <c r="RK3871" s="106"/>
      <c r="RL3871" s="106"/>
    </row>
    <row r="3872" spans="48:480" x14ac:dyDescent="0.3">
      <c r="CJ3872" s="103"/>
      <c r="FP3872" s="103"/>
      <c r="LL3872" s="103"/>
      <c r="NM3872" s="103"/>
      <c r="QT3872" s="106"/>
      <c r="QU3872" s="106"/>
      <c r="QV3872" s="106"/>
      <c r="QW3872" s="106"/>
      <c r="QX3872" s="106"/>
      <c r="QY3872" s="106"/>
      <c r="QZ3872" s="106"/>
      <c r="RA3872" s="106"/>
      <c r="RB3872" s="106"/>
      <c r="RC3872" s="106"/>
      <c r="RD3872" s="106"/>
      <c r="RE3872" s="106"/>
      <c r="RF3872" s="106"/>
      <c r="RG3872" s="106"/>
      <c r="RH3872" s="106"/>
      <c r="RI3872" s="106"/>
      <c r="RJ3872" s="106"/>
      <c r="RK3872" s="106"/>
      <c r="RL3872" s="106"/>
    </row>
    <row r="3873" spans="48:480" x14ac:dyDescent="0.3">
      <c r="AV3873" s="103"/>
      <c r="CJ3873" s="103"/>
      <c r="FP3873" s="103"/>
      <c r="LL3873" s="103"/>
      <c r="NM3873" s="103"/>
      <c r="QT3873" s="106"/>
      <c r="QU3873" s="106"/>
      <c r="QV3873" s="106"/>
      <c r="QW3873" s="106"/>
      <c r="QX3873" s="106"/>
      <c r="QY3873" s="106"/>
      <c r="QZ3873" s="106"/>
      <c r="RA3873" s="106"/>
      <c r="RB3873" s="106"/>
      <c r="RC3873" s="106"/>
      <c r="RD3873" s="106"/>
      <c r="RE3873" s="106"/>
      <c r="RF3873" s="106"/>
      <c r="RG3873" s="106"/>
      <c r="RH3873" s="106"/>
      <c r="RI3873" s="106"/>
      <c r="RJ3873" s="106"/>
      <c r="RK3873" s="106"/>
      <c r="RL3873" s="106"/>
    </row>
    <row r="3874" spans="48:480" x14ac:dyDescent="0.3">
      <c r="AV3874" s="103"/>
      <c r="CJ3874" s="103"/>
      <c r="FP3874" s="103"/>
      <c r="LL3874" s="103"/>
      <c r="NM3874" s="103"/>
      <c r="QT3874" s="106"/>
      <c r="QU3874" s="106"/>
      <c r="QV3874" s="106"/>
      <c r="QW3874" s="106"/>
      <c r="QX3874" s="106"/>
      <c r="QY3874" s="106"/>
      <c r="QZ3874" s="106"/>
      <c r="RA3874" s="106"/>
      <c r="RB3874" s="106"/>
      <c r="RC3874" s="106"/>
      <c r="RD3874" s="106"/>
      <c r="RE3874" s="106"/>
      <c r="RF3874" s="106"/>
      <c r="RG3874" s="106"/>
      <c r="RH3874" s="106"/>
      <c r="RI3874" s="106"/>
      <c r="RJ3874" s="106"/>
      <c r="RK3874" s="106"/>
      <c r="RL3874" s="106"/>
    </row>
    <row r="3875" spans="48:480" x14ac:dyDescent="0.3">
      <c r="AV3875" s="103"/>
      <c r="CJ3875" s="103"/>
      <c r="FP3875" s="103"/>
      <c r="LL3875" s="103"/>
      <c r="NM3875" s="103"/>
      <c r="QT3875" s="106"/>
      <c r="QU3875" s="106"/>
      <c r="QV3875" s="106"/>
      <c r="QW3875" s="106"/>
      <c r="QX3875" s="106"/>
      <c r="QY3875" s="106"/>
      <c r="QZ3875" s="106"/>
      <c r="RA3875" s="106"/>
      <c r="RB3875" s="106"/>
      <c r="RC3875" s="106"/>
      <c r="RD3875" s="106"/>
      <c r="RE3875" s="106"/>
      <c r="RF3875" s="106"/>
      <c r="RG3875" s="106"/>
      <c r="RH3875" s="106"/>
      <c r="RI3875" s="106"/>
      <c r="RJ3875" s="106"/>
      <c r="RK3875" s="106"/>
      <c r="RL3875" s="106"/>
    </row>
    <row r="3876" spans="48:480" x14ac:dyDescent="0.3">
      <c r="AV3876" s="103"/>
      <c r="CJ3876" s="103"/>
      <c r="FP3876" s="103"/>
      <c r="LL3876" s="103"/>
      <c r="NM3876" s="103"/>
      <c r="QT3876" s="106"/>
      <c r="QU3876" s="106"/>
      <c r="QV3876" s="106"/>
      <c r="QW3876" s="106"/>
      <c r="QX3876" s="106"/>
      <c r="QY3876" s="106"/>
      <c r="QZ3876" s="106"/>
      <c r="RA3876" s="106"/>
      <c r="RB3876" s="106"/>
      <c r="RC3876" s="106"/>
      <c r="RD3876" s="106"/>
      <c r="RE3876" s="106"/>
      <c r="RF3876" s="106"/>
      <c r="RG3876" s="106"/>
      <c r="RH3876" s="106"/>
      <c r="RI3876" s="106"/>
      <c r="RJ3876" s="106"/>
      <c r="RK3876" s="106"/>
      <c r="RL3876" s="106"/>
    </row>
    <row r="3877" spans="48:480" x14ac:dyDescent="0.3">
      <c r="AV3877" s="103"/>
      <c r="CJ3877" s="103"/>
      <c r="FP3877" s="103"/>
      <c r="LL3877" s="103"/>
      <c r="NM3877" s="103"/>
      <c r="QT3877" s="106"/>
      <c r="QU3877" s="106"/>
      <c r="QV3877" s="106"/>
      <c r="QW3877" s="106"/>
      <c r="QX3877" s="106"/>
      <c r="QY3877" s="106"/>
      <c r="QZ3877" s="106"/>
      <c r="RA3877" s="106"/>
      <c r="RB3877" s="106"/>
      <c r="RC3877" s="106"/>
      <c r="RD3877" s="106"/>
      <c r="RE3877" s="106"/>
      <c r="RF3877" s="106"/>
      <c r="RG3877" s="106"/>
      <c r="RH3877" s="106"/>
      <c r="RI3877" s="106"/>
      <c r="RJ3877" s="106"/>
      <c r="RK3877" s="106"/>
      <c r="RL3877" s="106"/>
    </row>
    <row r="3878" spans="48:480" x14ac:dyDescent="0.3">
      <c r="AV3878" s="103"/>
      <c r="CJ3878" s="103"/>
      <c r="FP3878" s="103"/>
      <c r="LL3878" s="103"/>
      <c r="NM3878" s="103"/>
      <c r="QT3878" s="106"/>
      <c r="QU3878" s="106"/>
      <c r="QV3878" s="106"/>
      <c r="QW3878" s="106"/>
      <c r="QX3878" s="106"/>
      <c r="QY3878" s="106"/>
      <c r="QZ3878" s="106"/>
      <c r="RA3878" s="106"/>
      <c r="RB3878" s="106"/>
      <c r="RC3878" s="106"/>
      <c r="RD3878" s="106"/>
      <c r="RE3878" s="106"/>
      <c r="RF3878" s="106"/>
      <c r="RG3878" s="106"/>
      <c r="RH3878" s="106"/>
      <c r="RI3878" s="106"/>
      <c r="RJ3878" s="106"/>
      <c r="RK3878" s="106"/>
      <c r="RL3878" s="106"/>
    </row>
    <row r="3879" spans="48:480" x14ac:dyDescent="0.3">
      <c r="AV3879" s="103"/>
      <c r="CJ3879" s="103"/>
      <c r="FP3879" s="103"/>
      <c r="LL3879" s="103"/>
      <c r="NM3879" s="103"/>
      <c r="QT3879" s="106"/>
      <c r="QU3879" s="106"/>
      <c r="QV3879" s="106"/>
      <c r="QW3879" s="106"/>
      <c r="QX3879" s="106"/>
      <c r="QY3879" s="106"/>
      <c r="QZ3879" s="106"/>
      <c r="RA3879" s="106"/>
      <c r="RB3879" s="106"/>
      <c r="RC3879" s="106"/>
      <c r="RD3879" s="106"/>
      <c r="RE3879" s="106"/>
      <c r="RF3879" s="106"/>
      <c r="RG3879" s="106"/>
      <c r="RH3879" s="106"/>
      <c r="RI3879" s="106"/>
      <c r="RJ3879" s="106"/>
      <c r="RK3879" s="106"/>
      <c r="RL3879" s="106"/>
    </row>
    <row r="3880" spans="48:480" x14ac:dyDescent="0.3">
      <c r="AV3880" s="103"/>
      <c r="CJ3880" s="103"/>
      <c r="FP3880" s="103"/>
      <c r="LL3880" s="103"/>
      <c r="NM3880" s="103"/>
      <c r="QT3880" s="106"/>
      <c r="QU3880" s="106"/>
      <c r="QV3880" s="106"/>
      <c r="QW3880" s="106"/>
      <c r="QX3880" s="106"/>
      <c r="QY3880" s="106"/>
      <c r="QZ3880" s="106"/>
      <c r="RA3880" s="106"/>
      <c r="RB3880" s="106"/>
      <c r="RC3880" s="106"/>
      <c r="RD3880" s="106"/>
      <c r="RE3880" s="106"/>
      <c r="RF3880" s="106"/>
      <c r="RG3880" s="106"/>
      <c r="RH3880" s="106"/>
      <c r="RI3880" s="106"/>
      <c r="RJ3880" s="106"/>
      <c r="RK3880" s="106"/>
      <c r="RL3880" s="106"/>
    </row>
    <row r="3881" spans="48:480" x14ac:dyDescent="0.3">
      <c r="AV3881" s="103"/>
      <c r="CJ3881" s="103"/>
      <c r="FP3881" s="103"/>
      <c r="LL3881" s="103"/>
      <c r="NM3881" s="103"/>
      <c r="QT3881" s="106"/>
      <c r="QU3881" s="106"/>
      <c r="QV3881" s="106"/>
      <c r="QW3881" s="106"/>
      <c r="QX3881" s="106"/>
      <c r="QY3881" s="106"/>
      <c r="QZ3881" s="106"/>
      <c r="RA3881" s="106"/>
      <c r="RB3881" s="106"/>
      <c r="RC3881" s="106"/>
      <c r="RD3881" s="106"/>
      <c r="RE3881" s="106"/>
      <c r="RF3881" s="106"/>
      <c r="RG3881" s="106"/>
      <c r="RH3881" s="106"/>
      <c r="RI3881" s="106"/>
      <c r="RJ3881" s="106"/>
      <c r="RK3881" s="106"/>
      <c r="RL3881" s="106"/>
    </row>
    <row r="3882" spans="48:480" x14ac:dyDescent="0.3">
      <c r="AV3882" s="103"/>
      <c r="CJ3882" s="103"/>
      <c r="FP3882" s="103"/>
      <c r="LL3882" s="103"/>
      <c r="NM3882" s="103"/>
      <c r="QT3882" s="106"/>
      <c r="QU3882" s="106"/>
      <c r="QV3882" s="106"/>
      <c r="QW3882" s="106"/>
      <c r="QX3882" s="106"/>
      <c r="QY3882" s="106"/>
      <c r="QZ3882" s="106"/>
      <c r="RA3882" s="106"/>
      <c r="RB3882" s="106"/>
      <c r="RC3882" s="106"/>
      <c r="RD3882" s="106"/>
      <c r="RE3882" s="106"/>
      <c r="RF3882" s="106"/>
      <c r="RG3882" s="106"/>
      <c r="RH3882" s="106"/>
      <c r="RI3882" s="106"/>
      <c r="RJ3882" s="106"/>
      <c r="RK3882" s="106"/>
      <c r="RL3882" s="106"/>
    </row>
    <row r="3883" spans="48:480" x14ac:dyDescent="0.3">
      <c r="AV3883" s="103"/>
      <c r="CJ3883" s="103"/>
      <c r="FP3883" s="103"/>
      <c r="LL3883" s="103"/>
      <c r="NM3883" s="103"/>
      <c r="QT3883" s="106"/>
      <c r="QU3883" s="106"/>
      <c r="QV3883" s="106"/>
      <c r="QW3883" s="106"/>
      <c r="QX3883" s="106"/>
      <c r="QY3883" s="106"/>
      <c r="QZ3883" s="106"/>
      <c r="RA3883" s="106"/>
      <c r="RB3883" s="106"/>
      <c r="RC3883" s="106"/>
      <c r="RD3883" s="106"/>
      <c r="RE3883" s="106"/>
      <c r="RF3883" s="106"/>
      <c r="RG3883" s="106"/>
      <c r="RH3883" s="106"/>
      <c r="RI3883" s="106"/>
      <c r="RJ3883" s="106"/>
      <c r="RK3883" s="106"/>
      <c r="RL3883" s="106"/>
    </row>
    <row r="3884" spans="48:480" x14ac:dyDescent="0.3">
      <c r="AV3884" s="103"/>
      <c r="CJ3884" s="103"/>
      <c r="FP3884" s="103"/>
      <c r="LL3884" s="103"/>
      <c r="NM3884" s="103"/>
      <c r="QT3884" s="106"/>
      <c r="QU3884" s="106"/>
      <c r="QV3884" s="106"/>
      <c r="QW3884" s="106"/>
      <c r="QX3884" s="106"/>
      <c r="QY3884" s="106"/>
      <c r="QZ3884" s="106"/>
      <c r="RA3884" s="106"/>
      <c r="RB3884" s="106"/>
      <c r="RC3884" s="106"/>
      <c r="RD3884" s="106"/>
      <c r="RE3884" s="106"/>
      <c r="RF3884" s="106"/>
      <c r="RG3884" s="106"/>
      <c r="RH3884" s="106"/>
      <c r="RI3884" s="106"/>
      <c r="RJ3884" s="106"/>
      <c r="RK3884" s="106"/>
      <c r="RL3884" s="106"/>
    </row>
    <row r="3885" spans="48:480" x14ac:dyDescent="0.3">
      <c r="AV3885" s="103"/>
      <c r="CJ3885" s="103"/>
      <c r="FP3885" s="103"/>
      <c r="LL3885" s="103"/>
      <c r="NM3885" s="103"/>
      <c r="QT3885" s="106"/>
      <c r="QU3885" s="106"/>
      <c r="QV3885" s="106"/>
      <c r="QW3885" s="106"/>
      <c r="QX3885" s="106"/>
      <c r="QY3885" s="106"/>
      <c r="QZ3885" s="106"/>
      <c r="RA3885" s="106"/>
      <c r="RB3885" s="106"/>
      <c r="RC3885" s="106"/>
      <c r="RD3885" s="106"/>
      <c r="RE3885" s="106"/>
      <c r="RF3885" s="106"/>
      <c r="RG3885" s="106"/>
      <c r="RH3885" s="106"/>
      <c r="RI3885" s="106"/>
      <c r="RJ3885" s="106"/>
      <c r="RK3885" s="106"/>
      <c r="RL3885" s="106"/>
    </row>
    <row r="3886" spans="48:480" x14ac:dyDescent="0.3">
      <c r="AV3886" s="103"/>
      <c r="CJ3886" s="103"/>
      <c r="FP3886" s="103"/>
      <c r="LL3886" s="103"/>
      <c r="NM3886" s="103"/>
      <c r="QT3886" s="106"/>
      <c r="QU3886" s="106"/>
      <c r="QV3886" s="106"/>
      <c r="QW3886" s="106"/>
      <c r="QX3886" s="106"/>
      <c r="QY3886" s="106"/>
      <c r="QZ3886" s="106"/>
      <c r="RA3886" s="106"/>
      <c r="RB3886" s="106"/>
      <c r="RC3886" s="106"/>
      <c r="RD3886" s="106"/>
      <c r="RE3886" s="106"/>
      <c r="RF3886" s="106"/>
      <c r="RG3886" s="106"/>
      <c r="RH3886" s="106"/>
      <c r="RI3886" s="106"/>
      <c r="RJ3886" s="106"/>
      <c r="RK3886" s="106"/>
      <c r="RL3886" s="106"/>
    </row>
    <row r="3887" spans="48:480" x14ac:dyDescent="0.3">
      <c r="AV3887" s="103"/>
      <c r="CJ3887" s="103"/>
      <c r="FP3887" s="103"/>
      <c r="LL3887" s="103"/>
      <c r="NM3887" s="103"/>
      <c r="QT3887" s="106"/>
      <c r="QU3887" s="106"/>
      <c r="QV3887" s="106"/>
      <c r="QW3887" s="106"/>
      <c r="QX3887" s="106"/>
      <c r="QY3887" s="106"/>
      <c r="QZ3887" s="106"/>
      <c r="RA3887" s="106"/>
      <c r="RB3887" s="106"/>
      <c r="RC3887" s="106"/>
      <c r="RD3887" s="106"/>
      <c r="RE3887" s="106"/>
      <c r="RF3887" s="106"/>
      <c r="RG3887" s="106"/>
      <c r="RH3887" s="106"/>
      <c r="RI3887" s="106"/>
      <c r="RJ3887" s="106"/>
      <c r="RK3887" s="106"/>
      <c r="RL3887" s="106"/>
    </row>
    <row r="3888" spans="48:480" x14ac:dyDescent="0.3">
      <c r="AV3888" s="103"/>
      <c r="CJ3888" s="103"/>
      <c r="FP3888" s="103"/>
      <c r="LL3888" s="103"/>
      <c r="NM3888" s="103"/>
      <c r="QT3888" s="106"/>
      <c r="QU3888" s="106"/>
      <c r="QV3888" s="106"/>
      <c r="QW3888" s="106"/>
      <c r="QX3888" s="106"/>
      <c r="QY3888" s="106"/>
      <c r="QZ3888" s="106"/>
      <c r="RA3888" s="106"/>
      <c r="RB3888" s="106"/>
      <c r="RC3888" s="106"/>
      <c r="RD3888" s="106"/>
      <c r="RE3888" s="106"/>
      <c r="RF3888" s="106"/>
      <c r="RG3888" s="106"/>
      <c r="RH3888" s="106"/>
      <c r="RI3888" s="106"/>
      <c r="RJ3888" s="106"/>
      <c r="RK3888" s="106"/>
      <c r="RL3888" s="106"/>
    </row>
    <row r="3889" spans="48:480" x14ac:dyDescent="0.3">
      <c r="AV3889" s="103"/>
      <c r="CJ3889" s="103"/>
      <c r="FP3889" s="103"/>
      <c r="LL3889" s="103"/>
      <c r="NM3889" s="103"/>
      <c r="QT3889" s="106"/>
      <c r="QU3889" s="106"/>
      <c r="QV3889" s="106"/>
      <c r="QW3889" s="106"/>
      <c r="QX3889" s="106"/>
      <c r="QY3889" s="106"/>
      <c r="QZ3889" s="106"/>
      <c r="RA3889" s="106"/>
      <c r="RB3889" s="106"/>
      <c r="RC3889" s="106"/>
      <c r="RD3889" s="106"/>
      <c r="RE3889" s="106"/>
      <c r="RF3889" s="106"/>
      <c r="RG3889" s="106"/>
      <c r="RH3889" s="106"/>
      <c r="RI3889" s="106"/>
      <c r="RJ3889" s="106"/>
      <c r="RK3889" s="106"/>
      <c r="RL3889" s="106"/>
    </row>
    <row r="3890" spans="48:480" x14ac:dyDescent="0.3">
      <c r="AV3890" s="103"/>
      <c r="CJ3890" s="103"/>
      <c r="FP3890" s="103"/>
      <c r="LL3890" s="103"/>
      <c r="NM3890" s="103"/>
      <c r="QT3890" s="106"/>
      <c r="QU3890" s="106"/>
      <c r="QV3890" s="106"/>
      <c r="QW3890" s="106"/>
      <c r="QX3890" s="106"/>
      <c r="QY3890" s="106"/>
      <c r="QZ3890" s="106"/>
      <c r="RA3890" s="106"/>
      <c r="RB3890" s="106"/>
      <c r="RC3890" s="106"/>
      <c r="RD3890" s="106"/>
      <c r="RE3890" s="106"/>
      <c r="RF3890" s="106"/>
      <c r="RG3890" s="106"/>
      <c r="RH3890" s="106"/>
      <c r="RI3890" s="106"/>
      <c r="RJ3890" s="106"/>
      <c r="RK3890" s="106"/>
      <c r="RL3890" s="106"/>
    </row>
    <row r="3891" spans="48:480" x14ac:dyDescent="0.3">
      <c r="AV3891" s="103"/>
      <c r="CJ3891" s="103"/>
      <c r="FP3891" s="103"/>
      <c r="LL3891" s="103"/>
      <c r="NM3891" s="103"/>
      <c r="QT3891" s="106"/>
      <c r="QU3891" s="106"/>
      <c r="QV3891" s="106"/>
      <c r="QW3891" s="106"/>
      <c r="QX3891" s="106"/>
      <c r="QY3891" s="106"/>
      <c r="QZ3891" s="106"/>
      <c r="RA3891" s="106"/>
      <c r="RB3891" s="106"/>
      <c r="RC3891" s="106"/>
      <c r="RD3891" s="106"/>
      <c r="RE3891" s="106"/>
      <c r="RF3891" s="106"/>
      <c r="RG3891" s="106"/>
      <c r="RH3891" s="106"/>
      <c r="RI3891" s="106"/>
      <c r="RJ3891" s="106"/>
      <c r="RK3891" s="106"/>
      <c r="RL3891" s="106"/>
    </row>
    <row r="3892" spans="48:480" x14ac:dyDescent="0.3">
      <c r="AV3892" s="103"/>
      <c r="CJ3892" s="103"/>
      <c r="FP3892" s="103"/>
      <c r="LL3892" s="103"/>
      <c r="NM3892" s="103"/>
      <c r="QT3892" s="106"/>
      <c r="QU3892" s="106"/>
      <c r="QV3892" s="106"/>
      <c r="QW3892" s="106"/>
      <c r="QX3892" s="106"/>
      <c r="QY3892" s="106"/>
      <c r="QZ3892" s="106"/>
      <c r="RA3892" s="106"/>
      <c r="RB3892" s="106"/>
      <c r="RC3892" s="106"/>
      <c r="RD3892" s="106"/>
      <c r="RE3892" s="106"/>
      <c r="RF3892" s="106"/>
      <c r="RG3892" s="106"/>
      <c r="RH3892" s="106"/>
      <c r="RI3892" s="106"/>
      <c r="RJ3892" s="106"/>
      <c r="RK3892" s="106"/>
      <c r="RL3892" s="106"/>
    </row>
    <row r="3893" spans="48:480" x14ac:dyDescent="0.3">
      <c r="AV3893" s="103"/>
      <c r="CJ3893" s="103"/>
      <c r="FP3893" s="103"/>
      <c r="LL3893" s="103"/>
      <c r="NM3893" s="103"/>
      <c r="QT3893" s="106"/>
      <c r="QU3893" s="106"/>
      <c r="QV3893" s="106"/>
      <c r="QW3893" s="106"/>
      <c r="QX3893" s="106"/>
      <c r="QY3893" s="106"/>
      <c r="QZ3893" s="106"/>
      <c r="RA3893" s="106"/>
      <c r="RB3893" s="106"/>
      <c r="RC3893" s="106"/>
      <c r="RD3893" s="106"/>
      <c r="RE3893" s="106"/>
      <c r="RF3893" s="106"/>
      <c r="RG3893" s="106"/>
      <c r="RH3893" s="106"/>
      <c r="RI3893" s="106"/>
      <c r="RJ3893" s="106"/>
      <c r="RK3893" s="106"/>
      <c r="RL3893" s="106"/>
    </row>
    <row r="3894" spans="48:480" x14ac:dyDescent="0.3">
      <c r="AV3894" s="103"/>
      <c r="CJ3894" s="103"/>
      <c r="FP3894" s="103"/>
      <c r="LL3894" s="103"/>
      <c r="NM3894" s="103"/>
      <c r="QT3894" s="106"/>
      <c r="QU3894" s="106"/>
      <c r="QV3894" s="106"/>
      <c r="QW3894" s="106"/>
      <c r="QX3894" s="106"/>
      <c r="QY3894" s="106"/>
      <c r="QZ3894" s="106"/>
      <c r="RA3894" s="106"/>
      <c r="RB3894" s="106"/>
      <c r="RC3894" s="106"/>
      <c r="RD3894" s="106"/>
      <c r="RE3894" s="106"/>
      <c r="RF3894" s="106"/>
      <c r="RG3894" s="106"/>
      <c r="RH3894" s="106"/>
      <c r="RI3894" s="106"/>
      <c r="RJ3894" s="106"/>
      <c r="RK3894" s="106"/>
      <c r="RL3894" s="106"/>
    </row>
    <row r="3895" spans="48:480" x14ac:dyDescent="0.3">
      <c r="AV3895" s="103"/>
      <c r="CJ3895" s="103"/>
      <c r="FP3895" s="103"/>
      <c r="LL3895" s="103"/>
      <c r="NM3895" s="103"/>
      <c r="QT3895" s="106"/>
      <c r="QU3895" s="106"/>
      <c r="QV3895" s="106"/>
      <c r="QW3895" s="106"/>
      <c r="QX3895" s="106"/>
      <c r="QY3895" s="106"/>
      <c r="QZ3895" s="106"/>
      <c r="RA3895" s="106"/>
      <c r="RB3895" s="106"/>
      <c r="RC3895" s="106"/>
      <c r="RD3895" s="106"/>
      <c r="RE3895" s="106"/>
      <c r="RF3895" s="106"/>
      <c r="RG3895" s="106"/>
      <c r="RH3895" s="106"/>
      <c r="RI3895" s="106"/>
      <c r="RJ3895" s="106"/>
      <c r="RK3895" s="106"/>
      <c r="RL3895" s="106"/>
    </row>
    <row r="3896" spans="48:480" x14ac:dyDescent="0.3">
      <c r="AV3896" s="103"/>
      <c r="CJ3896" s="103"/>
      <c r="FP3896" s="103"/>
      <c r="LL3896" s="103"/>
      <c r="NM3896" s="103"/>
      <c r="QT3896" s="106"/>
      <c r="QU3896" s="106"/>
      <c r="QV3896" s="106"/>
      <c r="QW3896" s="106"/>
      <c r="QX3896" s="106"/>
      <c r="QY3896" s="106"/>
      <c r="QZ3896" s="106"/>
      <c r="RA3896" s="106"/>
      <c r="RB3896" s="106"/>
      <c r="RC3896" s="106"/>
      <c r="RD3896" s="106"/>
      <c r="RE3896" s="106"/>
      <c r="RF3896" s="106"/>
      <c r="RG3896" s="106"/>
      <c r="RH3896" s="106"/>
      <c r="RI3896" s="106"/>
      <c r="RJ3896" s="106"/>
      <c r="RK3896" s="106"/>
      <c r="RL3896" s="106"/>
    </row>
    <row r="3897" spans="48:480" x14ac:dyDescent="0.3">
      <c r="CJ3897" s="103"/>
      <c r="FP3897" s="103"/>
      <c r="LL3897" s="103"/>
      <c r="NM3897" s="103"/>
      <c r="QT3897" s="106"/>
      <c r="QU3897" s="106"/>
      <c r="QV3897" s="106"/>
      <c r="QW3897" s="106"/>
      <c r="QX3897" s="106"/>
      <c r="QY3897" s="106"/>
      <c r="QZ3897" s="106"/>
      <c r="RA3897" s="106"/>
      <c r="RB3897" s="106"/>
      <c r="RC3897" s="106"/>
      <c r="RD3897" s="106"/>
      <c r="RE3897" s="106"/>
      <c r="RF3897" s="106"/>
      <c r="RG3897" s="106"/>
      <c r="RH3897" s="106"/>
      <c r="RI3897" s="106"/>
      <c r="RJ3897" s="106"/>
      <c r="RK3897" s="106"/>
      <c r="RL3897" s="106"/>
    </row>
    <row r="3898" spans="48:480" x14ac:dyDescent="0.3">
      <c r="CJ3898" s="103"/>
      <c r="FP3898" s="103"/>
      <c r="LL3898" s="103"/>
      <c r="NM3898" s="103"/>
      <c r="QT3898" s="106"/>
      <c r="QU3898" s="106"/>
      <c r="QV3898" s="106"/>
      <c r="QW3898" s="106"/>
      <c r="QX3898" s="106"/>
      <c r="QY3898" s="106"/>
      <c r="QZ3898" s="106"/>
      <c r="RA3898" s="106"/>
      <c r="RB3898" s="106"/>
      <c r="RC3898" s="106"/>
      <c r="RD3898" s="106"/>
      <c r="RE3898" s="106"/>
      <c r="RF3898" s="106"/>
      <c r="RG3898" s="106"/>
      <c r="RH3898" s="106"/>
      <c r="RI3898" s="106"/>
      <c r="RJ3898" s="106"/>
      <c r="RK3898" s="106"/>
      <c r="RL3898" s="106"/>
    </row>
    <row r="3899" spans="48:480" x14ac:dyDescent="0.3">
      <c r="AV3899" s="103"/>
      <c r="CJ3899" s="103"/>
      <c r="FP3899" s="103"/>
      <c r="LL3899" s="103"/>
      <c r="NM3899" s="103"/>
      <c r="QT3899" s="106"/>
      <c r="QU3899" s="106"/>
      <c r="QV3899" s="106"/>
      <c r="QW3899" s="106"/>
      <c r="QX3899" s="106"/>
      <c r="QY3899" s="106"/>
      <c r="QZ3899" s="106"/>
      <c r="RA3899" s="106"/>
      <c r="RB3899" s="106"/>
      <c r="RC3899" s="106"/>
      <c r="RD3899" s="106"/>
      <c r="RE3899" s="106"/>
      <c r="RF3899" s="106"/>
      <c r="RG3899" s="106"/>
      <c r="RH3899" s="106"/>
      <c r="RI3899" s="106"/>
      <c r="RJ3899" s="106"/>
      <c r="RK3899" s="106"/>
      <c r="RL3899" s="106"/>
    </row>
    <row r="3900" spans="48:480" x14ac:dyDescent="0.3">
      <c r="AV3900" s="103"/>
      <c r="CJ3900" s="103"/>
      <c r="FP3900" s="103"/>
      <c r="LL3900" s="103"/>
      <c r="NM3900" s="103"/>
      <c r="QT3900" s="106"/>
      <c r="QU3900" s="106"/>
      <c r="QV3900" s="106"/>
      <c r="QW3900" s="106"/>
      <c r="QX3900" s="106"/>
      <c r="QY3900" s="106"/>
      <c r="QZ3900" s="106"/>
      <c r="RA3900" s="106"/>
      <c r="RB3900" s="106"/>
      <c r="RC3900" s="106"/>
      <c r="RD3900" s="106"/>
      <c r="RE3900" s="106"/>
      <c r="RF3900" s="106"/>
      <c r="RG3900" s="106"/>
      <c r="RH3900" s="106"/>
      <c r="RI3900" s="106"/>
      <c r="RJ3900" s="106"/>
      <c r="RK3900" s="106"/>
      <c r="RL3900" s="106"/>
    </row>
    <row r="3901" spans="48:480" x14ac:dyDescent="0.3">
      <c r="AV3901" s="103"/>
      <c r="CJ3901" s="103"/>
      <c r="FP3901" s="103"/>
      <c r="LL3901" s="103"/>
      <c r="NM3901" s="103"/>
      <c r="QT3901" s="106"/>
      <c r="QU3901" s="106"/>
      <c r="QV3901" s="106"/>
      <c r="QW3901" s="106"/>
      <c r="QX3901" s="106"/>
      <c r="QY3901" s="106"/>
      <c r="QZ3901" s="106"/>
      <c r="RA3901" s="106"/>
      <c r="RB3901" s="106"/>
      <c r="RC3901" s="106"/>
      <c r="RD3901" s="106"/>
      <c r="RE3901" s="106"/>
      <c r="RF3901" s="106"/>
      <c r="RG3901" s="106"/>
      <c r="RH3901" s="106"/>
      <c r="RI3901" s="106"/>
      <c r="RJ3901" s="106"/>
      <c r="RK3901" s="106"/>
      <c r="RL3901" s="106"/>
    </row>
    <row r="3902" spans="48:480" x14ac:dyDescent="0.3">
      <c r="AV3902" s="103"/>
      <c r="CJ3902" s="103"/>
      <c r="FP3902" s="103"/>
      <c r="LL3902" s="103"/>
      <c r="NM3902" s="103"/>
      <c r="QT3902" s="106"/>
      <c r="QU3902" s="106"/>
      <c r="QV3902" s="106"/>
      <c r="QW3902" s="106"/>
      <c r="QX3902" s="106"/>
      <c r="QY3902" s="106"/>
      <c r="QZ3902" s="106"/>
      <c r="RA3902" s="106"/>
      <c r="RB3902" s="106"/>
      <c r="RC3902" s="106"/>
      <c r="RD3902" s="106"/>
      <c r="RE3902" s="106"/>
      <c r="RF3902" s="106"/>
      <c r="RG3902" s="106"/>
      <c r="RH3902" s="106"/>
      <c r="RI3902" s="106"/>
      <c r="RJ3902" s="106"/>
      <c r="RK3902" s="106"/>
      <c r="RL3902" s="106"/>
    </row>
    <row r="3903" spans="48:480" x14ac:dyDescent="0.3">
      <c r="AV3903" s="103"/>
      <c r="CJ3903" s="103"/>
      <c r="FP3903" s="103"/>
      <c r="LL3903" s="103"/>
      <c r="NM3903" s="103"/>
      <c r="QT3903" s="106"/>
      <c r="QU3903" s="106"/>
      <c r="QV3903" s="106"/>
      <c r="QW3903" s="106"/>
      <c r="QX3903" s="106"/>
      <c r="QY3903" s="106"/>
      <c r="QZ3903" s="106"/>
      <c r="RA3903" s="106"/>
      <c r="RB3903" s="106"/>
      <c r="RC3903" s="106"/>
      <c r="RD3903" s="106"/>
      <c r="RE3903" s="106"/>
      <c r="RF3903" s="106"/>
      <c r="RG3903" s="106"/>
      <c r="RH3903" s="106"/>
      <c r="RI3903" s="106"/>
      <c r="RJ3903" s="106"/>
      <c r="RK3903" s="106"/>
      <c r="RL3903" s="106"/>
    </row>
    <row r="3904" spans="48:480" x14ac:dyDescent="0.3">
      <c r="AV3904" s="103"/>
      <c r="CJ3904" s="103"/>
      <c r="FP3904" s="103"/>
      <c r="LL3904" s="103"/>
      <c r="NM3904" s="103"/>
      <c r="QT3904" s="106"/>
      <c r="QU3904" s="106"/>
      <c r="QV3904" s="106"/>
      <c r="QW3904" s="106"/>
      <c r="QX3904" s="106"/>
      <c r="QY3904" s="106"/>
      <c r="QZ3904" s="106"/>
      <c r="RA3904" s="106"/>
      <c r="RB3904" s="106"/>
      <c r="RC3904" s="106"/>
      <c r="RD3904" s="106"/>
      <c r="RE3904" s="106"/>
      <c r="RF3904" s="106"/>
      <c r="RG3904" s="106"/>
      <c r="RH3904" s="106"/>
      <c r="RI3904" s="106"/>
      <c r="RJ3904" s="106"/>
      <c r="RK3904" s="106"/>
      <c r="RL3904" s="106"/>
    </row>
    <row r="3905" spans="48:480" x14ac:dyDescent="0.3">
      <c r="AV3905" s="103"/>
      <c r="CJ3905" s="103"/>
      <c r="FP3905" s="103"/>
      <c r="LL3905" s="103"/>
      <c r="NM3905" s="103"/>
      <c r="QT3905" s="106"/>
      <c r="QU3905" s="106"/>
      <c r="QV3905" s="106"/>
      <c r="QW3905" s="106"/>
      <c r="QX3905" s="106"/>
      <c r="QY3905" s="106"/>
      <c r="QZ3905" s="106"/>
      <c r="RA3905" s="106"/>
      <c r="RB3905" s="106"/>
      <c r="RC3905" s="106"/>
      <c r="RD3905" s="106"/>
      <c r="RE3905" s="106"/>
      <c r="RF3905" s="106"/>
      <c r="RG3905" s="106"/>
      <c r="RH3905" s="106"/>
      <c r="RI3905" s="106"/>
      <c r="RJ3905" s="106"/>
      <c r="RK3905" s="106"/>
      <c r="RL3905" s="106"/>
    </row>
    <row r="3906" spans="48:480" x14ac:dyDescent="0.3">
      <c r="AV3906" s="103"/>
      <c r="CJ3906" s="103"/>
      <c r="FP3906" s="103"/>
      <c r="LL3906" s="103"/>
      <c r="NM3906" s="103"/>
      <c r="QT3906" s="106"/>
      <c r="QU3906" s="106"/>
      <c r="QV3906" s="106"/>
      <c r="QW3906" s="106"/>
      <c r="QX3906" s="106"/>
      <c r="QY3906" s="106"/>
      <c r="QZ3906" s="106"/>
      <c r="RA3906" s="106"/>
      <c r="RB3906" s="106"/>
      <c r="RC3906" s="106"/>
      <c r="RD3906" s="106"/>
      <c r="RE3906" s="106"/>
      <c r="RF3906" s="106"/>
      <c r="RG3906" s="106"/>
      <c r="RH3906" s="106"/>
      <c r="RI3906" s="106"/>
      <c r="RJ3906" s="106"/>
      <c r="RK3906" s="106"/>
      <c r="RL3906" s="106"/>
    </row>
    <row r="3907" spans="48:480" x14ac:dyDescent="0.3">
      <c r="AV3907" s="103"/>
      <c r="CJ3907" s="103"/>
      <c r="FP3907" s="103"/>
      <c r="LL3907" s="103"/>
      <c r="NM3907" s="103"/>
      <c r="QT3907" s="106"/>
      <c r="QU3907" s="106"/>
      <c r="QV3907" s="106"/>
      <c r="QW3907" s="106"/>
      <c r="QX3907" s="106"/>
      <c r="QY3907" s="106"/>
      <c r="QZ3907" s="106"/>
      <c r="RA3907" s="106"/>
      <c r="RB3907" s="106"/>
      <c r="RC3907" s="106"/>
      <c r="RD3907" s="106"/>
      <c r="RE3907" s="106"/>
      <c r="RF3907" s="106"/>
      <c r="RG3907" s="106"/>
      <c r="RH3907" s="106"/>
      <c r="RI3907" s="106"/>
      <c r="RJ3907" s="106"/>
      <c r="RK3907" s="106"/>
      <c r="RL3907" s="106"/>
    </row>
    <row r="3908" spans="48:480" x14ac:dyDescent="0.3">
      <c r="AV3908" s="103"/>
      <c r="CJ3908" s="103"/>
      <c r="FP3908" s="103"/>
      <c r="LL3908" s="103"/>
      <c r="NM3908" s="103"/>
      <c r="QT3908" s="106"/>
      <c r="QU3908" s="106"/>
      <c r="QV3908" s="106"/>
      <c r="QW3908" s="106"/>
      <c r="QX3908" s="106"/>
      <c r="QY3908" s="106"/>
      <c r="QZ3908" s="106"/>
      <c r="RA3908" s="106"/>
      <c r="RB3908" s="106"/>
      <c r="RC3908" s="106"/>
      <c r="RD3908" s="106"/>
      <c r="RE3908" s="106"/>
      <c r="RF3908" s="106"/>
      <c r="RG3908" s="106"/>
      <c r="RH3908" s="106"/>
      <c r="RI3908" s="106"/>
      <c r="RJ3908" s="106"/>
      <c r="RK3908" s="106"/>
      <c r="RL3908" s="106"/>
    </row>
    <row r="3909" spans="48:480" x14ac:dyDescent="0.3">
      <c r="AV3909" s="103"/>
      <c r="CJ3909" s="103"/>
      <c r="FP3909" s="103"/>
      <c r="LL3909" s="103"/>
      <c r="NM3909" s="103"/>
      <c r="QT3909" s="106"/>
      <c r="QU3909" s="106"/>
      <c r="QV3909" s="106"/>
      <c r="QW3909" s="106"/>
      <c r="QX3909" s="106"/>
      <c r="QY3909" s="106"/>
      <c r="QZ3909" s="106"/>
      <c r="RA3909" s="106"/>
      <c r="RB3909" s="106"/>
      <c r="RC3909" s="106"/>
      <c r="RD3909" s="106"/>
      <c r="RE3909" s="106"/>
      <c r="RF3909" s="106"/>
      <c r="RG3909" s="106"/>
      <c r="RH3909" s="106"/>
      <c r="RI3909" s="106"/>
      <c r="RJ3909" s="106"/>
      <c r="RK3909" s="106"/>
      <c r="RL3909" s="106"/>
    </row>
    <row r="3910" spans="48:480" x14ac:dyDescent="0.3">
      <c r="AV3910" s="103"/>
      <c r="CJ3910" s="103"/>
      <c r="FP3910" s="103"/>
      <c r="LL3910" s="103"/>
      <c r="NM3910" s="103"/>
      <c r="QT3910" s="106"/>
      <c r="QU3910" s="106"/>
      <c r="QV3910" s="106"/>
      <c r="QW3910" s="106"/>
      <c r="QX3910" s="106"/>
      <c r="QY3910" s="106"/>
      <c r="QZ3910" s="106"/>
      <c r="RA3910" s="106"/>
      <c r="RB3910" s="106"/>
      <c r="RC3910" s="106"/>
      <c r="RD3910" s="106"/>
      <c r="RE3910" s="106"/>
      <c r="RF3910" s="106"/>
      <c r="RG3910" s="106"/>
      <c r="RH3910" s="106"/>
      <c r="RI3910" s="106"/>
      <c r="RJ3910" s="106"/>
      <c r="RK3910" s="106"/>
      <c r="RL3910" s="106"/>
    </row>
    <row r="3911" spans="48:480" x14ac:dyDescent="0.3">
      <c r="AV3911" s="103"/>
      <c r="CJ3911" s="103"/>
      <c r="FP3911" s="103"/>
      <c r="LL3911" s="103"/>
      <c r="NM3911" s="103"/>
      <c r="QT3911" s="106"/>
      <c r="QU3911" s="106"/>
      <c r="QV3911" s="106"/>
      <c r="QW3911" s="106"/>
      <c r="QX3911" s="106"/>
      <c r="QY3911" s="106"/>
      <c r="QZ3911" s="106"/>
      <c r="RA3911" s="106"/>
      <c r="RB3911" s="106"/>
      <c r="RC3911" s="106"/>
      <c r="RD3911" s="106"/>
      <c r="RE3911" s="106"/>
      <c r="RF3911" s="106"/>
      <c r="RG3911" s="106"/>
      <c r="RH3911" s="106"/>
      <c r="RI3911" s="106"/>
      <c r="RJ3911" s="106"/>
      <c r="RK3911" s="106"/>
      <c r="RL3911" s="106"/>
    </row>
    <row r="3912" spans="48:480" x14ac:dyDescent="0.3">
      <c r="AV3912" s="103"/>
      <c r="CJ3912" s="103"/>
      <c r="FP3912" s="103"/>
      <c r="LL3912" s="103"/>
      <c r="NM3912" s="103"/>
      <c r="QT3912" s="106"/>
      <c r="QU3912" s="106"/>
      <c r="QV3912" s="106"/>
      <c r="QW3912" s="106"/>
      <c r="QX3912" s="106"/>
      <c r="QY3912" s="106"/>
      <c r="QZ3912" s="106"/>
      <c r="RA3912" s="106"/>
      <c r="RB3912" s="106"/>
      <c r="RC3912" s="106"/>
      <c r="RD3912" s="106"/>
      <c r="RE3912" s="106"/>
      <c r="RF3912" s="106"/>
      <c r="RG3912" s="106"/>
      <c r="RH3912" s="106"/>
      <c r="RI3912" s="106"/>
      <c r="RJ3912" s="106"/>
      <c r="RK3912" s="106"/>
      <c r="RL3912" s="106"/>
    </row>
    <row r="3913" spans="48:480" x14ac:dyDescent="0.3">
      <c r="AV3913" s="103"/>
      <c r="CJ3913" s="103"/>
      <c r="FP3913" s="103"/>
      <c r="LL3913" s="103"/>
      <c r="NM3913" s="103"/>
      <c r="QT3913" s="106"/>
      <c r="QU3913" s="106"/>
      <c r="QV3913" s="106"/>
      <c r="QW3913" s="106"/>
      <c r="QX3913" s="106"/>
      <c r="QY3913" s="106"/>
      <c r="QZ3913" s="106"/>
      <c r="RA3913" s="106"/>
      <c r="RB3913" s="106"/>
      <c r="RC3913" s="106"/>
      <c r="RD3913" s="106"/>
      <c r="RE3913" s="106"/>
      <c r="RF3913" s="106"/>
      <c r="RG3913" s="106"/>
      <c r="RH3913" s="106"/>
      <c r="RI3913" s="106"/>
      <c r="RJ3913" s="106"/>
      <c r="RK3913" s="106"/>
      <c r="RL3913" s="106"/>
    </row>
    <row r="3914" spans="48:480" x14ac:dyDescent="0.3">
      <c r="AV3914" s="103"/>
      <c r="CJ3914" s="103"/>
      <c r="FP3914" s="103"/>
      <c r="LL3914" s="103"/>
      <c r="NM3914" s="103"/>
      <c r="QT3914" s="106"/>
      <c r="QU3914" s="106"/>
      <c r="QV3914" s="106"/>
      <c r="QW3914" s="106"/>
      <c r="QX3914" s="106"/>
      <c r="QY3914" s="106"/>
      <c r="QZ3914" s="106"/>
      <c r="RA3914" s="106"/>
      <c r="RB3914" s="106"/>
      <c r="RC3914" s="106"/>
      <c r="RD3914" s="106"/>
      <c r="RE3914" s="106"/>
      <c r="RF3914" s="106"/>
      <c r="RG3914" s="106"/>
      <c r="RH3914" s="106"/>
      <c r="RI3914" s="106"/>
      <c r="RJ3914" s="106"/>
      <c r="RK3914" s="106"/>
      <c r="RL3914" s="106"/>
    </row>
    <row r="3915" spans="48:480" x14ac:dyDescent="0.3">
      <c r="AV3915" s="103"/>
      <c r="CJ3915" s="103"/>
      <c r="FP3915" s="103"/>
      <c r="LL3915" s="103"/>
      <c r="NM3915" s="103"/>
      <c r="QT3915" s="106"/>
      <c r="QU3915" s="106"/>
      <c r="QV3915" s="106"/>
      <c r="QW3915" s="106"/>
      <c r="QX3915" s="106"/>
      <c r="QY3915" s="106"/>
      <c r="QZ3915" s="106"/>
      <c r="RA3915" s="106"/>
      <c r="RB3915" s="106"/>
      <c r="RC3915" s="106"/>
      <c r="RD3915" s="106"/>
      <c r="RE3915" s="106"/>
      <c r="RF3915" s="106"/>
      <c r="RG3915" s="106"/>
      <c r="RH3915" s="106"/>
      <c r="RI3915" s="106"/>
      <c r="RJ3915" s="106"/>
      <c r="RK3915" s="106"/>
      <c r="RL3915" s="106"/>
    </row>
    <row r="3916" spans="48:480" x14ac:dyDescent="0.3">
      <c r="AV3916" s="103"/>
      <c r="CJ3916" s="103"/>
      <c r="FP3916" s="103"/>
      <c r="LL3916" s="103"/>
      <c r="NM3916" s="103"/>
      <c r="QT3916" s="106"/>
      <c r="QU3916" s="106"/>
      <c r="QV3916" s="106"/>
      <c r="QW3916" s="106"/>
      <c r="QX3916" s="106"/>
      <c r="QY3916" s="106"/>
      <c r="QZ3916" s="106"/>
      <c r="RA3916" s="106"/>
      <c r="RB3916" s="106"/>
      <c r="RC3916" s="106"/>
      <c r="RD3916" s="106"/>
      <c r="RE3916" s="106"/>
      <c r="RF3916" s="106"/>
      <c r="RG3916" s="106"/>
      <c r="RH3916" s="106"/>
      <c r="RI3916" s="106"/>
      <c r="RJ3916" s="106"/>
      <c r="RK3916" s="106"/>
      <c r="RL3916" s="106"/>
    </row>
    <row r="3917" spans="48:480" x14ac:dyDescent="0.3">
      <c r="AV3917" s="103"/>
      <c r="CJ3917" s="103"/>
      <c r="FP3917" s="103"/>
      <c r="LL3917" s="103"/>
      <c r="NM3917" s="103"/>
      <c r="QT3917" s="106"/>
      <c r="QU3917" s="106"/>
      <c r="QV3917" s="106"/>
      <c r="QW3917" s="106"/>
      <c r="QX3917" s="106"/>
      <c r="QY3917" s="106"/>
      <c r="QZ3917" s="106"/>
      <c r="RA3917" s="106"/>
      <c r="RB3917" s="106"/>
      <c r="RC3917" s="106"/>
      <c r="RD3917" s="106"/>
      <c r="RE3917" s="106"/>
      <c r="RF3917" s="106"/>
      <c r="RG3917" s="106"/>
      <c r="RH3917" s="106"/>
      <c r="RI3917" s="106"/>
      <c r="RJ3917" s="106"/>
      <c r="RK3917" s="106"/>
      <c r="RL3917" s="106"/>
    </row>
    <row r="3918" spans="48:480" x14ac:dyDescent="0.3">
      <c r="AV3918" s="103"/>
      <c r="CJ3918" s="103"/>
      <c r="FP3918" s="103"/>
      <c r="LL3918" s="103"/>
      <c r="NM3918" s="103"/>
      <c r="QT3918" s="106"/>
      <c r="QU3918" s="106"/>
      <c r="QV3918" s="106"/>
      <c r="QW3918" s="106"/>
      <c r="QX3918" s="106"/>
      <c r="QY3918" s="106"/>
      <c r="QZ3918" s="106"/>
      <c r="RA3918" s="106"/>
      <c r="RB3918" s="106"/>
      <c r="RC3918" s="106"/>
      <c r="RD3918" s="106"/>
      <c r="RE3918" s="106"/>
      <c r="RF3918" s="106"/>
      <c r="RG3918" s="106"/>
      <c r="RH3918" s="106"/>
      <c r="RI3918" s="106"/>
      <c r="RJ3918" s="106"/>
      <c r="RK3918" s="106"/>
      <c r="RL3918" s="106"/>
    </row>
    <row r="3919" spans="48:480" x14ac:dyDescent="0.3">
      <c r="AV3919" s="103"/>
      <c r="CJ3919" s="103"/>
      <c r="FP3919" s="103"/>
      <c r="LL3919" s="103"/>
      <c r="NM3919" s="103"/>
      <c r="QT3919" s="106"/>
      <c r="QU3919" s="106"/>
      <c r="QV3919" s="106"/>
      <c r="QW3919" s="106"/>
      <c r="QX3919" s="106"/>
      <c r="QY3919" s="106"/>
      <c r="QZ3919" s="106"/>
      <c r="RA3919" s="106"/>
      <c r="RB3919" s="106"/>
      <c r="RC3919" s="106"/>
      <c r="RD3919" s="106"/>
      <c r="RE3919" s="106"/>
      <c r="RF3919" s="106"/>
      <c r="RG3919" s="106"/>
      <c r="RH3919" s="106"/>
      <c r="RI3919" s="106"/>
      <c r="RJ3919" s="106"/>
      <c r="RK3919" s="106"/>
      <c r="RL3919" s="106"/>
    </row>
    <row r="3920" spans="48:480" x14ac:dyDescent="0.3">
      <c r="AV3920" s="103"/>
      <c r="CJ3920" s="103"/>
      <c r="FP3920" s="103"/>
      <c r="LL3920" s="103"/>
      <c r="NM3920" s="103"/>
      <c r="QT3920" s="106"/>
      <c r="QU3920" s="106"/>
      <c r="QV3920" s="106"/>
      <c r="QW3920" s="106"/>
      <c r="QX3920" s="106"/>
      <c r="QY3920" s="106"/>
      <c r="QZ3920" s="106"/>
      <c r="RA3920" s="106"/>
      <c r="RB3920" s="106"/>
      <c r="RC3920" s="106"/>
      <c r="RD3920" s="106"/>
      <c r="RE3920" s="106"/>
      <c r="RF3920" s="106"/>
      <c r="RG3920" s="106"/>
      <c r="RH3920" s="106"/>
      <c r="RI3920" s="106"/>
      <c r="RJ3920" s="106"/>
      <c r="RK3920" s="106"/>
      <c r="RL3920" s="106"/>
    </row>
    <row r="3921" spans="48:480" x14ac:dyDescent="0.3">
      <c r="AV3921" s="103"/>
      <c r="CJ3921" s="103"/>
      <c r="FP3921" s="103"/>
      <c r="LL3921" s="103"/>
      <c r="NM3921" s="103"/>
      <c r="QT3921" s="106"/>
      <c r="QU3921" s="106"/>
      <c r="QV3921" s="106"/>
      <c r="QW3921" s="106"/>
      <c r="QX3921" s="106"/>
      <c r="QY3921" s="106"/>
      <c r="QZ3921" s="106"/>
      <c r="RA3921" s="106"/>
      <c r="RB3921" s="106"/>
      <c r="RC3921" s="106"/>
      <c r="RD3921" s="106"/>
      <c r="RE3921" s="106"/>
      <c r="RF3921" s="106"/>
      <c r="RG3921" s="106"/>
      <c r="RH3921" s="106"/>
      <c r="RI3921" s="106"/>
      <c r="RJ3921" s="106"/>
      <c r="RK3921" s="106"/>
      <c r="RL3921" s="106"/>
    </row>
    <row r="3922" spans="48:480" x14ac:dyDescent="0.3">
      <c r="AV3922" s="103"/>
      <c r="CJ3922" s="103"/>
      <c r="FP3922" s="103"/>
      <c r="LL3922" s="103"/>
      <c r="NM3922" s="103"/>
      <c r="QT3922" s="106"/>
      <c r="QU3922" s="106"/>
      <c r="QV3922" s="106"/>
      <c r="QW3922" s="106"/>
      <c r="QX3922" s="106"/>
      <c r="QY3922" s="106"/>
      <c r="QZ3922" s="106"/>
      <c r="RA3922" s="106"/>
      <c r="RB3922" s="106"/>
      <c r="RC3922" s="106"/>
      <c r="RD3922" s="106"/>
      <c r="RE3922" s="106"/>
      <c r="RF3922" s="106"/>
      <c r="RG3922" s="106"/>
      <c r="RH3922" s="106"/>
      <c r="RI3922" s="106"/>
      <c r="RJ3922" s="106"/>
      <c r="RK3922" s="106"/>
      <c r="RL3922" s="106"/>
    </row>
    <row r="3923" spans="48:480" x14ac:dyDescent="0.3">
      <c r="AV3923" s="103"/>
      <c r="CJ3923" s="103"/>
      <c r="FP3923" s="103"/>
      <c r="LL3923" s="103"/>
      <c r="NM3923" s="103"/>
      <c r="QT3923" s="106"/>
      <c r="QU3923" s="106"/>
      <c r="QV3923" s="106"/>
      <c r="QW3923" s="106"/>
      <c r="QX3923" s="106"/>
      <c r="QY3923" s="106"/>
      <c r="QZ3923" s="106"/>
      <c r="RA3923" s="106"/>
      <c r="RB3923" s="106"/>
      <c r="RC3923" s="106"/>
      <c r="RD3923" s="106"/>
      <c r="RE3923" s="106"/>
      <c r="RF3923" s="106"/>
      <c r="RG3923" s="106"/>
      <c r="RH3923" s="106"/>
      <c r="RI3923" s="106"/>
      <c r="RJ3923" s="106"/>
      <c r="RK3923" s="106"/>
      <c r="RL3923" s="106"/>
    </row>
    <row r="3924" spans="48:480" x14ac:dyDescent="0.3">
      <c r="AV3924" s="103"/>
      <c r="CJ3924" s="103"/>
      <c r="FP3924" s="103"/>
      <c r="LL3924" s="103"/>
      <c r="NM3924" s="103"/>
      <c r="QT3924" s="106"/>
      <c r="QU3924" s="106"/>
      <c r="QV3924" s="106"/>
      <c r="QW3924" s="106"/>
      <c r="QX3924" s="106"/>
      <c r="QY3924" s="106"/>
      <c r="QZ3924" s="106"/>
      <c r="RA3924" s="106"/>
      <c r="RB3924" s="106"/>
      <c r="RC3924" s="106"/>
      <c r="RD3924" s="106"/>
      <c r="RE3924" s="106"/>
      <c r="RF3924" s="106"/>
      <c r="RG3924" s="106"/>
      <c r="RH3924" s="106"/>
      <c r="RI3924" s="106"/>
      <c r="RJ3924" s="106"/>
      <c r="RK3924" s="106"/>
      <c r="RL3924" s="106"/>
    </row>
    <row r="3925" spans="48:480" x14ac:dyDescent="0.3">
      <c r="AV3925" s="103"/>
      <c r="CJ3925" s="103"/>
      <c r="FP3925" s="103"/>
      <c r="LL3925" s="103"/>
      <c r="NM3925" s="103"/>
      <c r="QT3925" s="106"/>
      <c r="QU3925" s="106"/>
      <c r="QV3925" s="106"/>
      <c r="QW3925" s="106"/>
      <c r="QX3925" s="106"/>
      <c r="QY3925" s="106"/>
      <c r="QZ3925" s="106"/>
      <c r="RA3925" s="106"/>
      <c r="RB3925" s="106"/>
      <c r="RC3925" s="106"/>
      <c r="RD3925" s="106"/>
      <c r="RE3925" s="106"/>
      <c r="RF3925" s="106"/>
      <c r="RG3925" s="106"/>
      <c r="RH3925" s="106"/>
      <c r="RI3925" s="106"/>
      <c r="RJ3925" s="106"/>
      <c r="RK3925" s="106"/>
      <c r="RL3925" s="106"/>
    </row>
    <row r="3926" spans="48:480" x14ac:dyDescent="0.3">
      <c r="AV3926" s="103"/>
      <c r="CJ3926" s="103"/>
      <c r="FP3926" s="103"/>
      <c r="LL3926" s="103"/>
      <c r="NM3926" s="103"/>
      <c r="QT3926" s="106"/>
      <c r="QU3926" s="106"/>
      <c r="QV3926" s="106"/>
      <c r="QW3926" s="106"/>
      <c r="QX3926" s="106"/>
      <c r="QY3926" s="106"/>
      <c r="QZ3926" s="106"/>
      <c r="RA3926" s="106"/>
      <c r="RB3926" s="106"/>
      <c r="RC3926" s="106"/>
      <c r="RD3926" s="106"/>
      <c r="RE3926" s="106"/>
      <c r="RF3926" s="106"/>
      <c r="RG3926" s="106"/>
      <c r="RH3926" s="106"/>
      <c r="RI3926" s="106"/>
      <c r="RJ3926" s="106"/>
      <c r="RK3926" s="106"/>
      <c r="RL3926" s="106"/>
    </row>
    <row r="3927" spans="48:480" x14ac:dyDescent="0.3">
      <c r="AV3927" s="103"/>
      <c r="CJ3927" s="103"/>
      <c r="FP3927" s="103"/>
      <c r="LL3927" s="103"/>
      <c r="NM3927" s="103"/>
      <c r="QT3927" s="106"/>
      <c r="QU3927" s="106"/>
      <c r="QV3927" s="106"/>
      <c r="QW3927" s="106"/>
      <c r="QX3927" s="106"/>
      <c r="QY3927" s="106"/>
      <c r="QZ3927" s="106"/>
      <c r="RA3927" s="106"/>
      <c r="RB3927" s="106"/>
      <c r="RC3927" s="106"/>
      <c r="RD3927" s="106"/>
      <c r="RE3927" s="106"/>
      <c r="RF3927" s="106"/>
      <c r="RG3927" s="106"/>
      <c r="RH3927" s="106"/>
      <c r="RI3927" s="106"/>
      <c r="RJ3927" s="106"/>
      <c r="RK3927" s="106"/>
      <c r="RL3927" s="106"/>
    </row>
    <row r="3928" spans="48:480" x14ac:dyDescent="0.3">
      <c r="AV3928" s="103"/>
      <c r="CJ3928" s="103"/>
      <c r="FP3928" s="103"/>
      <c r="LL3928" s="103"/>
      <c r="NM3928" s="103"/>
      <c r="QT3928" s="106"/>
      <c r="QU3928" s="106"/>
      <c r="QV3928" s="106"/>
      <c r="QW3928" s="106"/>
      <c r="QX3928" s="106"/>
      <c r="QY3928" s="106"/>
      <c r="QZ3928" s="106"/>
      <c r="RA3928" s="106"/>
      <c r="RB3928" s="106"/>
      <c r="RC3928" s="106"/>
      <c r="RD3928" s="106"/>
      <c r="RE3928" s="106"/>
      <c r="RF3928" s="106"/>
      <c r="RG3928" s="106"/>
      <c r="RH3928" s="106"/>
      <c r="RI3928" s="106"/>
      <c r="RJ3928" s="106"/>
      <c r="RK3928" s="106"/>
      <c r="RL3928" s="106"/>
    </row>
    <row r="3929" spans="48:480" x14ac:dyDescent="0.3">
      <c r="AV3929" s="103"/>
      <c r="CJ3929" s="103"/>
      <c r="FP3929" s="103"/>
      <c r="LL3929" s="103"/>
      <c r="NM3929" s="103"/>
      <c r="QT3929" s="106"/>
      <c r="QU3929" s="106"/>
      <c r="QV3929" s="106"/>
      <c r="QW3929" s="106"/>
      <c r="QX3929" s="106"/>
      <c r="QY3929" s="106"/>
      <c r="QZ3929" s="106"/>
      <c r="RA3929" s="106"/>
      <c r="RB3929" s="106"/>
      <c r="RC3929" s="106"/>
      <c r="RD3929" s="106"/>
      <c r="RE3929" s="106"/>
      <c r="RF3929" s="106"/>
      <c r="RG3929" s="106"/>
      <c r="RH3929" s="106"/>
      <c r="RI3929" s="106"/>
      <c r="RJ3929" s="106"/>
      <c r="RK3929" s="106"/>
      <c r="RL3929" s="106"/>
    </row>
    <row r="3930" spans="48:480" x14ac:dyDescent="0.3">
      <c r="AV3930" s="103"/>
      <c r="CJ3930" s="103"/>
      <c r="FP3930" s="103"/>
      <c r="LL3930" s="103"/>
      <c r="NM3930" s="103"/>
      <c r="QT3930" s="106"/>
      <c r="QU3930" s="106"/>
      <c r="QV3930" s="106"/>
      <c r="QW3930" s="106"/>
      <c r="QX3930" s="106"/>
      <c r="QY3930" s="106"/>
      <c r="QZ3930" s="106"/>
      <c r="RA3930" s="106"/>
      <c r="RB3930" s="106"/>
      <c r="RC3930" s="106"/>
      <c r="RD3930" s="106"/>
      <c r="RE3930" s="106"/>
      <c r="RF3930" s="106"/>
      <c r="RG3930" s="106"/>
      <c r="RH3930" s="106"/>
      <c r="RI3930" s="106"/>
      <c r="RJ3930" s="106"/>
      <c r="RK3930" s="106"/>
      <c r="RL3930" s="106"/>
    </row>
    <row r="3931" spans="48:480" x14ac:dyDescent="0.3">
      <c r="AV3931" s="103"/>
      <c r="CJ3931" s="103"/>
      <c r="FP3931" s="103"/>
      <c r="LL3931" s="103"/>
      <c r="NM3931" s="103"/>
      <c r="QT3931" s="106"/>
      <c r="QU3931" s="106"/>
      <c r="QV3931" s="106"/>
      <c r="QW3931" s="106"/>
      <c r="QX3931" s="106"/>
      <c r="QY3931" s="106"/>
      <c r="QZ3931" s="106"/>
      <c r="RA3931" s="106"/>
      <c r="RB3931" s="106"/>
      <c r="RC3931" s="106"/>
      <c r="RD3931" s="106"/>
      <c r="RE3931" s="106"/>
      <c r="RF3931" s="106"/>
      <c r="RG3931" s="106"/>
      <c r="RH3931" s="106"/>
      <c r="RI3931" s="106"/>
      <c r="RJ3931" s="106"/>
      <c r="RK3931" s="106"/>
      <c r="RL3931" s="106"/>
    </row>
    <row r="3932" spans="48:480" x14ac:dyDescent="0.3">
      <c r="AV3932" s="103"/>
      <c r="CJ3932" s="103"/>
      <c r="FP3932" s="103"/>
      <c r="LL3932" s="103"/>
      <c r="NM3932" s="103"/>
      <c r="QT3932" s="106"/>
      <c r="QU3932" s="106"/>
      <c r="QV3932" s="106"/>
      <c r="QW3932" s="106"/>
      <c r="QX3932" s="106"/>
      <c r="QY3932" s="106"/>
      <c r="QZ3932" s="106"/>
      <c r="RA3932" s="106"/>
      <c r="RB3932" s="106"/>
      <c r="RC3932" s="106"/>
      <c r="RD3932" s="106"/>
      <c r="RE3932" s="106"/>
      <c r="RF3932" s="106"/>
      <c r="RG3932" s="106"/>
      <c r="RH3932" s="106"/>
      <c r="RI3932" s="106"/>
      <c r="RJ3932" s="106"/>
      <c r="RK3932" s="106"/>
      <c r="RL3932" s="106"/>
    </row>
    <row r="3933" spans="48:480" x14ac:dyDescent="0.3">
      <c r="AV3933" s="103"/>
      <c r="CJ3933" s="103"/>
      <c r="FP3933" s="103"/>
      <c r="LL3933" s="103"/>
      <c r="NM3933" s="103"/>
      <c r="QT3933" s="106"/>
      <c r="QU3933" s="106"/>
      <c r="QV3933" s="106"/>
      <c r="QW3933" s="106"/>
      <c r="QX3933" s="106"/>
      <c r="QY3933" s="106"/>
      <c r="QZ3933" s="106"/>
      <c r="RA3933" s="106"/>
      <c r="RB3933" s="106"/>
      <c r="RC3933" s="106"/>
      <c r="RD3933" s="106"/>
      <c r="RE3933" s="106"/>
      <c r="RF3933" s="106"/>
      <c r="RG3933" s="106"/>
      <c r="RH3933" s="106"/>
      <c r="RI3933" s="106"/>
      <c r="RJ3933" s="106"/>
      <c r="RK3933" s="106"/>
      <c r="RL3933" s="106"/>
    </row>
    <row r="3934" spans="48:480" x14ac:dyDescent="0.3">
      <c r="AV3934" s="103"/>
      <c r="CJ3934" s="103"/>
      <c r="FP3934" s="103"/>
      <c r="LL3934" s="103"/>
      <c r="NM3934" s="103"/>
      <c r="QT3934" s="106"/>
      <c r="QU3934" s="106"/>
      <c r="QV3934" s="106"/>
      <c r="QW3934" s="106"/>
      <c r="QX3934" s="106"/>
      <c r="QY3934" s="106"/>
      <c r="QZ3934" s="106"/>
      <c r="RA3934" s="106"/>
      <c r="RB3934" s="106"/>
      <c r="RC3934" s="106"/>
      <c r="RD3934" s="106"/>
      <c r="RE3934" s="106"/>
      <c r="RF3934" s="106"/>
      <c r="RG3934" s="106"/>
      <c r="RH3934" s="106"/>
      <c r="RI3934" s="106"/>
      <c r="RJ3934" s="106"/>
      <c r="RK3934" s="106"/>
      <c r="RL3934" s="106"/>
    </row>
    <row r="3935" spans="48:480" x14ac:dyDescent="0.3">
      <c r="AV3935" s="103"/>
      <c r="CJ3935" s="103"/>
      <c r="FP3935" s="103"/>
      <c r="LL3935" s="103"/>
      <c r="NM3935" s="103"/>
      <c r="QT3935" s="106"/>
      <c r="QU3935" s="106"/>
      <c r="QV3935" s="106"/>
      <c r="QW3935" s="106"/>
      <c r="QX3935" s="106"/>
      <c r="QY3935" s="106"/>
      <c r="QZ3935" s="106"/>
      <c r="RA3935" s="106"/>
      <c r="RB3935" s="106"/>
      <c r="RC3935" s="106"/>
      <c r="RD3935" s="106"/>
      <c r="RE3935" s="106"/>
      <c r="RF3935" s="106"/>
      <c r="RG3935" s="106"/>
      <c r="RH3935" s="106"/>
      <c r="RI3935" s="106"/>
      <c r="RJ3935" s="106"/>
      <c r="RK3935" s="106"/>
      <c r="RL3935" s="106"/>
    </row>
    <row r="3936" spans="48:480" x14ac:dyDescent="0.3">
      <c r="AV3936" s="103"/>
      <c r="CJ3936" s="103"/>
      <c r="FP3936" s="103"/>
      <c r="LL3936" s="103"/>
      <c r="NM3936" s="103"/>
      <c r="QT3936" s="106"/>
      <c r="QU3936" s="106"/>
      <c r="QV3936" s="106"/>
      <c r="QW3936" s="106"/>
      <c r="QX3936" s="106"/>
      <c r="QY3936" s="106"/>
      <c r="QZ3936" s="106"/>
      <c r="RA3936" s="106"/>
      <c r="RB3936" s="106"/>
      <c r="RC3936" s="106"/>
      <c r="RD3936" s="106"/>
      <c r="RE3936" s="106"/>
      <c r="RF3936" s="106"/>
      <c r="RG3936" s="106"/>
      <c r="RH3936" s="106"/>
      <c r="RI3936" s="106"/>
      <c r="RJ3936" s="106"/>
      <c r="RK3936" s="106"/>
      <c r="RL3936" s="106"/>
    </row>
    <row r="3937" spans="48:480" x14ac:dyDescent="0.3">
      <c r="AV3937" s="103"/>
      <c r="CJ3937" s="103"/>
      <c r="FP3937" s="103"/>
      <c r="LL3937" s="103"/>
      <c r="NM3937" s="103"/>
      <c r="QT3937" s="106"/>
      <c r="QU3937" s="106"/>
      <c r="QV3937" s="106"/>
      <c r="QW3937" s="106"/>
      <c r="QX3937" s="106"/>
      <c r="QY3937" s="106"/>
      <c r="QZ3937" s="106"/>
      <c r="RA3937" s="106"/>
      <c r="RB3937" s="106"/>
      <c r="RC3937" s="106"/>
      <c r="RD3937" s="106"/>
      <c r="RE3937" s="106"/>
      <c r="RF3937" s="106"/>
      <c r="RG3937" s="106"/>
      <c r="RH3937" s="106"/>
      <c r="RI3937" s="106"/>
      <c r="RJ3937" s="106"/>
      <c r="RK3937" s="106"/>
      <c r="RL3937" s="106"/>
    </row>
    <row r="3938" spans="48:480" x14ac:dyDescent="0.3">
      <c r="AV3938" s="103"/>
      <c r="CJ3938" s="103"/>
      <c r="FP3938" s="103"/>
      <c r="LL3938" s="103"/>
      <c r="NM3938" s="103"/>
      <c r="QT3938" s="106"/>
      <c r="QU3938" s="106"/>
      <c r="QV3938" s="106"/>
      <c r="QW3938" s="106"/>
      <c r="QX3938" s="106"/>
      <c r="QY3938" s="106"/>
      <c r="QZ3938" s="106"/>
      <c r="RA3938" s="106"/>
      <c r="RB3938" s="106"/>
      <c r="RC3938" s="106"/>
      <c r="RD3938" s="106"/>
      <c r="RE3938" s="106"/>
      <c r="RF3938" s="106"/>
      <c r="RG3938" s="106"/>
      <c r="RH3938" s="106"/>
      <c r="RI3938" s="106"/>
      <c r="RJ3938" s="106"/>
      <c r="RK3938" s="106"/>
      <c r="RL3938" s="106"/>
    </row>
    <row r="3939" spans="48:480" x14ac:dyDescent="0.3">
      <c r="AV3939" s="103"/>
      <c r="CJ3939" s="103"/>
      <c r="FP3939" s="103"/>
      <c r="LL3939" s="103"/>
      <c r="NM3939" s="103"/>
      <c r="QT3939" s="106"/>
      <c r="QU3939" s="106"/>
      <c r="QV3939" s="106"/>
      <c r="QW3939" s="106"/>
      <c r="QX3939" s="106"/>
      <c r="QY3939" s="106"/>
      <c r="QZ3939" s="106"/>
      <c r="RA3939" s="106"/>
      <c r="RB3939" s="106"/>
      <c r="RC3939" s="106"/>
      <c r="RD3939" s="106"/>
      <c r="RE3939" s="106"/>
      <c r="RF3939" s="106"/>
      <c r="RG3939" s="106"/>
      <c r="RH3939" s="106"/>
      <c r="RI3939" s="106"/>
      <c r="RJ3939" s="106"/>
      <c r="RK3939" s="106"/>
      <c r="RL3939" s="106"/>
    </row>
    <row r="3940" spans="48:480" x14ac:dyDescent="0.3">
      <c r="AV3940" s="103"/>
      <c r="CJ3940" s="103"/>
      <c r="FP3940" s="103"/>
      <c r="LL3940" s="103"/>
      <c r="NM3940" s="103"/>
      <c r="QT3940" s="106"/>
      <c r="QU3940" s="106"/>
      <c r="QV3940" s="106"/>
      <c r="QW3940" s="106"/>
      <c r="QX3940" s="106"/>
      <c r="QY3940" s="106"/>
      <c r="QZ3940" s="106"/>
      <c r="RA3940" s="106"/>
      <c r="RB3940" s="106"/>
      <c r="RC3940" s="106"/>
      <c r="RD3940" s="106"/>
      <c r="RE3940" s="106"/>
      <c r="RF3940" s="106"/>
      <c r="RG3940" s="106"/>
      <c r="RH3940" s="106"/>
      <c r="RI3940" s="106"/>
      <c r="RJ3940" s="106"/>
      <c r="RK3940" s="106"/>
      <c r="RL3940" s="106"/>
    </row>
    <row r="3941" spans="48:480" x14ac:dyDescent="0.3">
      <c r="AV3941" s="103"/>
      <c r="CJ3941" s="103"/>
      <c r="FP3941" s="103"/>
      <c r="LL3941" s="103"/>
      <c r="NM3941" s="103"/>
      <c r="QT3941" s="106"/>
      <c r="QU3941" s="106"/>
      <c r="QV3941" s="106"/>
      <c r="QW3941" s="106"/>
      <c r="QX3941" s="106"/>
      <c r="QY3941" s="106"/>
      <c r="QZ3941" s="106"/>
      <c r="RA3941" s="106"/>
      <c r="RB3941" s="106"/>
      <c r="RC3941" s="106"/>
      <c r="RD3941" s="106"/>
      <c r="RE3941" s="106"/>
      <c r="RF3941" s="106"/>
      <c r="RG3941" s="106"/>
      <c r="RH3941" s="106"/>
      <c r="RI3941" s="106"/>
      <c r="RJ3941" s="106"/>
      <c r="RK3941" s="106"/>
      <c r="RL3941" s="106"/>
    </row>
    <row r="3942" spans="48:480" x14ac:dyDescent="0.3">
      <c r="AV3942" s="103"/>
      <c r="CJ3942" s="103"/>
      <c r="FP3942" s="103"/>
      <c r="LL3942" s="103"/>
      <c r="NM3942" s="103"/>
      <c r="QT3942" s="106"/>
      <c r="QU3942" s="106"/>
      <c r="QV3942" s="106"/>
      <c r="QW3942" s="106"/>
      <c r="QX3942" s="106"/>
      <c r="QY3942" s="106"/>
      <c r="QZ3942" s="106"/>
      <c r="RA3942" s="106"/>
      <c r="RB3942" s="106"/>
      <c r="RC3942" s="106"/>
      <c r="RD3942" s="106"/>
      <c r="RE3942" s="106"/>
      <c r="RF3942" s="106"/>
      <c r="RG3942" s="106"/>
      <c r="RH3942" s="106"/>
      <c r="RI3942" s="106"/>
      <c r="RJ3942" s="106"/>
      <c r="RK3942" s="106"/>
      <c r="RL3942" s="106"/>
    </row>
    <row r="3943" spans="48:480" x14ac:dyDescent="0.3">
      <c r="AV3943" s="103"/>
      <c r="CJ3943" s="103"/>
      <c r="FP3943" s="103"/>
      <c r="LL3943" s="103"/>
      <c r="NM3943" s="103"/>
      <c r="QT3943" s="106"/>
      <c r="QU3943" s="106"/>
      <c r="QV3943" s="106"/>
      <c r="QW3943" s="106"/>
      <c r="QX3943" s="106"/>
      <c r="QY3943" s="106"/>
      <c r="QZ3943" s="106"/>
      <c r="RA3943" s="106"/>
      <c r="RB3943" s="106"/>
      <c r="RC3943" s="106"/>
      <c r="RD3943" s="106"/>
      <c r="RE3943" s="106"/>
      <c r="RF3943" s="106"/>
      <c r="RG3943" s="106"/>
      <c r="RH3943" s="106"/>
      <c r="RI3943" s="106"/>
      <c r="RJ3943" s="106"/>
      <c r="RK3943" s="106"/>
      <c r="RL3943" s="106"/>
    </row>
    <row r="3944" spans="48:480" x14ac:dyDescent="0.3">
      <c r="AV3944" s="103"/>
      <c r="CJ3944" s="103"/>
      <c r="FP3944" s="103"/>
      <c r="LL3944" s="103"/>
      <c r="NM3944" s="103"/>
      <c r="QT3944" s="106"/>
      <c r="QU3944" s="106"/>
      <c r="QV3944" s="106"/>
      <c r="QW3944" s="106"/>
      <c r="QX3944" s="106"/>
      <c r="QY3944" s="106"/>
      <c r="QZ3944" s="106"/>
      <c r="RA3944" s="106"/>
      <c r="RB3944" s="106"/>
      <c r="RC3944" s="106"/>
      <c r="RD3944" s="106"/>
      <c r="RE3944" s="106"/>
      <c r="RF3944" s="106"/>
      <c r="RG3944" s="106"/>
      <c r="RH3944" s="106"/>
      <c r="RI3944" s="106"/>
      <c r="RJ3944" s="106"/>
      <c r="RK3944" s="106"/>
      <c r="RL3944" s="106"/>
    </row>
    <row r="3945" spans="48:480" x14ac:dyDescent="0.3">
      <c r="AV3945" s="103"/>
      <c r="CJ3945" s="103"/>
      <c r="FP3945" s="103"/>
      <c r="LL3945" s="103"/>
      <c r="NM3945" s="103"/>
      <c r="QT3945" s="106"/>
      <c r="QU3945" s="106"/>
      <c r="QV3945" s="106"/>
      <c r="QW3945" s="106"/>
      <c r="QX3945" s="106"/>
      <c r="QY3945" s="106"/>
      <c r="QZ3945" s="106"/>
      <c r="RA3945" s="106"/>
      <c r="RB3945" s="106"/>
      <c r="RC3945" s="106"/>
      <c r="RD3945" s="106"/>
      <c r="RE3945" s="106"/>
      <c r="RF3945" s="106"/>
      <c r="RG3945" s="106"/>
      <c r="RH3945" s="106"/>
      <c r="RI3945" s="106"/>
      <c r="RJ3945" s="106"/>
      <c r="RK3945" s="106"/>
      <c r="RL3945" s="106"/>
    </row>
    <row r="3946" spans="48:480" x14ac:dyDescent="0.3">
      <c r="AV3946" s="103"/>
      <c r="CJ3946" s="103"/>
      <c r="FP3946" s="103"/>
      <c r="LL3946" s="103"/>
      <c r="NM3946" s="103"/>
      <c r="QT3946" s="106"/>
      <c r="QU3946" s="106"/>
      <c r="QV3946" s="106"/>
      <c r="QW3946" s="106"/>
      <c r="QX3946" s="106"/>
      <c r="QY3946" s="106"/>
      <c r="QZ3946" s="106"/>
      <c r="RA3946" s="106"/>
      <c r="RB3946" s="106"/>
      <c r="RC3946" s="106"/>
      <c r="RD3946" s="106"/>
      <c r="RE3946" s="106"/>
      <c r="RF3946" s="106"/>
      <c r="RG3946" s="106"/>
      <c r="RH3946" s="106"/>
      <c r="RI3946" s="106"/>
      <c r="RJ3946" s="106"/>
      <c r="RK3946" s="106"/>
      <c r="RL3946" s="106"/>
    </row>
    <row r="3947" spans="48:480" x14ac:dyDescent="0.3">
      <c r="AV3947" s="103"/>
      <c r="CJ3947" s="103"/>
      <c r="FP3947" s="103"/>
      <c r="LL3947" s="103"/>
      <c r="NM3947" s="103"/>
      <c r="QT3947" s="106"/>
      <c r="QU3947" s="106"/>
      <c r="QV3947" s="106"/>
      <c r="QW3947" s="106"/>
      <c r="QX3947" s="106"/>
      <c r="QY3947" s="106"/>
      <c r="QZ3947" s="106"/>
      <c r="RA3947" s="106"/>
      <c r="RB3947" s="106"/>
      <c r="RC3947" s="106"/>
      <c r="RD3947" s="106"/>
      <c r="RE3947" s="106"/>
      <c r="RF3947" s="106"/>
      <c r="RG3947" s="106"/>
      <c r="RH3947" s="106"/>
      <c r="RI3947" s="106"/>
      <c r="RJ3947" s="106"/>
      <c r="RK3947" s="106"/>
      <c r="RL3947" s="106"/>
    </row>
    <row r="3948" spans="48:480" x14ac:dyDescent="0.3">
      <c r="CJ3948" s="103"/>
      <c r="FP3948" s="103"/>
      <c r="LL3948" s="103"/>
      <c r="NM3948" s="103"/>
      <c r="QT3948" s="106"/>
      <c r="QU3948" s="106"/>
      <c r="QV3948" s="106"/>
      <c r="QW3948" s="106"/>
      <c r="QX3948" s="106"/>
      <c r="QY3948" s="106"/>
      <c r="QZ3948" s="106"/>
      <c r="RA3948" s="106"/>
      <c r="RB3948" s="106"/>
      <c r="RC3948" s="106"/>
      <c r="RD3948" s="106"/>
      <c r="RE3948" s="106"/>
      <c r="RF3948" s="106"/>
      <c r="RG3948" s="106"/>
      <c r="RH3948" s="106"/>
      <c r="RI3948" s="106"/>
      <c r="RJ3948" s="106"/>
      <c r="RK3948" s="106"/>
      <c r="RL3948" s="106"/>
    </row>
    <row r="3949" spans="48:480" x14ac:dyDescent="0.3">
      <c r="CJ3949" s="103"/>
      <c r="FP3949" s="103"/>
      <c r="LL3949" s="103"/>
      <c r="NM3949" s="103"/>
      <c r="QT3949" s="106"/>
      <c r="QU3949" s="106"/>
      <c r="QV3949" s="106"/>
      <c r="QW3949" s="106"/>
      <c r="QX3949" s="106"/>
      <c r="QY3949" s="106"/>
      <c r="QZ3949" s="106"/>
      <c r="RA3949" s="106"/>
      <c r="RB3949" s="106"/>
      <c r="RC3949" s="106"/>
      <c r="RD3949" s="106"/>
      <c r="RE3949" s="106"/>
      <c r="RF3949" s="106"/>
      <c r="RG3949" s="106"/>
      <c r="RH3949" s="106"/>
      <c r="RI3949" s="106"/>
      <c r="RJ3949" s="106"/>
      <c r="RK3949" s="106"/>
      <c r="RL3949" s="106"/>
    </row>
    <row r="3950" spans="48:480" x14ac:dyDescent="0.3">
      <c r="AV3950" s="103"/>
      <c r="CJ3950" s="103"/>
      <c r="FP3950" s="103"/>
      <c r="LL3950" s="103"/>
      <c r="NM3950" s="103"/>
      <c r="QT3950" s="106"/>
      <c r="QU3950" s="106"/>
      <c r="QV3950" s="106"/>
      <c r="QW3950" s="106"/>
      <c r="QX3950" s="106"/>
      <c r="QY3950" s="106"/>
      <c r="QZ3950" s="106"/>
      <c r="RA3950" s="106"/>
      <c r="RB3950" s="106"/>
      <c r="RC3950" s="106"/>
      <c r="RD3950" s="106"/>
      <c r="RE3950" s="106"/>
      <c r="RF3950" s="106"/>
      <c r="RG3950" s="106"/>
      <c r="RH3950" s="106"/>
      <c r="RI3950" s="106"/>
      <c r="RJ3950" s="106"/>
      <c r="RK3950" s="106"/>
      <c r="RL3950" s="106"/>
    </row>
    <row r="3951" spans="48:480" x14ac:dyDescent="0.3">
      <c r="AV3951" s="103"/>
      <c r="CJ3951" s="103"/>
      <c r="FP3951" s="103"/>
      <c r="LL3951" s="103"/>
      <c r="NM3951" s="103"/>
      <c r="QT3951" s="106"/>
      <c r="QU3951" s="106"/>
      <c r="QV3951" s="106"/>
      <c r="QW3951" s="106"/>
      <c r="QX3951" s="106"/>
      <c r="QY3951" s="106"/>
      <c r="QZ3951" s="106"/>
      <c r="RA3951" s="106"/>
      <c r="RB3951" s="106"/>
      <c r="RC3951" s="106"/>
      <c r="RD3951" s="106"/>
      <c r="RE3951" s="106"/>
      <c r="RF3951" s="106"/>
      <c r="RG3951" s="106"/>
      <c r="RH3951" s="106"/>
      <c r="RI3951" s="106"/>
      <c r="RJ3951" s="106"/>
      <c r="RK3951" s="106"/>
      <c r="RL3951" s="106"/>
    </row>
    <row r="3952" spans="48:480" x14ac:dyDescent="0.3">
      <c r="CJ3952" s="103"/>
      <c r="FP3952" s="103"/>
      <c r="LL3952" s="103"/>
      <c r="NM3952" s="103"/>
      <c r="QT3952" s="106"/>
      <c r="QU3952" s="106"/>
      <c r="QV3952" s="106"/>
      <c r="QW3952" s="106"/>
      <c r="QX3952" s="106"/>
      <c r="QY3952" s="106"/>
      <c r="QZ3952" s="106"/>
      <c r="RA3952" s="106"/>
      <c r="RB3952" s="106"/>
      <c r="RC3952" s="106"/>
      <c r="RD3952" s="106"/>
      <c r="RE3952" s="106"/>
      <c r="RF3952" s="106"/>
      <c r="RG3952" s="106"/>
      <c r="RH3952" s="106"/>
      <c r="RI3952" s="106"/>
      <c r="RJ3952" s="106"/>
      <c r="RK3952" s="106"/>
      <c r="RL3952" s="106"/>
    </row>
    <row r="3953" spans="48:480" x14ac:dyDescent="0.3">
      <c r="CJ3953" s="103"/>
      <c r="FP3953" s="103"/>
      <c r="LL3953" s="103"/>
      <c r="NM3953" s="103"/>
      <c r="QT3953" s="106"/>
      <c r="QU3953" s="106"/>
      <c r="QV3953" s="106"/>
      <c r="QW3953" s="106"/>
      <c r="QX3953" s="106"/>
      <c r="QY3953" s="106"/>
      <c r="QZ3953" s="106"/>
      <c r="RA3953" s="106"/>
      <c r="RB3953" s="106"/>
      <c r="RC3953" s="106"/>
      <c r="RD3953" s="106"/>
      <c r="RE3953" s="106"/>
      <c r="RF3953" s="106"/>
      <c r="RG3953" s="106"/>
      <c r="RH3953" s="106"/>
      <c r="RI3953" s="106"/>
      <c r="RJ3953" s="106"/>
      <c r="RK3953" s="106"/>
      <c r="RL3953" s="106"/>
    </row>
    <row r="3954" spans="48:480" x14ac:dyDescent="0.3">
      <c r="CJ3954" s="103"/>
      <c r="FP3954" s="103"/>
      <c r="LL3954" s="103"/>
      <c r="NM3954" s="103"/>
      <c r="QT3954" s="106"/>
      <c r="QU3954" s="106"/>
      <c r="QV3954" s="106"/>
      <c r="QW3954" s="106"/>
      <c r="QX3954" s="106"/>
      <c r="QY3954" s="106"/>
      <c r="QZ3954" s="106"/>
      <c r="RA3954" s="106"/>
      <c r="RB3954" s="106"/>
      <c r="RC3954" s="106"/>
      <c r="RD3954" s="106"/>
      <c r="RE3954" s="106"/>
      <c r="RF3954" s="106"/>
      <c r="RG3954" s="106"/>
      <c r="RH3954" s="106"/>
      <c r="RI3954" s="106"/>
      <c r="RJ3954" s="106"/>
      <c r="RK3954" s="106"/>
      <c r="RL3954" s="106"/>
    </row>
    <row r="3955" spans="48:480" x14ac:dyDescent="0.3">
      <c r="CJ3955" s="103"/>
      <c r="FP3955" s="103"/>
      <c r="LL3955" s="103"/>
      <c r="NM3955" s="103"/>
      <c r="QT3955" s="106"/>
      <c r="QU3955" s="106"/>
      <c r="QV3955" s="106"/>
      <c r="QW3955" s="106"/>
      <c r="QX3955" s="106"/>
      <c r="QY3955" s="106"/>
      <c r="QZ3955" s="106"/>
      <c r="RA3955" s="106"/>
      <c r="RB3955" s="106"/>
      <c r="RC3955" s="106"/>
      <c r="RD3955" s="106"/>
      <c r="RE3955" s="106"/>
      <c r="RF3955" s="106"/>
      <c r="RG3955" s="106"/>
      <c r="RH3955" s="106"/>
      <c r="RI3955" s="106"/>
      <c r="RJ3955" s="106"/>
      <c r="RK3955" s="106"/>
      <c r="RL3955" s="106"/>
    </row>
    <row r="3956" spans="48:480" x14ac:dyDescent="0.3">
      <c r="CJ3956" s="103"/>
      <c r="FP3956" s="103"/>
      <c r="LL3956" s="103"/>
      <c r="NM3956" s="103"/>
      <c r="QT3956" s="106"/>
      <c r="QU3956" s="106"/>
      <c r="QV3956" s="106"/>
      <c r="QW3956" s="106"/>
      <c r="QX3956" s="106"/>
      <c r="QY3956" s="106"/>
      <c r="QZ3956" s="106"/>
      <c r="RA3956" s="106"/>
      <c r="RB3956" s="106"/>
      <c r="RC3956" s="106"/>
      <c r="RD3956" s="106"/>
      <c r="RE3956" s="106"/>
      <c r="RF3956" s="106"/>
      <c r="RG3956" s="106"/>
      <c r="RH3956" s="106"/>
      <c r="RI3956" s="106"/>
      <c r="RJ3956" s="106"/>
      <c r="RK3956" s="106"/>
      <c r="RL3956" s="106"/>
    </row>
    <row r="3957" spans="48:480" x14ac:dyDescent="0.3">
      <c r="AV3957" s="103"/>
      <c r="CJ3957" s="103"/>
      <c r="FP3957" s="103"/>
      <c r="LL3957" s="103"/>
      <c r="NM3957" s="103"/>
      <c r="QT3957" s="106"/>
      <c r="QU3957" s="106"/>
      <c r="QV3957" s="106"/>
      <c r="QW3957" s="106"/>
      <c r="QX3957" s="106"/>
      <c r="QY3957" s="106"/>
      <c r="QZ3957" s="106"/>
      <c r="RA3957" s="106"/>
      <c r="RB3957" s="106"/>
      <c r="RC3957" s="106"/>
      <c r="RD3957" s="106"/>
      <c r="RE3957" s="106"/>
      <c r="RF3957" s="106"/>
      <c r="RG3957" s="106"/>
      <c r="RH3957" s="106"/>
      <c r="RI3957" s="106"/>
      <c r="RJ3957" s="106"/>
      <c r="RK3957" s="106"/>
      <c r="RL3957" s="106"/>
    </row>
    <row r="3958" spans="48:480" x14ac:dyDescent="0.3">
      <c r="CJ3958" s="103"/>
      <c r="FP3958" s="103"/>
      <c r="LL3958" s="103"/>
      <c r="NM3958" s="103"/>
      <c r="QT3958" s="106"/>
      <c r="QU3958" s="106"/>
      <c r="QV3958" s="106"/>
      <c r="QW3958" s="106"/>
      <c r="QX3958" s="106"/>
      <c r="QY3958" s="106"/>
      <c r="QZ3958" s="106"/>
      <c r="RA3958" s="106"/>
      <c r="RB3958" s="106"/>
      <c r="RC3958" s="106"/>
      <c r="RD3958" s="106"/>
      <c r="RE3958" s="106"/>
      <c r="RF3958" s="106"/>
      <c r="RG3958" s="106"/>
      <c r="RH3958" s="106"/>
      <c r="RI3958" s="106"/>
      <c r="RJ3958" s="106"/>
      <c r="RK3958" s="106"/>
      <c r="RL3958" s="106"/>
    </row>
    <row r="3959" spans="48:480" x14ac:dyDescent="0.3">
      <c r="CJ3959" s="103"/>
      <c r="FP3959" s="103"/>
      <c r="LL3959" s="103"/>
      <c r="NM3959" s="103"/>
      <c r="QT3959" s="106"/>
      <c r="QU3959" s="106"/>
      <c r="QV3959" s="106"/>
      <c r="QW3959" s="106"/>
      <c r="QX3959" s="106"/>
      <c r="QY3959" s="106"/>
      <c r="QZ3959" s="106"/>
      <c r="RA3959" s="106"/>
      <c r="RB3959" s="106"/>
      <c r="RC3959" s="106"/>
      <c r="RD3959" s="106"/>
      <c r="RE3959" s="106"/>
      <c r="RF3959" s="106"/>
      <c r="RG3959" s="106"/>
      <c r="RH3959" s="106"/>
      <c r="RI3959" s="106"/>
      <c r="RJ3959" s="106"/>
      <c r="RK3959" s="106"/>
      <c r="RL3959" s="106"/>
    </row>
    <row r="3960" spans="48:480" x14ac:dyDescent="0.3">
      <c r="CJ3960" s="103"/>
      <c r="FP3960" s="103"/>
      <c r="LL3960" s="103"/>
      <c r="NM3960" s="103"/>
      <c r="QT3960" s="106"/>
      <c r="QU3960" s="106"/>
      <c r="QV3960" s="106"/>
      <c r="QW3960" s="106"/>
      <c r="QX3960" s="106"/>
      <c r="QY3960" s="106"/>
      <c r="QZ3960" s="106"/>
      <c r="RA3960" s="106"/>
      <c r="RB3960" s="106"/>
      <c r="RC3960" s="106"/>
      <c r="RD3960" s="106"/>
      <c r="RE3960" s="106"/>
      <c r="RF3960" s="106"/>
      <c r="RG3960" s="106"/>
      <c r="RH3960" s="106"/>
      <c r="RI3960" s="106"/>
      <c r="RJ3960" s="106"/>
      <c r="RK3960" s="106"/>
      <c r="RL3960" s="106"/>
    </row>
    <row r="3961" spans="48:480" x14ac:dyDescent="0.3">
      <c r="CJ3961" s="103"/>
      <c r="FP3961" s="103"/>
      <c r="LL3961" s="103"/>
      <c r="NM3961" s="103"/>
      <c r="QT3961" s="106"/>
      <c r="QU3961" s="106"/>
      <c r="QV3961" s="106"/>
      <c r="QW3961" s="106"/>
      <c r="QX3961" s="106"/>
      <c r="QY3961" s="106"/>
      <c r="QZ3961" s="106"/>
      <c r="RA3961" s="106"/>
      <c r="RB3961" s="106"/>
      <c r="RC3961" s="106"/>
      <c r="RD3961" s="106"/>
      <c r="RE3961" s="106"/>
      <c r="RF3961" s="106"/>
      <c r="RG3961" s="106"/>
      <c r="RH3961" s="106"/>
      <c r="RI3961" s="106"/>
      <c r="RJ3961" s="106"/>
      <c r="RK3961" s="106"/>
      <c r="RL3961" s="106"/>
    </row>
    <row r="3962" spans="48:480" x14ac:dyDescent="0.3">
      <c r="AV3962" s="103"/>
      <c r="CJ3962" s="103"/>
      <c r="FP3962" s="103"/>
      <c r="LL3962" s="103"/>
      <c r="NM3962" s="103"/>
      <c r="QT3962" s="106"/>
      <c r="QU3962" s="106"/>
      <c r="QV3962" s="106"/>
      <c r="QW3962" s="106"/>
      <c r="QX3962" s="106"/>
      <c r="QY3962" s="106"/>
      <c r="QZ3962" s="106"/>
      <c r="RA3962" s="106"/>
      <c r="RB3962" s="106"/>
      <c r="RC3962" s="106"/>
      <c r="RD3962" s="106"/>
      <c r="RE3962" s="106"/>
      <c r="RF3962" s="106"/>
      <c r="RG3962" s="106"/>
      <c r="RH3962" s="106"/>
      <c r="RI3962" s="106"/>
      <c r="RJ3962" s="106"/>
      <c r="RK3962" s="106"/>
      <c r="RL3962" s="106"/>
    </row>
    <row r="3963" spans="48:480" x14ac:dyDescent="0.3">
      <c r="AV3963" s="103"/>
      <c r="CJ3963" s="103"/>
      <c r="FP3963" s="103"/>
      <c r="LL3963" s="103"/>
      <c r="NM3963" s="103"/>
      <c r="QT3963" s="106"/>
      <c r="QU3963" s="106"/>
      <c r="QV3963" s="106"/>
      <c r="QW3963" s="106"/>
      <c r="QX3963" s="106"/>
      <c r="QY3963" s="106"/>
      <c r="QZ3963" s="106"/>
      <c r="RA3963" s="106"/>
      <c r="RB3963" s="106"/>
      <c r="RC3963" s="106"/>
      <c r="RD3963" s="106"/>
      <c r="RE3963" s="106"/>
      <c r="RF3963" s="106"/>
      <c r="RG3963" s="106"/>
      <c r="RH3963" s="106"/>
      <c r="RI3963" s="106"/>
      <c r="RJ3963" s="106"/>
      <c r="RK3963" s="106"/>
      <c r="RL3963" s="106"/>
    </row>
    <row r="3964" spans="48:480" x14ac:dyDescent="0.3">
      <c r="AV3964" s="103"/>
      <c r="CJ3964" s="103"/>
      <c r="FP3964" s="103"/>
      <c r="LL3964" s="103"/>
      <c r="NM3964" s="103"/>
      <c r="QT3964" s="106"/>
      <c r="QU3964" s="106"/>
      <c r="QV3964" s="106"/>
      <c r="QW3964" s="106"/>
      <c r="QX3964" s="106"/>
      <c r="QY3964" s="106"/>
      <c r="QZ3964" s="106"/>
      <c r="RA3964" s="106"/>
      <c r="RB3964" s="106"/>
      <c r="RC3964" s="106"/>
      <c r="RD3964" s="106"/>
      <c r="RE3964" s="106"/>
      <c r="RF3964" s="106"/>
      <c r="RG3964" s="106"/>
      <c r="RH3964" s="106"/>
      <c r="RI3964" s="106"/>
      <c r="RJ3964" s="106"/>
      <c r="RK3964" s="106"/>
      <c r="RL3964" s="106"/>
    </row>
    <row r="3965" spans="48:480" x14ac:dyDescent="0.3">
      <c r="AV3965" s="103"/>
      <c r="CJ3965" s="103"/>
      <c r="FP3965" s="103"/>
      <c r="LL3965" s="103"/>
      <c r="NM3965" s="103"/>
      <c r="QT3965" s="106"/>
      <c r="QU3965" s="106"/>
      <c r="QV3965" s="106"/>
      <c r="QW3965" s="106"/>
      <c r="QX3965" s="106"/>
      <c r="QY3965" s="106"/>
      <c r="QZ3965" s="106"/>
      <c r="RA3965" s="106"/>
      <c r="RB3965" s="106"/>
      <c r="RC3965" s="106"/>
      <c r="RD3965" s="106"/>
      <c r="RE3965" s="106"/>
      <c r="RF3965" s="106"/>
      <c r="RG3965" s="106"/>
      <c r="RH3965" s="106"/>
      <c r="RI3965" s="106"/>
      <c r="RJ3965" s="106"/>
      <c r="RK3965" s="106"/>
      <c r="RL3965" s="106"/>
    </row>
    <row r="3966" spans="48:480" x14ac:dyDescent="0.3">
      <c r="AV3966" s="103"/>
      <c r="CJ3966" s="103"/>
      <c r="FP3966" s="103"/>
      <c r="LL3966" s="103"/>
      <c r="NM3966" s="103"/>
      <c r="QT3966" s="106"/>
      <c r="QU3966" s="106"/>
      <c r="QV3966" s="106"/>
      <c r="QW3966" s="106"/>
      <c r="QX3966" s="106"/>
      <c r="QY3966" s="106"/>
      <c r="QZ3966" s="106"/>
      <c r="RA3966" s="106"/>
      <c r="RB3966" s="106"/>
      <c r="RC3966" s="106"/>
      <c r="RD3966" s="106"/>
      <c r="RE3966" s="106"/>
      <c r="RF3966" s="106"/>
      <c r="RG3966" s="106"/>
      <c r="RH3966" s="106"/>
      <c r="RI3966" s="106"/>
      <c r="RJ3966" s="106"/>
      <c r="RK3966" s="106"/>
      <c r="RL3966" s="106"/>
    </row>
    <row r="3967" spans="48:480" x14ac:dyDescent="0.3">
      <c r="AV3967" s="103"/>
      <c r="CJ3967" s="103"/>
      <c r="FP3967" s="103"/>
      <c r="LL3967" s="103"/>
      <c r="NM3967" s="103"/>
      <c r="QT3967" s="106"/>
      <c r="QU3967" s="106"/>
      <c r="QV3967" s="106"/>
      <c r="QW3967" s="106"/>
      <c r="QX3967" s="106"/>
      <c r="QY3967" s="106"/>
      <c r="QZ3967" s="106"/>
      <c r="RA3967" s="106"/>
      <c r="RB3967" s="106"/>
      <c r="RC3967" s="106"/>
      <c r="RD3967" s="106"/>
      <c r="RE3967" s="106"/>
      <c r="RF3967" s="106"/>
      <c r="RG3967" s="106"/>
      <c r="RH3967" s="106"/>
      <c r="RI3967" s="106"/>
      <c r="RJ3967" s="106"/>
      <c r="RK3967" s="106"/>
      <c r="RL3967" s="106"/>
    </row>
    <row r="3968" spans="48:480" x14ac:dyDescent="0.3">
      <c r="AV3968" s="103"/>
      <c r="CJ3968" s="103"/>
      <c r="FP3968" s="103"/>
      <c r="LL3968" s="103"/>
      <c r="NM3968" s="103"/>
      <c r="QT3968" s="106"/>
      <c r="QU3968" s="106"/>
      <c r="QV3968" s="106"/>
      <c r="QW3968" s="106"/>
      <c r="QX3968" s="106"/>
      <c r="QY3968" s="106"/>
      <c r="QZ3968" s="106"/>
      <c r="RA3968" s="106"/>
      <c r="RB3968" s="106"/>
      <c r="RC3968" s="106"/>
      <c r="RD3968" s="106"/>
      <c r="RE3968" s="106"/>
      <c r="RF3968" s="106"/>
      <c r="RG3968" s="106"/>
      <c r="RH3968" s="106"/>
      <c r="RI3968" s="106"/>
      <c r="RJ3968" s="106"/>
      <c r="RK3968" s="106"/>
      <c r="RL3968" s="106"/>
    </row>
    <row r="3969" spans="48:480" x14ac:dyDescent="0.3">
      <c r="AV3969" s="103"/>
      <c r="CJ3969" s="103"/>
      <c r="FP3969" s="103"/>
      <c r="LL3969" s="103"/>
      <c r="NM3969" s="103"/>
      <c r="QT3969" s="106"/>
      <c r="QU3969" s="106"/>
      <c r="QV3969" s="106"/>
      <c r="QW3969" s="106"/>
      <c r="QX3969" s="106"/>
      <c r="QY3969" s="106"/>
      <c r="QZ3969" s="106"/>
      <c r="RA3969" s="106"/>
      <c r="RB3969" s="106"/>
      <c r="RC3969" s="106"/>
      <c r="RD3969" s="106"/>
      <c r="RE3969" s="106"/>
      <c r="RF3969" s="106"/>
      <c r="RG3969" s="106"/>
      <c r="RH3969" s="106"/>
      <c r="RI3969" s="106"/>
      <c r="RJ3969" s="106"/>
      <c r="RK3969" s="106"/>
      <c r="RL3969" s="106"/>
    </row>
    <row r="3970" spans="48:480" x14ac:dyDescent="0.3">
      <c r="AV3970" s="103"/>
      <c r="CJ3970" s="103"/>
      <c r="FP3970" s="103"/>
      <c r="LL3970" s="103"/>
      <c r="NM3970" s="103"/>
      <c r="QT3970" s="106"/>
      <c r="QU3970" s="106"/>
      <c r="QV3970" s="106"/>
      <c r="QW3970" s="106"/>
      <c r="QX3970" s="106"/>
      <c r="QY3970" s="106"/>
      <c r="QZ3970" s="106"/>
      <c r="RA3970" s="106"/>
      <c r="RB3970" s="106"/>
      <c r="RC3970" s="106"/>
      <c r="RD3970" s="106"/>
      <c r="RE3970" s="106"/>
      <c r="RF3970" s="106"/>
      <c r="RG3970" s="106"/>
      <c r="RH3970" s="106"/>
      <c r="RI3970" s="106"/>
      <c r="RJ3970" s="106"/>
      <c r="RK3970" s="106"/>
      <c r="RL3970" s="106"/>
    </row>
    <row r="3971" spans="48:480" x14ac:dyDescent="0.3">
      <c r="AV3971" s="103"/>
      <c r="CJ3971" s="103"/>
      <c r="FP3971" s="103"/>
      <c r="LL3971" s="103"/>
      <c r="NM3971" s="103"/>
      <c r="QT3971" s="106"/>
      <c r="QU3971" s="106"/>
      <c r="QV3971" s="106"/>
      <c r="QW3971" s="106"/>
      <c r="QX3971" s="106"/>
      <c r="QY3971" s="106"/>
      <c r="QZ3971" s="106"/>
      <c r="RA3971" s="106"/>
      <c r="RB3971" s="106"/>
      <c r="RC3971" s="106"/>
      <c r="RD3971" s="106"/>
      <c r="RE3971" s="106"/>
      <c r="RF3971" s="106"/>
      <c r="RG3971" s="106"/>
      <c r="RH3971" s="106"/>
      <c r="RI3971" s="106"/>
      <c r="RJ3971" s="106"/>
      <c r="RK3971" s="106"/>
      <c r="RL3971" s="106"/>
    </row>
    <row r="3972" spans="48:480" x14ac:dyDescent="0.3">
      <c r="AV3972" s="103"/>
      <c r="CJ3972" s="103"/>
      <c r="FP3972" s="103"/>
      <c r="LL3972" s="103"/>
      <c r="NM3972" s="103"/>
      <c r="QT3972" s="106"/>
      <c r="QU3972" s="106"/>
      <c r="QV3972" s="106"/>
      <c r="QW3972" s="106"/>
      <c r="QX3972" s="106"/>
      <c r="QY3972" s="106"/>
      <c r="QZ3972" s="106"/>
      <c r="RA3972" s="106"/>
      <c r="RB3972" s="106"/>
      <c r="RC3972" s="106"/>
      <c r="RD3972" s="106"/>
      <c r="RE3972" s="106"/>
      <c r="RF3972" s="106"/>
      <c r="RG3972" s="106"/>
      <c r="RH3972" s="106"/>
      <c r="RI3972" s="106"/>
      <c r="RJ3972" s="106"/>
      <c r="RK3972" s="106"/>
      <c r="RL3972" s="106"/>
    </row>
    <row r="3973" spans="48:480" x14ac:dyDescent="0.3">
      <c r="AV3973" s="103"/>
      <c r="CJ3973" s="103"/>
      <c r="FP3973" s="103"/>
      <c r="LL3973" s="103"/>
      <c r="NM3973" s="103"/>
      <c r="QT3973" s="106"/>
      <c r="QU3973" s="106"/>
      <c r="QV3973" s="106"/>
      <c r="QW3973" s="106"/>
      <c r="QX3973" s="106"/>
      <c r="QY3973" s="106"/>
      <c r="QZ3973" s="106"/>
      <c r="RA3973" s="106"/>
      <c r="RB3973" s="106"/>
      <c r="RC3973" s="106"/>
      <c r="RD3973" s="106"/>
      <c r="RE3973" s="106"/>
      <c r="RF3973" s="106"/>
      <c r="RG3973" s="106"/>
      <c r="RH3973" s="106"/>
      <c r="RI3973" s="106"/>
      <c r="RJ3973" s="106"/>
      <c r="RK3973" s="106"/>
      <c r="RL3973" s="106"/>
    </row>
    <row r="3974" spans="48:480" x14ac:dyDescent="0.3">
      <c r="CJ3974" s="103"/>
      <c r="FP3974" s="103"/>
      <c r="LL3974" s="103"/>
      <c r="NM3974" s="103"/>
      <c r="QT3974" s="106"/>
      <c r="QU3974" s="106"/>
      <c r="QV3974" s="106"/>
      <c r="QW3974" s="106"/>
      <c r="QX3974" s="106"/>
      <c r="QY3974" s="106"/>
      <c r="QZ3974" s="106"/>
      <c r="RA3974" s="106"/>
      <c r="RB3974" s="106"/>
      <c r="RC3974" s="106"/>
      <c r="RD3974" s="106"/>
      <c r="RE3974" s="106"/>
      <c r="RF3974" s="106"/>
      <c r="RG3974" s="106"/>
      <c r="RH3974" s="106"/>
      <c r="RI3974" s="106"/>
      <c r="RJ3974" s="106"/>
      <c r="RK3974" s="106"/>
      <c r="RL3974" s="106"/>
    </row>
    <row r="3975" spans="48:480" x14ac:dyDescent="0.3">
      <c r="AV3975" s="103"/>
      <c r="CJ3975" s="103"/>
      <c r="FP3975" s="103"/>
      <c r="LL3975" s="103"/>
      <c r="NM3975" s="103"/>
      <c r="QT3975" s="106"/>
      <c r="QU3975" s="106"/>
      <c r="QV3975" s="106"/>
      <c r="QW3975" s="106"/>
      <c r="QX3975" s="106"/>
      <c r="QY3975" s="106"/>
      <c r="QZ3975" s="106"/>
      <c r="RA3975" s="106"/>
      <c r="RB3975" s="106"/>
      <c r="RC3975" s="106"/>
      <c r="RD3975" s="106"/>
      <c r="RE3975" s="106"/>
      <c r="RF3975" s="106"/>
      <c r="RG3975" s="106"/>
      <c r="RH3975" s="106"/>
      <c r="RI3975" s="106"/>
      <c r="RJ3975" s="106"/>
      <c r="RK3975" s="106"/>
      <c r="RL3975" s="106"/>
    </row>
    <row r="3976" spans="48:480" x14ac:dyDescent="0.3">
      <c r="AV3976" s="103"/>
      <c r="CJ3976" s="103"/>
      <c r="FP3976" s="103"/>
      <c r="LL3976" s="103"/>
      <c r="NM3976" s="103"/>
      <c r="QT3976" s="106"/>
      <c r="QU3976" s="106"/>
      <c r="QV3976" s="106"/>
      <c r="QW3976" s="106"/>
      <c r="QX3976" s="106"/>
      <c r="QY3976" s="106"/>
      <c r="QZ3976" s="106"/>
      <c r="RA3976" s="106"/>
      <c r="RB3976" s="106"/>
      <c r="RC3976" s="106"/>
      <c r="RD3976" s="106"/>
      <c r="RE3976" s="106"/>
      <c r="RF3976" s="106"/>
      <c r="RG3976" s="106"/>
      <c r="RH3976" s="106"/>
      <c r="RI3976" s="106"/>
      <c r="RJ3976" s="106"/>
      <c r="RK3976" s="106"/>
      <c r="RL3976" s="106"/>
    </row>
    <row r="3977" spans="48:480" x14ac:dyDescent="0.3">
      <c r="AV3977" s="103"/>
      <c r="CJ3977" s="103"/>
      <c r="FP3977" s="103"/>
      <c r="LL3977" s="103"/>
      <c r="NM3977" s="103"/>
      <c r="QT3977" s="106"/>
      <c r="QU3977" s="106"/>
      <c r="QV3977" s="106"/>
      <c r="QW3977" s="106"/>
      <c r="QX3977" s="106"/>
      <c r="QY3977" s="106"/>
      <c r="QZ3977" s="106"/>
      <c r="RA3977" s="106"/>
      <c r="RB3977" s="106"/>
      <c r="RC3977" s="106"/>
      <c r="RD3977" s="106"/>
      <c r="RE3977" s="106"/>
      <c r="RF3977" s="106"/>
      <c r="RG3977" s="106"/>
      <c r="RH3977" s="106"/>
      <c r="RI3977" s="106"/>
      <c r="RJ3977" s="106"/>
      <c r="RK3977" s="106"/>
      <c r="RL3977" s="106"/>
    </row>
    <row r="3978" spans="48:480" x14ac:dyDescent="0.3">
      <c r="AV3978" s="103"/>
      <c r="CJ3978" s="103"/>
      <c r="FP3978" s="103"/>
      <c r="LL3978" s="103"/>
      <c r="NM3978" s="103"/>
      <c r="QT3978" s="106"/>
      <c r="QU3978" s="106"/>
      <c r="QV3978" s="106"/>
      <c r="QW3978" s="106"/>
      <c r="QX3978" s="106"/>
      <c r="QY3978" s="106"/>
      <c r="QZ3978" s="106"/>
      <c r="RA3978" s="106"/>
      <c r="RB3978" s="106"/>
      <c r="RC3978" s="106"/>
      <c r="RD3978" s="106"/>
      <c r="RE3978" s="106"/>
      <c r="RF3978" s="106"/>
      <c r="RG3978" s="106"/>
      <c r="RH3978" s="106"/>
      <c r="RI3978" s="106"/>
      <c r="RJ3978" s="106"/>
      <c r="RK3978" s="106"/>
      <c r="RL3978" s="106"/>
    </row>
    <row r="3979" spans="48:480" x14ac:dyDescent="0.3">
      <c r="AV3979" s="103"/>
      <c r="CJ3979" s="103"/>
      <c r="FP3979" s="103"/>
      <c r="LL3979" s="103"/>
      <c r="NM3979" s="103"/>
      <c r="QT3979" s="106"/>
      <c r="QU3979" s="106"/>
      <c r="QV3979" s="106"/>
      <c r="QW3979" s="106"/>
      <c r="QX3979" s="106"/>
      <c r="QY3979" s="106"/>
      <c r="QZ3979" s="106"/>
      <c r="RA3979" s="106"/>
      <c r="RB3979" s="106"/>
      <c r="RC3979" s="106"/>
      <c r="RD3979" s="106"/>
      <c r="RE3979" s="106"/>
      <c r="RF3979" s="106"/>
      <c r="RG3979" s="106"/>
      <c r="RH3979" s="106"/>
      <c r="RI3979" s="106"/>
      <c r="RJ3979" s="106"/>
      <c r="RK3979" s="106"/>
      <c r="RL3979" s="106"/>
    </row>
    <row r="3980" spans="48:480" x14ac:dyDescent="0.3">
      <c r="AV3980" s="103"/>
      <c r="CJ3980" s="103"/>
      <c r="FP3980" s="103"/>
      <c r="LL3980" s="103"/>
      <c r="NM3980" s="103"/>
      <c r="QT3980" s="106"/>
      <c r="QU3980" s="106"/>
      <c r="QV3980" s="106"/>
      <c r="QW3980" s="106"/>
      <c r="QX3980" s="106"/>
      <c r="QY3980" s="106"/>
      <c r="QZ3980" s="106"/>
      <c r="RA3980" s="106"/>
      <c r="RB3980" s="106"/>
      <c r="RC3980" s="106"/>
      <c r="RD3980" s="106"/>
      <c r="RE3980" s="106"/>
      <c r="RF3980" s="106"/>
      <c r="RG3980" s="106"/>
      <c r="RH3980" s="106"/>
      <c r="RI3980" s="106"/>
      <c r="RJ3980" s="106"/>
      <c r="RK3980" s="106"/>
      <c r="RL3980" s="106"/>
    </row>
    <row r="3981" spans="48:480" x14ac:dyDescent="0.3">
      <c r="AV3981" s="103"/>
      <c r="CJ3981" s="103"/>
      <c r="FP3981" s="103"/>
      <c r="LL3981" s="103"/>
      <c r="NM3981" s="103"/>
      <c r="QT3981" s="106"/>
      <c r="QU3981" s="106"/>
      <c r="QV3981" s="106"/>
      <c r="QW3981" s="106"/>
      <c r="QX3981" s="106"/>
      <c r="QY3981" s="106"/>
      <c r="QZ3981" s="106"/>
      <c r="RA3981" s="106"/>
      <c r="RB3981" s="106"/>
      <c r="RC3981" s="106"/>
      <c r="RD3981" s="106"/>
      <c r="RE3981" s="106"/>
      <c r="RF3981" s="106"/>
      <c r="RG3981" s="106"/>
      <c r="RH3981" s="106"/>
      <c r="RI3981" s="106"/>
      <c r="RJ3981" s="106"/>
      <c r="RK3981" s="106"/>
      <c r="RL3981" s="106"/>
    </row>
    <row r="3982" spans="48:480" x14ac:dyDescent="0.3">
      <c r="AV3982" s="103"/>
      <c r="CJ3982" s="103"/>
      <c r="FP3982" s="103"/>
      <c r="LL3982" s="103"/>
      <c r="NM3982" s="103"/>
      <c r="QT3982" s="106"/>
      <c r="QU3982" s="106"/>
      <c r="QV3982" s="106"/>
      <c r="QW3982" s="106"/>
      <c r="QX3982" s="106"/>
      <c r="QY3982" s="106"/>
      <c r="QZ3982" s="106"/>
      <c r="RA3982" s="106"/>
      <c r="RB3982" s="106"/>
      <c r="RC3982" s="106"/>
      <c r="RD3982" s="106"/>
      <c r="RE3982" s="106"/>
      <c r="RF3982" s="106"/>
      <c r="RG3982" s="106"/>
      <c r="RH3982" s="106"/>
      <c r="RI3982" s="106"/>
      <c r="RJ3982" s="106"/>
      <c r="RK3982" s="106"/>
      <c r="RL3982" s="106"/>
    </row>
    <row r="3983" spans="48:480" x14ac:dyDescent="0.3">
      <c r="AV3983" s="103"/>
      <c r="CJ3983" s="103"/>
      <c r="FP3983" s="103"/>
      <c r="LL3983" s="103"/>
      <c r="NM3983" s="103"/>
      <c r="QT3983" s="106"/>
      <c r="QU3983" s="106"/>
      <c r="QV3983" s="106"/>
      <c r="QW3983" s="106"/>
      <c r="QX3983" s="106"/>
      <c r="QY3983" s="106"/>
      <c r="QZ3983" s="106"/>
      <c r="RA3983" s="106"/>
      <c r="RB3983" s="106"/>
      <c r="RC3983" s="106"/>
      <c r="RD3983" s="106"/>
      <c r="RE3983" s="106"/>
      <c r="RF3983" s="106"/>
      <c r="RG3983" s="106"/>
      <c r="RH3983" s="106"/>
      <c r="RI3983" s="106"/>
      <c r="RJ3983" s="106"/>
      <c r="RK3983" s="106"/>
      <c r="RL3983" s="106"/>
    </row>
    <row r="3984" spans="48:480" x14ac:dyDescent="0.3">
      <c r="AV3984" s="103"/>
      <c r="CJ3984" s="103"/>
      <c r="FP3984" s="103"/>
      <c r="LL3984" s="103"/>
      <c r="NM3984" s="103"/>
      <c r="QT3984" s="106"/>
      <c r="QU3984" s="106"/>
      <c r="QV3984" s="106"/>
      <c r="QW3984" s="106"/>
      <c r="QX3984" s="106"/>
      <c r="QY3984" s="106"/>
      <c r="QZ3984" s="106"/>
      <c r="RA3984" s="106"/>
      <c r="RB3984" s="106"/>
      <c r="RC3984" s="106"/>
      <c r="RD3984" s="106"/>
      <c r="RE3984" s="106"/>
      <c r="RF3984" s="106"/>
      <c r="RG3984" s="106"/>
      <c r="RH3984" s="106"/>
      <c r="RI3984" s="106"/>
      <c r="RJ3984" s="106"/>
      <c r="RK3984" s="106"/>
      <c r="RL3984" s="106"/>
    </row>
    <row r="3985" spans="48:480" x14ac:dyDescent="0.3">
      <c r="AV3985" s="103"/>
      <c r="CJ3985" s="103"/>
      <c r="FP3985" s="103"/>
      <c r="LL3985" s="103"/>
      <c r="NM3985" s="103"/>
      <c r="QT3985" s="106"/>
      <c r="QU3985" s="106"/>
      <c r="QV3985" s="106"/>
      <c r="QW3985" s="106"/>
      <c r="QX3985" s="106"/>
      <c r="QY3985" s="106"/>
      <c r="QZ3985" s="106"/>
      <c r="RA3985" s="106"/>
      <c r="RB3985" s="106"/>
      <c r="RC3985" s="106"/>
      <c r="RD3985" s="106"/>
      <c r="RE3985" s="106"/>
      <c r="RF3985" s="106"/>
      <c r="RG3985" s="106"/>
      <c r="RH3985" s="106"/>
      <c r="RI3985" s="106"/>
      <c r="RJ3985" s="106"/>
      <c r="RK3985" s="106"/>
      <c r="RL3985" s="106"/>
    </row>
    <row r="3986" spans="48:480" x14ac:dyDescent="0.3">
      <c r="CJ3986" s="103"/>
      <c r="FP3986" s="103"/>
      <c r="LL3986" s="103"/>
      <c r="NM3986" s="103"/>
      <c r="QT3986" s="106"/>
      <c r="QU3986" s="106"/>
      <c r="QV3986" s="106"/>
      <c r="QW3986" s="106"/>
      <c r="QX3986" s="106"/>
      <c r="QY3986" s="106"/>
      <c r="QZ3986" s="106"/>
      <c r="RA3986" s="106"/>
      <c r="RB3986" s="106"/>
      <c r="RC3986" s="106"/>
      <c r="RD3986" s="106"/>
      <c r="RE3986" s="106"/>
      <c r="RF3986" s="106"/>
      <c r="RG3986" s="106"/>
      <c r="RH3986" s="106"/>
      <c r="RI3986" s="106"/>
      <c r="RJ3986" s="106"/>
      <c r="RK3986" s="106"/>
      <c r="RL3986" s="106"/>
    </row>
    <row r="3987" spans="48:480" x14ac:dyDescent="0.3">
      <c r="AV3987" s="103"/>
      <c r="CJ3987" s="103"/>
      <c r="FP3987" s="103"/>
      <c r="LL3987" s="103"/>
      <c r="NM3987" s="103"/>
      <c r="QT3987" s="106"/>
      <c r="QU3987" s="106"/>
      <c r="QV3987" s="106"/>
      <c r="QW3987" s="106"/>
      <c r="QX3987" s="106"/>
      <c r="QY3987" s="106"/>
      <c r="QZ3987" s="106"/>
      <c r="RA3987" s="106"/>
      <c r="RB3987" s="106"/>
      <c r="RC3987" s="106"/>
      <c r="RD3987" s="106"/>
      <c r="RE3987" s="106"/>
      <c r="RF3987" s="106"/>
      <c r="RG3987" s="106"/>
      <c r="RH3987" s="106"/>
      <c r="RI3987" s="106"/>
      <c r="RJ3987" s="106"/>
      <c r="RK3987" s="106"/>
      <c r="RL3987" s="106"/>
    </row>
    <row r="3988" spans="48:480" x14ac:dyDescent="0.3">
      <c r="CJ3988" s="103"/>
      <c r="FP3988" s="103"/>
      <c r="LL3988" s="103"/>
      <c r="NM3988" s="103"/>
      <c r="QT3988" s="106"/>
      <c r="QU3988" s="106"/>
      <c r="QV3988" s="106"/>
      <c r="QW3988" s="106"/>
      <c r="QX3988" s="106"/>
      <c r="QY3988" s="106"/>
      <c r="QZ3988" s="106"/>
      <c r="RA3988" s="106"/>
      <c r="RB3988" s="106"/>
      <c r="RC3988" s="106"/>
      <c r="RD3988" s="106"/>
      <c r="RE3988" s="106"/>
      <c r="RF3988" s="106"/>
      <c r="RG3988" s="106"/>
      <c r="RH3988" s="106"/>
      <c r="RI3988" s="106"/>
      <c r="RJ3988" s="106"/>
      <c r="RK3988" s="106"/>
      <c r="RL3988" s="106"/>
    </row>
    <row r="3989" spans="48:480" x14ac:dyDescent="0.3">
      <c r="AV3989" s="103"/>
      <c r="CJ3989" s="103"/>
      <c r="FP3989" s="103"/>
      <c r="LL3989" s="103"/>
      <c r="NM3989" s="103"/>
      <c r="QT3989" s="106"/>
      <c r="QU3989" s="106"/>
      <c r="QV3989" s="106"/>
      <c r="QW3989" s="106"/>
      <c r="QX3989" s="106"/>
      <c r="QY3989" s="106"/>
      <c r="QZ3989" s="106"/>
      <c r="RA3989" s="106"/>
      <c r="RB3989" s="106"/>
      <c r="RC3989" s="106"/>
      <c r="RD3989" s="106"/>
      <c r="RE3989" s="106"/>
      <c r="RF3989" s="106"/>
      <c r="RG3989" s="106"/>
      <c r="RH3989" s="106"/>
      <c r="RI3989" s="106"/>
      <c r="RJ3989" s="106"/>
      <c r="RK3989" s="106"/>
      <c r="RL3989" s="106"/>
    </row>
    <row r="3990" spans="48:480" x14ac:dyDescent="0.3">
      <c r="CJ3990" s="103"/>
      <c r="FP3990" s="103"/>
      <c r="LL3990" s="103"/>
      <c r="NM3990" s="103"/>
      <c r="QT3990" s="106"/>
      <c r="QU3990" s="106"/>
      <c r="QV3990" s="106"/>
      <c r="QW3990" s="106"/>
      <c r="QX3990" s="106"/>
      <c r="QY3990" s="106"/>
      <c r="QZ3990" s="106"/>
      <c r="RA3990" s="106"/>
      <c r="RB3990" s="106"/>
      <c r="RC3990" s="106"/>
      <c r="RD3990" s="106"/>
      <c r="RE3990" s="106"/>
      <c r="RF3990" s="106"/>
      <c r="RG3990" s="106"/>
      <c r="RH3990" s="106"/>
      <c r="RI3990" s="106"/>
      <c r="RJ3990" s="106"/>
      <c r="RK3990" s="106"/>
      <c r="RL3990" s="106"/>
    </row>
    <row r="3991" spans="48:480" x14ac:dyDescent="0.3">
      <c r="AV3991" s="103"/>
      <c r="CJ3991" s="103"/>
      <c r="FP3991" s="103"/>
      <c r="LL3991" s="103"/>
      <c r="NM3991" s="103"/>
      <c r="QT3991" s="106"/>
      <c r="QU3991" s="106"/>
      <c r="QV3991" s="106"/>
      <c r="QW3991" s="106"/>
      <c r="QX3991" s="106"/>
      <c r="QY3991" s="106"/>
      <c r="QZ3991" s="106"/>
      <c r="RA3991" s="106"/>
      <c r="RB3991" s="106"/>
      <c r="RC3991" s="106"/>
      <c r="RD3991" s="106"/>
      <c r="RE3991" s="106"/>
      <c r="RF3991" s="106"/>
      <c r="RG3991" s="106"/>
      <c r="RH3991" s="106"/>
      <c r="RI3991" s="106"/>
      <c r="RJ3991" s="106"/>
      <c r="RK3991" s="106"/>
      <c r="RL3991" s="106"/>
    </row>
    <row r="3992" spans="48:480" x14ac:dyDescent="0.3">
      <c r="AV3992" s="103"/>
      <c r="CJ3992" s="103"/>
      <c r="FP3992" s="103"/>
      <c r="LL3992" s="103"/>
      <c r="NM3992" s="103"/>
      <c r="QT3992" s="106"/>
      <c r="QU3992" s="106"/>
      <c r="QV3992" s="106"/>
      <c r="QW3992" s="106"/>
      <c r="QX3992" s="106"/>
      <c r="QY3992" s="106"/>
      <c r="QZ3992" s="106"/>
      <c r="RA3992" s="106"/>
      <c r="RB3992" s="106"/>
      <c r="RC3992" s="106"/>
      <c r="RD3992" s="106"/>
      <c r="RE3992" s="106"/>
      <c r="RF3992" s="106"/>
      <c r="RG3992" s="106"/>
      <c r="RH3992" s="106"/>
      <c r="RI3992" s="106"/>
      <c r="RJ3992" s="106"/>
      <c r="RK3992" s="106"/>
      <c r="RL3992" s="106"/>
    </row>
    <row r="3993" spans="48:480" x14ac:dyDescent="0.3">
      <c r="AV3993" s="103"/>
      <c r="CJ3993" s="103"/>
      <c r="FP3993" s="103"/>
      <c r="LL3993" s="103"/>
      <c r="NM3993" s="103"/>
      <c r="QT3993" s="106"/>
      <c r="QU3993" s="106"/>
      <c r="QV3993" s="106"/>
      <c r="QW3993" s="106"/>
      <c r="QX3993" s="106"/>
      <c r="QY3993" s="106"/>
      <c r="QZ3993" s="106"/>
      <c r="RA3993" s="106"/>
      <c r="RB3993" s="106"/>
      <c r="RC3993" s="106"/>
      <c r="RD3993" s="106"/>
      <c r="RE3993" s="106"/>
      <c r="RF3993" s="106"/>
      <c r="RG3993" s="106"/>
      <c r="RH3993" s="106"/>
      <c r="RI3993" s="106"/>
      <c r="RJ3993" s="106"/>
      <c r="RK3993" s="106"/>
      <c r="RL3993" s="106"/>
    </row>
    <row r="3994" spans="48:480" x14ac:dyDescent="0.3">
      <c r="AV3994" s="103"/>
      <c r="CJ3994" s="103"/>
      <c r="FP3994" s="103"/>
      <c r="LL3994" s="103"/>
      <c r="NM3994" s="103"/>
      <c r="QT3994" s="106"/>
      <c r="QU3994" s="106"/>
      <c r="QV3994" s="106"/>
      <c r="QW3994" s="106"/>
      <c r="QX3994" s="106"/>
      <c r="QY3994" s="106"/>
      <c r="QZ3994" s="106"/>
      <c r="RA3994" s="106"/>
      <c r="RB3994" s="106"/>
      <c r="RC3994" s="106"/>
      <c r="RD3994" s="106"/>
      <c r="RE3994" s="106"/>
      <c r="RF3994" s="106"/>
      <c r="RG3994" s="106"/>
      <c r="RH3994" s="106"/>
      <c r="RI3994" s="106"/>
      <c r="RJ3994" s="106"/>
      <c r="RK3994" s="106"/>
      <c r="RL3994" s="106"/>
    </row>
    <row r="3995" spans="48:480" x14ac:dyDescent="0.3">
      <c r="AV3995" s="103"/>
      <c r="CJ3995" s="103"/>
      <c r="FP3995" s="103"/>
      <c r="LL3995" s="103"/>
      <c r="NM3995" s="103"/>
      <c r="QT3995" s="106"/>
      <c r="QU3995" s="106"/>
      <c r="QV3995" s="106"/>
      <c r="QW3995" s="106"/>
      <c r="QX3995" s="106"/>
      <c r="QY3995" s="106"/>
      <c r="QZ3995" s="106"/>
      <c r="RA3995" s="106"/>
      <c r="RB3995" s="106"/>
      <c r="RC3995" s="106"/>
      <c r="RD3995" s="106"/>
      <c r="RE3995" s="106"/>
      <c r="RF3995" s="106"/>
      <c r="RG3995" s="106"/>
      <c r="RH3995" s="106"/>
      <c r="RI3995" s="106"/>
      <c r="RJ3995" s="106"/>
      <c r="RK3995" s="106"/>
      <c r="RL3995" s="106"/>
    </row>
    <row r="3996" spans="48:480" x14ac:dyDescent="0.3">
      <c r="AV3996" s="103"/>
      <c r="CJ3996" s="103"/>
      <c r="FP3996" s="103"/>
      <c r="LL3996" s="103"/>
      <c r="NM3996" s="103"/>
      <c r="QT3996" s="106"/>
      <c r="QU3996" s="106"/>
      <c r="QV3996" s="106"/>
      <c r="QW3996" s="106"/>
      <c r="QX3996" s="106"/>
      <c r="QY3996" s="106"/>
      <c r="QZ3996" s="106"/>
      <c r="RA3996" s="106"/>
      <c r="RB3996" s="106"/>
      <c r="RC3996" s="106"/>
      <c r="RD3996" s="106"/>
      <c r="RE3996" s="106"/>
      <c r="RF3996" s="106"/>
      <c r="RG3996" s="106"/>
      <c r="RH3996" s="106"/>
      <c r="RI3996" s="106"/>
      <c r="RJ3996" s="106"/>
      <c r="RK3996" s="106"/>
      <c r="RL3996" s="106"/>
    </row>
    <row r="3997" spans="48:480" x14ac:dyDescent="0.3">
      <c r="AV3997" s="103"/>
      <c r="CJ3997" s="103"/>
      <c r="FP3997" s="103"/>
      <c r="LL3997" s="103"/>
      <c r="NM3997" s="103"/>
      <c r="QT3997" s="106"/>
      <c r="QU3997" s="106"/>
      <c r="QV3997" s="106"/>
      <c r="QW3997" s="106"/>
      <c r="QX3997" s="106"/>
      <c r="QY3997" s="106"/>
      <c r="QZ3997" s="106"/>
      <c r="RA3997" s="106"/>
      <c r="RB3997" s="106"/>
      <c r="RC3997" s="106"/>
      <c r="RD3997" s="106"/>
      <c r="RE3997" s="106"/>
      <c r="RF3997" s="106"/>
      <c r="RG3997" s="106"/>
      <c r="RH3997" s="106"/>
      <c r="RI3997" s="106"/>
      <c r="RJ3997" s="106"/>
      <c r="RK3997" s="106"/>
      <c r="RL3997" s="106"/>
    </row>
    <row r="3998" spans="48:480" x14ac:dyDescent="0.3">
      <c r="CJ3998" s="103"/>
      <c r="FP3998" s="103"/>
      <c r="LL3998" s="103"/>
      <c r="NM3998" s="103"/>
      <c r="QT3998" s="106"/>
      <c r="QU3998" s="106"/>
      <c r="QV3998" s="106"/>
      <c r="QW3998" s="106"/>
      <c r="QX3998" s="106"/>
      <c r="QY3998" s="106"/>
      <c r="QZ3998" s="106"/>
      <c r="RA3998" s="106"/>
      <c r="RB3998" s="106"/>
      <c r="RC3998" s="106"/>
      <c r="RD3998" s="106"/>
      <c r="RE3998" s="106"/>
      <c r="RF3998" s="106"/>
      <c r="RG3998" s="106"/>
      <c r="RH3998" s="106"/>
      <c r="RI3998" s="106"/>
      <c r="RJ3998" s="106"/>
      <c r="RK3998" s="106"/>
      <c r="RL3998" s="106"/>
    </row>
    <row r="3999" spans="48:480" x14ac:dyDescent="0.3">
      <c r="CJ3999" s="103"/>
      <c r="FP3999" s="103"/>
      <c r="LL3999" s="103"/>
      <c r="NM3999" s="103"/>
      <c r="QT3999" s="106"/>
      <c r="QU3999" s="106"/>
      <c r="QV3999" s="106"/>
      <c r="QW3999" s="106"/>
      <c r="QX3999" s="106"/>
      <c r="QY3999" s="106"/>
      <c r="QZ3999" s="106"/>
      <c r="RA3999" s="106"/>
      <c r="RB3999" s="106"/>
      <c r="RC3999" s="106"/>
      <c r="RD3999" s="106"/>
      <c r="RE3999" s="106"/>
      <c r="RF3999" s="106"/>
      <c r="RG3999" s="106"/>
      <c r="RH3999" s="106"/>
      <c r="RI3999" s="106"/>
      <c r="RJ3999" s="106"/>
      <c r="RK3999" s="106"/>
      <c r="RL3999" s="106"/>
    </row>
    <row r="4000" spans="48:480" x14ac:dyDescent="0.3">
      <c r="CJ4000" s="103"/>
      <c r="FP4000" s="103"/>
      <c r="LL4000" s="103"/>
      <c r="NM4000" s="103"/>
      <c r="QT4000" s="106"/>
      <c r="QU4000" s="106"/>
      <c r="QV4000" s="106"/>
      <c r="QW4000" s="106"/>
      <c r="QX4000" s="106"/>
      <c r="QY4000" s="106"/>
      <c r="QZ4000" s="106"/>
      <c r="RA4000" s="106"/>
      <c r="RB4000" s="106"/>
      <c r="RC4000" s="106"/>
      <c r="RD4000" s="106"/>
      <c r="RE4000" s="106"/>
      <c r="RF4000" s="106"/>
      <c r="RG4000" s="106"/>
      <c r="RH4000" s="106"/>
      <c r="RI4000" s="106"/>
      <c r="RJ4000" s="106"/>
      <c r="RK4000" s="106"/>
      <c r="RL4000" s="106"/>
    </row>
    <row r="4001" spans="48:480" x14ac:dyDescent="0.3">
      <c r="AV4001" s="103"/>
      <c r="CJ4001" s="103"/>
      <c r="FP4001" s="103"/>
      <c r="LL4001" s="103"/>
      <c r="NM4001" s="103"/>
      <c r="QT4001" s="106"/>
      <c r="QU4001" s="106"/>
      <c r="QV4001" s="106"/>
      <c r="QW4001" s="106"/>
      <c r="QX4001" s="106"/>
      <c r="QY4001" s="106"/>
      <c r="QZ4001" s="106"/>
      <c r="RA4001" s="106"/>
      <c r="RB4001" s="106"/>
      <c r="RC4001" s="106"/>
      <c r="RD4001" s="106"/>
      <c r="RE4001" s="106"/>
      <c r="RF4001" s="106"/>
      <c r="RG4001" s="106"/>
      <c r="RH4001" s="106"/>
      <c r="RI4001" s="106"/>
      <c r="RJ4001" s="106"/>
      <c r="RK4001" s="106"/>
      <c r="RL4001" s="106"/>
    </row>
    <row r="4002" spans="48:480" x14ac:dyDescent="0.3">
      <c r="AV4002" s="103"/>
      <c r="CJ4002" s="103"/>
      <c r="FP4002" s="103"/>
      <c r="LL4002" s="103"/>
      <c r="NM4002" s="103"/>
      <c r="QT4002" s="106"/>
      <c r="QU4002" s="106"/>
      <c r="QV4002" s="106"/>
      <c r="QW4002" s="106"/>
      <c r="QX4002" s="106"/>
      <c r="QY4002" s="106"/>
      <c r="QZ4002" s="106"/>
      <c r="RA4002" s="106"/>
      <c r="RB4002" s="106"/>
      <c r="RC4002" s="106"/>
      <c r="RD4002" s="106"/>
      <c r="RE4002" s="106"/>
      <c r="RF4002" s="106"/>
      <c r="RG4002" s="106"/>
      <c r="RH4002" s="106"/>
      <c r="RI4002" s="106"/>
      <c r="RJ4002" s="106"/>
      <c r="RK4002" s="106"/>
      <c r="RL4002" s="106"/>
    </row>
    <row r="4003" spans="48:480" x14ac:dyDescent="0.3">
      <c r="AV4003" s="103"/>
      <c r="CJ4003" s="103"/>
      <c r="FP4003" s="103"/>
      <c r="LL4003" s="103"/>
      <c r="NM4003" s="103"/>
      <c r="QT4003" s="106"/>
      <c r="QU4003" s="106"/>
      <c r="QV4003" s="106"/>
      <c r="QW4003" s="106"/>
      <c r="QX4003" s="106"/>
      <c r="QY4003" s="106"/>
      <c r="QZ4003" s="106"/>
      <c r="RA4003" s="106"/>
      <c r="RB4003" s="106"/>
      <c r="RC4003" s="106"/>
      <c r="RD4003" s="106"/>
      <c r="RE4003" s="106"/>
      <c r="RF4003" s="106"/>
      <c r="RG4003" s="106"/>
      <c r="RH4003" s="106"/>
      <c r="RI4003" s="106"/>
      <c r="RJ4003" s="106"/>
      <c r="RK4003" s="106"/>
      <c r="RL4003" s="106"/>
    </row>
    <row r="4004" spans="48:480" x14ac:dyDescent="0.3">
      <c r="AV4004" s="103"/>
      <c r="CJ4004" s="103"/>
      <c r="FP4004" s="103"/>
      <c r="LL4004" s="103"/>
      <c r="NM4004" s="103"/>
      <c r="QT4004" s="106"/>
      <c r="QU4004" s="106"/>
      <c r="QV4004" s="106"/>
      <c r="QW4004" s="106"/>
      <c r="QX4004" s="106"/>
      <c r="QY4004" s="106"/>
      <c r="QZ4004" s="106"/>
      <c r="RA4004" s="106"/>
      <c r="RB4004" s="106"/>
      <c r="RC4004" s="106"/>
      <c r="RD4004" s="106"/>
      <c r="RE4004" s="106"/>
      <c r="RF4004" s="106"/>
      <c r="RG4004" s="106"/>
      <c r="RH4004" s="106"/>
      <c r="RI4004" s="106"/>
      <c r="RJ4004" s="106"/>
      <c r="RK4004" s="106"/>
      <c r="RL4004" s="106"/>
    </row>
    <row r="4005" spans="48:480" x14ac:dyDescent="0.3">
      <c r="AV4005" s="103"/>
      <c r="CJ4005" s="103"/>
      <c r="FP4005" s="103"/>
      <c r="LL4005" s="103"/>
      <c r="NM4005" s="103"/>
      <c r="QT4005" s="106"/>
      <c r="QU4005" s="106"/>
      <c r="QV4005" s="106"/>
      <c r="QW4005" s="106"/>
      <c r="QX4005" s="106"/>
      <c r="QY4005" s="106"/>
      <c r="QZ4005" s="106"/>
      <c r="RA4005" s="106"/>
      <c r="RB4005" s="106"/>
      <c r="RC4005" s="106"/>
      <c r="RD4005" s="106"/>
      <c r="RE4005" s="106"/>
      <c r="RF4005" s="106"/>
      <c r="RG4005" s="106"/>
      <c r="RH4005" s="106"/>
      <c r="RI4005" s="106"/>
      <c r="RJ4005" s="106"/>
      <c r="RK4005" s="106"/>
      <c r="RL4005" s="106"/>
    </row>
    <row r="4006" spans="48:480" x14ac:dyDescent="0.3">
      <c r="AV4006" s="103"/>
      <c r="CJ4006" s="103"/>
      <c r="FP4006" s="103"/>
      <c r="LL4006" s="103"/>
      <c r="NM4006" s="103"/>
      <c r="QT4006" s="106"/>
      <c r="QU4006" s="106"/>
      <c r="QV4006" s="106"/>
      <c r="QW4006" s="106"/>
      <c r="QX4006" s="106"/>
      <c r="QY4006" s="106"/>
      <c r="QZ4006" s="106"/>
      <c r="RA4006" s="106"/>
      <c r="RB4006" s="106"/>
      <c r="RC4006" s="106"/>
      <c r="RD4006" s="106"/>
      <c r="RE4006" s="106"/>
      <c r="RF4006" s="106"/>
      <c r="RG4006" s="106"/>
      <c r="RH4006" s="106"/>
      <c r="RI4006" s="106"/>
      <c r="RJ4006" s="106"/>
      <c r="RK4006" s="106"/>
      <c r="RL4006" s="106"/>
    </row>
    <row r="4007" spans="48:480" x14ac:dyDescent="0.3">
      <c r="AV4007" s="103"/>
      <c r="CJ4007" s="103"/>
      <c r="FP4007" s="103"/>
      <c r="LL4007" s="103"/>
      <c r="NM4007" s="103"/>
      <c r="QT4007" s="106"/>
      <c r="QU4007" s="106"/>
      <c r="QV4007" s="106"/>
      <c r="QW4007" s="106"/>
      <c r="QX4007" s="106"/>
      <c r="QY4007" s="106"/>
      <c r="QZ4007" s="106"/>
      <c r="RA4007" s="106"/>
      <c r="RB4007" s="106"/>
      <c r="RC4007" s="106"/>
      <c r="RD4007" s="106"/>
      <c r="RE4007" s="106"/>
      <c r="RF4007" s="106"/>
      <c r="RG4007" s="106"/>
      <c r="RH4007" s="106"/>
      <c r="RI4007" s="106"/>
      <c r="RJ4007" s="106"/>
      <c r="RK4007" s="106"/>
      <c r="RL4007" s="106"/>
    </row>
    <row r="4008" spans="48:480" x14ac:dyDescent="0.3">
      <c r="AV4008" s="103"/>
      <c r="CJ4008" s="103"/>
      <c r="FP4008" s="103"/>
      <c r="LL4008" s="103"/>
      <c r="NM4008" s="103"/>
      <c r="QT4008" s="106"/>
      <c r="QU4008" s="106"/>
      <c r="QV4008" s="106"/>
      <c r="QW4008" s="106"/>
      <c r="QX4008" s="106"/>
      <c r="QY4008" s="106"/>
      <c r="QZ4008" s="106"/>
      <c r="RA4008" s="106"/>
      <c r="RB4008" s="106"/>
      <c r="RC4008" s="106"/>
      <c r="RD4008" s="106"/>
      <c r="RE4008" s="106"/>
      <c r="RF4008" s="106"/>
      <c r="RG4008" s="106"/>
      <c r="RH4008" s="106"/>
      <c r="RI4008" s="106"/>
      <c r="RJ4008" s="106"/>
      <c r="RK4008" s="106"/>
      <c r="RL4008" s="106"/>
    </row>
    <row r="4009" spans="48:480" x14ac:dyDescent="0.3">
      <c r="AV4009" s="103"/>
      <c r="CJ4009" s="103"/>
      <c r="FP4009" s="103"/>
      <c r="LL4009" s="103"/>
      <c r="NM4009" s="103"/>
      <c r="QT4009" s="106"/>
      <c r="QU4009" s="106"/>
      <c r="QV4009" s="106"/>
      <c r="QW4009" s="106"/>
      <c r="QX4009" s="106"/>
      <c r="QY4009" s="106"/>
      <c r="QZ4009" s="106"/>
      <c r="RA4009" s="106"/>
      <c r="RB4009" s="106"/>
      <c r="RC4009" s="106"/>
      <c r="RD4009" s="106"/>
      <c r="RE4009" s="106"/>
      <c r="RF4009" s="106"/>
      <c r="RG4009" s="106"/>
      <c r="RH4009" s="106"/>
      <c r="RI4009" s="106"/>
      <c r="RJ4009" s="106"/>
      <c r="RK4009" s="106"/>
      <c r="RL4009" s="106"/>
    </row>
    <row r="4010" spans="48:480" x14ac:dyDescent="0.3">
      <c r="AV4010" s="103"/>
      <c r="CJ4010" s="103"/>
      <c r="FP4010" s="103"/>
      <c r="LL4010" s="103"/>
      <c r="NM4010" s="103"/>
      <c r="QT4010" s="106"/>
      <c r="QU4010" s="106"/>
      <c r="QV4010" s="106"/>
      <c r="QW4010" s="106"/>
      <c r="QX4010" s="106"/>
      <c r="QY4010" s="106"/>
      <c r="QZ4010" s="106"/>
      <c r="RA4010" s="106"/>
      <c r="RB4010" s="106"/>
      <c r="RC4010" s="106"/>
      <c r="RD4010" s="106"/>
      <c r="RE4010" s="106"/>
      <c r="RF4010" s="106"/>
      <c r="RG4010" s="106"/>
      <c r="RH4010" s="106"/>
      <c r="RI4010" s="106"/>
      <c r="RJ4010" s="106"/>
      <c r="RK4010" s="106"/>
      <c r="RL4010" s="106"/>
    </row>
    <row r="4011" spans="48:480" x14ac:dyDescent="0.3">
      <c r="AV4011" s="103"/>
      <c r="CJ4011" s="103"/>
      <c r="FP4011" s="103"/>
      <c r="LL4011" s="103"/>
      <c r="NM4011" s="103"/>
      <c r="QT4011" s="106"/>
      <c r="QU4011" s="106"/>
      <c r="QV4011" s="106"/>
      <c r="QW4011" s="106"/>
      <c r="QX4011" s="106"/>
      <c r="QY4011" s="106"/>
      <c r="QZ4011" s="106"/>
      <c r="RA4011" s="106"/>
      <c r="RB4011" s="106"/>
      <c r="RC4011" s="106"/>
      <c r="RD4011" s="106"/>
      <c r="RE4011" s="106"/>
      <c r="RF4011" s="106"/>
      <c r="RG4011" s="106"/>
      <c r="RH4011" s="106"/>
      <c r="RI4011" s="106"/>
      <c r="RJ4011" s="106"/>
      <c r="RK4011" s="106"/>
      <c r="RL4011" s="106"/>
    </row>
    <row r="4012" spans="48:480" x14ac:dyDescent="0.3">
      <c r="AV4012" s="103"/>
      <c r="CJ4012" s="103"/>
      <c r="FP4012" s="103"/>
      <c r="LL4012" s="103"/>
      <c r="NM4012" s="103"/>
      <c r="QT4012" s="106"/>
      <c r="QU4012" s="106"/>
      <c r="QV4012" s="106"/>
      <c r="QW4012" s="106"/>
      <c r="QX4012" s="106"/>
      <c r="QY4012" s="106"/>
      <c r="QZ4012" s="106"/>
      <c r="RA4012" s="106"/>
      <c r="RB4012" s="106"/>
      <c r="RC4012" s="106"/>
      <c r="RD4012" s="106"/>
      <c r="RE4012" s="106"/>
      <c r="RF4012" s="106"/>
      <c r="RG4012" s="106"/>
      <c r="RH4012" s="106"/>
      <c r="RI4012" s="106"/>
      <c r="RJ4012" s="106"/>
      <c r="RK4012" s="106"/>
      <c r="RL4012" s="106"/>
    </row>
    <row r="4013" spans="48:480" x14ac:dyDescent="0.3">
      <c r="AV4013" s="103"/>
      <c r="CJ4013" s="103"/>
      <c r="FP4013" s="103"/>
      <c r="LL4013" s="103"/>
      <c r="NM4013" s="103"/>
      <c r="QT4013" s="106"/>
      <c r="QU4013" s="106"/>
      <c r="QV4013" s="106"/>
      <c r="QW4013" s="106"/>
      <c r="QX4013" s="106"/>
      <c r="QY4013" s="106"/>
      <c r="QZ4013" s="106"/>
      <c r="RA4013" s="106"/>
      <c r="RB4013" s="106"/>
      <c r="RC4013" s="106"/>
      <c r="RD4013" s="106"/>
      <c r="RE4013" s="106"/>
      <c r="RF4013" s="106"/>
      <c r="RG4013" s="106"/>
      <c r="RH4013" s="106"/>
      <c r="RI4013" s="106"/>
      <c r="RJ4013" s="106"/>
      <c r="RK4013" s="106"/>
      <c r="RL4013" s="106"/>
    </row>
    <row r="4014" spans="48:480" x14ac:dyDescent="0.3">
      <c r="AV4014" s="103"/>
      <c r="CJ4014" s="103"/>
      <c r="FP4014" s="103"/>
      <c r="LL4014" s="103"/>
      <c r="NM4014" s="103"/>
      <c r="QT4014" s="106"/>
      <c r="QU4014" s="106"/>
      <c r="QV4014" s="106"/>
      <c r="QW4014" s="106"/>
      <c r="QX4014" s="106"/>
      <c r="QY4014" s="106"/>
      <c r="QZ4014" s="106"/>
      <c r="RA4014" s="106"/>
      <c r="RB4014" s="106"/>
      <c r="RC4014" s="106"/>
      <c r="RD4014" s="106"/>
      <c r="RE4014" s="106"/>
      <c r="RF4014" s="106"/>
      <c r="RG4014" s="106"/>
      <c r="RH4014" s="106"/>
      <c r="RI4014" s="106"/>
      <c r="RJ4014" s="106"/>
      <c r="RK4014" s="106"/>
      <c r="RL4014" s="106"/>
    </row>
    <row r="4015" spans="48:480" x14ac:dyDescent="0.3">
      <c r="AV4015" s="103"/>
      <c r="CJ4015" s="103"/>
      <c r="FP4015" s="103"/>
      <c r="LL4015" s="103"/>
      <c r="NM4015" s="103"/>
      <c r="QT4015" s="106"/>
      <c r="QU4015" s="106"/>
      <c r="QV4015" s="106"/>
      <c r="QW4015" s="106"/>
      <c r="QX4015" s="106"/>
      <c r="QY4015" s="106"/>
      <c r="QZ4015" s="106"/>
      <c r="RA4015" s="106"/>
      <c r="RB4015" s="106"/>
      <c r="RC4015" s="106"/>
      <c r="RD4015" s="106"/>
      <c r="RE4015" s="106"/>
      <c r="RF4015" s="106"/>
      <c r="RG4015" s="106"/>
      <c r="RH4015" s="106"/>
      <c r="RI4015" s="106"/>
      <c r="RJ4015" s="106"/>
      <c r="RK4015" s="106"/>
      <c r="RL4015" s="106"/>
    </row>
    <row r="4016" spans="48:480" x14ac:dyDescent="0.3">
      <c r="CJ4016" s="103"/>
      <c r="FP4016" s="103"/>
      <c r="LL4016" s="103"/>
      <c r="NM4016" s="103"/>
      <c r="QT4016" s="106"/>
      <c r="QU4016" s="106"/>
      <c r="QV4016" s="106"/>
      <c r="QW4016" s="106"/>
      <c r="QX4016" s="106"/>
      <c r="QY4016" s="106"/>
      <c r="QZ4016" s="106"/>
      <c r="RA4016" s="106"/>
      <c r="RB4016" s="106"/>
      <c r="RC4016" s="106"/>
      <c r="RD4016" s="106"/>
      <c r="RE4016" s="106"/>
      <c r="RF4016" s="106"/>
      <c r="RG4016" s="106"/>
      <c r="RH4016" s="106"/>
      <c r="RI4016" s="106"/>
      <c r="RJ4016" s="106"/>
      <c r="RK4016" s="106"/>
      <c r="RL4016" s="106"/>
    </row>
    <row r="4017" spans="48:480" x14ac:dyDescent="0.3">
      <c r="CJ4017" s="103"/>
      <c r="FP4017" s="103"/>
      <c r="LL4017" s="103"/>
      <c r="NM4017" s="103"/>
      <c r="QT4017" s="106"/>
      <c r="QU4017" s="106"/>
      <c r="QV4017" s="106"/>
      <c r="QW4017" s="106"/>
      <c r="QX4017" s="106"/>
      <c r="QY4017" s="106"/>
      <c r="QZ4017" s="106"/>
      <c r="RA4017" s="106"/>
      <c r="RB4017" s="106"/>
      <c r="RC4017" s="106"/>
      <c r="RD4017" s="106"/>
      <c r="RE4017" s="106"/>
      <c r="RF4017" s="106"/>
      <c r="RG4017" s="106"/>
      <c r="RH4017" s="106"/>
      <c r="RI4017" s="106"/>
      <c r="RJ4017" s="106"/>
      <c r="RK4017" s="106"/>
      <c r="RL4017" s="106"/>
    </row>
    <row r="4018" spans="48:480" x14ac:dyDescent="0.3">
      <c r="CJ4018" s="103"/>
      <c r="FP4018" s="103"/>
      <c r="LL4018" s="103"/>
      <c r="NM4018" s="103"/>
      <c r="QT4018" s="106"/>
      <c r="QU4018" s="106"/>
      <c r="QV4018" s="106"/>
      <c r="QW4018" s="106"/>
      <c r="QX4018" s="106"/>
      <c r="QY4018" s="106"/>
      <c r="QZ4018" s="106"/>
      <c r="RA4018" s="106"/>
      <c r="RB4018" s="106"/>
      <c r="RC4018" s="106"/>
      <c r="RD4018" s="106"/>
      <c r="RE4018" s="106"/>
      <c r="RF4018" s="106"/>
      <c r="RG4018" s="106"/>
      <c r="RH4018" s="106"/>
      <c r="RI4018" s="106"/>
      <c r="RJ4018" s="106"/>
      <c r="RK4018" s="106"/>
      <c r="RL4018" s="106"/>
    </row>
    <row r="4019" spans="48:480" x14ac:dyDescent="0.3">
      <c r="AV4019" s="103"/>
      <c r="CJ4019" s="103"/>
      <c r="FP4019" s="103"/>
      <c r="LL4019" s="103"/>
      <c r="NM4019" s="103"/>
      <c r="QT4019" s="106"/>
      <c r="QU4019" s="106"/>
      <c r="QV4019" s="106"/>
      <c r="QW4019" s="106"/>
      <c r="QX4019" s="106"/>
      <c r="QY4019" s="106"/>
      <c r="QZ4019" s="106"/>
      <c r="RA4019" s="106"/>
      <c r="RB4019" s="106"/>
      <c r="RC4019" s="106"/>
      <c r="RD4019" s="106"/>
      <c r="RE4019" s="106"/>
      <c r="RF4019" s="106"/>
      <c r="RG4019" s="106"/>
      <c r="RH4019" s="106"/>
      <c r="RI4019" s="106"/>
      <c r="RJ4019" s="106"/>
      <c r="RK4019" s="106"/>
      <c r="RL4019" s="106"/>
    </row>
    <row r="4020" spans="48:480" x14ac:dyDescent="0.3">
      <c r="AV4020" s="103"/>
      <c r="CJ4020" s="103"/>
      <c r="FP4020" s="103"/>
      <c r="LL4020" s="103"/>
      <c r="NM4020" s="103"/>
      <c r="QT4020" s="106"/>
      <c r="QU4020" s="106"/>
      <c r="QV4020" s="106"/>
      <c r="QW4020" s="106"/>
      <c r="QX4020" s="106"/>
      <c r="QY4020" s="106"/>
      <c r="QZ4020" s="106"/>
      <c r="RA4020" s="106"/>
      <c r="RB4020" s="106"/>
      <c r="RC4020" s="106"/>
      <c r="RD4020" s="106"/>
      <c r="RE4020" s="106"/>
      <c r="RF4020" s="106"/>
      <c r="RG4020" s="106"/>
      <c r="RH4020" s="106"/>
      <c r="RI4020" s="106"/>
      <c r="RJ4020" s="106"/>
      <c r="RK4020" s="106"/>
      <c r="RL4020" s="106"/>
    </row>
    <row r="4021" spans="48:480" x14ac:dyDescent="0.3">
      <c r="AV4021" s="103"/>
      <c r="CJ4021" s="103"/>
      <c r="FP4021" s="103"/>
      <c r="LL4021" s="103"/>
      <c r="NM4021" s="103"/>
      <c r="QT4021" s="106"/>
      <c r="QU4021" s="106"/>
      <c r="QV4021" s="106"/>
      <c r="QW4021" s="106"/>
      <c r="QX4021" s="106"/>
      <c r="QY4021" s="106"/>
      <c r="QZ4021" s="106"/>
      <c r="RA4021" s="106"/>
      <c r="RB4021" s="106"/>
      <c r="RC4021" s="106"/>
      <c r="RD4021" s="106"/>
      <c r="RE4021" s="106"/>
      <c r="RF4021" s="106"/>
      <c r="RG4021" s="106"/>
      <c r="RH4021" s="106"/>
      <c r="RI4021" s="106"/>
      <c r="RJ4021" s="106"/>
      <c r="RK4021" s="106"/>
      <c r="RL4021" s="106"/>
    </row>
    <row r="4022" spans="48:480" x14ac:dyDescent="0.3">
      <c r="AV4022" s="103"/>
      <c r="CJ4022" s="103"/>
      <c r="FP4022" s="103"/>
      <c r="LL4022" s="103"/>
      <c r="NM4022" s="103"/>
      <c r="QT4022" s="106"/>
      <c r="QU4022" s="106"/>
      <c r="QV4022" s="106"/>
      <c r="QW4022" s="106"/>
      <c r="QX4022" s="106"/>
      <c r="QY4022" s="106"/>
      <c r="QZ4022" s="106"/>
      <c r="RA4022" s="106"/>
      <c r="RB4022" s="106"/>
      <c r="RC4022" s="106"/>
      <c r="RD4022" s="106"/>
      <c r="RE4022" s="106"/>
      <c r="RF4022" s="106"/>
      <c r="RG4022" s="106"/>
      <c r="RH4022" s="106"/>
      <c r="RI4022" s="106"/>
      <c r="RJ4022" s="106"/>
      <c r="RK4022" s="106"/>
      <c r="RL4022" s="106"/>
    </row>
    <row r="4023" spans="48:480" x14ac:dyDescent="0.3">
      <c r="CJ4023" s="103"/>
      <c r="FP4023" s="103"/>
      <c r="LL4023" s="103"/>
      <c r="NM4023" s="103"/>
      <c r="QT4023" s="106"/>
      <c r="QU4023" s="106"/>
      <c r="QV4023" s="106"/>
      <c r="QW4023" s="106"/>
      <c r="QX4023" s="106"/>
      <c r="QY4023" s="106"/>
      <c r="QZ4023" s="106"/>
      <c r="RA4023" s="106"/>
      <c r="RB4023" s="106"/>
      <c r="RC4023" s="106"/>
      <c r="RD4023" s="106"/>
      <c r="RE4023" s="106"/>
      <c r="RF4023" s="106"/>
      <c r="RG4023" s="106"/>
      <c r="RH4023" s="106"/>
      <c r="RI4023" s="106"/>
      <c r="RJ4023" s="106"/>
      <c r="RK4023" s="106"/>
      <c r="RL4023" s="106"/>
    </row>
    <row r="4024" spans="48:480" x14ac:dyDescent="0.3">
      <c r="AV4024" s="103"/>
      <c r="CJ4024" s="103"/>
      <c r="FP4024" s="103"/>
      <c r="LL4024" s="103"/>
      <c r="NM4024" s="103"/>
      <c r="QT4024" s="106"/>
      <c r="QU4024" s="106"/>
      <c r="QV4024" s="106"/>
      <c r="QW4024" s="106"/>
      <c r="QX4024" s="106"/>
      <c r="QY4024" s="106"/>
      <c r="QZ4024" s="106"/>
      <c r="RA4024" s="106"/>
      <c r="RB4024" s="106"/>
      <c r="RC4024" s="106"/>
      <c r="RD4024" s="106"/>
      <c r="RE4024" s="106"/>
      <c r="RF4024" s="106"/>
      <c r="RG4024" s="106"/>
      <c r="RH4024" s="106"/>
      <c r="RI4024" s="106"/>
      <c r="RJ4024" s="106"/>
      <c r="RK4024" s="106"/>
      <c r="RL4024" s="106"/>
    </row>
    <row r="4025" spans="48:480" x14ac:dyDescent="0.3">
      <c r="CJ4025" s="103"/>
      <c r="FP4025" s="103"/>
      <c r="LL4025" s="103"/>
      <c r="NM4025" s="103"/>
      <c r="QT4025" s="106"/>
      <c r="QU4025" s="106"/>
      <c r="QV4025" s="106"/>
      <c r="QW4025" s="106"/>
      <c r="QX4025" s="106"/>
      <c r="QY4025" s="106"/>
      <c r="QZ4025" s="106"/>
      <c r="RA4025" s="106"/>
      <c r="RB4025" s="106"/>
      <c r="RC4025" s="106"/>
      <c r="RD4025" s="106"/>
      <c r="RE4025" s="106"/>
      <c r="RF4025" s="106"/>
      <c r="RG4025" s="106"/>
      <c r="RH4025" s="106"/>
      <c r="RI4025" s="106"/>
      <c r="RJ4025" s="106"/>
      <c r="RK4025" s="106"/>
      <c r="RL4025" s="106"/>
    </row>
    <row r="4026" spans="48:480" x14ac:dyDescent="0.3">
      <c r="CJ4026" s="103"/>
      <c r="FP4026" s="103"/>
      <c r="LL4026" s="103"/>
      <c r="NM4026" s="103"/>
      <c r="QT4026" s="106"/>
      <c r="QU4026" s="106"/>
      <c r="QV4026" s="106"/>
      <c r="QW4026" s="106"/>
      <c r="QX4026" s="106"/>
      <c r="QY4026" s="106"/>
      <c r="QZ4026" s="106"/>
      <c r="RA4026" s="106"/>
      <c r="RB4026" s="106"/>
      <c r="RC4026" s="106"/>
      <c r="RD4026" s="106"/>
      <c r="RE4026" s="106"/>
      <c r="RF4026" s="106"/>
      <c r="RG4026" s="106"/>
      <c r="RH4026" s="106"/>
      <c r="RI4026" s="106"/>
      <c r="RJ4026" s="106"/>
      <c r="RK4026" s="106"/>
      <c r="RL4026" s="106"/>
    </row>
    <row r="4027" spans="48:480" x14ac:dyDescent="0.3">
      <c r="CJ4027" s="103"/>
      <c r="FP4027" s="103"/>
      <c r="LL4027" s="103"/>
      <c r="NM4027" s="103"/>
      <c r="QT4027" s="106"/>
      <c r="QU4027" s="106"/>
      <c r="QV4027" s="106"/>
      <c r="QW4027" s="106"/>
      <c r="QX4027" s="106"/>
      <c r="QY4027" s="106"/>
      <c r="QZ4027" s="106"/>
      <c r="RA4027" s="106"/>
      <c r="RB4027" s="106"/>
      <c r="RC4027" s="106"/>
      <c r="RD4027" s="106"/>
      <c r="RE4027" s="106"/>
      <c r="RF4027" s="106"/>
      <c r="RG4027" s="106"/>
      <c r="RH4027" s="106"/>
      <c r="RI4027" s="106"/>
      <c r="RJ4027" s="106"/>
      <c r="RK4027" s="106"/>
      <c r="RL4027" s="106"/>
    </row>
    <row r="4028" spans="48:480" x14ac:dyDescent="0.3">
      <c r="CJ4028" s="103"/>
      <c r="FP4028" s="103"/>
      <c r="LL4028" s="103"/>
      <c r="NM4028" s="103"/>
      <c r="QT4028" s="106"/>
      <c r="QU4028" s="106"/>
      <c r="QV4028" s="106"/>
      <c r="QW4028" s="106"/>
      <c r="QX4028" s="106"/>
      <c r="QY4028" s="106"/>
      <c r="QZ4028" s="106"/>
      <c r="RA4028" s="106"/>
      <c r="RB4028" s="106"/>
      <c r="RC4028" s="106"/>
      <c r="RD4028" s="106"/>
      <c r="RE4028" s="106"/>
      <c r="RF4028" s="106"/>
      <c r="RG4028" s="106"/>
      <c r="RH4028" s="106"/>
      <c r="RI4028" s="106"/>
      <c r="RJ4028" s="106"/>
      <c r="RK4028" s="106"/>
      <c r="RL4028" s="106"/>
    </row>
    <row r="4029" spans="48:480" x14ac:dyDescent="0.3">
      <c r="CJ4029" s="103"/>
      <c r="FP4029" s="103"/>
      <c r="LL4029" s="103"/>
      <c r="NM4029" s="103"/>
      <c r="QT4029" s="106"/>
      <c r="QU4029" s="106"/>
      <c r="QV4029" s="106"/>
      <c r="QW4029" s="106"/>
      <c r="QX4029" s="106"/>
      <c r="QY4029" s="106"/>
      <c r="QZ4029" s="106"/>
      <c r="RA4029" s="106"/>
      <c r="RB4029" s="106"/>
      <c r="RC4029" s="106"/>
      <c r="RD4029" s="106"/>
      <c r="RE4029" s="106"/>
      <c r="RF4029" s="106"/>
      <c r="RG4029" s="106"/>
      <c r="RH4029" s="106"/>
      <c r="RI4029" s="106"/>
      <c r="RJ4029" s="106"/>
      <c r="RK4029" s="106"/>
      <c r="RL4029" s="106"/>
    </row>
    <row r="4030" spans="48:480" x14ac:dyDescent="0.3">
      <c r="CJ4030" s="103"/>
      <c r="FP4030" s="103"/>
      <c r="LL4030" s="103"/>
      <c r="NM4030" s="103"/>
      <c r="QT4030" s="106"/>
      <c r="QU4030" s="106"/>
      <c r="QV4030" s="106"/>
      <c r="QW4030" s="106"/>
      <c r="QX4030" s="106"/>
      <c r="QY4030" s="106"/>
      <c r="QZ4030" s="106"/>
      <c r="RA4030" s="106"/>
      <c r="RB4030" s="106"/>
      <c r="RC4030" s="106"/>
      <c r="RD4030" s="106"/>
      <c r="RE4030" s="106"/>
      <c r="RF4030" s="106"/>
      <c r="RG4030" s="106"/>
      <c r="RH4030" s="106"/>
      <c r="RI4030" s="106"/>
      <c r="RJ4030" s="106"/>
      <c r="RK4030" s="106"/>
      <c r="RL4030" s="106"/>
    </row>
    <row r="4031" spans="48:480" x14ac:dyDescent="0.3">
      <c r="AV4031" s="103"/>
      <c r="CJ4031" s="103"/>
      <c r="FP4031" s="103"/>
      <c r="LL4031" s="103"/>
      <c r="NM4031" s="103"/>
      <c r="QT4031" s="106"/>
      <c r="QU4031" s="106"/>
      <c r="QV4031" s="106"/>
      <c r="QW4031" s="106"/>
      <c r="QX4031" s="106"/>
      <c r="QY4031" s="106"/>
      <c r="QZ4031" s="106"/>
      <c r="RA4031" s="106"/>
      <c r="RB4031" s="106"/>
      <c r="RC4031" s="106"/>
      <c r="RD4031" s="106"/>
      <c r="RE4031" s="106"/>
      <c r="RF4031" s="106"/>
      <c r="RG4031" s="106"/>
      <c r="RH4031" s="106"/>
      <c r="RI4031" s="106"/>
      <c r="RJ4031" s="106"/>
      <c r="RK4031" s="106"/>
      <c r="RL4031" s="106"/>
    </row>
    <row r="4032" spans="48:480" x14ac:dyDescent="0.3">
      <c r="AV4032" s="103"/>
      <c r="CJ4032" s="103"/>
      <c r="FP4032" s="103"/>
      <c r="LL4032" s="103"/>
      <c r="NM4032" s="103"/>
      <c r="QT4032" s="106"/>
      <c r="QU4032" s="106"/>
      <c r="QV4032" s="106"/>
      <c r="QW4032" s="106"/>
      <c r="QX4032" s="106"/>
      <c r="QY4032" s="106"/>
      <c r="QZ4032" s="106"/>
      <c r="RA4032" s="106"/>
      <c r="RB4032" s="106"/>
      <c r="RC4032" s="106"/>
      <c r="RD4032" s="106"/>
      <c r="RE4032" s="106"/>
      <c r="RF4032" s="106"/>
      <c r="RG4032" s="106"/>
      <c r="RH4032" s="106"/>
      <c r="RI4032" s="106"/>
      <c r="RJ4032" s="106"/>
      <c r="RK4032" s="106"/>
      <c r="RL4032" s="106"/>
    </row>
    <row r="4033" spans="48:480" x14ac:dyDescent="0.3">
      <c r="AV4033" s="103"/>
      <c r="CJ4033" s="103"/>
      <c r="FP4033" s="103"/>
      <c r="LL4033" s="103"/>
      <c r="NM4033" s="103"/>
      <c r="QT4033" s="106"/>
      <c r="QU4033" s="106"/>
      <c r="QV4033" s="106"/>
      <c r="QW4033" s="106"/>
      <c r="QX4033" s="106"/>
      <c r="QY4033" s="106"/>
      <c r="QZ4033" s="106"/>
      <c r="RA4033" s="106"/>
      <c r="RB4033" s="106"/>
      <c r="RC4033" s="106"/>
      <c r="RD4033" s="106"/>
      <c r="RE4033" s="106"/>
      <c r="RF4033" s="106"/>
      <c r="RG4033" s="106"/>
      <c r="RH4033" s="106"/>
      <c r="RI4033" s="106"/>
      <c r="RJ4033" s="106"/>
      <c r="RK4033" s="106"/>
      <c r="RL4033" s="106"/>
    </row>
    <row r="4034" spans="48:480" x14ac:dyDescent="0.3">
      <c r="AV4034" s="103"/>
      <c r="CJ4034" s="103"/>
      <c r="FP4034" s="103"/>
      <c r="LL4034" s="103"/>
      <c r="NM4034" s="103"/>
      <c r="QT4034" s="106"/>
      <c r="QU4034" s="106"/>
      <c r="QV4034" s="106"/>
      <c r="QW4034" s="106"/>
      <c r="QX4034" s="106"/>
      <c r="QY4034" s="106"/>
      <c r="QZ4034" s="106"/>
      <c r="RA4034" s="106"/>
      <c r="RB4034" s="106"/>
      <c r="RC4034" s="106"/>
      <c r="RD4034" s="106"/>
      <c r="RE4034" s="106"/>
      <c r="RF4034" s="106"/>
      <c r="RG4034" s="106"/>
      <c r="RH4034" s="106"/>
      <c r="RI4034" s="106"/>
      <c r="RJ4034" s="106"/>
      <c r="RK4034" s="106"/>
      <c r="RL4034" s="106"/>
    </row>
    <row r="4035" spans="48:480" x14ac:dyDescent="0.3">
      <c r="AV4035" s="103"/>
      <c r="CJ4035" s="103"/>
      <c r="FP4035" s="103"/>
      <c r="LL4035" s="103"/>
      <c r="NM4035" s="103"/>
      <c r="QT4035" s="106"/>
      <c r="QU4035" s="106"/>
      <c r="QV4035" s="106"/>
      <c r="QW4035" s="106"/>
      <c r="QX4035" s="106"/>
      <c r="QY4035" s="106"/>
      <c r="QZ4035" s="106"/>
      <c r="RA4035" s="106"/>
      <c r="RB4035" s="106"/>
      <c r="RC4035" s="106"/>
      <c r="RD4035" s="106"/>
      <c r="RE4035" s="106"/>
      <c r="RF4035" s="106"/>
      <c r="RG4035" s="106"/>
      <c r="RH4035" s="106"/>
      <c r="RI4035" s="106"/>
      <c r="RJ4035" s="106"/>
      <c r="RK4035" s="106"/>
      <c r="RL4035" s="106"/>
    </row>
    <row r="4036" spans="48:480" x14ac:dyDescent="0.3">
      <c r="AV4036" s="103"/>
      <c r="CJ4036" s="103"/>
      <c r="FP4036" s="103"/>
      <c r="LL4036" s="103"/>
      <c r="NM4036" s="103"/>
      <c r="QT4036" s="106"/>
      <c r="QU4036" s="106"/>
      <c r="QV4036" s="106"/>
      <c r="QW4036" s="106"/>
      <c r="QX4036" s="106"/>
      <c r="QY4036" s="106"/>
      <c r="QZ4036" s="106"/>
      <c r="RA4036" s="106"/>
      <c r="RB4036" s="106"/>
      <c r="RC4036" s="106"/>
      <c r="RD4036" s="106"/>
      <c r="RE4036" s="106"/>
      <c r="RF4036" s="106"/>
      <c r="RG4036" s="106"/>
      <c r="RH4036" s="106"/>
      <c r="RI4036" s="106"/>
      <c r="RJ4036" s="106"/>
      <c r="RK4036" s="106"/>
      <c r="RL4036" s="106"/>
    </row>
    <row r="4037" spans="48:480" x14ac:dyDescent="0.3">
      <c r="AV4037" s="103"/>
      <c r="CJ4037" s="103"/>
      <c r="FP4037" s="103"/>
      <c r="LL4037" s="103"/>
      <c r="NM4037" s="103"/>
      <c r="QT4037" s="106"/>
      <c r="QU4037" s="106"/>
      <c r="QV4037" s="106"/>
      <c r="QW4037" s="106"/>
      <c r="QX4037" s="106"/>
      <c r="QY4037" s="106"/>
      <c r="QZ4037" s="106"/>
      <c r="RA4037" s="106"/>
      <c r="RB4037" s="106"/>
      <c r="RC4037" s="106"/>
      <c r="RD4037" s="106"/>
      <c r="RE4037" s="106"/>
      <c r="RF4037" s="106"/>
      <c r="RG4037" s="106"/>
      <c r="RH4037" s="106"/>
      <c r="RI4037" s="106"/>
      <c r="RJ4037" s="106"/>
      <c r="RK4037" s="106"/>
      <c r="RL4037" s="106"/>
    </row>
    <row r="4038" spans="48:480" x14ac:dyDescent="0.3">
      <c r="AV4038" s="103"/>
      <c r="CJ4038" s="103"/>
      <c r="FP4038" s="103"/>
      <c r="LL4038" s="103"/>
      <c r="NM4038" s="103"/>
      <c r="QT4038" s="106"/>
      <c r="QU4038" s="106"/>
      <c r="QV4038" s="106"/>
      <c r="QW4038" s="106"/>
      <c r="QX4038" s="106"/>
      <c r="QY4038" s="106"/>
      <c r="QZ4038" s="106"/>
      <c r="RA4038" s="106"/>
      <c r="RB4038" s="106"/>
      <c r="RC4038" s="106"/>
      <c r="RD4038" s="106"/>
      <c r="RE4038" s="106"/>
      <c r="RF4038" s="106"/>
      <c r="RG4038" s="106"/>
      <c r="RH4038" s="106"/>
      <c r="RI4038" s="106"/>
      <c r="RJ4038" s="106"/>
      <c r="RK4038" s="106"/>
      <c r="RL4038" s="106"/>
    </row>
    <row r="4039" spans="48:480" x14ac:dyDescent="0.3">
      <c r="AV4039" s="103"/>
      <c r="CJ4039" s="103"/>
      <c r="FP4039" s="103"/>
      <c r="LL4039" s="103"/>
      <c r="NM4039" s="103"/>
      <c r="QT4039" s="106"/>
      <c r="QU4039" s="106"/>
      <c r="QV4039" s="106"/>
      <c r="QW4039" s="106"/>
      <c r="QX4039" s="106"/>
      <c r="QY4039" s="106"/>
      <c r="QZ4039" s="106"/>
      <c r="RA4039" s="106"/>
      <c r="RB4039" s="106"/>
      <c r="RC4039" s="106"/>
      <c r="RD4039" s="106"/>
      <c r="RE4039" s="106"/>
      <c r="RF4039" s="106"/>
      <c r="RG4039" s="106"/>
      <c r="RH4039" s="106"/>
      <c r="RI4039" s="106"/>
      <c r="RJ4039" s="106"/>
      <c r="RK4039" s="106"/>
      <c r="RL4039" s="106"/>
    </row>
    <row r="4040" spans="48:480" x14ac:dyDescent="0.3">
      <c r="AV4040" s="103"/>
      <c r="CJ4040" s="103"/>
      <c r="FP4040" s="103"/>
      <c r="LL4040" s="103"/>
      <c r="NM4040" s="103"/>
      <c r="QT4040" s="106"/>
      <c r="QU4040" s="106"/>
      <c r="QV4040" s="106"/>
      <c r="QW4040" s="106"/>
      <c r="QX4040" s="106"/>
      <c r="QY4040" s="106"/>
      <c r="QZ4040" s="106"/>
      <c r="RA4040" s="106"/>
      <c r="RB4040" s="106"/>
      <c r="RC4040" s="106"/>
      <c r="RD4040" s="106"/>
      <c r="RE4040" s="106"/>
      <c r="RF4040" s="106"/>
      <c r="RG4040" s="106"/>
      <c r="RH4040" s="106"/>
      <c r="RI4040" s="106"/>
      <c r="RJ4040" s="106"/>
      <c r="RK4040" s="106"/>
      <c r="RL4040" s="106"/>
    </row>
    <row r="4041" spans="48:480" x14ac:dyDescent="0.3">
      <c r="AV4041" s="103"/>
      <c r="CJ4041" s="103"/>
      <c r="FP4041" s="103"/>
      <c r="LL4041" s="103"/>
      <c r="NM4041" s="103"/>
      <c r="QT4041" s="106"/>
      <c r="QU4041" s="106"/>
      <c r="QV4041" s="106"/>
      <c r="QW4041" s="106"/>
      <c r="QX4041" s="106"/>
      <c r="QY4041" s="106"/>
      <c r="QZ4041" s="106"/>
      <c r="RA4041" s="106"/>
      <c r="RB4041" s="106"/>
      <c r="RC4041" s="106"/>
      <c r="RD4041" s="106"/>
      <c r="RE4041" s="106"/>
      <c r="RF4041" s="106"/>
      <c r="RG4041" s="106"/>
      <c r="RH4041" s="106"/>
      <c r="RI4041" s="106"/>
      <c r="RJ4041" s="106"/>
      <c r="RK4041" s="106"/>
      <c r="RL4041" s="106"/>
    </row>
    <row r="4042" spans="48:480" x14ac:dyDescent="0.3">
      <c r="AV4042" s="103"/>
      <c r="CJ4042" s="103"/>
      <c r="FP4042" s="103"/>
      <c r="LL4042" s="103"/>
      <c r="NM4042" s="103"/>
      <c r="QT4042" s="106"/>
      <c r="QU4042" s="106"/>
      <c r="QV4042" s="106"/>
      <c r="QW4042" s="106"/>
      <c r="QX4042" s="106"/>
      <c r="QY4042" s="106"/>
      <c r="QZ4042" s="106"/>
      <c r="RA4042" s="106"/>
      <c r="RB4042" s="106"/>
      <c r="RC4042" s="106"/>
      <c r="RD4042" s="106"/>
      <c r="RE4042" s="106"/>
      <c r="RF4042" s="106"/>
      <c r="RG4042" s="106"/>
      <c r="RH4042" s="106"/>
      <c r="RI4042" s="106"/>
      <c r="RJ4042" s="106"/>
      <c r="RK4042" s="106"/>
      <c r="RL4042" s="106"/>
    </row>
    <row r="4043" spans="48:480" x14ac:dyDescent="0.3">
      <c r="AV4043" s="103"/>
      <c r="CJ4043" s="103"/>
      <c r="FP4043" s="103"/>
      <c r="LL4043" s="103"/>
      <c r="NM4043" s="103"/>
      <c r="QT4043" s="106"/>
      <c r="QU4043" s="106"/>
      <c r="QV4043" s="106"/>
      <c r="QW4043" s="106"/>
      <c r="QX4043" s="106"/>
      <c r="QY4043" s="106"/>
      <c r="QZ4043" s="106"/>
      <c r="RA4043" s="106"/>
      <c r="RB4043" s="106"/>
      <c r="RC4043" s="106"/>
      <c r="RD4043" s="106"/>
      <c r="RE4043" s="106"/>
      <c r="RF4043" s="106"/>
      <c r="RG4043" s="106"/>
      <c r="RH4043" s="106"/>
      <c r="RI4043" s="106"/>
      <c r="RJ4043" s="106"/>
      <c r="RK4043" s="106"/>
      <c r="RL4043" s="106"/>
    </row>
    <row r="4044" spans="48:480" x14ac:dyDescent="0.3">
      <c r="AV4044" s="103"/>
      <c r="CJ4044" s="103"/>
      <c r="FP4044" s="103"/>
      <c r="LL4044" s="103"/>
      <c r="NM4044" s="103"/>
      <c r="QT4044" s="106"/>
      <c r="QU4044" s="106"/>
      <c r="QV4044" s="106"/>
      <c r="QW4044" s="106"/>
      <c r="QX4044" s="106"/>
      <c r="QY4044" s="106"/>
      <c r="QZ4044" s="106"/>
      <c r="RA4044" s="106"/>
      <c r="RB4044" s="106"/>
      <c r="RC4044" s="106"/>
      <c r="RD4044" s="106"/>
      <c r="RE4044" s="106"/>
      <c r="RF4044" s="106"/>
      <c r="RG4044" s="106"/>
      <c r="RH4044" s="106"/>
      <c r="RI4044" s="106"/>
      <c r="RJ4044" s="106"/>
      <c r="RK4044" s="106"/>
      <c r="RL4044" s="106"/>
    </row>
    <row r="4045" spans="48:480" x14ac:dyDescent="0.3">
      <c r="CJ4045" s="103"/>
      <c r="FP4045" s="103"/>
      <c r="LL4045" s="103"/>
      <c r="NM4045" s="103"/>
      <c r="QT4045" s="106"/>
      <c r="QU4045" s="106"/>
      <c r="QV4045" s="106"/>
      <c r="QW4045" s="106"/>
      <c r="QX4045" s="106"/>
      <c r="QY4045" s="106"/>
      <c r="QZ4045" s="106"/>
      <c r="RA4045" s="106"/>
      <c r="RB4045" s="106"/>
      <c r="RC4045" s="106"/>
      <c r="RD4045" s="106"/>
      <c r="RE4045" s="106"/>
      <c r="RF4045" s="106"/>
      <c r="RG4045" s="106"/>
      <c r="RH4045" s="106"/>
      <c r="RI4045" s="106"/>
      <c r="RJ4045" s="106"/>
      <c r="RK4045" s="106"/>
      <c r="RL4045" s="106"/>
    </row>
    <row r="4046" spans="48:480" x14ac:dyDescent="0.3">
      <c r="CJ4046" s="103"/>
      <c r="FP4046" s="103"/>
      <c r="LL4046" s="103"/>
      <c r="NM4046" s="103"/>
      <c r="QT4046" s="106"/>
      <c r="QU4046" s="106"/>
      <c r="QV4046" s="106"/>
      <c r="QW4046" s="106"/>
      <c r="QX4046" s="106"/>
      <c r="QY4046" s="106"/>
      <c r="QZ4046" s="106"/>
      <c r="RA4046" s="106"/>
      <c r="RB4046" s="106"/>
      <c r="RC4046" s="106"/>
      <c r="RD4046" s="106"/>
      <c r="RE4046" s="106"/>
      <c r="RF4046" s="106"/>
      <c r="RG4046" s="106"/>
      <c r="RH4046" s="106"/>
      <c r="RI4046" s="106"/>
      <c r="RJ4046" s="106"/>
      <c r="RK4046" s="106"/>
      <c r="RL4046" s="106"/>
    </row>
    <row r="4047" spans="48:480" x14ac:dyDescent="0.3">
      <c r="CJ4047" s="103"/>
      <c r="FP4047" s="103"/>
      <c r="LL4047" s="103"/>
      <c r="NM4047" s="103"/>
      <c r="QT4047" s="106"/>
      <c r="QU4047" s="106"/>
      <c r="QV4047" s="106"/>
      <c r="QW4047" s="106"/>
      <c r="QX4047" s="106"/>
      <c r="QY4047" s="106"/>
      <c r="QZ4047" s="106"/>
      <c r="RA4047" s="106"/>
      <c r="RB4047" s="106"/>
      <c r="RC4047" s="106"/>
      <c r="RD4047" s="106"/>
      <c r="RE4047" s="106"/>
      <c r="RF4047" s="106"/>
      <c r="RG4047" s="106"/>
      <c r="RH4047" s="106"/>
      <c r="RI4047" s="106"/>
      <c r="RJ4047" s="106"/>
      <c r="RK4047" s="106"/>
      <c r="RL4047" s="106"/>
    </row>
    <row r="4048" spans="48:480" x14ac:dyDescent="0.3">
      <c r="CJ4048" s="103"/>
      <c r="FP4048" s="103"/>
      <c r="LL4048" s="103"/>
      <c r="NM4048" s="103"/>
      <c r="QT4048" s="106"/>
      <c r="QU4048" s="106"/>
      <c r="QV4048" s="106"/>
      <c r="QW4048" s="106"/>
      <c r="QX4048" s="106"/>
      <c r="QY4048" s="106"/>
      <c r="QZ4048" s="106"/>
      <c r="RA4048" s="106"/>
      <c r="RB4048" s="106"/>
      <c r="RC4048" s="106"/>
      <c r="RD4048" s="106"/>
      <c r="RE4048" s="106"/>
      <c r="RF4048" s="106"/>
      <c r="RG4048" s="106"/>
      <c r="RH4048" s="106"/>
      <c r="RI4048" s="106"/>
      <c r="RJ4048" s="106"/>
      <c r="RK4048" s="106"/>
      <c r="RL4048" s="106"/>
    </row>
    <row r="4049" spans="48:480" x14ac:dyDescent="0.3">
      <c r="CJ4049" s="103"/>
      <c r="FP4049" s="103"/>
      <c r="LL4049" s="103"/>
      <c r="NM4049" s="103"/>
      <c r="QT4049" s="106"/>
      <c r="QU4049" s="106"/>
      <c r="QV4049" s="106"/>
      <c r="QW4049" s="106"/>
      <c r="QX4049" s="106"/>
      <c r="QY4049" s="106"/>
      <c r="QZ4049" s="106"/>
      <c r="RA4049" s="106"/>
      <c r="RB4049" s="106"/>
      <c r="RC4049" s="106"/>
      <c r="RD4049" s="106"/>
      <c r="RE4049" s="106"/>
      <c r="RF4049" s="106"/>
      <c r="RG4049" s="106"/>
      <c r="RH4049" s="106"/>
      <c r="RI4049" s="106"/>
      <c r="RJ4049" s="106"/>
      <c r="RK4049" s="106"/>
      <c r="RL4049" s="106"/>
    </row>
    <row r="4050" spans="48:480" x14ac:dyDescent="0.3">
      <c r="CJ4050" s="103"/>
      <c r="FP4050" s="103"/>
      <c r="LL4050" s="103"/>
      <c r="NM4050" s="103"/>
      <c r="QT4050" s="106"/>
      <c r="QU4050" s="106"/>
      <c r="QV4050" s="106"/>
      <c r="QW4050" s="106"/>
      <c r="QX4050" s="106"/>
      <c r="QY4050" s="106"/>
      <c r="QZ4050" s="106"/>
      <c r="RA4050" s="106"/>
      <c r="RB4050" s="106"/>
      <c r="RC4050" s="106"/>
      <c r="RD4050" s="106"/>
      <c r="RE4050" s="106"/>
      <c r="RF4050" s="106"/>
      <c r="RG4050" s="106"/>
      <c r="RH4050" s="106"/>
      <c r="RI4050" s="106"/>
      <c r="RJ4050" s="106"/>
      <c r="RK4050" s="106"/>
      <c r="RL4050" s="106"/>
    </row>
    <row r="4051" spans="48:480" x14ac:dyDescent="0.3">
      <c r="CJ4051" s="103"/>
      <c r="FP4051" s="103"/>
      <c r="LL4051" s="103"/>
      <c r="NM4051" s="103"/>
      <c r="QT4051" s="106"/>
      <c r="QU4051" s="106"/>
      <c r="QV4051" s="106"/>
      <c r="QW4051" s="106"/>
      <c r="QX4051" s="106"/>
      <c r="QY4051" s="106"/>
      <c r="QZ4051" s="106"/>
      <c r="RA4051" s="106"/>
      <c r="RB4051" s="106"/>
      <c r="RC4051" s="106"/>
      <c r="RD4051" s="106"/>
      <c r="RE4051" s="106"/>
      <c r="RF4051" s="106"/>
      <c r="RG4051" s="106"/>
      <c r="RH4051" s="106"/>
      <c r="RI4051" s="106"/>
      <c r="RJ4051" s="106"/>
      <c r="RK4051" s="106"/>
      <c r="RL4051" s="106"/>
    </row>
    <row r="4052" spans="48:480" x14ac:dyDescent="0.3">
      <c r="CJ4052" s="103"/>
      <c r="FP4052" s="103"/>
      <c r="LL4052" s="103"/>
      <c r="NM4052" s="103"/>
      <c r="QT4052" s="106"/>
      <c r="QU4052" s="106"/>
      <c r="QV4052" s="106"/>
      <c r="QW4052" s="106"/>
      <c r="QX4052" s="106"/>
      <c r="QY4052" s="106"/>
      <c r="QZ4052" s="106"/>
      <c r="RA4052" s="106"/>
      <c r="RB4052" s="106"/>
      <c r="RC4052" s="106"/>
      <c r="RD4052" s="106"/>
      <c r="RE4052" s="106"/>
      <c r="RF4052" s="106"/>
      <c r="RG4052" s="106"/>
      <c r="RH4052" s="106"/>
      <c r="RI4052" s="106"/>
      <c r="RJ4052" s="106"/>
      <c r="RK4052" s="106"/>
      <c r="RL4052" s="106"/>
    </row>
    <row r="4053" spans="48:480" x14ac:dyDescent="0.3">
      <c r="AV4053" s="103"/>
      <c r="CJ4053" s="103"/>
      <c r="FP4053" s="103"/>
      <c r="LL4053" s="103"/>
      <c r="NM4053" s="103"/>
      <c r="QT4053" s="106"/>
      <c r="QU4053" s="106"/>
      <c r="QV4053" s="106"/>
      <c r="QW4053" s="106"/>
      <c r="QX4053" s="106"/>
      <c r="QY4053" s="106"/>
      <c r="QZ4053" s="106"/>
      <c r="RA4053" s="106"/>
      <c r="RB4053" s="106"/>
      <c r="RC4053" s="106"/>
      <c r="RD4053" s="106"/>
      <c r="RE4053" s="106"/>
      <c r="RF4053" s="106"/>
      <c r="RG4053" s="106"/>
      <c r="RH4053" s="106"/>
      <c r="RI4053" s="106"/>
      <c r="RJ4053" s="106"/>
      <c r="RK4053" s="106"/>
      <c r="RL4053" s="106"/>
    </row>
    <row r="4054" spans="48:480" x14ac:dyDescent="0.3">
      <c r="AV4054" s="103"/>
      <c r="CJ4054" s="103"/>
      <c r="FP4054" s="103"/>
      <c r="LL4054" s="103"/>
      <c r="NM4054" s="103"/>
      <c r="QT4054" s="106"/>
      <c r="QU4054" s="106"/>
      <c r="QV4054" s="106"/>
      <c r="QW4054" s="106"/>
      <c r="QX4054" s="106"/>
      <c r="QY4054" s="106"/>
      <c r="QZ4054" s="106"/>
      <c r="RA4054" s="106"/>
      <c r="RB4054" s="106"/>
      <c r="RC4054" s="106"/>
      <c r="RD4054" s="106"/>
      <c r="RE4054" s="106"/>
      <c r="RF4054" s="106"/>
      <c r="RG4054" s="106"/>
      <c r="RH4054" s="106"/>
      <c r="RI4054" s="106"/>
      <c r="RJ4054" s="106"/>
      <c r="RK4054" s="106"/>
      <c r="RL4054" s="106"/>
    </row>
    <row r="4055" spans="48:480" x14ac:dyDescent="0.3">
      <c r="AV4055" s="103"/>
      <c r="CJ4055" s="103"/>
      <c r="FP4055" s="103"/>
      <c r="LL4055" s="103"/>
      <c r="NM4055" s="103"/>
      <c r="QT4055" s="106"/>
      <c r="QU4055" s="106"/>
      <c r="QV4055" s="106"/>
      <c r="QW4055" s="106"/>
      <c r="QX4055" s="106"/>
      <c r="QY4055" s="106"/>
      <c r="QZ4055" s="106"/>
      <c r="RA4055" s="106"/>
      <c r="RB4055" s="106"/>
      <c r="RC4055" s="106"/>
      <c r="RD4055" s="106"/>
      <c r="RE4055" s="106"/>
      <c r="RF4055" s="106"/>
      <c r="RG4055" s="106"/>
      <c r="RH4055" s="106"/>
      <c r="RI4055" s="106"/>
      <c r="RJ4055" s="106"/>
      <c r="RK4055" s="106"/>
      <c r="RL4055" s="106"/>
    </row>
    <row r="4056" spans="48:480" x14ac:dyDescent="0.3">
      <c r="AV4056" s="103"/>
      <c r="CJ4056" s="103"/>
      <c r="FP4056" s="103"/>
      <c r="LL4056" s="103"/>
      <c r="NM4056" s="103"/>
      <c r="QT4056" s="106"/>
      <c r="QU4056" s="106"/>
      <c r="QV4056" s="106"/>
      <c r="QW4056" s="106"/>
      <c r="QX4056" s="106"/>
      <c r="QY4056" s="106"/>
      <c r="QZ4056" s="106"/>
      <c r="RA4056" s="106"/>
      <c r="RB4056" s="106"/>
      <c r="RC4056" s="106"/>
      <c r="RD4056" s="106"/>
      <c r="RE4056" s="106"/>
      <c r="RF4056" s="106"/>
      <c r="RG4056" s="106"/>
      <c r="RH4056" s="106"/>
      <c r="RI4056" s="106"/>
      <c r="RJ4056" s="106"/>
      <c r="RK4056" s="106"/>
      <c r="RL4056" s="106"/>
    </row>
    <row r="4057" spans="48:480" x14ac:dyDescent="0.3">
      <c r="AV4057" s="103"/>
      <c r="CJ4057" s="103"/>
      <c r="FP4057" s="103"/>
      <c r="LL4057" s="103"/>
      <c r="NM4057" s="103"/>
      <c r="QT4057" s="106"/>
      <c r="QU4057" s="106"/>
      <c r="QV4057" s="106"/>
      <c r="QW4057" s="106"/>
      <c r="QX4057" s="106"/>
      <c r="QY4057" s="106"/>
      <c r="QZ4057" s="106"/>
      <c r="RA4057" s="106"/>
      <c r="RB4057" s="106"/>
      <c r="RC4057" s="106"/>
      <c r="RD4057" s="106"/>
      <c r="RE4057" s="106"/>
      <c r="RF4057" s="106"/>
      <c r="RG4057" s="106"/>
      <c r="RH4057" s="106"/>
      <c r="RI4057" s="106"/>
      <c r="RJ4057" s="106"/>
      <c r="RK4057" s="106"/>
      <c r="RL4057" s="106"/>
    </row>
    <row r="4058" spans="48:480" x14ac:dyDescent="0.3">
      <c r="AV4058" s="103"/>
      <c r="CJ4058" s="103"/>
      <c r="FP4058" s="103"/>
      <c r="LL4058" s="103"/>
      <c r="NM4058" s="103"/>
      <c r="QT4058" s="106"/>
      <c r="QU4058" s="106"/>
      <c r="QV4058" s="106"/>
      <c r="QW4058" s="106"/>
      <c r="QX4058" s="106"/>
      <c r="QY4058" s="106"/>
      <c r="QZ4058" s="106"/>
      <c r="RA4058" s="106"/>
      <c r="RB4058" s="106"/>
      <c r="RC4058" s="106"/>
      <c r="RD4058" s="106"/>
      <c r="RE4058" s="106"/>
      <c r="RF4058" s="106"/>
      <c r="RG4058" s="106"/>
      <c r="RH4058" s="106"/>
      <c r="RI4058" s="106"/>
      <c r="RJ4058" s="106"/>
      <c r="RK4058" s="106"/>
      <c r="RL4058" s="106"/>
    </row>
    <row r="4059" spans="48:480" x14ac:dyDescent="0.3">
      <c r="AV4059" s="103"/>
      <c r="CJ4059" s="103"/>
      <c r="FP4059" s="103"/>
      <c r="LL4059" s="103"/>
      <c r="NM4059" s="103"/>
      <c r="QT4059" s="106"/>
      <c r="QU4059" s="106"/>
      <c r="QV4059" s="106"/>
      <c r="QW4059" s="106"/>
      <c r="QX4059" s="106"/>
      <c r="QY4059" s="106"/>
      <c r="QZ4059" s="106"/>
      <c r="RA4059" s="106"/>
      <c r="RB4059" s="106"/>
      <c r="RC4059" s="106"/>
      <c r="RD4059" s="106"/>
      <c r="RE4059" s="106"/>
      <c r="RF4059" s="106"/>
      <c r="RG4059" s="106"/>
      <c r="RH4059" s="106"/>
      <c r="RI4059" s="106"/>
      <c r="RJ4059" s="106"/>
      <c r="RK4059" s="106"/>
      <c r="RL4059" s="106"/>
    </row>
    <row r="4060" spans="48:480" x14ac:dyDescent="0.3">
      <c r="AV4060" s="103"/>
      <c r="CJ4060" s="103"/>
      <c r="FP4060" s="103"/>
      <c r="LL4060" s="103"/>
      <c r="NM4060" s="103"/>
      <c r="QT4060" s="106"/>
      <c r="QU4060" s="106"/>
      <c r="QV4060" s="106"/>
      <c r="QW4060" s="106"/>
      <c r="QX4060" s="106"/>
      <c r="QY4060" s="106"/>
      <c r="QZ4060" s="106"/>
      <c r="RA4060" s="106"/>
      <c r="RB4060" s="106"/>
      <c r="RC4060" s="106"/>
      <c r="RD4060" s="106"/>
      <c r="RE4060" s="106"/>
      <c r="RF4060" s="106"/>
      <c r="RG4060" s="106"/>
      <c r="RH4060" s="106"/>
      <c r="RI4060" s="106"/>
      <c r="RJ4060" s="106"/>
      <c r="RK4060" s="106"/>
      <c r="RL4060" s="106"/>
    </row>
    <row r="4061" spans="48:480" x14ac:dyDescent="0.3">
      <c r="AV4061" s="103"/>
      <c r="CJ4061" s="103"/>
      <c r="FP4061" s="103"/>
      <c r="LL4061" s="103"/>
      <c r="NM4061" s="103"/>
      <c r="QT4061" s="106"/>
      <c r="QU4061" s="106"/>
      <c r="QV4061" s="106"/>
      <c r="QW4061" s="106"/>
      <c r="QX4061" s="106"/>
      <c r="QY4061" s="106"/>
      <c r="QZ4061" s="106"/>
      <c r="RA4061" s="106"/>
      <c r="RB4061" s="106"/>
      <c r="RC4061" s="106"/>
      <c r="RD4061" s="106"/>
      <c r="RE4061" s="106"/>
      <c r="RF4061" s="106"/>
      <c r="RG4061" s="106"/>
      <c r="RH4061" s="106"/>
      <c r="RI4061" s="106"/>
      <c r="RJ4061" s="106"/>
      <c r="RK4061" s="106"/>
      <c r="RL4061" s="106"/>
    </row>
    <row r="4062" spans="48:480" x14ac:dyDescent="0.3">
      <c r="AV4062" s="103"/>
      <c r="CJ4062" s="103"/>
      <c r="FP4062" s="103"/>
      <c r="LL4062" s="103"/>
      <c r="NM4062" s="103"/>
      <c r="QT4062" s="106"/>
      <c r="QU4062" s="106"/>
      <c r="QV4062" s="106"/>
      <c r="QW4062" s="106"/>
      <c r="QX4062" s="106"/>
      <c r="QY4062" s="106"/>
      <c r="QZ4062" s="106"/>
      <c r="RA4062" s="106"/>
      <c r="RB4062" s="106"/>
      <c r="RC4062" s="106"/>
      <c r="RD4062" s="106"/>
      <c r="RE4062" s="106"/>
      <c r="RF4062" s="106"/>
      <c r="RG4062" s="106"/>
      <c r="RH4062" s="106"/>
      <c r="RI4062" s="106"/>
      <c r="RJ4062" s="106"/>
      <c r="RK4062" s="106"/>
      <c r="RL4062" s="106"/>
    </row>
    <row r="4063" spans="48:480" x14ac:dyDescent="0.3">
      <c r="CJ4063" s="103"/>
      <c r="FP4063" s="103"/>
      <c r="LL4063" s="103"/>
      <c r="NM4063" s="103"/>
      <c r="QT4063" s="106"/>
      <c r="QU4063" s="106"/>
      <c r="QV4063" s="106"/>
      <c r="QW4063" s="106"/>
      <c r="QX4063" s="106"/>
      <c r="QY4063" s="106"/>
      <c r="QZ4063" s="106"/>
      <c r="RA4063" s="106"/>
      <c r="RB4063" s="106"/>
      <c r="RC4063" s="106"/>
      <c r="RD4063" s="106"/>
      <c r="RE4063" s="106"/>
      <c r="RF4063" s="106"/>
      <c r="RG4063" s="106"/>
      <c r="RH4063" s="106"/>
      <c r="RI4063" s="106"/>
      <c r="RJ4063" s="106"/>
      <c r="RK4063" s="106"/>
      <c r="RL4063" s="106"/>
    </row>
    <row r="4064" spans="48:480" x14ac:dyDescent="0.3">
      <c r="CJ4064" s="103"/>
      <c r="FP4064" s="103"/>
      <c r="LL4064" s="103"/>
      <c r="NM4064" s="103"/>
      <c r="QT4064" s="106"/>
      <c r="QU4064" s="106"/>
      <c r="QV4064" s="106"/>
      <c r="QW4064" s="106"/>
      <c r="QX4064" s="106"/>
      <c r="QY4064" s="106"/>
      <c r="QZ4064" s="106"/>
      <c r="RA4064" s="106"/>
      <c r="RB4064" s="106"/>
      <c r="RC4064" s="106"/>
      <c r="RD4064" s="106"/>
      <c r="RE4064" s="106"/>
      <c r="RF4064" s="106"/>
      <c r="RG4064" s="106"/>
      <c r="RH4064" s="106"/>
      <c r="RI4064" s="106"/>
      <c r="RJ4064" s="106"/>
      <c r="RK4064" s="106"/>
      <c r="RL4064" s="106"/>
    </row>
    <row r="4065" spans="48:480" x14ac:dyDescent="0.3">
      <c r="AV4065" s="103"/>
      <c r="CJ4065" s="103"/>
      <c r="FP4065" s="103"/>
      <c r="LL4065" s="103"/>
      <c r="NM4065" s="103"/>
      <c r="QT4065" s="106"/>
      <c r="QU4065" s="106"/>
      <c r="QV4065" s="106"/>
      <c r="QW4065" s="106"/>
      <c r="QX4065" s="106"/>
      <c r="QY4065" s="106"/>
      <c r="QZ4065" s="106"/>
      <c r="RA4065" s="106"/>
      <c r="RB4065" s="106"/>
      <c r="RC4065" s="106"/>
      <c r="RD4065" s="106"/>
      <c r="RE4065" s="106"/>
      <c r="RF4065" s="106"/>
      <c r="RG4065" s="106"/>
      <c r="RH4065" s="106"/>
      <c r="RI4065" s="106"/>
      <c r="RJ4065" s="106"/>
      <c r="RK4065" s="106"/>
      <c r="RL4065" s="106"/>
    </row>
    <row r="4066" spans="48:480" x14ac:dyDescent="0.3">
      <c r="CJ4066" s="103"/>
      <c r="FP4066" s="103"/>
      <c r="LL4066" s="103"/>
      <c r="NM4066" s="103"/>
      <c r="QT4066" s="106"/>
      <c r="QU4066" s="106"/>
      <c r="QV4066" s="106"/>
      <c r="QW4066" s="106"/>
      <c r="QX4066" s="106"/>
      <c r="QY4066" s="106"/>
      <c r="QZ4066" s="106"/>
      <c r="RA4066" s="106"/>
      <c r="RB4066" s="106"/>
      <c r="RC4066" s="106"/>
      <c r="RD4066" s="106"/>
      <c r="RE4066" s="106"/>
      <c r="RF4066" s="106"/>
      <c r="RG4066" s="106"/>
      <c r="RH4066" s="106"/>
      <c r="RI4066" s="106"/>
      <c r="RJ4066" s="106"/>
      <c r="RK4066" s="106"/>
      <c r="RL4066" s="106"/>
    </row>
    <row r="4067" spans="48:480" x14ac:dyDescent="0.3">
      <c r="CJ4067" s="103"/>
      <c r="FP4067" s="103"/>
      <c r="LL4067" s="103"/>
      <c r="NM4067" s="103"/>
      <c r="QT4067" s="106"/>
      <c r="QU4067" s="106"/>
      <c r="QV4067" s="106"/>
      <c r="QW4067" s="106"/>
      <c r="QX4067" s="106"/>
      <c r="QY4067" s="106"/>
      <c r="QZ4067" s="106"/>
      <c r="RA4067" s="106"/>
      <c r="RB4067" s="106"/>
      <c r="RC4067" s="106"/>
      <c r="RD4067" s="106"/>
      <c r="RE4067" s="106"/>
      <c r="RF4067" s="106"/>
      <c r="RG4067" s="106"/>
      <c r="RH4067" s="106"/>
      <c r="RI4067" s="106"/>
      <c r="RJ4067" s="106"/>
      <c r="RK4067" s="106"/>
      <c r="RL4067" s="106"/>
    </row>
    <row r="4068" spans="48:480" x14ac:dyDescent="0.3">
      <c r="CJ4068" s="103"/>
      <c r="FP4068" s="103"/>
      <c r="LL4068" s="103"/>
      <c r="NM4068" s="103"/>
      <c r="QT4068" s="106"/>
      <c r="QU4068" s="106"/>
      <c r="QV4068" s="106"/>
      <c r="QW4068" s="106"/>
      <c r="QX4068" s="106"/>
      <c r="QY4068" s="106"/>
      <c r="QZ4068" s="106"/>
      <c r="RA4068" s="106"/>
      <c r="RB4068" s="106"/>
      <c r="RC4068" s="106"/>
      <c r="RD4068" s="106"/>
      <c r="RE4068" s="106"/>
      <c r="RF4068" s="106"/>
      <c r="RG4068" s="106"/>
      <c r="RH4068" s="106"/>
      <c r="RI4068" s="106"/>
      <c r="RJ4068" s="106"/>
      <c r="RK4068" s="106"/>
      <c r="RL4068" s="106"/>
    </row>
    <row r="4069" spans="48:480" x14ac:dyDescent="0.3">
      <c r="CJ4069" s="103"/>
      <c r="FP4069" s="103"/>
      <c r="LL4069" s="103"/>
      <c r="NM4069" s="103"/>
      <c r="QT4069" s="106"/>
      <c r="QU4069" s="106"/>
      <c r="QV4069" s="106"/>
      <c r="QW4069" s="106"/>
      <c r="QX4069" s="106"/>
      <c r="QY4069" s="106"/>
      <c r="QZ4069" s="106"/>
      <c r="RA4069" s="106"/>
      <c r="RB4069" s="106"/>
      <c r="RC4069" s="106"/>
      <c r="RD4069" s="106"/>
      <c r="RE4069" s="106"/>
      <c r="RF4069" s="106"/>
      <c r="RG4069" s="106"/>
      <c r="RH4069" s="106"/>
      <c r="RI4069" s="106"/>
      <c r="RJ4069" s="106"/>
      <c r="RK4069" s="106"/>
      <c r="RL4069" s="106"/>
    </row>
    <row r="4070" spans="48:480" x14ac:dyDescent="0.3">
      <c r="CJ4070" s="103"/>
      <c r="FP4070" s="103"/>
      <c r="LL4070" s="103"/>
      <c r="NM4070" s="103"/>
      <c r="QT4070" s="106"/>
      <c r="QU4070" s="106"/>
      <c r="QV4070" s="106"/>
      <c r="QW4070" s="106"/>
      <c r="QX4070" s="106"/>
      <c r="QY4070" s="106"/>
      <c r="QZ4070" s="106"/>
      <c r="RA4070" s="106"/>
      <c r="RB4070" s="106"/>
      <c r="RC4070" s="106"/>
      <c r="RD4070" s="106"/>
      <c r="RE4070" s="106"/>
      <c r="RF4070" s="106"/>
      <c r="RG4070" s="106"/>
      <c r="RH4070" s="106"/>
      <c r="RI4070" s="106"/>
      <c r="RJ4070" s="106"/>
      <c r="RK4070" s="106"/>
      <c r="RL4070" s="106"/>
    </row>
    <row r="4071" spans="48:480" x14ac:dyDescent="0.3">
      <c r="CJ4071" s="103"/>
      <c r="FP4071" s="103"/>
      <c r="LL4071" s="103"/>
      <c r="NM4071" s="103"/>
      <c r="QT4071" s="106"/>
      <c r="QU4071" s="106"/>
      <c r="QV4071" s="106"/>
      <c r="QW4071" s="106"/>
      <c r="QX4071" s="106"/>
      <c r="QY4071" s="106"/>
      <c r="QZ4071" s="106"/>
      <c r="RA4071" s="106"/>
      <c r="RB4071" s="106"/>
      <c r="RC4071" s="106"/>
      <c r="RD4071" s="106"/>
      <c r="RE4071" s="106"/>
      <c r="RF4071" s="106"/>
      <c r="RG4071" s="106"/>
      <c r="RH4071" s="106"/>
      <c r="RI4071" s="106"/>
      <c r="RJ4071" s="106"/>
      <c r="RK4071" s="106"/>
      <c r="RL4071" s="106"/>
    </row>
    <row r="4072" spans="48:480" x14ac:dyDescent="0.3">
      <c r="CJ4072" s="103"/>
      <c r="FP4072" s="103"/>
      <c r="LL4072" s="103"/>
      <c r="NM4072" s="103"/>
      <c r="QT4072" s="106"/>
      <c r="QU4072" s="106"/>
      <c r="QV4072" s="106"/>
      <c r="QW4072" s="106"/>
      <c r="QX4072" s="106"/>
      <c r="QY4072" s="106"/>
      <c r="QZ4072" s="106"/>
      <c r="RA4072" s="106"/>
      <c r="RB4072" s="106"/>
      <c r="RC4072" s="106"/>
      <c r="RD4072" s="106"/>
      <c r="RE4072" s="106"/>
      <c r="RF4072" s="106"/>
      <c r="RG4072" s="106"/>
      <c r="RH4072" s="106"/>
      <c r="RI4072" s="106"/>
      <c r="RJ4072" s="106"/>
      <c r="RK4072" s="106"/>
      <c r="RL4072" s="106"/>
    </row>
    <row r="4073" spans="48:480" x14ac:dyDescent="0.3">
      <c r="CJ4073" s="103"/>
      <c r="FP4073" s="103"/>
      <c r="LL4073" s="103"/>
      <c r="NM4073" s="103"/>
      <c r="QT4073" s="106"/>
      <c r="QU4073" s="106"/>
      <c r="QV4073" s="106"/>
      <c r="QW4073" s="106"/>
      <c r="QX4073" s="106"/>
      <c r="QY4073" s="106"/>
      <c r="QZ4073" s="106"/>
      <c r="RA4073" s="106"/>
      <c r="RB4073" s="106"/>
      <c r="RC4073" s="106"/>
      <c r="RD4073" s="106"/>
      <c r="RE4073" s="106"/>
      <c r="RF4073" s="106"/>
      <c r="RG4073" s="106"/>
      <c r="RH4073" s="106"/>
      <c r="RI4073" s="106"/>
      <c r="RJ4073" s="106"/>
      <c r="RK4073" s="106"/>
      <c r="RL4073" s="106"/>
    </row>
    <row r="4074" spans="48:480" x14ac:dyDescent="0.3">
      <c r="AV4074" s="103"/>
      <c r="CJ4074" s="103"/>
      <c r="FP4074" s="103"/>
      <c r="LL4074" s="103"/>
      <c r="NM4074" s="103"/>
      <c r="QT4074" s="106"/>
      <c r="QU4074" s="106"/>
      <c r="QV4074" s="106"/>
      <c r="QW4074" s="106"/>
      <c r="QX4074" s="106"/>
      <c r="QY4074" s="106"/>
      <c r="QZ4074" s="106"/>
      <c r="RA4074" s="106"/>
      <c r="RB4074" s="106"/>
      <c r="RC4074" s="106"/>
      <c r="RD4074" s="106"/>
      <c r="RE4074" s="106"/>
      <c r="RF4074" s="106"/>
      <c r="RG4074" s="106"/>
      <c r="RH4074" s="106"/>
      <c r="RI4074" s="106"/>
      <c r="RJ4074" s="106"/>
      <c r="RK4074" s="106"/>
      <c r="RL4074" s="106"/>
    </row>
    <row r="4075" spans="48:480" x14ac:dyDescent="0.3">
      <c r="AV4075" s="103"/>
      <c r="CJ4075" s="103"/>
      <c r="FP4075" s="103"/>
      <c r="LL4075" s="103"/>
      <c r="NM4075" s="103"/>
      <c r="QT4075" s="106"/>
      <c r="QU4075" s="106"/>
      <c r="QV4075" s="106"/>
      <c r="QW4075" s="106"/>
      <c r="QX4075" s="106"/>
      <c r="QY4075" s="106"/>
      <c r="QZ4075" s="106"/>
      <c r="RA4075" s="106"/>
      <c r="RB4075" s="106"/>
      <c r="RC4075" s="106"/>
      <c r="RD4075" s="106"/>
      <c r="RE4075" s="106"/>
      <c r="RF4075" s="106"/>
      <c r="RG4075" s="106"/>
      <c r="RH4075" s="106"/>
      <c r="RI4075" s="106"/>
      <c r="RJ4075" s="106"/>
      <c r="RK4075" s="106"/>
      <c r="RL4075" s="106"/>
    </row>
    <row r="4076" spans="48:480" x14ac:dyDescent="0.3">
      <c r="AV4076" s="103"/>
      <c r="CJ4076" s="103"/>
      <c r="FP4076" s="103"/>
      <c r="LL4076" s="103"/>
      <c r="NM4076" s="103"/>
      <c r="QT4076" s="106"/>
      <c r="QU4076" s="106"/>
      <c r="QV4076" s="106"/>
      <c r="QW4076" s="106"/>
      <c r="QX4076" s="106"/>
      <c r="QY4076" s="106"/>
      <c r="QZ4076" s="106"/>
      <c r="RA4076" s="106"/>
      <c r="RB4076" s="106"/>
      <c r="RC4076" s="106"/>
      <c r="RD4076" s="106"/>
      <c r="RE4076" s="106"/>
      <c r="RF4076" s="106"/>
      <c r="RG4076" s="106"/>
      <c r="RH4076" s="106"/>
      <c r="RI4076" s="106"/>
      <c r="RJ4076" s="106"/>
      <c r="RK4076" s="106"/>
      <c r="RL4076" s="106"/>
    </row>
    <row r="4077" spans="48:480" x14ac:dyDescent="0.3">
      <c r="AV4077" s="103"/>
      <c r="CJ4077" s="103"/>
      <c r="FP4077" s="103"/>
      <c r="LL4077" s="103"/>
      <c r="NM4077" s="103"/>
      <c r="QT4077" s="106"/>
      <c r="QU4077" s="106"/>
      <c r="QV4077" s="106"/>
      <c r="QW4077" s="106"/>
      <c r="QX4077" s="106"/>
      <c r="QY4077" s="106"/>
      <c r="QZ4077" s="106"/>
      <c r="RA4077" s="106"/>
      <c r="RB4077" s="106"/>
      <c r="RC4077" s="106"/>
      <c r="RD4077" s="106"/>
      <c r="RE4077" s="106"/>
      <c r="RF4077" s="106"/>
      <c r="RG4077" s="106"/>
      <c r="RH4077" s="106"/>
      <c r="RI4077" s="106"/>
      <c r="RJ4077" s="106"/>
      <c r="RK4077" s="106"/>
      <c r="RL4077" s="106"/>
    </row>
    <row r="4078" spans="48:480" x14ac:dyDescent="0.3">
      <c r="AV4078" s="103"/>
      <c r="CJ4078" s="103"/>
      <c r="FP4078" s="103"/>
      <c r="LL4078" s="103"/>
      <c r="NM4078" s="103"/>
      <c r="QT4078" s="106"/>
      <c r="QU4078" s="106"/>
      <c r="QV4078" s="106"/>
      <c r="QW4078" s="106"/>
      <c r="QX4078" s="106"/>
      <c r="QY4078" s="106"/>
      <c r="QZ4078" s="106"/>
      <c r="RA4078" s="106"/>
      <c r="RB4078" s="106"/>
      <c r="RC4078" s="106"/>
      <c r="RD4078" s="106"/>
      <c r="RE4078" s="106"/>
      <c r="RF4078" s="106"/>
      <c r="RG4078" s="106"/>
      <c r="RH4078" s="106"/>
      <c r="RI4078" s="106"/>
      <c r="RJ4078" s="106"/>
      <c r="RK4078" s="106"/>
      <c r="RL4078" s="106"/>
    </row>
    <row r="4079" spans="48:480" x14ac:dyDescent="0.3">
      <c r="AV4079" s="103"/>
      <c r="CJ4079" s="103"/>
      <c r="FP4079" s="103"/>
      <c r="LL4079" s="103"/>
      <c r="NM4079" s="103"/>
      <c r="QT4079" s="106"/>
      <c r="QU4079" s="106"/>
      <c r="QV4079" s="106"/>
      <c r="QW4079" s="106"/>
      <c r="QX4079" s="106"/>
      <c r="QY4079" s="106"/>
      <c r="QZ4079" s="106"/>
      <c r="RA4079" s="106"/>
      <c r="RB4079" s="106"/>
      <c r="RC4079" s="106"/>
      <c r="RD4079" s="106"/>
      <c r="RE4079" s="106"/>
      <c r="RF4079" s="106"/>
      <c r="RG4079" s="106"/>
      <c r="RH4079" s="106"/>
      <c r="RI4079" s="106"/>
      <c r="RJ4079" s="106"/>
      <c r="RK4079" s="106"/>
      <c r="RL4079" s="106"/>
    </row>
    <row r="4080" spans="48:480" x14ac:dyDescent="0.3">
      <c r="AV4080" s="103"/>
      <c r="CJ4080" s="103"/>
      <c r="FP4080" s="103"/>
      <c r="LL4080" s="103"/>
      <c r="NM4080" s="103"/>
      <c r="QT4080" s="106"/>
      <c r="QU4080" s="106"/>
      <c r="QV4080" s="106"/>
      <c r="QW4080" s="106"/>
      <c r="QX4080" s="106"/>
      <c r="QY4080" s="106"/>
      <c r="QZ4080" s="106"/>
      <c r="RA4080" s="106"/>
      <c r="RB4080" s="106"/>
      <c r="RC4080" s="106"/>
      <c r="RD4080" s="106"/>
      <c r="RE4080" s="106"/>
      <c r="RF4080" s="106"/>
      <c r="RG4080" s="106"/>
      <c r="RH4080" s="106"/>
      <c r="RI4080" s="106"/>
      <c r="RJ4080" s="106"/>
      <c r="RK4080" s="106"/>
      <c r="RL4080" s="106"/>
    </row>
    <row r="4081" spans="48:480" x14ac:dyDescent="0.3">
      <c r="AV4081" s="103"/>
      <c r="CJ4081" s="103"/>
      <c r="FP4081" s="103"/>
      <c r="LL4081" s="103"/>
      <c r="NM4081" s="103"/>
      <c r="QT4081" s="106"/>
      <c r="QU4081" s="106"/>
      <c r="QV4081" s="106"/>
      <c r="QW4081" s="106"/>
      <c r="QX4081" s="106"/>
      <c r="QY4081" s="106"/>
      <c r="QZ4081" s="106"/>
      <c r="RA4081" s="106"/>
      <c r="RB4081" s="106"/>
      <c r="RC4081" s="106"/>
      <c r="RD4081" s="106"/>
      <c r="RE4081" s="106"/>
      <c r="RF4081" s="106"/>
      <c r="RG4081" s="106"/>
      <c r="RH4081" s="106"/>
      <c r="RI4081" s="106"/>
      <c r="RJ4081" s="106"/>
      <c r="RK4081" s="106"/>
      <c r="RL4081" s="106"/>
    </row>
    <row r="4082" spans="48:480" x14ac:dyDescent="0.3">
      <c r="AV4082" s="103"/>
      <c r="CJ4082" s="103"/>
      <c r="FP4082" s="103"/>
      <c r="LL4082" s="103"/>
      <c r="NM4082" s="103"/>
      <c r="QT4082" s="106"/>
      <c r="QU4082" s="106"/>
      <c r="QV4082" s="106"/>
      <c r="QW4082" s="106"/>
      <c r="QX4082" s="106"/>
      <c r="QY4082" s="106"/>
      <c r="QZ4082" s="106"/>
      <c r="RA4082" s="106"/>
      <c r="RB4082" s="106"/>
      <c r="RC4082" s="106"/>
      <c r="RD4082" s="106"/>
      <c r="RE4082" s="106"/>
      <c r="RF4082" s="106"/>
      <c r="RG4082" s="106"/>
      <c r="RH4082" s="106"/>
      <c r="RI4082" s="106"/>
      <c r="RJ4082" s="106"/>
      <c r="RK4082" s="106"/>
      <c r="RL4082" s="106"/>
    </row>
    <row r="4083" spans="48:480" x14ac:dyDescent="0.3">
      <c r="AV4083" s="103"/>
      <c r="CJ4083" s="103"/>
      <c r="FP4083" s="103"/>
      <c r="LL4083" s="103"/>
      <c r="NM4083" s="103"/>
      <c r="QT4083" s="106"/>
      <c r="QU4083" s="106"/>
      <c r="QV4083" s="106"/>
      <c r="QW4083" s="106"/>
      <c r="QX4083" s="106"/>
      <c r="QY4083" s="106"/>
      <c r="QZ4083" s="106"/>
      <c r="RA4083" s="106"/>
      <c r="RB4083" s="106"/>
      <c r="RC4083" s="106"/>
      <c r="RD4083" s="106"/>
      <c r="RE4083" s="106"/>
      <c r="RF4083" s="106"/>
      <c r="RG4083" s="106"/>
      <c r="RH4083" s="106"/>
      <c r="RI4083" s="106"/>
      <c r="RJ4083" s="106"/>
      <c r="RK4083" s="106"/>
      <c r="RL4083" s="106"/>
    </row>
    <row r="4084" spans="48:480" x14ac:dyDescent="0.3">
      <c r="AV4084" s="103"/>
      <c r="CJ4084" s="103"/>
      <c r="FP4084" s="103"/>
      <c r="LL4084" s="103"/>
      <c r="NM4084" s="103"/>
      <c r="QT4084" s="106"/>
      <c r="QU4084" s="106"/>
      <c r="QV4084" s="106"/>
      <c r="QW4084" s="106"/>
      <c r="QX4084" s="106"/>
      <c r="QY4084" s="106"/>
      <c r="QZ4084" s="106"/>
      <c r="RA4084" s="106"/>
      <c r="RB4084" s="106"/>
      <c r="RC4084" s="106"/>
      <c r="RD4084" s="106"/>
      <c r="RE4084" s="106"/>
      <c r="RF4084" s="106"/>
      <c r="RG4084" s="106"/>
      <c r="RH4084" s="106"/>
      <c r="RI4084" s="106"/>
      <c r="RJ4084" s="106"/>
      <c r="RK4084" s="106"/>
      <c r="RL4084" s="106"/>
    </row>
    <row r="4085" spans="48:480" x14ac:dyDescent="0.3">
      <c r="AV4085" s="103"/>
      <c r="CJ4085" s="103"/>
      <c r="FP4085" s="103"/>
      <c r="LL4085" s="103"/>
      <c r="NM4085" s="103"/>
      <c r="QT4085" s="106"/>
      <c r="QU4085" s="106"/>
      <c r="QV4085" s="106"/>
      <c r="QW4085" s="106"/>
      <c r="QX4085" s="106"/>
      <c r="QY4085" s="106"/>
      <c r="QZ4085" s="106"/>
      <c r="RA4085" s="106"/>
      <c r="RB4085" s="106"/>
      <c r="RC4085" s="106"/>
      <c r="RD4085" s="106"/>
      <c r="RE4085" s="106"/>
      <c r="RF4085" s="106"/>
      <c r="RG4085" s="106"/>
      <c r="RH4085" s="106"/>
      <c r="RI4085" s="106"/>
      <c r="RJ4085" s="106"/>
      <c r="RK4085" s="106"/>
      <c r="RL4085" s="106"/>
    </row>
    <row r="4086" spans="48:480" x14ac:dyDescent="0.3">
      <c r="AV4086" s="103"/>
      <c r="CJ4086" s="103"/>
      <c r="FP4086" s="103"/>
      <c r="LL4086" s="103"/>
      <c r="NM4086" s="103"/>
      <c r="QT4086" s="106"/>
      <c r="QU4086" s="106"/>
      <c r="QV4086" s="106"/>
      <c r="QW4086" s="106"/>
      <c r="QX4086" s="106"/>
      <c r="QY4086" s="106"/>
      <c r="QZ4086" s="106"/>
      <c r="RA4086" s="106"/>
      <c r="RB4086" s="106"/>
      <c r="RC4086" s="106"/>
      <c r="RD4086" s="106"/>
      <c r="RE4086" s="106"/>
      <c r="RF4086" s="106"/>
      <c r="RG4086" s="106"/>
      <c r="RH4086" s="106"/>
      <c r="RI4086" s="106"/>
      <c r="RJ4086" s="106"/>
      <c r="RK4086" s="106"/>
      <c r="RL4086" s="106"/>
    </row>
    <row r="4087" spans="48:480" x14ac:dyDescent="0.3">
      <c r="AV4087" s="103"/>
      <c r="CJ4087" s="103"/>
      <c r="FP4087" s="103"/>
      <c r="LL4087" s="103"/>
      <c r="NM4087" s="103"/>
      <c r="QT4087" s="106"/>
      <c r="QU4087" s="106"/>
      <c r="QV4087" s="106"/>
      <c r="QW4087" s="106"/>
      <c r="QX4087" s="106"/>
      <c r="QY4087" s="106"/>
      <c r="QZ4087" s="106"/>
      <c r="RA4087" s="106"/>
      <c r="RB4087" s="106"/>
      <c r="RC4087" s="106"/>
      <c r="RD4087" s="106"/>
      <c r="RE4087" s="106"/>
      <c r="RF4087" s="106"/>
      <c r="RG4087" s="106"/>
      <c r="RH4087" s="106"/>
      <c r="RI4087" s="106"/>
      <c r="RJ4087" s="106"/>
      <c r="RK4087" s="106"/>
      <c r="RL4087" s="106"/>
    </row>
    <row r="4088" spans="48:480" x14ac:dyDescent="0.3">
      <c r="AV4088" s="103"/>
      <c r="CJ4088" s="103"/>
      <c r="FP4088" s="103"/>
      <c r="LL4088" s="103"/>
      <c r="NM4088" s="103"/>
      <c r="QT4088" s="106"/>
      <c r="QU4088" s="106"/>
      <c r="QV4088" s="106"/>
      <c r="QW4088" s="106"/>
      <c r="QX4088" s="106"/>
      <c r="QY4088" s="106"/>
      <c r="QZ4088" s="106"/>
      <c r="RA4088" s="106"/>
      <c r="RB4088" s="106"/>
      <c r="RC4088" s="106"/>
      <c r="RD4088" s="106"/>
      <c r="RE4088" s="106"/>
      <c r="RF4088" s="106"/>
      <c r="RG4088" s="106"/>
      <c r="RH4088" s="106"/>
      <c r="RI4088" s="106"/>
      <c r="RJ4088" s="106"/>
      <c r="RK4088" s="106"/>
      <c r="RL4088" s="106"/>
    </row>
    <row r="4089" spans="48:480" x14ac:dyDescent="0.3">
      <c r="AV4089" s="103"/>
      <c r="CJ4089" s="103"/>
      <c r="FP4089" s="103"/>
      <c r="LL4089" s="103"/>
      <c r="NM4089" s="103"/>
      <c r="QT4089" s="106"/>
      <c r="QU4089" s="106"/>
      <c r="QV4089" s="106"/>
      <c r="QW4089" s="106"/>
      <c r="QX4089" s="106"/>
      <c r="QY4089" s="106"/>
      <c r="QZ4089" s="106"/>
      <c r="RA4089" s="106"/>
      <c r="RB4089" s="106"/>
      <c r="RC4089" s="106"/>
      <c r="RD4089" s="106"/>
      <c r="RE4089" s="106"/>
      <c r="RF4089" s="106"/>
      <c r="RG4089" s="106"/>
      <c r="RH4089" s="106"/>
      <c r="RI4089" s="106"/>
      <c r="RJ4089" s="106"/>
      <c r="RK4089" s="106"/>
      <c r="RL4089" s="106"/>
    </row>
    <row r="4090" spans="48:480" x14ac:dyDescent="0.3">
      <c r="AV4090" s="103"/>
      <c r="CJ4090" s="103"/>
      <c r="FP4090" s="103"/>
      <c r="LL4090" s="103"/>
      <c r="NM4090" s="103"/>
      <c r="QT4090" s="106"/>
      <c r="QU4090" s="106"/>
      <c r="QV4090" s="106"/>
      <c r="QW4090" s="106"/>
      <c r="QX4090" s="106"/>
      <c r="QY4090" s="106"/>
      <c r="QZ4090" s="106"/>
      <c r="RA4090" s="106"/>
      <c r="RB4090" s="106"/>
      <c r="RC4090" s="106"/>
      <c r="RD4090" s="106"/>
      <c r="RE4090" s="106"/>
      <c r="RF4090" s="106"/>
      <c r="RG4090" s="106"/>
      <c r="RH4090" s="106"/>
      <c r="RI4090" s="106"/>
      <c r="RJ4090" s="106"/>
      <c r="RK4090" s="106"/>
      <c r="RL4090" s="106"/>
    </row>
    <row r="4091" spans="48:480" x14ac:dyDescent="0.3">
      <c r="AV4091" s="103"/>
      <c r="CJ4091" s="103"/>
      <c r="FP4091" s="103"/>
      <c r="LL4091" s="103"/>
      <c r="NM4091" s="103"/>
      <c r="QT4091" s="106"/>
      <c r="QU4091" s="106"/>
      <c r="QV4091" s="106"/>
      <c r="QW4091" s="106"/>
      <c r="QX4091" s="106"/>
      <c r="QY4091" s="106"/>
      <c r="QZ4091" s="106"/>
      <c r="RA4091" s="106"/>
      <c r="RB4091" s="106"/>
      <c r="RC4091" s="106"/>
      <c r="RD4091" s="106"/>
      <c r="RE4091" s="106"/>
      <c r="RF4091" s="106"/>
      <c r="RG4091" s="106"/>
      <c r="RH4091" s="106"/>
      <c r="RI4091" s="106"/>
      <c r="RJ4091" s="106"/>
      <c r="RK4091" s="106"/>
      <c r="RL4091" s="106"/>
    </row>
    <row r="4092" spans="48:480" x14ac:dyDescent="0.3">
      <c r="CJ4092" s="103"/>
      <c r="FP4092" s="103"/>
      <c r="LL4092" s="103"/>
      <c r="NM4092" s="103"/>
      <c r="QT4092" s="106"/>
      <c r="QU4092" s="106"/>
      <c r="QV4092" s="106"/>
      <c r="QW4092" s="106"/>
      <c r="QX4092" s="106"/>
      <c r="QY4092" s="106"/>
      <c r="QZ4092" s="106"/>
      <c r="RA4092" s="106"/>
      <c r="RB4092" s="106"/>
      <c r="RC4092" s="106"/>
      <c r="RD4092" s="106"/>
      <c r="RE4092" s="106"/>
      <c r="RF4092" s="106"/>
      <c r="RG4092" s="106"/>
      <c r="RH4092" s="106"/>
      <c r="RI4092" s="106"/>
      <c r="RJ4092" s="106"/>
      <c r="RK4092" s="106"/>
      <c r="RL4092" s="106"/>
    </row>
    <row r="4093" spans="48:480" x14ac:dyDescent="0.3">
      <c r="AV4093" s="103"/>
      <c r="CJ4093" s="103"/>
      <c r="FP4093" s="103"/>
      <c r="LL4093" s="103"/>
      <c r="NM4093" s="103"/>
      <c r="QT4093" s="106"/>
      <c r="QU4093" s="106"/>
      <c r="QV4093" s="106"/>
      <c r="QW4093" s="106"/>
      <c r="QX4093" s="106"/>
      <c r="QY4093" s="106"/>
      <c r="QZ4093" s="106"/>
      <c r="RA4093" s="106"/>
      <c r="RB4093" s="106"/>
      <c r="RC4093" s="106"/>
      <c r="RD4093" s="106"/>
      <c r="RE4093" s="106"/>
      <c r="RF4093" s="106"/>
      <c r="RG4093" s="106"/>
      <c r="RH4093" s="106"/>
      <c r="RI4093" s="106"/>
      <c r="RJ4093" s="106"/>
      <c r="RK4093" s="106"/>
      <c r="RL4093" s="106"/>
    </row>
    <row r="4094" spans="48:480" x14ac:dyDescent="0.3">
      <c r="CJ4094" s="103"/>
      <c r="FP4094" s="103"/>
      <c r="LL4094" s="103"/>
      <c r="NM4094" s="103"/>
      <c r="QT4094" s="106"/>
      <c r="QU4094" s="106"/>
      <c r="QV4094" s="106"/>
      <c r="QW4094" s="106"/>
      <c r="QX4094" s="106"/>
      <c r="QY4094" s="106"/>
      <c r="QZ4094" s="106"/>
      <c r="RA4094" s="106"/>
      <c r="RB4094" s="106"/>
      <c r="RC4094" s="106"/>
      <c r="RD4094" s="106"/>
      <c r="RE4094" s="106"/>
      <c r="RF4094" s="106"/>
      <c r="RG4094" s="106"/>
      <c r="RH4094" s="106"/>
      <c r="RI4094" s="106"/>
      <c r="RJ4094" s="106"/>
      <c r="RK4094" s="106"/>
      <c r="RL4094" s="106"/>
    </row>
    <row r="4095" spans="48:480" x14ac:dyDescent="0.3">
      <c r="CJ4095" s="103"/>
      <c r="FP4095" s="103"/>
      <c r="LL4095" s="103"/>
      <c r="NM4095" s="103"/>
      <c r="QT4095" s="106"/>
      <c r="QU4095" s="106"/>
      <c r="QV4095" s="106"/>
      <c r="QW4095" s="106"/>
      <c r="QX4095" s="106"/>
      <c r="QY4095" s="106"/>
      <c r="QZ4095" s="106"/>
      <c r="RA4095" s="106"/>
      <c r="RB4095" s="106"/>
      <c r="RC4095" s="106"/>
      <c r="RD4095" s="106"/>
      <c r="RE4095" s="106"/>
      <c r="RF4095" s="106"/>
      <c r="RG4095" s="106"/>
      <c r="RH4095" s="106"/>
      <c r="RI4095" s="106"/>
      <c r="RJ4095" s="106"/>
      <c r="RK4095" s="106"/>
      <c r="RL4095" s="106"/>
    </row>
    <row r="4096" spans="48:480" x14ac:dyDescent="0.3">
      <c r="CJ4096" s="103"/>
      <c r="FP4096" s="103"/>
      <c r="LL4096" s="103"/>
      <c r="NM4096" s="103"/>
      <c r="QT4096" s="106"/>
      <c r="QU4096" s="106"/>
      <c r="QV4096" s="106"/>
      <c r="QW4096" s="106"/>
      <c r="QX4096" s="106"/>
      <c r="QY4096" s="106"/>
      <c r="QZ4096" s="106"/>
      <c r="RA4096" s="106"/>
      <c r="RB4096" s="106"/>
      <c r="RC4096" s="106"/>
      <c r="RD4096" s="106"/>
      <c r="RE4096" s="106"/>
      <c r="RF4096" s="106"/>
      <c r="RG4096" s="106"/>
      <c r="RH4096" s="106"/>
      <c r="RI4096" s="106"/>
      <c r="RJ4096" s="106"/>
      <c r="RK4096" s="106"/>
      <c r="RL4096" s="106"/>
    </row>
    <row r="4097" spans="48:480" x14ac:dyDescent="0.3">
      <c r="CJ4097" s="103"/>
      <c r="FP4097" s="103"/>
      <c r="LL4097" s="103"/>
      <c r="NM4097" s="103"/>
      <c r="QT4097" s="106"/>
      <c r="QU4097" s="106"/>
      <c r="QV4097" s="106"/>
      <c r="QW4097" s="106"/>
      <c r="QX4097" s="106"/>
      <c r="QY4097" s="106"/>
      <c r="QZ4097" s="106"/>
      <c r="RA4097" s="106"/>
      <c r="RB4097" s="106"/>
      <c r="RC4097" s="106"/>
      <c r="RD4097" s="106"/>
      <c r="RE4097" s="106"/>
      <c r="RF4097" s="106"/>
      <c r="RG4097" s="106"/>
      <c r="RH4097" s="106"/>
      <c r="RI4097" s="106"/>
      <c r="RJ4097" s="106"/>
      <c r="RK4097" s="106"/>
      <c r="RL4097" s="106"/>
    </row>
    <row r="4098" spans="48:480" x14ac:dyDescent="0.3">
      <c r="CJ4098" s="103"/>
      <c r="FP4098" s="103"/>
      <c r="LL4098" s="103"/>
      <c r="NM4098" s="103"/>
      <c r="QT4098" s="106"/>
      <c r="QU4098" s="106"/>
      <c r="QV4098" s="106"/>
      <c r="QW4098" s="106"/>
      <c r="QX4098" s="106"/>
      <c r="QY4098" s="106"/>
      <c r="QZ4098" s="106"/>
      <c r="RA4098" s="106"/>
      <c r="RB4098" s="106"/>
      <c r="RC4098" s="106"/>
      <c r="RD4098" s="106"/>
      <c r="RE4098" s="106"/>
      <c r="RF4098" s="106"/>
      <c r="RG4098" s="106"/>
      <c r="RH4098" s="106"/>
      <c r="RI4098" s="106"/>
      <c r="RJ4098" s="106"/>
      <c r="RK4098" s="106"/>
      <c r="RL4098" s="106"/>
    </row>
    <row r="4099" spans="48:480" x14ac:dyDescent="0.3">
      <c r="CJ4099" s="103"/>
      <c r="FP4099" s="103"/>
      <c r="LL4099" s="103"/>
      <c r="NM4099" s="103"/>
      <c r="QT4099" s="106"/>
      <c r="QU4099" s="106"/>
      <c r="QV4099" s="106"/>
      <c r="QW4099" s="106"/>
      <c r="QX4099" s="106"/>
      <c r="QY4099" s="106"/>
      <c r="QZ4099" s="106"/>
      <c r="RA4099" s="106"/>
      <c r="RB4099" s="106"/>
      <c r="RC4099" s="106"/>
      <c r="RD4099" s="106"/>
      <c r="RE4099" s="106"/>
      <c r="RF4099" s="106"/>
      <c r="RG4099" s="106"/>
      <c r="RH4099" s="106"/>
      <c r="RI4099" s="106"/>
      <c r="RJ4099" s="106"/>
      <c r="RK4099" s="106"/>
      <c r="RL4099" s="106"/>
    </row>
    <row r="4100" spans="48:480" x14ac:dyDescent="0.3">
      <c r="CJ4100" s="103"/>
      <c r="FP4100" s="103"/>
      <c r="LL4100" s="103"/>
      <c r="NM4100" s="103"/>
      <c r="QT4100" s="106"/>
      <c r="QU4100" s="106"/>
      <c r="QV4100" s="106"/>
      <c r="QW4100" s="106"/>
      <c r="QX4100" s="106"/>
      <c r="QY4100" s="106"/>
      <c r="QZ4100" s="106"/>
      <c r="RA4100" s="106"/>
      <c r="RB4100" s="106"/>
      <c r="RC4100" s="106"/>
      <c r="RD4100" s="106"/>
      <c r="RE4100" s="106"/>
      <c r="RF4100" s="106"/>
      <c r="RG4100" s="106"/>
      <c r="RH4100" s="106"/>
      <c r="RI4100" s="106"/>
      <c r="RJ4100" s="106"/>
      <c r="RK4100" s="106"/>
      <c r="RL4100" s="106"/>
    </row>
    <row r="4101" spans="48:480" x14ac:dyDescent="0.3">
      <c r="CJ4101" s="103"/>
      <c r="FP4101" s="103"/>
      <c r="LL4101" s="103"/>
      <c r="NM4101" s="103"/>
      <c r="QT4101" s="106"/>
      <c r="QU4101" s="106"/>
      <c r="QV4101" s="106"/>
      <c r="QW4101" s="106"/>
      <c r="QX4101" s="106"/>
      <c r="QY4101" s="106"/>
      <c r="QZ4101" s="106"/>
      <c r="RA4101" s="106"/>
      <c r="RB4101" s="106"/>
      <c r="RC4101" s="106"/>
      <c r="RD4101" s="106"/>
      <c r="RE4101" s="106"/>
      <c r="RF4101" s="106"/>
      <c r="RG4101" s="106"/>
      <c r="RH4101" s="106"/>
      <c r="RI4101" s="106"/>
      <c r="RJ4101" s="106"/>
      <c r="RK4101" s="106"/>
      <c r="RL4101" s="106"/>
    </row>
    <row r="4102" spans="48:480" x14ac:dyDescent="0.3">
      <c r="CJ4102" s="103"/>
      <c r="FP4102" s="103"/>
      <c r="LL4102" s="103"/>
      <c r="NM4102" s="103"/>
      <c r="QT4102" s="106"/>
      <c r="QU4102" s="106"/>
      <c r="QV4102" s="106"/>
      <c r="QW4102" s="106"/>
      <c r="QX4102" s="106"/>
      <c r="QY4102" s="106"/>
      <c r="QZ4102" s="106"/>
      <c r="RA4102" s="106"/>
      <c r="RB4102" s="106"/>
      <c r="RC4102" s="106"/>
      <c r="RD4102" s="106"/>
      <c r="RE4102" s="106"/>
      <c r="RF4102" s="106"/>
      <c r="RG4102" s="106"/>
      <c r="RH4102" s="106"/>
      <c r="RI4102" s="106"/>
      <c r="RJ4102" s="106"/>
      <c r="RK4102" s="106"/>
      <c r="RL4102" s="106"/>
    </row>
    <row r="4103" spans="48:480" x14ac:dyDescent="0.3">
      <c r="CJ4103" s="103"/>
      <c r="FP4103" s="103"/>
      <c r="LL4103" s="103"/>
      <c r="NM4103" s="103"/>
      <c r="QT4103" s="106"/>
      <c r="QU4103" s="106"/>
      <c r="QV4103" s="106"/>
      <c r="QW4103" s="106"/>
      <c r="QX4103" s="106"/>
      <c r="QY4103" s="106"/>
      <c r="QZ4103" s="106"/>
      <c r="RA4103" s="106"/>
      <c r="RB4103" s="106"/>
      <c r="RC4103" s="106"/>
      <c r="RD4103" s="106"/>
      <c r="RE4103" s="106"/>
      <c r="RF4103" s="106"/>
      <c r="RG4103" s="106"/>
      <c r="RH4103" s="106"/>
      <c r="RI4103" s="106"/>
      <c r="RJ4103" s="106"/>
      <c r="RK4103" s="106"/>
      <c r="RL4103" s="106"/>
    </row>
    <row r="4104" spans="48:480" x14ac:dyDescent="0.3">
      <c r="CJ4104" s="103"/>
      <c r="FP4104" s="103"/>
      <c r="LL4104" s="103"/>
      <c r="NM4104" s="103"/>
      <c r="QT4104" s="106"/>
      <c r="QU4104" s="106"/>
      <c r="QV4104" s="106"/>
      <c r="QW4104" s="106"/>
      <c r="QX4104" s="106"/>
      <c r="QY4104" s="106"/>
      <c r="QZ4104" s="106"/>
      <c r="RA4104" s="106"/>
      <c r="RB4104" s="106"/>
      <c r="RC4104" s="106"/>
      <c r="RD4104" s="106"/>
      <c r="RE4104" s="106"/>
      <c r="RF4104" s="106"/>
      <c r="RG4104" s="106"/>
      <c r="RH4104" s="106"/>
      <c r="RI4104" s="106"/>
      <c r="RJ4104" s="106"/>
      <c r="RK4104" s="106"/>
      <c r="RL4104" s="106"/>
    </row>
    <row r="4105" spans="48:480" x14ac:dyDescent="0.3">
      <c r="AV4105" s="103"/>
      <c r="CJ4105" s="103"/>
      <c r="FP4105" s="103"/>
      <c r="LL4105" s="103"/>
      <c r="NM4105" s="103"/>
      <c r="QT4105" s="106"/>
      <c r="QU4105" s="106"/>
      <c r="QV4105" s="106"/>
      <c r="QW4105" s="106"/>
      <c r="QX4105" s="106"/>
      <c r="QY4105" s="106"/>
      <c r="QZ4105" s="106"/>
      <c r="RA4105" s="106"/>
      <c r="RB4105" s="106"/>
      <c r="RC4105" s="106"/>
      <c r="RD4105" s="106"/>
      <c r="RE4105" s="106"/>
      <c r="RF4105" s="106"/>
      <c r="RG4105" s="106"/>
      <c r="RH4105" s="106"/>
      <c r="RI4105" s="106"/>
      <c r="RJ4105" s="106"/>
      <c r="RK4105" s="106"/>
      <c r="RL4105" s="106"/>
    </row>
    <row r="4106" spans="48:480" x14ac:dyDescent="0.3">
      <c r="AV4106" s="103"/>
      <c r="CJ4106" s="103"/>
      <c r="FP4106" s="103"/>
      <c r="LL4106" s="103"/>
      <c r="NM4106" s="103"/>
      <c r="QT4106" s="106"/>
      <c r="QU4106" s="106"/>
      <c r="QV4106" s="106"/>
      <c r="QW4106" s="106"/>
      <c r="QX4106" s="106"/>
      <c r="QY4106" s="106"/>
      <c r="QZ4106" s="106"/>
      <c r="RA4106" s="106"/>
      <c r="RB4106" s="106"/>
      <c r="RC4106" s="106"/>
      <c r="RD4106" s="106"/>
      <c r="RE4106" s="106"/>
      <c r="RF4106" s="106"/>
      <c r="RG4106" s="106"/>
      <c r="RH4106" s="106"/>
      <c r="RI4106" s="106"/>
      <c r="RJ4106" s="106"/>
      <c r="RK4106" s="106"/>
      <c r="RL4106" s="106"/>
    </row>
    <row r="4107" spans="48:480" x14ac:dyDescent="0.3">
      <c r="AV4107" s="103"/>
      <c r="CJ4107" s="103"/>
      <c r="FP4107" s="103"/>
      <c r="LL4107" s="103"/>
      <c r="NM4107" s="103"/>
      <c r="QT4107" s="106"/>
      <c r="QU4107" s="106"/>
      <c r="QV4107" s="106"/>
      <c r="QW4107" s="106"/>
      <c r="QX4107" s="106"/>
      <c r="QY4107" s="106"/>
      <c r="QZ4107" s="106"/>
      <c r="RA4107" s="106"/>
      <c r="RB4107" s="106"/>
      <c r="RC4107" s="106"/>
      <c r="RD4107" s="106"/>
      <c r="RE4107" s="106"/>
      <c r="RF4107" s="106"/>
      <c r="RG4107" s="106"/>
      <c r="RH4107" s="106"/>
      <c r="RI4107" s="106"/>
      <c r="RJ4107" s="106"/>
      <c r="RK4107" s="106"/>
      <c r="RL4107" s="106"/>
    </row>
    <row r="4108" spans="48:480" x14ac:dyDescent="0.3">
      <c r="AV4108" s="103"/>
      <c r="CJ4108" s="103"/>
      <c r="FP4108" s="103"/>
      <c r="LL4108" s="103"/>
      <c r="NM4108" s="103"/>
      <c r="QT4108" s="106"/>
      <c r="QU4108" s="106"/>
      <c r="QV4108" s="106"/>
      <c r="QW4108" s="106"/>
      <c r="QX4108" s="106"/>
      <c r="QY4108" s="106"/>
      <c r="QZ4108" s="106"/>
      <c r="RA4108" s="106"/>
      <c r="RB4108" s="106"/>
      <c r="RC4108" s="106"/>
      <c r="RD4108" s="106"/>
      <c r="RE4108" s="106"/>
      <c r="RF4108" s="106"/>
      <c r="RG4108" s="106"/>
      <c r="RH4108" s="106"/>
      <c r="RI4108" s="106"/>
      <c r="RJ4108" s="106"/>
      <c r="RK4108" s="106"/>
      <c r="RL4108" s="106"/>
    </row>
    <row r="4109" spans="48:480" x14ac:dyDescent="0.3">
      <c r="AV4109" s="103"/>
      <c r="CJ4109" s="103"/>
      <c r="FP4109" s="103"/>
      <c r="LL4109" s="103"/>
      <c r="NM4109" s="103"/>
      <c r="QT4109" s="106"/>
      <c r="QU4109" s="106"/>
      <c r="QV4109" s="106"/>
      <c r="QW4109" s="106"/>
      <c r="QX4109" s="106"/>
      <c r="QY4109" s="106"/>
      <c r="QZ4109" s="106"/>
      <c r="RA4109" s="106"/>
      <c r="RB4109" s="106"/>
      <c r="RC4109" s="106"/>
      <c r="RD4109" s="106"/>
      <c r="RE4109" s="106"/>
      <c r="RF4109" s="106"/>
      <c r="RG4109" s="106"/>
      <c r="RH4109" s="106"/>
      <c r="RI4109" s="106"/>
      <c r="RJ4109" s="106"/>
      <c r="RK4109" s="106"/>
      <c r="RL4109" s="106"/>
    </row>
    <row r="4110" spans="48:480" x14ac:dyDescent="0.3">
      <c r="AV4110" s="103"/>
      <c r="CJ4110" s="103"/>
      <c r="FP4110" s="103"/>
      <c r="LL4110" s="103"/>
      <c r="NM4110" s="103"/>
      <c r="QT4110" s="106"/>
      <c r="QU4110" s="106"/>
      <c r="QV4110" s="106"/>
      <c r="QW4110" s="106"/>
      <c r="QX4110" s="106"/>
      <c r="QY4110" s="106"/>
      <c r="QZ4110" s="106"/>
      <c r="RA4110" s="106"/>
      <c r="RB4110" s="106"/>
      <c r="RC4110" s="106"/>
      <c r="RD4110" s="106"/>
      <c r="RE4110" s="106"/>
      <c r="RF4110" s="106"/>
      <c r="RG4110" s="106"/>
      <c r="RH4110" s="106"/>
      <c r="RI4110" s="106"/>
      <c r="RJ4110" s="106"/>
      <c r="RK4110" s="106"/>
      <c r="RL4110" s="106"/>
    </row>
    <row r="4111" spans="48:480" x14ac:dyDescent="0.3">
      <c r="CJ4111" s="103"/>
      <c r="FP4111" s="103"/>
      <c r="LL4111" s="103"/>
      <c r="NM4111" s="103"/>
      <c r="QT4111" s="106"/>
      <c r="QU4111" s="106"/>
      <c r="QV4111" s="106"/>
      <c r="QW4111" s="106"/>
      <c r="QX4111" s="106"/>
      <c r="QY4111" s="106"/>
      <c r="QZ4111" s="106"/>
      <c r="RA4111" s="106"/>
      <c r="RB4111" s="106"/>
      <c r="RC4111" s="106"/>
      <c r="RD4111" s="106"/>
      <c r="RE4111" s="106"/>
      <c r="RF4111" s="106"/>
      <c r="RG4111" s="106"/>
      <c r="RH4111" s="106"/>
      <c r="RI4111" s="106"/>
      <c r="RJ4111" s="106"/>
      <c r="RK4111" s="106"/>
      <c r="RL4111" s="106"/>
    </row>
    <row r="4112" spans="48:480" x14ac:dyDescent="0.3">
      <c r="CJ4112" s="103"/>
      <c r="FP4112" s="103"/>
      <c r="LL4112" s="103"/>
      <c r="NM4112" s="103"/>
      <c r="QT4112" s="106"/>
      <c r="QU4112" s="106"/>
      <c r="QV4112" s="106"/>
      <c r="QW4112" s="106"/>
      <c r="QX4112" s="106"/>
      <c r="QY4112" s="106"/>
      <c r="QZ4112" s="106"/>
      <c r="RA4112" s="106"/>
      <c r="RB4112" s="106"/>
      <c r="RC4112" s="106"/>
      <c r="RD4112" s="106"/>
      <c r="RE4112" s="106"/>
      <c r="RF4112" s="106"/>
      <c r="RG4112" s="106"/>
      <c r="RH4112" s="106"/>
      <c r="RI4112" s="106"/>
      <c r="RJ4112" s="106"/>
      <c r="RK4112" s="106"/>
      <c r="RL4112" s="106"/>
    </row>
    <row r="4113" spans="48:480" x14ac:dyDescent="0.3">
      <c r="CJ4113" s="103"/>
      <c r="FP4113" s="103"/>
      <c r="LL4113" s="103"/>
      <c r="NM4113" s="103"/>
      <c r="QT4113" s="106"/>
      <c r="QU4113" s="106"/>
      <c r="QV4113" s="106"/>
      <c r="QW4113" s="106"/>
      <c r="QX4113" s="106"/>
      <c r="QY4113" s="106"/>
      <c r="QZ4113" s="106"/>
      <c r="RA4113" s="106"/>
      <c r="RB4113" s="106"/>
      <c r="RC4113" s="106"/>
      <c r="RD4113" s="106"/>
      <c r="RE4113" s="106"/>
      <c r="RF4113" s="106"/>
      <c r="RG4113" s="106"/>
      <c r="RH4113" s="106"/>
      <c r="RI4113" s="106"/>
      <c r="RJ4113" s="106"/>
      <c r="RK4113" s="106"/>
      <c r="RL4113" s="106"/>
    </row>
    <row r="4114" spans="48:480" x14ac:dyDescent="0.3">
      <c r="CJ4114" s="103"/>
      <c r="FP4114" s="103"/>
      <c r="LL4114" s="103"/>
      <c r="NM4114" s="103"/>
      <c r="QT4114" s="106"/>
      <c r="QU4114" s="106"/>
      <c r="QV4114" s="106"/>
      <c r="QW4114" s="106"/>
      <c r="QX4114" s="106"/>
      <c r="QY4114" s="106"/>
      <c r="QZ4114" s="106"/>
      <c r="RA4114" s="106"/>
      <c r="RB4114" s="106"/>
      <c r="RC4114" s="106"/>
      <c r="RD4114" s="106"/>
      <c r="RE4114" s="106"/>
      <c r="RF4114" s="106"/>
      <c r="RG4114" s="106"/>
      <c r="RH4114" s="106"/>
      <c r="RI4114" s="106"/>
      <c r="RJ4114" s="106"/>
      <c r="RK4114" s="106"/>
      <c r="RL4114" s="106"/>
    </row>
    <row r="4115" spans="48:480" x14ac:dyDescent="0.3">
      <c r="CJ4115" s="103"/>
      <c r="FP4115" s="103"/>
      <c r="LL4115" s="103"/>
      <c r="NM4115" s="103"/>
      <c r="QT4115" s="106"/>
      <c r="QU4115" s="106"/>
      <c r="QV4115" s="106"/>
      <c r="QW4115" s="106"/>
      <c r="QX4115" s="106"/>
      <c r="QY4115" s="106"/>
      <c r="QZ4115" s="106"/>
      <c r="RA4115" s="106"/>
      <c r="RB4115" s="106"/>
      <c r="RC4115" s="106"/>
      <c r="RD4115" s="106"/>
      <c r="RE4115" s="106"/>
      <c r="RF4115" s="106"/>
      <c r="RG4115" s="106"/>
      <c r="RH4115" s="106"/>
      <c r="RI4115" s="106"/>
      <c r="RJ4115" s="106"/>
      <c r="RK4115" s="106"/>
      <c r="RL4115" s="106"/>
    </row>
    <row r="4116" spans="48:480" x14ac:dyDescent="0.3">
      <c r="CJ4116" s="103"/>
      <c r="FP4116" s="103"/>
      <c r="LL4116" s="103"/>
      <c r="NM4116" s="103"/>
      <c r="QT4116" s="106"/>
      <c r="QU4116" s="106"/>
      <c r="QV4116" s="106"/>
      <c r="QW4116" s="106"/>
      <c r="QX4116" s="106"/>
      <c r="QY4116" s="106"/>
      <c r="QZ4116" s="106"/>
      <c r="RA4116" s="106"/>
      <c r="RB4116" s="106"/>
      <c r="RC4116" s="106"/>
      <c r="RD4116" s="106"/>
      <c r="RE4116" s="106"/>
      <c r="RF4116" s="106"/>
      <c r="RG4116" s="106"/>
      <c r="RH4116" s="106"/>
      <c r="RI4116" s="106"/>
      <c r="RJ4116" s="106"/>
      <c r="RK4116" s="106"/>
      <c r="RL4116" s="106"/>
    </row>
    <row r="4117" spans="48:480" x14ac:dyDescent="0.3">
      <c r="CJ4117" s="103"/>
      <c r="FP4117" s="103"/>
      <c r="LL4117" s="103"/>
      <c r="NM4117" s="103"/>
      <c r="QT4117" s="106"/>
      <c r="QU4117" s="106"/>
      <c r="QV4117" s="106"/>
      <c r="QW4117" s="106"/>
      <c r="QX4117" s="106"/>
      <c r="QY4117" s="106"/>
      <c r="QZ4117" s="106"/>
      <c r="RA4117" s="106"/>
      <c r="RB4117" s="106"/>
      <c r="RC4117" s="106"/>
      <c r="RD4117" s="106"/>
      <c r="RE4117" s="106"/>
      <c r="RF4117" s="106"/>
      <c r="RG4117" s="106"/>
      <c r="RH4117" s="106"/>
      <c r="RI4117" s="106"/>
      <c r="RJ4117" s="106"/>
      <c r="RK4117" s="106"/>
      <c r="RL4117" s="106"/>
    </row>
    <row r="4118" spans="48:480" x14ac:dyDescent="0.3">
      <c r="CJ4118" s="103"/>
      <c r="FP4118" s="103"/>
      <c r="LL4118" s="103"/>
      <c r="NM4118" s="103"/>
      <c r="QT4118" s="106"/>
      <c r="QU4118" s="106"/>
      <c r="QV4118" s="106"/>
      <c r="QW4118" s="106"/>
      <c r="QX4118" s="106"/>
      <c r="QY4118" s="106"/>
      <c r="QZ4118" s="106"/>
      <c r="RA4118" s="106"/>
      <c r="RB4118" s="106"/>
      <c r="RC4118" s="106"/>
      <c r="RD4118" s="106"/>
      <c r="RE4118" s="106"/>
      <c r="RF4118" s="106"/>
      <c r="RG4118" s="106"/>
      <c r="RH4118" s="106"/>
      <c r="RI4118" s="106"/>
      <c r="RJ4118" s="106"/>
      <c r="RK4118" s="106"/>
      <c r="RL4118" s="106"/>
    </row>
    <row r="4119" spans="48:480" x14ac:dyDescent="0.3">
      <c r="AV4119" s="103"/>
      <c r="CJ4119" s="103"/>
      <c r="FP4119" s="103"/>
      <c r="LL4119" s="103"/>
      <c r="NM4119" s="103"/>
      <c r="QT4119" s="106"/>
      <c r="QU4119" s="106"/>
      <c r="QV4119" s="106"/>
      <c r="QW4119" s="106"/>
      <c r="QX4119" s="106"/>
      <c r="QY4119" s="106"/>
      <c r="QZ4119" s="106"/>
      <c r="RA4119" s="106"/>
      <c r="RB4119" s="106"/>
      <c r="RC4119" s="106"/>
      <c r="RD4119" s="106"/>
      <c r="RE4119" s="106"/>
      <c r="RF4119" s="106"/>
      <c r="RG4119" s="106"/>
      <c r="RH4119" s="106"/>
      <c r="RI4119" s="106"/>
      <c r="RJ4119" s="106"/>
      <c r="RK4119" s="106"/>
      <c r="RL4119" s="106"/>
    </row>
    <row r="4120" spans="48:480" x14ac:dyDescent="0.3">
      <c r="AV4120" s="103"/>
      <c r="CJ4120" s="103"/>
      <c r="FP4120" s="103"/>
      <c r="LL4120" s="103"/>
      <c r="NM4120" s="103"/>
      <c r="QT4120" s="106"/>
      <c r="QU4120" s="106"/>
      <c r="QV4120" s="106"/>
      <c r="QW4120" s="106"/>
      <c r="QX4120" s="106"/>
      <c r="QY4120" s="106"/>
      <c r="QZ4120" s="106"/>
      <c r="RA4120" s="106"/>
      <c r="RB4120" s="106"/>
      <c r="RC4120" s="106"/>
      <c r="RD4120" s="106"/>
      <c r="RE4120" s="106"/>
      <c r="RF4120" s="106"/>
      <c r="RG4120" s="106"/>
      <c r="RH4120" s="106"/>
      <c r="RI4120" s="106"/>
      <c r="RJ4120" s="106"/>
      <c r="RK4120" s="106"/>
      <c r="RL4120" s="106"/>
    </row>
    <row r="4121" spans="48:480" x14ac:dyDescent="0.3">
      <c r="AV4121" s="103"/>
      <c r="CJ4121" s="103"/>
      <c r="FP4121" s="103"/>
      <c r="LL4121" s="103"/>
      <c r="NM4121" s="103"/>
      <c r="QT4121" s="106"/>
      <c r="QU4121" s="106"/>
      <c r="QV4121" s="106"/>
      <c r="QW4121" s="106"/>
      <c r="QX4121" s="106"/>
      <c r="QY4121" s="106"/>
      <c r="QZ4121" s="106"/>
      <c r="RA4121" s="106"/>
      <c r="RB4121" s="106"/>
      <c r="RC4121" s="106"/>
      <c r="RD4121" s="106"/>
      <c r="RE4121" s="106"/>
      <c r="RF4121" s="106"/>
      <c r="RG4121" s="106"/>
      <c r="RH4121" s="106"/>
      <c r="RI4121" s="106"/>
      <c r="RJ4121" s="106"/>
      <c r="RK4121" s="106"/>
      <c r="RL4121" s="106"/>
    </row>
    <row r="4122" spans="48:480" x14ac:dyDescent="0.3">
      <c r="AV4122" s="103"/>
      <c r="CJ4122" s="103"/>
      <c r="FP4122" s="103"/>
      <c r="LL4122" s="103"/>
      <c r="NM4122" s="103"/>
      <c r="QT4122" s="106"/>
      <c r="QU4122" s="106"/>
      <c r="QV4122" s="106"/>
      <c r="QW4122" s="106"/>
      <c r="QX4122" s="106"/>
      <c r="QY4122" s="106"/>
      <c r="QZ4122" s="106"/>
      <c r="RA4122" s="106"/>
      <c r="RB4122" s="106"/>
      <c r="RC4122" s="106"/>
      <c r="RD4122" s="106"/>
      <c r="RE4122" s="106"/>
      <c r="RF4122" s="106"/>
      <c r="RG4122" s="106"/>
      <c r="RH4122" s="106"/>
      <c r="RI4122" s="106"/>
      <c r="RJ4122" s="106"/>
      <c r="RK4122" s="106"/>
      <c r="RL4122" s="106"/>
    </row>
    <row r="4123" spans="48:480" x14ac:dyDescent="0.3">
      <c r="AV4123" s="103"/>
      <c r="CJ4123" s="103"/>
      <c r="FP4123" s="103"/>
      <c r="LL4123" s="103"/>
      <c r="NM4123" s="103"/>
      <c r="QT4123" s="106"/>
      <c r="QU4123" s="106"/>
      <c r="QV4123" s="106"/>
      <c r="QW4123" s="106"/>
      <c r="QX4123" s="106"/>
      <c r="QY4123" s="106"/>
      <c r="QZ4123" s="106"/>
      <c r="RA4123" s="106"/>
      <c r="RB4123" s="106"/>
      <c r="RC4123" s="106"/>
      <c r="RD4123" s="106"/>
      <c r="RE4123" s="106"/>
      <c r="RF4123" s="106"/>
      <c r="RG4123" s="106"/>
      <c r="RH4123" s="106"/>
      <c r="RI4123" s="106"/>
      <c r="RJ4123" s="106"/>
      <c r="RK4123" s="106"/>
      <c r="RL4123" s="106"/>
    </row>
    <row r="4124" spans="48:480" x14ac:dyDescent="0.3">
      <c r="AV4124" s="103"/>
      <c r="CJ4124" s="103"/>
      <c r="FP4124" s="103"/>
      <c r="LL4124" s="103"/>
      <c r="NM4124" s="103"/>
      <c r="QT4124" s="106"/>
      <c r="QU4124" s="106"/>
      <c r="QV4124" s="106"/>
      <c r="QW4124" s="106"/>
      <c r="QX4124" s="106"/>
      <c r="QY4124" s="106"/>
      <c r="QZ4124" s="106"/>
      <c r="RA4124" s="106"/>
      <c r="RB4124" s="106"/>
      <c r="RC4124" s="106"/>
      <c r="RD4124" s="106"/>
      <c r="RE4124" s="106"/>
      <c r="RF4124" s="106"/>
      <c r="RG4124" s="106"/>
      <c r="RH4124" s="106"/>
      <c r="RI4124" s="106"/>
      <c r="RJ4124" s="106"/>
      <c r="RK4124" s="106"/>
      <c r="RL4124" s="106"/>
    </row>
    <row r="4125" spans="48:480" x14ac:dyDescent="0.3">
      <c r="CJ4125" s="103"/>
      <c r="FP4125" s="103"/>
      <c r="LL4125" s="103"/>
      <c r="NM4125" s="103"/>
      <c r="QT4125" s="106"/>
      <c r="QU4125" s="106"/>
      <c r="QV4125" s="106"/>
      <c r="QW4125" s="106"/>
      <c r="QX4125" s="106"/>
      <c r="QY4125" s="106"/>
      <c r="QZ4125" s="106"/>
      <c r="RA4125" s="106"/>
      <c r="RB4125" s="106"/>
      <c r="RC4125" s="106"/>
      <c r="RD4125" s="106"/>
      <c r="RE4125" s="106"/>
      <c r="RF4125" s="106"/>
      <c r="RG4125" s="106"/>
      <c r="RH4125" s="106"/>
      <c r="RI4125" s="106"/>
      <c r="RJ4125" s="106"/>
      <c r="RK4125" s="106"/>
      <c r="RL4125" s="106"/>
    </row>
    <row r="4126" spans="48:480" x14ac:dyDescent="0.3">
      <c r="AV4126" s="103"/>
      <c r="CJ4126" s="103"/>
      <c r="FP4126" s="103"/>
      <c r="LL4126" s="103"/>
      <c r="NM4126" s="103"/>
      <c r="QT4126" s="106"/>
      <c r="QU4126" s="106"/>
      <c r="QV4126" s="106"/>
      <c r="QW4126" s="106"/>
      <c r="QX4126" s="106"/>
      <c r="QY4126" s="106"/>
      <c r="QZ4126" s="106"/>
      <c r="RA4126" s="106"/>
      <c r="RB4126" s="106"/>
      <c r="RC4126" s="106"/>
      <c r="RD4126" s="106"/>
      <c r="RE4126" s="106"/>
      <c r="RF4126" s="106"/>
      <c r="RG4126" s="106"/>
      <c r="RH4126" s="106"/>
      <c r="RI4126" s="106"/>
      <c r="RJ4126" s="106"/>
      <c r="RK4126" s="106"/>
      <c r="RL4126" s="106"/>
    </row>
    <row r="4127" spans="48:480" x14ac:dyDescent="0.3">
      <c r="AV4127" s="103"/>
      <c r="CJ4127" s="103"/>
      <c r="FP4127" s="103"/>
      <c r="LL4127" s="103"/>
      <c r="NM4127" s="103"/>
      <c r="QT4127" s="106"/>
      <c r="QU4127" s="106"/>
      <c r="QV4127" s="106"/>
      <c r="QW4127" s="106"/>
      <c r="QX4127" s="106"/>
      <c r="QY4127" s="106"/>
      <c r="QZ4127" s="106"/>
      <c r="RA4127" s="106"/>
      <c r="RB4127" s="106"/>
      <c r="RC4127" s="106"/>
      <c r="RD4127" s="106"/>
      <c r="RE4127" s="106"/>
      <c r="RF4127" s="106"/>
      <c r="RG4127" s="106"/>
      <c r="RH4127" s="106"/>
      <c r="RI4127" s="106"/>
      <c r="RJ4127" s="106"/>
      <c r="RK4127" s="106"/>
      <c r="RL4127" s="106"/>
    </row>
    <row r="4128" spans="48:480" x14ac:dyDescent="0.3">
      <c r="AV4128" s="103"/>
      <c r="CJ4128" s="103"/>
      <c r="FP4128" s="103"/>
      <c r="LL4128" s="103"/>
      <c r="NM4128" s="103"/>
      <c r="QT4128" s="106"/>
      <c r="QU4128" s="106"/>
      <c r="QV4128" s="106"/>
      <c r="QW4128" s="106"/>
      <c r="QX4128" s="106"/>
      <c r="QY4128" s="106"/>
      <c r="QZ4128" s="106"/>
      <c r="RA4128" s="106"/>
      <c r="RB4128" s="106"/>
      <c r="RC4128" s="106"/>
      <c r="RD4128" s="106"/>
      <c r="RE4128" s="106"/>
      <c r="RF4128" s="106"/>
      <c r="RG4128" s="106"/>
      <c r="RH4128" s="106"/>
      <c r="RI4128" s="106"/>
      <c r="RJ4128" s="106"/>
      <c r="RK4128" s="106"/>
      <c r="RL4128" s="106"/>
    </row>
    <row r="4129" spans="48:480" x14ac:dyDescent="0.3">
      <c r="AV4129" s="103"/>
      <c r="CJ4129" s="103"/>
      <c r="FP4129" s="103"/>
      <c r="LL4129" s="103"/>
      <c r="NM4129" s="103"/>
      <c r="QT4129" s="106"/>
      <c r="QU4129" s="106"/>
      <c r="QV4129" s="106"/>
      <c r="QW4129" s="106"/>
      <c r="QX4129" s="106"/>
      <c r="QY4129" s="106"/>
      <c r="QZ4129" s="106"/>
      <c r="RA4129" s="106"/>
      <c r="RB4129" s="106"/>
      <c r="RC4129" s="106"/>
      <c r="RD4129" s="106"/>
      <c r="RE4129" s="106"/>
      <c r="RF4129" s="106"/>
      <c r="RG4129" s="106"/>
      <c r="RH4129" s="106"/>
      <c r="RI4129" s="106"/>
      <c r="RJ4129" s="106"/>
      <c r="RK4129" s="106"/>
      <c r="RL4129" s="106"/>
    </row>
    <row r="4130" spans="48:480" x14ac:dyDescent="0.3">
      <c r="AV4130" s="103"/>
      <c r="CJ4130" s="103"/>
      <c r="FP4130" s="103"/>
      <c r="LL4130" s="103"/>
      <c r="NM4130" s="103"/>
      <c r="QT4130" s="106"/>
      <c r="QU4130" s="106"/>
      <c r="QV4130" s="106"/>
      <c r="QW4130" s="106"/>
      <c r="QX4130" s="106"/>
      <c r="QY4130" s="106"/>
      <c r="QZ4130" s="106"/>
      <c r="RA4130" s="106"/>
      <c r="RB4130" s="106"/>
      <c r="RC4130" s="106"/>
      <c r="RD4130" s="106"/>
      <c r="RE4130" s="106"/>
      <c r="RF4130" s="106"/>
      <c r="RG4130" s="106"/>
      <c r="RH4130" s="106"/>
      <c r="RI4130" s="106"/>
      <c r="RJ4130" s="106"/>
      <c r="RK4130" s="106"/>
      <c r="RL4130" s="106"/>
    </row>
    <row r="4131" spans="48:480" x14ac:dyDescent="0.3">
      <c r="AV4131" s="103"/>
      <c r="CJ4131" s="103"/>
      <c r="FP4131" s="103"/>
      <c r="LL4131" s="103"/>
      <c r="NM4131" s="103"/>
      <c r="QT4131" s="106"/>
      <c r="QU4131" s="106"/>
      <c r="QV4131" s="106"/>
      <c r="QW4131" s="106"/>
      <c r="QX4131" s="106"/>
      <c r="QY4131" s="106"/>
      <c r="QZ4131" s="106"/>
      <c r="RA4131" s="106"/>
      <c r="RB4131" s="106"/>
      <c r="RC4131" s="106"/>
      <c r="RD4131" s="106"/>
      <c r="RE4131" s="106"/>
      <c r="RF4131" s="106"/>
      <c r="RG4131" s="106"/>
      <c r="RH4131" s="106"/>
      <c r="RI4131" s="106"/>
      <c r="RJ4131" s="106"/>
      <c r="RK4131" s="106"/>
      <c r="RL4131" s="106"/>
    </row>
    <row r="4132" spans="48:480" x14ac:dyDescent="0.3">
      <c r="AV4132" s="103"/>
      <c r="CJ4132" s="103"/>
      <c r="FP4132" s="103"/>
      <c r="LL4132" s="103"/>
      <c r="NM4132" s="103"/>
      <c r="QT4132" s="106"/>
      <c r="QU4132" s="106"/>
      <c r="QV4132" s="106"/>
      <c r="QW4132" s="106"/>
      <c r="QX4132" s="106"/>
      <c r="QY4132" s="106"/>
      <c r="QZ4132" s="106"/>
      <c r="RA4132" s="106"/>
      <c r="RB4132" s="106"/>
      <c r="RC4132" s="106"/>
      <c r="RD4132" s="106"/>
      <c r="RE4132" s="106"/>
      <c r="RF4132" s="106"/>
      <c r="RG4132" s="106"/>
      <c r="RH4132" s="106"/>
      <c r="RI4132" s="106"/>
      <c r="RJ4132" s="106"/>
      <c r="RK4132" s="106"/>
      <c r="RL4132" s="106"/>
    </row>
    <row r="4133" spans="48:480" x14ac:dyDescent="0.3">
      <c r="AV4133" s="103"/>
      <c r="CJ4133" s="103"/>
      <c r="FP4133" s="103"/>
      <c r="LL4133" s="103"/>
      <c r="NM4133" s="103"/>
      <c r="QT4133" s="106"/>
      <c r="QU4133" s="106"/>
      <c r="QV4133" s="106"/>
      <c r="QW4133" s="106"/>
      <c r="QX4133" s="106"/>
      <c r="QY4133" s="106"/>
      <c r="QZ4133" s="106"/>
      <c r="RA4133" s="106"/>
      <c r="RB4133" s="106"/>
      <c r="RC4133" s="106"/>
      <c r="RD4133" s="106"/>
      <c r="RE4133" s="106"/>
      <c r="RF4133" s="106"/>
      <c r="RG4133" s="106"/>
      <c r="RH4133" s="106"/>
      <c r="RI4133" s="106"/>
      <c r="RJ4133" s="106"/>
      <c r="RK4133" s="106"/>
      <c r="RL4133" s="106"/>
    </row>
    <row r="4134" spans="48:480" x14ac:dyDescent="0.3">
      <c r="AV4134" s="103"/>
      <c r="CJ4134" s="103"/>
      <c r="FP4134" s="103"/>
      <c r="LL4134" s="103"/>
      <c r="NM4134" s="103"/>
      <c r="QT4134" s="106"/>
      <c r="QU4134" s="106"/>
      <c r="QV4134" s="106"/>
      <c r="QW4134" s="106"/>
      <c r="QX4134" s="106"/>
      <c r="QY4134" s="106"/>
      <c r="QZ4134" s="106"/>
      <c r="RA4134" s="106"/>
      <c r="RB4134" s="106"/>
      <c r="RC4134" s="106"/>
      <c r="RD4134" s="106"/>
      <c r="RE4134" s="106"/>
      <c r="RF4134" s="106"/>
      <c r="RG4134" s="106"/>
      <c r="RH4134" s="106"/>
      <c r="RI4134" s="106"/>
      <c r="RJ4134" s="106"/>
      <c r="RK4134" s="106"/>
      <c r="RL4134" s="106"/>
    </row>
    <row r="4135" spans="48:480" x14ac:dyDescent="0.3">
      <c r="AV4135" s="103"/>
      <c r="CJ4135" s="103"/>
      <c r="FP4135" s="103"/>
      <c r="LL4135" s="103"/>
      <c r="NM4135" s="103"/>
      <c r="QT4135" s="106"/>
      <c r="QU4135" s="106"/>
      <c r="QV4135" s="106"/>
      <c r="QW4135" s="106"/>
      <c r="QX4135" s="106"/>
      <c r="QY4135" s="106"/>
      <c r="QZ4135" s="106"/>
      <c r="RA4135" s="106"/>
      <c r="RB4135" s="106"/>
      <c r="RC4135" s="106"/>
      <c r="RD4135" s="106"/>
      <c r="RE4135" s="106"/>
      <c r="RF4135" s="106"/>
      <c r="RG4135" s="106"/>
      <c r="RH4135" s="106"/>
      <c r="RI4135" s="106"/>
      <c r="RJ4135" s="106"/>
      <c r="RK4135" s="106"/>
      <c r="RL4135" s="106"/>
    </row>
    <row r="4136" spans="48:480" x14ac:dyDescent="0.3">
      <c r="AV4136" s="103"/>
      <c r="CJ4136" s="103"/>
      <c r="FP4136" s="103"/>
      <c r="LL4136" s="103"/>
      <c r="NM4136" s="103"/>
      <c r="QT4136" s="106"/>
      <c r="QU4136" s="106"/>
      <c r="QV4136" s="106"/>
      <c r="QW4136" s="106"/>
      <c r="QX4136" s="106"/>
      <c r="QY4136" s="106"/>
      <c r="QZ4136" s="106"/>
      <c r="RA4136" s="106"/>
      <c r="RB4136" s="106"/>
      <c r="RC4136" s="106"/>
      <c r="RD4136" s="106"/>
      <c r="RE4136" s="106"/>
      <c r="RF4136" s="106"/>
      <c r="RG4136" s="106"/>
      <c r="RH4136" s="106"/>
      <c r="RI4136" s="106"/>
      <c r="RJ4136" s="106"/>
      <c r="RK4136" s="106"/>
      <c r="RL4136" s="106"/>
    </row>
    <row r="4137" spans="48:480" x14ac:dyDescent="0.3">
      <c r="AV4137" s="103"/>
      <c r="CJ4137" s="103"/>
      <c r="FP4137" s="103"/>
      <c r="LL4137" s="103"/>
      <c r="NM4137" s="103"/>
      <c r="QT4137" s="106"/>
      <c r="QU4137" s="106"/>
      <c r="QV4137" s="106"/>
      <c r="QW4137" s="106"/>
      <c r="QX4137" s="106"/>
      <c r="QY4137" s="106"/>
      <c r="QZ4137" s="106"/>
      <c r="RA4137" s="106"/>
      <c r="RB4137" s="106"/>
      <c r="RC4137" s="106"/>
      <c r="RD4137" s="106"/>
      <c r="RE4137" s="106"/>
      <c r="RF4137" s="106"/>
      <c r="RG4137" s="106"/>
      <c r="RH4137" s="106"/>
      <c r="RI4137" s="106"/>
      <c r="RJ4137" s="106"/>
      <c r="RK4137" s="106"/>
      <c r="RL4137" s="106"/>
    </row>
    <row r="4138" spans="48:480" x14ac:dyDescent="0.3">
      <c r="AV4138" s="103"/>
      <c r="CJ4138" s="103"/>
      <c r="FP4138" s="103"/>
      <c r="LL4138" s="103"/>
      <c r="NM4138" s="103"/>
      <c r="QT4138" s="106"/>
      <c r="QU4138" s="106"/>
      <c r="QV4138" s="106"/>
      <c r="QW4138" s="106"/>
      <c r="QX4138" s="106"/>
      <c r="QY4138" s="106"/>
      <c r="QZ4138" s="106"/>
      <c r="RA4138" s="106"/>
      <c r="RB4138" s="106"/>
      <c r="RC4138" s="106"/>
      <c r="RD4138" s="106"/>
      <c r="RE4138" s="106"/>
      <c r="RF4138" s="106"/>
      <c r="RG4138" s="106"/>
      <c r="RH4138" s="106"/>
      <c r="RI4138" s="106"/>
      <c r="RJ4138" s="106"/>
      <c r="RK4138" s="106"/>
      <c r="RL4138" s="106"/>
    </row>
    <row r="4139" spans="48:480" x14ac:dyDescent="0.3">
      <c r="AV4139" s="103"/>
      <c r="CJ4139" s="103"/>
      <c r="FP4139" s="103"/>
      <c r="LL4139" s="103"/>
      <c r="NM4139" s="103"/>
      <c r="QT4139" s="106"/>
      <c r="QU4139" s="106"/>
      <c r="QV4139" s="106"/>
      <c r="QW4139" s="106"/>
      <c r="QX4139" s="106"/>
      <c r="QY4139" s="106"/>
      <c r="QZ4139" s="106"/>
      <c r="RA4139" s="106"/>
      <c r="RB4139" s="106"/>
      <c r="RC4139" s="106"/>
      <c r="RD4139" s="106"/>
      <c r="RE4139" s="106"/>
      <c r="RF4139" s="106"/>
      <c r="RG4139" s="106"/>
      <c r="RH4139" s="106"/>
      <c r="RI4139" s="106"/>
      <c r="RJ4139" s="106"/>
      <c r="RK4139" s="106"/>
      <c r="RL4139" s="106"/>
    </row>
    <row r="4140" spans="48:480" x14ac:dyDescent="0.3">
      <c r="AV4140" s="103"/>
      <c r="CJ4140" s="103"/>
      <c r="FP4140" s="103"/>
      <c r="LL4140" s="103"/>
      <c r="NM4140" s="103"/>
      <c r="QT4140" s="106"/>
      <c r="QU4140" s="106"/>
      <c r="QV4140" s="106"/>
      <c r="QW4140" s="106"/>
      <c r="QX4140" s="106"/>
      <c r="QY4140" s="106"/>
      <c r="QZ4140" s="106"/>
      <c r="RA4140" s="106"/>
      <c r="RB4140" s="106"/>
      <c r="RC4140" s="106"/>
      <c r="RD4140" s="106"/>
      <c r="RE4140" s="106"/>
      <c r="RF4140" s="106"/>
      <c r="RG4140" s="106"/>
      <c r="RH4140" s="106"/>
      <c r="RI4140" s="106"/>
      <c r="RJ4140" s="106"/>
      <c r="RK4140" s="106"/>
      <c r="RL4140" s="106"/>
    </row>
    <row r="4141" spans="48:480" x14ac:dyDescent="0.3">
      <c r="AV4141" s="103"/>
      <c r="CJ4141" s="103"/>
      <c r="FP4141" s="103"/>
      <c r="LL4141" s="103"/>
      <c r="NM4141" s="103"/>
      <c r="QT4141" s="106"/>
      <c r="QU4141" s="106"/>
      <c r="QV4141" s="106"/>
      <c r="QW4141" s="106"/>
      <c r="QX4141" s="106"/>
      <c r="QY4141" s="106"/>
      <c r="QZ4141" s="106"/>
      <c r="RA4141" s="106"/>
      <c r="RB4141" s="106"/>
      <c r="RC4141" s="106"/>
      <c r="RD4141" s="106"/>
      <c r="RE4141" s="106"/>
      <c r="RF4141" s="106"/>
      <c r="RG4141" s="106"/>
      <c r="RH4141" s="106"/>
      <c r="RI4141" s="106"/>
      <c r="RJ4141" s="106"/>
      <c r="RK4141" s="106"/>
      <c r="RL4141" s="106"/>
    </row>
    <row r="4142" spans="48:480" x14ac:dyDescent="0.3">
      <c r="AV4142" s="103"/>
      <c r="CJ4142" s="103"/>
      <c r="FP4142" s="103"/>
      <c r="LL4142" s="103"/>
      <c r="NM4142" s="103"/>
      <c r="QT4142" s="106"/>
      <c r="QU4142" s="106"/>
      <c r="QV4142" s="106"/>
      <c r="QW4142" s="106"/>
      <c r="QX4142" s="106"/>
      <c r="QY4142" s="106"/>
      <c r="QZ4142" s="106"/>
      <c r="RA4142" s="106"/>
      <c r="RB4142" s="106"/>
      <c r="RC4142" s="106"/>
      <c r="RD4142" s="106"/>
      <c r="RE4142" s="106"/>
      <c r="RF4142" s="106"/>
      <c r="RG4142" s="106"/>
      <c r="RH4142" s="106"/>
      <c r="RI4142" s="106"/>
      <c r="RJ4142" s="106"/>
      <c r="RK4142" s="106"/>
      <c r="RL4142" s="106"/>
    </row>
    <row r="4143" spans="48:480" x14ac:dyDescent="0.3">
      <c r="AV4143" s="103"/>
      <c r="CJ4143" s="103"/>
      <c r="FP4143" s="103"/>
      <c r="LL4143" s="103"/>
      <c r="NM4143" s="103"/>
      <c r="QT4143" s="106"/>
      <c r="QU4143" s="106"/>
      <c r="QV4143" s="106"/>
      <c r="QW4143" s="106"/>
      <c r="QX4143" s="106"/>
      <c r="QY4143" s="106"/>
      <c r="QZ4143" s="106"/>
      <c r="RA4143" s="106"/>
      <c r="RB4143" s="106"/>
      <c r="RC4143" s="106"/>
      <c r="RD4143" s="106"/>
      <c r="RE4143" s="106"/>
      <c r="RF4143" s="106"/>
      <c r="RG4143" s="106"/>
      <c r="RH4143" s="106"/>
      <c r="RI4143" s="106"/>
      <c r="RJ4143" s="106"/>
      <c r="RK4143" s="106"/>
      <c r="RL4143" s="106"/>
    </row>
    <row r="4144" spans="48:480" x14ac:dyDescent="0.3">
      <c r="AV4144" s="103"/>
      <c r="CJ4144" s="103"/>
      <c r="FP4144" s="103"/>
      <c r="LL4144" s="103"/>
      <c r="NM4144" s="103"/>
      <c r="QT4144" s="106"/>
      <c r="QU4144" s="106"/>
      <c r="QV4144" s="106"/>
      <c r="QW4144" s="106"/>
      <c r="QX4144" s="106"/>
      <c r="QY4144" s="106"/>
      <c r="QZ4144" s="106"/>
      <c r="RA4144" s="106"/>
      <c r="RB4144" s="106"/>
      <c r="RC4144" s="106"/>
      <c r="RD4144" s="106"/>
      <c r="RE4144" s="106"/>
      <c r="RF4144" s="106"/>
      <c r="RG4144" s="106"/>
      <c r="RH4144" s="106"/>
      <c r="RI4144" s="106"/>
      <c r="RJ4144" s="106"/>
      <c r="RK4144" s="106"/>
      <c r="RL4144" s="106"/>
    </row>
    <row r="4145" spans="48:480" x14ac:dyDescent="0.3">
      <c r="AV4145" s="103"/>
      <c r="CJ4145" s="103"/>
      <c r="FP4145" s="103"/>
      <c r="LL4145" s="103"/>
      <c r="NM4145" s="103"/>
      <c r="QT4145" s="106"/>
      <c r="QU4145" s="106"/>
      <c r="QV4145" s="106"/>
      <c r="QW4145" s="106"/>
      <c r="QX4145" s="106"/>
      <c r="QY4145" s="106"/>
      <c r="QZ4145" s="106"/>
      <c r="RA4145" s="106"/>
      <c r="RB4145" s="106"/>
      <c r="RC4145" s="106"/>
      <c r="RD4145" s="106"/>
      <c r="RE4145" s="106"/>
      <c r="RF4145" s="106"/>
      <c r="RG4145" s="106"/>
      <c r="RH4145" s="106"/>
      <c r="RI4145" s="106"/>
      <c r="RJ4145" s="106"/>
      <c r="RK4145" s="106"/>
      <c r="RL4145" s="106"/>
    </row>
    <row r="4146" spans="48:480" x14ac:dyDescent="0.3">
      <c r="AV4146" s="103"/>
      <c r="CJ4146" s="103"/>
      <c r="FP4146" s="103"/>
      <c r="LL4146" s="103"/>
      <c r="NM4146" s="103"/>
      <c r="QT4146" s="106"/>
      <c r="QU4146" s="106"/>
      <c r="QV4146" s="106"/>
      <c r="QW4146" s="106"/>
      <c r="QX4146" s="106"/>
      <c r="QY4146" s="106"/>
      <c r="QZ4146" s="106"/>
      <c r="RA4146" s="106"/>
      <c r="RB4146" s="106"/>
      <c r="RC4146" s="106"/>
      <c r="RD4146" s="106"/>
      <c r="RE4146" s="106"/>
      <c r="RF4146" s="106"/>
      <c r="RG4146" s="106"/>
      <c r="RH4146" s="106"/>
      <c r="RI4146" s="106"/>
      <c r="RJ4146" s="106"/>
      <c r="RK4146" s="106"/>
      <c r="RL4146" s="106"/>
    </row>
    <row r="4147" spans="48:480" x14ac:dyDescent="0.3">
      <c r="AV4147" s="103"/>
      <c r="CJ4147" s="103"/>
      <c r="FP4147" s="103"/>
      <c r="LL4147" s="103"/>
      <c r="NM4147" s="103"/>
      <c r="QT4147" s="106"/>
      <c r="QU4147" s="106"/>
      <c r="QV4147" s="106"/>
      <c r="QW4147" s="106"/>
      <c r="QX4147" s="106"/>
      <c r="QY4147" s="106"/>
      <c r="QZ4147" s="106"/>
      <c r="RA4147" s="106"/>
      <c r="RB4147" s="106"/>
      <c r="RC4147" s="106"/>
      <c r="RD4147" s="106"/>
      <c r="RE4147" s="106"/>
      <c r="RF4147" s="106"/>
      <c r="RG4147" s="106"/>
      <c r="RH4147" s="106"/>
      <c r="RI4147" s="106"/>
      <c r="RJ4147" s="106"/>
      <c r="RK4147" s="106"/>
      <c r="RL4147" s="106"/>
    </row>
    <row r="4148" spans="48:480" x14ac:dyDescent="0.3">
      <c r="AV4148" s="103"/>
      <c r="CJ4148" s="103"/>
      <c r="FP4148" s="103"/>
      <c r="LL4148" s="103"/>
      <c r="NM4148" s="103"/>
      <c r="QT4148" s="106"/>
      <c r="QU4148" s="106"/>
      <c r="QV4148" s="106"/>
      <c r="QW4148" s="106"/>
      <c r="QX4148" s="106"/>
      <c r="QY4148" s="106"/>
      <c r="QZ4148" s="106"/>
      <c r="RA4148" s="106"/>
      <c r="RB4148" s="106"/>
      <c r="RC4148" s="106"/>
      <c r="RD4148" s="106"/>
      <c r="RE4148" s="106"/>
      <c r="RF4148" s="106"/>
      <c r="RG4148" s="106"/>
      <c r="RH4148" s="106"/>
      <c r="RI4148" s="106"/>
      <c r="RJ4148" s="106"/>
      <c r="RK4148" s="106"/>
      <c r="RL4148" s="106"/>
    </row>
    <row r="4149" spans="48:480" x14ac:dyDescent="0.3">
      <c r="AV4149" s="103"/>
      <c r="CJ4149" s="103"/>
      <c r="FP4149" s="103"/>
      <c r="LL4149" s="103"/>
      <c r="NM4149" s="103"/>
      <c r="QT4149" s="106"/>
      <c r="QU4149" s="106"/>
      <c r="QV4149" s="106"/>
      <c r="QW4149" s="106"/>
      <c r="QX4149" s="106"/>
      <c r="QY4149" s="106"/>
      <c r="QZ4149" s="106"/>
      <c r="RA4149" s="106"/>
      <c r="RB4149" s="106"/>
      <c r="RC4149" s="106"/>
      <c r="RD4149" s="106"/>
      <c r="RE4149" s="106"/>
      <c r="RF4149" s="106"/>
      <c r="RG4149" s="106"/>
      <c r="RH4149" s="106"/>
      <c r="RI4149" s="106"/>
      <c r="RJ4149" s="106"/>
      <c r="RK4149" s="106"/>
      <c r="RL4149" s="106"/>
    </row>
    <row r="4150" spans="48:480" x14ac:dyDescent="0.3">
      <c r="AV4150" s="103"/>
      <c r="CJ4150" s="103"/>
      <c r="FP4150" s="103"/>
      <c r="LL4150" s="103"/>
      <c r="NM4150" s="103"/>
      <c r="QT4150" s="106"/>
      <c r="QU4150" s="106"/>
      <c r="QV4150" s="106"/>
      <c r="QW4150" s="106"/>
      <c r="QX4150" s="106"/>
      <c r="QY4150" s="106"/>
      <c r="QZ4150" s="106"/>
      <c r="RA4150" s="106"/>
      <c r="RB4150" s="106"/>
      <c r="RC4150" s="106"/>
      <c r="RD4150" s="106"/>
      <c r="RE4150" s="106"/>
      <c r="RF4150" s="106"/>
      <c r="RG4150" s="106"/>
      <c r="RH4150" s="106"/>
      <c r="RI4150" s="106"/>
      <c r="RJ4150" s="106"/>
      <c r="RK4150" s="106"/>
      <c r="RL4150" s="106"/>
    </row>
    <row r="4151" spans="48:480" x14ac:dyDescent="0.3">
      <c r="AV4151" s="103"/>
      <c r="CJ4151" s="103"/>
      <c r="FP4151" s="103"/>
      <c r="LL4151" s="103"/>
      <c r="NM4151" s="103"/>
      <c r="QT4151" s="106"/>
      <c r="QU4151" s="106"/>
      <c r="QV4151" s="106"/>
      <c r="QW4151" s="106"/>
      <c r="QX4151" s="106"/>
      <c r="QY4151" s="106"/>
      <c r="QZ4151" s="106"/>
      <c r="RA4151" s="106"/>
      <c r="RB4151" s="106"/>
      <c r="RC4151" s="106"/>
      <c r="RD4151" s="106"/>
      <c r="RE4151" s="106"/>
      <c r="RF4151" s="106"/>
      <c r="RG4151" s="106"/>
      <c r="RH4151" s="106"/>
      <c r="RI4151" s="106"/>
      <c r="RJ4151" s="106"/>
      <c r="RK4151" s="106"/>
      <c r="RL4151" s="106"/>
    </row>
    <row r="4152" spans="48:480" x14ac:dyDescent="0.3">
      <c r="CJ4152" s="103"/>
      <c r="FP4152" s="103"/>
      <c r="LL4152" s="103"/>
      <c r="NM4152" s="103"/>
      <c r="QT4152" s="106"/>
      <c r="QU4152" s="106"/>
      <c r="QV4152" s="106"/>
      <c r="QW4152" s="106"/>
      <c r="QX4152" s="106"/>
      <c r="QY4152" s="106"/>
      <c r="QZ4152" s="106"/>
      <c r="RA4152" s="106"/>
      <c r="RB4152" s="106"/>
      <c r="RC4152" s="106"/>
      <c r="RD4152" s="106"/>
      <c r="RE4152" s="106"/>
      <c r="RF4152" s="106"/>
      <c r="RG4152" s="106"/>
      <c r="RH4152" s="106"/>
      <c r="RI4152" s="106"/>
      <c r="RJ4152" s="106"/>
      <c r="RK4152" s="106"/>
      <c r="RL4152" s="106"/>
    </row>
    <row r="4153" spans="48:480" x14ac:dyDescent="0.3">
      <c r="CJ4153" s="103"/>
      <c r="FP4153" s="103"/>
      <c r="LL4153" s="103"/>
      <c r="NM4153" s="103"/>
      <c r="QT4153" s="106"/>
      <c r="QU4153" s="106"/>
      <c r="QV4153" s="106"/>
      <c r="QW4153" s="106"/>
      <c r="QX4153" s="106"/>
      <c r="QY4153" s="106"/>
      <c r="QZ4153" s="106"/>
      <c r="RA4153" s="106"/>
      <c r="RB4153" s="106"/>
      <c r="RC4153" s="106"/>
      <c r="RD4153" s="106"/>
      <c r="RE4153" s="106"/>
      <c r="RF4153" s="106"/>
      <c r="RG4153" s="106"/>
      <c r="RH4153" s="106"/>
      <c r="RI4153" s="106"/>
      <c r="RJ4153" s="106"/>
      <c r="RK4153" s="106"/>
      <c r="RL4153" s="106"/>
    </row>
    <row r="4154" spans="48:480" x14ac:dyDescent="0.3">
      <c r="CJ4154" s="103"/>
      <c r="FP4154" s="103"/>
      <c r="LL4154" s="103"/>
      <c r="NM4154" s="103"/>
      <c r="QT4154" s="106"/>
      <c r="QU4154" s="106"/>
      <c r="QV4154" s="106"/>
      <c r="QW4154" s="106"/>
      <c r="QX4154" s="106"/>
      <c r="QY4154" s="106"/>
      <c r="QZ4154" s="106"/>
      <c r="RA4154" s="106"/>
      <c r="RB4154" s="106"/>
      <c r="RC4154" s="106"/>
      <c r="RD4154" s="106"/>
      <c r="RE4154" s="106"/>
      <c r="RF4154" s="106"/>
      <c r="RG4154" s="106"/>
      <c r="RH4154" s="106"/>
      <c r="RI4154" s="106"/>
      <c r="RJ4154" s="106"/>
      <c r="RK4154" s="106"/>
      <c r="RL4154" s="106"/>
    </row>
    <row r="4155" spans="48:480" x14ac:dyDescent="0.3">
      <c r="CJ4155" s="103"/>
      <c r="FP4155" s="103"/>
      <c r="LL4155" s="103"/>
      <c r="NM4155" s="103"/>
      <c r="QT4155" s="106"/>
      <c r="QU4155" s="106"/>
      <c r="QV4155" s="106"/>
      <c r="QW4155" s="106"/>
      <c r="QX4155" s="106"/>
      <c r="QY4155" s="106"/>
      <c r="QZ4155" s="106"/>
      <c r="RA4155" s="106"/>
      <c r="RB4155" s="106"/>
      <c r="RC4155" s="106"/>
      <c r="RD4155" s="106"/>
      <c r="RE4155" s="106"/>
      <c r="RF4155" s="106"/>
      <c r="RG4155" s="106"/>
      <c r="RH4155" s="106"/>
      <c r="RI4155" s="106"/>
      <c r="RJ4155" s="106"/>
      <c r="RK4155" s="106"/>
      <c r="RL4155" s="106"/>
    </row>
    <row r="4156" spans="48:480" x14ac:dyDescent="0.3">
      <c r="AV4156" s="103"/>
      <c r="CJ4156" s="103"/>
      <c r="FP4156" s="103"/>
      <c r="LL4156" s="103"/>
      <c r="NM4156" s="103"/>
      <c r="QT4156" s="106"/>
      <c r="QU4156" s="106"/>
      <c r="QV4156" s="106"/>
      <c r="QW4156" s="106"/>
      <c r="QX4156" s="106"/>
      <c r="QY4156" s="106"/>
      <c r="QZ4156" s="106"/>
      <c r="RA4156" s="106"/>
      <c r="RB4156" s="106"/>
      <c r="RC4156" s="106"/>
      <c r="RD4156" s="106"/>
      <c r="RE4156" s="106"/>
      <c r="RF4156" s="106"/>
      <c r="RG4156" s="106"/>
      <c r="RH4156" s="106"/>
      <c r="RI4156" s="106"/>
      <c r="RJ4156" s="106"/>
      <c r="RK4156" s="106"/>
      <c r="RL4156" s="106"/>
    </row>
    <row r="4157" spans="48:480" x14ac:dyDescent="0.3">
      <c r="AV4157" s="103"/>
      <c r="CJ4157" s="103"/>
      <c r="FP4157" s="103"/>
      <c r="LL4157" s="103"/>
      <c r="NM4157" s="103"/>
      <c r="QT4157" s="106"/>
      <c r="QU4157" s="106"/>
      <c r="QV4157" s="106"/>
      <c r="QW4157" s="106"/>
      <c r="QX4157" s="106"/>
      <c r="QY4157" s="106"/>
      <c r="QZ4157" s="106"/>
      <c r="RA4157" s="106"/>
      <c r="RB4157" s="106"/>
      <c r="RC4157" s="106"/>
      <c r="RD4157" s="106"/>
      <c r="RE4157" s="106"/>
      <c r="RF4157" s="106"/>
      <c r="RG4157" s="106"/>
      <c r="RH4157" s="106"/>
      <c r="RI4157" s="106"/>
      <c r="RJ4157" s="106"/>
      <c r="RK4157" s="106"/>
      <c r="RL4157" s="106"/>
    </row>
    <row r="4158" spans="48:480" x14ac:dyDescent="0.3">
      <c r="CJ4158" s="103"/>
      <c r="FP4158" s="103"/>
      <c r="LL4158" s="103"/>
      <c r="NM4158" s="103"/>
      <c r="QT4158" s="106"/>
      <c r="QU4158" s="106"/>
      <c r="QV4158" s="106"/>
      <c r="QW4158" s="106"/>
      <c r="QX4158" s="106"/>
      <c r="QY4158" s="106"/>
      <c r="QZ4158" s="106"/>
      <c r="RA4158" s="106"/>
      <c r="RB4158" s="106"/>
      <c r="RC4158" s="106"/>
      <c r="RD4158" s="106"/>
      <c r="RE4158" s="106"/>
      <c r="RF4158" s="106"/>
      <c r="RG4158" s="106"/>
      <c r="RH4158" s="106"/>
      <c r="RI4158" s="106"/>
      <c r="RJ4158" s="106"/>
      <c r="RK4158" s="106"/>
      <c r="RL4158" s="106"/>
    </row>
    <row r="4159" spans="48:480" x14ac:dyDescent="0.3">
      <c r="CJ4159" s="103"/>
      <c r="FP4159" s="103"/>
      <c r="LL4159" s="103"/>
      <c r="NM4159" s="103"/>
      <c r="QT4159" s="106"/>
      <c r="QU4159" s="106"/>
      <c r="QV4159" s="106"/>
      <c r="QW4159" s="106"/>
      <c r="QX4159" s="106"/>
      <c r="QY4159" s="106"/>
      <c r="QZ4159" s="106"/>
      <c r="RA4159" s="106"/>
      <c r="RB4159" s="106"/>
      <c r="RC4159" s="106"/>
      <c r="RD4159" s="106"/>
      <c r="RE4159" s="106"/>
      <c r="RF4159" s="106"/>
      <c r="RG4159" s="106"/>
      <c r="RH4159" s="106"/>
      <c r="RI4159" s="106"/>
      <c r="RJ4159" s="106"/>
      <c r="RK4159" s="106"/>
      <c r="RL4159" s="106"/>
    </row>
    <row r="4160" spans="48:480" x14ac:dyDescent="0.3">
      <c r="CJ4160" s="103"/>
      <c r="FP4160" s="103"/>
      <c r="LL4160" s="103"/>
      <c r="NM4160" s="103"/>
      <c r="QT4160" s="106"/>
      <c r="QU4160" s="106"/>
      <c r="QV4160" s="106"/>
      <c r="QW4160" s="106"/>
      <c r="QX4160" s="106"/>
      <c r="QY4160" s="106"/>
      <c r="QZ4160" s="106"/>
      <c r="RA4160" s="106"/>
      <c r="RB4160" s="106"/>
      <c r="RC4160" s="106"/>
      <c r="RD4160" s="106"/>
      <c r="RE4160" s="106"/>
      <c r="RF4160" s="106"/>
      <c r="RG4160" s="106"/>
      <c r="RH4160" s="106"/>
      <c r="RI4160" s="106"/>
      <c r="RJ4160" s="106"/>
      <c r="RK4160" s="106"/>
      <c r="RL4160" s="106"/>
    </row>
    <row r="4161" spans="48:480" x14ac:dyDescent="0.3">
      <c r="AV4161" s="103"/>
      <c r="CJ4161" s="103"/>
      <c r="FP4161" s="103"/>
      <c r="LL4161" s="103"/>
      <c r="NM4161" s="103"/>
      <c r="QT4161" s="106"/>
      <c r="QU4161" s="106"/>
      <c r="QV4161" s="106"/>
      <c r="QW4161" s="106"/>
      <c r="QX4161" s="106"/>
      <c r="QY4161" s="106"/>
      <c r="QZ4161" s="106"/>
      <c r="RA4161" s="106"/>
      <c r="RB4161" s="106"/>
      <c r="RC4161" s="106"/>
      <c r="RD4161" s="106"/>
      <c r="RE4161" s="106"/>
      <c r="RF4161" s="106"/>
      <c r="RG4161" s="106"/>
      <c r="RH4161" s="106"/>
      <c r="RI4161" s="106"/>
      <c r="RJ4161" s="106"/>
      <c r="RK4161" s="106"/>
      <c r="RL4161" s="106"/>
    </row>
    <row r="4162" spans="48:480" x14ac:dyDescent="0.3">
      <c r="AV4162" s="103"/>
      <c r="CJ4162" s="103"/>
      <c r="FP4162" s="103"/>
      <c r="LL4162" s="103"/>
      <c r="NM4162" s="103"/>
      <c r="QT4162" s="106"/>
      <c r="QU4162" s="106"/>
      <c r="QV4162" s="106"/>
      <c r="QW4162" s="106"/>
      <c r="QX4162" s="106"/>
      <c r="QY4162" s="106"/>
      <c r="QZ4162" s="106"/>
      <c r="RA4162" s="106"/>
      <c r="RB4162" s="106"/>
      <c r="RC4162" s="106"/>
      <c r="RD4162" s="106"/>
      <c r="RE4162" s="106"/>
      <c r="RF4162" s="106"/>
      <c r="RG4162" s="106"/>
      <c r="RH4162" s="106"/>
      <c r="RI4162" s="106"/>
      <c r="RJ4162" s="106"/>
      <c r="RK4162" s="106"/>
      <c r="RL4162" s="106"/>
    </row>
    <row r="4163" spans="48:480" x14ac:dyDescent="0.3">
      <c r="AV4163" s="103"/>
      <c r="CJ4163" s="103"/>
      <c r="FP4163" s="103"/>
      <c r="LL4163" s="103"/>
      <c r="NM4163" s="103"/>
      <c r="QT4163" s="106"/>
      <c r="QU4163" s="106"/>
      <c r="QV4163" s="106"/>
      <c r="QW4163" s="106"/>
      <c r="QX4163" s="106"/>
      <c r="QY4163" s="106"/>
      <c r="QZ4163" s="106"/>
      <c r="RA4163" s="106"/>
      <c r="RB4163" s="106"/>
      <c r="RC4163" s="106"/>
      <c r="RD4163" s="106"/>
      <c r="RE4163" s="106"/>
      <c r="RF4163" s="106"/>
      <c r="RG4163" s="106"/>
      <c r="RH4163" s="106"/>
      <c r="RI4163" s="106"/>
      <c r="RJ4163" s="106"/>
      <c r="RK4163" s="106"/>
      <c r="RL4163" s="106"/>
    </row>
    <row r="4164" spans="48:480" x14ac:dyDescent="0.3">
      <c r="AV4164" s="103"/>
      <c r="CJ4164" s="103"/>
      <c r="FP4164" s="103"/>
      <c r="LL4164" s="103"/>
      <c r="NM4164" s="103"/>
      <c r="QT4164" s="106"/>
      <c r="QU4164" s="106"/>
      <c r="QV4164" s="106"/>
      <c r="QW4164" s="106"/>
      <c r="QX4164" s="106"/>
      <c r="QY4164" s="106"/>
      <c r="QZ4164" s="106"/>
      <c r="RA4164" s="106"/>
      <c r="RB4164" s="106"/>
      <c r="RC4164" s="106"/>
      <c r="RD4164" s="106"/>
      <c r="RE4164" s="106"/>
      <c r="RF4164" s="106"/>
      <c r="RG4164" s="106"/>
      <c r="RH4164" s="106"/>
      <c r="RI4164" s="106"/>
      <c r="RJ4164" s="106"/>
      <c r="RK4164" s="106"/>
      <c r="RL4164" s="106"/>
    </row>
    <row r="4165" spans="48:480" x14ac:dyDescent="0.3">
      <c r="AV4165" s="103"/>
      <c r="CJ4165" s="103"/>
      <c r="FP4165" s="103"/>
      <c r="LL4165" s="103"/>
      <c r="NM4165" s="103"/>
      <c r="QT4165" s="106"/>
      <c r="QU4165" s="106"/>
      <c r="QV4165" s="106"/>
      <c r="QW4165" s="106"/>
      <c r="QX4165" s="106"/>
      <c r="QY4165" s="106"/>
      <c r="QZ4165" s="106"/>
      <c r="RA4165" s="106"/>
      <c r="RB4165" s="106"/>
      <c r="RC4165" s="106"/>
      <c r="RD4165" s="106"/>
      <c r="RE4165" s="106"/>
      <c r="RF4165" s="106"/>
      <c r="RG4165" s="106"/>
      <c r="RH4165" s="106"/>
      <c r="RI4165" s="106"/>
      <c r="RJ4165" s="106"/>
      <c r="RK4165" s="106"/>
      <c r="RL4165" s="106"/>
    </row>
    <row r="4166" spans="48:480" x14ac:dyDescent="0.3">
      <c r="AV4166" s="103"/>
      <c r="CJ4166" s="103"/>
      <c r="FP4166" s="103"/>
      <c r="LL4166" s="103"/>
      <c r="NM4166" s="103"/>
      <c r="QT4166" s="106"/>
      <c r="QU4166" s="106"/>
      <c r="QV4166" s="106"/>
      <c r="QW4166" s="106"/>
      <c r="QX4166" s="106"/>
      <c r="QY4166" s="106"/>
      <c r="QZ4166" s="106"/>
      <c r="RA4166" s="106"/>
      <c r="RB4166" s="106"/>
      <c r="RC4166" s="106"/>
      <c r="RD4166" s="106"/>
      <c r="RE4166" s="106"/>
      <c r="RF4166" s="106"/>
      <c r="RG4166" s="106"/>
      <c r="RH4166" s="106"/>
      <c r="RI4166" s="106"/>
      <c r="RJ4166" s="106"/>
      <c r="RK4166" s="106"/>
      <c r="RL4166" s="106"/>
    </row>
    <row r="4167" spans="48:480" x14ac:dyDescent="0.3">
      <c r="AV4167" s="103"/>
      <c r="CJ4167" s="103"/>
      <c r="FP4167" s="103"/>
      <c r="LL4167" s="103"/>
      <c r="NM4167" s="103"/>
      <c r="QT4167" s="106"/>
      <c r="QU4167" s="106"/>
      <c r="QV4167" s="106"/>
      <c r="QW4167" s="106"/>
      <c r="QX4167" s="106"/>
      <c r="QY4167" s="106"/>
      <c r="QZ4167" s="106"/>
      <c r="RA4167" s="106"/>
      <c r="RB4167" s="106"/>
      <c r="RC4167" s="106"/>
      <c r="RD4167" s="106"/>
      <c r="RE4167" s="106"/>
      <c r="RF4167" s="106"/>
      <c r="RG4167" s="106"/>
      <c r="RH4167" s="106"/>
      <c r="RI4167" s="106"/>
      <c r="RJ4167" s="106"/>
      <c r="RK4167" s="106"/>
      <c r="RL4167" s="106"/>
    </row>
    <row r="4168" spans="48:480" x14ac:dyDescent="0.3">
      <c r="AV4168" s="103"/>
      <c r="CJ4168" s="103"/>
      <c r="FP4168" s="103"/>
      <c r="LL4168" s="103"/>
      <c r="NM4168" s="103"/>
      <c r="QT4168" s="106"/>
      <c r="QU4168" s="106"/>
      <c r="QV4168" s="106"/>
      <c r="QW4168" s="106"/>
      <c r="QX4168" s="106"/>
      <c r="QY4168" s="106"/>
      <c r="QZ4168" s="106"/>
      <c r="RA4168" s="106"/>
      <c r="RB4168" s="106"/>
      <c r="RC4168" s="106"/>
      <c r="RD4168" s="106"/>
      <c r="RE4168" s="106"/>
      <c r="RF4168" s="106"/>
      <c r="RG4168" s="106"/>
      <c r="RH4168" s="106"/>
      <c r="RI4168" s="106"/>
      <c r="RJ4168" s="106"/>
      <c r="RK4168" s="106"/>
      <c r="RL4168" s="106"/>
    </row>
    <row r="4169" spans="48:480" x14ac:dyDescent="0.3">
      <c r="AV4169" s="103"/>
      <c r="CJ4169" s="103"/>
      <c r="FP4169" s="103"/>
      <c r="LL4169" s="103"/>
      <c r="NM4169" s="103"/>
      <c r="QT4169" s="106"/>
      <c r="QU4169" s="106"/>
      <c r="QV4169" s="106"/>
      <c r="QW4169" s="106"/>
      <c r="QX4169" s="106"/>
      <c r="QY4169" s="106"/>
      <c r="QZ4169" s="106"/>
      <c r="RA4169" s="106"/>
      <c r="RB4169" s="106"/>
      <c r="RC4169" s="106"/>
      <c r="RD4169" s="106"/>
      <c r="RE4169" s="106"/>
      <c r="RF4169" s="106"/>
      <c r="RG4169" s="106"/>
      <c r="RH4169" s="106"/>
      <c r="RI4169" s="106"/>
      <c r="RJ4169" s="106"/>
      <c r="RK4169" s="106"/>
      <c r="RL4169" s="106"/>
    </row>
    <row r="4170" spans="48:480" x14ac:dyDescent="0.3">
      <c r="AV4170" s="103"/>
      <c r="CJ4170" s="103"/>
      <c r="FP4170" s="103"/>
      <c r="LL4170" s="103"/>
      <c r="NM4170" s="103"/>
      <c r="QT4170" s="106"/>
      <c r="QU4170" s="106"/>
      <c r="QV4170" s="106"/>
      <c r="QW4170" s="106"/>
      <c r="QX4170" s="106"/>
      <c r="QY4170" s="106"/>
      <c r="QZ4170" s="106"/>
      <c r="RA4170" s="106"/>
      <c r="RB4170" s="106"/>
      <c r="RC4170" s="106"/>
      <c r="RD4170" s="106"/>
      <c r="RE4170" s="106"/>
      <c r="RF4170" s="106"/>
      <c r="RG4170" s="106"/>
      <c r="RH4170" s="106"/>
      <c r="RI4170" s="106"/>
      <c r="RJ4170" s="106"/>
      <c r="RK4170" s="106"/>
      <c r="RL4170" s="106"/>
    </row>
    <row r="4171" spans="48:480" x14ac:dyDescent="0.3">
      <c r="AV4171" s="103"/>
      <c r="CJ4171" s="103"/>
      <c r="FP4171" s="103"/>
      <c r="LL4171" s="103"/>
      <c r="NM4171" s="103"/>
      <c r="QT4171" s="106"/>
      <c r="QU4171" s="106"/>
      <c r="QV4171" s="106"/>
      <c r="QW4171" s="106"/>
      <c r="QX4171" s="106"/>
      <c r="QY4171" s="106"/>
      <c r="QZ4171" s="106"/>
      <c r="RA4171" s="106"/>
      <c r="RB4171" s="106"/>
      <c r="RC4171" s="106"/>
      <c r="RD4171" s="106"/>
      <c r="RE4171" s="106"/>
      <c r="RF4171" s="106"/>
      <c r="RG4171" s="106"/>
      <c r="RH4171" s="106"/>
      <c r="RI4171" s="106"/>
      <c r="RJ4171" s="106"/>
      <c r="RK4171" s="106"/>
      <c r="RL4171" s="106"/>
    </row>
    <row r="4172" spans="48:480" x14ac:dyDescent="0.3">
      <c r="AV4172" s="103"/>
      <c r="CJ4172" s="103"/>
      <c r="FP4172" s="103"/>
      <c r="LL4172" s="103"/>
      <c r="NM4172" s="103"/>
      <c r="QT4172" s="106"/>
      <c r="QU4172" s="106"/>
      <c r="QV4172" s="106"/>
      <c r="QW4172" s="106"/>
      <c r="QX4172" s="106"/>
      <c r="QY4172" s="106"/>
      <c r="QZ4172" s="106"/>
      <c r="RA4172" s="106"/>
      <c r="RB4172" s="106"/>
      <c r="RC4172" s="106"/>
      <c r="RD4172" s="106"/>
      <c r="RE4172" s="106"/>
      <c r="RF4172" s="106"/>
      <c r="RG4172" s="106"/>
      <c r="RH4172" s="106"/>
      <c r="RI4172" s="106"/>
      <c r="RJ4172" s="106"/>
      <c r="RK4172" s="106"/>
      <c r="RL4172" s="106"/>
    </row>
    <row r="4173" spans="48:480" x14ac:dyDescent="0.3">
      <c r="AV4173" s="103"/>
      <c r="CJ4173" s="103"/>
      <c r="FP4173" s="103"/>
      <c r="LL4173" s="103"/>
      <c r="NM4173" s="103"/>
      <c r="QT4173" s="106"/>
      <c r="QU4173" s="106"/>
      <c r="QV4173" s="106"/>
      <c r="QW4173" s="106"/>
      <c r="QX4173" s="106"/>
      <c r="QY4173" s="106"/>
      <c r="QZ4173" s="106"/>
      <c r="RA4173" s="106"/>
      <c r="RB4173" s="106"/>
      <c r="RC4173" s="106"/>
      <c r="RD4173" s="106"/>
      <c r="RE4173" s="106"/>
      <c r="RF4173" s="106"/>
      <c r="RG4173" s="106"/>
      <c r="RH4173" s="106"/>
      <c r="RI4173" s="106"/>
      <c r="RJ4173" s="106"/>
      <c r="RK4173" s="106"/>
      <c r="RL4173" s="106"/>
    </row>
    <row r="4174" spans="48:480" x14ac:dyDescent="0.3">
      <c r="AV4174" s="103"/>
      <c r="CJ4174" s="103"/>
      <c r="FP4174" s="103"/>
      <c r="LL4174" s="103"/>
      <c r="NM4174" s="103"/>
      <c r="QT4174" s="106"/>
      <c r="QU4174" s="106"/>
      <c r="QV4174" s="106"/>
      <c r="QW4174" s="106"/>
      <c r="QX4174" s="106"/>
      <c r="QY4174" s="106"/>
      <c r="QZ4174" s="106"/>
      <c r="RA4174" s="106"/>
      <c r="RB4174" s="106"/>
      <c r="RC4174" s="106"/>
      <c r="RD4174" s="106"/>
      <c r="RE4174" s="106"/>
      <c r="RF4174" s="106"/>
      <c r="RG4174" s="106"/>
      <c r="RH4174" s="106"/>
      <c r="RI4174" s="106"/>
      <c r="RJ4174" s="106"/>
      <c r="RK4174" s="106"/>
      <c r="RL4174" s="106"/>
    </row>
    <row r="4175" spans="48:480" x14ac:dyDescent="0.3">
      <c r="CJ4175" s="103"/>
      <c r="FP4175" s="103"/>
      <c r="LL4175" s="103"/>
      <c r="NM4175" s="103"/>
      <c r="QT4175" s="106"/>
      <c r="QU4175" s="106"/>
      <c r="QV4175" s="106"/>
      <c r="QW4175" s="106"/>
      <c r="QX4175" s="106"/>
      <c r="QY4175" s="106"/>
      <c r="QZ4175" s="106"/>
      <c r="RA4175" s="106"/>
      <c r="RB4175" s="106"/>
      <c r="RC4175" s="106"/>
      <c r="RD4175" s="106"/>
      <c r="RE4175" s="106"/>
      <c r="RF4175" s="106"/>
      <c r="RG4175" s="106"/>
      <c r="RH4175" s="106"/>
      <c r="RI4175" s="106"/>
      <c r="RJ4175" s="106"/>
      <c r="RK4175" s="106"/>
      <c r="RL4175" s="106"/>
    </row>
    <row r="4176" spans="48:480" x14ac:dyDescent="0.3">
      <c r="CJ4176" s="103"/>
      <c r="FP4176" s="103"/>
      <c r="LL4176" s="103"/>
      <c r="NM4176" s="103"/>
      <c r="QT4176" s="106"/>
      <c r="QU4176" s="106"/>
      <c r="QV4176" s="106"/>
      <c r="QW4176" s="106"/>
      <c r="QX4176" s="106"/>
      <c r="QY4176" s="106"/>
      <c r="QZ4176" s="106"/>
      <c r="RA4176" s="106"/>
      <c r="RB4176" s="106"/>
      <c r="RC4176" s="106"/>
      <c r="RD4176" s="106"/>
      <c r="RE4176" s="106"/>
      <c r="RF4176" s="106"/>
      <c r="RG4176" s="106"/>
      <c r="RH4176" s="106"/>
      <c r="RI4176" s="106"/>
      <c r="RJ4176" s="106"/>
      <c r="RK4176" s="106"/>
      <c r="RL4176" s="106"/>
    </row>
    <row r="4177" spans="48:480" x14ac:dyDescent="0.3">
      <c r="CJ4177" s="103"/>
      <c r="FP4177" s="103"/>
      <c r="LL4177" s="103"/>
      <c r="NM4177" s="103"/>
      <c r="QT4177" s="106"/>
      <c r="QU4177" s="106"/>
      <c r="QV4177" s="106"/>
      <c r="QW4177" s="106"/>
      <c r="QX4177" s="106"/>
      <c r="QY4177" s="106"/>
      <c r="QZ4177" s="106"/>
      <c r="RA4177" s="106"/>
      <c r="RB4177" s="106"/>
      <c r="RC4177" s="106"/>
      <c r="RD4177" s="106"/>
      <c r="RE4177" s="106"/>
      <c r="RF4177" s="106"/>
      <c r="RG4177" s="106"/>
      <c r="RH4177" s="106"/>
      <c r="RI4177" s="106"/>
      <c r="RJ4177" s="106"/>
      <c r="RK4177" s="106"/>
      <c r="RL4177" s="106"/>
    </row>
    <row r="4178" spans="48:480" x14ac:dyDescent="0.3">
      <c r="CJ4178" s="103"/>
      <c r="FP4178" s="103"/>
      <c r="LL4178" s="103"/>
      <c r="NM4178" s="103"/>
      <c r="QT4178" s="106"/>
      <c r="QU4178" s="106"/>
      <c r="QV4178" s="106"/>
      <c r="QW4178" s="106"/>
      <c r="QX4178" s="106"/>
      <c r="QY4178" s="106"/>
      <c r="QZ4178" s="106"/>
      <c r="RA4178" s="106"/>
      <c r="RB4178" s="106"/>
      <c r="RC4178" s="106"/>
      <c r="RD4178" s="106"/>
      <c r="RE4178" s="106"/>
      <c r="RF4178" s="106"/>
      <c r="RG4178" s="106"/>
      <c r="RH4178" s="106"/>
      <c r="RI4178" s="106"/>
      <c r="RJ4178" s="106"/>
      <c r="RK4178" s="106"/>
      <c r="RL4178" s="106"/>
    </row>
    <row r="4179" spans="48:480" x14ac:dyDescent="0.3">
      <c r="CJ4179" s="103"/>
      <c r="FP4179" s="103"/>
      <c r="LL4179" s="103"/>
      <c r="NM4179" s="103"/>
      <c r="QT4179" s="106"/>
      <c r="QU4179" s="106"/>
      <c r="QV4179" s="106"/>
      <c r="QW4179" s="106"/>
      <c r="QX4179" s="106"/>
      <c r="QY4179" s="106"/>
      <c r="QZ4179" s="106"/>
      <c r="RA4179" s="106"/>
      <c r="RB4179" s="106"/>
      <c r="RC4179" s="106"/>
      <c r="RD4179" s="106"/>
      <c r="RE4179" s="106"/>
      <c r="RF4179" s="106"/>
      <c r="RG4179" s="106"/>
      <c r="RH4179" s="106"/>
      <c r="RI4179" s="106"/>
      <c r="RJ4179" s="106"/>
      <c r="RK4179" s="106"/>
      <c r="RL4179" s="106"/>
    </row>
    <row r="4180" spans="48:480" x14ac:dyDescent="0.3">
      <c r="AV4180" s="103"/>
      <c r="CJ4180" s="103"/>
      <c r="FP4180" s="103"/>
      <c r="LL4180" s="103"/>
      <c r="NM4180" s="103"/>
      <c r="QT4180" s="106"/>
      <c r="QU4180" s="106"/>
      <c r="QV4180" s="106"/>
      <c r="QW4180" s="106"/>
      <c r="QX4180" s="106"/>
      <c r="QY4180" s="106"/>
      <c r="QZ4180" s="106"/>
      <c r="RA4180" s="106"/>
      <c r="RB4180" s="106"/>
      <c r="RC4180" s="106"/>
      <c r="RD4180" s="106"/>
      <c r="RE4180" s="106"/>
      <c r="RF4180" s="106"/>
      <c r="RG4180" s="106"/>
      <c r="RH4180" s="106"/>
      <c r="RI4180" s="106"/>
      <c r="RJ4180" s="106"/>
      <c r="RK4180" s="106"/>
      <c r="RL4180" s="106"/>
    </row>
    <row r="4181" spans="48:480" x14ac:dyDescent="0.3">
      <c r="AV4181" s="103"/>
      <c r="CJ4181" s="103"/>
      <c r="FP4181" s="103"/>
      <c r="LL4181" s="103"/>
      <c r="NM4181" s="103"/>
      <c r="QT4181" s="106"/>
      <c r="QU4181" s="106"/>
      <c r="QV4181" s="106"/>
      <c r="QW4181" s="106"/>
      <c r="QX4181" s="106"/>
      <c r="QY4181" s="106"/>
      <c r="QZ4181" s="106"/>
      <c r="RA4181" s="106"/>
      <c r="RB4181" s="106"/>
      <c r="RC4181" s="106"/>
      <c r="RD4181" s="106"/>
      <c r="RE4181" s="106"/>
      <c r="RF4181" s="106"/>
      <c r="RG4181" s="106"/>
      <c r="RH4181" s="106"/>
      <c r="RI4181" s="106"/>
      <c r="RJ4181" s="106"/>
      <c r="RK4181" s="106"/>
      <c r="RL4181" s="106"/>
    </row>
    <row r="4182" spans="48:480" x14ac:dyDescent="0.3">
      <c r="AV4182" s="103"/>
      <c r="CJ4182" s="103"/>
      <c r="FP4182" s="103"/>
      <c r="LL4182" s="103"/>
      <c r="NM4182" s="103"/>
      <c r="QT4182" s="106"/>
      <c r="QU4182" s="106"/>
      <c r="QV4182" s="106"/>
      <c r="QW4182" s="106"/>
      <c r="QX4182" s="106"/>
      <c r="QY4182" s="106"/>
      <c r="QZ4182" s="106"/>
      <c r="RA4182" s="106"/>
      <c r="RB4182" s="106"/>
      <c r="RC4182" s="106"/>
      <c r="RD4182" s="106"/>
      <c r="RE4182" s="106"/>
      <c r="RF4182" s="106"/>
      <c r="RG4182" s="106"/>
      <c r="RH4182" s="106"/>
      <c r="RI4182" s="106"/>
      <c r="RJ4182" s="106"/>
      <c r="RK4182" s="106"/>
      <c r="RL4182" s="106"/>
    </row>
    <row r="4183" spans="48:480" x14ac:dyDescent="0.3">
      <c r="CJ4183" s="103"/>
      <c r="FP4183" s="103"/>
      <c r="LL4183" s="103"/>
      <c r="NM4183" s="103"/>
      <c r="QT4183" s="106"/>
      <c r="QU4183" s="106"/>
      <c r="QV4183" s="106"/>
      <c r="QW4183" s="106"/>
      <c r="QX4183" s="106"/>
      <c r="QY4183" s="106"/>
      <c r="QZ4183" s="106"/>
      <c r="RA4183" s="106"/>
      <c r="RB4183" s="106"/>
      <c r="RC4183" s="106"/>
      <c r="RD4183" s="106"/>
      <c r="RE4183" s="106"/>
      <c r="RF4183" s="106"/>
      <c r="RG4183" s="106"/>
      <c r="RH4183" s="106"/>
      <c r="RI4183" s="106"/>
      <c r="RJ4183" s="106"/>
      <c r="RK4183" s="106"/>
      <c r="RL4183" s="106"/>
    </row>
    <row r="4184" spans="48:480" x14ac:dyDescent="0.3">
      <c r="CJ4184" s="103"/>
      <c r="FP4184" s="103"/>
      <c r="LL4184" s="103"/>
      <c r="NM4184" s="103"/>
      <c r="QT4184" s="106"/>
      <c r="QU4184" s="106"/>
      <c r="QV4184" s="106"/>
      <c r="QW4184" s="106"/>
      <c r="QX4184" s="106"/>
      <c r="QY4184" s="106"/>
      <c r="QZ4184" s="106"/>
      <c r="RA4184" s="106"/>
      <c r="RB4184" s="106"/>
      <c r="RC4184" s="106"/>
      <c r="RD4184" s="106"/>
      <c r="RE4184" s="106"/>
      <c r="RF4184" s="106"/>
      <c r="RG4184" s="106"/>
      <c r="RH4184" s="106"/>
      <c r="RI4184" s="106"/>
      <c r="RJ4184" s="106"/>
      <c r="RK4184" s="106"/>
      <c r="RL4184" s="106"/>
    </row>
    <row r="4185" spans="48:480" x14ac:dyDescent="0.3">
      <c r="QT4185" s="106"/>
      <c r="QU4185" s="106"/>
      <c r="QV4185" s="106"/>
      <c r="QW4185" s="106"/>
      <c r="QX4185" s="106"/>
      <c r="QY4185" s="106"/>
      <c r="QZ4185" s="106"/>
      <c r="RA4185" s="106"/>
      <c r="RB4185" s="106"/>
      <c r="RC4185" s="106"/>
      <c r="RD4185" s="106"/>
      <c r="RE4185" s="106"/>
      <c r="RF4185" s="106"/>
      <c r="RG4185" s="106"/>
      <c r="RH4185" s="106"/>
      <c r="RI4185" s="106"/>
      <c r="RJ4185" s="106"/>
      <c r="RK4185" s="106"/>
      <c r="RL4185" s="106"/>
    </row>
    <row r="4186" spans="48:480" x14ac:dyDescent="0.3">
      <c r="QT4186" s="106"/>
      <c r="QU4186" s="106"/>
      <c r="QV4186" s="106"/>
      <c r="QW4186" s="106"/>
      <c r="QX4186" s="106"/>
      <c r="QY4186" s="106"/>
      <c r="QZ4186" s="106"/>
      <c r="RA4186" s="106"/>
      <c r="RB4186" s="106"/>
      <c r="RC4186" s="106"/>
      <c r="RD4186" s="106"/>
      <c r="RE4186" s="106"/>
      <c r="RF4186" s="106"/>
      <c r="RG4186" s="106"/>
      <c r="RH4186" s="106"/>
      <c r="RI4186" s="106"/>
      <c r="RJ4186" s="106"/>
      <c r="RK4186" s="106"/>
      <c r="RL4186" s="106"/>
    </row>
    <row r="4187" spans="48:480" x14ac:dyDescent="0.3">
      <c r="QT4187" s="106"/>
      <c r="QU4187" s="106"/>
      <c r="QV4187" s="106"/>
      <c r="QW4187" s="106"/>
      <c r="QX4187" s="106"/>
      <c r="QY4187" s="106"/>
      <c r="QZ4187" s="106"/>
      <c r="RA4187" s="106"/>
      <c r="RB4187" s="106"/>
      <c r="RC4187" s="106"/>
      <c r="RD4187" s="106"/>
      <c r="RE4187" s="106"/>
      <c r="RF4187" s="106"/>
      <c r="RG4187" s="106"/>
      <c r="RH4187" s="106"/>
      <c r="RI4187" s="106"/>
      <c r="RJ4187" s="106"/>
      <c r="RK4187" s="106"/>
      <c r="RL4187" s="106"/>
    </row>
    <row r="4188" spans="48:480" x14ac:dyDescent="0.3">
      <c r="QT4188" s="106"/>
      <c r="QU4188" s="106"/>
      <c r="QV4188" s="106"/>
      <c r="QW4188" s="106"/>
      <c r="QX4188" s="106"/>
      <c r="QY4188" s="106"/>
      <c r="QZ4188" s="106"/>
      <c r="RA4188" s="106"/>
      <c r="RB4188" s="106"/>
      <c r="RC4188" s="106"/>
      <c r="RD4188" s="106"/>
      <c r="RE4188" s="106"/>
      <c r="RF4188" s="106"/>
      <c r="RG4188" s="106"/>
      <c r="RH4188" s="106"/>
      <c r="RI4188" s="106"/>
      <c r="RJ4188" s="106"/>
      <c r="RK4188" s="106"/>
      <c r="RL4188" s="106"/>
    </row>
    <row r="4189" spans="48:480" x14ac:dyDescent="0.3">
      <c r="QT4189" s="106"/>
      <c r="QU4189" s="106"/>
      <c r="QV4189" s="106"/>
      <c r="QW4189" s="106"/>
      <c r="QX4189" s="106"/>
      <c r="QY4189" s="106"/>
      <c r="QZ4189" s="106"/>
      <c r="RA4189" s="106"/>
      <c r="RB4189" s="106"/>
      <c r="RC4189" s="106"/>
      <c r="RD4189" s="106"/>
      <c r="RE4189" s="106"/>
      <c r="RF4189" s="106"/>
      <c r="RG4189" s="106"/>
      <c r="RH4189" s="106"/>
      <c r="RI4189" s="106"/>
      <c r="RJ4189" s="106"/>
      <c r="RK4189" s="106"/>
      <c r="RL4189" s="106"/>
    </row>
    <row r="4190" spans="48:480" x14ac:dyDescent="0.3">
      <c r="QT4190" s="106"/>
      <c r="QU4190" s="106"/>
      <c r="QV4190" s="106"/>
      <c r="QW4190" s="106"/>
      <c r="QX4190" s="106"/>
      <c r="QY4190" s="106"/>
      <c r="QZ4190" s="106"/>
      <c r="RA4190" s="106"/>
      <c r="RB4190" s="106"/>
      <c r="RC4190" s="106"/>
      <c r="RD4190" s="106"/>
      <c r="RE4190" s="106"/>
      <c r="RF4190" s="106"/>
      <c r="RG4190" s="106"/>
      <c r="RH4190" s="106"/>
      <c r="RI4190" s="106"/>
      <c r="RJ4190" s="106"/>
      <c r="RK4190" s="106"/>
      <c r="RL4190" s="106"/>
    </row>
    <row r="4191" spans="48:480" x14ac:dyDescent="0.3">
      <c r="QT4191" s="106"/>
      <c r="QU4191" s="106"/>
      <c r="QV4191" s="106"/>
      <c r="QW4191" s="106"/>
      <c r="QX4191" s="106"/>
      <c r="QY4191" s="106"/>
      <c r="QZ4191" s="106"/>
      <c r="RA4191" s="106"/>
      <c r="RB4191" s="106"/>
      <c r="RC4191" s="106"/>
      <c r="RD4191" s="106"/>
      <c r="RE4191" s="106"/>
      <c r="RF4191" s="106"/>
      <c r="RG4191" s="106"/>
      <c r="RH4191" s="106"/>
      <c r="RI4191" s="106"/>
      <c r="RJ4191" s="106"/>
      <c r="RK4191" s="106"/>
      <c r="RL4191" s="106"/>
    </row>
    <row r="4192" spans="48:480" x14ac:dyDescent="0.3">
      <c r="QT4192" s="106"/>
      <c r="QU4192" s="106"/>
      <c r="QV4192" s="106"/>
      <c r="QW4192" s="106"/>
      <c r="QX4192" s="106"/>
      <c r="QY4192" s="106"/>
      <c r="QZ4192" s="106"/>
      <c r="RA4192" s="106"/>
      <c r="RB4192" s="106"/>
      <c r="RC4192" s="106"/>
      <c r="RD4192" s="106"/>
      <c r="RE4192" s="106"/>
      <c r="RF4192" s="106"/>
      <c r="RG4192" s="106"/>
      <c r="RH4192" s="106"/>
      <c r="RI4192" s="106"/>
      <c r="RJ4192" s="106"/>
      <c r="RK4192" s="106"/>
      <c r="RL4192" s="106"/>
    </row>
    <row r="4193" spans="462:480" x14ac:dyDescent="0.3">
      <c r="QT4193" s="106"/>
      <c r="QU4193" s="106"/>
      <c r="QV4193" s="106"/>
      <c r="QW4193" s="106"/>
      <c r="QX4193" s="106"/>
      <c r="QY4193" s="106"/>
      <c r="QZ4193" s="106"/>
      <c r="RA4193" s="106"/>
      <c r="RB4193" s="106"/>
      <c r="RC4193" s="106"/>
      <c r="RD4193" s="106"/>
      <c r="RE4193" s="106"/>
      <c r="RF4193" s="106"/>
      <c r="RG4193" s="106"/>
      <c r="RH4193" s="106"/>
      <c r="RI4193" s="106"/>
      <c r="RJ4193" s="106"/>
      <c r="RK4193" s="106"/>
      <c r="RL4193" s="106"/>
    </row>
    <row r="4194" spans="462:480" x14ac:dyDescent="0.3">
      <c r="QT4194" s="106"/>
      <c r="QU4194" s="106"/>
      <c r="QV4194" s="106"/>
      <c r="QW4194" s="106"/>
      <c r="QX4194" s="106"/>
      <c r="QY4194" s="106"/>
      <c r="QZ4194" s="106"/>
      <c r="RA4194" s="106"/>
      <c r="RB4194" s="106"/>
      <c r="RC4194" s="106"/>
      <c r="RD4194" s="106"/>
      <c r="RE4194" s="106"/>
      <c r="RF4194" s="106"/>
      <c r="RG4194" s="106"/>
      <c r="RH4194" s="106"/>
      <c r="RI4194" s="106"/>
      <c r="RJ4194" s="106"/>
      <c r="RK4194" s="106"/>
      <c r="RL4194" s="106"/>
    </row>
    <row r="4195" spans="462:480" x14ac:dyDescent="0.3">
      <c r="QT4195" s="106"/>
      <c r="QU4195" s="106"/>
      <c r="QV4195" s="106"/>
      <c r="QW4195" s="106"/>
      <c r="QX4195" s="106"/>
      <c r="QY4195" s="106"/>
      <c r="QZ4195" s="106"/>
      <c r="RA4195" s="106"/>
      <c r="RB4195" s="106"/>
      <c r="RC4195" s="106"/>
      <c r="RD4195" s="106"/>
      <c r="RE4195" s="106"/>
      <c r="RF4195" s="106"/>
      <c r="RG4195" s="106"/>
      <c r="RH4195" s="106"/>
      <c r="RI4195" s="106"/>
      <c r="RJ4195" s="106"/>
      <c r="RK4195" s="106"/>
      <c r="RL4195" s="106"/>
    </row>
    <row r="4196" spans="462:480" x14ac:dyDescent="0.3">
      <c r="QT4196" s="106"/>
      <c r="QU4196" s="106"/>
      <c r="QV4196" s="106"/>
      <c r="QW4196" s="106"/>
      <c r="QX4196" s="106"/>
      <c r="QY4196" s="106"/>
      <c r="QZ4196" s="106"/>
      <c r="RA4196" s="106"/>
      <c r="RB4196" s="106"/>
      <c r="RC4196" s="106"/>
      <c r="RD4196" s="106"/>
      <c r="RE4196" s="106"/>
      <c r="RF4196" s="106"/>
      <c r="RG4196" s="106"/>
      <c r="RH4196" s="106"/>
      <c r="RI4196" s="106"/>
      <c r="RJ4196" s="106"/>
      <c r="RK4196" s="106"/>
      <c r="RL4196" s="106"/>
    </row>
    <row r="4197" spans="462:480" x14ac:dyDescent="0.3">
      <c r="QT4197" s="106"/>
      <c r="QU4197" s="106"/>
      <c r="QV4197" s="106"/>
      <c r="QW4197" s="106"/>
      <c r="QX4197" s="106"/>
      <c r="QY4197" s="106"/>
      <c r="QZ4197" s="106"/>
      <c r="RA4197" s="106"/>
      <c r="RB4197" s="106"/>
      <c r="RC4197" s="106"/>
      <c r="RD4197" s="106"/>
      <c r="RE4197" s="106"/>
      <c r="RF4197" s="106"/>
      <c r="RG4197" s="106"/>
      <c r="RH4197" s="106"/>
      <c r="RI4197" s="106"/>
      <c r="RJ4197" s="106"/>
      <c r="RK4197" s="106"/>
      <c r="RL4197" s="106"/>
    </row>
    <row r="4198" spans="462:480" x14ac:dyDescent="0.3">
      <c r="QT4198" s="106"/>
      <c r="QU4198" s="106"/>
      <c r="QV4198" s="106"/>
      <c r="QW4198" s="106"/>
      <c r="QX4198" s="106"/>
      <c r="QY4198" s="106"/>
      <c r="QZ4198" s="106"/>
      <c r="RA4198" s="106"/>
      <c r="RB4198" s="106"/>
      <c r="RC4198" s="106"/>
      <c r="RD4198" s="106"/>
      <c r="RE4198" s="106"/>
      <c r="RF4198" s="106"/>
      <c r="RG4198" s="106"/>
      <c r="RH4198" s="106"/>
      <c r="RI4198" s="106"/>
      <c r="RJ4198" s="106"/>
      <c r="RK4198" s="106"/>
      <c r="RL4198" s="106"/>
    </row>
    <row r="4199" spans="462:480" x14ac:dyDescent="0.3">
      <c r="QT4199" s="106"/>
      <c r="QU4199" s="106"/>
      <c r="QV4199" s="106"/>
      <c r="QW4199" s="106"/>
      <c r="QX4199" s="106"/>
      <c r="QY4199" s="106"/>
      <c r="QZ4199" s="106"/>
      <c r="RA4199" s="106"/>
      <c r="RB4199" s="106"/>
      <c r="RC4199" s="106"/>
      <c r="RD4199" s="106"/>
      <c r="RE4199" s="106"/>
      <c r="RF4199" s="106"/>
      <c r="RG4199" s="106"/>
      <c r="RH4199" s="106"/>
      <c r="RI4199" s="106"/>
      <c r="RJ4199" s="106"/>
      <c r="RK4199" s="106"/>
      <c r="RL4199" s="106"/>
    </row>
    <row r="4200" spans="462:480" x14ac:dyDescent="0.3">
      <c r="QT4200" s="106"/>
      <c r="QU4200" s="106"/>
      <c r="QV4200" s="106"/>
      <c r="QW4200" s="106"/>
      <c r="QX4200" s="106"/>
      <c r="QY4200" s="106"/>
      <c r="QZ4200" s="106"/>
      <c r="RA4200" s="106"/>
      <c r="RB4200" s="106"/>
      <c r="RC4200" s="106"/>
      <c r="RD4200" s="106"/>
      <c r="RE4200" s="106"/>
      <c r="RF4200" s="106"/>
      <c r="RG4200" s="106"/>
      <c r="RH4200" s="106"/>
      <c r="RI4200" s="106"/>
      <c r="RJ4200" s="106"/>
      <c r="RK4200" s="106"/>
      <c r="RL4200" s="106"/>
    </row>
    <row r="4201" spans="462:480" x14ac:dyDescent="0.3">
      <c r="QT4201" s="106"/>
      <c r="QU4201" s="106"/>
      <c r="QV4201" s="106"/>
      <c r="QW4201" s="106"/>
      <c r="QX4201" s="106"/>
      <c r="QY4201" s="106"/>
      <c r="QZ4201" s="106"/>
      <c r="RA4201" s="106"/>
      <c r="RB4201" s="106"/>
      <c r="RC4201" s="106"/>
      <c r="RD4201" s="106"/>
      <c r="RE4201" s="106"/>
      <c r="RF4201" s="106"/>
      <c r="RG4201" s="106"/>
      <c r="RH4201" s="106"/>
      <c r="RI4201" s="106"/>
      <c r="RJ4201" s="106"/>
      <c r="RK4201" s="106"/>
      <c r="RL4201" s="106"/>
    </row>
    <row r="4202" spans="462:480" x14ac:dyDescent="0.3">
      <c r="QT4202" s="106"/>
      <c r="QU4202" s="106"/>
      <c r="QV4202" s="106"/>
      <c r="QW4202" s="106"/>
      <c r="QX4202" s="106"/>
      <c r="QY4202" s="106"/>
      <c r="QZ4202" s="106"/>
      <c r="RA4202" s="106"/>
      <c r="RB4202" s="106"/>
      <c r="RC4202" s="106"/>
      <c r="RD4202" s="106"/>
      <c r="RE4202" s="106"/>
      <c r="RF4202" s="106"/>
      <c r="RG4202" s="106"/>
      <c r="RH4202" s="106"/>
      <c r="RI4202" s="106"/>
      <c r="RJ4202" s="106"/>
      <c r="RK4202" s="106"/>
      <c r="RL4202" s="106"/>
    </row>
    <row r="4203" spans="462:480" x14ac:dyDescent="0.3">
      <c r="QT4203" s="106"/>
      <c r="QU4203" s="106"/>
      <c r="QV4203" s="106"/>
      <c r="QW4203" s="106"/>
      <c r="QX4203" s="106"/>
      <c r="QY4203" s="106"/>
      <c r="QZ4203" s="106"/>
      <c r="RA4203" s="106"/>
      <c r="RB4203" s="106"/>
      <c r="RC4203" s="106"/>
      <c r="RD4203" s="106"/>
      <c r="RE4203" s="106"/>
      <c r="RF4203" s="106"/>
      <c r="RG4203" s="106"/>
      <c r="RH4203" s="106"/>
      <c r="RI4203" s="106"/>
      <c r="RJ4203" s="106"/>
      <c r="RK4203" s="106"/>
      <c r="RL4203" s="106"/>
    </row>
    <row r="4204" spans="462:480" x14ac:dyDescent="0.3">
      <c r="QT4204" s="106"/>
      <c r="QU4204" s="106"/>
      <c r="QV4204" s="106"/>
      <c r="QW4204" s="106"/>
      <c r="QX4204" s="106"/>
      <c r="QY4204" s="106"/>
      <c r="QZ4204" s="106"/>
      <c r="RA4204" s="106"/>
      <c r="RB4204" s="106"/>
      <c r="RC4204" s="106"/>
      <c r="RD4204" s="106"/>
      <c r="RE4204" s="106"/>
      <c r="RF4204" s="106"/>
      <c r="RG4204" s="106"/>
      <c r="RH4204" s="106"/>
      <c r="RI4204" s="106"/>
      <c r="RJ4204" s="106"/>
      <c r="RK4204" s="106"/>
      <c r="RL4204" s="106"/>
    </row>
    <row r="4205" spans="462:480" x14ac:dyDescent="0.3">
      <c r="QT4205" s="106"/>
      <c r="QU4205" s="106"/>
      <c r="QV4205" s="106"/>
      <c r="QW4205" s="106"/>
      <c r="QX4205" s="106"/>
      <c r="QY4205" s="106"/>
      <c r="QZ4205" s="106"/>
      <c r="RA4205" s="106"/>
      <c r="RB4205" s="106"/>
      <c r="RC4205" s="106"/>
      <c r="RD4205" s="106"/>
      <c r="RE4205" s="106"/>
      <c r="RF4205" s="106"/>
      <c r="RG4205" s="106"/>
      <c r="RH4205" s="106"/>
      <c r="RI4205" s="106"/>
      <c r="RJ4205" s="106"/>
      <c r="RK4205" s="106"/>
      <c r="RL4205" s="106"/>
    </row>
    <row r="4206" spans="462:480" x14ac:dyDescent="0.3">
      <c r="QT4206" s="106"/>
      <c r="QU4206" s="106"/>
      <c r="QV4206" s="106"/>
      <c r="QW4206" s="106"/>
      <c r="QX4206" s="106"/>
      <c r="QY4206" s="106"/>
      <c r="QZ4206" s="106"/>
      <c r="RA4206" s="106"/>
      <c r="RB4206" s="106"/>
      <c r="RC4206" s="106"/>
      <c r="RD4206" s="106"/>
      <c r="RE4206" s="106"/>
      <c r="RF4206" s="106"/>
      <c r="RG4206" s="106"/>
      <c r="RH4206" s="106"/>
      <c r="RI4206" s="106"/>
      <c r="RJ4206" s="106"/>
      <c r="RK4206" s="106"/>
      <c r="RL4206" s="106"/>
    </row>
    <row r="4207" spans="462:480" x14ac:dyDescent="0.3">
      <c r="QT4207" s="106"/>
      <c r="QU4207" s="106"/>
      <c r="QV4207" s="106"/>
      <c r="QW4207" s="106"/>
      <c r="QX4207" s="106"/>
      <c r="QY4207" s="106"/>
      <c r="QZ4207" s="106"/>
      <c r="RA4207" s="106"/>
      <c r="RB4207" s="106"/>
      <c r="RC4207" s="106"/>
      <c r="RD4207" s="106"/>
      <c r="RE4207" s="106"/>
      <c r="RF4207" s="106"/>
      <c r="RG4207" s="106"/>
      <c r="RH4207" s="106"/>
      <c r="RI4207" s="106"/>
      <c r="RJ4207" s="106"/>
      <c r="RK4207" s="106"/>
      <c r="RL4207" s="106"/>
    </row>
    <row r="4208" spans="462:480" x14ac:dyDescent="0.3">
      <c r="QT4208" s="106"/>
      <c r="QU4208" s="106"/>
      <c r="QV4208" s="106"/>
      <c r="QW4208" s="106"/>
      <c r="QX4208" s="106"/>
      <c r="QY4208" s="106"/>
      <c r="QZ4208" s="106"/>
      <c r="RA4208" s="106"/>
      <c r="RB4208" s="106"/>
      <c r="RC4208" s="106"/>
      <c r="RD4208" s="106"/>
      <c r="RE4208" s="106"/>
      <c r="RF4208" s="106"/>
      <c r="RG4208" s="106"/>
      <c r="RH4208" s="106"/>
      <c r="RI4208" s="106"/>
      <c r="RJ4208" s="106"/>
      <c r="RK4208" s="106"/>
      <c r="RL4208" s="106"/>
    </row>
    <row r="4209" spans="462:480" x14ac:dyDescent="0.3">
      <c r="QT4209" s="106"/>
      <c r="QU4209" s="106"/>
      <c r="QV4209" s="106"/>
      <c r="QW4209" s="106"/>
      <c r="QX4209" s="106"/>
      <c r="QY4209" s="106"/>
      <c r="QZ4209" s="106"/>
      <c r="RA4209" s="106"/>
      <c r="RB4209" s="106"/>
      <c r="RC4209" s="106"/>
      <c r="RD4209" s="106"/>
      <c r="RE4209" s="106"/>
      <c r="RF4209" s="106"/>
      <c r="RG4209" s="106"/>
      <c r="RH4209" s="106"/>
      <c r="RI4209" s="106"/>
      <c r="RJ4209" s="106"/>
      <c r="RK4209" s="106"/>
      <c r="RL4209" s="106"/>
    </row>
    <row r="4210" spans="462:480" x14ac:dyDescent="0.3">
      <c r="QT4210" s="106"/>
      <c r="QU4210" s="106"/>
      <c r="QV4210" s="106"/>
      <c r="QW4210" s="106"/>
      <c r="QX4210" s="106"/>
      <c r="QY4210" s="106"/>
      <c r="QZ4210" s="106"/>
      <c r="RA4210" s="106"/>
      <c r="RB4210" s="106"/>
      <c r="RC4210" s="106"/>
      <c r="RD4210" s="106"/>
      <c r="RE4210" s="106"/>
      <c r="RF4210" s="106"/>
      <c r="RG4210" s="106"/>
      <c r="RH4210" s="106"/>
      <c r="RI4210" s="106"/>
      <c r="RJ4210" s="106"/>
      <c r="RK4210" s="106"/>
      <c r="RL4210" s="106"/>
    </row>
    <row r="4211" spans="462:480" x14ac:dyDescent="0.3">
      <c r="QT4211" s="106"/>
      <c r="QU4211" s="106"/>
      <c r="QV4211" s="106"/>
      <c r="QW4211" s="106"/>
      <c r="QX4211" s="106"/>
      <c r="QY4211" s="106"/>
      <c r="QZ4211" s="106"/>
      <c r="RA4211" s="106"/>
      <c r="RB4211" s="106"/>
      <c r="RC4211" s="106"/>
      <c r="RD4211" s="106"/>
      <c r="RE4211" s="106"/>
      <c r="RF4211" s="106"/>
      <c r="RG4211" s="106"/>
      <c r="RH4211" s="106"/>
      <c r="RI4211" s="106"/>
      <c r="RJ4211" s="106"/>
      <c r="RK4211" s="106"/>
      <c r="RL4211" s="106"/>
    </row>
    <row r="4212" spans="462:480" x14ac:dyDescent="0.3">
      <c r="QT4212" s="106"/>
      <c r="QU4212" s="106"/>
      <c r="QV4212" s="106"/>
      <c r="QW4212" s="106"/>
      <c r="QX4212" s="106"/>
      <c r="QY4212" s="106"/>
      <c r="QZ4212" s="106"/>
      <c r="RA4212" s="106"/>
      <c r="RB4212" s="106"/>
      <c r="RC4212" s="106"/>
      <c r="RD4212" s="106"/>
      <c r="RE4212" s="106"/>
      <c r="RF4212" s="106"/>
      <c r="RG4212" s="106"/>
      <c r="RH4212" s="106"/>
      <c r="RI4212" s="106"/>
      <c r="RJ4212" s="106"/>
      <c r="RK4212" s="106"/>
      <c r="RL4212" s="106"/>
    </row>
    <row r="4213" spans="462:480" x14ac:dyDescent="0.3">
      <c r="QT4213" s="106"/>
      <c r="QU4213" s="106"/>
      <c r="QV4213" s="106"/>
      <c r="QW4213" s="106"/>
      <c r="QX4213" s="106"/>
      <c r="QY4213" s="106"/>
      <c r="QZ4213" s="106"/>
      <c r="RA4213" s="106"/>
      <c r="RB4213" s="106"/>
      <c r="RC4213" s="106"/>
      <c r="RD4213" s="106"/>
      <c r="RE4213" s="106"/>
      <c r="RF4213" s="106"/>
      <c r="RG4213" s="106"/>
      <c r="RH4213" s="106"/>
      <c r="RI4213" s="106"/>
      <c r="RJ4213" s="106"/>
      <c r="RK4213" s="106"/>
      <c r="RL4213" s="106"/>
    </row>
    <row r="4214" spans="462:480" x14ac:dyDescent="0.3">
      <c r="QT4214" s="106"/>
      <c r="QU4214" s="106"/>
      <c r="QV4214" s="106"/>
      <c r="QW4214" s="106"/>
      <c r="QX4214" s="106"/>
      <c r="QY4214" s="106"/>
      <c r="QZ4214" s="106"/>
      <c r="RA4214" s="106"/>
      <c r="RB4214" s="106"/>
      <c r="RC4214" s="106"/>
      <c r="RD4214" s="106"/>
      <c r="RE4214" s="106"/>
      <c r="RF4214" s="106"/>
      <c r="RG4214" s="106"/>
      <c r="RH4214" s="106"/>
      <c r="RI4214" s="106"/>
      <c r="RJ4214" s="106"/>
      <c r="RK4214" s="106"/>
      <c r="RL4214" s="106"/>
    </row>
    <row r="4215" spans="462:480" x14ac:dyDescent="0.3">
      <c r="QT4215" s="106"/>
      <c r="QU4215" s="106"/>
      <c r="QV4215" s="106"/>
      <c r="QW4215" s="106"/>
      <c r="QX4215" s="106"/>
      <c r="QY4215" s="106"/>
      <c r="QZ4215" s="106"/>
      <c r="RA4215" s="106"/>
      <c r="RB4215" s="106"/>
      <c r="RC4215" s="106"/>
      <c r="RD4215" s="106"/>
      <c r="RE4215" s="106"/>
      <c r="RF4215" s="106"/>
      <c r="RG4215" s="106"/>
      <c r="RH4215" s="106"/>
      <c r="RI4215" s="106"/>
      <c r="RJ4215" s="106"/>
      <c r="RK4215" s="106"/>
      <c r="RL4215" s="106"/>
    </row>
    <row r="4216" spans="462:480" x14ac:dyDescent="0.3">
      <c r="QT4216" s="106"/>
      <c r="QU4216" s="106"/>
      <c r="QV4216" s="106"/>
      <c r="QW4216" s="106"/>
      <c r="QX4216" s="106"/>
      <c r="QY4216" s="106"/>
      <c r="QZ4216" s="106"/>
      <c r="RA4216" s="106"/>
      <c r="RB4216" s="106"/>
      <c r="RC4216" s="106"/>
      <c r="RD4216" s="106"/>
      <c r="RE4216" s="106"/>
      <c r="RF4216" s="106"/>
      <c r="RG4216" s="106"/>
      <c r="RH4216" s="106"/>
      <c r="RI4216" s="106"/>
      <c r="RJ4216" s="106"/>
      <c r="RK4216" s="106"/>
      <c r="RL4216" s="106"/>
    </row>
    <row r="4217" spans="462:480" x14ac:dyDescent="0.3">
      <c r="QT4217" s="106"/>
      <c r="QU4217" s="106"/>
      <c r="QV4217" s="106"/>
      <c r="QW4217" s="106"/>
      <c r="QX4217" s="106"/>
      <c r="QY4217" s="106"/>
      <c r="QZ4217" s="106"/>
      <c r="RA4217" s="106"/>
      <c r="RB4217" s="106"/>
      <c r="RC4217" s="106"/>
      <c r="RD4217" s="106"/>
      <c r="RE4217" s="106"/>
      <c r="RF4217" s="106"/>
      <c r="RG4217" s="106"/>
      <c r="RH4217" s="106"/>
      <c r="RI4217" s="106"/>
      <c r="RJ4217" s="106"/>
      <c r="RK4217" s="106"/>
      <c r="RL4217" s="106"/>
    </row>
    <row r="4218" spans="462:480" x14ac:dyDescent="0.3">
      <c r="QT4218" s="106"/>
      <c r="QU4218" s="106"/>
      <c r="QV4218" s="106"/>
      <c r="QW4218" s="106"/>
      <c r="QX4218" s="106"/>
      <c r="QY4218" s="106"/>
      <c r="QZ4218" s="106"/>
      <c r="RA4218" s="106"/>
      <c r="RB4218" s="106"/>
      <c r="RC4218" s="106"/>
      <c r="RD4218" s="106"/>
      <c r="RE4218" s="106"/>
      <c r="RF4218" s="106"/>
      <c r="RG4218" s="106"/>
      <c r="RH4218" s="106"/>
      <c r="RI4218" s="106"/>
      <c r="RJ4218" s="106"/>
      <c r="RK4218" s="106"/>
      <c r="RL4218" s="106"/>
    </row>
    <row r="4219" spans="462:480" x14ac:dyDescent="0.3">
      <c r="QT4219" s="106"/>
      <c r="QU4219" s="106"/>
      <c r="QV4219" s="106"/>
      <c r="QW4219" s="106"/>
      <c r="QX4219" s="106"/>
      <c r="QY4219" s="106"/>
      <c r="QZ4219" s="106"/>
      <c r="RA4219" s="106"/>
      <c r="RB4219" s="106"/>
      <c r="RC4219" s="106"/>
      <c r="RD4219" s="106"/>
      <c r="RE4219" s="106"/>
      <c r="RF4219" s="106"/>
      <c r="RG4219" s="106"/>
      <c r="RH4219" s="106"/>
      <c r="RI4219" s="106"/>
      <c r="RJ4219" s="106"/>
      <c r="RK4219" s="106"/>
      <c r="RL4219" s="106"/>
    </row>
    <row r="4220" spans="462:480" x14ac:dyDescent="0.3">
      <c r="QT4220" s="106"/>
      <c r="QU4220" s="106"/>
      <c r="QV4220" s="106"/>
      <c r="QW4220" s="106"/>
      <c r="QX4220" s="106"/>
      <c r="QY4220" s="106"/>
      <c r="QZ4220" s="106"/>
      <c r="RA4220" s="106"/>
      <c r="RB4220" s="106"/>
      <c r="RC4220" s="106"/>
      <c r="RD4220" s="106"/>
      <c r="RE4220" s="106"/>
      <c r="RF4220" s="106"/>
      <c r="RG4220" s="106"/>
      <c r="RH4220" s="106"/>
      <c r="RI4220" s="106"/>
      <c r="RJ4220" s="106"/>
      <c r="RK4220" s="106"/>
      <c r="RL4220" s="106"/>
    </row>
    <row r="4221" spans="462:480" x14ac:dyDescent="0.3">
      <c r="QT4221" s="106"/>
      <c r="QU4221" s="106"/>
      <c r="QV4221" s="106"/>
      <c r="QW4221" s="106"/>
      <c r="QX4221" s="106"/>
      <c r="QY4221" s="106"/>
      <c r="QZ4221" s="106"/>
      <c r="RA4221" s="106"/>
      <c r="RB4221" s="106"/>
      <c r="RC4221" s="106"/>
      <c r="RD4221" s="106"/>
      <c r="RE4221" s="106"/>
      <c r="RF4221" s="106"/>
      <c r="RG4221" s="106"/>
      <c r="RH4221" s="106"/>
      <c r="RI4221" s="106"/>
      <c r="RJ4221" s="106"/>
      <c r="RK4221" s="106"/>
      <c r="RL4221" s="106"/>
    </row>
    <row r="4222" spans="462:480" x14ac:dyDescent="0.3">
      <c r="QT4222" s="106"/>
      <c r="QU4222" s="106"/>
      <c r="QV4222" s="106"/>
      <c r="QW4222" s="106"/>
      <c r="QX4222" s="106"/>
      <c r="QY4222" s="106"/>
      <c r="QZ4222" s="106"/>
      <c r="RA4222" s="106"/>
      <c r="RB4222" s="106"/>
      <c r="RC4222" s="106"/>
      <c r="RD4222" s="106"/>
      <c r="RE4222" s="106"/>
      <c r="RF4222" s="106"/>
      <c r="RG4222" s="106"/>
      <c r="RH4222" s="106"/>
      <c r="RI4222" s="106"/>
      <c r="RJ4222" s="106"/>
      <c r="RK4222" s="106"/>
      <c r="RL4222" s="106"/>
    </row>
    <row r="4223" spans="462:480" x14ac:dyDescent="0.3">
      <c r="QT4223" s="106"/>
      <c r="QU4223" s="106"/>
      <c r="QV4223" s="106"/>
      <c r="QW4223" s="106"/>
      <c r="QX4223" s="106"/>
      <c r="QY4223" s="106"/>
      <c r="QZ4223" s="106"/>
      <c r="RA4223" s="106"/>
      <c r="RB4223" s="106"/>
      <c r="RC4223" s="106"/>
      <c r="RD4223" s="106"/>
      <c r="RE4223" s="106"/>
      <c r="RF4223" s="106"/>
      <c r="RG4223" s="106"/>
      <c r="RH4223" s="106"/>
      <c r="RI4223" s="106"/>
      <c r="RJ4223" s="106"/>
      <c r="RK4223" s="106"/>
      <c r="RL4223" s="106"/>
    </row>
    <row r="4224" spans="462:480" x14ac:dyDescent="0.3">
      <c r="QT4224" s="106"/>
      <c r="QU4224" s="106"/>
      <c r="QV4224" s="106"/>
      <c r="QW4224" s="106"/>
      <c r="QX4224" s="106"/>
      <c r="QY4224" s="106"/>
      <c r="QZ4224" s="106"/>
      <c r="RA4224" s="106"/>
      <c r="RB4224" s="106"/>
      <c r="RC4224" s="106"/>
      <c r="RD4224" s="106"/>
      <c r="RE4224" s="106"/>
      <c r="RF4224" s="106"/>
      <c r="RG4224" s="106"/>
      <c r="RH4224" s="106"/>
      <c r="RI4224" s="106"/>
      <c r="RJ4224" s="106"/>
      <c r="RK4224" s="106"/>
      <c r="RL4224" s="106"/>
    </row>
    <row r="4225" spans="462:480" x14ac:dyDescent="0.3">
      <c r="QT4225" s="106"/>
      <c r="QU4225" s="106"/>
      <c r="QV4225" s="106"/>
      <c r="QW4225" s="106"/>
      <c r="QX4225" s="106"/>
      <c r="QY4225" s="106"/>
      <c r="QZ4225" s="106"/>
      <c r="RA4225" s="106"/>
      <c r="RB4225" s="106"/>
      <c r="RC4225" s="106"/>
      <c r="RD4225" s="106"/>
      <c r="RE4225" s="106"/>
      <c r="RF4225" s="106"/>
      <c r="RG4225" s="106"/>
      <c r="RH4225" s="106"/>
      <c r="RI4225" s="106"/>
      <c r="RJ4225" s="106"/>
      <c r="RK4225" s="106"/>
      <c r="RL4225" s="106"/>
    </row>
    <row r="4226" spans="462:480" x14ac:dyDescent="0.3">
      <c r="QT4226" s="106"/>
      <c r="QU4226" s="106"/>
      <c r="QV4226" s="106"/>
      <c r="QW4226" s="106"/>
      <c r="QX4226" s="106"/>
      <c r="QY4226" s="106"/>
      <c r="QZ4226" s="106"/>
      <c r="RA4226" s="106"/>
      <c r="RB4226" s="106"/>
      <c r="RC4226" s="106"/>
      <c r="RD4226" s="106"/>
      <c r="RE4226" s="106"/>
      <c r="RF4226" s="106"/>
      <c r="RG4226" s="106"/>
      <c r="RH4226" s="106"/>
      <c r="RI4226" s="106"/>
      <c r="RJ4226" s="106"/>
      <c r="RK4226" s="106"/>
      <c r="RL4226" s="106"/>
    </row>
    <row r="4227" spans="462:480" x14ac:dyDescent="0.3">
      <c r="QT4227" s="106"/>
      <c r="QU4227" s="106"/>
      <c r="QV4227" s="106"/>
      <c r="QW4227" s="106"/>
      <c r="QX4227" s="106"/>
      <c r="QY4227" s="106"/>
      <c r="QZ4227" s="106"/>
      <c r="RA4227" s="106"/>
      <c r="RB4227" s="106"/>
      <c r="RC4227" s="106"/>
      <c r="RD4227" s="106"/>
      <c r="RE4227" s="106"/>
      <c r="RF4227" s="106"/>
      <c r="RG4227" s="106"/>
      <c r="RH4227" s="106"/>
      <c r="RI4227" s="106"/>
      <c r="RJ4227" s="106"/>
      <c r="RK4227" s="106"/>
      <c r="RL4227" s="106"/>
    </row>
    <row r="4228" spans="462:480" x14ac:dyDescent="0.3">
      <c r="QT4228" s="106"/>
      <c r="QU4228" s="106"/>
      <c r="QV4228" s="106"/>
      <c r="QW4228" s="106"/>
      <c r="QX4228" s="106"/>
      <c r="QY4228" s="106"/>
      <c r="QZ4228" s="106"/>
      <c r="RA4228" s="106"/>
      <c r="RB4228" s="106"/>
      <c r="RC4228" s="106"/>
      <c r="RD4228" s="106"/>
      <c r="RE4228" s="106"/>
      <c r="RF4228" s="106"/>
      <c r="RG4228" s="106"/>
      <c r="RH4228" s="106"/>
      <c r="RI4228" s="106"/>
      <c r="RJ4228" s="106"/>
      <c r="RK4228" s="106"/>
      <c r="RL4228" s="106"/>
    </row>
    <row r="4229" spans="462:480" x14ac:dyDescent="0.3">
      <c r="QT4229" s="106"/>
      <c r="QU4229" s="106"/>
      <c r="QV4229" s="106"/>
      <c r="QW4229" s="106"/>
      <c r="QX4229" s="106"/>
      <c r="QY4229" s="106"/>
      <c r="QZ4229" s="106"/>
      <c r="RA4229" s="106"/>
      <c r="RB4229" s="106"/>
      <c r="RC4229" s="106"/>
      <c r="RD4229" s="106"/>
      <c r="RE4229" s="106"/>
      <c r="RF4229" s="106"/>
      <c r="RG4229" s="106"/>
      <c r="RH4229" s="106"/>
      <c r="RI4229" s="106"/>
      <c r="RJ4229" s="106"/>
      <c r="RK4229" s="106"/>
      <c r="RL4229" s="106"/>
    </row>
    <row r="4230" spans="462:480" x14ac:dyDescent="0.3">
      <c r="QT4230" s="106"/>
      <c r="QU4230" s="106"/>
      <c r="QV4230" s="106"/>
      <c r="QW4230" s="106"/>
      <c r="QX4230" s="106"/>
      <c r="QY4230" s="106"/>
      <c r="QZ4230" s="106"/>
      <c r="RA4230" s="106"/>
      <c r="RB4230" s="106"/>
      <c r="RC4230" s="106"/>
      <c r="RD4230" s="106"/>
      <c r="RE4230" s="106"/>
      <c r="RF4230" s="106"/>
      <c r="RG4230" s="106"/>
      <c r="RH4230" s="106"/>
      <c r="RI4230" s="106"/>
      <c r="RJ4230" s="106"/>
      <c r="RK4230" s="106"/>
      <c r="RL4230" s="106"/>
    </row>
    <row r="4231" spans="462:480" x14ac:dyDescent="0.3">
      <c r="QT4231" s="106"/>
      <c r="QU4231" s="106"/>
      <c r="QV4231" s="106"/>
      <c r="QW4231" s="106"/>
      <c r="QX4231" s="106"/>
      <c r="QY4231" s="106"/>
      <c r="QZ4231" s="106"/>
      <c r="RA4231" s="106"/>
      <c r="RB4231" s="106"/>
      <c r="RC4231" s="106"/>
      <c r="RD4231" s="106"/>
      <c r="RE4231" s="106"/>
      <c r="RF4231" s="106"/>
      <c r="RG4231" s="106"/>
      <c r="RH4231" s="106"/>
      <c r="RI4231" s="106"/>
      <c r="RJ4231" s="106"/>
      <c r="RK4231" s="106"/>
      <c r="RL4231" s="106"/>
    </row>
    <row r="4232" spans="462:480" x14ac:dyDescent="0.3">
      <c r="QT4232" s="106"/>
      <c r="QU4232" s="106"/>
      <c r="QV4232" s="106"/>
      <c r="QW4232" s="106"/>
      <c r="QX4232" s="106"/>
      <c r="QY4232" s="106"/>
      <c r="QZ4232" s="106"/>
      <c r="RA4232" s="106"/>
      <c r="RB4232" s="106"/>
      <c r="RC4232" s="106"/>
      <c r="RD4232" s="106"/>
      <c r="RE4232" s="106"/>
      <c r="RF4232" s="106"/>
      <c r="RG4232" s="106"/>
      <c r="RH4232" s="106"/>
      <c r="RI4232" s="106"/>
      <c r="RJ4232" s="106"/>
      <c r="RK4232" s="106"/>
      <c r="RL4232" s="106"/>
    </row>
    <row r="4233" spans="462:480" x14ac:dyDescent="0.3">
      <c r="QT4233" s="106"/>
      <c r="QU4233" s="106"/>
      <c r="QV4233" s="106"/>
      <c r="QW4233" s="106"/>
      <c r="QX4233" s="106"/>
      <c r="QY4233" s="106"/>
      <c r="QZ4233" s="106"/>
      <c r="RA4233" s="106"/>
      <c r="RB4233" s="106"/>
      <c r="RC4233" s="106"/>
      <c r="RD4233" s="106"/>
      <c r="RE4233" s="106"/>
      <c r="RF4233" s="106"/>
      <c r="RG4233" s="106"/>
      <c r="RH4233" s="106"/>
      <c r="RI4233" s="106"/>
      <c r="RJ4233" s="106"/>
      <c r="RK4233" s="106"/>
      <c r="RL4233" s="106"/>
    </row>
    <row r="4234" spans="462:480" x14ac:dyDescent="0.3">
      <c r="QT4234" s="106"/>
      <c r="QU4234" s="106"/>
      <c r="QV4234" s="106"/>
      <c r="QW4234" s="106"/>
      <c r="QX4234" s="106"/>
      <c r="QY4234" s="106"/>
      <c r="QZ4234" s="106"/>
      <c r="RA4234" s="106"/>
      <c r="RB4234" s="106"/>
      <c r="RC4234" s="106"/>
      <c r="RD4234" s="106"/>
      <c r="RE4234" s="106"/>
      <c r="RF4234" s="106"/>
      <c r="RG4234" s="106"/>
      <c r="RH4234" s="106"/>
      <c r="RI4234" s="106"/>
      <c r="RJ4234" s="106"/>
      <c r="RK4234" s="106"/>
      <c r="RL4234" s="106"/>
    </row>
    <row r="4235" spans="462:480" x14ac:dyDescent="0.3">
      <c r="QT4235" s="106"/>
      <c r="QU4235" s="106"/>
      <c r="QV4235" s="106"/>
      <c r="QW4235" s="106"/>
      <c r="QX4235" s="106"/>
      <c r="QY4235" s="106"/>
      <c r="QZ4235" s="106"/>
      <c r="RA4235" s="106"/>
      <c r="RB4235" s="106"/>
      <c r="RC4235" s="106"/>
      <c r="RD4235" s="106"/>
      <c r="RE4235" s="106"/>
      <c r="RF4235" s="106"/>
      <c r="RG4235" s="106"/>
      <c r="RH4235" s="106"/>
      <c r="RI4235" s="106"/>
      <c r="RJ4235" s="106"/>
      <c r="RK4235" s="106"/>
      <c r="RL4235" s="106"/>
    </row>
    <row r="4236" spans="462:480" x14ac:dyDescent="0.3">
      <c r="QT4236" s="106"/>
      <c r="QU4236" s="106"/>
      <c r="QV4236" s="106"/>
      <c r="QW4236" s="106"/>
      <c r="QX4236" s="106"/>
      <c r="QY4236" s="106"/>
      <c r="QZ4236" s="106"/>
      <c r="RA4236" s="106"/>
      <c r="RB4236" s="106"/>
      <c r="RC4236" s="106"/>
      <c r="RD4236" s="106"/>
      <c r="RE4236" s="106"/>
      <c r="RF4236" s="106"/>
      <c r="RG4236" s="106"/>
      <c r="RH4236" s="106"/>
      <c r="RI4236" s="106"/>
      <c r="RJ4236" s="106"/>
      <c r="RK4236" s="106"/>
      <c r="RL4236" s="106"/>
    </row>
    <row r="4237" spans="462:480" x14ac:dyDescent="0.3">
      <c r="QT4237" s="106"/>
      <c r="QU4237" s="106"/>
      <c r="QV4237" s="106"/>
      <c r="QW4237" s="106"/>
      <c r="QX4237" s="106"/>
      <c r="QY4237" s="106"/>
      <c r="QZ4237" s="106"/>
      <c r="RA4237" s="106"/>
      <c r="RB4237" s="106"/>
      <c r="RC4237" s="106"/>
      <c r="RD4237" s="106"/>
      <c r="RE4237" s="106"/>
      <c r="RF4237" s="106"/>
      <c r="RG4237" s="106"/>
      <c r="RH4237" s="106"/>
      <c r="RI4237" s="106"/>
      <c r="RJ4237" s="106"/>
      <c r="RK4237" s="106"/>
      <c r="RL4237" s="106"/>
    </row>
    <row r="4238" spans="462:480" x14ac:dyDescent="0.3">
      <c r="QT4238" s="106"/>
      <c r="QU4238" s="106"/>
      <c r="QV4238" s="106"/>
      <c r="QW4238" s="106"/>
      <c r="QX4238" s="106"/>
      <c r="QY4238" s="106"/>
      <c r="QZ4238" s="106"/>
      <c r="RA4238" s="106"/>
      <c r="RB4238" s="106"/>
      <c r="RC4238" s="106"/>
      <c r="RD4238" s="106"/>
      <c r="RE4238" s="106"/>
      <c r="RF4238" s="106"/>
      <c r="RG4238" s="106"/>
      <c r="RH4238" s="106"/>
      <c r="RI4238" s="106"/>
      <c r="RJ4238" s="106"/>
      <c r="RK4238" s="106"/>
      <c r="RL4238" s="106"/>
    </row>
    <row r="4239" spans="462:480" x14ac:dyDescent="0.3">
      <c r="QT4239" s="106"/>
      <c r="QU4239" s="106"/>
      <c r="QV4239" s="106"/>
      <c r="QW4239" s="106"/>
      <c r="QX4239" s="106"/>
      <c r="QY4239" s="106"/>
      <c r="QZ4239" s="106"/>
      <c r="RA4239" s="106"/>
      <c r="RB4239" s="106"/>
      <c r="RC4239" s="106"/>
      <c r="RD4239" s="106"/>
      <c r="RE4239" s="106"/>
      <c r="RF4239" s="106"/>
      <c r="RG4239" s="106"/>
      <c r="RH4239" s="106"/>
      <c r="RI4239" s="106"/>
      <c r="RJ4239" s="106"/>
      <c r="RK4239" s="106"/>
      <c r="RL4239" s="106"/>
    </row>
    <row r="4240" spans="462:480" x14ac:dyDescent="0.3">
      <c r="QT4240" s="106"/>
      <c r="QU4240" s="106"/>
      <c r="QV4240" s="106"/>
      <c r="QW4240" s="106"/>
      <c r="QX4240" s="106"/>
      <c r="QY4240" s="106"/>
      <c r="QZ4240" s="106"/>
      <c r="RA4240" s="106"/>
      <c r="RB4240" s="106"/>
      <c r="RC4240" s="106"/>
      <c r="RD4240" s="106"/>
      <c r="RE4240" s="106"/>
      <c r="RF4240" s="106"/>
      <c r="RG4240" s="106"/>
      <c r="RH4240" s="106"/>
      <c r="RI4240" s="106"/>
      <c r="RJ4240" s="106"/>
      <c r="RK4240" s="106"/>
      <c r="RL4240" s="106"/>
    </row>
    <row r="4241" spans="462:480" x14ac:dyDescent="0.3">
      <c r="QT4241" s="106"/>
      <c r="QU4241" s="106"/>
      <c r="QV4241" s="106"/>
      <c r="QW4241" s="106"/>
      <c r="QX4241" s="106"/>
      <c r="QY4241" s="106"/>
      <c r="QZ4241" s="106"/>
      <c r="RA4241" s="106"/>
      <c r="RB4241" s="106"/>
      <c r="RC4241" s="106"/>
      <c r="RD4241" s="106"/>
      <c r="RE4241" s="106"/>
      <c r="RF4241" s="106"/>
      <c r="RG4241" s="106"/>
      <c r="RH4241" s="106"/>
      <c r="RI4241" s="106"/>
      <c r="RJ4241" s="106"/>
      <c r="RK4241" s="106"/>
      <c r="RL4241" s="106"/>
    </row>
    <row r="4242" spans="462:480" x14ac:dyDescent="0.3">
      <c r="QT4242" s="106"/>
      <c r="QU4242" s="106"/>
      <c r="QV4242" s="106"/>
      <c r="QW4242" s="106"/>
      <c r="QX4242" s="106"/>
      <c r="QY4242" s="106"/>
      <c r="QZ4242" s="106"/>
      <c r="RA4242" s="106"/>
      <c r="RB4242" s="106"/>
      <c r="RC4242" s="106"/>
      <c r="RD4242" s="106"/>
      <c r="RE4242" s="106"/>
      <c r="RF4242" s="106"/>
      <c r="RG4242" s="106"/>
      <c r="RH4242" s="106"/>
      <c r="RI4242" s="106"/>
      <c r="RJ4242" s="106"/>
      <c r="RK4242" s="106"/>
      <c r="RL4242" s="106"/>
    </row>
    <row r="4243" spans="462:480" x14ac:dyDescent="0.3">
      <c r="QT4243" s="106"/>
      <c r="QU4243" s="106"/>
      <c r="QV4243" s="106"/>
      <c r="QW4243" s="106"/>
      <c r="QX4243" s="106"/>
      <c r="QY4243" s="106"/>
      <c r="QZ4243" s="106"/>
      <c r="RA4243" s="106"/>
      <c r="RB4243" s="106"/>
      <c r="RC4243" s="106"/>
      <c r="RD4243" s="106"/>
      <c r="RE4243" s="106"/>
      <c r="RF4243" s="106"/>
      <c r="RG4243" s="106"/>
      <c r="RH4243" s="106"/>
      <c r="RI4243" s="106"/>
      <c r="RJ4243" s="106"/>
      <c r="RK4243" s="106"/>
      <c r="RL4243" s="106"/>
    </row>
    <row r="4244" spans="462:480" x14ac:dyDescent="0.3">
      <c r="QT4244" s="106"/>
      <c r="QU4244" s="106"/>
      <c r="QV4244" s="106"/>
      <c r="QW4244" s="106"/>
      <c r="QX4244" s="106"/>
      <c r="QY4244" s="106"/>
      <c r="QZ4244" s="106"/>
      <c r="RA4244" s="106"/>
      <c r="RB4244" s="106"/>
      <c r="RC4244" s="106"/>
      <c r="RD4244" s="106"/>
      <c r="RE4244" s="106"/>
      <c r="RF4244" s="106"/>
      <c r="RG4244" s="106"/>
      <c r="RH4244" s="106"/>
      <c r="RI4244" s="106"/>
      <c r="RJ4244" s="106"/>
      <c r="RK4244" s="106"/>
      <c r="RL4244" s="106"/>
    </row>
    <row r="4245" spans="462:480" x14ac:dyDescent="0.3">
      <c r="QT4245" s="106"/>
      <c r="QU4245" s="106"/>
      <c r="QV4245" s="106"/>
      <c r="QW4245" s="106"/>
      <c r="QX4245" s="106"/>
      <c r="QY4245" s="106"/>
      <c r="QZ4245" s="106"/>
      <c r="RA4245" s="106"/>
      <c r="RB4245" s="106"/>
      <c r="RC4245" s="106"/>
      <c r="RD4245" s="106"/>
      <c r="RE4245" s="106"/>
      <c r="RF4245" s="106"/>
      <c r="RG4245" s="106"/>
      <c r="RH4245" s="106"/>
      <c r="RI4245" s="106"/>
      <c r="RJ4245" s="106"/>
      <c r="RK4245" s="106"/>
      <c r="RL4245" s="106"/>
    </row>
    <row r="4246" spans="462:480" x14ac:dyDescent="0.3">
      <c r="QT4246" s="106"/>
      <c r="QU4246" s="106"/>
      <c r="QV4246" s="106"/>
      <c r="QW4246" s="106"/>
      <c r="QX4246" s="106"/>
      <c r="QY4246" s="106"/>
      <c r="QZ4246" s="106"/>
      <c r="RA4246" s="106"/>
      <c r="RB4246" s="106"/>
      <c r="RC4246" s="106"/>
      <c r="RD4246" s="106"/>
      <c r="RE4246" s="106"/>
      <c r="RF4246" s="106"/>
      <c r="RG4246" s="106"/>
      <c r="RH4246" s="106"/>
      <c r="RI4246" s="106"/>
      <c r="RJ4246" s="106"/>
      <c r="RK4246" s="106"/>
      <c r="RL4246" s="106"/>
    </row>
    <row r="4247" spans="462:480" x14ac:dyDescent="0.3">
      <c r="QT4247" s="106"/>
      <c r="QU4247" s="106"/>
      <c r="QV4247" s="106"/>
      <c r="QW4247" s="106"/>
      <c r="QX4247" s="106"/>
      <c r="QY4247" s="106"/>
      <c r="QZ4247" s="106"/>
      <c r="RA4247" s="106"/>
      <c r="RB4247" s="106"/>
      <c r="RC4247" s="106"/>
      <c r="RD4247" s="106"/>
      <c r="RE4247" s="106"/>
      <c r="RF4247" s="106"/>
      <c r="RG4247" s="106"/>
      <c r="RH4247" s="106"/>
      <c r="RI4247" s="106"/>
      <c r="RJ4247" s="106"/>
      <c r="RK4247" s="106"/>
      <c r="RL4247" s="106"/>
    </row>
    <row r="4248" spans="462:480" x14ac:dyDescent="0.3">
      <c r="QT4248" s="106"/>
      <c r="QU4248" s="106"/>
      <c r="QV4248" s="106"/>
      <c r="QW4248" s="106"/>
      <c r="QX4248" s="106"/>
      <c r="QY4248" s="106"/>
      <c r="QZ4248" s="106"/>
      <c r="RA4248" s="106"/>
      <c r="RB4248" s="106"/>
      <c r="RC4248" s="106"/>
      <c r="RD4248" s="106"/>
      <c r="RE4248" s="106"/>
      <c r="RF4248" s="106"/>
      <c r="RG4248" s="106"/>
      <c r="RH4248" s="106"/>
      <c r="RI4248" s="106"/>
      <c r="RJ4248" s="106"/>
      <c r="RK4248" s="106"/>
      <c r="RL4248" s="106"/>
    </row>
    <row r="4249" spans="462:480" x14ac:dyDescent="0.3">
      <c r="QT4249" s="106"/>
      <c r="QU4249" s="106"/>
      <c r="QV4249" s="106"/>
      <c r="QW4249" s="106"/>
      <c r="QX4249" s="106"/>
      <c r="QY4249" s="106"/>
      <c r="QZ4249" s="106"/>
      <c r="RA4249" s="106"/>
      <c r="RB4249" s="106"/>
      <c r="RC4249" s="106"/>
      <c r="RD4249" s="106"/>
      <c r="RE4249" s="106"/>
      <c r="RF4249" s="106"/>
      <c r="RG4249" s="106"/>
      <c r="RH4249" s="106"/>
      <c r="RI4249" s="106"/>
      <c r="RJ4249" s="106"/>
      <c r="RK4249" s="106"/>
      <c r="RL4249" s="106"/>
    </row>
    <row r="4250" spans="462:480" x14ac:dyDescent="0.3">
      <c r="QT4250" s="106"/>
      <c r="QU4250" s="106"/>
      <c r="QV4250" s="106"/>
      <c r="QW4250" s="106"/>
      <c r="QX4250" s="106"/>
      <c r="QY4250" s="106"/>
      <c r="QZ4250" s="106"/>
      <c r="RA4250" s="106"/>
      <c r="RB4250" s="106"/>
      <c r="RC4250" s="106"/>
      <c r="RD4250" s="106"/>
      <c r="RE4250" s="106"/>
      <c r="RF4250" s="106"/>
      <c r="RG4250" s="106"/>
      <c r="RH4250" s="106"/>
      <c r="RI4250" s="106"/>
      <c r="RJ4250" s="106"/>
      <c r="RK4250" s="106"/>
      <c r="RL4250" s="106"/>
    </row>
    <row r="4251" spans="462:480" x14ac:dyDescent="0.3">
      <c r="QT4251" s="106"/>
      <c r="QU4251" s="106"/>
      <c r="QV4251" s="106"/>
      <c r="QW4251" s="106"/>
      <c r="QX4251" s="106"/>
      <c r="QY4251" s="106"/>
      <c r="QZ4251" s="106"/>
      <c r="RA4251" s="106"/>
      <c r="RB4251" s="106"/>
      <c r="RC4251" s="106"/>
      <c r="RD4251" s="106"/>
      <c r="RE4251" s="106"/>
      <c r="RF4251" s="106"/>
      <c r="RG4251" s="106"/>
      <c r="RH4251" s="106"/>
      <c r="RI4251" s="106"/>
      <c r="RJ4251" s="106"/>
      <c r="RK4251" s="106"/>
      <c r="RL4251" s="106"/>
    </row>
    <row r="4252" spans="462:480" x14ac:dyDescent="0.3">
      <c r="QT4252" s="106"/>
      <c r="QU4252" s="106"/>
      <c r="QV4252" s="106"/>
      <c r="QW4252" s="106"/>
      <c r="QX4252" s="106"/>
      <c r="QY4252" s="106"/>
      <c r="QZ4252" s="106"/>
      <c r="RA4252" s="106"/>
      <c r="RB4252" s="106"/>
      <c r="RC4252" s="106"/>
      <c r="RD4252" s="106"/>
      <c r="RE4252" s="106"/>
      <c r="RF4252" s="106"/>
      <c r="RG4252" s="106"/>
      <c r="RH4252" s="106"/>
      <c r="RI4252" s="106"/>
      <c r="RJ4252" s="106"/>
      <c r="RK4252" s="106"/>
      <c r="RL4252" s="106"/>
    </row>
    <row r="4253" spans="462:480" x14ac:dyDescent="0.3">
      <c r="QT4253" s="106"/>
      <c r="QU4253" s="106"/>
      <c r="QV4253" s="106"/>
      <c r="QW4253" s="106"/>
      <c r="QX4253" s="106"/>
      <c r="QY4253" s="106"/>
      <c r="QZ4253" s="106"/>
      <c r="RA4253" s="106"/>
      <c r="RB4253" s="106"/>
      <c r="RC4253" s="106"/>
      <c r="RD4253" s="106"/>
      <c r="RE4253" s="106"/>
      <c r="RF4253" s="106"/>
      <c r="RG4253" s="106"/>
      <c r="RH4253" s="106"/>
      <c r="RI4253" s="106"/>
      <c r="RJ4253" s="106"/>
      <c r="RK4253" s="106"/>
      <c r="RL4253" s="106"/>
    </row>
    <row r="4254" spans="462:480" x14ac:dyDescent="0.3">
      <c r="QT4254" s="106"/>
      <c r="QU4254" s="106"/>
      <c r="QV4254" s="106"/>
      <c r="QW4254" s="106"/>
      <c r="QX4254" s="106"/>
      <c r="QY4254" s="106"/>
      <c r="QZ4254" s="106"/>
      <c r="RA4254" s="106"/>
      <c r="RB4254" s="106"/>
      <c r="RC4254" s="106"/>
      <c r="RD4254" s="106"/>
      <c r="RE4254" s="106"/>
      <c r="RF4254" s="106"/>
      <c r="RG4254" s="106"/>
      <c r="RH4254" s="106"/>
      <c r="RI4254" s="106"/>
      <c r="RJ4254" s="106"/>
      <c r="RK4254" s="106"/>
      <c r="RL4254" s="106"/>
    </row>
    <row r="4255" spans="462:480" x14ac:dyDescent="0.3">
      <c r="QT4255" s="106"/>
      <c r="QU4255" s="106"/>
      <c r="QV4255" s="106"/>
      <c r="QW4255" s="106"/>
      <c r="QX4255" s="106"/>
      <c r="QY4255" s="106"/>
      <c r="QZ4255" s="106"/>
      <c r="RA4255" s="106"/>
      <c r="RB4255" s="106"/>
      <c r="RC4255" s="106"/>
      <c r="RD4255" s="106"/>
      <c r="RE4255" s="106"/>
      <c r="RF4255" s="106"/>
      <c r="RG4255" s="106"/>
      <c r="RH4255" s="106"/>
      <c r="RI4255" s="106"/>
      <c r="RJ4255" s="106"/>
      <c r="RK4255" s="106"/>
      <c r="RL4255" s="106"/>
    </row>
    <row r="4256" spans="462:480" x14ac:dyDescent="0.3">
      <c r="QT4256" s="106"/>
      <c r="QU4256" s="106"/>
      <c r="QV4256" s="106"/>
      <c r="QW4256" s="106"/>
      <c r="QX4256" s="106"/>
      <c r="QY4256" s="106"/>
      <c r="QZ4256" s="106"/>
      <c r="RA4256" s="106"/>
      <c r="RB4256" s="106"/>
      <c r="RC4256" s="106"/>
      <c r="RD4256" s="106"/>
      <c r="RE4256" s="106"/>
      <c r="RF4256" s="106"/>
      <c r="RG4256" s="106"/>
      <c r="RH4256" s="106"/>
      <c r="RI4256" s="106"/>
      <c r="RJ4256" s="106"/>
      <c r="RK4256" s="106"/>
      <c r="RL4256" s="106"/>
    </row>
    <row r="4257" spans="462:480" x14ac:dyDescent="0.3">
      <c r="QT4257" s="106"/>
      <c r="QU4257" s="106"/>
      <c r="QV4257" s="106"/>
      <c r="QW4257" s="106"/>
      <c r="QX4257" s="106"/>
      <c r="QY4257" s="106"/>
      <c r="QZ4257" s="106"/>
      <c r="RA4257" s="106"/>
      <c r="RB4257" s="106"/>
      <c r="RC4257" s="106"/>
      <c r="RD4257" s="106"/>
      <c r="RE4257" s="106"/>
      <c r="RF4257" s="106"/>
      <c r="RG4257" s="106"/>
      <c r="RH4257" s="106"/>
      <c r="RI4257" s="106"/>
      <c r="RJ4257" s="106"/>
      <c r="RK4257" s="106"/>
      <c r="RL4257" s="106"/>
    </row>
    <row r="4258" spans="462:480" x14ac:dyDescent="0.3">
      <c r="QT4258" s="106"/>
      <c r="QU4258" s="106"/>
      <c r="QV4258" s="106"/>
      <c r="QW4258" s="106"/>
      <c r="QX4258" s="106"/>
      <c r="QY4258" s="106"/>
      <c r="QZ4258" s="106"/>
      <c r="RA4258" s="106"/>
      <c r="RB4258" s="106"/>
      <c r="RC4258" s="106"/>
      <c r="RD4258" s="106"/>
      <c r="RE4258" s="106"/>
      <c r="RF4258" s="106"/>
      <c r="RG4258" s="106"/>
      <c r="RH4258" s="106"/>
      <c r="RI4258" s="106"/>
      <c r="RJ4258" s="106"/>
      <c r="RK4258" s="106"/>
      <c r="RL4258" s="106"/>
    </row>
    <row r="4259" spans="462:480" x14ac:dyDescent="0.3">
      <c r="QT4259" s="106"/>
      <c r="QU4259" s="106"/>
      <c r="QV4259" s="106"/>
      <c r="QW4259" s="106"/>
      <c r="QX4259" s="106"/>
      <c r="QY4259" s="106"/>
      <c r="QZ4259" s="106"/>
      <c r="RA4259" s="106"/>
      <c r="RB4259" s="106"/>
      <c r="RC4259" s="106"/>
      <c r="RD4259" s="106"/>
      <c r="RE4259" s="106"/>
      <c r="RF4259" s="106"/>
      <c r="RG4259" s="106"/>
      <c r="RH4259" s="106"/>
      <c r="RI4259" s="106"/>
      <c r="RJ4259" s="106"/>
      <c r="RK4259" s="106"/>
      <c r="RL4259" s="106"/>
    </row>
    <row r="4260" spans="462:480" x14ac:dyDescent="0.3">
      <c r="QT4260" s="106"/>
      <c r="QU4260" s="106"/>
      <c r="QV4260" s="106"/>
      <c r="QW4260" s="106"/>
      <c r="QX4260" s="106"/>
      <c r="QY4260" s="106"/>
      <c r="QZ4260" s="106"/>
      <c r="RA4260" s="106"/>
      <c r="RB4260" s="106"/>
      <c r="RC4260" s="106"/>
      <c r="RD4260" s="106"/>
      <c r="RE4260" s="106"/>
      <c r="RF4260" s="106"/>
      <c r="RG4260" s="106"/>
      <c r="RH4260" s="106"/>
      <c r="RI4260" s="106"/>
      <c r="RJ4260" s="106"/>
      <c r="RK4260" s="106"/>
      <c r="RL4260" s="106"/>
    </row>
    <row r="4261" spans="462:480" x14ac:dyDescent="0.3">
      <c r="QT4261" s="106"/>
      <c r="QU4261" s="106"/>
      <c r="QV4261" s="106"/>
      <c r="QW4261" s="106"/>
      <c r="QX4261" s="106"/>
      <c r="QY4261" s="106"/>
      <c r="QZ4261" s="106"/>
      <c r="RA4261" s="106"/>
      <c r="RB4261" s="106"/>
      <c r="RC4261" s="106"/>
      <c r="RD4261" s="106"/>
      <c r="RE4261" s="106"/>
      <c r="RF4261" s="106"/>
      <c r="RG4261" s="106"/>
      <c r="RH4261" s="106"/>
      <c r="RI4261" s="106"/>
      <c r="RJ4261" s="106"/>
      <c r="RK4261" s="106"/>
      <c r="RL4261" s="106"/>
    </row>
    <row r="4262" spans="462:480" x14ac:dyDescent="0.3">
      <c r="QT4262" s="106"/>
      <c r="QU4262" s="106"/>
      <c r="QV4262" s="106"/>
      <c r="QW4262" s="106"/>
      <c r="QX4262" s="106"/>
      <c r="QY4262" s="106"/>
      <c r="QZ4262" s="106"/>
      <c r="RA4262" s="106"/>
      <c r="RB4262" s="106"/>
      <c r="RC4262" s="106"/>
      <c r="RD4262" s="106"/>
      <c r="RE4262" s="106"/>
      <c r="RF4262" s="106"/>
      <c r="RG4262" s="106"/>
      <c r="RH4262" s="106"/>
      <c r="RI4262" s="106"/>
      <c r="RJ4262" s="106"/>
      <c r="RK4262" s="106"/>
      <c r="RL4262" s="106"/>
    </row>
    <row r="4263" spans="462:480" x14ac:dyDescent="0.3">
      <c r="QT4263" s="106"/>
      <c r="QU4263" s="106"/>
      <c r="QV4263" s="106"/>
      <c r="QW4263" s="106"/>
      <c r="QX4263" s="106"/>
      <c r="QY4263" s="106"/>
      <c r="QZ4263" s="106"/>
      <c r="RA4263" s="106"/>
      <c r="RB4263" s="106"/>
      <c r="RC4263" s="106"/>
      <c r="RD4263" s="106"/>
      <c r="RE4263" s="106"/>
      <c r="RF4263" s="106"/>
      <c r="RG4263" s="106"/>
      <c r="RH4263" s="106"/>
      <c r="RI4263" s="106"/>
      <c r="RJ4263" s="106"/>
      <c r="RK4263" s="106"/>
      <c r="RL4263" s="106"/>
    </row>
    <row r="4264" spans="462:480" x14ac:dyDescent="0.3">
      <c r="QT4264" s="106"/>
      <c r="QU4264" s="106"/>
      <c r="QV4264" s="106"/>
      <c r="QW4264" s="106"/>
      <c r="QX4264" s="106"/>
      <c r="QY4264" s="106"/>
      <c r="QZ4264" s="106"/>
      <c r="RA4264" s="106"/>
      <c r="RB4264" s="106"/>
      <c r="RC4264" s="106"/>
      <c r="RD4264" s="106"/>
      <c r="RE4264" s="106"/>
      <c r="RF4264" s="106"/>
      <c r="RG4264" s="106"/>
      <c r="RH4264" s="106"/>
      <c r="RI4264" s="106"/>
      <c r="RJ4264" s="106"/>
      <c r="RK4264" s="106"/>
      <c r="RL4264" s="106"/>
    </row>
    <row r="4265" spans="462:480" x14ac:dyDescent="0.3">
      <c r="QT4265" s="106"/>
      <c r="QU4265" s="106"/>
      <c r="QV4265" s="106"/>
      <c r="QW4265" s="106"/>
      <c r="QX4265" s="106"/>
      <c r="QY4265" s="106"/>
      <c r="QZ4265" s="106"/>
      <c r="RA4265" s="106"/>
      <c r="RB4265" s="106"/>
      <c r="RC4265" s="106"/>
      <c r="RD4265" s="106"/>
      <c r="RE4265" s="106"/>
      <c r="RF4265" s="106"/>
      <c r="RG4265" s="106"/>
      <c r="RH4265" s="106"/>
      <c r="RI4265" s="106"/>
      <c r="RJ4265" s="106"/>
      <c r="RK4265" s="106"/>
      <c r="RL4265" s="106"/>
    </row>
    <row r="4266" spans="462:480" x14ac:dyDescent="0.3">
      <c r="QT4266" s="106"/>
      <c r="QU4266" s="106"/>
      <c r="QV4266" s="106"/>
      <c r="QW4266" s="106"/>
      <c r="QX4266" s="106"/>
      <c r="QY4266" s="106"/>
      <c r="QZ4266" s="106"/>
      <c r="RA4266" s="106"/>
      <c r="RB4266" s="106"/>
      <c r="RC4266" s="106"/>
      <c r="RD4266" s="106"/>
      <c r="RE4266" s="106"/>
      <c r="RF4266" s="106"/>
      <c r="RG4266" s="106"/>
      <c r="RH4266" s="106"/>
      <c r="RI4266" s="106"/>
      <c r="RJ4266" s="106"/>
      <c r="RK4266" s="106"/>
      <c r="RL4266" s="106"/>
    </row>
    <row r="4267" spans="462:480" x14ac:dyDescent="0.3">
      <c r="QT4267" s="106"/>
      <c r="QU4267" s="106"/>
      <c r="QV4267" s="106"/>
      <c r="QW4267" s="106"/>
      <c r="QX4267" s="106"/>
      <c r="QY4267" s="106"/>
      <c r="QZ4267" s="106"/>
      <c r="RA4267" s="106"/>
      <c r="RB4267" s="106"/>
      <c r="RC4267" s="106"/>
      <c r="RD4267" s="106"/>
      <c r="RE4267" s="106"/>
      <c r="RF4267" s="106"/>
      <c r="RG4267" s="106"/>
      <c r="RH4267" s="106"/>
      <c r="RI4267" s="106"/>
      <c r="RJ4267" s="106"/>
      <c r="RK4267" s="106"/>
      <c r="RL4267" s="106"/>
    </row>
    <row r="4268" spans="462:480" x14ac:dyDescent="0.3">
      <c r="QT4268" s="106"/>
      <c r="QU4268" s="106"/>
      <c r="QV4268" s="106"/>
      <c r="QW4268" s="106"/>
      <c r="QX4268" s="106"/>
      <c r="QY4268" s="106"/>
      <c r="QZ4268" s="106"/>
      <c r="RA4268" s="106"/>
      <c r="RB4268" s="106"/>
      <c r="RC4268" s="106"/>
      <c r="RD4268" s="106"/>
      <c r="RE4268" s="106"/>
      <c r="RF4268" s="106"/>
      <c r="RG4268" s="106"/>
      <c r="RH4268" s="106"/>
      <c r="RI4268" s="106"/>
      <c r="RJ4268" s="106"/>
      <c r="RK4268" s="106"/>
      <c r="RL4268" s="106"/>
    </row>
    <row r="4269" spans="462:480" x14ac:dyDescent="0.3">
      <c r="QT4269" s="106"/>
      <c r="QU4269" s="106"/>
      <c r="QV4269" s="106"/>
      <c r="QW4269" s="106"/>
      <c r="QX4269" s="106"/>
      <c r="QY4269" s="106"/>
      <c r="QZ4269" s="106"/>
      <c r="RA4269" s="106"/>
      <c r="RB4269" s="106"/>
      <c r="RC4269" s="106"/>
      <c r="RD4269" s="106"/>
      <c r="RE4269" s="106"/>
      <c r="RF4269" s="106"/>
      <c r="RG4269" s="106"/>
      <c r="RH4269" s="106"/>
      <c r="RI4269" s="106"/>
      <c r="RJ4269" s="106"/>
      <c r="RK4269" s="106"/>
      <c r="RL4269" s="106"/>
    </row>
    <row r="4270" spans="462:480" x14ac:dyDescent="0.3">
      <c r="QT4270" s="106"/>
      <c r="QU4270" s="106"/>
      <c r="QV4270" s="106"/>
      <c r="QW4270" s="106"/>
      <c r="QX4270" s="106"/>
      <c r="QY4270" s="106"/>
      <c r="QZ4270" s="106"/>
      <c r="RA4270" s="106"/>
      <c r="RB4270" s="106"/>
      <c r="RC4270" s="106"/>
      <c r="RD4270" s="106"/>
      <c r="RE4270" s="106"/>
      <c r="RF4270" s="106"/>
      <c r="RG4270" s="106"/>
      <c r="RH4270" s="106"/>
      <c r="RI4270" s="106"/>
      <c r="RJ4270" s="106"/>
      <c r="RK4270" s="106"/>
      <c r="RL4270" s="106"/>
    </row>
    <row r="4271" spans="462:480" x14ac:dyDescent="0.3">
      <c r="QT4271" s="106"/>
      <c r="QU4271" s="106"/>
      <c r="QV4271" s="106"/>
      <c r="QW4271" s="106"/>
      <c r="QX4271" s="106"/>
      <c r="QY4271" s="106"/>
      <c r="QZ4271" s="106"/>
      <c r="RA4271" s="106"/>
      <c r="RB4271" s="106"/>
      <c r="RC4271" s="106"/>
      <c r="RD4271" s="106"/>
      <c r="RE4271" s="106"/>
      <c r="RF4271" s="106"/>
      <c r="RG4271" s="106"/>
      <c r="RH4271" s="106"/>
      <c r="RI4271" s="106"/>
      <c r="RJ4271" s="106"/>
      <c r="RK4271" s="106"/>
      <c r="RL4271" s="106"/>
    </row>
    <row r="4272" spans="462:480" x14ac:dyDescent="0.3">
      <c r="QT4272" s="106"/>
      <c r="QU4272" s="106"/>
      <c r="QV4272" s="106"/>
      <c r="QW4272" s="106"/>
      <c r="QX4272" s="106"/>
      <c r="QY4272" s="106"/>
      <c r="QZ4272" s="106"/>
      <c r="RA4272" s="106"/>
      <c r="RB4272" s="106"/>
      <c r="RC4272" s="106"/>
      <c r="RD4272" s="106"/>
      <c r="RE4272" s="106"/>
      <c r="RF4272" s="106"/>
      <c r="RG4272" s="106"/>
      <c r="RH4272" s="106"/>
      <c r="RI4272" s="106"/>
      <c r="RJ4272" s="106"/>
      <c r="RK4272" s="106"/>
      <c r="RL4272" s="106"/>
    </row>
    <row r="4273" spans="462:480" x14ac:dyDescent="0.3">
      <c r="QT4273" s="106"/>
      <c r="QU4273" s="106"/>
      <c r="QV4273" s="106"/>
      <c r="QW4273" s="106"/>
      <c r="QX4273" s="106"/>
      <c r="QY4273" s="106"/>
      <c r="QZ4273" s="106"/>
      <c r="RA4273" s="106"/>
      <c r="RB4273" s="106"/>
      <c r="RC4273" s="106"/>
      <c r="RD4273" s="106"/>
      <c r="RE4273" s="106"/>
      <c r="RF4273" s="106"/>
      <c r="RG4273" s="106"/>
      <c r="RH4273" s="106"/>
      <c r="RI4273" s="106"/>
      <c r="RJ4273" s="106"/>
      <c r="RK4273" s="106"/>
      <c r="RL4273" s="106"/>
    </row>
    <row r="4274" spans="462:480" x14ac:dyDescent="0.3">
      <c r="QT4274" s="106"/>
      <c r="QU4274" s="106"/>
      <c r="QV4274" s="106"/>
      <c r="QW4274" s="106"/>
      <c r="QX4274" s="106"/>
      <c r="QY4274" s="106"/>
      <c r="QZ4274" s="106"/>
      <c r="RA4274" s="106"/>
      <c r="RB4274" s="106"/>
      <c r="RC4274" s="106"/>
      <c r="RD4274" s="106"/>
      <c r="RE4274" s="106"/>
      <c r="RF4274" s="106"/>
      <c r="RG4274" s="106"/>
      <c r="RH4274" s="106"/>
      <c r="RI4274" s="106"/>
      <c r="RJ4274" s="106"/>
      <c r="RK4274" s="106"/>
      <c r="RL4274" s="106"/>
    </row>
    <row r="4275" spans="462:480" x14ac:dyDescent="0.3">
      <c r="QT4275" s="106"/>
      <c r="QU4275" s="106"/>
      <c r="QV4275" s="106"/>
      <c r="QW4275" s="106"/>
      <c r="QX4275" s="106"/>
      <c r="QY4275" s="106"/>
      <c r="QZ4275" s="106"/>
      <c r="RA4275" s="106"/>
      <c r="RB4275" s="106"/>
      <c r="RC4275" s="106"/>
      <c r="RD4275" s="106"/>
      <c r="RE4275" s="106"/>
      <c r="RF4275" s="106"/>
      <c r="RG4275" s="106"/>
      <c r="RH4275" s="106"/>
      <c r="RI4275" s="106"/>
      <c r="RJ4275" s="106"/>
      <c r="RK4275" s="106"/>
      <c r="RL4275" s="106"/>
    </row>
    <row r="4276" spans="462:480" x14ac:dyDescent="0.3">
      <c r="QT4276" s="106"/>
      <c r="QU4276" s="106"/>
      <c r="QV4276" s="106"/>
      <c r="QW4276" s="106"/>
      <c r="QX4276" s="106"/>
      <c r="QY4276" s="106"/>
      <c r="QZ4276" s="106"/>
      <c r="RA4276" s="106"/>
      <c r="RB4276" s="106"/>
      <c r="RC4276" s="106"/>
      <c r="RD4276" s="106"/>
      <c r="RE4276" s="106"/>
      <c r="RF4276" s="106"/>
      <c r="RG4276" s="106"/>
      <c r="RH4276" s="106"/>
      <c r="RI4276" s="106"/>
      <c r="RJ4276" s="106"/>
      <c r="RK4276" s="106"/>
      <c r="RL4276" s="106"/>
    </row>
    <row r="4277" spans="462:480" x14ac:dyDescent="0.3">
      <c r="QT4277" s="106"/>
      <c r="QU4277" s="106"/>
      <c r="QV4277" s="106"/>
      <c r="QW4277" s="106"/>
      <c r="QX4277" s="106"/>
      <c r="QY4277" s="106"/>
      <c r="QZ4277" s="106"/>
      <c r="RA4277" s="106"/>
      <c r="RB4277" s="106"/>
      <c r="RC4277" s="106"/>
      <c r="RD4277" s="106"/>
      <c r="RE4277" s="106"/>
      <c r="RF4277" s="106"/>
      <c r="RG4277" s="106"/>
      <c r="RH4277" s="106"/>
      <c r="RI4277" s="106"/>
      <c r="RJ4277" s="106"/>
      <c r="RK4277" s="106"/>
      <c r="RL4277" s="106"/>
    </row>
    <row r="4278" spans="462:480" x14ac:dyDescent="0.3">
      <c r="QT4278" s="106"/>
      <c r="QU4278" s="106"/>
      <c r="QV4278" s="106"/>
      <c r="QW4278" s="106"/>
      <c r="QX4278" s="106"/>
      <c r="QY4278" s="106"/>
      <c r="QZ4278" s="106"/>
      <c r="RA4278" s="106"/>
      <c r="RB4278" s="106"/>
      <c r="RC4278" s="106"/>
      <c r="RD4278" s="106"/>
      <c r="RE4278" s="106"/>
      <c r="RF4278" s="106"/>
      <c r="RG4278" s="106"/>
      <c r="RH4278" s="106"/>
      <c r="RI4278" s="106"/>
      <c r="RJ4278" s="106"/>
      <c r="RK4278" s="106"/>
      <c r="RL4278" s="106"/>
    </row>
    <row r="4279" spans="462:480" x14ac:dyDescent="0.3">
      <c r="QT4279" s="106"/>
      <c r="QU4279" s="106"/>
      <c r="QV4279" s="106"/>
      <c r="QW4279" s="106"/>
      <c r="QX4279" s="106"/>
      <c r="QY4279" s="106"/>
      <c r="QZ4279" s="106"/>
      <c r="RA4279" s="106"/>
      <c r="RB4279" s="106"/>
      <c r="RC4279" s="106"/>
      <c r="RD4279" s="106"/>
      <c r="RE4279" s="106"/>
      <c r="RF4279" s="106"/>
      <c r="RG4279" s="106"/>
      <c r="RH4279" s="106"/>
      <c r="RI4279" s="106"/>
      <c r="RJ4279" s="106"/>
      <c r="RK4279" s="106"/>
      <c r="RL4279" s="106"/>
    </row>
    <row r="4280" spans="462:480" x14ac:dyDescent="0.3">
      <c r="QT4280" s="106"/>
      <c r="QU4280" s="106"/>
      <c r="QV4280" s="106"/>
      <c r="QW4280" s="106"/>
      <c r="QX4280" s="106"/>
      <c r="QY4280" s="106"/>
      <c r="QZ4280" s="106"/>
      <c r="RA4280" s="106"/>
      <c r="RB4280" s="106"/>
      <c r="RC4280" s="106"/>
      <c r="RD4280" s="106"/>
      <c r="RE4280" s="106"/>
      <c r="RF4280" s="106"/>
      <c r="RG4280" s="106"/>
      <c r="RH4280" s="106"/>
      <c r="RI4280" s="106"/>
      <c r="RJ4280" s="106"/>
      <c r="RK4280" s="106"/>
      <c r="RL4280" s="106"/>
    </row>
    <row r="4281" spans="462:480" x14ac:dyDescent="0.3">
      <c r="QT4281" s="106"/>
      <c r="QU4281" s="106"/>
      <c r="QV4281" s="106"/>
      <c r="QW4281" s="106"/>
      <c r="QX4281" s="106"/>
      <c r="QY4281" s="106"/>
      <c r="QZ4281" s="106"/>
      <c r="RA4281" s="106"/>
      <c r="RB4281" s="106"/>
      <c r="RC4281" s="106"/>
      <c r="RD4281" s="106"/>
      <c r="RE4281" s="106"/>
      <c r="RF4281" s="106"/>
      <c r="RG4281" s="106"/>
      <c r="RH4281" s="106"/>
      <c r="RI4281" s="106"/>
      <c r="RJ4281" s="106"/>
      <c r="RK4281" s="106"/>
      <c r="RL4281" s="106"/>
    </row>
    <row r="4282" spans="462:480" x14ac:dyDescent="0.3">
      <c r="QT4282" s="106"/>
      <c r="QU4282" s="106"/>
      <c r="QV4282" s="106"/>
      <c r="QW4282" s="106"/>
      <c r="QX4282" s="106"/>
      <c r="QY4282" s="106"/>
      <c r="QZ4282" s="106"/>
      <c r="RA4282" s="106"/>
      <c r="RB4282" s="106"/>
      <c r="RC4282" s="106"/>
      <c r="RD4282" s="106"/>
      <c r="RE4282" s="106"/>
      <c r="RF4282" s="106"/>
      <c r="RG4282" s="106"/>
      <c r="RH4282" s="106"/>
      <c r="RI4282" s="106"/>
      <c r="RJ4282" s="106"/>
      <c r="RK4282" s="106"/>
      <c r="RL4282" s="106"/>
    </row>
    <row r="4283" spans="462:480" x14ac:dyDescent="0.3">
      <c r="QT4283" s="106"/>
      <c r="QU4283" s="106"/>
      <c r="QV4283" s="106"/>
      <c r="QW4283" s="106"/>
      <c r="QX4283" s="106"/>
      <c r="QY4283" s="106"/>
      <c r="QZ4283" s="106"/>
      <c r="RA4283" s="106"/>
      <c r="RB4283" s="106"/>
      <c r="RC4283" s="106"/>
      <c r="RD4283" s="106"/>
      <c r="RE4283" s="106"/>
      <c r="RF4283" s="106"/>
      <c r="RG4283" s="106"/>
      <c r="RH4283" s="106"/>
      <c r="RI4283" s="106"/>
      <c r="RJ4283" s="106"/>
      <c r="RK4283" s="106"/>
      <c r="RL4283" s="106"/>
    </row>
    <row r="4284" spans="462:480" x14ac:dyDescent="0.3">
      <c r="QT4284" s="106"/>
      <c r="QU4284" s="106"/>
      <c r="QV4284" s="106"/>
      <c r="QW4284" s="106"/>
      <c r="QX4284" s="106"/>
      <c r="QY4284" s="106"/>
      <c r="QZ4284" s="106"/>
      <c r="RA4284" s="106"/>
      <c r="RB4284" s="106"/>
      <c r="RC4284" s="106"/>
      <c r="RD4284" s="106"/>
      <c r="RE4284" s="106"/>
      <c r="RF4284" s="106"/>
      <c r="RG4284" s="106"/>
      <c r="RH4284" s="106"/>
      <c r="RI4284" s="106"/>
      <c r="RJ4284" s="106"/>
      <c r="RK4284" s="106"/>
      <c r="RL4284" s="106"/>
    </row>
    <row r="4285" spans="462:480" x14ac:dyDescent="0.3">
      <c r="QT4285" s="106"/>
      <c r="QU4285" s="106"/>
      <c r="QV4285" s="106"/>
      <c r="QW4285" s="106"/>
      <c r="QX4285" s="106"/>
      <c r="QY4285" s="106"/>
      <c r="QZ4285" s="106"/>
      <c r="RA4285" s="106"/>
      <c r="RB4285" s="106"/>
      <c r="RC4285" s="106"/>
      <c r="RD4285" s="106"/>
      <c r="RE4285" s="106"/>
      <c r="RF4285" s="106"/>
      <c r="RG4285" s="106"/>
      <c r="RH4285" s="106"/>
      <c r="RI4285" s="106"/>
      <c r="RJ4285" s="106"/>
      <c r="RK4285" s="106"/>
      <c r="RL4285" s="106"/>
    </row>
    <row r="4286" spans="462:480" x14ac:dyDescent="0.3">
      <c r="QT4286" s="106"/>
      <c r="QU4286" s="106"/>
      <c r="QV4286" s="106"/>
      <c r="QW4286" s="106"/>
      <c r="QX4286" s="106"/>
      <c r="QY4286" s="106"/>
      <c r="QZ4286" s="106"/>
      <c r="RA4286" s="106"/>
      <c r="RB4286" s="106"/>
      <c r="RC4286" s="106"/>
      <c r="RD4286" s="106"/>
      <c r="RE4286" s="106"/>
      <c r="RF4286" s="106"/>
      <c r="RG4286" s="106"/>
      <c r="RH4286" s="106"/>
      <c r="RI4286" s="106"/>
      <c r="RJ4286" s="106"/>
      <c r="RK4286" s="106"/>
      <c r="RL4286" s="106"/>
    </row>
    <row r="4287" spans="462:480" x14ac:dyDescent="0.3">
      <c r="QT4287" s="106"/>
      <c r="QU4287" s="106"/>
      <c r="QV4287" s="106"/>
      <c r="QW4287" s="106"/>
      <c r="QX4287" s="106"/>
      <c r="QY4287" s="106"/>
      <c r="QZ4287" s="106"/>
      <c r="RA4287" s="106"/>
      <c r="RB4287" s="106"/>
      <c r="RC4287" s="106"/>
      <c r="RD4287" s="106"/>
      <c r="RE4287" s="106"/>
      <c r="RF4287" s="106"/>
      <c r="RG4287" s="106"/>
      <c r="RH4287" s="106"/>
      <c r="RI4287" s="106"/>
      <c r="RJ4287" s="106"/>
      <c r="RK4287" s="106"/>
      <c r="RL4287" s="106"/>
    </row>
    <row r="4288" spans="462:480" x14ac:dyDescent="0.3">
      <c r="QT4288" s="106"/>
      <c r="QU4288" s="106"/>
      <c r="QV4288" s="106"/>
      <c r="QW4288" s="106"/>
      <c r="QX4288" s="106"/>
      <c r="QY4288" s="106"/>
      <c r="QZ4288" s="106"/>
      <c r="RA4288" s="106"/>
      <c r="RB4288" s="106"/>
      <c r="RC4288" s="106"/>
      <c r="RD4288" s="106"/>
      <c r="RE4288" s="106"/>
      <c r="RF4288" s="106"/>
      <c r="RG4288" s="106"/>
      <c r="RH4288" s="106"/>
      <c r="RI4288" s="106"/>
      <c r="RJ4288" s="106"/>
      <c r="RK4288" s="106"/>
      <c r="RL4288" s="106"/>
    </row>
    <row r="4289" spans="462:480" x14ac:dyDescent="0.3">
      <c r="QT4289" s="106"/>
      <c r="QU4289" s="106"/>
      <c r="QV4289" s="106"/>
      <c r="QW4289" s="106"/>
      <c r="QX4289" s="106"/>
      <c r="QY4289" s="106"/>
      <c r="QZ4289" s="106"/>
      <c r="RA4289" s="106"/>
      <c r="RB4289" s="106"/>
      <c r="RC4289" s="106"/>
      <c r="RD4289" s="106"/>
      <c r="RE4289" s="106"/>
      <c r="RF4289" s="106"/>
      <c r="RG4289" s="106"/>
      <c r="RH4289" s="106"/>
      <c r="RI4289" s="106"/>
      <c r="RJ4289" s="106"/>
      <c r="RK4289" s="106"/>
      <c r="RL4289" s="106"/>
    </row>
    <row r="4290" spans="462:480" x14ac:dyDescent="0.3">
      <c r="QT4290" s="106"/>
      <c r="QU4290" s="106"/>
      <c r="QV4290" s="106"/>
      <c r="QW4290" s="106"/>
      <c r="QX4290" s="106"/>
      <c r="QY4290" s="106"/>
      <c r="QZ4290" s="106"/>
      <c r="RA4290" s="106"/>
      <c r="RB4290" s="106"/>
      <c r="RC4290" s="106"/>
      <c r="RD4290" s="106"/>
      <c r="RE4290" s="106"/>
      <c r="RF4290" s="106"/>
      <c r="RG4290" s="106"/>
      <c r="RH4290" s="106"/>
      <c r="RI4290" s="106"/>
      <c r="RJ4290" s="106"/>
      <c r="RK4290" s="106"/>
      <c r="RL4290" s="106"/>
    </row>
    <row r="4291" spans="462:480" x14ac:dyDescent="0.3">
      <c r="QT4291" s="106"/>
      <c r="QU4291" s="106"/>
      <c r="QV4291" s="106"/>
      <c r="QW4291" s="106"/>
      <c r="QX4291" s="106"/>
      <c r="QY4291" s="106"/>
      <c r="QZ4291" s="106"/>
      <c r="RA4291" s="106"/>
      <c r="RB4291" s="106"/>
      <c r="RC4291" s="106"/>
      <c r="RD4291" s="106"/>
      <c r="RE4291" s="106"/>
      <c r="RF4291" s="106"/>
      <c r="RG4291" s="106"/>
      <c r="RH4291" s="106"/>
      <c r="RI4291" s="106"/>
      <c r="RJ4291" s="106"/>
      <c r="RK4291" s="106"/>
      <c r="RL4291" s="106"/>
    </row>
    <row r="4292" spans="462:480" x14ac:dyDescent="0.3">
      <c r="QT4292" s="106"/>
      <c r="QU4292" s="106"/>
      <c r="QV4292" s="106"/>
      <c r="QW4292" s="106"/>
      <c r="QX4292" s="106"/>
      <c r="QY4292" s="106"/>
      <c r="QZ4292" s="106"/>
      <c r="RA4292" s="106"/>
      <c r="RB4292" s="106"/>
      <c r="RC4292" s="106"/>
      <c r="RD4292" s="106"/>
      <c r="RE4292" s="106"/>
      <c r="RF4292" s="106"/>
      <c r="RG4292" s="106"/>
      <c r="RH4292" s="106"/>
      <c r="RI4292" s="106"/>
      <c r="RJ4292" s="106"/>
      <c r="RK4292" s="106"/>
      <c r="RL4292" s="106"/>
    </row>
    <row r="4293" spans="462:480" x14ac:dyDescent="0.3">
      <c r="QT4293" s="106"/>
      <c r="QU4293" s="106"/>
      <c r="QV4293" s="106"/>
      <c r="QW4293" s="106"/>
      <c r="QX4293" s="106"/>
      <c r="QY4293" s="106"/>
      <c r="QZ4293" s="106"/>
      <c r="RA4293" s="106"/>
      <c r="RB4293" s="106"/>
      <c r="RC4293" s="106"/>
      <c r="RD4293" s="106"/>
      <c r="RE4293" s="106"/>
      <c r="RF4293" s="106"/>
      <c r="RG4293" s="106"/>
      <c r="RH4293" s="106"/>
      <c r="RI4293" s="106"/>
      <c r="RJ4293" s="106"/>
      <c r="RK4293" s="106"/>
      <c r="RL4293" s="106"/>
    </row>
    <row r="4294" spans="462:480" x14ac:dyDescent="0.3">
      <c r="QT4294" s="106"/>
      <c r="QU4294" s="106"/>
      <c r="QV4294" s="106"/>
      <c r="QW4294" s="106"/>
      <c r="QX4294" s="106"/>
      <c r="QY4294" s="106"/>
      <c r="QZ4294" s="106"/>
      <c r="RA4294" s="106"/>
      <c r="RB4294" s="106"/>
      <c r="RC4294" s="106"/>
      <c r="RD4294" s="106"/>
      <c r="RE4294" s="106"/>
      <c r="RF4294" s="106"/>
      <c r="RG4294" s="106"/>
      <c r="RH4294" s="106"/>
      <c r="RI4294" s="106"/>
      <c r="RJ4294" s="106"/>
      <c r="RK4294" s="106"/>
      <c r="RL4294" s="106"/>
    </row>
    <row r="4295" spans="462:480" x14ac:dyDescent="0.3">
      <c r="QT4295" s="106"/>
      <c r="QU4295" s="106"/>
      <c r="QV4295" s="106"/>
      <c r="QW4295" s="106"/>
      <c r="QX4295" s="106"/>
      <c r="QY4295" s="106"/>
      <c r="QZ4295" s="106"/>
      <c r="RA4295" s="106"/>
      <c r="RB4295" s="106"/>
      <c r="RC4295" s="106"/>
      <c r="RD4295" s="106"/>
      <c r="RE4295" s="106"/>
      <c r="RF4295" s="106"/>
      <c r="RG4295" s="106"/>
      <c r="RH4295" s="106"/>
      <c r="RI4295" s="106"/>
      <c r="RJ4295" s="106"/>
      <c r="RK4295" s="106"/>
      <c r="RL4295" s="106"/>
    </row>
    <row r="4296" spans="462:480" x14ac:dyDescent="0.3">
      <c r="QT4296" s="106"/>
      <c r="QU4296" s="106"/>
      <c r="QV4296" s="106"/>
      <c r="QW4296" s="106"/>
      <c r="QX4296" s="106"/>
      <c r="QY4296" s="106"/>
      <c r="QZ4296" s="106"/>
      <c r="RA4296" s="106"/>
      <c r="RB4296" s="106"/>
      <c r="RC4296" s="106"/>
      <c r="RD4296" s="106"/>
      <c r="RE4296" s="106"/>
      <c r="RF4296" s="106"/>
      <c r="RG4296" s="106"/>
      <c r="RH4296" s="106"/>
      <c r="RI4296" s="106"/>
      <c r="RJ4296" s="106"/>
      <c r="RK4296" s="106"/>
      <c r="RL4296" s="106"/>
    </row>
    <row r="4297" spans="462:480" x14ac:dyDescent="0.3">
      <c r="QT4297" s="106"/>
      <c r="QU4297" s="106"/>
      <c r="QV4297" s="106"/>
      <c r="QW4297" s="106"/>
      <c r="QX4297" s="106"/>
      <c r="QY4297" s="106"/>
      <c r="QZ4297" s="106"/>
      <c r="RA4297" s="106"/>
      <c r="RB4297" s="106"/>
      <c r="RC4297" s="106"/>
      <c r="RD4297" s="106"/>
      <c r="RE4297" s="106"/>
      <c r="RF4297" s="106"/>
      <c r="RG4297" s="106"/>
      <c r="RH4297" s="106"/>
      <c r="RI4297" s="106"/>
      <c r="RJ4297" s="106"/>
      <c r="RK4297" s="106"/>
      <c r="RL4297" s="106"/>
    </row>
    <row r="4298" spans="462:480" x14ac:dyDescent="0.3">
      <c r="QT4298" s="106"/>
      <c r="QU4298" s="106"/>
      <c r="QV4298" s="106"/>
      <c r="QW4298" s="106"/>
      <c r="QX4298" s="106"/>
      <c r="QY4298" s="106"/>
      <c r="QZ4298" s="106"/>
      <c r="RA4298" s="106"/>
      <c r="RB4298" s="106"/>
      <c r="RC4298" s="106"/>
      <c r="RD4298" s="106"/>
      <c r="RE4298" s="106"/>
      <c r="RF4298" s="106"/>
      <c r="RG4298" s="106"/>
      <c r="RH4298" s="106"/>
      <c r="RI4298" s="106"/>
      <c r="RJ4298" s="106"/>
      <c r="RK4298" s="106"/>
      <c r="RL4298" s="106"/>
    </row>
    <row r="4299" spans="462:480" x14ac:dyDescent="0.3">
      <c r="QT4299" s="106"/>
      <c r="QU4299" s="106"/>
      <c r="QV4299" s="106"/>
      <c r="QW4299" s="106"/>
      <c r="QX4299" s="106"/>
      <c r="QY4299" s="106"/>
      <c r="QZ4299" s="106"/>
      <c r="RA4299" s="106"/>
      <c r="RB4299" s="106"/>
      <c r="RC4299" s="106"/>
      <c r="RD4299" s="106"/>
      <c r="RE4299" s="106"/>
      <c r="RF4299" s="106"/>
      <c r="RG4299" s="106"/>
      <c r="RH4299" s="106"/>
      <c r="RI4299" s="106"/>
      <c r="RJ4299" s="106"/>
      <c r="RK4299" s="106"/>
      <c r="RL4299" s="106"/>
    </row>
    <row r="4300" spans="462:480" x14ac:dyDescent="0.3">
      <c r="QT4300" s="106"/>
      <c r="QU4300" s="106"/>
      <c r="QV4300" s="106"/>
      <c r="QW4300" s="106"/>
      <c r="QX4300" s="106"/>
      <c r="QY4300" s="106"/>
      <c r="QZ4300" s="106"/>
      <c r="RA4300" s="106"/>
      <c r="RB4300" s="106"/>
      <c r="RC4300" s="106"/>
      <c r="RD4300" s="106"/>
      <c r="RE4300" s="106"/>
      <c r="RF4300" s="106"/>
      <c r="RG4300" s="106"/>
      <c r="RH4300" s="106"/>
      <c r="RI4300" s="106"/>
      <c r="RJ4300" s="106"/>
      <c r="RK4300" s="106"/>
      <c r="RL4300" s="106"/>
    </row>
    <row r="4301" spans="462:480" x14ac:dyDescent="0.3">
      <c r="QT4301" s="106"/>
      <c r="QU4301" s="106"/>
      <c r="QV4301" s="106"/>
      <c r="QW4301" s="106"/>
      <c r="QX4301" s="106"/>
      <c r="QY4301" s="106"/>
      <c r="QZ4301" s="106"/>
      <c r="RA4301" s="106"/>
      <c r="RB4301" s="106"/>
      <c r="RC4301" s="106"/>
      <c r="RD4301" s="106"/>
      <c r="RE4301" s="106"/>
      <c r="RF4301" s="106"/>
      <c r="RG4301" s="106"/>
      <c r="RH4301" s="106"/>
      <c r="RI4301" s="106"/>
      <c r="RJ4301" s="106"/>
      <c r="RK4301" s="106"/>
      <c r="RL4301" s="106"/>
    </row>
    <row r="4302" spans="462:480" x14ac:dyDescent="0.3">
      <c r="QT4302" s="106"/>
      <c r="QU4302" s="106"/>
      <c r="QV4302" s="106"/>
      <c r="QW4302" s="106"/>
      <c r="QX4302" s="106"/>
      <c r="QY4302" s="106"/>
      <c r="QZ4302" s="106"/>
      <c r="RA4302" s="106"/>
      <c r="RB4302" s="106"/>
      <c r="RC4302" s="106"/>
      <c r="RD4302" s="106"/>
      <c r="RE4302" s="106"/>
      <c r="RF4302" s="106"/>
      <c r="RG4302" s="106"/>
      <c r="RH4302" s="106"/>
      <c r="RI4302" s="106"/>
      <c r="RJ4302" s="106"/>
      <c r="RK4302" s="106"/>
      <c r="RL4302" s="106"/>
    </row>
    <row r="4303" spans="462:480" x14ac:dyDescent="0.3">
      <c r="QT4303" s="106"/>
      <c r="QU4303" s="106"/>
      <c r="QV4303" s="106"/>
      <c r="QW4303" s="106"/>
      <c r="QX4303" s="106"/>
      <c r="QY4303" s="106"/>
      <c r="QZ4303" s="106"/>
      <c r="RA4303" s="106"/>
      <c r="RB4303" s="106"/>
      <c r="RC4303" s="106"/>
      <c r="RD4303" s="106"/>
      <c r="RE4303" s="106"/>
      <c r="RF4303" s="106"/>
      <c r="RG4303" s="106"/>
      <c r="RH4303" s="106"/>
      <c r="RI4303" s="106"/>
      <c r="RJ4303" s="106"/>
      <c r="RK4303" s="106"/>
      <c r="RL4303" s="106"/>
    </row>
    <row r="4304" spans="462:480" x14ac:dyDescent="0.3">
      <c r="QT4304" s="106"/>
      <c r="QU4304" s="106"/>
      <c r="QV4304" s="106"/>
      <c r="QW4304" s="106"/>
      <c r="QX4304" s="106"/>
      <c r="QY4304" s="106"/>
      <c r="QZ4304" s="106"/>
      <c r="RA4304" s="106"/>
      <c r="RB4304" s="106"/>
      <c r="RC4304" s="106"/>
      <c r="RD4304" s="106"/>
      <c r="RE4304" s="106"/>
      <c r="RF4304" s="106"/>
      <c r="RG4304" s="106"/>
      <c r="RH4304" s="106"/>
      <c r="RI4304" s="106"/>
      <c r="RJ4304" s="106"/>
      <c r="RK4304" s="106"/>
      <c r="RL4304" s="106"/>
    </row>
    <row r="4305" spans="462:480" x14ac:dyDescent="0.3">
      <c r="QT4305" s="106"/>
      <c r="QU4305" s="106"/>
      <c r="QV4305" s="106"/>
      <c r="QW4305" s="106"/>
      <c r="QX4305" s="106"/>
      <c r="QY4305" s="106"/>
      <c r="QZ4305" s="106"/>
      <c r="RA4305" s="106"/>
      <c r="RB4305" s="106"/>
      <c r="RC4305" s="106"/>
      <c r="RD4305" s="106"/>
      <c r="RE4305" s="106"/>
      <c r="RF4305" s="106"/>
      <c r="RG4305" s="106"/>
      <c r="RH4305" s="106"/>
      <c r="RI4305" s="106"/>
      <c r="RJ4305" s="106"/>
      <c r="RK4305" s="106"/>
      <c r="RL4305" s="106"/>
    </row>
    <row r="4306" spans="462:480" x14ac:dyDescent="0.3">
      <c r="QT4306" s="106"/>
      <c r="QU4306" s="106"/>
      <c r="QV4306" s="106"/>
      <c r="QW4306" s="106"/>
      <c r="QX4306" s="106"/>
      <c r="QY4306" s="106"/>
      <c r="QZ4306" s="106"/>
      <c r="RA4306" s="106"/>
      <c r="RB4306" s="106"/>
      <c r="RC4306" s="106"/>
      <c r="RD4306" s="106"/>
      <c r="RE4306" s="106"/>
      <c r="RF4306" s="106"/>
      <c r="RG4306" s="106"/>
      <c r="RH4306" s="106"/>
      <c r="RI4306" s="106"/>
      <c r="RJ4306" s="106"/>
      <c r="RK4306" s="106"/>
      <c r="RL4306" s="106"/>
    </row>
    <row r="4307" spans="462:480" x14ac:dyDescent="0.3">
      <c r="QT4307" s="106"/>
      <c r="QU4307" s="106"/>
      <c r="QV4307" s="106"/>
      <c r="QW4307" s="106"/>
      <c r="QX4307" s="106"/>
      <c r="QY4307" s="106"/>
      <c r="QZ4307" s="106"/>
      <c r="RA4307" s="106"/>
      <c r="RB4307" s="106"/>
      <c r="RC4307" s="106"/>
      <c r="RD4307" s="106"/>
      <c r="RE4307" s="106"/>
      <c r="RF4307" s="106"/>
      <c r="RG4307" s="106"/>
      <c r="RH4307" s="106"/>
      <c r="RI4307" s="106"/>
      <c r="RJ4307" s="106"/>
      <c r="RK4307" s="106"/>
      <c r="RL4307" s="106"/>
    </row>
    <row r="4308" spans="462:480" x14ac:dyDescent="0.3">
      <c r="QT4308" s="106"/>
      <c r="QU4308" s="106"/>
      <c r="QV4308" s="106"/>
      <c r="QW4308" s="106"/>
      <c r="QX4308" s="106"/>
      <c r="QY4308" s="106"/>
      <c r="QZ4308" s="106"/>
      <c r="RA4308" s="106"/>
      <c r="RB4308" s="106"/>
      <c r="RC4308" s="106"/>
      <c r="RD4308" s="106"/>
      <c r="RE4308" s="106"/>
      <c r="RF4308" s="106"/>
      <c r="RG4308" s="106"/>
      <c r="RH4308" s="106"/>
      <c r="RI4308" s="106"/>
      <c r="RJ4308" s="106"/>
      <c r="RK4308" s="106"/>
      <c r="RL4308" s="106"/>
    </row>
    <row r="4309" spans="462:480" x14ac:dyDescent="0.3">
      <c r="QT4309" s="106"/>
      <c r="QU4309" s="106"/>
      <c r="QV4309" s="106"/>
      <c r="QW4309" s="106"/>
      <c r="QX4309" s="106"/>
      <c r="QY4309" s="106"/>
      <c r="QZ4309" s="106"/>
      <c r="RA4309" s="106"/>
      <c r="RB4309" s="106"/>
      <c r="RC4309" s="106"/>
      <c r="RD4309" s="106"/>
      <c r="RE4309" s="106"/>
      <c r="RF4309" s="106"/>
      <c r="RG4309" s="106"/>
      <c r="RH4309" s="106"/>
      <c r="RI4309" s="106"/>
      <c r="RJ4309" s="106"/>
      <c r="RK4309" s="106"/>
      <c r="RL4309" s="106"/>
    </row>
    <row r="4310" spans="462:480" x14ac:dyDescent="0.3">
      <c r="QT4310" s="106"/>
      <c r="QU4310" s="106"/>
      <c r="QV4310" s="106"/>
      <c r="QW4310" s="106"/>
      <c r="QX4310" s="106"/>
      <c r="QY4310" s="106"/>
      <c r="QZ4310" s="106"/>
      <c r="RA4310" s="106"/>
      <c r="RB4310" s="106"/>
      <c r="RC4310" s="106"/>
      <c r="RD4310" s="106"/>
      <c r="RE4310" s="106"/>
      <c r="RF4310" s="106"/>
      <c r="RG4310" s="106"/>
      <c r="RH4310" s="106"/>
      <c r="RI4310" s="106"/>
      <c r="RJ4310" s="106"/>
      <c r="RK4310" s="106"/>
      <c r="RL4310" s="106"/>
    </row>
    <row r="4311" spans="462:480" x14ac:dyDescent="0.3">
      <c r="QT4311" s="106"/>
      <c r="QU4311" s="106"/>
      <c r="QV4311" s="106"/>
      <c r="QW4311" s="106"/>
      <c r="QX4311" s="106"/>
      <c r="QY4311" s="106"/>
      <c r="QZ4311" s="106"/>
      <c r="RA4311" s="106"/>
      <c r="RB4311" s="106"/>
      <c r="RC4311" s="106"/>
      <c r="RD4311" s="106"/>
      <c r="RE4311" s="106"/>
      <c r="RF4311" s="106"/>
      <c r="RG4311" s="106"/>
      <c r="RH4311" s="106"/>
      <c r="RI4311" s="106"/>
      <c r="RJ4311" s="106"/>
      <c r="RK4311" s="106"/>
      <c r="RL4311" s="106"/>
    </row>
    <row r="4312" spans="462:480" x14ac:dyDescent="0.3">
      <c r="QT4312" s="106"/>
      <c r="QU4312" s="106"/>
      <c r="QV4312" s="106"/>
      <c r="QW4312" s="106"/>
      <c r="QX4312" s="106"/>
      <c r="QY4312" s="106"/>
      <c r="QZ4312" s="106"/>
      <c r="RA4312" s="106"/>
      <c r="RB4312" s="106"/>
      <c r="RC4312" s="106"/>
      <c r="RD4312" s="106"/>
      <c r="RE4312" s="106"/>
      <c r="RF4312" s="106"/>
      <c r="RG4312" s="106"/>
      <c r="RH4312" s="106"/>
      <c r="RI4312" s="106"/>
      <c r="RJ4312" s="106"/>
      <c r="RK4312" s="106"/>
      <c r="RL4312" s="106"/>
    </row>
    <row r="4313" spans="462:480" x14ac:dyDescent="0.3">
      <c r="QT4313" s="106"/>
      <c r="QU4313" s="106"/>
      <c r="QV4313" s="106"/>
      <c r="QW4313" s="106"/>
      <c r="QX4313" s="106"/>
      <c r="QY4313" s="106"/>
      <c r="QZ4313" s="106"/>
      <c r="RA4313" s="106"/>
      <c r="RB4313" s="106"/>
      <c r="RC4313" s="106"/>
      <c r="RD4313" s="106"/>
      <c r="RE4313" s="106"/>
      <c r="RF4313" s="106"/>
      <c r="RG4313" s="106"/>
      <c r="RH4313" s="106"/>
      <c r="RI4313" s="106"/>
      <c r="RJ4313" s="106"/>
      <c r="RK4313" s="106"/>
      <c r="RL4313" s="106"/>
    </row>
    <row r="4314" spans="462:480" x14ac:dyDescent="0.3">
      <c r="QT4314" s="106"/>
      <c r="QU4314" s="106"/>
      <c r="QV4314" s="106"/>
      <c r="QW4314" s="106"/>
      <c r="QX4314" s="106"/>
      <c r="QY4314" s="106"/>
      <c r="QZ4314" s="106"/>
      <c r="RA4314" s="106"/>
      <c r="RB4314" s="106"/>
      <c r="RC4314" s="106"/>
      <c r="RD4314" s="106"/>
      <c r="RE4314" s="106"/>
      <c r="RF4314" s="106"/>
      <c r="RG4314" s="106"/>
      <c r="RH4314" s="106"/>
      <c r="RI4314" s="106"/>
      <c r="RJ4314" s="106"/>
      <c r="RK4314" s="106"/>
      <c r="RL4314" s="106"/>
    </row>
    <row r="4315" spans="462:480" x14ac:dyDescent="0.3">
      <c r="QT4315" s="106"/>
      <c r="QU4315" s="106"/>
      <c r="QV4315" s="106"/>
      <c r="QW4315" s="106"/>
      <c r="QX4315" s="106"/>
      <c r="QY4315" s="106"/>
      <c r="QZ4315" s="106"/>
      <c r="RA4315" s="106"/>
      <c r="RB4315" s="106"/>
      <c r="RC4315" s="106"/>
      <c r="RD4315" s="106"/>
      <c r="RE4315" s="106"/>
      <c r="RF4315" s="106"/>
      <c r="RG4315" s="106"/>
      <c r="RH4315" s="106"/>
      <c r="RI4315" s="106"/>
      <c r="RJ4315" s="106"/>
      <c r="RK4315" s="106"/>
      <c r="RL4315" s="106"/>
    </row>
    <row r="4316" spans="462:480" x14ac:dyDescent="0.3">
      <c r="QT4316" s="106"/>
      <c r="QU4316" s="106"/>
      <c r="QV4316" s="106"/>
      <c r="QW4316" s="106"/>
      <c r="QX4316" s="106"/>
      <c r="QY4316" s="106"/>
      <c r="QZ4316" s="106"/>
      <c r="RA4316" s="106"/>
      <c r="RB4316" s="106"/>
      <c r="RC4316" s="106"/>
      <c r="RD4316" s="106"/>
      <c r="RE4316" s="106"/>
      <c r="RF4316" s="106"/>
      <c r="RG4316" s="106"/>
      <c r="RH4316" s="106"/>
      <c r="RI4316" s="106"/>
      <c r="RJ4316" s="106"/>
      <c r="RK4316" s="106"/>
      <c r="RL4316" s="106"/>
    </row>
    <row r="4317" spans="462:480" x14ac:dyDescent="0.3">
      <c r="QT4317" s="106"/>
      <c r="QU4317" s="106"/>
      <c r="QV4317" s="106"/>
      <c r="QW4317" s="106"/>
      <c r="QX4317" s="106"/>
      <c r="QY4317" s="106"/>
      <c r="QZ4317" s="106"/>
      <c r="RA4317" s="106"/>
      <c r="RB4317" s="106"/>
      <c r="RC4317" s="106"/>
      <c r="RD4317" s="106"/>
      <c r="RE4317" s="106"/>
      <c r="RF4317" s="106"/>
      <c r="RG4317" s="106"/>
      <c r="RH4317" s="106"/>
      <c r="RI4317" s="106"/>
      <c r="RJ4317" s="106"/>
      <c r="RK4317" s="106"/>
      <c r="RL4317" s="106"/>
    </row>
    <row r="4318" spans="462:480" x14ac:dyDescent="0.3">
      <c r="QT4318" s="106"/>
      <c r="QU4318" s="106"/>
      <c r="QV4318" s="106"/>
      <c r="QW4318" s="106"/>
      <c r="QX4318" s="106"/>
      <c r="QY4318" s="106"/>
      <c r="QZ4318" s="106"/>
      <c r="RA4318" s="106"/>
      <c r="RB4318" s="106"/>
      <c r="RC4318" s="106"/>
      <c r="RD4318" s="106"/>
      <c r="RE4318" s="106"/>
      <c r="RF4318" s="106"/>
      <c r="RG4318" s="106"/>
      <c r="RH4318" s="106"/>
      <c r="RI4318" s="106"/>
      <c r="RJ4318" s="106"/>
      <c r="RK4318" s="106"/>
      <c r="RL4318" s="106"/>
    </row>
    <row r="4319" spans="462:480" x14ac:dyDescent="0.3">
      <c r="QT4319" s="106"/>
      <c r="QU4319" s="106"/>
      <c r="QV4319" s="106"/>
      <c r="QW4319" s="106"/>
      <c r="QX4319" s="106"/>
      <c r="QY4319" s="106"/>
      <c r="QZ4319" s="106"/>
      <c r="RA4319" s="106"/>
      <c r="RB4319" s="106"/>
      <c r="RC4319" s="106"/>
      <c r="RD4319" s="106"/>
      <c r="RE4319" s="106"/>
      <c r="RF4319" s="106"/>
      <c r="RG4319" s="106"/>
      <c r="RH4319" s="106"/>
      <c r="RI4319" s="106"/>
      <c r="RJ4319" s="106"/>
      <c r="RK4319" s="106"/>
      <c r="RL4319" s="106"/>
    </row>
    <row r="4320" spans="462:480" x14ac:dyDescent="0.3">
      <c r="QT4320" s="106"/>
      <c r="QU4320" s="106"/>
      <c r="QV4320" s="106"/>
      <c r="QW4320" s="106"/>
      <c r="QX4320" s="106"/>
      <c r="QY4320" s="106"/>
      <c r="QZ4320" s="106"/>
      <c r="RA4320" s="106"/>
      <c r="RB4320" s="106"/>
      <c r="RC4320" s="106"/>
      <c r="RD4320" s="106"/>
      <c r="RE4320" s="106"/>
      <c r="RF4320" s="106"/>
      <c r="RG4320" s="106"/>
      <c r="RH4320" s="106"/>
      <c r="RI4320" s="106"/>
      <c r="RJ4320" s="106"/>
      <c r="RK4320" s="106"/>
      <c r="RL4320" s="106"/>
    </row>
    <row r="4321" spans="462:480" x14ac:dyDescent="0.3">
      <c r="QT4321" s="106"/>
      <c r="QU4321" s="106"/>
      <c r="QV4321" s="106"/>
      <c r="QW4321" s="106"/>
      <c r="QX4321" s="106"/>
      <c r="QY4321" s="106"/>
      <c r="QZ4321" s="106"/>
      <c r="RA4321" s="106"/>
      <c r="RB4321" s="106"/>
      <c r="RC4321" s="106"/>
      <c r="RD4321" s="106"/>
      <c r="RE4321" s="106"/>
      <c r="RF4321" s="106"/>
      <c r="RG4321" s="106"/>
      <c r="RH4321" s="106"/>
      <c r="RI4321" s="106"/>
      <c r="RJ4321" s="106"/>
      <c r="RK4321" s="106"/>
      <c r="RL4321" s="106"/>
    </row>
    <row r="4322" spans="462:480" x14ac:dyDescent="0.3">
      <c r="QT4322" s="106"/>
      <c r="QU4322" s="106"/>
      <c r="QV4322" s="106"/>
      <c r="QW4322" s="106"/>
      <c r="QX4322" s="106"/>
      <c r="QY4322" s="106"/>
      <c r="QZ4322" s="106"/>
      <c r="RA4322" s="106"/>
      <c r="RB4322" s="106"/>
      <c r="RC4322" s="106"/>
      <c r="RD4322" s="106"/>
      <c r="RE4322" s="106"/>
      <c r="RF4322" s="106"/>
      <c r="RG4322" s="106"/>
      <c r="RH4322" s="106"/>
      <c r="RI4322" s="106"/>
      <c r="RJ4322" s="106"/>
      <c r="RK4322" s="106"/>
      <c r="RL4322" s="106"/>
    </row>
    <row r="4323" spans="462:480" x14ac:dyDescent="0.3">
      <c r="QT4323" s="106"/>
      <c r="QU4323" s="106"/>
      <c r="QV4323" s="106"/>
      <c r="QW4323" s="106"/>
      <c r="QX4323" s="106"/>
      <c r="QY4323" s="106"/>
      <c r="QZ4323" s="106"/>
      <c r="RA4323" s="106"/>
      <c r="RB4323" s="106"/>
      <c r="RC4323" s="106"/>
      <c r="RD4323" s="106"/>
      <c r="RE4323" s="106"/>
      <c r="RF4323" s="106"/>
      <c r="RG4323" s="106"/>
      <c r="RH4323" s="106"/>
      <c r="RI4323" s="106"/>
      <c r="RJ4323" s="106"/>
      <c r="RK4323" s="106"/>
      <c r="RL4323" s="106"/>
    </row>
    <row r="4324" spans="462:480" x14ac:dyDescent="0.3">
      <c r="QT4324" s="106"/>
      <c r="QU4324" s="106"/>
      <c r="QV4324" s="106"/>
      <c r="QW4324" s="106"/>
      <c r="QX4324" s="106"/>
      <c r="QY4324" s="106"/>
      <c r="QZ4324" s="106"/>
      <c r="RA4324" s="106"/>
      <c r="RB4324" s="106"/>
      <c r="RC4324" s="106"/>
      <c r="RD4324" s="106"/>
      <c r="RE4324" s="106"/>
      <c r="RF4324" s="106"/>
      <c r="RG4324" s="106"/>
      <c r="RH4324" s="106"/>
      <c r="RI4324" s="106"/>
      <c r="RJ4324" s="106"/>
      <c r="RK4324" s="106"/>
      <c r="RL4324" s="106"/>
    </row>
    <row r="4325" spans="462:480" x14ac:dyDescent="0.3">
      <c r="QT4325" s="106"/>
      <c r="QU4325" s="106"/>
      <c r="QV4325" s="106"/>
      <c r="QW4325" s="106"/>
      <c r="QX4325" s="106"/>
      <c r="QY4325" s="106"/>
      <c r="QZ4325" s="106"/>
      <c r="RA4325" s="106"/>
      <c r="RB4325" s="106"/>
      <c r="RC4325" s="106"/>
      <c r="RD4325" s="106"/>
      <c r="RE4325" s="106"/>
      <c r="RF4325" s="106"/>
      <c r="RG4325" s="106"/>
      <c r="RH4325" s="106"/>
      <c r="RI4325" s="106"/>
      <c r="RJ4325" s="106"/>
      <c r="RK4325" s="106"/>
      <c r="RL4325" s="106"/>
    </row>
    <row r="4326" spans="462:480" x14ac:dyDescent="0.3">
      <c r="QT4326" s="106"/>
      <c r="QU4326" s="106"/>
      <c r="QV4326" s="106"/>
      <c r="QW4326" s="106"/>
      <c r="QX4326" s="106"/>
      <c r="QY4326" s="106"/>
      <c r="QZ4326" s="106"/>
      <c r="RA4326" s="106"/>
      <c r="RB4326" s="106"/>
      <c r="RC4326" s="106"/>
      <c r="RD4326" s="106"/>
      <c r="RE4326" s="106"/>
      <c r="RF4326" s="106"/>
      <c r="RG4326" s="106"/>
      <c r="RH4326" s="106"/>
      <c r="RI4326" s="106"/>
      <c r="RJ4326" s="106"/>
      <c r="RK4326" s="106"/>
      <c r="RL4326" s="106"/>
    </row>
    <row r="4327" spans="462:480" x14ac:dyDescent="0.3">
      <c r="QT4327" s="106"/>
      <c r="QU4327" s="106"/>
      <c r="QV4327" s="106"/>
      <c r="QW4327" s="106"/>
      <c r="QX4327" s="106"/>
      <c r="QY4327" s="106"/>
      <c r="QZ4327" s="106"/>
      <c r="RA4327" s="106"/>
      <c r="RB4327" s="106"/>
      <c r="RC4327" s="106"/>
      <c r="RD4327" s="106"/>
      <c r="RE4327" s="106"/>
      <c r="RF4327" s="106"/>
      <c r="RG4327" s="106"/>
      <c r="RH4327" s="106"/>
      <c r="RI4327" s="106"/>
      <c r="RJ4327" s="106"/>
      <c r="RK4327" s="106"/>
      <c r="RL4327" s="106"/>
    </row>
    <row r="4328" spans="462:480" x14ac:dyDescent="0.3">
      <c r="QT4328" s="106"/>
      <c r="QU4328" s="106"/>
      <c r="QV4328" s="106"/>
      <c r="QW4328" s="106"/>
      <c r="QX4328" s="106"/>
      <c r="QY4328" s="106"/>
      <c r="QZ4328" s="106"/>
      <c r="RA4328" s="106"/>
      <c r="RB4328" s="106"/>
      <c r="RC4328" s="106"/>
      <c r="RD4328" s="106"/>
      <c r="RE4328" s="106"/>
      <c r="RF4328" s="106"/>
      <c r="RG4328" s="106"/>
      <c r="RH4328" s="106"/>
      <c r="RI4328" s="106"/>
      <c r="RJ4328" s="106"/>
      <c r="RK4328" s="106"/>
      <c r="RL4328" s="106"/>
    </row>
    <row r="4329" spans="462:480" x14ac:dyDescent="0.3">
      <c r="QT4329" s="106"/>
      <c r="QU4329" s="106"/>
      <c r="QV4329" s="106"/>
      <c r="QW4329" s="106"/>
      <c r="QX4329" s="106"/>
      <c r="QY4329" s="106"/>
      <c r="QZ4329" s="106"/>
      <c r="RA4329" s="106"/>
      <c r="RB4329" s="106"/>
      <c r="RC4329" s="106"/>
      <c r="RD4329" s="106"/>
      <c r="RE4329" s="106"/>
      <c r="RF4329" s="106"/>
      <c r="RG4329" s="106"/>
      <c r="RH4329" s="106"/>
      <c r="RI4329" s="106"/>
      <c r="RJ4329" s="106"/>
      <c r="RK4329" s="106"/>
      <c r="RL4329" s="106"/>
    </row>
    <row r="4330" spans="462:480" x14ac:dyDescent="0.3">
      <c r="QT4330" s="106"/>
      <c r="QU4330" s="106"/>
      <c r="QV4330" s="106"/>
      <c r="QW4330" s="106"/>
      <c r="QX4330" s="106"/>
      <c r="QY4330" s="106"/>
      <c r="QZ4330" s="106"/>
      <c r="RA4330" s="106"/>
      <c r="RB4330" s="106"/>
      <c r="RC4330" s="106"/>
      <c r="RD4330" s="106"/>
      <c r="RE4330" s="106"/>
      <c r="RF4330" s="106"/>
      <c r="RG4330" s="106"/>
      <c r="RH4330" s="106"/>
      <c r="RI4330" s="106"/>
      <c r="RJ4330" s="106"/>
      <c r="RK4330" s="106"/>
      <c r="RL4330" s="106"/>
    </row>
    <row r="4331" spans="462:480" x14ac:dyDescent="0.3">
      <c r="QT4331" s="106"/>
      <c r="QU4331" s="106"/>
      <c r="QV4331" s="106"/>
      <c r="QW4331" s="106"/>
      <c r="QX4331" s="106"/>
      <c r="QY4331" s="106"/>
      <c r="QZ4331" s="106"/>
      <c r="RA4331" s="106"/>
      <c r="RB4331" s="106"/>
      <c r="RC4331" s="106"/>
      <c r="RD4331" s="106"/>
      <c r="RE4331" s="106"/>
      <c r="RF4331" s="106"/>
      <c r="RG4331" s="106"/>
      <c r="RH4331" s="106"/>
      <c r="RI4331" s="106"/>
      <c r="RJ4331" s="106"/>
      <c r="RK4331" s="106"/>
      <c r="RL4331" s="106"/>
    </row>
    <row r="4332" spans="462:480" x14ac:dyDescent="0.3">
      <c r="QT4332" s="106"/>
      <c r="QU4332" s="106"/>
      <c r="QV4332" s="106"/>
      <c r="QW4332" s="106"/>
      <c r="QX4332" s="106"/>
      <c r="QY4332" s="106"/>
      <c r="QZ4332" s="106"/>
      <c r="RA4332" s="106"/>
      <c r="RB4332" s="106"/>
      <c r="RC4332" s="106"/>
      <c r="RD4332" s="106"/>
      <c r="RE4332" s="106"/>
      <c r="RF4332" s="106"/>
      <c r="RG4332" s="106"/>
      <c r="RH4332" s="106"/>
      <c r="RI4332" s="106"/>
      <c r="RJ4332" s="106"/>
      <c r="RK4332" s="106"/>
      <c r="RL4332" s="106"/>
    </row>
    <row r="4333" spans="462:480" x14ac:dyDescent="0.3">
      <c r="QT4333" s="106"/>
      <c r="QU4333" s="106"/>
      <c r="QV4333" s="106"/>
      <c r="QW4333" s="106"/>
      <c r="QX4333" s="106"/>
      <c r="QY4333" s="106"/>
      <c r="QZ4333" s="106"/>
      <c r="RA4333" s="106"/>
      <c r="RB4333" s="106"/>
      <c r="RC4333" s="106"/>
      <c r="RD4333" s="106"/>
      <c r="RE4333" s="106"/>
      <c r="RF4333" s="106"/>
      <c r="RG4333" s="106"/>
      <c r="RH4333" s="106"/>
      <c r="RI4333" s="106"/>
      <c r="RJ4333" s="106"/>
      <c r="RK4333" s="106"/>
      <c r="RL4333" s="106"/>
    </row>
    <row r="4334" spans="462:480" x14ac:dyDescent="0.3">
      <c r="QT4334" s="106"/>
      <c r="QU4334" s="106"/>
      <c r="QV4334" s="106"/>
      <c r="QW4334" s="106"/>
      <c r="QX4334" s="106"/>
      <c r="QY4334" s="106"/>
      <c r="QZ4334" s="106"/>
      <c r="RA4334" s="106"/>
      <c r="RB4334" s="106"/>
      <c r="RC4334" s="106"/>
      <c r="RD4334" s="106"/>
      <c r="RE4334" s="106"/>
      <c r="RF4334" s="106"/>
      <c r="RG4334" s="106"/>
      <c r="RH4334" s="106"/>
      <c r="RI4334" s="106"/>
      <c r="RJ4334" s="106"/>
      <c r="RK4334" s="106"/>
      <c r="RL4334" s="106"/>
    </row>
    <row r="4335" spans="462:480" x14ac:dyDescent="0.3">
      <c r="QT4335" s="106"/>
      <c r="QU4335" s="106"/>
      <c r="QV4335" s="106"/>
      <c r="QW4335" s="106"/>
      <c r="QX4335" s="106"/>
      <c r="QY4335" s="106"/>
      <c r="QZ4335" s="106"/>
      <c r="RA4335" s="106"/>
      <c r="RB4335" s="106"/>
      <c r="RC4335" s="106"/>
      <c r="RD4335" s="106"/>
      <c r="RE4335" s="106"/>
      <c r="RF4335" s="106"/>
      <c r="RG4335" s="106"/>
      <c r="RH4335" s="106"/>
      <c r="RI4335" s="106"/>
      <c r="RJ4335" s="106"/>
      <c r="RK4335" s="106"/>
      <c r="RL4335" s="106"/>
    </row>
    <row r="4336" spans="462:480" x14ac:dyDescent="0.3">
      <c r="QT4336" s="106"/>
      <c r="QU4336" s="106"/>
      <c r="QV4336" s="106"/>
      <c r="QW4336" s="106"/>
      <c r="QX4336" s="106"/>
      <c r="QY4336" s="106"/>
      <c r="QZ4336" s="106"/>
      <c r="RA4336" s="106"/>
      <c r="RB4336" s="106"/>
      <c r="RC4336" s="106"/>
      <c r="RD4336" s="106"/>
      <c r="RE4336" s="106"/>
      <c r="RF4336" s="106"/>
      <c r="RG4336" s="106"/>
      <c r="RH4336" s="106"/>
      <c r="RI4336" s="106"/>
      <c r="RJ4336" s="106"/>
      <c r="RK4336" s="106"/>
      <c r="RL4336" s="106"/>
    </row>
    <row r="4337" spans="462:480" x14ac:dyDescent="0.3">
      <c r="QT4337" s="106"/>
      <c r="QU4337" s="106"/>
      <c r="QV4337" s="106"/>
      <c r="QW4337" s="106"/>
      <c r="QX4337" s="106"/>
      <c r="QY4337" s="106"/>
      <c r="QZ4337" s="106"/>
      <c r="RA4337" s="106"/>
      <c r="RB4337" s="106"/>
      <c r="RC4337" s="106"/>
      <c r="RD4337" s="106"/>
      <c r="RE4337" s="106"/>
      <c r="RF4337" s="106"/>
      <c r="RG4337" s="106"/>
      <c r="RH4337" s="106"/>
      <c r="RI4337" s="106"/>
      <c r="RJ4337" s="106"/>
      <c r="RK4337" s="106"/>
      <c r="RL4337" s="106"/>
    </row>
    <row r="4338" spans="462:480" x14ac:dyDescent="0.3">
      <c r="QT4338" s="106"/>
      <c r="QU4338" s="106"/>
      <c r="QV4338" s="106"/>
      <c r="QW4338" s="106"/>
      <c r="QX4338" s="106"/>
      <c r="QY4338" s="106"/>
      <c r="QZ4338" s="106"/>
      <c r="RA4338" s="106"/>
      <c r="RB4338" s="106"/>
      <c r="RC4338" s="106"/>
      <c r="RD4338" s="106"/>
      <c r="RE4338" s="106"/>
      <c r="RF4338" s="106"/>
      <c r="RG4338" s="106"/>
      <c r="RH4338" s="106"/>
      <c r="RI4338" s="106"/>
      <c r="RJ4338" s="106"/>
      <c r="RK4338" s="106"/>
      <c r="RL4338" s="106"/>
    </row>
    <row r="4339" spans="462:480" x14ac:dyDescent="0.3">
      <c r="QT4339" s="106"/>
      <c r="QU4339" s="106"/>
      <c r="QV4339" s="106"/>
      <c r="QW4339" s="106"/>
      <c r="QX4339" s="106"/>
      <c r="QY4339" s="106"/>
      <c r="QZ4339" s="106"/>
      <c r="RA4339" s="106"/>
      <c r="RB4339" s="106"/>
      <c r="RC4339" s="106"/>
      <c r="RD4339" s="106"/>
      <c r="RE4339" s="106"/>
      <c r="RF4339" s="106"/>
      <c r="RG4339" s="106"/>
      <c r="RH4339" s="106"/>
      <c r="RI4339" s="106"/>
      <c r="RJ4339" s="106"/>
      <c r="RK4339" s="106"/>
      <c r="RL4339" s="106"/>
    </row>
    <row r="4340" spans="462:480" x14ac:dyDescent="0.3">
      <c r="QT4340" s="106"/>
      <c r="QU4340" s="106"/>
      <c r="QV4340" s="106"/>
      <c r="QW4340" s="106"/>
      <c r="QX4340" s="106"/>
      <c r="QY4340" s="106"/>
      <c r="QZ4340" s="106"/>
      <c r="RA4340" s="106"/>
      <c r="RB4340" s="106"/>
      <c r="RC4340" s="106"/>
      <c r="RD4340" s="106"/>
      <c r="RE4340" s="106"/>
      <c r="RF4340" s="106"/>
      <c r="RG4340" s="106"/>
      <c r="RH4340" s="106"/>
      <c r="RI4340" s="106"/>
      <c r="RJ4340" s="106"/>
      <c r="RK4340" s="106"/>
      <c r="RL4340" s="106"/>
    </row>
    <row r="4341" spans="462:480" x14ac:dyDescent="0.3">
      <c r="QT4341" s="106"/>
      <c r="QU4341" s="106"/>
      <c r="QV4341" s="106"/>
      <c r="QW4341" s="106"/>
      <c r="QX4341" s="106"/>
      <c r="QY4341" s="106"/>
      <c r="QZ4341" s="106"/>
      <c r="RA4341" s="106"/>
      <c r="RB4341" s="106"/>
      <c r="RC4341" s="106"/>
      <c r="RD4341" s="106"/>
      <c r="RE4341" s="106"/>
      <c r="RF4341" s="106"/>
      <c r="RG4341" s="106"/>
      <c r="RH4341" s="106"/>
      <c r="RI4341" s="106"/>
      <c r="RJ4341" s="106"/>
      <c r="RK4341" s="106"/>
      <c r="RL4341" s="106"/>
    </row>
    <row r="4342" spans="462:480" x14ac:dyDescent="0.3">
      <c r="QT4342" s="106"/>
      <c r="QU4342" s="106"/>
      <c r="QV4342" s="106"/>
      <c r="QW4342" s="106"/>
      <c r="QX4342" s="106"/>
      <c r="QY4342" s="106"/>
      <c r="QZ4342" s="106"/>
      <c r="RA4342" s="106"/>
      <c r="RB4342" s="106"/>
      <c r="RC4342" s="106"/>
      <c r="RD4342" s="106"/>
      <c r="RE4342" s="106"/>
      <c r="RF4342" s="106"/>
      <c r="RG4342" s="106"/>
      <c r="RH4342" s="106"/>
      <c r="RI4342" s="106"/>
      <c r="RJ4342" s="106"/>
      <c r="RK4342" s="106"/>
      <c r="RL4342" s="106"/>
    </row>
    <row r="4343" spans="462:480" x14ac:dyDescent="0.3">
      <c r="QT4343" s="106"/>
      <c r="QU4343" s="106"/>
      <c r="QV4343" s="106"/>
      <c r="QW4343" s="106"/>
      <c r="QX4343" s="106"/>
      <c r="QY4343" s="106"/>
      <c r="QZ4343" s="106"/>
      <c r="RA4343" s="106"/>
      <c r="RB4343" s="106"/>
      <c r="RC4343" s="106"/>
      <c r="RD4343" s="106"/>
      <c r="RE4343" s="106"/>
      <c r="RF4343" s="106"/>
      <c r="RG4343" s="106"/>
      <c r="RH4343" s="106"/>
      <c r="RI4343" s="106"/>
      <c r="RJ4343" s="106"/>
      <c r="RK4343" s="106"/>
      <c r="RL4343" s="106"/>
    </row>
    <row r="4344" spans="462:480" x14ac:dyDescent="0.3">
      <c r="QT4344" s="106"/>
      <c r="QU4344" s="106"/>
      <c r="QV4344" s="106"/>
      <c r="QW4344" s="106"/>
      <c r="QX4344" s="106"/>
      <c r="QY4344" s="106"/>
      <c r="QZ4344" s="106"/>
      <c r="RA4344" s="106"/>
      <c r="RB4344" s="106"/>
      <c r="RC4344" s="106"/>
      <c r="RD4344" s="106"/>
      <c r="RE4344" s="106"/>
      <c r="RF4344" s="106"/>
      <c r="RG4344" s="106"/>
      <c r="RH4344" s="106"/>
      <c r="RI4344" s="106"/>
      <c r="RJ4344" s="106"/>
      <c r="RK4344" s="106"/>
      <c r="RL4344" s="106"/>
    </row>
    <row r="4345" spans="462:480" x14ac:dyDescent="0.3">
      <c r="QT4345" s="106"/>
      <c r="QU4345" s="106"/>
      <c r="QV4345" s="106"/>
      <c r="QW4345" s="106"/>
      <c r="QX4345" s="106"/>
      <c r="QY4345" s="106"/>
      <c r="QZ4345" s="106"/>
      <c r="RA4345" s="106"/>
      <c r="RB4345" s="106"/>
      <c r="RC4345" s="106"/>
      <c r="RD4345" s="106"/>
      <c r="RE4345" s="106"/>
      <c r="RF4345" s="106"/>
      <c r="RG4345" s="106"/>
      <c r="RH4345" s="106"/>
      <c r="RI4345" s="106"/>
      <c r="RJ4345" s="106"/>
      <c r="RK4345" s="106"/>
      <c r="RL4345" s="106"/>
    </row>
    <row r="4346" spans="462:480" x14ac:dyDescent="0.3">
      <c r="QT4346" s="106"/>
      <c r="QU4346" s="106"/>
      <c r="QV4346" s="106"/>
      <c r="QW4346" s="106"/>
      <c r="QX4346" s="106"/>
      <c r="QY4346" s="106"/>
      <c r="QZ4346" s="106"/>
      <c r="RA4346" s="106"/>
      <c r="RB4346" s="106"/>
      <c r="RC4346" s="106"/>
      <c r="RD4346" s="106"/>
      <c r="RE4346" s="106"/>
      <c r="RF4346" s="106"/>
      <c r="RG4346" s="106"/>
      <c r="RH4346" s="106"/>
      <c r="RI4346" s="106"/>
      <c r="RJ4346" s="106"/>
      <c r="RK4346" s="106"/>
      <c r="RL4346" s="106"/>
    </row>
    <row r="4347" spans="462:480" x14ac:dyDescent="0.3">
      <c r="QT4347" s="106"/>
      <c r="QU4347" s="106"/>
      <c r="QV4347" s="106"/>
      <c r="QW4347" s="106"/>
      <c r="QX4347" s="106"/>
      <c r="QY4347" s="106"/>
      <c r="QZ4347" s="106"/>
      <c r="RA4347" s="106"/>
      <c r="RB4347" s="106"/>
      <c r="RC4347" s="106"/>
      <c r="RD4347" s="106"/>
      <c r="RE4347" s="106"/>
      <c r="RF4347" s="106"/>
      <c r="RG4347" s="106"/>
      <c r="RH4347" s="106"/>
      <c r="RI4347" s="106"/>
      <c r="RJ4347" s="106"/>
      <c r="RK4347" s="106"/>
      <c r="RL4347" s="106"/>
    </row>
    <row r="4348" spans="462:480" x14ac:dyDescent="0.3">
      <c r="QT4348" s="106"/>
      <c r="QU4348" s="106"/>
      <c r="QV4348" s="106"/>
      <c r="QW4348" s="106"/>
      <c r="QX4348" s="106"/>
      <c r="QY4348" s="106"/>
      <c r="QZ4348" s="106"/>
      <c r="RA4348" s="106"/>
      <c r="RB4348" s="106"/>
      <c r="RC4348" s="106"/>
      <c r="RD4348" s="106"/>
      <c r="RE4348" s="106"/>
      <c r="RF4348" s="106"/>
      <c r="RG4348" s="106"/>
      <c r="RH4348" s="106"/>
      <c r="RI4348" s="106"/>
      <c r="RJ4348" s="106"/>
      <c r="RK4348" s="106"/>
      <c r="RL4348" s="106"/>
    </row>
    <row r="4349" spans="462:480" x14ac:dyDescent="0.3">
      <c r="QT4349" s="106"/>
      <c r="QU4349" s="106"/>
      <c r="QV4349" s="106"/>
      <c r="QW4349" s="106"/>
      <c r="QX4349" s="106"/>
      <c r="QY4349" s="106"/>
      <c r="QZ4349" s="106"/>
      <c r="RA4349" s="106"/>
      <c r="RB4349" s="106"/>
      <c r="RC4349" s="106"/>
      <c r="RD4349" s="106"/>
      <c r="RE4349" s="106"/>
      <c r="RF4349" s="106"/>
      <c r="RG4349" s="106"/>
      <c r="RH4349" s="106"/>
      <c r="RI4349" s="106"/>
      <c r="RJ4349" s="106"/>
      <c r="RK4349" s="106"/>
      <c r="RL4349" s="106"/>
    </row>
    <row r="4350" spans="462:480" x14ac:dyDescent="0.3">
      <c r="QT4350" s="106"/>
      <c r="QU4350" s="106"/>
      <c r="QV4350" s="106"/>
      <c r="QW4350" s="106"/>
      <c r="QX4350" s="106"/>
      <c r="QY4350" s="106"/>
      <c r="QZ4350" s="106"/>
      <c r="RA4350" s="106"/>
      <c r="RB4350" s="106"/>
      <c r="RC4350" s="106"/>
      <c r="RD4350" s="106"/>
      <c r="RE4350" s="106"/>
      <c r="RF4350" s="106"/>
      <c r="RG4350" s="106"/>
      <c r="RH4350" s="106"/>
      <c r="RI4350" s="106"/>
      <c r="RJ4350" s="106"/>
      <c r="RK4350" s="106"/>
      <c r="RL4350" s="106"/>
    </row>
    <row r="4351" spans="462:480" x14ac:dyDescent="0.3">
      <c r="QT4351" s="106"/>
      <c r="QU4351" s="106"/>
      <c r="QV4351" s="106"/>
      <c r="QW4351" s="106"/>
      <c r="QX4351" s="106"/>
      <c r="QY4351" s="106"/>
      <c r="QZ4351" s="106"/>
      <c r="RA4351" s="106"/>
      <c r="RB4351" s="106"/>
      <c r="RC4351" s="106"/>
      <c r="RD4351" s="106"/>
      <c r="RE4351" s="106"/>
      <c r="RF4351" s="106"/>
      <c r="RG4351" s="106"/>
      <c r="RH4351" s="106"/>
      <c r="RI4351" s="106"/>
      <c r="RJ4351" s="106"/>
      <c r="RK4351" s="106"/>
      <c r="RL4351" s="106"/>
    </row>
    <row r="4352" spans="462:480" x14ac:dyDescent="0.3">
      <c r="QT4352" s="106"/>
      <c r="QU4352" s="106"/>
      <c r="QV4352" s="106"/>
      <c r="QW4352" s="106"/>
      <c r="QX4352" s="106"/>
      <c r="QY4352" s="106"/>
      <c r="QZ4352" s="106"/>
      <c r="RA4352" s="106"/>
      <c r="RB4352" s="106"/>
      <c r="RC4352" s="106"/>
      <c r="RD4352" s="106"/>
      <c r="RE4352" s="106"/>
      <c r="RF4352" s="106"/>
      <c r="RG4352" s="106"/>
      <c r="RH4352" s="106"/>
      <c r="RI4352" s="106"/>
      <c r="RJ4352" s="106"/>
      <c r="RK4352" s="106"/>
      <c r="RL4352" s="106"/>
    </row>
    <row r="4353" spans="462:480" x14ac:dyDescent="0.3">
      <c r="QT4353" s="106"/>
      <c r="QU4353" s="106"/>
      <c r="QV4353" s="106"/>
      <c r="QW4353" s="106"/>
      <c r="QX4353" s="106"/>
      <c r="QY4353" s="106"/>
      <c r="QZ4353" s="106"/>
      <c r="RA4353" s="106"/>
      <c r="RB4353" s="106"/>
      <c r="RC4353" s="106"/>
      <c r="RD4353" s="106"/>
      <c r="RE4353" s="106"/>
      <c r="RF4353" s="106"/>
      <c r="RG4353" s="106"/>
      <c r="RH4353" s="106"/>
      <c r="RI4353" s="106"/>
      <c r="RJ4353" s="106"/>
      <c r="RK4353" s="106"/>
      <c r="RL4353" s="106"/>
    </row>
    <row r="4354" spans="462:480" x14ac:dyDescent="0.3">
      <c r="QT4354" s="106"/>
      <c r="QU4354" s="106"/>
      <c r="QV4354" s="106"/>
      <c r="QW4354" s="106"/>
      <c r="QX4354" s="106"/>
      <c r="QY4354" s="106"/>
      <c r="QZ4354" s="106"/>
      <c r="RA4354" s="106"/>
      <c r="RB4354" s="106"/>
      <c r="RC4354" s="106"/>
      <c r="RD4354" s="106"/>
      <c r="RE4354" s="106"/>
      <c r="RF4354" s="106"/>
      <c r="RG4354" s="106"/>
      <c r="RH4354" s="106"/>
      <c r="RI4354" s="106"/>
      <c r="RJ4354" s="106"/>
      <c r="RK4354" s="106"/>
      <c r="RL4354" s="106"/>
    </row>
    <row r="4355" spans="462:480" x14ac:dyDescent="0.3">
      <c r="QT4355" s="106"/>
      <c r="QU4355" s="106"/>
      <c r="QV4355" s="106"/>
      <c r="QW4355" s="106"/>
      <c r="QX4355" s="106"/>
      <c r="QY4355" s="106"/>
      <c r="QZ4355" s="106"/>
      <c r="RA4355" s="106"/>
      <c r="RB4355" s="106"/>
      <c r="RC4355" s="106"/>
      <c r="RD4355" s="106"/>
      <c r="RE4355" s="106"/>
      <c r="RF4355" s="106"/>
      <c r="RG4355" s="106"/>
      <c r="RH4355" s="106"/>
      <c r="RI4355" s="106"/>
      <c r="RJ4355" s="106"/>
      <c r="RK4355" s="106"/>
      <c r="RL4355" s="106"/>
    </row>
    <row r="4356" spans="462:480" x14ac:dyDescent="0.3">
      <c r="QT4356" s="106"/>
      <c r="QU4356" s="106"/>
      <c r="QV4356" s="106"/>
      <c r="QW4356" s="106"/>
      <c r="QX4356" s="106"/>
      <c r="QY4356" s="106"/>
      <c r="QZ4356" s="106"/>
      <c r="RA4356" s="106"/>
      <c r="RB4356" s="106"/>
      <c r="RC4356" s="106"/>
      <c r="RD4356" s="106"/>
      <c r="RE4356" s="106"/>
      <c r="RF4356" s="106"/>
      <c r="RG4356" s="106"/>
      <c r="RH4356" s="106"/>
      <c r="RI4356" s="106"/>
      <c r="RJ4356" s="106"/>
      <c r="RK4356" s="106"/>
      <c r="RL4356" s="106"/>
    </row>
    <row r="4357" spans="462:480" x14ac:dyDescent="0.3">
      <c r="QT4357" s="106"/>
      <c r="QU4357" s="106"/>
      <c r="QV4357" s="106"/>
      <c r="QW4357" s="106"/>
      <c r="QX4357" s="106"/>
      <c r="QY4357" s="106"/>
      <c r="QZ4357" s="106"/>
      <c r="RA4357" s="106"/>
      <c r="RB4357" s="106"/>
      <c r="RC4357" s="106"/>
      <c r="RD4357" s="106"/>
      <c r="RE4357" s="106"/>
      <c r="RF4357" s="106"/>
      <c r="RG4357" s="106"/>
      <c r="RH4357" s="106"/>
      <c r="RI4357" s="106"/>
      <c r="RJ4357" s="106"/>
      <c r="RK4357" s="106"/>
      <c r="RL4357" s="106"/>
    </row>
    <row r="4358" spans="462:480" x14ac:dyDescent="0.3">
      <c r="QT4358" s="106"/>
      <c r="QU4358" s="106"/>
      <c r="QV4358" s="106"/>
      <c r="QW4358" s="106"/>
      <c r="QX4358" s="106"/>
      <c r="QY4358" s="106"/>
      <c r="QZ4358" s="106"/>
      <c r="RA4358" s="106"/>
      <c r="RB4358" s="106"/>
      <c r="RC4358" s="106"/>
      <c r="RD4358" s="106"/>
      <c r="RE4358" s="106"/>
      <c r="RF4358" s="106"/>
      <c r="RG4358" s="106"/>
      <c r="RH4358" s="106"/>
      <c r="RI4358" s="106"/>
      <c r="RJ4358" s="106"/>
      <c r="RK4358" s="106"/>
      <c r="RL4358" s="106"/>
    </row>
    <row r="4359" spans="462:480" x14ac:dyDescent="0.3">
      <c r="QT4359" s="106"/>
      <c r="QU4359" s="106"/>
      <c r="QV4359" s="106"/>
      <c r="QW4359" s="106"/>
      <c r="QX4359" s="106"/>
      <c r="QY4359" s="106"/>
      <c r="QZ4359" s="106"/>
      <c r="RA4359" s="106"/>
      <c r="RB4359" s="106"/>
      <c r="RC4359" s="106"/>
      <c r="RD4359" s="106"/>
      <c r="RE4359" s="106"/>
      <c r="RF4359" s="106"/>
      <c r="RG4359" s="106"/>
      <c r="RH4359" s="106"/>
      <c r="RI4359" s="106"/>
      <c r="RJ4359" s="106"/>
      <c r="RK4359" s="106"/>
      <c r="RL4359" s="106"/>
    </row>
    <row r="4360" spans="462:480" x14ac:dyDescent="0.3">
      <c r="QT4360" s="106"/>
      <c r="QU4360" s="106"/>
      <c r="QV4360" s="106"/>
      <c r="QW4360" s="106"/>
      <c r="QX4360" s="106"/>
      <c r="QY4360" s="106"/>
      <c r="QZ4360" s="106"/>
      <c r="RA4360" s="106"/>
      <c r="RB4360" s="106"/>
      <c r="RC4360" s="106"/>
      <c r="RD4360" s="106"/>
      <c r="RE4360" s="106"/>
      <c r="RF4360" s="106"/>
      <c r="RG4360" s="106"/>
      <c r="RH4360" s="106"/>
      <c r="RI4360" s="106"/>
      <c r="RJ4360" s="106"/>
      <c r="RK4360" s="106"/>
      <c r="RL4360" s="106"/>
    </row>
    <row r="4361" spans="462:480" x14ac:dyDescent="0.3">
      <c r="QT4361" s="106"/>
      <c r="QU4361" s="106"/>
      <c r="QV4361" s="106"/>
      <c r="QW4361" s="106"/>
      <c r="QX4361" s="106"/>
      <c r="QY4361" s="106"/>
      <c r="QZ4361" s="106"/>
      <c r="RA4361" s="106"/>
      <c r="RB4361" s="106"/>
      <c r="RC4361" s="106"/>
      <c r="RD4361" s="106"/>
      <c r="RE4361" s="106"/>
      <c r="RF4361" s="106"/>
      <c r="RG4361" s="106"/>
      <c r="RH4361" s="106"/>
      <c r="RI4361" s="106"/>
      <c r="RJ4361" s="106"/>
      <c r="RK4361" s="106"/>
      <c r="RL4361" s="106"/>
    </row>
    <row r="4362" spans="462:480" x14ac:dyDescent="0.3">
      <c r="QT4362" s="106"/>
      <c r="QU4362" s="106"/>
      <c r="QV4362" s="106"/>
      <c r="QW4362" s="106"/>
      <c r="QX4362" s="106"/>
      <c r="QY4362" s="106"/>
      <c r="QZ4362" s="106"/>
      <c r="RA4362" s="106"/>
      <c r="RB4362" s="106"/>
      <c r="RC4362" s="106"/>
      <c r="RD4362" s="106"/>
      <c r="RE4362" s="106"/>
      <c r="RF4362" s="106"/>
      <c r="RG4362" s="106"/>
      <c r="RH4362" s="106"/>
      <c r="RI4362" s="106"/>
      <c r="RJ4362" s="106"/>
      <c r="RK4362" s="106"/>
      <c r="RL4362" s="106"/>
    </row>
    <row r="4363" spans="462:480" x14ac:dyDescent="0.3">
      <c r="QT4363" s="106"/>
      <c r="QU4363" s="106"/>
      <c r="QV4363" s="106"/>
      <c r="QW4363" s="106"/>
      <c r="QX4363" s="106"/>
      <c r="QY4363" s="106"/>
      <c r="QZ4363" s="106"/>
      <c r="RA4363" s="106"/>
      <c r="RB4363" s="106"/>
      <c r="RC4363" s="106"/>
      <c r="RD4363" s="106"/>
      <c r="RE4363" s="106"/>
      <c r="RF4363" s="106"/>
      <c r="RG4363" s="106"/>
      <c r="RH4363" s="106"/>
      <c r="RI4363" s="106"/>
      <c r="RJ4363" s="106"/>
      <c r="RK4363" s="106"/>
      <c r="RL4363" s="106"/>
    </row>
    <row r="4364" spans="462:480" x14ac:dyDescent="0.3">
      <c r="QT4364" s="106"/>
      <c r="QU4364" s="106"/>
      <c r="QV4364" s="106"/>
      <c r="QW4364" s="106"/>
      <c r="QX4364" s="106"/>
      <c r="QY4364" s="106"/>
      <c r="QZ4364" s="106"/>
      <c r="RA4364" s="106"/>
      <c r="RB4364" s="106"/>
      <c r="RC4364" s="106"/>
      <c r="RD4364" s="106"/>
      <c r="RE4364" s="106"/>
      <c r="RF4364" s="106"/>
      <c r="RG4364" s="106"/>
      <c r="RH4364" s="106"/>
      <c r="RI4364" s="106"/>
      <c r="RJ4364" s="106"/>
      <c r="RK4364" s="106"/>
      <c r="RL4364" s="106"/>
    </row>
    <row r="4365" spans="462:480" x14ac:dyDescent="0.3">
      <c r="QT4365" s="106"/>
      <c r="QU4365" s="106"/>
      <c r="QV4365" s="106"/>
      <c r="QW4365" s="106"/>
      <c r="QX4365" s="106"/>
      <c r="QY4365" s="106"/>
      <c r="QZ4365" s="106"/>
      <c r="RA4365" s="106"/>
      <c r="RB4365" s="106"/>
      <c r="RC4365" s="106"/>
      <c r="RD4365" s="106"/>
      <c r="RE4365" s="106"/>
      <c r="RF4365" s="106"/>
      <c r="RG4365" s="106"/>
      <c r="RH4365" s="106"/>
      <c r="RI4365" s="106"/>
      <c r="RJ4365" s="106"/>
      <c r="RK4365" s="106"/>
      <c r="RL4365" s="106"/>
    </row>
    <row r="4366" spans="462:480" x14ac:dyDescent="0.3">
      <c r="QT4366" s="106"/>
      <c r="QU4366" s="106"/>
      <c r="QV4366" s="106"/>
      <c r="QW4366" s="106"/>
      <c r="QX4366" s="106"/>
      <c r="QY4366" s="106"/>
      <c r="QZ4366" s="106"/>
      <c r="RA4366" s="106"/>
      <c r="RB4366" s="106"/>
      <c r="RC4366" s="106"/>
      <c r="RD4366" s="106"/>
      <c r="RE4366" s="106"/>
      <c r="RF4366" s="106"/>
      <c r="RG4366" s="106"/>
      <c r="RH4366" s="106"/>
      <c r="RI4366" s="106"/>
      <c r="RJ4366" s="106"/>
      <c r="RK4366" s="106"/>
      <c r="RL4366" s="106"/>
    </row>
    <row r="4367" spans="462:480" x14ac:dyDescent="0.3">
      <c r="QT4367" s="106"/>
      <c r="QU4367" s="106"/>
      <c r="QV4367" s="106"/>
      <c r="QW4367" s="106"/>
      <c r="QX4367" s="106"/>
      <c r="QY4367" s="106"/>
      <c r="QZ4367" s="106"/>
      <c r="RA4367" s="106"/>
      <c r="RB4367" s="106"/>
      <c r="RC4367" s="106"/>
      <c r="RD4367" s="106"/>
      <c r="RE4367" s="106"/>
      <c r="RF4367" s="106"/>
      <c r="RG4367" s="106"/>
      <c r="RH4367" s="106"/>
      <c r="RI4367" s="106"/>
      <c r="RJ4367" s="106"/>
      <c r="RK4367" s="106"/>
      <c r="RL4367" s="106"/>
    </row>
    <row r="4368" spans="462:480" x14ac:dyDescent="0.3">
      <c r="QT4368" s="106"/>
      <c r="QU4368" s="106"/>
      <c r="QV4368" s="106"/>
      <c r="QW4368" s="106"/>
      <c r="QX4368" s="106"/>
      <c r="QY4368" s="106"/>
      <c r="QZ4368" s="106"/>
      <c r="RA4368" s="106"/>
      <c r="RB4368" s="106"/>
      <c r="RC4368" s="106"/>
      <c r="RD4368" s="106"/>
      <c r="RE4368" s="106"/>
      <c r="RF4368" s="106"/>
      <c r="RG4368" s="106"/>
      <c r="RH4368" s="106"/>
      <c r="RI4368" s="106"/>
      <c r="RJ4368" s="106"/>
      <c r="RK4368" s="106"/>
      <c r="RL4368" s="106"/>
    </row>
    <row r="4369" spans="462:480" x14ac:dyDescent="0.3">
      <c r="QT4369" s="106"/>
      <c r="QU4369" s="106"/>
      <c r="QV4369" s="106"/>
      <c r="QW4369" s="106"/>
      <c r="QX4369" s="106"/>
      <c r="QY4369" s="106"/>
      <c r="QZ4369" s="106"/>
      <c r="RA4369" s="106"/>
      <c r="RB4369" s="106"/>
      <c r="RC4369" s="106"/>
      <c r="RD4369" s="106"/>
      <c r="RE4369" s="106"/>
      <c r="RF4369" s="106"/>
      <c r="RG4369" s="106"/>
      <c r="RH4369" s="106"/>
      <c r="RI4369" s="106"/>
      <c r="RJ4369" s="106"/>
      <c r="RK4369" s="106"/>
      <c r="RL4369" s="106"/>
    </row>
    <row r="4370" spans="462:480" x14ac:dyDescent="0.3">
      <c r="QT4370" s="106"/>
      <c r="QU4370" s="106"/>
      <c r="QV4370" s="106"/>
      <c r="QW4370" s="106"/>
      <c r="QX4370" s="106"/>
      <c r="QY4370" s="106"/>
      <c r="QZ4370" s="106"/>
      <c r="RA4370" s="106"/>
      <c r="RB4370" s="106"/>
      <c r="RC4370" s="106"/>
      <c r="RD4370" s="106"/>
      <c r="RE4370" s="106"/>
      <c r="RF4370" s="106"/>
      <c r="RG4370" s="106"/>
      <c r="RH4370" s="106"/>
      <c r="RI4370" s="106"/>
      <c r="RJ4370" s="106"/>
      <c r="RK4370" s="106"/>
      <c r="RL4370" s="106"/>
    </row>
    <row r="4371" spans="462:480" x14ac:dyDescent="0.3">
      <c r="QT4371" s="106"/>
      <c r="QU4371" s="106"/>
      <c r="QV4371" s="106"/>
      <c r="QW4371" s="106"/>
      <c r="QX4371" s="106"/>
      <c r="QY4371" s="106"/>
      <c r="QZ4371" s="106"/>
      <c r="RA4371" s="106"/>
      <c r="RB4371" s="106"/>
      <c r="RC4371" s="106"/>
      <c r="RD4371" s="106"/>
      <c r="RE4371" s="106"/>
      <c r="RF4371" s="106"/>
      <c r="RG4371" s="106"/>
      <c r="RH4371" s="106"/>
      <c r="RI4371" s="106"/>
      <c r="RJ4371" s="106"/>
      <c r="RK4371" s="106"/>
      <c r="RL4371" s="106"/>
    </row>
    <row r="4372" spans="462:480" x14ac:dyDescent="0.3">
      <c r="QT4372" s="106"/>
      <c r="QU4372" s="106"/>
      <c r="QV4372" s="106"/>
      <c r="QW4372" s="106"/>
      <c r="QX4372" s="106"/>
      <c r="QY4372" s="106"/>
      <c r="QZ4372" s="106"/>
      <c r="RA4372" s="106"/>
      <c r="RB4372" s="106"/>
      <c r="RC4372" s="106"/>
      <c r="RD4372" s="106"/>
      <c r="RE4372" s="106"/>
      <c r="RF4372" s="106"/>
      <c r="RG4372" s="106"/>
      <c r="RH4372" s="106"/>
      <c r="RI4372" s="106"/>
      <c r="RJ4372" s="106"/>
      <c r="RK4372" s="106"/>
      <c r="RL4372" s="106"/>
    </row>
    <row r="4373" spans="462:480" x14ac:dyDescent="0.3">
      <c r="QT4373" s="106"/>
      <c r="QU4373" s="106"/>
      <c r="QV4373" s="106"/>
      <c r="QW4373" s="106"/>
      <c r="QX4373" s="106"/>
      <c r="QY4373" s="106"/>
      <c r="QZ4373" s="106"/>
      <c r="RA4373" s="106"/>
      <c r="RB4373" s="106"/>
      <c r="RC4373" s="106"/>
      <c r="RD4373" s="106"/>
      <c r="RE4373" s="106"/>
      <c r="RF4373" s="106"/>
      <c r="RG4373" s="106"/>
      <c r="RH4373" s="106"/>
      <c r="RI4373" s="106"/>
      <c r="RJ4373" s="106"/>
      <c r="RK4373" s="106"/>
      <c r="RL4373" s="106"/>
    </row>
    <row r="4374" spans="462:480" x14ac:dyDescent="0.3">
      <c r="QT4374" s="106"/>
      <c r="QU4374" s="106"/>
      <c r="QV4374" s="106"/>
      <c r="QW4374" s="106"/>
      <c r="QX4374" s="106"/>
      <c r="QY4374" s="106"/>
      <c r="QZ4374" s="106"/>
      <c r="RA4374" s="106"/>
      <c r="RB4374" s="106"/>
      <c r="RC4374" s="106"/>
      <c r="RD4374" s="106"/>
      <c r="RE4374" s="106"/>
      <c r="RF4374" s="106"/>
      <c r="RG4374" s="106"/>
      <c r="RH4374" s="106"/>
      <c r="RI4374" s="106"/>
      <c r="RJ4374" s="106"/>
      <c r="RK4374" s="106"/>
      <c r="RL4374" s="106"/>
    </row>
    <row r="4375" spans="462:480" x14ac:dyDescent="0.3">
      <c r="QT4375" s="106"/>
      <c r="QU4375" s="106"/>
      <c r="QV4375" s="106"/>
      <c r="QW4375" s="106"/>
      <c r="QX4375" s="106"/>
      <c r="QY4375" s="106"/>
      <c r="QZ4375" s="106"/>
      <c r="RA4375" s="106"/>
      <c r="RB4375" s="106"/>
      <c r="RC4375" s="106"/>
      <c r="RD4375" s="106"/>
      <c r="RE4375" s="106"/>
      <c r="RF4375" s="106"/>
      <c r="RG4375" s="106"/>
      <c r="RH4375" s="106"/>
      <c r="RI4375" s="106"/>
      <c r="RJ4375" s="106"/>
      <c r="RK4375" s="106"/>
      <c r="RL4375" s="106"/>
    </row>
    <row r="4376" spans="462:480" x14ac:dyDescent="0.3">
      <c r="QT4376" s="106"/>
      <c r="QU4376" s="106"/>
      <c r="QV4376" s="106"/>
      <c r="QW4376" s="106"/>
      <c r="QX4376" s="106"/>
      <c r="QY4376" s="106"/>
      <c r="QZ4376" s="106"/>
      <c r="RA4376" s="106"/>
      <c r="RB4376" s="106"/>
      <c r="RC4376" s="106"/>
      <c r="RD4376" s="106"/>
      <c r="RE4376" s="106"/>
      <c r="RF4376" s="106"/>
      <c r="RG4376" s="106"/>
      <c r="RH4376" s="106"/>
      <c r="RI4376" s="106"/>
      <c r="RJ4376" s="106"/>
      <c r="RK4376" s="106"/>
      <c r="RL4376" s="106"/>
    </row>
    <row r="4377" spans="462:480" x14ac:dyDescent="0.3">
      <c r="QT4377" s="106"/>
      <c r="QU4377" s="106"/>
      <c r="QV4377" s="106"/>
      <c r="QW4377" s="106"/>
      <c r="QX4377" s="106"/>
      <c r="QY4377" s="106"/>
      <c r="QZ4377" s="106"/>
      <c r="RA4377" s="106"/>
      <c r="RB4377" s="106"/>
      <c r="RC4377" s="106"/>
      <c r="RD4377" s="106"/>
      <c r="RE4377" s="106"/>
      <c r="RF4377" s="106"/>
      <c r="RG4377" s="106"/>
      <c r="RH4377" s="106"/>
      <c r="RI4377" s="106"/>
      <c r="RJ4377" s="106"/>
      <c r="RK4377" s="106"/>
      <c r="RL4377" s="106"/>
    </row>
    <row r="4378" spans="462:480" x14ac:dyDescent="0.3">
      <c r="QT4378" s="106"/>
      <c r="QU4378" s="106"/>
      <c r="QV4378" s="106"/>
      <c r="QW4378" s="106"/>
      <c r="QX4378" s="106"/>
      <c r="QY4378" s="106"/>
      <c r="QZ4378" s="106"/>
      <c r="RA4378" s="106"/>
      <c r="RB4378" s="106"/>
      <c r="RC4378" s="106"/>
      <c r="RD4378" s="106"/>
      <c r="RE4378" s="106"/>
      <c r="RF4378" s="106"/>
      <c r="RG4378" s="106"/>
      <c r="RH4378" s="106"/>
      <c r="RI4378" s="106"/>
      <c r="RJ4378" s="106"/>
      <c r="RK4378" s="106"/>
      <c r="RL4378" s="106"/>
    </row>
    <row r="4379" spans="462:480" x14ac:dyDescent="0.3">
      <c r="QT4379" s="106"/>
      <c r="QU4379" s="106"/>
      <c r="QV4379" s="106"/>
      <c r="QW4379" s="106"/>
      <c r="QX4379" s="106"/>
      <c r="QY4379" s="106"/>
      <c r="QZ4379" s="106"/>
      <c r="RA4379" s="106"/>
      <c r="RB4379" s="106"/>
      <c r="RC4379" s="106"/>
      <c r="RD4379" s="106"/>
      <c r="RE4379" s="106"/>
      <c r="RF4379" s="106"/>
      <c r="RG4379" s="106"/>
      <c r="RH4379" s="106"/>
      <c r="RI4379" s="106"/>
      <c r="RJ4379" s="106"/>
      <c r="RK4379" s="106"/>
      <c r="RL4379" s="106"/>
    </row>
    <row r="4380" spans="462:480" x14ac:dyDescent="0.3">
      <c r="QT4380" s="106"/>
      <c r="QU4380" s="106"/>
      <c r="QV4380" s="106"/>
      <c r="QW4380" s="106"/>
      <c r="QX4380" s="106"/>
      <c r="QY4380" s="106"/>
      <c r="QZ4380" s="106"/>
      <c r="RA4380" s="106"/>
      <c r="RB4380" s="106"/>
      <c r="RC4380" s="106"/>
      <c r="RD4380" s="106"/>
      <c r="RE4380" s="106"/>
      <c r="RF4380" s="106"/>
      <c r="RG4380" s="106"/>
      <c r="RH4380" s="106"/>
      <c r="RI4380" s="106"/>
      <c r="RJ4380" s="106"/>
      <c r="RK4380" s="106"/>
      <c r="RL4380" s="106"/>
    </row>
    <row r="4381" spans="462:480" x14ac:dyDescent="0.3">
      <c r="QT4381" s="106"/>
      <c r="QU4381" s="106"/>
      <c r="QV4381" s="106"/>
      <c r="QW4381" s="106"/>
      <c r="QX4381" s="106"/>
      <c r="QY4381" s="106"/>
      <c r="QZ4381" s="106"/>
      <c r="RA4381" s="106"/>
      <c r="RB4381" s="106"/>
      <c r="RC4381" s="106"/>
      <c r="RD4381" s="106"/>
      <c r="RE4381" s="106"/>
      <c r="RF4381" s="106"/>
      <c r="RG4381" s="106"/>
      <c r="RH4381" s="106"/>
      <c r="RI4381" s="106"/>
      <c r="RJ4381" s="106"/>
      <c r="RK4381" s="106"/>
      <c r="RL4381" s="106"/>
    </row>
    <row r="4382" spans="462:480" x14ac:dyDescent="0.3">
      <c r="QT4382" s="106"/>
      <c r="QU4382" s="106"/>
      <c r="QV4382" s="106"/>
      <c r="QW4382" s="106"/>
      <c r="QX4382" s="106"/>
      <c r="QY4382" s="106"/>
      <c r="QZ4382" s="106"/>
      <c r="RA4382" s="106"/>
      <c r="RB4382" s="106"/>
      <c r="RC4382" s="106"/>
      <c r="RD4382" s="106"/>
      <c r="RE4382" s="106"/>
      <c r="RF4382" s="106"/>
      <c r="RG4382" s="106"/>
      <c r="RH4382" s="106"/>
      <c r="RI4382" s="106"/>
      <c r="RJ4382" s="106"/>
      <c r="RK4382" s="106"/>
      <c r="RL4382" s="106"/>
    </row>
    <row r="4383" spans="462:480" x14ac:dyDescent="0.3">
      <c r="QT4383" s="106"/>
      <c r="QU4383" s="106"/>
      <c r="QV4383" s="106"/>
      <c r="QW4383" s="106"/>
      <c r="QX4383" s="106"/>
      <c r="QY4383" s="106"/>
      <c r="QZ4383" s="106"/>
      <c r="RA4383" s="106"/>
      <c r="RB4383" s="106"/>
      <c r="RC4383" s="106"/>
      <c r="RD4383" s="106"/>
      <c r="RE4383" s="106"/>
      <c r="RF4383" s="106"/>
      <c r="RG4383" s="106"/>
      <c r="RH4383" s="106"/>
      <c r="RI4383" s="106"/>
      <c r="RJ4383" s="106"/>
      <c r="RK4383" s="106"/>
      <c r="RL4383" s="106"/>
    </row>
    <row r="4384" spans="462:480" x14ac:dyDescent="0.3">
      <c r="QT4384" s="106"/>
      <c r="QU4384" s="106"/>
      <c r="QV4384" s="106"/>
      <c r="QW4384" s="106"/>
      <c r="QX4384" s="106"/>
      <c r="QY4384" s="106"/>
      <c r="QZ4384" s="106"/>
      <c r="RA4384" s="106"/>
      <c r="RB4384" s="106"/>
      <c r="RC4384" s="106"/>
      <c r="RD4384" s="106"/>
      <c r="RE4384" s="106"/>
      <c r="RF4384" s="106"/>
      <c r="RG4384" s="106"/>
      <c r="RH4384" s="106"/>
      <c r="RI4384" s="106"/>
      <c r="RJ4384" s="106"/>
      <c r="RK4384" s="106"/>
      <c r="RL4384" s="106"/>
    </row>
    <row r="4385" spans="462:480" x14ac:dyDescent="0.3">
      <c r="QT4385" s="106"/>
      <c r="QU4385" s="106"/>
      <c r="QV4385" s="106"/>
      <c r="QW4385" s="106"/>
      <c r="QX4385" s="106"/>
      <c r="QY4385" s="106"/>
      <c r="QZ4385" s="106"/>
      <c r="RA4385" s="106"/>
      <c r="RB4385" s="106"/>
      <c r="RC4385" s="106"/>
      <c r="RD4385" s="106"/>
      <c r="RE4385" s="106"/>
      <c r="RF4385" s="106"/>
      <c r="RG4385" s="106"/>
      <c r="RH4385" s="106"/>
      <c r="RI4385" s="106"/>
      <c r="RJ4385" s="106"/>
      <c r="RK4385" s="106"/>
      <c r="RL4385" s="106"/>
    </row>
    <row r="4386" spans="462:480" x14ac:dyDescent="0.3">
      <c r="QT4386" s="106"/>
      <c r="QU4386" s="106"/>
      <c r="QV4386" s="106"/>
      <c r="QW4386" s="106"/>
      <c r="QX4386" s="106"/>
      <c r="QY4386" s="106"/>
      <c r="QZ4386" s="106"/>
      <c r="RA4386" s="106"/>
      <c r="RB4386" s="106"/>
      <c r="RC4386" s="106"/>
      <c r="RD4386" s="106"/>
      <c r="RE4386" s="106"/>
      <c r="RF4386" s="106"/>
      <c r="RG4386" s="106"/>
      <c r="RH4386" s="106"/>
      <c r="RI4386" s="106"/>
      <c r="RJ4386" s="106"/>
      <c r="RK4386" s="106"/>
      <c r="RL4386" s="106"/>
    </row>
    <row r="4387" spans="462:480" x14ac:dyDescent="0.3">
      <c r="QT4387" s="106"/>
      <c r="QU4387" s="106"/>
      <c r="QV4387" s="106"/>
      <c r="QW4387" s="106"/>
      <c r="QX4387" s="106"/>
      <c r="QY4387" s="106"/>
      <c r="QZ4387" s="106"/>
      <c r="RA4387" s="106"/>
      <c r="RB4387" s="106"/>
      <c r="RC4387" s="106"/>
      <c r="RD4387" s="106"/>
      <c r="RE4387" s="106"/>
      <c r="RF4387" s="106"/>
      <c r="RG4387" s="106"/>
      <c r="RH4387" s="106"/>
      <c r="RI4387" s="106"/>
      <c r="RJ4387" s="106"/>
      <c r="RK4387" s="106"/>
      <c r="RL4387" s="106"/>
    </row>
    <row r="4388" spans="462:480" x14ac:dyDescent="0.3">
      <c r="QT4388" s="106"/>
      <c r="QU4388" s="106"/>
      <c r="QV4388" s="106"/>
      <c r="QW4388" s="106"/>
      <c r="QX4388" s="106"/>
      <c r="QY4388" s="106"/>
      <c r="QZ4388" s="106"/>
      <c r="RA4388" s="106"/>
      <c r="RB4388" s="106"/>
      <c r="RC4388" s="106"/>
      <c r="RD4388" s="106"/>
      <c r="RE4388" s="106"/>
      <c r="RF4388" s="106"/>
      <c r="RG4388" s="106"/>
      <c r="RH4388" s="106"/>
      <c r="RI4388" s="106"/>
      <c r="RJ4388" s="106"/>
      <c r="RK4388" s="106"/>
      <c r="RL4388" s="106"/>
    </row>
    <row r="4389" spans="462:480" x14ac:dyDescent="0.3">
      <c r="QT4389" s="106"/>
      <c r="QU4389" s="106"/>
      <c r="QV4389" s="106"/>
      <c r="QW4389" s="106"/>
      <c r="QX4389" s="106"/>
      <c r="QY4389" s="106"/>
      <c r="QZ4389" s="106"/>
      <c r="RA4389" s="106"/>
      <c r="RB4389" s="106"/>
      <c r="RC4389" s="106"/>
      <c r="RD4389" s="106"/>
      <c r="RE4389" s="106"/>
      <c r="RF4389" s="106"/>
      <c r="RG4389" s="106"/>
      <c r="RH4389" s="106"/>
      <c r="RI4389" s="106"/>
      <c r="RJ4389" s="106"/>
      <c r="RK4389" s="106"/>
      <c r="RL4389" s="106"/>
    </row>
    <row r="4390" spans="462:480" x14ac:dyDescent="0.3">
      <c r="QT4390" s="106"/>
      <c r="QU4390" s="106"/>
      <c r="QV4390" s="106"/>
      <c r="QW4390" s="106"/>
      <c r="QX4390" s="106"/>
      <c r="QY4390" s="106"/>
      <c r="QZ4390" s="106"/>
      <c r="RA4390" s="106"/>
      <c r="RB4390" s="106"/>
      <c r="RC4390" s="106"/>
      <c r="RD4390" s="106"/>
      <c r="RE4390" s="106"/>
      <c r="RF4390" s="106"/>
      <c r="RG4390" s="106"/>
      <c r="RH4390" s="106"/>
      <c r="RI4390" s="106"/>
      <c r="RJ4390" s="106"/>
      <c r="RK4390" s="106"/>
      <c r="RL4390" s="106"/>
    </row>
    <row r="4391" spans="462:480" x14ac:dyDescent="0.3">
      <c r="QT4391" s="106"/>
      <c r="QU4391" s="106"/>
      <c r="QV4391" s="106"/>
      <c r="QW4391" s="106"/>
      <c r="QX4391" s="106"/>
      <c r="QY4391" s="106"/>
      <c r="QZ4391" s="106"/>
      <c r="RA4391" s="106"/>
      <c r="RB4391" s="106"/>
      <c r="RC4391" s="106"/>
      <c r="RD4391" s="106"/>
      <c r="RE4391" s="106"/>
      <c r="RF4391" s="106"/>
      <c r="RG4391" s="106"/>
      <c r="RH4391" s="106"/>
      <c r="RI4391" s="106"/>
      <c r="RJ4391" s="106"/>
      <c r="RK4391" s="106"/>
      <c r="RL4391" s="106"/>
    </row>
    <row r="4392" spans="462:480" x14ac:dyDescent="0.3">
      <c r="QT4392" s="106"/>
      <c r="QU4392" s="106"/>
      <c r="QV4392" s="106"/>
      <c r="QW4392" s="106"/>
      <c r="QX4392" s="106"/>
      <c r="QY4392" s="106"/>
      <c r="QZ4392" s="106"/>
      <c r="RA4392" s="106"/>
      <c r="RB4392" s="106"/>
      <c r="RC4392" s="106"/>
      <c r="RD4392" s="106"/>
      <c r="RE4392" s="106"/>
      <c r="RF4392" s="106"/>
      <c r="RG4392" s="106"/>
      <c r="RH4392" s="106"/>
      <c r="RI4392" s="106"/>
      <c r="RJ4392" s="106"/>
      <c r="RK4392" s="106"/>
      <c r="RL4392" s="106"/>
    </row>
    <row r="4393" spans="462:480" x14ac:dyDescent="0.3">
      <c r="QT4393" s="106"/>
      <c r="QU4393" s="106"/>
      <c r="QV4393" s="106"/>
      <c r="QW4393" s="106"/>
      <c r="QX4393" s="106"/>
      <c r="QY4393" s="106"/>
      <c r="QZ4393" s="106"/>
      <c r="RA4393" s="106"/>
      <c r="RB4393" s="106"/>
      <c r="RC4393" s="106"/>
      <c r="RD4393" s="106"/>
      <c r="RE4393" s="106"/>
      <c r="RF4393" s="106"/>
      <c r="RG4393" s="106"/>
      <c r="RH4393" s="106"/>
      <c r="RI4393" s="106"/>
      <c r="RJ4393" s="106"/>
      <c r="RK4393" s="106"/>
      <c r="RL4393" s="106"/>
    </row>
    <row r="4394" spans="462:480" x14ac:dyDescent="0.3">
      <c r="QT4394" s="106"/>
      <c r="QU4394" s="106"/>
      <c r="QV4394" s="106"/>
      <c r="QW4394" s="106"/>
      <c r="QX4394" s="106"/>
      <c r="QY4394" s="106"/>
      <c r="QZ4394" s="106"/>
      <c r="RA4394" s="106"/>
      <c r="RB4394" s="106"/>
      <c r="RC4394" s="106"/>
      <c r="RD4394" s="106"/>
      <c r="RE4394" s="106"/>
      <c r="RF4394" s="106"/>
      <c r="RG4394" s="106"/>
      <c r="RH4394" s="106"/>
      <c r="RI4394" s="106"/>
      <c r="RJ4394" s="106"/>
      <c r="RK4394" s="106"/>
      <c r="RL4394" s="106"/>
    </row>
    <row r="4395" spans="462:480" x14ac:dyDescent="0.3">
      <c r="QT4395" s="106"/>
      <c r="QU4395" s="106"/>
      <c r="QV4395" s="106"/>
      <c r="QW4395" s="106"/>
      <c r="QX4395" s="106"/>
      <c r="QY4395" s="106"/>
      <c r="QZ4395" s="106"/>
      <c r="RA4395" s="106"/>
      <c r="RB4395" s="106"/>
      <c r="RC4395" s="106"/>
      <c r="RD4395" s="106"/>
      <c r="RE4395" s="106"/>
      <c r="RF4395" s="106"/>
      <c r="RG4395" s="106"/>
      <c r="RH4395" s="106"/>
      <c r="RI4395" s="106"/>
      <c r="RJ4395" s="106"/>
      <c r="RK4395" s="106"/>
      <c r="RL4395" s="106"/>
    </row>
    <row r="4396" spans="462:480" x14ac:dyDescent="0.3">
      <c r="QT4396" s="106"/>
      <c r="QU4396" s="106"/>
      <c r="QV4396" s="106"/>
      <c r="QW4396" s="106"/>
      <c r="QX4396" s="106"/>
      <c r="QY4396" s="106"/>
      <c r="QZ4396" s="106"/>
      <c r="RA4396" s="106"/>
      <c r="RB4396" s="106"/>
      <c r="RC4396" s="106"/>
      <c r="RD4396" s="106"/>
      <c r="RE4396" s="106"/>
      <c r="RF4396" s="106"/>
      <c r="RG4396" s="106"/>
      <c r="RH4396" s="106"/>
      <c r="RI4396" s="106"/>
      <c r="RJ4396" s="106"/>
      <c r="RK4396" s="106"/>
      <c r="RL4396" s="106"/>
    </row>
    <row r="4397" spans="462:480" x14ac:dyDescent="0.3">
      <c r="QT4397" s="106"/>
      <c r="QU4397" s="106"/>
      <c r="QV4397" s="106"/>
      <c r="QW4397" s="106"/>
      <c r="QX4397" s="106"/>
      <c r="QY4397" s="106"/>
      <c r="QZ4397" s="106"/>
      <c r="RA4397" s="106"/>
      <c r="RB4397" s="106"/>
      <c r="RC4397" s="106"/>
      <c r="RD4397" s="106"/>
      <c r="RE4397" s="106"/>
      <c r="RF4397" s="106"/>
      <c r="RG4397" s="106"/>
      <c r="RH4397" s="106"/>
      <c r="RI4397" s="106"/>
      <c r="RJ4397" s="106"/>
      <c r="RK4397" s="106"/>
      <c r="RL4397" s="106"/>
    </row>
    <row r="4398" spans="462:480" x14ac:dyDescent="0.3">
      <c r="QT4398" s="106"/>
      <c r="QU4398" s="106"/>
      <c r="QV4398" s="106"/>
      <c r="QW4398" s="106"/>
      <c r="QX4398" s="106"/>
      <c r="QY4398" s="106"/>
      <c r="QZ4398" s="106"/>
      <c r="RA4398" s="106"/>
      <c r="RB4398" s="106"/>
      <c r="RC4398" s="106"/>
      <c r="RD4398" s="106"/>
      <c r="RE4398" s="106"/>
      <c r="RF4398" s="106"/>
      <c r="RG4398" s="106"/>
      <c r="RH4398" s="106"/>
      <c r="RI4398" s="106"/>
      <c r="RJ4398" s="106"/>
      <c r="RK4398" s="106"/>
      <c r="RL4398" s="106"/>
    </row>
    <row r="4399" spans="462:480" x14ac:dyDescent="0.3">
      <c r="QT4399" s="106"/>
      <c r="QU4399" s="106"/>
      <c r="QV4399" s="106"/>
      <c r="QW4399" s="106"/>
      <c r="QX4399" s="106"/>
      <c r="QY4399" s="106"/>
      <c r="QZ4399" s="106"/>
      <c r="RA4399" s="106"/>
      <c r="RB4399" s="106"/>
      <c r="RC4399" s="106"/>
      <c r="RD4399" s="106"/>
      <c r="RE4399" s="106"/>
      <c r="RF4399" s="106"/>
      <c r="RG4399" s="106"/>
      <c r="RH4399" s="106"/>
      <c r="RI4399" s="106"/>
      <c r="RJ4399" s="106"/>
      <c r="RK4399" s="106"/>
      <c r="RL4399" s="106"/>
    </row>
    <row r="4400" spans="462:480" x14ac:dyDescent="0.3">
      <c r="QT4400" s="106"/>
      <c r="QU4400" s="106"/>
      <c r="QV4400" s="106"/>
      <c r="QW4400" s="106"/>
      <c r="QX4400" s="106"/>
      <c r="QY4400" s="106"/>
      <c r="QZ4400" s="106"/>
      <c r="RA4400" s="106"/>
      <c r="RB4400" s="106"/>
      <c r="RC4400" s="106"/>
      <c r="RD4400" s="106"/>
      <c r="RE4400" s="106"/>
      <c r="RF4400" s="106"/>
      <c r="RG4400" s="106"/>
      <c r="RH4400" s="106"/>
      <c r="RI4400" s="106"/>
      <c r="RJ4400" s="106"/>
      <c r="RK4400" s="106"/>
      <c r="RL4400" s="106"/>
    </row>
    <row r="4401" spans="462:480" x14ac:dyDescent="0.3">
      <c r="QT4401" s="106"/>
      <c r="QU4401" s="106"/>
      <c r="QV4401" s="106"/>
      <c r="QW4401" s="106"/>
      <c r="QX4401" s="106"/>
      <c r="QY4401" s="106"/>
      <c r="QZ4401" s="106"/>
      <c r="RA4401" s="106"/>
      <c r="RB4401" s="106"/>
      <c r="RC4401" s="106"/>
      <c r="RD4401" s="106"/>
      <c r="RE4401" s="106"/>
      <c r="RF4401" s="106"/>
      <c r="RG4401" s="106"/>
      <c r="RH4401" s="106"/>
      <c r="RI4401" s="106"/>
      <c r="RJ4401" s="106"/>
      <c r="RK4401" s="106"/>
      <c r="RL4401" s="106"/>
    </row>
    <row r="4402" spans="462:480" x14ac:dyDescent="0.3">
      <c r="QT4402" s="106"/>
      <c r="QU4402" s="106"/>
      <c r="QV4402" s="106"/>
      <c r="QW4402" s="106"/>
      <c r="QX4402" s="106"/>
      <c r="QY4402" s="106"/>
      <c r="QZ4402" s="106"/>
      <c r="RA4402" s="106"/>
      <c r="RB4402" s="106"/>
      <c r="RC4402" s="106"/>
      <c r="RD4402" s="106"/>
      <c r="RE4402" s="106"/>
      <c r="RF4402" s="106"/>
      <c r="RG4402" s="106"/>
      <c r="RH4402" s="106"/>
      <c r="RI4402" s="106"/>
      <c r="RJ4402" s="106"/>
      <c r="RK4402" s="106"/>
      <c r="RL4402" s="106"/>
    </row>
    <row r="4403" spans="462:480" x14ac:dyDescent="0.3">
      <c r="QT4403" s="106"/>
      <c r="QU4403" s="106"/>
      <c r="QV4403" s="106"/>
      <c r="QW4403" s="106"/>
      <c r="QX4403" s="106"/>
      <c r="QY4403" s="106"/>
      <c r="QZ4403" s="106"/>
      <c r="RA4403" s="106"/>
      <c r="RB4403" s="106"/>
      <c r="RC4403" s="106"/>
      <c r="RD4403" s="106"/>
      <c r="RE4403" s="106"/>
      <c r="RF4403" s="106"/>
      <c r="RG4403" s="106"/>
      <c r="RH4403" s="106"/>
      <c r="RI4403" s="106"/>
      <c r="RJ4403" s="106"/>
      <c r="RK4403" s="106"/>
      <c r="RL4403" s="106"/>
    </row>
    <row r="4404" spans="462:480" x14ac:dyDescent="0.3">
      <c r="QT4404" s="106"/>
      <c r="QU4404" s="106"/>
      <c r="QV4404" s="106"/>
      <c r="QW4404" s="106"/>
      <c r="QX4404" s="106"/>
      <c r="QY4404" s="106"/>
      <c r="QZ4404" s="106"/>
      <c r="RA4404" s="106"/>
      <c r="RB4404" s="106"/>
      <c r="RC4404" s="106"/>
      <c r="RD4404" s="106"/>
      <c r="RE4404" s="106"/>
      <c r="RF4404" s="106"/>
      <c r="RG4404" s="106"/>
      <c r="RH4404" s="106"/>
      <c r="RI4404" s="106"/>
      <c r="RJ4404" s="106"/>
      <c r="RK4404" s="106"/>
      <c r="RL4404" s="106"/>
    </row>
    <row r="4405" spans="462:480" x14ac:dyDescent="0.3">
      <c r="QT4405" s="106"/>
      <c r="QU4405" s="106"/>
      <c r="QV4405" s="106"/>
      <c r="QW4405" s="106"/>
      <c r="QX4405" s="106"/>
      <c r="QY4405" s="106"/>
      <c r="QZ4405" s="106"/>
      <c r="RA4405" s="106"/>
      <c r="RB4405" s="106"/>
      <c r="RC4405" s="106"/>
      <c r="RD4405" s="106"/>
      <c r="RE4405" s="106"/>
      <c r="RF4405" s="106"/>
      <c r="RG4405" s="106"/>
      <c r="RH4405" s="106"/>
      <c r="RI4405" s="106"/>
      <c r="RJ4405" s="106"/>
      <c r="RK4405" s="106"/>
      <c r="RL4405" s="106"/>
    </row>
    <row r="4406" spans="462:480" x14ac:dyDescent="0.3">
      <c r="QT4406" s="106"/>
      <c r="QU4406" s="106"/>
      <c r="QV4406" s="106"/>
      <c r="QW4406" s="106"/>
      <c r="QX4406" s="106"/>
      <c r="QY4406" s="106"/>
      <c r="QZ4406" s="106"/>
      <c r="RA4406" s="106"/>
      <c r="RB4406" s="106"/>
      <c r="RC4406" s="106"/>
      <c r="RD4406" s="106"/>
      <c r="RE4406" s="106"/>
      <c r="RF4406" s="106"/>
      <c r="RG4406" s="106"/>
      <c r="RH4406" s="106"/>
      <c r="RI4406" s="106"/>
      <c r="RJ4406" s="106"/>
      <c r="RK4406" s="106"/>
      <c r="RL4406" s="106"/>
    </row>
    <row r="4407" spans="462:480" x14ac:dyDescent="0.3">
      <c r="QT4407" s="106"/>
      <c r="QU4407" s="106"/>
      <c r="QV4407" s="106"/>
      <c r="QW4407" s="106"/>
      <c r="QX4407" s="106"/>
      <c r="QY4407" s="106"/>
      <c r="QZ4407" s="106"/>
      <c r="RA4407" s="106"/>
      <c r="RB4407" s="106"/>
      <c r="RC4407" s="106"/>
      <c r="RD4407" s="106"/>
      <c r="RE4407" s="106"/>
      <c r="RF4407" s="106"/>
      <c r="RG4407" s="106"/>
      <c r="RH4407" s="106"/>
      <c r="RI4407" s="106"/>
      <c r="RJ4407" s="106"/>
      <c r="RK4407" s="106"/>
      <c r="RL4407" s="106"/>
    </row>
    <row r="4408" spans="462:480" x14ac:dyDescent="0.3">
      <c r="QT4408" s="106"/>
      <c r="QU4408" s="106"/>
      <c r="QV4408" s="106"/>
      <c r="QW4408" s="106"/>
      <c r="QX4408" s="106"/>
      <c r="QY4408" s="106"/>
      <c r="QZ4408" s="106"/>
      <c r="RA4408" s="106"/>
      <c r="RB4408" s="106"/>
      <c r="RC4408" s="106"/>
      <c r="RD4408" s="106"/>
      <c r="RE4408" s="106"/>
      <c r="RF4408" s="106"/>
      <c r="RG4408" s="106"/>
      <c r="RH4408" s="106"/>
      <c r="RI4408" s="106"/>
      <c r="RJ4408" s="106"/>
      <c r="RK4408" s="106"/>
      <c r="RL4408" s="106"/>
    </row>
    <row r="4409" spans="462:480" x14ac:dyDescent="0.3">
      <c r="QT4409" s="106"/>
      <c r="QU4409" s="106"/>
      <c r="QV4409" s="106"/>
      <c r="QW4409" s="106"/>
      <c r="QX4409" s="106"/>
      <c r="QY4409" s="106"/>
      <c r="QZ4409" s="106"/>
      <c r="RA4409" s="106"/>
      <c r="RB4409" s="106"/>
      <c r="RC4409" s="106"/>
      <c r="RD4409" s="106"/>
      <c r="RE4409" s="106"/>
      <c r="RF4409" s="106"/>
      <c r="RG4409" s="106"/>
      <c r="RH4409" s="106"/>
      <c r="RI4409" s="106"/>
      <c r="RJ4409" s="106"/>
      <c r="RK4409" s="106"/>
      <c r="RL4409" s="106"/>
    </row>
    <row r="4410" spans="462:480" x14ac:dyDescent="0.3">
      <c r="QT4410" s="106"/>
      <c r="QU4410" s="106"/>
      <c r="QV4410" s="106"/>
      <c r="QW4410" s="106"/>
      <c r="QX4410" s="106"/>
      <c r="QY4410" s="106"/>
      <c r="QZ4410" s="106"/>
      <c r="RA4410" s="106"/>
      <c r="RB4410" s="106"/>
      <c r="RC4410" s="106"/>
      <c r="RD4410" s="106"/>
      <c r="RE4410" s="106"/>
      <c r="RF4410" s="106"/>
      <c r="RG4410" s="106"/>
      <c r="RH4410" s="106"/>
      <c r="RI4410" s="106"/>
      <c r="RJ4410" s="106"/>
      <c r="RK4410" s="106"/>
      <c r="RL4410" s="106"/>
    </row>
    <row r="4411" spans="462:480" x14ac:dyDescent="0.3">
      <c r="QT4411" s="106"/>
      <c r="QU4411" s="106"/>
      <c r="QV4411" s="106"/>
      <c r="QW4411" s="106"/>
      <c r="QX4411" s="106"/>
      <c r="QY4411" s="106"/>
      <c r="QZ4411" s="106"/>
      <c r="RA4411" s="106"/>
      <c r="RB4411" s="106"/>
      <c r="RC4411" s="106"/>
      <c r="RD4411" s="106"/>
      <c r="RE4411" s="106"/>
      <c r="RF4411" s="106"/>
      <c r="RG4411" s="106"/>
      <c r="RH4411" s="106"/>
      <c r="RI4411" s="106"/>
      <c r="RJ4411" s="106"/>
      <c r="RK4411" s="106"/>
      <c r="RL4411" s="106"/>
    </row>
    <row r="4412" spans="462:480" x14ac:dyDescent="0.3">
      <c r="QT4412" s="106"/>
      <c r="QU4412" s="106"/>
      <c r="QV4412" s="106"/>
      <c r="QW4412" s="106"/>
      <c r="QX4412" s="106"/>
      <c r="QY4412" s="106"/>
      <c r="QZ4412" s="106"/>
      <c r="RA4412" s="106"/>
      <c r="RB4412" s="106"/>
      <c r="RC4412" s="106"/>
      <c r="RD4412" s="106"/>
      <c r="RE4412" s="106"/>
      <c r="RF4412" s="106"/>
      <c r="RG4412" s="106"/>
      <c r="RH4412" s="106"/>
      <c r="RI4412" s="106"/>
      <c r="RJ4412" s="106"/>
      <c r="RK4412" s="106"/>
      <c r="RL4412" s="106"/>
    </row>
    <row r="4413" spans="462:480" x14ac:dyDescent="0.3">
      <c r="QT4413" s="106"/>
      <c r="QU4413" s="106"/>
      <c r="QV4413" s="106"/>
      <c r="QW4413" s="106"/>
      <c r="QX4413" s="106"/>
      <c r="QY4413" s="106"/>
      <c r="QZ4413" s="106"/>
      <c r="RA4413" s="106"/>
      <c r="RB4413" s="106"/>
      <c r="RC4413" s="106"/>
      <c r="RD4413" s="106"/>
      <c r="RE4413" s="106"/>
      <c r="RF4413" s="106"/>
      <c r="RG4413" s="106"/>
      <c r="RH4413" s="106"/>
      <c r="RI4413" s="106"/>
      <c r="RJ4413" s="106"/>
      <c r="RK4413" s="106"/>
      <c r="RL4413" s="106"/>
    </row>
    <row r="4414" spans="462:480" x14ac:dyDescent="0.3">
      <c r="QT4414" s="106"/>
      <c r="QU4414" s="106"/>
      <c r="QV4414" s="106"/>
      <c r="QW4414" s="106"/>
      <c r="QX4414" s="106"/>
      <c r="QY4414" s="106"/>
      <c r="QZ4414" s="106"/>
      <c r="RA4414" s="106"/>
      <c r="RB4414" s="106"/>
      <c r="RC4414" s="106"/>
      <c r="RD4414" s="106"/>
      <c r="RE4414" s="106"/>
      <c r="RF4414" s="106"/>
      <c r="RG4414" s="106"/>
      <c r="RH4414" s="106"/>
      <c r="RI4414" s="106"/>
      <c r="RJ4414" s="106"/>
      <c r="RK4414" s="106"/>
      <c r="RL4414" s="106"/>
    </row>
    <row r="4415" spans="462:480" x14ac:dyDescent="0.3">
      <c r="QT4415" s="106"/>
      <c r="QU4415" s="106"/>
      <c r="QV4415" s="106"/>
      <c r="QW4415" s="106"/>
      <c r="QX4415" s="106"/>
      <c r="QY4415" s="106"/>
      <c r="QZ4415" s="106"/>
      <c r="RA4415" s="106"/>
      <c r="RB4415" s="106"/>
      <c r="RC4415" s="106"/>
      <c r="RD4415" s="106"/>
      <c r="RE4415" s="106"/>
      <c r="RF4415" s="106"/>
      <c r="RG4415" s="106"/>
      <c r="RH4415" s="106"/>
      <c r="RI4415" s="106"/>
      <c r="RJ4415" s="106"/>
      <c r="RK4415" s="106"/>
      <c r="RL4415" s="106"/>
    </row>
    <row r="4416" spans="462:480" x14ac:dyDescent="0.3">
      <c r="QT4416" s="106"/>
      <c r="QU4416" s="106"/>
      <c r="QV4416" s="106"/>
      <c r="QW4416" s="106"/>
      <c r="QX4416" s="106"/>
      <c r="QY4416" s="106"/>
      <c r="QZ4416" s="106"/>
      <c r="RA4416" s="106"/>
      <c r="RB4416" s="106"/>
      <c r="RC4416" s="106"/>
      <c r="RD4416" s="106"/>
      <c r="RE4416" s="106"/>
      <c r="RF4416" s="106"/>
      <c r="RG4416" s="106"/>
      <c r="RH4416" s="106"/>
      <c r="RI4416" s="106"/>
      <c r="RJ4416" s="106"/>
      <c r="RK4416" s="106"/>
      <c r="RL4416" s="106"/>
    </row>
    <row r="4417" spans="462:480" x14ac:dyDescent="0.3">
      <c r="QT4417" s="106"/>
      <c r="QU4417" s="106"/>
      <c r="QV4417" s="106"/>
      <c r="QW4417" s="106"/>
      <c r="QX4417" s="106"/>
      <c r="QY4417" s="106"/>
      <c r="QZ4417" s="106"/>
      <c r="RA4417" s="106"/>
      <c r="RB4417" s="106"/>
      <c r="RC4417" s="106"/>
      <c r="RD4417" s="106"/>
      <c r="RE4417" s="106"/>
      <c r="RF4417" s="106"/>
      <c r="RG4417" s="106"/>
      <c r="RH4417" s="106"/>
      <c r="RI4417" s="106"/>
      <c r="RJ4417" s="106"/>
      <c r="RK4417" s="106"/>
      <c r="RL4417" s="106"/>
    </row>
    <row r="4418" spans="462:480" x14ac:dyDescent="0.3">
      <c r="QT4418" s="106"/>
      <c r="QU4418" s="106"/>
      <c r="QV4418" s="106"/>
      <c r="QW4418" s="106"/>
      <c r="QX4418" s="106"/>
      <c r="QY4418" s="106"/>
      <c r="QZ4418" s="106"/>
      <c r="RA4418" s="106"/>
      <c r="RB4418" s="106"/>
      <c r="RC4418" s="106"/>
      <c r="RD4418" s="106"/>
      <c r="RE4418" s="106"/>
      <c r="RF4418" s="106"/>
      <c r="RG4418" s="106"/>
      <c r="RH4418" s="106"/>
      <c r="RI4418" s="106"/>
      <c r="RJ4418" s="106"/>
      <c r="RK4418" s="106"/>
      <c r="RL4418" s="106"/>
    </row>
    <row r="4419" spans="462:480" x14ac:dyDescent="0.3">
      <c r="QT4419" s="106"/>
      <c r="QU4419" s="106"/>
      <c r="QV4419" s="106"/>
      <c r="QW4419" s="106"/>
      <c r="QX4419" s="106"/>
      <c r="QY4419" s="106"/>
      <c r="QZ4419" s="106"/>
      <c r="RA4419" s="106"/>
      <c r="RB4419" s="106"/>
      <c r="RC4419" s="106"/>
      <c r="RD4419" s="106"/>
      <c r="RE4419" s="106"/>
      <c r="RF4419" s="106"/>
      <c r="RG4419" s="106"/>
      <c r="RH4419" s="106"/>
      <c r="RI4419" s="106"/>
      <c r="RJ4419" s="106"/>
      <c r="RK4419" s="106"/>
      <c r="RL4419" s="106"/>
    </row>
    <row r="4420" spans="462:480" x14ac:dyDescent="0.3">
      <c r="QT4420" s="106"/>
      <c r="QU4420" s="106"/>
      <c r="QV4420" s="106"/>
      <c r="QW4420" s="106"/>
      <c r="QX4420" s="106"/>
      <c r="QY4420" s="106"/>
      <c r="QZ4420" s="106"/>
      <c r="RA4420" s="106"/>
      <c r="RB4420" s="106"/>
      <c r="RC4420" s="106"/>
      <c r="RD4420" s="106"/>
      <c r="RE4420" s="106"/>
      <c r="RF4420" s="106"/>
      <c r="RG4420" s="106"/>
      <c r="RH4420" s="106"/>
      <c r="RI4420" s="106"/>
      <c r="RJ4420" s="106"/>
      <c r="RK4420" s="106"/>
      <c r="RL4420" s="106"/>
    </row>
    <row r="4421" spans="462:480" x14ac:dyDescent="0.3">
      <c r="QT4421" s="106"/>
      <c r="QU4421" s="106"/>
      <c r="QV4421" s="106"/>
      <c r="QW4421" s="106"/>
      <c r="QX4421" s="106"/>
      <c r="QY4421" s="106"/>
      <c r="QZ4421" s="106"/>
      <c r="RA4421" s="106"/>
      <c r="RB4421" s="106"/>
      <c r="RC4421" s="106"/>
      <c r="RD4421" s="106"/>
      <c r="RE4421" s="106"/>
      <c r="RF4421" s="106"/>
      <c r="RG4421" s="106"/>
      <c r="RH4421" s="106"/>
      <c r="RI4421" s="106"/>
      <c r="RJ4421" s="106"/>
      <c r="RK4421" s="106"/>
      <c r="RL4421" s="106"/>
    </row>
    <row r="4422" spans="462:480" x14ac:dyDescent="0.3">
      <c r="QT4422" s="106"/>
      <c r="QU4422" s="106"/>
      <c r="QV4422" s="106"/>
      <c r="QW4422" s="106"/>
      <c r="QX4422" s="106"/>
      <c r="QY4422" s="106"/>
      <c r="QZ4422" s="106"/>
      <c r="RA4422" s="106"/>
      <c r="RB4422" s="106"/>
      <c r="RC4422" s="106"/>
      <c r="RD4422" s="106"/>
      <c r="RE4422" s="106"/>
      <c r="RF4422" s="106"/>
      <c r="RG4422" s="106"/>
      <c r="RH4422" s="106"/>
      <c r="RI4422" s="106"/>
      <c r="RJ4422" s="106"/>
      <c r="RK4422" s="106"/>
      <c r="RL4422" s="106"/>
    </row>
    <row r="4423" spans="462:480" x14ac:dyDescent="0.3">
      <c r="QT4423" s="106"/>
      <c r="QU4423" s="106"/>
      <c r="QV4423" s="106"/>
      <c r="QW4423" s="106"/>
      <c r="QX4423" s="106"/>
      <c r="QY4423" s="106"/>
      <c r="QZ4423" s="106"/>
      <c r="RA4423" s="106"/>
      <c r="RB4423" s="106"/>
      <c r="RC4423" s="106"/>
      <c r="RD4423" s="106"/>
      <c r="RE4423" s="106"/>
      <c r="RF4423" s="106"/>
      <c r="RG4423" s="106"/>
      <c r="RH4423" s="106"/>
      <c r="RI4423" s="106"/>
      <c r="RJ4423" s="106"/>
      <c r="RK4423" s="106"/>
      <c r="RL4423" s="106"/>
    </row>
    <row r="4424" spans="462:480" x14ac:dyDescent="0.3">
      <c r="QT4424" s="106"/>
      <c r="QU4424" s="106"/>
      <c r="QV4424" s="106"/>
      <c r="QW4424" s="106"/>
      <c r="QX4424" s="106"/>
      <c r="QY4424" s="106"/>
      <c r="QZ4424" s="106"/>
      <c r="RA4424" s="106"/>
      <c r="RB4424" s="106"/>
      <c r="RC4424" s="106"/>
      <c r="RD4424" s="106"/>
      <c r="RE4424" s="106"/>
      <c r="RF4424" s="106"/>
      <c r="RG4424" s="106"/>
      <c r="RH4424" s="106"/>
      <c r="RI4424" s="106"/>
      <c r="RJ4424" s="106"/>
      <c r="RK4424" s="106"/>
      <c r="RL4424" s="106"/>
    </row>
    <row r="4425" spans="462:480" x14ac:dyDescent="0.3">
      <c r="QT4425" s="106"/>
      <c r="QU4425" s="106"/>
      <c r="QV4425" s="106"/>
      <c r="QW4425" s="106"/>
      <c r="QX4425" s="106"/>
      <c r="QY4425" s="106"/>
      <c r="QZ4425" s="106"/>
      <c r="RA4425" s="106"/>
      <c r="RB4425" s="106"/>
      <c r="RC4425" s="106"/>
      <c r="RD4425" s="106"/>
      <c r="RE4425" s="106"/>
      <c r="RF4425" s="106"/>
      <c r="RG4425" s="106"/>
      <c r="RH4425" s="106"/>
      <c r="RI4425" s="106"/>
      <c r="RJ4425" s="106"/>
      <c r="RK4425" s="106"/>
      <c r="RL4425" s="106"/>
    </row>
    <row r="4426" spans="462:480" x14ac:dyDescent="0.3">
      <c r="QT4426" s="106"/>
      <c r="QU4426" s="106"/>
      <c r="QV4426" s="106"/>
      <c r="QW4426" s="106"/>
      <c r="QX4426" s="106"/>
      <c r="QY4426" s="106"/>
      <c r="QZ4426" s="106"/>
      <c r="RA4426" s="106"/>
      <c r="RB4426" s="106"/>
      <c r="RC4426" s="106"/>
      <c r="RD4426" s="106"/>
      <c r="RE4426" s="106"/>
      <c r="RF4426" s="106"/>
      <c r="RG4426" s="106"/>
      <c r="RH4426" s="106"/>
      <c r="RI4426" s="106"/>
      <c r="RJ4426" s="106"/>
      <c r="RK4426" s="106"/>
      <c r="RL4426" s="106"/>
    </row>
    <row r="4427" spans="462:480" x14ac:dyDescent="0.3">
      <c r="QT4427" s="106"/>
      <c r="QU4427" s="106"/>
      <c r="QV4427" s="106"/>
      <c r="QW4427" s="106"/>
      <c r="QX4427" s="106"/>
      <c r="QY4427" s="106"/>
      <c r="QZ4427" s="106"/>
      <c r="RA4427" s="106"/>
      <c r="RB4427" s="106"/>
      <c r="RC4427" s="106"/>
      <c r="RD4427" s="106"/>
      <c r="RE4427" s="106"/>
      <c r="RF4427" s="106"/>
      <c r="RG4427" s="106"/>
      <c r="RH4427" s="106"/>
      <c r="RI4427" s="106"/>
      <c r="RJ4427" s="106"/>
      <c r="RK4427" s="106"/>
      <c r="RL4427" s="106"/>
    </row>
    <row r="4428" spans="462:480" x14ac:dyDescent="0.3">
      <c r="QT4428" s="106"/>
      <c r="QU4428" s="106"/>
      <c r="QV4428" s="106"/>
      <c r="QW4428" s="106"/>
      <c r="QX4428" s="106"/>
      <c r="QY4428" s="106"/>
      <c r="QZ4428" s="106"/>
      <c r="RA4428" s="106"/>
      <c r="RB4428" s="106"/>
      <c r="RC4428" s="106"/>
      <c r="RD4428" s="106"/>
      <c r="RE4428" s="106"/>
      <c r="RF4428" s="106"/>
      <c r="RG4428" s="106"/>
      <c r="RH4428" s="106"/>
      <c r="RI4428" s="106"/>
      <c r="RJ4428" s="106"/>
      <c r="RK4428" s="106"/>
      <c r="RL4428" s="106"/>
    </row>
    <row r="4429" spans="462:480" x14ac:dyDescent="0.3">
      <c r="QT4429" s="106"/>
      <c r="QU4429" s="106"/>
      <c r="QV4429" s="106"/>
      <c r="QW4429" s="106"/>
      <c r="QX4429" s="106"/>
      <c r="QY4429" s="106"/>
      <c r="QZ4429" s="106"/>
      <c r="RA4429" s="106"/>
      <c r="RB4429" s="106"/>
      <c r="RC4429" s="106"/>
      <c r="RD4429" s="106"/>
      <c r="RE4429" s="106"/>
      <c r="RF4429" s="106"/>
      <c r="RG4429" s="106"/>
      <c r="RH4429" s="106"/>
      <c r="RI4429" s="106"/>
      <c r="RJ4429" s="106"/>
      <c r="RK4429" s="106"/>
      <c r="RL4429" s="106"/>
    </row>
    <row r="4430" spans="462:480" x14ac:dyDescent="0.3">
      <c r="QT4430" s="106"/>
      <c r="QU4430" s="106"/>
      <c r="QV4430" s="106"/>
      <c r="QW4430" s="106"/>
      <c r="QX4430" s="106"/>
      <c r="QY4430" s="106"/>
      <c r="QZ4430" s="106"/>
      <c r="RA4430" s="106"/>
      <c r="RB4430" s="106"/>
      <c r="RC4430" s="106"/>
      <c r="RD4430" s="106"/>
      <c r="RE4430" s="106"/>
      <c r="RF4430" s="106"/>
      <c r="RG4430" s="106"/>
      <c r="RH4430" s="106"/>
      <c r="RI4430" s="106"/>
      <c r="RJ4430" s="106"/>
      <c r="RK4430" s="106"/>
      <c r="RL4430" s="106"/>
    </row>
    <row r="4431" spans="462:480" x14ac:dyDescent="0.3">
      <c r="QT4431" s="106"/>
      <c r="QU4431" s="106"/>
      <c r="QV4431" s="106"/>
      <c r="QW4431" s="106"/>
      <c r="QX4431" s="106"/>
      <c r="QY4431" s="106"/>
      <c r="QZ4431" s="106"/>
      <c r="RA4431" s="106"/>
      <c r="RB4431" s="106"/>
      <c r="RC4431" s="106"/>
      <c r="RD4431" s="106"/>
      <c r="RE4431" s="106"/>
      <c r="RF4431" s="106"/>
      <c r="RG4431" s="106"/>
      <c r="RH4431" s="106"/>
      <c r="RI4431" s="106"/>
      <c r="RJ4431" s="106"/>
      <c r="RK4431" s="106"/>
      <c r="RL4431" s="106"/>
    </row>
    <row r="4432" spans="462:480" x14ac:dyDescent="0.3">
      <c r="QT4432" s="106"/>
      <c r="QU4432" s="106"/>
      <c r="QV4432" s="106"/>
      <c r="QW4432" s="106"/>
      <c r="QX4432" s="106"/>
      <c r="QY4432" s="106"/>
      <c r="QZ4432" s="106"/>
      <c r="RA4432" s="106"/>
      <c r="RB4432" s="106"/>
      <c r="RC4432" s="106"/>
      <c r="RD4432" s="106"/>
      <c r="RE4432" s="106"/>
      <c r="RF4432" s="106"/>
      <c r="RG4432" s="106"/>
      <c r="RH4432" s="106"/>
      <c r="RI4432" s="106"/>
      <c r="RJ4432" s="106"/>
      <c r="RK4432" s="106"/>
      <c r="RL4432" s="106"/>
    </row>
    <row r="4433" spans="462:480" x14ac:dyDescent="0.3">
      <c r="QT4433" s="106"/>
      <c r="QU4433" s="106"/>
      <c r="QV4433" s="106"/>
      <c r="QW4433" s="106"/>
      <c r="QX4433" s="106"/>
      <c r="QY4433" s="106"/>
      <c r="QZ4433" s="106"/>
      <c r="RA4433" s="106"/>
      <c r="RB4433" s="106"/>
      <c r="RC4433" s="106"/>
      <c r="RD4433" s="106"/>
      <c r="RE4433" s="106"/>
      <c r="RF4433" s="106"/>
      <c r="RG4433" s="106"/>
      <c r="RH4433" s="106"/>
      <c r="RI4433" s="106"/>
      <c r="RJ4433" s="106"/>
      <c r="RK4433" s="106"/>
      <c r="RL4433" s="106"/>
    </row>
    <row r="4434" spans="462:480" x14ac:dyDescent="0.3">
      <c r="QT4434" s="106"/>
      <c r="QU4434" s="106"/>
      <c r="QV4434" s="106"/>
      <c r="QW4434" s="106"/>
      <c r="QX4434" s="106"/>
      <c r="QY4434" s="106"/>
      <c r="QZ4434" s="106"/>
      <c r="RA4434" s="106"/>
      <c r="RB4434" s="106"/>
      <c r="RC4434" s="106"/>
      <c r="RD4434" s="106"/>
      <c r="RE4434" s="106"/>
      <c r="RF4434" s="106"/>
      <c r="RG4434" s="106"/>
      <c r="RH4434" s="106"/>
      <c r="RI4434" s="106"/>
      <c r="RJ4434" s="106"/>
      <c r="RK4434" s="106"/>
      <c r="RL4434" s="106"/>
    </row>
    <row r="4435" spans="462:480" x14ac:dyDescent="0.3">
      <c r="QT4435" s="106"/>
      <c r="QU4435" s="106"/>
      <c r="QV4435" s="106"/>
      <c r="QW4435" s="106"/>
      <c r="QX4435" s="106"/>
      <c r="QY4435" s="106"/>
      <c r="QZ4435" s="106"/>
      <c r="RA4435" s="106"/>
      <c r="RB4435" s="106"/>
      <c r="RC4435" s="106"/>
      <c r="RD4435" s="106"/>
      <c r="RE4435" s="106"/>
      <c r="RF4435" s="106"/>
      <c r="RG4435" s="106"/>
      <c r="RH4435" s="106"/>
      <c r="RI4435" s="106"/>
      <c r="RJ4435" s="106"/>
      <c r="RK4435" s="106"/>
      <c r="RL4435" s="106"/>
    </row>
    <row r="4436" spans="462:480" x14ac:dyDescent="0.3">
      <c r="QT4436" s="106"/>
      <c r="QU4436" s="106"/>
      <c r="QV4436" s="106"/>
      <c r="QW4436" s="106"/>
      <c r="QX4436" s="106"/>
      <c r="QY4436" s="106"/>
      <c r="QZ4436" s="106"/>
      <c r="RA4436" s="106"/>
      <c r="RB4436" s="106"/>
      <c r="RC4436" s="106"/>
      <c r="RD4436" s="106"/>
      <c r="RE4436" s="106"/>
      <c r="RF4436" s="106"/>
      <c r="RG4436" s="106"/>
      <c r="RH4436" s="106"/>
      <c r="RI4436" s="106"/>
      <c r="RJ4436" s="106"/>
      <c r="RK4436" s="106"/>
      <c r="RL4436" s="106"/>
    </row>
    <row r="4437" spans="462:480" x14ac:dyDescent="0.3">
      <c r="QT4437" s="106"/>
      <c r="QU4437" s="106"/>
      <c r="QV4437" s="106"/>
      <c r="QW4437" s="106"/>
      <c r="QX4437" s="106"/>
      <c r="QY4437" s="106"/>
      <c r="QZ4437" s="106"/>
      <c r="RA4437" s="106"/>
      <c r="RB4437" s="106"/>
      <c r="RC4437" s="106"/>
      <c r="RD4437" s="106"/>
      <c r="RE4437" s="106"/>
      <c r="RF4437" s="106"/>
      <c r="RG4437" s="106"/>
      <c r="RH4437" s="106"/>
      <c r="RI4437" s="106"/>
      <c r="RJ4437" s="106"/>
      <c r="RK4437" s="106"/>
      <c r="RL4437" s="106"/>
    </row>
    <row r="4438" spans="462:480" x14ac:dyDescent="0.3">
      <c r="QT4438" s="106"/>
      <c r="QU4438" s="106"/>
      <c r="QV4438" s="106"/>
      <c r="QW4438" s="106"/>
      <c r="QX4438" s="106"/>
      <c r="QY4438" s="106"/>
      <c r="QZ4438" s="106"/>
      <c r="RA4438" s="106"/>
      <c r="RB4438" s="106"/>
      <c r="RC4438" s="106"/>
      <c r="RD4438" s="106"/>
      <c r="RE4438" s="106"/>
      <c r="RF4438" s="106"/>
      <c r="RG4438" s="106"/>
      <c r="RH4438" s="106"/>
      <c r="RI4438" s="106"/>
      <c r="RJ4438" s="106"/>
      <c r="RK4438" s="106"/>
      <c r="RL4438" s="106"/>
    </row>
    <row r="4439" spans="462:480" x14ac:dyDescent="0.3">
      <c r="QT4439" s="106"/>
      <c r="QU4439" s="106"/>
      <c r="QV4439" s="106"/>
      <c r="QW4439" s="106"/>
      <c r="QX4439" s="106"/>
      <c r="QY4439" s="106"/>
      <c r="QZ4439" s="106"/>
      <c r="RA4439" s="106"/>
      <c r="RB4439" s="106"/>
      <c r="RC4439" s="106"/>
      <c r="RD4439" s="106"/>
      <c r="RE4439" s="106"/>
      <c r="RF4439" s="106"/>
      <c r="RG4439" s="106"/>
      <c r="RH4439" s="106"/>
      <c r="RI4439" s="106"/>
      <c r="RJ4439" s="106"/>
      <c r="RK4439" s="106"/>
      <c r="RL4439" s="106"/>
    </row>
    <row r="4440" spans="462:480" x14ac:dyDescent="0.3">
      <c r="QT4440" s="106"/>
      <c r="QU4440" s="106"/>
      <c r="QV4440" s="106"/>
      <c r="QW4440" s="106"/>
      <c r="QX4440" s="106"/>
      <c r="QY4440" s="106"/>
      <c r="QZ4440" s="106"/>
      <c r="RA4440" s="106"/>
      <c r="RB4440" s="106"/>
      <c r="RC4440" s="106"/>
      <c r="RD4440" s="106"/>
      <c r="RE4440" s="106"/>
      <c r="RF4440" s="106"/>
      <c r="RG4440" s="106"/>
      <c r="RH4440" s="106"/>
      <c r="RI4440" s="106"/>
      <c r="RJ4440" s="106"/>
      <c r="RK4440" s="106"/>
      <c r="RL4440" s="106"/>
    </row>
    <row r="4441" spans="462:480" x14ac:dyDescent="0.3">
      <c r="QT4441" s="106"/>
      <c r="QU4441" s="106"/>
      <c r="QV4441" s="106"/>
      <c r="QW4441" s="106"/>
      <c r="QX4441" s="106"/>
      <c r="QY4441" s="106"/>
      <c r="QZ4441" s="106"/>
      <c r="RA4441" s="106"/>
      <c r="RB4441" s="106"/>
      <c r="RC4441" s="106"/>
      <c r="RD4441" s="106"/>
      <c r="RE4441" s="106"/>
      <c r="RF4441" s="106"/>
      <c r="RG4441" s="106"/>
      <c r="RH4441" s="106"/>
      <c r="RI4441" s="106"/>
      <c r="RJ4441" s="106"/>
      <c r="RK4441" s="106"/>
      <c r="RL4441" s="106"/>
    </row>
    <row r="4442" spans="462:480" x14ac:dyDescent="0.3">
      <c r="QT4442" s="106"/>
      <c r="QU4442" s="106"/>
      <c r="QV4442" s="106"/>
      <c r="QW4442" s="106"/>
      <c r="QX4442" s="106"/>
      <c r="QY4442" s="106"/>
      <c r="QZ4442" s="106"/>
      <c r="RA4442" s="106"/>
      <c r="RB4442" s="106"/>
      <c r="RC4442" s="106"/>
      <c r="RD4442" s="106"/>
      <c r="RE4442" s="106"/>
      <c r="RF4442" s="106"/>
      <c r="RG4442" s="106"/>
      <c r="RH4442" s="106"/>
      <c r="RI4442" s="106"/>
      <c r="RJ4442" s="106"/>
      <c r="RK4442" s="106"/>
      <c r="RL4442" s="106"/>
    </row>
    <row r="4443" spans="462:480" x14ac:dyDescent="0.3">
      <c r="QT4443" s="106"/>
      <c r="QU4443" s="106"/>
      <c r="QV4443" s="106"/>
      <c r="QW4443" s="106"/>
      <c r="QX4443" s="106"/>
      <c r="QY4443" s="106"/>
      <c r="QZ4443" s="106"/>
      <c r="RA4443" s="106"/>
      <c r="RB4443" s="106"/>
      <c r="RC4443" s="106"/>
      <c r="RD4443" s="106"/>
      <c r="RE4443" s="106"/>
      <c r="RF4443" s="106"/>
      <c r="RG4443" s="106"/>
      <c r="RH4443" s="106"/>
      <c r="RI4443" s="106"/>
      <c r="RJ4443" s="106"/>
      <c r="RK4443" s="106"/>
      <c r="RL4443" s="106"/>
    </row>
    <row r="4444" spans="462:480" x14ac:dyDescent="0.3">
      <c r="QT4444" s="106"/>
      <c r="QU4444" s="106"/>
      <c r="QV4444" s="106"/>
      <c r="QW4444" s="106"/>
      <c r="QX4444" s="106"/>
      <c r="QY4444" s="106"/>
      <c r="QZ4444" s="106"/>
      <c r="RA4444" s="106"/>
      <c r="RB4444" s="106"/>
      <c r="RC4444" s="106"/>
      <c r="RD4444" s="106"/>
      <c r="RE4444" s="106"/>
      <c r="RF4444" s="106"/>
      <c r="RG4444" s="106"/>
      <c r="RH4444" s="106"/>
      <c r="RI4444" s="106"/>
      <c r="RJ4444" s="106"/>
      <c r="RK4444" s="106"/>
      <c r="RL4444" s="106"/>
    </row>
    <row r="4445" spans="462:480" x14ac:dyDescent="0.3">
      <c r="QT4445" s="106"/>
      <c r="QU4445" s="106"/>
      <c r="QV4445" s="106"/>
      <c r="QW4445" s="106"/>
      <c r="QX4445" s="106"/>
      <c r="QY4445" s="106"/>
      <c r="QZ4445" s="106"/>
      <c r="RA4445" s="106"/>
      <c r="RB4445" s="106"/>
      <c r="RC4445" s="106"/>
      <c r="RD4445" s="106"/>
      <c r="RE4445" s="106"/>
      <c r="RF4445" s="106"/>
      <c r="RG4445" s="106"/>
      <c r="RH4445" s="106"/>
      <c r="RI4445" s="106"/>
      <c r="RJ4445" s="106"/>
      <c r="RK4445" s="106"/>
      <c r="RL4445" s="106"/>
    </row>
    <row r="4446" spans="462:480" x14ac:dyDescent="0.3">
      <c r="QT4446" s="106"/>
      <c r="QU4446" s="106"/>
      <c r="QV4446" s="106"/>
      <c r="QW4446" s="106"/>
      <c r="QX4446" s="106"/>
      <c r="QY4446" s="106"/>
      <c r="QZ4446" s="106"/>
      <c r="RA4446" s="106"/>
      <c r="RB4446" s="106"/>
      <c r="RC4446" s="106"/>
      <c r="RD4446" s="106"/>
      <c r="RE4446" s="106"/>
      <c r="RF4446" s="106"/>
      <c r="RG4446" s="106"/>
      <c r="RH4446" s="106"/>
      <c r="RI4446" s="106"/>
      <c r="RJ4446" s="106"/>
      <c r="RK4446" s="106"/>
      <c r="RL4446" s="106"/>
    </row>
    <row r="4447" spans="462:480" x14ac:dyDescent="0.3">
      <c r="QT4447" s="106"/>
      <c r="QU4447" s="106"/>
      <c r="QV4447" s="106"/>
      <c r="QW4447" s="106"/>
      <c r="QX4447" s="106"/>
      <c r="QY4447" s="106"/>
      <c r="QZ4447" s="106"/>
      <c r="RA4447" s="106"/>
      <c r="RB4447" s="106"/>
      <c r="RC4447" s="106"/>
      <c r="RD4447" s="106"/>
      <c r="RE4447" s="106"/>
      <c r="RF4447" s="106"/>
      <c r="RG4447" s="106"/>
      <c r="RH4447" s="106"/>
      <c r="RI4447" s="106"/>
      <c r="RJ4447" s="106"/>
      <c r="RK4447" s="106"/>
      <c r="RL4447" s="106"/>
    </row>
    <row r="4448" spans="462:480" x14ac:dyDescent="0.3">
      <c r="QT4448" s="106"/>
      <c r="QU4448" s="106"/>
      <c r="QV4448" s="106"/>
      <c r="QW4448" s="106"/>
      <c r="QX4448" s="106"/>
      <c r="QY4448" s="106"/>
      <c r="QZ4448" s="106"/>
      <c r="RA4448" s="106"/>
      <c r="RB4448" s="106"/>
      <c r="RC4448" s="106"/>
      <c r="RD4448" s="106"/>
      <c r="RE4448" s="106"/>
      <c r="RF4448" s="106"/>
      <c r="RG4448" s="106"/>
      <c r="RH4448" s="106"/>
      <c r="RI4448" s="106"/>
      <c r="RJ4448" s="106"/>
      <c r="RK4448" s="106"/>
      <c r="RL4448" s="106"/>
    </row>
    <row r="4449" spans="462:480" x14ac:dyDescent="0.3">
      <c r="QT4449" s="106"/>
      <c r="QU4449" s="106"/>
      <c r="QV4449" s="106"/>
      <c r="QW4449" s="106"/>
      <c r="QX4449" s="106"/>
      <c r="QY4449" s="106"/>
      <c r="QZ4449" s="106"/>
      <c r="RA4449" s="106"/>
      <c r="RB4449" s="106"/>
      <c r="RC4449" s="106"/>
      <c r="RD4449" s="106"/>
      <c r="RE4449" s="106"/>
      <c r="RF4449" s="106"/>
      <c r="RG4449" s="106"/>
      <c r="RH4449" s="106"/>
      <c r="RI4449" s="106"/>
      <c r="RJ4449" s="106"/>
      <c r="RK4449" s="106"/>
      <c r="RL4449" s="106"/>
    </row>
    <row r="4450" spans="462:480" x14ac:dyDescent="0.3">
      <c r="QT4450" s="106"/>
      <c r="QU4450" s="106"/>
      <c r="QV4450" s="106"/>
      <c r="QW4450" s="106"/>
      <c r="QX4450" s="106"/>
      <c r="QY4450" s="106"/>
      <c r="QZ4450" s="106"/>
      <c r="RA4450" s="106"/>
      <c r="RB4450" s="106"/>
      <c r="RC4450" s="106"/>
      <c r="RD4450" s="106"/>
      <c r="RE4450" s="106"/>
      <c r="RF4450" s="106"/>
      <c r="RG4450" s="106"/>
      <c r="RH4450" s="106"/>
      <c r="RI4450" s="106"/>
      <c r="RJ4450" s="106"/>
      <c r="RK4450" s="106"/>
      <c r="RL4450" s="106"/>
    </row>
    <row r="4451" spans="462:480" x14ac:dyDescent="0.3">
      <c r="QT4451" s="106"/>
      <c r="QU4451" s="106"/>
      <c r="QV4451" s="106"/>
      <c r="QW4451" s="106"/>
      <c r="QX4451" s="106"/>
      <c r="QY4451" s="106"/>
      <c r="QZ4451" s="106"/>
      <c r="RA4451" s="106"/>
      <c r="RB4451" s="106"/>
      <c r="RC4451" s="106"/>
      <c r="RD4451" s="106"/>
      <c r="RE4451" s="106"/>
      <c r="RF4451" s="106"/>
      <c r="RG4451" s="106"/>
      <c r="RH4451" s="106"/>
      <c r="RI4451" s="106"/>
      <c r="RJ4451" s="106"/>
      <c r="RK4451" s="106"/>
      <c r="RL4451" s="106"/>
    </row>
    <row r="4452" spans="462:480" x14ac:dyDescent="0.3">
      <c r="QT4452" s="106"/>
      <c r="QU4452" s="106"/>
      <c r="QV4452" s="106"/>
      <c r="QW4452" s="106"/>
      <c r="QX4452" s="106"/>
      <c r="QY4452" s="106"/>
      <c r="QZ4452" s="106"/>
      <c r="RA4452" s="106"/>
      <c r="RB4452" s="106"/>
      <c r="RC4452" s="106"/>
      <c r="RD4452" s="106"/>
      <c r="RE4452" s="106"/>
      <c r="RF4452" s="106"/>
      <c r="RG4452" s="106"/>
      <c r="RH4452" s="106"/>
      <c r="RI4452" s="106"/>
      <c r="RJ4452" s="106"/>
      <c r="RK4452" s="106"/>
      <c r="RL4452" s="106"/>
    </row>
    <row r="4453" spans="462:480" x14ac:dyDescent="0.3">
      <c r="QT4453" s="106"/>
      <c r="QU4453" s="106"/>
      <c r="QV4453" s="106"/>
      <c r="QW4453" s="106"/>
      <c r="QX4453" s="106"/>
      <c r="QY4453" s="106"/>
      <c r="QZ4453" s="106"/>
      <c r="RA4453" s="106"/>
      <c r="RB4453" s="106"/>
      <c r="RC4453" s="106"/>
      <c r="RD4453" s="106"/>
      <c r="RE4453" s="106"/>
      <c r="RF4453" s="106"/>
      <c r="RG4453" s="106"/>
      <c r="RH4453" s="106"/>
      <c r="RI4453" s="106"/>
      <c r="RJ4453" s="106"/>
      <c r="RK4453" s="106"/>
      <c r="RL4453" s="106"/>
    </row>
    <row r="4454" spans="462:480" x14ac:dyDescent="0.3">
      <c r="QT4454" s="106"/>
      <c r="QU4454" s="106"/>
      <c r="QV4454" s="106"/>
      <c r="QW4454" s="106"/>
      <c r="QX4454" s="106"/>
      <c r="QY4454" s="106"/>
      <c r="QZ4454" s="106"/>
      <c r="RA4454" s="106"/>
      <c r="RB4454" s="106"/>
      <c r="RC4454" s="106"/>
      <c r="RD4454" s="106"/>
      <c r="RE4454" s="106"/>
      <c r="RF4454" s="106"/>
      <c r="RG4454" s="106"/>
      <c r="RH4454" s="106"/>
      <c r="RI4454" s="106"/>
      <c r="RJ4454" s="106"/>
      <c r="RK4454" s="106"/>
      <c r="RL4454" s="106"/>
    </row>
    <row r="4455" spans="462:480" x14ac:dyDescent="0.3">
      <c r="QT4455" s="106"/>
      <c r="QU4455" s="106"/>
      <c r="QV4455" s="106"/>
      <c r="QW4455" s="106"/>
      <c r="QX4455" s="106"/>
      <c r="QY4455" s="106"/>
      <c r="QZ4455" s="106"/>
      <c r="RA4455" s="106"/>
      <c r="RB4455" s="106"/>
      <c r="RC4455" s="106"/>
      <c r="RD4455" s="106"/>
      <c r="RE4455" s="106"/>
      <c r="RF4455" s="106"/>
      <c r="RG4455" s="106"/>
      <c r="RH4455" s="106"/>
      <c r="RI4455" s="106"/>
      <c r="RJ4455" s="106"/>
      <c r="RK4455" s="106"/>
      <c r="RL4455" s="106"/>
    </row>
    <row r="4456" spans="462:480" x14ac:dyDescent="0.3">
      <c r="QT4456" s="106"/>
      <c r="QU4456" s="106"/>
      <c r="QV4456" s="106"/>
      <c r="QW4456" s="106"/>
      <c r="QX4456" s="106"/>
      <c r="QY4456" s="106"/>
      <c r="QZ4456" s="106"/>
      <c r="RA4456" s="106"/>
      <c r="RB4456" s="106"/>
      <c r="RC4456" s="106"/>
      <c r="RD4456" s="106"/>
      <c r="RE4456" s="106"/>
      <c r="RF4456" s="106"/>
      <c r="RG4456" s="106"/>
      <c r="RH4456" s="106"/>
      <c r="RI4456" s="106"/>
      <c r="RJ4456" s="106"/>
      <c r="RK4456" s="106"/>
      <c r="RL4456" s="106"/>
    </row>
    <row r="4457" spans="462:480" x14ac:dyDescent="0.3">
      <c r="QT4457" s="106"/>
      <c r="QU4457" s="106"/>
      <c r="QV4457" s="106"/>
      <c r="QW4457" s="106"/>
      <c r="QX4457" s="106"/>
      <c r="QY4457" s="106"/>
      <c r="QZ4457" s="106"/>
      <c r="RA4457" s="106"/>
      <c r="RB4457" s="106"/>
      <c r="RC4457" s="106"/>
      <c r="RD4457" s="106"/>
      <c r="RE4457" s="106"/>
      <c r="RF4457" s="106"/>
      <c r="RG4457" s="106"/>
      <c r="RH4457" s="106"/>
      <c r="RI4457" s="106"/>
      <c r="RJ4457" s="106"/>
      <c r="RK4457" s="106"/>
      <c r="RL4457" s="106"/>
    </row>
    <row r="4458" spans="462:480" x14ac:dyDescent="0.3">
      <c r="QT4458" s="106"/>
      <c r="QU4458" s="106"/>
      <c r="QV4458" s="106"/>
      <c r="QW4458" s="106"/>
      <c r="QX4458" s="106"/>
      <c r="QY4458" s="106"/>
      <c r="QZ4458" s="106"/>
      <c r="RA4458" s="106"/>
      <c r="RB4458" s="106"/>
      <c r="RC4458" s="106"/>
      <c r="RD4458" s="106"/>
      <c r="RE4458" s="106"/>
      <c r="RF4458" s="106"/>
      <c r="RG4458" s="106"/>
      <c r="RH4458" s="106"/>
      <c r="RI4458" s="106"/>
      <c r="RJ4458" s="106"/>
      <c r="RK4458" s="106"/>
      <c r="RL4458" s="106"/>
    </row>
    <row r="4459" spans="462:480" x14ac:dyDescent="0.3">
      <c r="QT4459" s="106"/>
      <c r="QU4459" s="106"/>
      <c r="QV4459" s="106"/>
      <c r="QW4459" s="106"/>
      <c r="QX4459" s="106"/>
      <c r="QY4459" s="106"/>
      <c r="QZ4459" s="106"/>
      <c r="RA4459" s="106"/>
      <c r="RB4459" s="106"/>
      <c r="RC4459" s="106"/>
      <c r="RD4459" s="106"/>
      <c r="RE4459" s="106"/>
      <c r="RF4459" s="106"/>
      <c r="RG4459" s="106"/>
      <c r="RH4459" s="106"/>
      <c r="RI4459" s="106"/>
      <c r="RJ4459" s="106"/>
      <c r="RK4459" s="106"/>
      <c r="RL4459" s="106"/>
    </row>
    <row r="4460" spans="462:480" x14ac:dyDescent="0.3">
      <c r="QT4460" s="106"/>
      <c r="QU4460" s="106"/>
      <c r="QV4460" s="106"/>
      <c r="QW4460" s="106"/>
      <c r="QX4460" s="106"/>
      <c r="QY4460" s="106"/>
      <c r="QZ4460" s="106"/>
      <c r="RA4460" s="106"/>
      <c r="RB4460" s="106"/>
      <c r="RC4460" s="106"/>
      <c r="RD4460" s="106"/>
      <c r="RE4460" s="106"/>
      <c r="RF4460" s="106"/>
      <c r="RG4460" s="106"/>
      <c r="RH4460" s="106"/>
      <c r="RI4460" s="106"/>
      <c r="RJ4460" s="106"/>
      <c r="RK4460" s="106"/>
      <c r="RL4460" s="106"/>
    </row>
    <row r="4461" spans="462:480" x14ac:dyDescent="0.3">
      <c r="QT4461" s="106"/>
      <c r="QU4461" s="106"/>
      <c r="QV4461" s="106"/>
      <c r="QW4461" s="106"/>
      <c r="QX4461" s="106"/>
      <c r="QY4461" s="106"/>
      <c r="QZ4461" s="106"/>
      <c r="RA4461" s="106"/>
      <c r="RB4461" s="106"/>
      <c r="RC4461" s="106"/>
      <c r="RD4461" s="106"/>
      <c r="RE4461" s="106"/>
      <c r="RF4461" s="106"/>
      <c r="RG4461" s="106"/>
      <c r="RH4461" s="106"/>
      <c r="RI4461" s="106"/>
      <c r="RJ4461" s="106"/>
      <c r="RK4461" s="106"/>
      <c r="RL4461" s="106"/>
    </row>
    <row r="4462" spans="462:480" x14ac:dyDescent="0.3">
      <c r="QT4462" s="106"/>
      <c r="QU4462" s="106"/>
      <c r="QV4462" s="106"/>
      <c r="QW4462" s="106"/>
      <c r="QX4462" s="106"/>
      <c r="QY4462" s="106"/>
      <c r="QZ4462" s="106"/>
      <c r="RA4462" s="106"/>
      <c r="RB4462" s="106"/>
      <c r="RC4462" s="106"/>
      <c r="RD4462" s="106"/>
      <c r="RE4462" s="106"/>
      <c r="RF4462" s="106"/>
      <c r="RG4462" s="106"/>
      <c r="RH4462" s="106"/>
      <c r="RI4462" s="106"/>
      <c r="RJ4462" s="106"/>
      <c r="RK4462" s="106"/>
      <c r="RL4462" s="106"/>
    </row>
    <row r="4463" spans="462:480" x14ac:dyDescent="0.3">
      <c r="QT4463" s="106"/>
      <c r="QU4463" s="106"/>
      <c r="QV4463" s="106"/>
      <c r="QW4463" s="106"/>
      <c r="QX4463" s="106"/>
      <c r="QY4463" s="106"/>
      <c r="QZ4463" s="106"/>
      <c r="RA4463" s="106"/>
      <c r="RB4463" s="106"/>
      <c r="RC4463" s="106"/>
      <c r="RD4463" s="106"/>
      <c r="RE4463" s="106"/>
      <c r="RF4463" s="106"/>
      <c r="RG4463" s="106"/>
      <c r="RH4463" s="106"/>
      <c r="RI4463" s="106"/>
      <c r="RJ4463" s="106"/>
      <c r="RK4463" s="106"/>
      <c r="RL4463" s="106"/>
    </row>
    <row r="4464" spans="462:480" x14ac:dyDescent="0.3">
      <c r="QT4464" s="106"/>
      <c r="QU4464" s="106"/>
      <c r="QV4464" s="106"/>
      <c r="QW4464" s="106"/>
      <c r="QX4464" s="106"/>
      <c r="QY4464" s="106"/>
      <c r="QZ4464" s="106"/>
      <c r="RA4464" s="106"/>
      <c r="RB4464" s="106"/>
      <c r="RC4464" s="106"/>
      <c r="RD4464" s="106"/>
      <c r="RE4464" s="106"/>
      <c r="RF4464" s="106"/>
      <c r="RG4464" s="106"/>
      <c r="RH4464" s="106"/>
      <c r="RI4464" s="106"/>
      <c r="RJ4464" s="106"/>
      <c r="RK4464" s="106"/>
      <c r="RL4464" s="106"/>
    </row>
    <row r="4465" spans="462:480" x14ac:dyDescent="0.3">
      <c r="QT4465" s="106"/>
      <c r="QU4465" s="106"/>
      <c r="QV4465" s="106"/>
      <c r="QW4465" s="106"/>
      <c r="QX4465" s="106"/>
      <c r="QY4465" s="106"/>
      <c r="QZ4465" s="106"/>
      <c r="RA4465" s="106"/>
      <c r="RB4465" s="106"/>
      <c r="RC4465" s="106"/>
      <c r="RD4465" s="106"/>
      <c r="RE4465" s="106"/>
      <c r="RF4465" s="106"/>
      <c r="RG4465" s="106"/>
      <c r="RH4465" s="106"/>
      <c r="RI4465" s="106"/>
      <c r="RJ4465" s="106"/>
      <c r="RK4465" s="106"/>
      <c r="RL4465" s="106"/>
    </row>
    <row r="4466" spans="462:480" x14ac:dyDescent="0.3">
      <c r="QT4466" s="106"/>
      <c r="QU4466" s="106"/>
      <c r="QV4466" s="106"/>
      <c r="QW4466" s="106"/>
      <c r="QX4466" s="106"/>
      <c r="QY4466" s="106"/>
      <c r="QZ4466" s="106"/>
      <c r="RA4466" s="106"/>
      <c r="RB4466" s="106"/>
      <c r="RC4466" s="106"/>
      <c r="RD4466" s="106"/>
      <c r="RE4466" s="106"/>
      <c r="RF4466" s="106"/>
      <c r="RG4466" s="106"/>
      <c r="RH4466" s="106"/>
      <c r="RI4466" s="106"/>
      <c r="RJ4466" s="106"/>
      <c r="RK4466" s="106"/>
      <c r="RL4466" s="106"/>
    </row>
    <row r="4467" spans="462:480" x14ac:dyDescent="0.3">
      <c r="QT4467" s="106"/>
      <c r="QU4467" s="106"/>
      <c r="QV4467" s="106"/>
      <c r="QW4467" s="106"/>
      <c r="QX4467" s="106"/>
      <c r="QY4467" s="106"/>
      <c r="QZ4467" s="106"/>
      <c r="RA4467" s="106"/>
      <c r="RB4467" s="106"/>
      <c r="RC4467" s="106"/>
      <c r="RD4467" s="106"/>
      <c r="RE4467" s="106"/>
      <c r="RF4467" s="106"/>
      <c r="RG4467" s="106"/>
      <c r="RH4467" s="106"/>
      <c r="RI4467" s="106"/>
      <c r="RJ4467" s="106"/>
      <c r="RK4467" s="106"/>
      <c r="RL4467" s="106"/>
    </row>
    <row r="4468" spans="462:480" x14ac:dyDescent="0.3">
      <c r="QT4468" s="106"/>
      <c r="QU4468" s="106"/>
      <c r="QV4468" s="106"/>
      <c r="QW4468" s="106"/>
      <c r="QX4468" s="106"/>
      <c r="QY4468" s="106"/>
      <c r="QZ4468" s="106"/>
      <c r="RA4468" s="106"/>
      <c r="RB4468" s="106"/>
      <c r="RC4468" s="106"/>
      <c r="RD4468" s="106"/>
      <c r="RE4468" s="106"/>
      <c r="RF4468" s="106"/>
      <c r="RG4468" s="106"/>
      <c r="RH4468" s="106"/>
      <c r="RI4468" s="106"/>
      <c r="RJ4468" s="106"/>
      <c r="RK4468" s="106"/>
      <c r="RL4468" s="106"/>
    </row>
    <row r="4469" spans="462:480" x14ac:dyDescent="0.3">
      <c r="QT4469" s="106"/>
      <c r="QU4469" s="106"/>
      <c r="QV4469" s="106"/>
      <c r="QW4469" s="106"/>
      <c r="QX4469" s="106"/>
      <c r="QY4469" s="106"/>
      <c r="QZ4469" s="106"/>
      <c r="RA4469" s="106"/>
      <c r="RB4469" s="106"/>
      <c r="RC4469" s="106"/>
      <c r="RD4469" s="106"/>
      <c r="RE4469" s="106"/>
      <c r="RF4469" s="106"/>
      <c r="RG4469" s="106"/>
      <c r="RH4469" s="106"/>
      <c r="RI4469" s="106"/>
      <c r="RJ4469" s="106"/>
      <c r="RK4469" s="106"/>
      <c r="RL4469" s="106"/>
    </row>
    <row r="4470" spans="462:480" x14ac:dyDescent="0.3">
      <c r="QT4470" s="106"/>
      <c r="QU4470" s="106"/>
      <c r="QV4470" s="106"/>
      <c r="QW4470" s="106"/>
      <c r="QX4470" s="106"/>
      <c r="QY4470" s="106"/>
      <c r="QZ4470" s="106"/>
      <c r="RA4470" s="106"/>
      <c r="RB4470" s="106"/>
      <c r="RC4470" s="106"/>
      <c r="RD4470" s="106"/>
      <c r="RE4470" s="106"/>
      <c r="RF4470" s="106"/>
      <c r="RG4470" s="106"/>
      <c r="RH4470" s="106"/>
      <c r="RI4470" s="106"/>
      <c r="RJ4470" s="106"/>
      <c r="RK4470" s="106"/>
      <c r="RL4470" s="106"/>
    </row>
    <row r="4471" spans="462:480" x14ac:dyDescent="0.3">
      <c r="QT4471" s="106"/>
      <c r="QU4471" s="106"/>
      <c r="QV4471" s="106"/>
      <c r="QW4471" s="106"/>
      <c r="QX4471" s="106"/>
      <c r="QY4471" s="106"/>
      <c r="QZ4471" s="106"/>
      <c r="RA4471" s="106"/>
      <c r="RB4471" s="106"/>
      <c r="RC4471" s="106"/>
      <c r="RD4471" s="106"/>
      <c r="RE4471" s="106"/>
      <c r="RF4471" s="106"/>
      <c r="RG4471" s="106"/>
      <c r="RH4471" s="106"/>
      <c r="RI4471" s="106"/>
      <c r="RJ4471" s="106"/>
      <c r="RK4471" s="106"/>
      <c r="RL4471" s="106"/>
    </row>
    <row r="4472" spans="462:480" x14ac:dyDescent="0.3">
      <c r="QT4472" s="106"/>
      <c r="QU4472" s="106"/>
      <c r="QV4472" s="106"/>
      <c r="QW4472" s="106"/>
      <c r="QX4472" s="106"/>
      <c r="QY4472" s="106"/>
      <c r="QZ4472" s="106"/>
      <c r="RA4472" s="106"/>
      <c r="RB4472" s="106"/>
      <c r="RC4472" s="106"/>
      <c r="RD4472" s="106"/>
      <c r="RE4472" s="106"/>
      <c r="RF4472" s="106"/>
      <c r="RG4472" s="106"/>
      <c r="RH4472" s="106"/>
      <c r="RI4472" s="106"/>
      <c r="RJ4472" s="106"/>
      <c r="RK4472" s="106"/>
      <c r="RL4472" s="106"/>
    </row>
    <row r="4473" spans="462:480" x14ac:dyDescent="0.3">
      <c r="QT4473" s="106"/>
      <c r="QU4473" s="106"/>
      <c r="QV4473" s="106"/>
      <c r="QW4473" s="106"/>
      <c r="QX4473" s="106"/>
      <c r="QY4473" s="106"/>
      <c r="QZ4473" s="106"/>
      <c r="RA4473" s="106"/>
      <c r="RB4473" s="106"/>
      <c r="RC4473" s="106"/>
      <c r="RD4473" s="106"/>
      <c r="RE4473" s="106"/>
      <c r="RF4473" s="106"/>
      <c r="RG4473" s="106"/>
      <c r="RH4473" s="106"/>
      <c r="RI4473" s="106"/>
      <c r="RJ4473" s="106"/>
      <c r="RK4473" s="106"/>
      <c r="RL4473" s="106"/>
    </row>
    <row r="4474" spans="462:480" x14ac:dyDescent="0.3">
      <c r="QT4474" s="106"/>
      <c r="QU4474" s="106"/>
      <c r="QV4474" s="106"/>
      <c r="QW4474" s="106"/>
      <c r="QX4474" s="106"/>
      <c r="QY4474" s="106"/>
      <c r="QZ4474" s="106"/>
      <c r="RA4474" s="106"/>
      <c r="RB4474" s="106"/>
      <c r="RC4474" s="106"/>
      <c r="RD4474" s="106"/>
      <c r="RE4474" s="106"/>
      <c r="RF4474" s="106"/>
      <c r="RG4474" s="106"/>
      <c r="RH4474" s="106"/>
      <c r="RI4474" s="106"/>
      <c r="RJ4474" s="106"/>
      <c r="RK4474" s="106"/>
      <c r="RL4474" s="106"/>
    </row>
    <row r="4475" spans="462:480" x14ac:dyDescent="0.3">
      <c r="QT4475" s="106"/>
      <c r="QU4475" s="106"/>
      <c r="QV4475" s="106"/>
      <c r="QW4475" s="106"/>
      <c r="QX4475" s="106"/>
      <c r="QY4475" s="106"/>
      <c r="QZ4475" s="106"/>
      <c r="RA4475" s="106"/>
      <c r="RB4475" s="106"/>
      <c r="RC4475" s="106"/>
      <c r="RD4475" s="106"/>
      <c r="RE4475" s="106"/>
      <c r="RF4475" s="106"/>
      <c r="RG4475" s="106"/>
      <c r="RH4475" s="106"/>
      <c r="RI4475" s="106"/>
      <c r="RJ4475" s="106"/>
      <c r="RK4475" s="106"/>
      <c r="RL4475" s="106"/>
    </row>
    <row r="4476" spans="462:480" x14ac:dyDescent="0.3">
      <c r="QT4476" s="106"/>
      <c r="QU4476" s="106"/>
      <c r="QV4476" s="106"/>
      <c r="QW4476" s="106"/>
      <c r="QX4476" s="106"/>
      <c r="QY4476" s="106"/>
      <c r="QZ4476" s="106"/>
      <c r="RA4476" s="106"/>
      <c r="RB4476" s="106"/>
      <c r="RC4476" s="106"/>
      <c r="RD4476" s="106"/>
      <c r="RE4476" s="106"/>
      <c r="RF4476" s="106"/>
      <c r="RG4476" s="106"/>
      <c r="RH4476" s="106"/>
      <c r="RI4476" s="106"/>
      <c r="RJ4476" s="106"/>
      <c r="RK4476" s="106"/>
      <c r="RL4476" s="106"/>
    </row>
    <row r="4477" spans="462:480" x14ac:dyDescent="0.3">
      <c r="QT4477" s="106"/>
      <c r="QU4477" s="106"/>
      <c r="QV4477" s="106"/>
      <c r="QW4477" s="106"/>
      <c r="QX4477" s="106"/>
      <c r="QY4477" s="106"/>
      <c r="QZ4477" s="106"/>
      <c r="RA4477" s="106"/>
      <c r="RB4477" s="106"/>
      <c r="RC4477" s="106"/>
      <c r="RD4477" s="106"/>
      <c r="RE4477" s="106"/>
      <c r="RF4477" s="106"/>
      <c r="RG4477" s="106"/>
      <c r="RH4477" s="106"/>
      <c r="RI4477" s="106"/>
      <c r="RJ4477" s="106"/>
      <c r="RK4477" s="106"/>
      <c r="RL4477" s="106"/>
    </row>
    <row r="4478" spans="462:480" x14ac:dyDescent="0.3">
      <c r="QT4478" s="106"/>
      <c r="QU4478" s="106"/>
      <c r="QV4478" s="106"/>
      <c r="QW4478" s="106"/>
      <c r="QX4478" s="106"/>
      <c r="QY4478" s="106"/>
      <c r="QZ4478" s="106"/>
      <c r="RA4478" s="106"/>
      <c r="RB4478" s="106"/>
      <c r="RC4478" s="106"/>
      <c r="RD4478" s="106"/>
      <c r="RE4478" s="106"/>
      <c r="RF4478" s="106"/>
      <c r="RG4478" s="106"/>
      <c r="RH4478" s="106"/>
      <c r="RI4478" s="106"/>
      <c r="RJ4478" s="106"/>
      <c r="RK4478" s="106"/>
      <c r="RL4478" s="106"/>
    </row>
    <row r="4479" spans="462:480" x14ac:dyDescent="0.3">
      <c r="QT4479" s="106"/>
      <c r="QU4479" s="106"/>
      <c r="QV4479" s="106"/>
      <c r="QW4479" s="106"/>
      <c r="QX4479" s="106"/>
      <c r="QY4479" s="106"/>
      <c r="QZ4479" s="106"/>
      <c r="RA4479" s="106"/>
      <c r="RB4479" s="106"/>
      <c r="RC4479" s="106"/>
      <c r="RD4479" s="106"/>
      <c r="RE4479" s="106"/>
      <c r="RF4479" s="106"/>
      <c r="RG4479" s="106"/>
      <c r="RH4479" s="106"/>
      <c r="RI4479" s="106"/>
      <c r="RJ4479" s="106"/>
      <c r="RK4479" s="106"/>
      <c r="RL4479" s="106"/>
    </row>
    <row r="4480" spans="462:480" x14ac:dyDescent="0.3">
      <c r="QT4480" s="106"/>
      <c r="QU4480" s="106"/>
      <c r="QV4480" s="106"/>
      <c r="QW4480" s="106"/>
      <c r="QX4480" s="106"/>
      <c r="QY4480" s="106"/>
      <c r="QZ4480" s="106"/>
      <c r="RA4480" s="106"/>
      <c r="RB4480" s="106"/>
      <c r="RC4480" s="106"/>
      <c r="RD4480" s="106"/>
      <c r="RE4480" s="106"/>
      <c r="RF4480" s="106"/>
      <c r="RG4480" s="106"/>
      <c r="RH4480" s="106"/>
      <c r="RI4480" s="106"/>
      <c r="RJ4480" s="106"/>
      <c r="RK4480" s="106"/>
      <c r="RL4480" s="106"/>
    </row>
    <row r="4481" spans="462:480" x14ac:dyDescent="0.3">
      <c r="QT4481" s="106"/>
      <c r="QU4481" s="106"/>
      <c r="QV4481" s="106"/>
      <c r="QW4481" s="106"/>
      <c r="QX4481" s="106"/>
      <c r="QY4481" s="106"/>
      <c r="QZ4481" s="106"/>
      <c r="RA4481" s="106"/>
      <c r="RB4481" s="106"/>
      <c r="RC4481" s="106"/>
      <c r="RD4481" s="106"/>
      <c r="RE4481" s="106"/>
      <c r="RF4481" s="106"/>
      <c r="RG4481" s="106"/>
      <c r="RH4481" s="106"/>
      <c r="RI4481" s="106"/>
      <c r="RJ4481" s="106"/>
      <c r="RK4481" s="106"/>
      <c r="RL4481" s="106"/>
    </row>
    <row r="4482" spans="462:480" x14ac:dyDescent="0.3">
      <c r="QT4482" s="106"/>
      <c r="QU4482" s="106"/>
      <c r="QV4482" s="106"/>
      <c r="QW4482" s="106"/>
      <c r="QX4482" s="106"/>
      <c r="QY4482" s="106"/>
      <c r="QZ4482" s="106"/>
      <c r="RA4482" s="106"/>
      <c r="RB4482" s="106"/>
      <c r="RC4482" s="106"/>
      <c r="RD4482" s="106"/>
      <c r="RE4482" s="106"/>
      <c r="RF4482" s="106"/>
      <c r="RG4482" s="106"/>
      <c r="RH4482" s="106"/>
      <c r="RI4482" s="106"/>
      <c r="RJ4482" s="106"/>
      <c r="RK4482" s="106"/>
      <c r="RL4482" s="106"/>
    </row>
    <row r="4483" spans="462:480" x14ac:dyDescent="0.3">
      <c r="QT4483" s="106"/>
      <c r="QU4483" s="106"/>
      <c r="QV4483" s="106"/>
      <c r="QW4483" s="106"/>
      <c r="QX4483" s="106"/>
      <c r="QY4483" s="106"/>
      <c r="QZ4483" s="106"/>
      <c r="RA4483" s="106"/>
      <c r="RB4483" s="106"/>
      <c r="RC4483" s="106"/>
      <c r="RD4483" s="106"/>
      <c r="RE4483" s="106"/>
      <c r="RF4483" s="106"/>
      <c r="RG4483" s="106"/>
      <c r="RH4483" s="106"/>
      <c r="RI4483" s="106"/>
      <c r="RJ4483" s="106"/>
      <c r="RK4483" s="106"/>
      <c r="RL4483" s="106"/>
    </row>
    <row r="4484" spans="462:480" x14ac:dyDescent="0.3">
      <c r="QT4484" s="106"/>
      <c r="QU4484" s="106"/>
      <c r="QV4484" s="106"/>
      <c r="QW4484" s="106"/>
      <c r="QX4484" s="106"/>
      <c r="QY4484" s="106"/>
      <c r="QZ4484" s="106"/>
      <c r="RA4484" s="106"/>
      <c r="RB4484" s="106"/>
      <c r="RC4484" s="106"/>
      <c r="RD4484" s="106"/>
      <c r="RE4484" s="106"/>
      <c r="RF4484" s="106"/>
      <c r="RG4484" s="106"/>
      <c r="RH4484" s="106"/>
      <c r="RI4484" s="106"/>
      <c r="RJ4484" s="106"/>
      <c r="RK4484" s="106"/>
      <c r="RL4484" s="106"/>
    </row>
    <row r="4485" spans="462:480" x14ac:dyDescent="0.3">
      <c r="QT4485" s="106"/>
      <c r="QU4485" s="106"/>
      <c r="QV4485" s="106"/>
      <c r="QW4485" s="106"/>
      <c r="QX4485" s="106"/>
      <c r="QY4485" s="106"/>
      <c r="QZ4485" s="106"/>
      <c r="RA4485" s="106"/>
      <c r="RB4485" s="106"/>
      <c r="RC4485" s="106"/>
      <c r="RD4485" s="106"/>
      <c r="RE4485" s="106"/>
      <c r="RF4485" s="106"/>
      <c r="RG4485" s="106"/>
      <c r="RH4485" s="106"/>
      <c r="RI4485" s="106"/>
      <c r="RJ4485" s="106"/>
      <c r="RK4485" s="106"/>
      <c r="RL4485" s="106"/>
    </row>
    <row r="4486" spans="462:480" x14ac:dyDescent="0.3">
      <c r="QT4486" s="106"/>
      <c r="QU4486" s="106"/>
      <c r="QV4486" s="106"/>
      <c r="QW4486" s="106"/>
      <c r="QX4486" s="106"/>
      <c r="QY4486" s="106"/>
      <c r="QZ4486" s="106"/>
      <c r="RA4486" s="106"/>
      <c r="RB4486" s="106"/>
      <c r="RC4486" s="106"/>
      <c r="RD4486" s="106"/>
      <c r="RE4486" s="106"/>
      <c r="RF4486" s="106"/>
      <c r="RG4486" s="106"/>
      <c r="RH4486" s="106"/>
      <c r="RI4486" s="106"/>
      <c r="RJ4486" s="106"/>
      <c r="RK4486" s="106"/>
      <c r="RL4486" s="106"/>
    </row>
    <row r="4487" spans="462:480" x14ac:dyDescent="0.3">
      <c r="QT4487" s="106"/>
      <c r="QU4487" s="106"/>
      <c r="QV4487" s="106"/>
      <c r="QW4487" s="106"/>
      <c r="QX4487" s="106"/>
      <c r="QY4487" s="106"/>
      <c r="QZ4487" s="106"/>
      <c r="RA4487" s="106"/>
      <c r="RB4487" s="106"/>
      <c r="RC4487" s="106"/>
      <c r="RD4487" s="106"/>
      <c r="RE4487" s="106"/>
      <c r="RF4487" s="106"/>
      <c r="RG4487" s="106"/>
      <c r="RH4487" s="106"/>
      <c r="RI4487" s="106"/>
      <c r="RJ4487" s="106"/>
      <c r="RK4487" s="106"/>
      <c r="RL4487" s="106"/>
    </row>
    <row r="4488" spans="462:480" x14ac:dyDescent="0.3">
      <c r="QT4488" s="106"/>
      <c r="QU4488" s="106"/>
      <c r="QV4488" s="106"/>
      <c r="QW4488" s="106"/>
      <c r="QX4488" s="106"/>
      <c r="QY4488" s="106"/>
      <c r="QZ4488" s="106"/>
      <c r="RA4488" s="106"/>
      <c r="RB4488" s="106"/>
      <c r="RC4488" s="106"/>
      <c r="RD4488" s="106"/>
      <c r="RE4488" s="106"/>
      <c r="RF4488" s="106"/>
      <c r="RG4488" s="106"/>
      <c r="RH4488" s="106"/>
      <c r="RI4488" s="106"/>
      <c r="RJ4488" s="106"/>
      <c r="RK4488" s="106"/>
      <c r="RL4488" s="106"/>
    </row>
    <row r="4489" spans="462:480" x14ac:dyDescent="0.3">
      <c r="QT4489" s="106"/>
      <c r="QU4489" s="106"/>
      <c r="QV4489" s="106"/>
      <c r="QW4489" s="106"/>
      <c r="QX4489" s="106"/>
      <c r="QY4489" s="106"/>
      <c r="QZ4489" s="106"/>
      <c r="RA4489" s="106"/>
      <c r="RB4489" s="106"/>
      <c r="RC4489" s="106"/>
      <c r="RD4489" s="106"/>
      <c r="RE4489" s="106"/>
      <c r="RF4489" s="106"/>
      <c r="RG4489" s="106"/>
      <c r="RH4489" s="106"/>
      <c r="RI4489" s="106"/>
      <c r="RJ4489" s="106"/>
      <c r="RK4489" s="106"/>
      <c r="RL4489" s="106"/>
    </row>
    <row r="4490" spans="462:480" x14ac:dyDescent="0.3">
      <c r="QT4490" s="106"/>
      <c r="QU4490" s="106"/>
      <c r="QV4490" s="106"/>
      <c r="QW4490" s="106"/>
      <c r="QX4490" s="106"/>
      <c r="QY4490" s="106"/>
      <c r="QZ4490" s="106"/>
      <c r="RA4490" s="106"/>
      <c r="RB4490" s="106"/>
      <c r="RC4490" s="106"/>
      <c r="RD4490" s="106"/>
      <c r="RE4490" s="106"/>
      <c r="RF4490" s="106"/>
      <c r="RG4490" s="106"/>
      <c r="RH4490" s="106"/>
      <c r="RI4490" s="106"/>
      <c r="RJ4490" s="106"/>
      <c r="RK4490" s="106"/>
      <c r="RL4490" s="106"/>
    </row>
    <row r="4491" spans="462:480" x14ac:dyDescent="0.3">
      <c r="QT4491" s="106"/>
      <c r="QU4491" s="106"/>
      <c r="QV4491" s="106"/>
      <c r="QW4491" s="106"/>
      <c r="QX4491" s="106"/>
      <c r="QY4491" s="106"/>
      <c r="QZ4491" s="106"/>
      <c r="RA4491" s="106"/>
      <c r="RB4491" s="106"/>
      <c r="RC4491" s="106"/>
      <c r="RD4491" s="106"/>
      <c r="RE4491" s="106"/>
      <c r="RF4491" s="106"/>
      <c r="RG4491" s="106"/>
      <c r="RH4491" s="106"/>
      <c r="RI4491" s="106"/>
      <c r="RJ4491" s="106"/>
      <c r="RK4491" s="106"/>
      <c r="RL4491" s="106"/>
    </row>
    <row r="4492" spans="462:480" x14ac:dyDescent="0.3">
      <c r="QT4492" s="106"/>
      <c r="QU4492" s="106"/>
      <c r="QV4492" s="106"/>
      <c r="QW4492" s="106"/>
      <c r="QX4492" s="106"/>
      <c r="QY4492" s="106"/>
      <c r="QZ4492" s="106"/>
      <c r="RA4492" s="106"/>
      <c r="RB4492" s="106"/>
      <c r="RC4492" s="106"/>
      <c r="RD4492" s="106"/>
      <c r="RE4492" s="106"/>
      <c r="RF4492" s="106"/>
      <c r="RG4492" s="106"/>
      <c r="RH4492" s="106"/>
      <c r="RI4492" s="106"/>
      <c r="RJ4492" s="106"/>
      <c r="RK4492" s="106"/>
      <c r="RL4492" s="106"/>
    </row>
    <row r="4493" spans="462:480" x14ac:dyDescent="0.3">
      <c r="QT4493" s="106"/>
      <c r="QU4493" s="106"/>
      <c r="QV4493" s="106"/>
      <c r="QW4493" s="106"/>
      <c r="QX4493" s="106"/>
      <c r="QY4493" s="106"/>
      <c r="QZ4493" s="106"/>
      <c r="RA4493" s="106"/>
      <c r="RB4493" s="106"/>
      <c r="RC4493" s="106"/>
      <c r="RD4493" s="106"/>
      <c r="RE4493" s="106"/>
      <c r="RF4493" s="106"/>
      <c r="RG4493" s="106"/>
      <c r="RH4493" s="106"/>
      <c r="RI4493" s="106"/>
      <c r="RJ4493" s="106"/>
      <c r="RK4493" s="106"/>
      <c r="RL4493" s="106"/>
    </row>
    <row r="4494" spans="462:480" x14ac:dyDescent="0.3">
      <c r="QT4494" s="106"/>
      <c r="QU4494" s="106"/>
      <c r="QV4494" s="106"/>
      <c r="QW4494" s="106"/>
      <c r="QX4494" s="106"/>
      <c r="QY4494" s="106"/>
      <c r="QZ4494" s="106"/>
      <c r="RA4494" s="106"/>
      <c r="RB4494" s="106"/>
      <c r="RC4494" s="106"/>
      <c r="RD4494" s="106"/>
      <c r="RE4494" s="106"/>
      <c r="RF4494" s="106"/>
      <c r="RG4494" s="106"/>
      <c r="RH4494" s="106"/>
      <c r="RI4494" s="106"/>
      <c r="RJ4494" s="106"/>
      <c r="RK4494" s="106"/>
      <c r="RL4494" s="106"/>
    </row>
    <row r="4495" spans="462:480" x14ac:dyDescent="0.3">
      <c r="QT4495" s="106"/>
      <c r="QU4495" s="106"/>
      <c r="QV4495" s="106"/>
      <c r="QW4495" s="106"/>
      <c r="QX4495" s="106"/>
      <c r="QY4495" s="106"/>
      <c r="QZ4495" s="106"/>
      <c r="RA4495" s="106"/>
      <c r="RB4495" s="106"/>
      <c r="RC4495" s="106"/>
      <c r="RD4495" s="106"/>
      <c r="RE4495" s="106"/>
      <c r="RF4495" s="106"/>
      <c r="RG4495" s="106"/>
      <c r="RH4495" s="106"/>
      <c r="RI4495" s="106"/>
      <c r="RJ4495" s="106"/>
      <c r="RK4495" s="106"/>
      <c r="RL4495" s="106"/>
    </row>
    <row r="4496" spans="462:480" x14ac:dyDescent="0.3">
      <c r="QT4496" s="106"/>
      <c r="QU4496" s="106"/>
      <c r="QV4496" s="106"/>
      <c r="QW4496" s="106"/>
      <c r="QX4496" s="106"/>
      <c r="QY4496" s="106"/>
      <c r="QZ4496" s="106"/>
      <c r="RA4496" s="106"/>
      <c r="RB4496" s="106"/>
      <c r="RC4496" s="106"/>
      <c r="RD4496" s="106"/>
      <c r="RE4496" s="106"/>
      <c r="RF4496" s="106"/>
      <c r="RG4496" s="106"/>
      <c r="RH4496" s="106"/>
      <c r="RI4496" s="106"/>
      <c r="RJ4496" s="106"/>
      <c r="RK4496" s="106"/>
      <c r="RL4496" s="106"/>
    </row>
    <row r="4497" spans="462:480" x14ac:dyDescent="0.3">
      <c r="QT4497" s="106"/>
      <c r="QU4497" s="106"/>
      <c r="QV4497" s="106"/>
      <c r="QW4497" s="106"/>
      <c r="QX4497" s="106"/>
      <c r="QY4497" s="106"/>
      <c r="QZ4497" s="106"/>
      <c r="RA4497" s="106"/>
      <c r="RB4497" s="106"/>
      <c r="RC4497" s="106"/>
      <c r="RD4497" s="106"/>
      <c r="RE4497" s="106"/>
      <c r="RF4497" s="106"/>
      <c r="RG4497" s="106"/>
      <c r="RH4497" s="106"/>
      <c r="RI4497" s="106"/>
      <c r="RJ4497" s="106"/>
      <c r="RK4497" s="106"/>
      <c r="RL4497" s="106"/>
    </row>
    <row r="4498" spans="462:480" x14ac:dyDescent="0.3">
      <c r="QT4498" s="106"/>
      <c r="QU4498" s="106"/>
      <c r="QV4498" s="106"/>
      <c r="QW4498" s="106"/>
      <c r="QX4498" s="106"/>
      <c r="QY4498" s="106"/>
      <c r="QZ4498" s="106"/>
      <c r="RA4498" s="106"/>
      <c r="RB4498" s="106"/>
      <c r="RC4498" s="106"/>
      <c r="RD4498" s="106"/>
      <c r="RE4498" s="106"/>
      <c r="RF4498" s="106"/>
      <c r="RG4498" s="106"/>
      <c r="RH4498" s="106"/>
      <c r="RI4498" s="106"/>
      <c r="RJ4498" s="106"/>
      <c r="RK4498" s="106"/>
      <c r="RL4498" s="106"/>
    </row>
    <row r="4499" spans="462:480" x14ac:dyDescent="0.3">
      <c r="QT4499" s="106"/>
      <c r="QU4499" s="106"/>
      <c r="QV4499" s="106"/>
      <c r="QW4499" s="106"/>
      <c r="QX4499" s="106"/>
      <c r="QY4499" s="106"/>
      <c r="QZ4499" s="106"/>
      <c r="RA4499" s="106"/>
      <c r="RB4499" s="106"/>
      <c r="RC4499" s="106"/>
      <c r="RD4499" s="106"/>
      <c r="RE4499" s="106"/>
      <c r="RF4499" s="106"/>
      <c r="RG4499" s="106"/>
      <c r="RH4499" s="106"/>
      <c r="RI4499" s="106"/>
      <c r="RJ4499" s="106"/>
      <c r="RK4499" s="106"/>
      <c r="RL4499" s="106"/>
    </row>
    <row r="4500" spans="462:480" x14ac:dyDescent="0.3">
      <c r="QT4500" s="106"/>
      <c r="QU4500" s="106"/>
      <c r="QV4500" s="106"/>
      <c r="QW4500" s="106"/>
      <c r="QX4500" s="106"/>
      <c r="QY4500" s="106"/>
      <c r="QZ4500" s="106"/>
      <c r="RA4500" s="106"/>
      <c r="RB4500" s="106"/>
      <c r="RC4500" s="106"/>
      <c r="RD4500" s="106"/>
      <c r="RE4500" s="106"/>
      <c r="RF4500" s="106"/>
      <c r="RG4500" s="106"/>
      <c r="RH4500" s="106"/>
      <c r="RI4500" s="106"/>
      <c r="RJ4500" s="106"/>
      <c r="RK4500" s="106"/>
      <c r="RL4500" s="106"/>
    </row>
    <row r="4501" spans="462:480" x14ac:dyDescent="0.3">
      <c r="QT4501" s="106"/>
      <c r="QU4501" s="106"/>
      <c r="QV4501" s="106"/>
      <c r="QW4501" s="106"/>
      <c r="QX4501" s="106"/>
      <c r="QY4501" s="106"/>
      <c r="QZ4501" s="106"/>
      <c r="RA4501" s="106"/>
      <c r="RB4501" s="106"/>
      <c r="RC4501" s="106"/>
      <c r="RD4501" s="106"/>
      <c r="RE4501" s="106"/>
      <c r="RF4501" s="106"/>
      <c r="RG4501" s="106"/>
      <c r="RH4501" s="106"/>
      <c r="RI4501" s="106"/>
      <c r="RJ4501" s="106"/>
      <c r="RK4501" s="106"/>
      <c r="RL4501" s="106"/>
    </row>
    <row r="4502" spans="462:480" x14ac:dyDescent="0.3">
      <c r="QT4502" s="106"/>
      <c r="QU4502" s="106"/>
      <c r="QV4502" s="106"/>
      <c r="QW4502" s="106"/>
      <c r="QX4502" s="106"/>
      <c r="QY4502" s="106"/>
      <c r="QZ4502" s="106"/>
      <c r="RA4502" s="106"/>
      <c r="RB4502" s="106"/>
      <c r="RC4502" s="106"/>
      <c r="RD4502" s="106"/>
      <c r="RE4502" s="106"/>
      <c r="RF4502" s="106"/>
      <c r="RG4502" s="106"/>
      <c r="RH4502" s="106"/>
      <c r="RI4502" s="106"/>
      <c r="RJ4502" s="106"/>
      <c r="RK4502" s="106"/>
      <c r="RL4502" s="106"/>
    </row>
    <row r="4503" spans="462:480" x14ac:dyDescent="0.3">
      <c r="QT4503" s="106"/>
      <c r="QU4503" s="106"/>
      <c r="QV4503" s="106"/>
      <c r="QW4503" s="106"/>
      <c r="QX4503" s="106"/>
      <c r="QY4503" s="106"/>
      <c r="QZ4503" s="106"/>
      <c r="RA4503" s="106"/>
      <c r="RB4503" s="106"/>
      <c r="RC4503" s="106"/>
      <c r="RD4503" s="106"/>
      <c r="RE4503" s="106"/>
      <c r="RF4503" s="106"/>
      <c r="RG4503" s="106"/>
      <c r="RH4503" s="106"/>
      <c r="RI4503" s="106"/>
      <c r="RJ4503" s="106"/>
      <c r="RK4503" s="106"/>
      <c r="RL4503" s="106"/>
    </row>
    <row r="4504" spans="462:480" x14ac:dyDescent="0.3">
      <c r="QT4504" s="106"/>
      <c r="QU4504" s="106"/>
      <c r="QV4504" s="106"/>
      <c r="QW4504" s="106"/>
      <c r="QX4504" s="106"/>
      <c r="QY4504" s="106"/>
      <c r="QZ4504" s="106"/>
      <c r="RA4504" s="106"/>
      <c r="RB4504" s="106"/>
      <c r="RC4504" s="106"/>
      <c r="RD4504" s="106"/>
      <c r="RE4504" s="106"/>
      <c r="RF4504" s="106"/>
      <c r="RG4504" s="106"/>
      <c r="RH4504" s="106"/>
      <c r="RI4504" s="106"/>
      <c r="RJ4504" s="106"/>
      <c r="RK4504" s="106"/>
      <c r="RL4504" s="106"/>
    </row>
    <row r="4505" spans="462:480" x14ac:dyDescent="0.3">
      <c r="QT4505" s="106"/>
      <c r="QU4505" s="106"/>
      <c r="QV4505" s="106"/>
      <c r="QW4505" s="106"/>
      <c r="QX4505" s="106"/>
      <c r="QY4505" s="106"/>
      <c r="QZ4505" s="106"/>
      <c r="RA4505" s="106"/>
      <c r="RB4505" s="106"/>
      <c r="RC4505" s="106"/>
      <c r="RD4505" s="106"/>
      <c r="RE4505" s="106"/>
      <c r="RF4505" s="106"/>
      <c r="RG4505" s="106"/>
      <c r="RH4505" s="106"/>
      <c r="RI4505" s="106"/>
      <c r="RJ4505" s="106"/>
      <c r="RK4505" s="106"/>
      <c r="RL4505" s="106"/>
    </row>
    <row r="4506" spans="462:480" x14ac:dyDescent="0.3">
      <c r="QT4506" s="106"/>
      <c r="QU4506" s="106"/>
      <c r="QV4506" s="106"/>
      <c r="QW4506" s="106"/>
      <c r="QX4506" s="106"/>
      <c r="QY4506" s="106"/>
      <c r="QZ4506" s="106"/>
      <c r="RA4506" s="106"/>
      <c r="RB4506" s="106"/>
      <c r="RC4506" s="106"/>
      <c r="RD4506" s="106"/>
      <c r="RE4506" s="106"/>
      <c r="RF4506" s="106"/>
      <c r="RG4506" s="106"/>
      <c r="RH4506" s="106"/>
      <c r="RI4506" s="106"/>
      <c r="RJ4506" s="106"/>
      <c r="RK4506" s="106"/>
      <c r="RL4506" s="106"/>
    </row>
    <row r="4507" spans="462:480" x14ac:dyDescent="0.3">
      <c r="QT4507" s="106"/>
      <c r="QU4507" s="106"/>
      <c r="QV4507" s="106"/>
      <c r="QW4507" s="106"/>
      <c r="QX4507" s="106"/>
      <c r="QY4507" s="106"/>
      <c r="QZ4507" s="106"/>
      <c r="RA4507" s="106"/>
      <c r="RB4507" s="106"/>
      <c r="RC4507" s="106"/>
      <c r="RD4507" s="106"/>
      <c r="RE4507" s="106"/>
      <c r="RF4507" s="106"/>
      <c r="RG4507" s="106"/>
      <c r="RH4507" s="106"/>
      <c r="RI4507" s="106"/>
      <c r="RJ4507" s="106"/>
      <c r="RK4507" s="106"/>
      <c r="RL4507" s="106"/>
    </row>
    <row r="4508" spans="462:480" x14ac:dyDescent="0.3">
      <c r="QT4508" s="106"/>
      <c r="QU4508" s="106"/>
      <c r="QV4508" s="106"/>
      <c r="QW4508" s="106"/>
      <c r="QX4508" s="106"/>
      <c r="QY4508" s="106"/>
      <c r="QZ4508" s="106"/>
      <c r="RA4508" s="106"/>
      <c r="RB4508" s="106"/>
      <c r="RC4508" s="106"/>
      <c r="RD4508" s="106"/>
      <c r="RE4508" s="106"/>
      <c r="RF4508" s="106"/>
      <c r="RG4508" s="106"/>
      <c r="RH4508" s="106"/>
      <c r="RI4508" s="106"/>
      <c r="RJ4508" s="106"/>
      <c r="RK4508" s="106"/>
      <c r="RL4508" s="106"/>
    </row>
    <row r="4509" spans="462:480" x14ac:dyDescent="0.3">
      <c r="QT4509" s="106"/>
      <c r="QU4509" s="106"/>
      <c r="QV4509" s="106"/>
      <c r="QW4509" s="106"/>
      <c r="QX4509" s="106"/>
      <c r="QY4509" s="106"/>
      <c r="QZ4509" s="106"/>
      <c r="RA4509" s="106"/>
      <c r="RB4509" s="106"/>
      <c r="RC4509" s="106"/>
      <c r="RD4509" s="106"/>
      <c r="RE4509" s="106"/>
      <c r="RF4509" s="106"/>
      <c r="RG4509" s="106"/>
      <c r="RH4509" s="106"/>
      <c r="RI4509" s="106"/>
      <c r="RJ4509" s="106"/>
      <c r="RK4509" s="106"/>
      <c r="RL4509" s="106"/>
    </row>
    <row r="4510" spans="462:480" x14ac:dyDescent="0.3">
      <c r="QT4510" s="106"/>
      <c r="QU4510" s="106"/>
      <c r="QV4510" s="106"/>
      <c r="QW4510" s="106"/>
      <c r="QX4510" s="106"/>
      <c r="QY4510" s="106"/>
      <c r="QZ4510" s="106"/>
      <c r="RA4510" s="106"/>
      <c r="RB4510" s="106"/>
      <c r="RC4510" s="106"/>
      <c r="RD4510" s="106"/>
      <c r="RE4510" s="106"/>
      <c r="RF4510" s="106"/>
      <c r="RG4510" s="106"/>
      <c r="RH4510" s="106"/>
      <c r="RI4510" s="106"/>
      <c r="RJ4510" s="106"/>
      <c r="RK4510" s="106"/>
      <c r="RL4510" s="106"/>
    </row>
    <row r="4511" spans="462:480" x14ac:dyDescent="0.3">
      <c r="QT4511" s="106"/>
      <c r="QU4511" s="106"/>
      <c r="QV4511" s="106"/>
      <c r="QW4511" s="106"/>
      <c r="QX4511" s="106"/>
      <c r="QY4511" s="106"/>
      <c r="QZ4511" s="106"/>
      <c r="RA4511" s="106"/>
      <c r="RB4511" s="106"/>
      <c r="RC4511" s="106"/>
      <c r="RD4511" s="106"/>
      <c r="RE4511" s="106"/>
      <c r="RF4511" s="106"/>
      <c r="RG4511" s="106"/>
      <c r="RH4511" s="106"/>
      <c r="RI4511" s="106"/>
      <c r="RJ4511" s="106"/>
      <c r="RK4511" s="106"/>
      <c r="RL4511" s="106"/>
    </row>
    <row r="4512" spans="462:480" x14ac:dyDescent="0.3">
      <c r="QT4512" s="106"/>
      <c r="QU4512" s="106"/>
      <c r="QV4512" s="106"/>
      <c r="QW4512" s="106"/>
      <c r="QX4512" s="106"/>
      <c r="QY4512" s="106"/>
      <c r="QZ4512" s="106"/>
      <c r="RA4512" s="106"/>
      <c r="RB4512" s="106"/>
      <c r="RC4512" s="106"/>
      <c r="RD4512" s="106"/>
      <c r="RE4512" s="106"/>
      <c r="RF4512" s="106"/>
      <c r="RG4512" s="106"/>
      <c r="RH4512" s="106"/>
      <c r="RI4512" s="106"/>
      <c r="RJ4512" s="106"/>
      <c r="RK4512" s="106"/>
      <c r="RL4512" s="106"/>
    </row>
    <row r="4513" spans="462:480" x14ac:dyDescent="0.3">
      <c r="QT4513" s="106"/>
      <c r="QU4513" s="106"/>
      <c r="QV4513" s="106"/>
      <c r="QW4513" s="106"/>
      <c r="QX4513" s="106"/>
      <c r="QY4513" s="106"/>
      <c r="QZ4513" s="106"/>
      <c r="RA4513" s="106"/>
      <c r="RB4513" s="106"/>
      <c r="RC4513" s="106"/>
      <c r="RD4513" s="106"/>
      <c r="RE4513" s="106"/>
      <c r="RF4513" s="106"/>
      <c r="RG4513" s="106"/>
      <c r="RH4513" s="106"/>
      <c r="RI4513" s="106"/>
      <c r="RJ4513" s="106"/>
      <c r="RK4513" s="106"/>
      <c r="RL4513" s="106"/>
    </row>
    <row r="4514" spans="462:480" x14ac:dyDescent="0.3">
      <c r="QT4514" s="106"/>
      <c r="QU4514" s="106"/>
      <c r="QV4514" s="106"/>
      <c r="QW4514" s="106"/>
      <c r="QX4514" s="106"/>
      <c r="QY4514" s="106"/>
      <c r="QZ4514" s="106"/>
      <c r="RA4514" s="106"/>
      <c r="RB4514" s="106"/>
      <c r="RC4514" s="106"/>
      <c r="RD4514" s="106"/>
      <c r="RE4514" s="106"/>
      <c r="RF4514" s="106"/>
      <c r="RG4514" s="106"/>
      <c r="RH4514" s="106"/>
      <c r="RI4514" s="106"/>
      <c r="RJ4514" s="106"/>
      <c r="RK4514" s="106"/>
      <c r="RL4514" s="106"/>
    </row>
    <row r="4515" spans="462:480" x14ac:dyDescent="0.3">
      <c r="QT4515" s="106"/>
      <c r="QU4515" s="106"/>
      <c r="QV4515" s="106"/>
      <c r="QW4515" s="106"/>
      <c r="QX4515" s="106"/>
      <c r="QY4515" s="106"/>
      <c r="QZ4515" s="106"/>
      <c r="RA4515" s="106"/>
      <c r="RB4515" s="106"/>
      <c r="RC4515" s="106"/>
      <c r="RD4515" s="106"/>
      <c r="RE4515" s="106"/>
      <c r="RF4515" s="106"/>
      <c r="RG4515" s="106"/>
      <c r="RH4515" s="106"/>
      <c r="RI4515" s="106"/>
      <c r="RJ4515" s="106"/>
      <c r="RK4515" s="106"/>
      <c r="RL4515" s="106"/>
    </row>
    <row r="4516" spans="462:480" x14ac:dyDescent="0.3">
      <c r="QT4516" s="106"/>
      <c r="QU4516" s="106"/>
      <c r="QV4516" s="106"/>
      <c r="QW4516" s="106"/>
      <c r="QX4516" s="106"/>
      <c r="QY4516" s="106"/>
      <c r="QZ4516" s="106"/>
      <c r="RA4516" s="106"/>
      <c r="RB4516" s="106"/>
      <c r="RC4516" s="106"/>
      <c r="RD4516" s="106"/>
      <c r="RE4516" s="106"/>
      <c r="RF4516" s="106"/>
      <c r="RG4516" s="106"/>
      <c r="RH4516" s="106"/>
      <c r="RI4516" s="106"/>
      <c r="RJ4516" s="106"/>
      <c r="RK4516" s="106"/>
      <c r="RL4516" s="106"/>
    </row>
    <row r="4517" spans="462:480" x14ac:dyDescent="0.3">
      <c r="QT4517" s="106"/>
      <c r="QU4517" s="106"/>
      <c r="QV4517" s="106"/>
      <c r="QW4517" s="106"/>
      <c r="QX4517" s="106"/>
      <c r="QY4517" s="106"/>
      <c r="QZ4517" s="106"/>
      <c r="RA4517" s="106"/>
      <c r="RB4517" s="106"/>
      <c r="RC4517" s="106"/>
      <c r="RD4517" s="106"/>
      <c r="RE4517" s="106"/>
      <c r="RF4517" s="106"/>
      <c r="RG4517" s="106"/>
      <c r="RH4517" s="106"/>
      <c r="RI4517" s="106"/>
      <c r="RJ4517" s="106"/>
      <c r="RK4517" s="106"/>
      <c r="RL4517" s="106"/>
    </row>
    <row r="4518" spans="462:480" x14ac:dyDescent="0.3">
      <c r="QT4518" s="106"/>
      <c r="QU4518" s="106"/>
      <c r="QV4518" s="106"/>
      <c r="QW4518" s="106"/>
      <c r="QX4518" s="106"/>
      <c r="QY4518" s="106"/>
      <c r="QZ4518" s="106"/>
      <c r="RA4518" s="106"/>
      <c r="RB4518" s="106"/>
      <c r="RC4518" s="106"/>
      <c r="RD4518" s="106"/>
      <c r="RE4518" s="106"/>
      <c r="RF4518" s="106"/>
      <c r="RG4518" s="106"/>
      <c r="RH4518" s="106"/>
      <c r="RI4518" s="106"/>
      <c r="RJ4518" s="106"/>
      <c r="RK4518" s="106"/>
      <c r="RL4518" s="106"/>
    </row>
    <row r="4519" spans="462:480" x14ac:dyDescent="0.3">
      <c r="QT4519" s="106"/>
      <c r="QU4519" s="106"/>
      <c r="QV4519" s="106"/>
      <c r="QW4519" s="106"/>
      <c r="QX4519" s="106"/>
      <c r="QY4519" s="106"/>
      <c r="QZ4519" s="106"/>
      <c r="RA4519" s="106"/>
      <c r="RB4519" s="106"/>
      <c r="RC4519" s="106"/>
      <c r="RD4519" s="106"/>
      <c r="RE4519" s="106"/>
      <c r="RF4519" s="106"/>
      <c r="RG4519" s="106"/>
      <c r="RH4519" s="106"/>
      <c r="RI4519" s="106"/>
      <c r="RJ4519" s="106"/>
      <c r="RK4519" s="106"/>
      <c r="RL4519" s="106"/>
    </row>
    <row r="4520" spans="462:480" x14ac:dyDescent="0.3">
      <c r="QT4520" s="106"/>
      <c r="QU4520" s="106"/>
      <c r="QV4520" s="106"/>
      <c r="QW4520" s="106"/>
      <c r="QX4520" s="106"/>
      <c r="QY4520" s="106"/>
      <c r="QZ4520" s="106"/>
      <c r="RA4520" s="106"/>
      <c r="RB4520" s="106"/>
      <c r="RC4520" s="106"/>
      <c r="RD4520" s="106"/>
      <c r="RE4520" s="106"/>
      <c r="RF4520" s="106"/>
      <c r="RG4520" s="106"/>
      <c r="RH4520" s="106"/>
      <c r="RI4520" s="106"/>
      <c r="RJ4520" s="106"/>
      <c r="RK4520" s="106"/>
      <c r="RL4520" s="106"/>
    </row>
    <row r="4521" spans="462:480" x14ac:dyDescent="0.3">
      <c r="QT4521" s="106"/>
      <c r="QU4521" s="106"/>
      <c r="QV4521" s="106"/>
      <c r="QW4521" s="106"/>
      <c r="QX4521" s="106"/>
      <c r="QY4521" s="106"/>
      <c r="QZ4521" s="106"/>
      <c r="RA4521" s="106"/>
      <c r="RB4521" s="106"/>
      <c r="RC4521" s="106"/>
      <c r="RD4521" s="106"/>
      <c r="RE4521" s="106"/>
      <c r="RF4521" s="106"/>
      <c r="RG4521" s="106"/>
      <c r="RH4521" s="106"/>
      <c r="RI4521" s="106"/>
      <c r="RJ4521" s="106"/>
      <c r="RK4521" s="106"/>
      <c r="RL4521" s="106"/>
    </row>
    <row r="4522" spans="462:480" x14ac:dyDescent="0.3">
      <c r="QT4522" s="106"/>
      <c r="QU4522" s="106"/>
      <c r="QV4522" s="106"/>
      <c r="QW4522" s="106"/>
      <c r="QX4522" s="106"/>
      <c r="QY4522" s="106"/>
      <c r="QZ4522" s="106"/>
      <c r="RA4522" s="106"/>
      <c r="RB4522" s="106"/>
      <c r="RC4522" s="106"/>
      <c r="RD4522" s="106"/>
      <c r="RE4522" s="106"/>
      <c r="RF4522" s="106"/>
      <c r="RG4522" s="106"/>
      <c r="RH4522" s="106"/>
      <c r="RI4522" s="106"/>
      <c r="RJ4522" s="106"/>
      <c r="RK4522" s="106"/>
      <c r="RL4522" s="106"/>
    </row>
    <row r="4523" spans="462:480" x14ac:dyDescent="0.3">
      <c r="QT4523" s="106"/>
      <c r="QU4523" s="106"/>
      <c r="QV4523" s="106"/>
      <c r="QW4523" s="106"/>
      <c r="QX4523" s="106"/>
      <c r="QY4523" s="106"/>
      <c r="QZ4523" s="106"/>
      <c r="RA4523" s="106"/>
      <c r="RB4523" s="106"/>
      <c r="RC4523" s="106"/>
      <c r="RD4523" s="106"/>
      <c r="RE4523" s="106"/>
      <c r="RF4523" s="106"/>
      <c r="RG4523" s="106"/>
      <c r="RH4523" s="106"/>
      <c r="RI4523" s="106"/>
      <c r="RJ4523" s="106"/>
      <c r="RK4523" s="106"/>
      <c r="RL4523" s="106"/>
    </row>
    <row r="4524" spans="462:480" x14ac:dyDescent="0.3">
      <c r="QT4524" s="106"/>
      <c r="QU4524" s="106"/>
      <c r="QV4524" s="106"/>
      <c r="QW4524" s="106"/>
      <c r="QX4524" s="106"/>
      <c r="QY4524" s="106"/>
      <c r="QZ4524" s="106"/>
      <c r="RA4524" s="106"/>
      <c r="RB4524" s="106"/>
      <c r="RC4524" s="106"/>
      <c r="RD4524" s="106"/>
      <c r="RE4524" s="106"/>
      <c r="RF4524" s="106"/>
      <c r="RG4524" s="106"/>
      <c r="RH4524" s="106"/>
      <c r="RI4524" s="106"/>
      <c r="RJ4524" s="106"/>
      <c r="RK4524" s="106"/>
      <c r="RL4524" s="106"/>
    </row>
    <row r="4525" spans="462:480" x14ac:dyDescent="0.3">
      <c r="QT4525" s="106"/>
      <c r="QU4525" s="106"/>
      <c r="QV4525" s="106"/>
      <c r="QW4525" s="106"/>
      <c r="QX4525" s="106"/>
      <c r="QY4525" s="106"/>
      <c r="QZ4525" s="106"/>
      <c r="RA4525" s="106"/>
      <c r="RB4525" s="106"/>
      <c r="RC4525" s="106"/>
      <c r="RD4525" s="106"/>
      <c r="RE4525" s="106"/>
      <c r="RF4525" s="106"/>
      <c r="RG4525" s="106"/>
      <c r="RH4525" s="106"/>
      <c r="RI4525" s="106"/>
      <c r="RJ4525" s="106"/>
      <c r="RK4525" s="106"/>
      <c r="RL4525" s="106"/>
    </row>
    <row r="4526" spans="462:480" x14ac:dyDescent="0.3">
      <c r="QT4526" s="106"/>
      <c r="QU4526" s="106"/>
      <c r="QV4526" s="106"/>
      <c r="QW4526" s="106"/>
      <c r="QX4526" s="106"/>
      <c r="QY4526" s="106"/>
      <c r="QZ4526" s="106"/>
      <c r="RA4526" s="106"/>
      <c r="RB4526" s="106"/>
      <c r="RC4526" s="106"/>
      <c r="RD4526" s="106"/>
      <c r="RE4526" s="106"/>
      <c r="RF4526" s="106"/>
      <c r="RG4526" s="106"/>
      <c r="RH4526" s="106"/>
      <c r="RI4526" s="106"/>
      <c r="RJ4526" s="106"/>
      <c r="RK4526" s="106"/>
      <c r="RL4526" s="106"/>
    </row>
    <row r="4527" spans="462:480" x14ac:dyDescent="0.3">
      <c r="QT4527" s="106"/>
      <c r="QU4527" s="106"/>
      <c r="QV4527" s="106"/>
      <c r="QW4527" s="106"/>
      <c r="QX4527" s="106"/>
      <c r="QY4527" s="106"/>
      <c r="QZ4527" s="106"/>
      <c r="RA4527" s="106"/>
      <c r="RB4527" s="106"/>
      <c r="RC4527" s="106"/>
      <c r="RD4527" s="106"/>
      <c r="RE4527" s="106"/>
      <c r="RF4527" s="106"/>
      <c r="RG4527" s="106"/>
      <c r="RH4527" s="106"/>
      <c r="RI4527" s="106"/>
      <c r="RJ4527" s="106"/>
      <c r="RK4527" s="106"/>
      <c r="RL4527" s="106"/>
    </row>
    <row r="4528" spans="462:480" x14ac:dyDescent="0.3">
      <c r="QT4528" s="106"/>
      <c r="QU4528" s="106"/>
      <c r="QV4528" s="106"/>
      <c r="QW4528" s="106"/>
      <c r="QX4528" s="106"/>
      <c r="QY4528" s="106"/>
      <c r="QZ4528" s="106"/>
      <c r="RA4528" s="106"/>
      <c r="RB4528" s="106"/>
      <c r="RC4528" s="106"/>
      <c r="RD4528" s="106"/>
      <c r="RE4528" s="106"/>
      <c r="RF4528" s="106"/>
      <c r="RG4528" s="106"/>
      <c r="RH4528" s="106"/>
      <c r="RI4528" s="106"/>
      <c r="RJ4528" s="106"/>
      <c r="RK4528" s="106"/>
      <c r="RL4528" s="106"/>
    </row>
    <row r="4529" spans="462:480" x14ac:dyDescent="0.3">
      <c r="QT4529" s="106"/>
      <c r="QU4529" s="106"/>
      <c r="QV4529" s="106"/>
      <c r="QW4529" s="106"/>
      <c r="QX4529" s="106"/>
      <c r="QY4529" s="106"/>
      <c r="QZ4529" s="106"/>
      <c r="RA4529" s="106"/>
      <c r="RB4529" s="106"/>
      <c r="RC4529" s="106"/>
      <c r="RD4529" s="106"/>
      <c r="RE4529" s="106"/>
      <c r="RF4529" s="106"/>
      <c r="RG4529" s="106"/>
      <c r="RH4529" s="106"/>
      <c r="RI4529" s="106"/>
      <c r="RJ4529" s="106"/>
      <c r="RK4529" s="106"/>
      <c r="RL4529" s="106"/>
    </row>
    <row r="4530" spans="462:480" x14ac:dyDescent="0.3">
      <c r="QT4530" s="106"/>
      <c r="QU4530" s="106"/>
      <c r="QV4530" s="106"/>
      <c r="QW4530" s="106"/>
      <c r="QX4530" s="106"/>
      <c r="QY4530" s="106"/>
      <c r="QZ4530" s="106"/>
      <c r="RA4530" s="106"/>
      <c r="RB4530" s="106"/>
      <c r="RC4530" s="106"/>
      <c r="RD4530" s="106"/>
      <c r="RE4530" s="106"/>
      <c r="RF4530" s="106"/>
      <c r="RG4530" s="106"/>
      <c r="RH4530" s="106"/>
      <c r="RI4530" s="106"/>
      <c r="RJ4530" s="106"/>
      <c r="RK4530" s="106"/>
      <c r="RL4530" s="106"/>
    </row>
    <row r="4531" spans="462:480" x14ac:dyDescent="0.3">
      <c r="QT4531" s="106"/>
      <c r="QU4531" s="106"/>
      <c r="QV4531" s="106"/>
      <c r="QW4531" s="106"/>
      <c r="QX4531" s="106"/>
      <c r="QY4531" s="106"/>
      <c r="QZ4531" s="106"/>
      <c r="RA4531" s="106"/>
      <c r="RB4531" s="106"/>
      <c r="RC4531" s="106"/>
      <c r="RD4531" s="106"/>
      <c r="RE4531" s="106"/>
      <c r="RF4531" s="106"/>
      <c r="RG4531" s="106"/>
      <c r="RH4531" s="106"/>
      <c r="RI4531" s="106"/>
      <c r="RJ4531" s="106"/>
      <c r="RK4531" s="106"/>
      <c r="RL4531" s="106"/>
    </row>
    <row r="4532" spans="462:480" x14ac:dyDescent="0.3">
      <c r="QT4532" s="106"/>
      <c r="QU4532" s="106"/>
      <c r="QV4532" s="106"/>
      <c r="QW4532" s="106"/>
      <c r="QX4532" s="106"/>
      <c r="QY4532" s="106"/>
      <c r="QZ4532" s="106"/>
      <c r="RA4532" s="106"/>
      <c r="RB4532" s="106"/>
      <c r="RC4532" s="106"/>
      <c r="RD4532" s="106"/>
      <c r="RE4532" s="106"/>
      <c r="RF4532" s="106"/>
      <c r="RG4532" s="106"/>
      <c r="RH4532" s="106"/>
      <c r="RI4532" s="106"/>
      <c r="RJ4532" s="106"/>
      <c r="RK4532" s="106"/>
      <c r="RL4532" s="106"/>
    </row>
    <row r="4533" spans="462:480" x14ac:dyDescent="0.3">
      <c r="QT4533" s="106"/>
      <c r="QU4533" s="106"/>
      <c r="QV4533" s="106"/>
      <c r="QW4533" s="106"/>
      <c r="QX4533" s="106"/>
      <c r="QY4533" s="106"/>
      <c r="QZ4533" s="106"/>
      <c r="RA4533" s="106"/>
      <c r="RB4533" s="106"/>
      <c r="RC4533" s="106"/>
      <c r="RD4533" s="106"/>
      <c r="RE4533" s="106"/>
      <c r="RF4533" s="106"/>
      <c r="RG4533" s="106"/>
      <c r="RH4533" s="106"/>
      <c r="RI4533" s="106"/>
      <c r="RJ4533" s="106"/>
      <c r="RK4533" s="106"/>
      <c r="RL4533" s="106"/>
    </row>
    <row r="4534" spans="462:480" x14ac:dyDescent="0.3">
      <c r="QT4534" s="106"/>
      <c r="QU4534" s="106"/>
      <c r="QV4534" s="106"/>
      <c r="QW4534" s="106"/>
      <c r="QX4534" s="106"/>
      <c r="QY4534" s="106"/>
      <c r="QZ4534" s="106"/>
      <c r="RA4534" s="106"/>
      <c r="RB4534" s="106"/>
      <c r="RC4534" s="106"/>
      <c r="RD4534" s="106"/>
      <c r="RE4534" s="106"/>
      <c r="RF4534" s="106"/>
      <c r="RG4534" s="106"/>
      <c r="RH4534" s="106"/>
      <c r="RI4534" s="106"/>
      <c r="RJ4534" s="106"/>
      <c r="RK4534" s="106"/>
      <c r="RL4534" s="106"/>
    </row>
    <row r="4535" spans="462:480" x14ac:dyDescent="0.3">
      <c r="QT4535" s="106"/>
      <c r="QU4535" s="106"/>
      <c r="QV4535" s="106"/>
      <c r="QW4535" s="106"/>
      <c r="QX4535" s="106"/>
      <c r="QY4535" s="106"/>
      <c r="QZ4535" s="106"/>
      <c r="RA4535" s="106"/>
      <c r="RB4535" s="106"/>
      <c r="RC4535" s="106"/>
      <c r="RD4535" s="106"/>
      <c r="RE4535" s="106"/>
      <c r="RF4535" s="106"/>
      <c r="RG4535" s="106"/>
      <c r="RH4535" s="106"/>
      <c r="RI4535" s="106"/>
      <c r="RJ4535" s="106"/>
      <c r="RK4535" s="106"/>
      <c r="RL4535" s="106"/>
    </row>
    <row r="4536" spans="462:480" x14ac:dyDescent="0.3">
      <c r="QT4536" s="106"/>
      <c r="QU4536" s="106"/>
      <c r="QV4536" s="106"/>
      <c r="QW4536" s="106"/>
      <c r="QX4536" s="106"/>
      <c r="QY4536" s="106"/>
      <c r="QZ4536" s="106"/>
      <c r="RA4536" s="106"/>
      <c r="RB4536" s="106"/>
      <c r="RC4536" s="106"/>
      <c r="RD4536" s="106"/>
      <c r="RE4536" s="106"/>
      <c r="RF4536" s="106"/>
      <c r="RG4536" s="106"/>
      <c r="RH4536" s="106"/>
      <c r="RI4536" s="106"/>
      <c r="RJ4536" s="106"/>
      <c r="RK4536" s="106"/>
      <c r="RL4536" s="106"/>
    </row>
    <row r="4537" spans="462:480" x14ac:dyDescent="0.3">
      <c r="QT4537" s="106"/>
      <c r="QU4537" s="106"/>
      <c r="QV4537" s="106"/>
      <c r="QW4537" s="106"/>
      <c r="QX4537" s="106"/>
      <c r="QY4537" s="106"/>
      <c r="QZ4537" s="106"/>
      <c r="RA4537" s="106"/>
      <c r="RB4537" s="106"/>
      <c r="RC4537" s="106"/>
      <c r="RD4537" s="106"/>
      <c r="RE4537" s="106"/>
      <c r="RF4537" s="106"/>
      <c r="RG4537" s="106"/>
      <c r="RH4537" s="106"/>
      <c r="RI4537" s="106"/>
      <c r="RJ4537" s="106"/>
      <c r="RK4537" s="106"/>
      <c r="RL4537" s="106"/>
    </row>
    <row r="4538" spans="462:480" x14ac:dyDescent="0.3">
      <c r="QT4538" s="106"/>
      <c r="QU4538" s="106"/>
      <c r="QV4538" s="106"/>
      <c r="QW4538" s="106"/>
      <c r="QX4538" s="106"/>
      <c r="QY4538" s="106"/>
      <c r="QZ4538" s="106"/>
      <c r="RA4538" s="106"/>
      <c r="RB4538" s="106"/>
      <c r="RC4538" s="106"/>
      <c r="RD4538" s="106"/>
      <c r="RE4538" s="106"/>
      <c r="RF4538" s="106"/>
      <c r="RG4538" s="106"/>
      <c r="RH4538" s="106"/>
      <c r="RI4538" s="106"/>
      <c r="RJ4538" s="106"/>
      <c r="RK4538" s="106"/>
      <c r="RL4538" s="106"/>
    </row>
    <row r="4539" spans="462:480" x14ac:dyDescent="0.3">
      <c r="QT4539" s="106"/>
      <c r="QU4539" s="106"/>
      <c r="QV4539" s="106"/>
      <c r="QW4539" s="106"/>
      <c r="QX4539" s="106"/>
      <c r="QY4539" s="106"/>
      <c r="QZ4539" s="106"/>
      <c r="RA4539" s="106"/>
      <c r="RB4539" s="106"/>
      <c r="RC4539" s="106"/>
      <c r="RD4539" s="106"/>
      <c r="RE4539" s="106"/>
      <c r="RF4539" s="106"/>
      <c r="RG4539" s="106"/>
      <c r="RH4539" s="106"/>
      <c r="RI4539" s="106"/>
      <c r="RJ4539" s="106"/>
      <c r="RK4539" s="106"/>
      <c r="RL4539" s="106"/>
    </row>
    <row r="4540" spans="462:480" x14ac:dyDescent="0.3">
      <c r="QT4540" s="106"/>
      <c r="QU4540" s="106"/>
      <c r="QV4540" s="106"/>
      <c r="QW4540" s="106"/>
      <c r="QX4540" s="106"/>
      <c r="QY4540" s="106"/>
      <c r="QZ4540" s="106"/>
      <c r="RA4540" s="106"/>
      <c r="RB4540" s="106"/>
      <c r="RC4540" s="106"/>
      <c r="RD4540" s="106"/>
      <c r="RE4540" s="106"/>
      <c r="RF4540" s="106"/>
      <c r="RG4540" s="106"/>
      <c r="RH4540" s="106"/>
      <c r="RI4540" s="106"/>
      <c r="RJ4540" s="106"/>
      <c r="RK4540" s="106"/>
      <c r="RL4540" s="106"/>
    </row>
    <row r="4541" spans="462:480" x14ac:dyDescent="0.3">
      <c r="QT4541" s="106"/>
      <c r="QU4541" s="106"/>
      <c r="QV4541" s="106"/>
      <c r="QW4541" s="106"/>
      <c r="QX4541" s="106"/>
      <c r="QY4541" s="106"/>
      <c r="QZ4541" s="106"/>
      <c r="RA4541" s="106"/>
      <c r="RB4541" s="106"/>
      <c r="RC4541" s="106"/>
      <c r="RD4541" s="106"/>
      <c r="RE4541" s="106"/>
      <c r="RF4541" s="106"/>
      <c r="RG4541" s="106"/>
      <c r="RH4541" s="106"/>
      <c r="RI4541" s="106"/>
      <c r="RJ4541" s="106"/>
      <c r="RK4541" s="106"/>
      <c r="RL4541" s="106"/>
    </row>
    <row r="4542" spans="462:480" x14ac:dyDescent="0.3">
      <c r="QT4542" s="106"/>
      <c r="QU4542" s="106"/>
      <c r="QV4542" s="106"/>
      <c r="QW4542" s="106"/>
      <c r="QX4542" s="106"/>
      <c r="QY4542" s="106"/>
      <c r="QZ4542" s="106"/>
      <c r="RA4542" s="106"/>
      <c r="RB4542" s="106"/>
      <c r="RC4542" s="106"/>
      <c r="RD4542" s="106"/>
      <c r="RE4542" s="106"/>
      <c r="RF4542" s="106"/>
      <c r="RG4542" s="106"/>
      <c r="RH4542" s="106"/>
      <c r="RI4542" s="106"/>
      <c r="RJ4542" s="106"/>
      <c r="RK4542" s="106"/>
      <c r="RL4542" s="106"/>
    </row>
    <row r="4543" spans="462:480" x14ac:dyDescent="0.3">
      <c r="QT4543" s="106"/>
      <c r="QU4543" s="106"/>
      <c r="QV4543" s="106"/>
      <c r="QW4543" s="106"/>
      <c r="QX4543" s="106"/>
      <c r="QY4543" s="106"/>
      <c r="QZ4543" s="106"/>
      <c r="RA4543" s="106"/>
      <c r="RB4543" s="106"/>
      <c r="RC4543" s="106"/>
      <c r="RD4543" s="106"/>
      <c r="RE4543" s="106"/>
      <c r="RF4543" s="106"/>
      <c r="RG4543" s="106"/>
      <c r="RH4543" s="106"/>
      <c r="RI4543" s="106"/>
      <c r="RJ4543" s="106"/>
      <c r="RK4543" s="106"/>
      <c r="RL4543" s="106"/>
    </row>
    <row r="4544" spans="462:480" x14ac:dyDescent="0.3">
      <c r="QT4544" s="106"/>
      <c r="QU4544" s="106"/>
      <c r="QV4544" s="106"/>
      <c r="QW4544" s="106"/>
      <c r="QX4544" s="106"/>
      <c r="QY4544" s="106"/>
      <c r="QZ4544" s="106"/>
      <c r="RA4544" s="106"/>
      <c r="RB4544" s="106"/>
      <c r="RC4544" s="106"/>
      <c r="RD4544" s="106"/>
      <c r="RE4544" s="106"/>
      <c r="RF4544" s="106"/>
      <c r="RG4544" s="106"/>
      <c r="RH4544" s="106"/>
      <c r="RI4544" s="106"/>
      <c r="RJ4544" s="106"/>
      <c r="RK4544" s="106"/>
      <c r="RL4544" s="106"/>
    </row>
    <row r="4545" spans="462:480" x14ac:dyDescent="0.3">
      <c r="QT4545" s="106"/>
      <c r="QU4545" s="106"/>
      <c r="QV4545" s="106"/>
      <c r="QW4545" s="106"/>
      <c r="QX4545" s="106"/>
      <c r="QY4545" s="106"/>
      <c r="QZ4545" s="106"/>
      <c r="RA4545" s="106"/>
      <c r="RB4545" s="106"/>
      <c r="RC4545" s="106"/>
      <c r="RD4545" s="106"/>
      <c r="RE4545" s="106"/>
      <c r="RF4545" s="106"/>
      <c r="RG4545" s="106"/>
      <c r="RH4545" s="106"/>
      <c r="RI4545" s="106"/>
      <c r="RJ4545" s="106"/>
      <c r="RK4545" s="106"/>
      <c r="RL4545" s="106"/>
    </row>
    <row r="4546" spans="462:480" x14ac:dyDescent="0.3">
      <c r="QT4546" s="106"/>
      <c r="QU4546" s="106"/>
      <c r="QV4546" s="106"/>
      <c r="QW4546" s="106"/>
      <c r="QX4546" s="106"/>
      <c r="QY4546" s="106"/>
      <c r="QZ4546" s="106"/>
      <c r="RA4546" s="106"/>
      <c r="RB4546" s="106"/>
      <c r="RC4546" s="106"/>
      <c r="RD4546" s="106"/>
      <c r="RE4546" s="106"/>
      <c r="RF4546" s="106"/>
      <c r="RG4546" s="106"/>
      <c r="RH4546" s="106"/>
      <c r="RI4546" s="106"/>
      <c r="RJ4546" s="106"/>
      <c r="RK4546" s="106"/>
      <c r="RL4546" s="106"/>
    </row>
    <row r="4547" spans="462:480" x14ac:dyDescent="0.3">
      <c r="QT4547" s="106"/>
      <c r="QU4547" s="106"/>
      <c r="QV4547" s="106"/>
      <c r="QW4547" s="106"/>
      <c r="QX4547" s="106"/>
      <c r="QY4547" s="106"/>
      <c r="QZ4547" s="106"/>
      <c r="RA4547" s="106"/>
      <c r="RB4547" s="106"/>
      <c r="RC4547" s="106"/>
      <c r="RD4547" s="106"/>
      <c r="RE4547" s="106"/>
      <c r="RF4547" s="106"/>
      <c r="RG4547" s="106"/>
      <c r="RH4547" s="106"/>
      <c r="RI4547" s="106"/>
      <c r="RJ4547" s="106"/>
      <c r="RK4547" s="106"/>
      <c r="RL4547" s="106"/>
    </row>
    <row r="4548" spans="462:480" x14ac:dyDescent="0.3">
      <c r="QT4548" s="106"/>
      <c r="QU4548" s="106"/>
      <c r="QV4548" s="106"/>
      <c r="QW4548" s="106"/>
      <c r="QX4548" s="106"/>
      <c r="QY4548" s="106"/>
      <c r="QZ4548" s="106"/>
      <c r="RA4548" s="106"/>
      <c r="RB4548" s="106"/>
      <c r="RC4548" s="106"/>
      <c r="RD4548" s="106"/>
      <c r="RE4548" s="106"/>
      <c r="RF4548" s="106"/>
      <c r="RG4548" s="106"/>
      <c r="RH4548" s="106"/>
      <c r="RI4548" s="106"/>
      <c r="RJ4548" s="106"/>
      <c r="RK4548" s="106"/>
      <c r="RL4548" s="106"/>
    </row>
    <row r="4549" spans="462:480" x14ac:dyDescent="0.3">
      <c r="QT4549" s="106"/>
      <c r="QU4549" s="106"/>
      <c r="QV4549" s="106"/>
      <c r="QW4549" s="106"/>
      <c r="QX4549" s="106"/>
      <c r="QY4549" s="106"/>
      <c r="QZ4549" s="106"/>
      <c r="RA4549" s="106"/>
      <c r="RB4549" s="106"/>
      <c r="RC4549" s="106"/>
      <c r="RD4549" s="106"/>
      <c r="RE4549" s="106"/>
      <c r="RF4549" s="106"/>
      <c r="RG4549" s="106"/>
      <c r="RH4549" s="106"/>
      <c r="RI4549" s="106"/>
      <c r="RJ4549" s="106"/>
      <c r="RK4549" s="106"/>
      <c r="RL4549" s="106"/>
    </row>
    <row r="4550" spans="462:480" x14ac:dyDescent="0.3">
      <c r="QT4550" s="106"/>
      <c r="QU4550" s="106"/>
      <c r="QV4550" s="106"/>
      <c r="QW4550" s="106"/>
      <c r="QX4550" s="106"/>
      <c r="QY4550" s="106"/>
      <c r="QZ4550" s="106"/>
      <c r="RA4550" s="106"/>
      <c r="RB4550" s="106"/>
      <c r="RC4550" s="106"/>
      <c r="RD4550" s="106"/>
      <c r="RE4550" s="106"/>
      <c r="RF4550" s="106"/>
      <c r="RG4550" s="106"/>
      <c r="RH4550" s="106"/>
      <c r="RI4550" s="106"/>
      <c r="RJ4550" s="106"/>
      <c r="RK4550" s="106"/>
      <c r="RL4550" s="106"/>
    </row>
    <row r="4551" spans="462:480" x14ac:dyDescent="0.3">
      <c r="QT4551" s="106"/>
      <c r="QU4551" s="106"/>
      <c r="QV4551" s="106"/>
      <c r="QW4551" s="106"/>
      <c r="QX4551" s="106"/>
      <c r="QY4551" s="106"/>
      <c r="QZ4551" s="106"/>
      <c r="RA4551" s="106"/>
      <c r="RB4551" s="106"/>
      <c r="RC4551" s="106"/>
      <c r="RD4551" s="106"/>
      <c r="RE4551" s="106"/>
      <c r="RF4551" s="106"/>
      <c r="RG4551" s="106"/>
      <c r="RH4551" s="106"/>
      <c r="RI4551" s="106"/>
      <c r="RJ4551" s="106"/>
      <c r="RK4551" s="106"/>
      <c r="RL4551" s="106"/>
    </row>
    <row r="4552" spans="462:480" x14ac:dyDescent="0.3">
      <c r="QT4552" s="106"/>
      <c r="QU4552" s="106"/>
      <c r="QV4552" s="106"/>
      <c r="QW4552" s="106"/>
      <c r="QX4552" s="106"/>
      <c r="QY4552" s="106"/>
      <c r="QZ4552" s="106"/>
      <c r="RA4552" s="106"/>
      <c r="RB4552" s="106"/>
      <c r="RC4552" s="106"/>
      <c r="RD4552" s="106"/>
      <c r="RE4552" s="106"/>
      <c r="RF4552" s="106"/>
      <c r="RG4552" s="106"/>
      <c r="RH4552" s="106"/>
      <c r="RI4552" s="106"/>
      <c r="RJ4552" s="106"/>
      <c r="RK4552" s="106"/>
      <c r="RL4552" s="106"/>
    </row>
    <row r="4553" spans="462:480" x14ac:dyDescent="0.3">
      <c r="QT4553" s="106"/>
      <c r="QU4553" s="106"/>
      <c r="QV4553" s="106"/>
      <c r="QW4553" s="106"/>
      <c r="QX4553" s="106"/>
      <c r="QY4553" s="106"/>
      <c r="QZ4553" s="106"/>
      <c r="RA4553" s="106"/>
      <c r="RB4553" s="106"/>
      <c r="RC4553" s="106"/>
      <c r="RD4553" s="106"/>
      <c r="RE4553" s="106"/>
      <c r="RF4553" s="106"/>
      <c r="RG4553" s="106"/>
      <c r="RH4553" s="106"/>
      <c r="RI4553" s="106"/>
      <c r="RJ4553" s="106"/>
      <c r="RK4553" s="106"/>
      <c r="RL4553" s="106"/>
    </row>
    <row r="4554" spans="462:480" x14ac:dyDescent="0.3">
      <c r="QT4554" s="106"/>
      <c r="QU4554" s="106"/>
      <c r="QV4554" s="106"/>
      <c r="QW4554" s="106"/>
      <c r="QX4554" s="106"/>
      <c r="QY4554" s="106"/>
      <c r="QZ4554" s="106"/>
      <c r="RA4554" s="106"/>
      <c r="RB4554" s="106"/>
      <c r="RC4554" s="106"/>
      <c r="RD4554" s="106"/>
      <c r="RE4554" s="106"/>
      <c r="RF4554" s="106"/>
      <c r="RG4554" s="106"/>
      <c r="RH4554" s="106"/>
      <c r="RI4554" s="106"/>
      <c r="RJ4554" s="106"/>
      <c r="RK4554" s="106"/>
      <c r="RL4554" s="106"/>
    </row>
    <row r="4555" spans="462:480" x14ac:dyDescent="0.3">
      <c r="QT4555" s="106"/>
      <c r="QU4555" s="106"/>
      <c r="QV4555" s="106"/>
      <c r="QW4555" s="106"/>
      <c r="QX4555" s="106"/>
      <c r="QY4555" s="106"/>
      <c r="QZ4555" s="106"/>
      <c r="RA4555" s="106"/>
      <c r="RB4555" s="106"/>
      <c r="RC4555" s="106"/>
      <c r="RD4555" s="106"/>
      <c r="RE4555" s="106"/>
      <c r="RF4555" s="106"/>
      <c r="RG4555" s="106"/>
      <c r="RH4555" s="106"/>
      <c r="RI4555" s="106"/>
      <c r="RJ4555" s="106"/>
      <c r="RK4555" s="106"/>
      <c r="RL4555" s="106"/>
    </row>
    <row r="4556" spans="462:480" x14ac:dyDescent="0.3">
      <c r="QT4556" s="106"/>
      <c r="QU4556" s="106"/>
      <c r="QV4556" s="106"/>
      <c r="QW4556" s="106"/>
      <c r="QX4556" s="106"/>
      <c r="QY4556" s="106"/>
      <c r="QZ4556" s="106"/>
      <c r="RA4556" s="106"/>
      <c r="RB4556" s="106"/>
      <c r="RC4556" s="106"/>
      <c r="RD4556" s="106"/>
      <c r="RE4556" s="106"/>
      <c r="RF4556" s="106"/>
      <c r="RG4556" s="106"/>
      <c r="RH4556" s="106"/>
      <c r="RI4556" s="106"/>
      <c r="RJ4556" s="106"/>
      <c r="RK4556" s="106"/>
      <c r="RL4556" s="106"/>
    </row>
    <row r="4557" spans="462:480" x14ac:dyDescent="0.3">
      <c r="QT4557" s="106"/>
      <c r="QU4557" s="106"/>
      <c r="QV4557" s="106"/>
      <c r="QW4557" s="106"/>
      <c r="QX4557" s="106"/>
      <c r="QY4557" s="106"/>
      <c r="QZ4557" s="106"/>
      <c r="RA4557" s="106"/>
      <c r="RB4557" s="106"/>
      <c r="RC4557" s="106"/>
      <c r="RD4557" s="106"/>
      <c r="RE4557" s="106"/>
      <c r="RF4557" s="106"/>
      <c r="RG4557" s="106"/>
      <c r="RH4557" s="106"/>
      <c r="RI4557" s="106"/>
      <c r="RJ4557" s="106"/>
      <c r="RK4557" s="106"/>
      <c r="RL4557" s="106"/>
    </row>
    <row r="4558" spans="462:480" x14ac:dyDescent="0.3">
      <c r="QT4558" s="106"/>
      <c r="QU4558" s="106"/>
      <c r="QV4558" s="106"/>
      <c r="QW4558" s="106"/>
      <c r="QX4558" s="106"/>
      <c r="QY4558" s="106"/>
      <c r="QZ4558" s="106"/>
      <c r="RA4558" s="106"/>
      <c r="RB4558" s="106"/>
      <c r="RC4558" s="106"/>
      <c r="RD4558" s="106"/>
      <c r="RE4558" s="106"/>
      <c r="RF4558" s="106"/>
      <c r="RG4558" s="106"/>
      <c r="RH4558" s="106"/>
      <c r="RI4558" s="106"/>
      <c r="RJ4558" s="106"/>
      <c r="RK4558" s="106"/>
      <c r="RL4558" s="106"/>
    </row>
    <row r="4559" spans="462:480" x14ac:dyDescent="0.3">
      <c r="QT4559" s="106"/>
      <c r="QU4559" s="106"/>
      <c r="QV4559" s="106"/>
      <c r="QW4559" s="106"/>
      <c r="QX4559" s="106"/>
      <c r="QY4559" s="106"/>
      <c r="QZ4559" s="106"/>
      <c r="RA4559" s="106"/>
      <c r="RB4559" s="106"/>
      <c r="RC4559" s="106"/>
      <c r="RD4559" s="106"/>
      <c r="RE4559" s="106"/>
      <c r="RF4559" s="106"/>
      <c r="RG4559" s="106"/>
      <c r="RH4559" s="106"/>
      <c r="RI4559" s="106"/>
      <c r="RJ4559" s="106"/>
      <c r="RK4559" s="106"/>
      <c r="RL4559" s="106"/>
    </row>
    <row r="4560" spans="462:480" x14ac:dyDescent="0.3">
      <c r="QT4560" s="106"/>
      <c r="QU4560" s="106"/>
      <c r="QV4560" s="106"/>
      <c r="QW4560" s="106"/>
      <c r="QX4560" s="106"/>
      <c r="QY4560" s="106"/>
      <c r="QZ4560" s="106"/>
      <c r="RA4560" s="106"/>
      <c r="RB4560" s="106"/>
      <c r="RC4560" s="106"/>
      <c r="RD4560" s="106"/>
      <c r="RE4560" s="106"/>
      <c r="RF4560" s="106"/>
      <c r="RG4560" s="106"/>
      <c r="RH4560" s="106"/>
      <c r="RI4560" s="106"/>
      <c r="RJ4560" s="106"/>
      <c r="RK4560" s="106"/>
      <c r="RL4560" s="106"/>
    </row>
    <row r="4561" spans="462:480" x14ac:dyDescent="0.3">
      <c r="QT4561" s="106"/>
      <c r="QU4561" s="106"/>
      <c r="QV4561" s="106"/>
      <c r="QW4561" s="106"/>
      <c r="QX4561" s="106"/>
      <c r="QY4561" s="106"/>
      <c r="QZ4561" s="106"/>
      <c r="RA4561" s="106"/>
      <c r="RB4561" s="106"/>
      <c r="RC4561" s="106"/>
      <c r="RD4561" s="106"/>
      <c r="RE4561" s="106"/>
      <c r="RF4561" s="106"/>
      <c r="RG4561" s="106"/>
      <c r="RH4561" s="106"/>
      <c r="RI4561" s="106"/>
      <c r="RJ4561" s="106"/>
      <c r="RK4561" s="106"/>
      <c r="RL4561" s="106"/>
    </row>
    <row r="4562" spans="462:480" x14ac:dyDescent="0.3">
      <c r="QT4562" s="106"/>
      <c r="QU4562" s="106"/>
      <c r="QV4562" s="106"/>
      <c r="QW4562" s="106"/>
      <c r="QX4562" s="106"/>
      <c r="QY4562" s="106"/>
      <c r="QZ4562" s="106"/>
      <c r="RA4562" s="106"/>
      <c r="RB4562" s="106"/>
      <c r="RC4562" s="106"/>
      <c r="RD4562" s="106"/>
      <c r="RE4562" s="106"/>
      <c r="RF4562" s="106"/>
      <c r="RG4562" s="106"/>
      <c r="RH4562" s="106"/>
      <c r="RI4562" s="106"/>
      <c r="RJ4562" s="106"/>
      <c r="RK4562" s="106"/>
      <c r="RL4562" s="106"/>
    </row>
    <row r="4563" spans="462:480" x14ac:dyDescent="0.3">
      <c r="QT4563" s="106"/>
      <c r="QU4563" s="106"/>
      <c r="QV4563" s="106"/>
      <c r="QW4563" s="106"/>
      <c r="QX4563" s="106"/>
      <c r="QY4563" s="106"/>
      <c r="QZ4563" s="106"/>
      <c r="RA4563" s="106"/>
      <c r="RB4563" s="106"/>
      <c r="RC4563" s="106"/>
      <c r="RD4563" s="106"/>
      <c r="RE4563" s="106"/>
      <c r="RF4563" s="106"/>
      <c r="RG4563" s="106"/>
      <c r="RH4563" s="106"/>
      <c r="RI4563" s="106"/>
      <c r="RJ4563" s="106"/>
      <c r="RK4563" s="106"/>
      <c r="RL4563" s="106"/>
    </row>
    <row r="4564" spans="462:480" x14ac:dyDescent="0.3">
      <c r="QT4564" s="106"/>
      <c r="QU4564" s="106"/>
      <c r="QV4564" s="106"/>
      <c r="QW4564" s="106"/>
      <c r="QX4564" s="106"/>
      <c r="QY4564" s="106"/>
      <c r="QZ4564" s="106"/>
      <c r="RA4564" s="106"/>
      <c r="RB4564" s="106"/>
      <c r="RC4564" s="106"/>
      <c r="RD4564" s="106"/>
      <c r="RE4564" s="106"/>
      <c r="RF4564" s="106"/>
      <c r="RG4564" s="106"/>
      <c r="RH4564" s="106"/>
      <c r="RI4564" s="106"/>
      <c r="RJ4564" s="106"/>
      <c r="RK4564" s="106"/>
      <c r="RL4564" s="106"/>
    </row>
    <row r="4565" spans="462:480" x14ac:dyDescent="0.3">
      <c r="QT4565" s="106"/>
      <c r="QU4565" s="106"/>
      <c r="QV4565" s="106"/>
      <c r="QW4565" s="106"/>
      <c r="QX4565" s="106"/>
      <c r="QY4565" s="106"/>
      <c r="QZ4565" s="106"/>
      <c r="RA4565" s="106"/>
      <c r="RB4565" s="106"/>
      <c r="RC4565" s="106"/>
      <c r="RD4565" s="106"/>
      <c r="RE4565" s="106"/>
      <c r="RF4565" s="106"/>
      <c r="RG4565" s="106"/>
      <c r="RH4565" s="106"/>
      <c r="RI4565" s="106"/>
      <c r="RJ4565" s="106"/>
      <c r="RK4565" s="106"/>
      <c r="RL4565" s="106"/>
    </row>
    <row r="4566" spans="462:480" x14ac:dyDescent="0.3">
      <c r="QT4566" s="106"/>
      <c r="QU4566" s="106"/>
      <c r="QV4566" s="106"/>
      <c r="QW4566" s="106"/>
      <c r="QX4566" s="106"/>
      <c r="QY4566" s="106"/>
      <c r="QZ4566" s="106"/>
      <c r="RA4566" s="106"/>
      <c r="RB4566" s="106"/>
      <c r="RC4566" s="106"/>
      <c r="RD4566" s="106"/>
      <c r="RE4566" s="106"/>
      <c r="RF4566" s="106"/>
      <c r="RG4566" s="106"/>
      <c r="RH4566" s="106"/>
      <c r="RI4566" s="106"/>
      <c r="RJ4566" s="106"/>
      <c r="RK4566" s="106"/>
      <c r="RL4566" s="106"/>
    </row>
    <row r="4567" spans="462:480" x14ac:dyDescent="0.3">
      <c r="QT4567" s="106"/>
      <c r="QU4567" s="106"/>
      <c r="QV4567" s="106"/>
      <c r="QW4567" s="106"/>
      <c r="QX4567" s="106"/>
      <c r="QY4567" s="106"/>
      <c r="QZ4567" s="106"/>
      <c r="RA4567" s="106"/>
      <c r="RB4567" s="106"/>
      <c r="RC4567" s="106"/>
      <c r="RD4567" s="106"/>
      <c r="RE4567" s="106"/>
      <c r="RF4567" s="106"/>
      <c r="RG4567" s="106"/>
      <c r="RH4567" s="106"/>
      <c r="RI4567" s="106"/>
      <c r="RJ4567" s="106"/>
      <c r="RK4567" s="106"/>
      <c r="RL4567" s="106"/>
    </row>
    <row r="4568" spans="462:480" x14ac:dyDescent="0.3">
      <c r="QT4568" s="106"/>
      <c r="QU4568" s="106"/>
      <c r="QV4568" s="106"/>
      <c r="QW4568" s="106"/>
      <c r="QX4568" s="106"/>
      <c r="QY4568" s="106"/>
      <c r="QZ4568" s="106"/>
      <c r="RA4568" s="106"/>
      <c r="RB4568" s="106"/>
      <c r="RC4568" s="106"/>
      <c r="RD4568" s="106"/>
      <c r="RE4568" s="106"/>
      <c r="RF4568" s="106"/>
      <c r="RG4568" s="106"/>
      <c r="RH4568" s="106"/>
      <c r="RI4568" s="106"/>
      <c r="RJ4568" s="106"/>
      <c r="RK4568" s="106"/>
      <c r="RL4568" s="106"/>
    </row>
    <row r="4569" spans="462:480" x14ac:dyDescent="0.3">
      <c r="QT4569" s="106"/>
      <c r="QU4569" s="106"/>
      <c r="QV4569" s="106"/>
      <c r="QW4569" s="106"/>
      <c r="QX4569" s="106"/>
      <c r="QY4569" s="106"/>
      <c r="QZ4569" s="106"/>
      <c r="RA4569" s="106"/>
      <c r="RB4569" s="106"/>
      <c r="RC4569" s="106"/>
      <c r="RD4569" s="106"/>
      <c r="RE4569" s="106"/>
      <c r="RF4569" s="106"/>
      <c r="RG4569" s="106"/>
      <c r="RH4569" s="106"/>
      <c r="RI4569" s="106"/>
      <c r="RJ4569" s="106"/>
      <c r="RK4569" s="106"/>
      <c r="RL4569" s="106"/>
    </row>
    <row r="4570" spans="462:480" x14ac:dyDescent="0.3">
      <c r="QT4570" s="106"/>
      <c r="QU4570" s="106"/>
      <c r="QV4570" s="106"/>
      <c r="QW4570" s="106"/>
      <c r="QX4570" s="106"/>
      <c r="QY4570" s="106"/>
      <c r="QZ4570" s="106"/>
      <c r="RA4570" s="106"/>
      <c r="RB4570" s="106"/>
      <c r="RC4570" s="106"/>
      <c r="RD4570" s="106"/>
      <c r="RE4570" s="106"/>
      <c r="RF4570" s="106"/>
      <c r="RG4570" s="106"/>
      <c r="RH4570" s="106"/>
      <c r="RI4570" s="106"/>
      <c r="RJ4570" s="106"/>
      <c r="RK4570" s="106"/>
      <c r="RL4570" s="106"/>
    </row>
    <row r="4571" spans="462:480" x14ac:dyDescent="0.3">
      <c r="QT4571" s="106"/>
      <c r="QU4571" s="106"/>
      <c r="QV4571" s="106"/>
      <c r="QW4571" s="106"/>
      <c r="QX4571" s="106"/>
      <c r="QY4571" s="106"/>
      <c r="QZ4571" s="106"/>
      <c r="RA4571" s="106"/>
      <c r="RB4571" s="106"/>
      <c r="RC4571" s="106"/>
      <c r="RD4571" s="106"/>
      <c r="RE4571" s="106"/>
      <c r="RF4571" s="106"/>
      <c r="RG4571" s="106"/>
      <c r="RH4571" s="106"/>
      <c r="RI4571" s="106"/>
      <c r="RJ4571" s="106"/>
      <c r="RK4571" s="106"/>
      <c r="RL4571" s="106"/>
    </row>
    <row r="4572" spans="462:480" x14ac:dyDescent="0.3">
      <c r="QT4572" s="106"/>
      <c r="QU4572" s="106"/>
      <c r="QV4572" s="106"/>
      <c r="QW4572" s="106"/>
      <c r="QX4572" s="106"/>
      <c r="QY4572" s="106"/>
      <c r="QZ4572" s="106"/>
      <c r="RA4572" s="106"/>
      <c r="RB4572" s="106"/>
      <c r="RC4572" s="106"/>
      <c r="RD4572" s="106"/>
      <c r="RE4572" s="106"/>
      <c r="RF4572" s="106"/>
      <c r="RG4572" s="106"/>
      <c r="RH4572" s="106"/>
      <c r="RI4572" s="106"/>
      <c r="RJ4572" s="106"/>
      <c r="RK4572" s="106"/>
      <c r="RL4572" s="106"/>
    </row>
    <row r="4573" spans="462:480" x14ac:dyDescent="0.3">
      <c r="QT4573" s="106"/>
      <c r="QU4573" s="106"/>
      <c r="QV4573" s="106"/>
      <c r="QW4573" s="106"/>
      <c r="QX4573" s="106"/>
      <c r="QY4573" s="106"/>
      <c r="QZ4573" s="106"/>
      <c r="RA4573" s="106"/>
      <c r="RB4573" s="106"/>
      <c r="RC4573" s="106"/>
      <c r="RD4573" s="106"/>
      <c r="RE4573" s="106"/>
      <c r="RF4573" s="106"/>
      <c r="RG4573" s="106"/>
      <c r="RH4573" s="106"/>
      <c r="RI4573" s="106"/>
      <c r="RJ4573" s="106"/>
      <c r="RK4573" s="106"/>
      <c r="RL4573" s="106"/>
    </row>
    <row r="4574" spans="462:480" x14ac:dyDescent="0.3">
      <c r="QT4574" s="106"/>
      <c r="QU4574" s="106"/>
      <c r="QV4574" s="106"/>
      <c r="QW4574" s="106"/>
      <c r="QX4574" s="106"/>
      <c r="QY4574" s="106"/>
      <c r="QZ4574" s="106"/>
      <c r="RA4574" s="106"/>
      <c r="RB4574" s="106"/>
      <c r="RC4574" s="106"/>
      <c r="RD4574" s="106"/>
      <c r="RE4574" s="106"/>
      <c r="RF4574" s="106"/>
      <c r="RG4574" s="106"/>
      <c r="RH4574" s="106"/>
      <c r="RI4574" s="106"/>
      <c r="RJ4574" s="106"/>
      <c r="RK4574" s="106"/>
      <c r="RL4574" s="106"/>
    </row>
    <row r="4575" spans="462:480" x14ac:dyDescent="0.3">
      <c r="QT4575" s="106"/>
      <c r="QU4575" s="106"/>
      <c r="QV4575" s="106"/>
      <c r="QW4575" s="106"/>
      <c r="QX4575" s="106"/>
      <c r="QY4575" s="106"/>
      <c r="QZ4575" s="106"/>
      <c r="RA4575" s="106"/>
      <c r="RB4575" s="106"/>
      <c r="RC4575" s="106"/>
      <c r="RD4575" s="106"/>
      <c r="RE4575" s="106"/>
      <c r="RF4575" s="106"/>
      <c r="RG4575" s="106"/>
      <c r="RH4575" s="106"/>
      <c r="RI4575" s="106"/>
      <c r="RJ4575" s="106"/>
      <c r="RK4575" s="106"/>
      <c r="RL4575" s="106"/>
    </row>
    <row r="4576" spans="462:480" x14ac:dyDescent="0.3">
      <c r="QT4576" s="106"/>
      <c r="QU4576" s="106"/>
      <c r="QV4576" s="106"/>
      <c r="QW4576" s="106"/>
      <c r="QX4576" s="106"/>
      <c r="QY4576" s="106"/>
      <c r="QZ4576" s="106"/>
      <c r="RA4576" s="106"/>
      <c r="RB4576" s="106"/>
      <c r="RC4576" s="106"/>
      <c r="RD4576" s="106"/>
      <c r="RE4576" s="106"/>
      <c r="RF4576" s="106"/>
      <c r="RG4576" s="106"/>
      <c r="RH4576" s="106"/>
      <c r="RI4576" s="106"/>
      <c r="RJ4576" s="106"/>
      <c r="RK4576" s="106"/>
      <c r="RL4576" s="106"/>
    </row>
    <row r="4577" spans="462:480" x14ac:dyDescent="0.3">
      <c r="QT4577" s="106"/>
      <c r="QU4577" s="106"/>
      <c r="QV4577" s="106"/>
      <c r="QW4577" s="106"/>
      <c r="QX4577" s="106"/>
      <c r="QY4577" s="106"/>
      <c r="QZ4577" s="106"/>
      <c r="RA4577" s="106"/>
      <c r="RB4577" s="106"/>
      <c r="RC4577" s="106"/>
      <c r="RD4577" s="106"/>
      <c r="RE4577" s="106"/>
      <c r="RF4577" s="106"/>
      <c r="RG4577" s="106"/>
      <c r="RH4577" s="106"/>
      <c r="RI4577" s="106"/>
      <c r="RJ4577" s="106"/>
      <c r="RK4577" s="106"/>
      <c r="RL4577" s="106"/>
    </row>
    <row r="4578" spans="462:480" x14ac:dyDescent="0.3">
      <c r="QT4578" s="106"/>
      <c r="QU4578" s="106"/>
      <c r="QV4578" s="106"/>
      <c r="QW4578" s="106"/>
      <c r="QX4578" s="106"/>
      <c r="QY4578" s="106"/>
      <c r="QZ4578" s="106"/>
      <c r="RA4578" s="106"/>
      <c r="RB4578" s="106"/>
      <c r="RC4578" s="106"/>
      <c r="RD4578" s="106"/>
      <c r="RE4578" s="106"/>
      <c r="RF4578" s="106"/>
      <c r="RG4578" s="106"/>
      <c r="RH4578" s="106"/>
      <c r="RI4578" s="106"/>
      <c r="RJ4578" s="106"/>
      <c r="RK4578" s="106"/>
      <c r="RL4578" s="106"/>
    </row>
    <row r="4579" spans="462:480" x14ac:dyDescent="0.3">
      <c r="QT4579" s="106"/>
      <c r="QU4579" s="106"/>
      <c r="QV4579" s="106"/>
      <c r="QW4579" s="106"/>
      <c r="QX4579" s="106"/>
      <c r="QY4579" s="106"/>
      <c r="QZ4579" s="106"/>
      <c r="RA4579" s="106"/>
      <c r="RB4579" s="106"/>
      <c r="RC4579" s="106"/>
      <c r="RD4579" s="106"/>
      <c r="RE4579" s="106"/>
      <c r="RF4579" s="106"/>
      <c r="RG4579" s="106"/>
      <c r="RH4579" s="106"/>
      <c r="RI4579" s="106"/>
      <c r="RJ4579" s="106"/>
      <c r="RK4579" s="106"/>
      <c r="RL4579" s="106"/>
    </row>
    <row r="4580" spans="462:480" x14ac:dyDescent="0.3">
      <c r="QT4580" s="106"/>
      <c r="QU4580" s="106"/>
      <c r="QV4580" s="106"/>
      <c r="QW4580" s="106"/>
      <c r="QX4580" s="106"/>
      <c r="QY4580" s="106"/>
      <c r="QZ4580" s="106"/>
      <c r="RA4580" s="106"/>
      <c r="RB4580" s="106"/>
      <c r="RC4580" s="106"/>
      <c r="RD4580" s="106"/>
      <c r="RE4580" s="106"/>
      <c r="RF4580" s="106"/>
      <c r="RG4580" s="106"/>
      <c r="RH4580" s="106"/>
      <c r="RI4580" s="106"/>
      <c r="RJ4580" s="106"/>
      <c r="RK4580" s="106"/>
      <c r="RL4580" s="106"/>
    </row>
    <row r="4581" spans="462:480" x14ac:dyDescent="0.3">
      <c r="QT4581" s="106"/>
      <c r="QU4581" s="106"/>
      <c r="QV4581" s="106"/>
      <c r="QW4581" s="106"/>
      <c r="QX4581" s="106"/>
      <c r="QY4581" s="106"/>
      <c r="QZ4581" s="106"/>
      <c r="RA4581" s="106"/>
      <c r="RB4581" s="106"/>
      <c r="RC4581" s="106"/>
      <c r="RD4581" s="106"/>
      <c r="RE4581" s="106"/>
      <c r="RF4581" s="106"/>
      <c r="RG4581" s="106"/>
      <c r="RH4581" s="106"/>
      <c r="RI4581" s="106"/>
      <c r="RJ4581" s="106"/>
      <c r="RK4581" s="106"/>
      <c r="RL4581" s="106"/>
    </row>
    <row r="4582" spans="462:480" x14ac:dyDescent="0.3">
      <c r="QT4582" s="106"/>
      <c r="QU4582" s="106"/>
      <c r="QV4582" s="106"/>
      <c r="QW4582" s="106"/>
      <c r="QX4582" s="106"/>
      <c r="QY4582" s="106"/>
      <c r="QZ4582" s="106"/>
      <c r="RA4582" s="106"/>
      <c r="RB4582" s="106"/>
      <c r="RC4582" s="106"/>
      <c r="RD4582" s="106"/>
      <c r="RE4582" s="106"/>
      <c r="RF4582" s="106"/>
      <c r="RG4582" s="106"/>
      <c r="RH4582" s="106"/>
      <c r="RI4582" s="106"/>
      <c r="RJ4582" s="106"/>
      <c r="RK4582" s="106"/>
      <c r="RL4582" s="106"/>
    </row>
    <row r="4583" spans="462:480" x14ac:dyDescent="0.3">
      <c r="QT4583" s="106"/>
      <c r="QU4583" s="106"/>
      <c r="QV4583" s="106"/>
      <c r="QW4583" s="106"/>
      <c r="QX4583" s="106"/>
      <c r="QY4583" s="106"/>
      <c r="QZ4583" s="106"/>
      <c r="RA4583" s="106"/>
      <c r="RB4583" s="106"/>
      <c r="RC4583" s="106"/>
      <c r="RD4583" s="106"/>
      <c r="RE4583" s="106"/>
      <c r="RF4583" s="106"/>
      <c r="RG4583" s="106"/>
      <c r="RH4583" s="106"/>
      <c r="RI4583" s="106"/>
      <c r="RJ4583" s="106"/>
      <c r="RK4583" s="106"/>
      <c r="RL4583" s="106"/>
    </row>
    <row r="4584" spans="462:480" x14ac:dyDescent="0.3">
      <c r="QT4584" s="106"/>
      <c r="QU4584" s="106"/>
      <c r="QV4584" s="106"/>
      <c r="QW4584" s="106"/>
      <c r="QX4584" s="106"/>
      <c r="QY4584" s="106"/>
      <c r="QZ4584" s="106"/>
      <c r="RA4584" s="106"/>
      <c r="RB4584" s="106"/>
      <c r="RC4584" s="106"/>
      <c r="RD4584" s="106"/>
      <c r="RE4584" s="106"/>
      <c r="RF4584" s="106"/>
      <c r="RG4584" s="106"/>
      <c r="RH4584" s="106"/>
      <c r="RI4584" s="106"/>
      <c r="RJ4584" s="106"/>
      <c r="RK4584" s="106"/>
      <c r="RL4584" s="106"/>
    </row>
    <row r="4585" spans="462:480" x14ac:dyDescent="0.3">
      <c r="QT4585" s="106"/>
      <c r="QU4585" s="106"/>
      <c r="QV4585" s="106"/>
      <c r="QW4585" s="106"/>
      <c r="QX4585" s="106"/>
      <c r="QY4585" s="106"/>
      <c r="QZ4585" s="106"/>
      <c r="RA4585" s="106"/>
      <c r="RB4585" s="106"/>
      <c r="RC4585" s="106"/>
      <c r="RD4585" s="106"/>
      <c r="RE4585" s="106"/>
      <c r="RF4585" s="106"/>
      <c r="RG4585" s="106"/>
      <c r="RH4585" s="106"/>
      <c r="RI4585" s="106"/>
      <c r="RJ4585" s="106"/>
      <c r="RK4585" s="106"/>
      <c r="RL4585" s="106"/>
    </row>
    <row r="4586" spans="462:480" x14ac:dyDescent="0.3">
      <c r="QT4586" s="106"/>
      <c r="QU4586" s="106"/>
      <c r="QV4586" s="106"/>
      <c r="QW4586" s="106"/>
      <c r="QX4586" s="106"/>
      <c r="QY4586" s="106"/>
      <c r="QZ4586" s="106"/>
      <c r="RA4586" s="106"/>
      <c r="RB4586" s="106"/>
      <c r="RC4586" s="106"/>
      <c r="RD4586" s="106"/>
      <c r="RE4586" s="106"/>
      <c r="RF4586" s="106"/>
      <c r="RG4586" s="106"/>
      <c r="RH4586" s="106"/>
      <c r="RI4586" s="106"/>
      <c r="RJ4586" s="106"/>
      <c r="RK4586" s="106"/>
      <c r="RL4586" s="106"/>
    </row>
    <row r="4587" spans="462:480" x14ac:dyDescent="0.3">
      <c r="QT4587" s="106"/>
      <c r="QU4587" s="106"/>
      <c r="QV4587" s="106"/>
      <c r="QW4587" s="106"/>
      <c r="QX4587" s="106"/>
      <c r="QY4587" s="106"/>
      <c r="QZ4587" s="106"/>
      <c r="RA4587" s="106"/>
      <c r="RB4587" s="106"/>
      <c r="RC4587" s="106"/>
      <c r="RD4587" s="106"/>
      <c r="RE4587" s="106"/>
      <c r="RF4587" s="106"/>
      <c r="RG4587" s="106"/>
      <c r="RH4587" s="106"/>
      <c r="RI4587" s="106"/>
      <c r="RJ4587" s="106"/>
      <c r="RK4587" s="106"/>
      <c r="RL4587" s="106"/>
    </row>
    <row r="4588" spans="462:480" x14ac:dyDescent="0.3">
      <c r="QT4588" s="106"/>
      <c r="QU4588" s="106"/>
      <c r="QV4588" s="106"/>
      <c r="QW4588" s="106"/>
      <c r="QX4588" s="106"/>
      <c r="QY4588" s="106"/>
      <c r="QZ4588" s="106"/>
      <c r="RA4588" s="106"/>
      <c r="RB4588" s="106"/>
      <c r="RC4588" s="106"/>
      <c r="RD4588" s="106"/>
      <c r="RE4588" s="106"/>
      <c r="RF4588" s="106"/>
      <c r="RG4588" s="106"/>
      <c r="RH4588" s="106"/>
      <c r="RI4588" s="106"/>
      <c r="RJ4588" s="106"/>
      <c r="RK4588" s="106"/>
      <c r="RL4588" s="106"/>
    </row>
    <row r="4589" spans="462:480" x14ac:dyDescent="0.3">
      <c r="QT4589" s="106"/>
      <c r="QU4589" s="106"/>
      <c r="QV4589" s="106"/>
      <c r="QW4589" s="106"/>
      <c r="QX4589" s="106"/>
      <c r="QY4589" s="106"/>
      <c r="QZ4589" s="106"/>
      <c r="RA4589" s="106"/>
      <c r="RB4589" s="106"/>
      <c r="RC4589" s="106"/>
      <c r="RD4589" s="106"/>
      <c r="RE4589" s="106"/>
      <c r="RF4589" s="106"/>
      <c r="RG4589" s="106"/>
      <c r="RH4589" s="106"/>
      <c r="RI4589" s="106"/>
      <c r="RJ4589" s="106"/>
      <c r="RK4589" s="106"/>
      <c r="RL4589" s="106"/>
    </row>
    <row r="4590" spans="462:480" x14ac:dyDescent="0.3">
      <c r="QT4590" s="106"/>
      <c r="QU4590" s="106"/>
      <c r="QV4590" s="106"/>
      <c r="QW4590" s="106"/>
      <c r="QX4590" s="106"/>
      <c r="QY4590" s="106"/>
      <c r="QZ4590" s="106"/>
      <c r="RA4590" s="106"/>
      <c r="RB4590" s="106"/>
      <c r="RC4590" s="106"/>
      <c r="RD4590" s="106"/>
      <c r="RE4590" s="106"/>
      <c r="RF4590" s="106"/>
      <c r="RG4590" s="106"/>
      <c r="RH4590" s="106"/>
      <c r="RI4590" s="106"/>
      <c r="RJ4590" s="106"/>
      <c r="RK4590" s="106"/>
      <c r="RL4590" s="106"/>
    </row>
    <row r="4591" spans="462:480" x14ac:dyDescent="0.3">
      <c r="QT4591" s="106"/>
      <c r="QU4591" s="106"/>
      <c r="QV4591" s="106"/>
      <c r="QW4591" s="106"/>
      <c r="QX4591" s="106"/>
      <c r="QY4591" s="106"/>
      <c r="QZ4591" s="106"/>
      <c r="RA4591" s="106"/>
      <c r="RB4591" s="106"/>
      <c r="RC4591" s="106"/>
      <c r="RD4591" s="106"/>
      <c r="RE4591" s="106"/>
      <c r="RF4591" s="106"/>
      <c r="RG4591" s="106"/>
      <c r="RH4591" s="106"/>
      <c r="RI4591" s="106"/>
      <c r="RJ4591" s="106"/>
      <c r="RK4591" s="106"/>
      <c r="RL4591" s="106"/>
    </row>
    <row r="4592" spans="462:480" x14ac:dyDescent="0.3">
      <c r="QT4592" s="106"/>
      <c r="QU4592" s="106"/>
      <c r="QV4592" s="106"/>
      <c r="QW4592" s="106"/>
      <c r="QX4592" s="106"/>
      <c r="QY4592" s="106"/>
      <c r="QZ4592" s="106"/>
      <c r="RA4592" s="106"/>
      <c r="RB4592" s="106"/>
      <c r="RC4592" s="106"/>
      <c r="RD4592" s="106"/>
      <c r="RE4592" s="106"/>
      <c r="RF4592" s="106"/>
      <c r="RG4592" s="106"/>
      <c r="RH4592" s="106"/>
      <c r="RI4592" s="106"/>
      <c r="RJ4592" s="106"/>
      <c r="RK4592" s="106"/>
      <c r="RL4592" s="106"/>
    </row>
    <row r="4593" spans="462:480" x14ac:dyDescent="0.3">
      <c r="QT4593" s="106"/>
      <c r="QU4593" s="106"/>
      <c r="QV4593" s="106"/>
      <c r="QW4593" s="106"/>
      <c r="QX4593" s="106"/>
      <c r="QY4593" s="106"/>
      <c r="QZ4593" s="106"/>
      <c r="RA4593" s="106"/>
      <c r="RB4593" s="106"/>
      <c r="RC4593" s="106"/>
      <c r="RD4593" s="106"/>
      <c r="RE4593" s="106"/>
      <c r="RF4593" s="106"/>
      <c r="RG4593" s="106"/>
      <c r="RH4593" s="106"/>
      <c r="RI4593" s="106"/>
      <c r="RJ4593" s="106"/>
      <c r="RK4593" s="106"/>
      <c r="RL4593" s="106"/>
    </row>
    <row r="4594" spans="462:480" x14ac:dyDescent="0.3">
      <c r="QT4594" s="106"/>
      <c r="QU4594" s="106"/>
      <c r="QV4594" s="106"/>
      <c r="QW4594" s="106"/>
      <c r="QX4594" s="106"/>
      <c r="QY4594" s="106"/>
      <c r="QZ4594" s="106"/>
      <c r="RA4594" s="106"/>
      <c r="RB4594" s="106"/>
      <c r="RC4594" s="106"/>
      <c r="RD4594" s="106"/>
      <c r="RE4594" s="106"/>
      <c r="RF4594" s="106"/>
      <c r="RG4594" s="106"/>
      <c r="RH4594" s="106"/>
      <c r="RI4594" s="106"/>
      <c r="RJ4594" s="106"/>
      <c r="RK4594" s="106"/>
      <c r="RL4594" s="106"/>
    </row>
    <row r="4595" spans="462:480" x14ac:dyDescent="0.3">
      <c r="QT4595" s="106"/>
      <c r="QU4595" s="106"/>
      <c r="QV4595" s="106"/>
      <c r="QW4595" s="106"/>
      <c r="QX4595" s="106"/>
      <c r="QY4595" s="106"/>
      <c r="QZ4595" s="106"/>
      <c r="RA4595" s="106"/>
      <c r="RB4595" s="106"/>
      <c r="RC4595" s="106"/>
      <c r="RD4595" s="106"/>
      <c r="RE4595" s="106"/>
      <c r="RF4595" s="106"/>
      <c r="RG4595" s="106"/>
      <c r="RH4595" s="106"/>
      <c r="RI4595" s="106"/>
      <c r="RJ4595" s="106"/>
      <c r="RK4595" s="106"/>
      <c r="RL4595" s="106"/>
    </row>
    <row r="4596" spans="462:480" x14ac:dyDescent="0.3">
      <c r="QT4596" s="106"/>
      <c r="QU4596" s="106"/>
      <c r="QV4596" s="106"/>
      <c r="QW4596" s="106"/>
      <c r="QX4596" s="106"/>
      <c r="QY4596" s="106"/>
      <c r="QZ4596" s="106"/>
      <c r="RA4596" s="106"/>
      <c r="RB4596" s="106"/>
      <c r="RC4596" s="106"/>
      <c r="RD4596" s="106"/>
      <c r="RE4596" s="106"/>
      <c r="RF4596" s="106"/>
      <c r="RG4596" s="106"/>
      <c r="RH4596" s="106"/>
      <c r="RI4596" s="106"/>
      <c r="RJ4596" s="106"/>
      <c r="RK4596" s="106"/>
      <c r="RL4596" s="106"/>
    </row>
    <row r="4597" spans="462:480" x14ac:dyDescent="0.3">
      <c r="QT4597" s="106"/>
      <c r="QU4597" s="106"/>
      <c r="QV4597" s="106"/>
      <c r="QW4597" s="106"/>
      <c r="QX4597" s="106"/>
      <c r="QY4597" s="106"/>
      <c r="QZ4597" s="106"/>
      <c r="RA4597" s="106"/>
      <c r="RB4597" s="106"/>
      <c r="RC4597" s="106"/>
      <c r="RD4597" s="106"/>
      <c r="RE4597" s="106"/>
      <c r="RF4597" s="106"/>
      <c r="RG4597" s="106"/>
      <c r="RH4597" s="106"/>
      <c r="RI4597" s="106"/>
      <c r="RJ4597" s="106"/>
      <c r="RK4597" s="106"/>
      <c r="RL4597" s="106"/>
    </row>
    <row r="4598" spans="462:480" x14ac:dyDescent="0.3">
      <c r="QT4598" s="106"/>
      <c r="QU4598" s="106"/>
      <c r="QV4598" s="106"/>
      <c r="QW4598" s="106"/>
      <c r="QX4598" s="106"/>
      <c r="QY4598" s="106"/>
      <c r="QZ4598" s="106"/>
      <c r="RA4598" s="106"/>
      <c r="RB4598" s="106"/>
      <c r="RC4598" s="106"/>
      <c r="RD4598" s="106"/>
      <c r="RE4598" s="106"/>
      <c r="RF4598" s="106"/>
      <c r="RG4598" s="106"/>
      <c r="RH4598" s="106"/>
      <c r="RI4598" s="106"/>
      <c r="RJ4598" s="106"/>
      <c r="RK4598" s="106"/>
      <c r="RL4598" s="106"/>
    </row>
    <row r="4599" spans="462:480" x14ac:dyDescent="0.3">
      <c r="QT4599" s="106"/>
      <c r="QU4599" s="106"/>
      <c r="QV4599" s="106"/>
      <c r="QW4599" s="106"/>
      <c r="QX4599" s="106"/>
      <c r="QY4599" s="106"/>
      <c r="QZ4599" s="106"/>
      <c r="RA4599" s="106"/>
      <c r="RB4599" s="106"/>
      <c r="RC4599" s="106"/>
      <c r="RD4599" s="106"/>
      <c r="RE4599" s="106"/>
      <c r="RF4599" s="106"/>
      <c r="RG4599" s="106"/>
      <c r="RH4599" s="106"/>
      <c r="RI4599" s="106"/>
      <c r="RJ4599" s="106"/>
      <c r="RK4599" s="106"/>
      <c r="RL4599" s="106"/>
    </row>
    <row r="4600" spans="462:480" x14ac:dyDescent="0.3">
      <c r="QT4600" s="106"/>
      <c r="QU4600" s="106"/>
      <c r="QV4600" s="106"/>
      <c r="QW4600" s="106"/>
      <c r="QX4600" s="106"/>
      <c r="QY4600" s="106"/>
      <c r="QZ4600" s="106"/>
      <c r="RA4600" s="106"/>
      <c r="RB4600" s="106"/>
      <c r="RC4600" s="106"/>
      <c r="RD4600" s="106"/>
      <c r="RE4600" s="106"/>
      <c r="RF4600" s="106"/>
      <c r="RG4600" s="106"/>
      <c r="RH4600" s="106"/>
      <c r="RI4600" s="106"/>
      <c r="RJ4600" s="106"/>
      <c r="RK4600" s="106"/>
      <c r="RL4600" s="106"/>
    </row>
    <row r="4601" spans="462:480" x14ac:dyDescent="0.3">
      <c r="QT4601" s="106"/>
      <c r="QU4601" s="106"/>
      <c r="QV4601" s="106"/>
      <c r="QW4601" s="106"/>
      <c r="QX4601" s="106"/>
      <c r="QY4601" s="106"/>
      <c r="QZ4601" s="106"/>
      <c r="RA4601" s="106"/>
      <c r="RB4601" s="106"/>
      <c r="RC4601" s="106"/>
      <c r="RD4601" s="106"/>
      <c r="RE4601" s="106"/>
      <c r="RF4601" s="106"/>
      <c r="RG4601" s="106"/>
      <c r="RH4601" s="106"/>
      <c r="RI4601" s="106"/>
      <c r="RJ4601" s="106"/>
      <c r="RK4601" s="106"/>
      <c r="RL4601" s="106"/>
    </row>
    <row r="4602" spans="462:480" x14ac:dyDescent="0.3">
      <c r="QT4602" s="106"/>
      <c r="QU4602" s="106"/>
      <c r="QV4602" s="106"/>
      <c r="QW4602" s="106"/>
      <c r="QX4602" s="106"/>
      <c r="QY4602" s="106"/>
      <c r="QZ4602" s="106"/>
      <c r="RA4602" s="106"/>
      <c r="RB4602" s="106"/>
      <c r="RC4602" s="106"/>
      <c r="RD4602" s="106"/>
      <c r="RE4602" s="106"/>
      <c r="RF4602" s="106"/>
      <c r="RG4602" s="106"/>
      <c r="RH4602" s="106"/>
      <c r="RI4602" s="106"/>
      <c r="RJ4602" s="106"/>
      <c r="RK4602" s="106"/>
      <c r="RL4602" s="106"/>
    </row>
    <row r="4603" spans="462:480" x14ac:dyDescent="0.3">
      <c r="QT4603" s="106"/>
      <c r="QU4603" s="106"/>
      <c r="QV4603" s="106"/>
      <c r="QW4603" s="106"/>
      <c r="QX4603" s="106"/>
      <c r="QY4603" s="106"/>
      <c r="QZ4603" s="106"/>
      <c r="RA4603" s="106"/>
      <c r="RB4603" s="106"/>
      <c r="RC4603" s="106"/>
      <c r="RD4603" s="106"/>
      <c r="RE4603" s="106"/>
      <c r="RF4603" s="106"/>
      <c r="RG4603" s="106"/>
      <c r="RH4603" s="106"/>
      <c r="RI4603" s="106"/>
      <c r="RJ4603" s="106"/>
      <c r="RK4603" s="106"/>
      <c r="RL4603" s="106"/>
    </row>
    <row r="4604" spans="462:480" x14ac:dyDescent="0.3">
      <c r="QT4604" s="106"/>
      <c r="QU4604" s="106"/>
      <c r="QV4604" s="106"/>
      <c r="QW4604" s="106"/>
      <c r="QX4604" s="106"/>
      <c r="QY4604" s="106"/>
      <c r="QZ4604" s="106"/>
      <c r="RA4604" s="106"/>
      <c r="RB4604" s="106"/>
      <c r="RC4604" s="106"/>
      <c r="RD4604" s="106"/>
      <c r="RE4604" s="106"/>
      <c r="RF4604" s="106"/>
      <c r="RG4604" s="106"/>
      <c r="RH4604" s="106"/>
      <c r="RI4604" s="106"/>
      <c r="RJ4604" s="106"/>
      <c r="RK4604" s="106"/>
      <c r="RL4604" s="106"/>
    </row>
    <row r="4605" spans="462:480" x14ac:dyDescent="0.3">
      <c r="QT4605" s="106"/>
      <c r="QU4605" s="106"/>
      <c r="QV4605" s="106"/>
      <c r="QW4605" s="106"/>
      <c r="QX4605" s="106"/>
      <c r="QY4605" s="106"/>
      <c r="QZ4605" s="106"/>
      <c r="RA4605" s="106"/>
      <c r="RB4605" s="106"/>
      <c r="RC4605" s="106"/>
      <c r="RD4605" s="106"/>
      <c r="RE4605" s="106"/>
      <c r="RF4605" s="106"/>
      <c r="RG4605" s="106"/>
      <c r="RH4605" s="106"/>
      <c r="RI4605" s="106"/>
      <c r="RJ4605" s="106"/>
      <c r="RK4605" s="106"/>
      <c r="RL4605" s="106"/>
    </row>
    <row r="4606" spans="462:480" x14ac:dyDescent="0.3">
      <c r="QT4606" s="106"/>
      <c r="QU4606" s="106"/>
      <c r="QV4606" s="106"/>
      <c r="QW4606" s="106"/>
      <c r="QX4606" s="106"/>
      <c r="QY4606" s="106"/>
      <c r="QZ4606" s="106"/>
      <c r="RA4606" s="106"/>
      <c r="RB4606" s="106"/>
      <c r="RC4606" s="106"/>
      <c r="RD4606" s="106"/>
      <c r="RE4606" s="106"/>
      <c r="RF4606" s="106"/>
      <c r="RG4606" s="106"/>
      <c r="RH4606" s="106"/>
      <c r="RI4606" s="106"/>
      <c r="RJ4606" s="106"/>
      <c r="RK4606" s="106"/>
      <c r="RL4606" s="106"/>
    </row>
    <row r="4607" spans="462:480" x14ac:dyDescent="0.3">
      <c r="QT4607" s="106"/>
      <c r="QU4607" s="106"/>
      <c r="QV4607" s="106"/>
      <c r="QW4607" s="106"/>
      <c r="QX4607" s="106"/>
      <c r="QY4607" s="106"/>
      <c r="QZ4607" s="106"/>
      <c r="RA4607" s="106"/>
      <c r="RB4607" s="106"/>
      <c r="RC4607" s="106"/>
      <c r="RD4607" s="106"/>
      <c r="RE4607" s="106"/>
      <c r="RF4607" s="106"/>
      <c r="RG4607" s="106"/>
      <c r="RH4607" s="106"/>
      <c r="RI4607" s="106"/>
      <c r="RJ4607" s="106"/>
      <c r="RK4607" s="106"/>
      <c r="RL4607" s="106"/>
    </row>
    <row r="4608" spans="462:480" x14ac:dyDescent="0.3">
      <c r="QT4608" s="106"/>
      <c r="QU4608" s="106"/>
      <c r="QV4608" s="106"/>
      <c r="QW4608" s="106"/>
      <c r="QX4608" s="106"/>
      <c r="QY4608" s="106"/>
      <c r="QZ4608" s="106"/>
      <c r="RA4608" s="106"/>
      <c r="RB4608" s="106"/>
      <c r="RC4608" s="106"/>
      <c r="RD4608" s="106"/>
      <c r="RE4608" s="106"/>
      <c r="RF4608" s="106"/>
      <c r="RG4608" s="106"/>
      <c r="RH4608" s="106"/>
      <c r="RI4608" s="106"/>
      <c r="RJ4608" s="106"/>
      <c r="RK4608" s="106"/>
      <c r="RL4608" s="106"/>
    </row>
    <row r="4609" spans="462:480" x14ac:dyDescent="0.3">
      <c r="QT4609" s="106"/>
      <c r="QU4609" s="106"/>
      <c r="QV4609" s="106"/>
      <c r="QW4609" s="106"/>
      <c r="QX4609" s="106"/>
      <c r="QY4609" s="106"/>
      <c r="QZ4609" s="106"/>
      <c r="RA4609" s="106"/>
      <c r="RB4609" s="106"/>
      <c r="RC4609" s="106"/>
      <c r="RD4609" s="106"/>
      <c r="RE4609" s="106"/>
      <c r="RF4609" s="106"/>
      <c r="RG4609" s="106"/>
      <c r="RH4609" s="106"/>
      <c r="RI4609" s="106"/>
      <c r="RJ4609" s="106"/>
      <c r="RK4609" s="106"/>
      <c r="RL4609" s="106"/>
    </row>
    <row r="4610" spans="462:480" x14ac:dyDescent="0.3">
      <c r="QT4610" s="106"/>
      <c r="QU4610" s="106"/>
      <c r="QV4610" s="106"/>
      <c r="QW4610" s="106"/>
      <c r="QX4610" s="106"/>
      <c r="QY4610" s="106"/>
      <c r="QZ4610" s="106"/>
      <c r="RA4610" s="106"/>
      <c r="RB4610" s="106"/>
      <c r="RC4610" s="106"/>
      <c r="RD4610" s="106"/>
      <c r="RE4610" s="106"/>
      <c r="RF4610" s="106"/>
      <c r="RG4610" s="106"/>
      <c r="RH4610" s="106"/>
      <c r="RI4610" s="106"/>
      <c r="RJ4610" s="106"/>
      <c r="RK4610" s="106"/>
      <c r="RL4610" s="106"/>
    </row>
    <row r="4611" spans="462:480" x14ac:dyDescent="0.3">
      <c r="QT4611" s="106"/>
      <c r="QU4611" s="106"/>
      <c r="QV4611" s="106"/>
      <c r="QW4611" s="106"/>
      <c r="QX4611" s="106"/>
      <c r="QY4611" s="106"/>
      <c r="QZ4611" s="106"/>
      <c r="RA4611" s="106"/>
      <c r="RB4611" s="106"/>
      <c r="RC4611" s="106"/>
      <c r="RD4611" s="106"/>
      <c r="RE4611" s="106"/>
      <c r="RF4611" s="106"/>
      <c r="RG4611" s="106"/>
      <c r="RH4611" s="106"/>
      <c r="RI4611" s="106"/>
      <c r="RJ4611" s="106"/>
      <c r="RK4611" s="106"/>
      <c r="RL4611" s="106"/>
    </row>
    <row r="4612" spans="462:480" x14ac:dyDescent="0.3">
      <c r="QT4612" s="106"/>
      <c r="QU4612" s="106"/>
      <c r="QV4612" s="106"/>
      <c r="QW4612" s="106"/>
      <c r="QX4612" s="106"/>
      <c r="QY4612" s="106"/>
      <c r="QZ4612" s="106"/>
      <c r="RA4612" s="106"/>
      <c r="RB4612" s="106"/>
      <c r="RC4612" s="106"/>
      <c r="RD4612" s="106"/>
      <c r="RE4612" s="106"/>
      <c r="RF4612" s="106"/>
      <c r="RG4612" s="106"/>
      <c r="RH4612" s="106"/>
      <c r="RI4612" s="106"/>
      <c r="RJ4612" s="106"/>
      <c r="RK4612" s="106"/>
      <c r="RL4612" s="106"/>
    </row>
    <row r="4613" spans="462:480" x14ac:dyDescent="0.3">
      <c r="QT4613" s="106"/>
      <c r="QU4613" s="106"/>
      <c r="QV4613" s="106"/>
      <c r="QW4613" s="106"/>
      <c r="QX4613" s="106"/>
      <c r="QY4613" s="106"/>
      <c r="QZ4613" s="106"/>
      <c r="RA4613" s="106"/>
      <c r="RB4613" s="106"/>
      <c r="RC4613" s="106"/>
      <c r="RD4613" s="106"/>
      <c r="RE4613" s="106"/>
      <c r="RF4613" s="106"/>
      <c r="RG4613" s="106"/>
      <c r="RH4613" s="106"/>
      <c r="RI4613" s="106"/>
      <c r="RJ4613" s="106"/>
      <c r="RK4613" s="106"/>
      <c r="RL4613" s="106"/>
    </row>
    <row r="4614" spans="462:480" x14ac:dyDescent="0.3">
      <c r="QT4614" s="106"/>
      <c r="QU4614" s="106"/>
      <c r="QV4614" s="106"/>
      <c r="QW4614" s="106"/>
      <c r="QX4614" s="106"/>
      <c r="QY4614" s="106"/>
      <c r="QZ4614" s="106"/>
      <c r="RA4614" s="106"/>
      <c r="RB4614" s="106"/>
      <c r="RC4614" s="106"/>
      <c r="RD4614" s="106"/>
      <c r="RE4614" s="106"/>
      <c r="RF4614" s="106"/>
      <c r="RG4614" s="106"/>
      <c r="RH4614" s="106"/>
      <c r="RI4614" s="106"/>
      <c r="RJ4614" s="106"/>
      <c r="RK4614" s="106"/>
      <c r="RL4614" s="106"/>
    </row>
    <row r="4615" spans="462:480" x14ac:dyDescent="0.3">
      <c r="QT4615" s="106"/>
      <c r="QU4615" s="106"/>
      <c r="QV4615" s="106"/>
      <c r="QW4615" s="106"/>
      <c r="QX4615" s="106"/>
      <c r="QY4615" s="106"/>
      <c r="QZ4615" s="106"/>
      <c r="RA4615" s="106"/>
      <c r="RB4615" s="106"/>
      <c r="RC4615" s="106"/>
      <c r="RD4615" s="106"/>
      <c r="RE4615" s="106"/>
      <c r="RF4615" s="106"/>
      <c r="RG4615" s="106"/>
      <c r="RH4615" s="106"/>
      <c r="RI4615" s="106"/>
      <c r="RJ4615" s="106"/>
      <c r="RK4615" s="106"/>
      <c r="RL4615" s="106"/>
    </row>
    <row r="4616" spans="462:480" x14ac:dyDescent="0.3">
      <c r="QT4616" s="106"/>
      <c r="QU4616" s="106"/>
      <c r="QV4616" s="106"/>
      <c r="QW4616" s="106"/>
      <c r="QX4616" s="106"/>
      <c r="QY4616" s="106"/>
      <c r="QZ4616" s="106"/>
      <c r="RA4616" s="106"/>
      <c r="RB4616" s="106"/>
      <c r="RC4616" s="106"/>
      <c r="RD4616" s="106"/>
      <c r="RE4616" s="106"/>
      <c r="RF4616" s="106"/>
      <c r="RG4616" s="106"/>
      <c r="RH4616" s="106"/>
      <c r="RI4616" s="106"/>
      <c r="RJ4616" s="106"/>
      <c r="RK4616" s="106"/>
      <c r="RL4616" s="106"/>
    </row>
    <row r="4617" spans="462:480" x14ac:dyDescent="0.3">
      <c r="QT4617" s="106"/>
      <c r="QU4617" s="106"/>
      <c r="QV4617" s="106"/>
      <c r="QW4617" s="106"/>
      <c r="QX4617" s="106"/>
      <c r="QY4617" s="106"/>
      <c r="QZ4617" s="106"/>
      <c r="RA4617" s="106"/>
      <c r="RB4617" s="106"/>
      <c r="RC4617" s="106"/>
      <c r="RD4617" s="106"/>
      <c r="RE4617" s="106"/>
      <c r="RF4617" s="106"/>
      <c r="RG4617" s="106"/>
      <c r="RH4617" s="106"/>
      <c r="RI4617" s="106"/>
      <c r="RJ4617" s="106"/>
      <c r="RK4617" s="106"/>
      <c r="RL4617" s="106"/>
    </row>
    <row r="4618" spans="462:480" x14ac:dyDescent="0.3">
      <c r="QT4618" s="106"/>
      <c r="QU4618" s="106"/>
      <c r="QV4618" s="106"/>
      <c r="QW4618" s="106"/>
      <c r="QX4618" s="106"/>
      <c r="QY4618" s="106"/>
      <c r="QZ4618" s="106"/>
      <c r="RA4618" s="106"/>
      <c r="RB4618" s="106"/>
      <c r="RC4618" s="106"/>
      <c r="RD4618" s="106"/>
      <c r="RE4618" s="106"/>
      <c r="RF4618" s="106"/>
      <c r="RG4618" s="106"/>
      <c r="RH4618" s="106"/>
      <c r="RI4618" s="106"/>
      <c r="RJ4618" s="106"/>
      <c r="RK4618" s="106"/>
      <c r="RL4618" s="106"/>
    </row>
    <row r="4619" spans="462:480" x14ac:dyDescent="0.3">
      <c r="QT4619" s="106"/>
      <c r="QU4619" s="106"/>
      <c r="QV4619" s="106"/>
      <c r="QW4619" s="106"/>
      <c r="QX4619" s="106"/>
      <c r="QY4619" s="106"/>
      <c r="QZ4619" s="106"/>
      <c r="RA4619" s="106"/>
      <c r="RB4619" s="106"/>
      <c r="RC4619" s="106"/>
      <c r="RD4619" s="106"/>
      <c r="RE4619" s="106"/>
      <c r="RF4619" s="106"/>
      <c r="RG4619" s="106"/>
      <c r="RH4619" s="106"/>
      <c r="RI4619" s="106"/>
      <c r="RJ4619" s="106"/>
      <c r="RK4619" s="106"/>
      <c r="RL4619" s="106"/>
    </row>
    <row r="4620" spans="462:480" x14ac:dyDescent="0.3">
      <c r="QT4620" s="106"/>
      <c r="QU4620" s="106"/>
      <c r="QV4620" s="106"/>
      <c r="QW4620" s="106"/>
      <c r="QX4620" s="106"/>
      <c r="QY4620" s="106"/>
      <c r="QZ4620" s="106"/>
      <c r="RA4620" s="106"/>
      <c r="RB4620" s="106"/>
      <c r="RC4620" s="106"/>
      <c r="RD4620" s="106"/>
      <c r="RE4620" s="106"/>
      <c r="RF4620" s="106"/>
      <c r="RG4620" s="106"/>
      <c r="RH4620" s="106"/>
      <c r="RI4620" s="106"/>
      <c r="RJ4620" s="106"/>
      <c r="RK4620" s="106"/>
      <c r="RL4620" s="106"/>
    </row>
    <row r="4621" spans="462:480" x14ac:dyDescent="0.3">
      <c r="QT4621" s="106"/>
      <c r="QU4621" s="106"/>
      <c r="QV4621" s="106"/>
      <c r="QW4621" s="106"/>
      <c r="QX4621" s="106"/>
      <c r="QY4621" s="106"/>
      <c r="QZ4621" s="106"/>
      <c r="RA4621" s="106"/>
      <c r="RB4621" s="106"/>
      <c r="RC4621" s="106"/>
      <c r="RD4621" s="106"/>
      <c r="RE4621" s="106"/>
      <c r="RF4621" s="106"/>
      <c r="RG4621" s="106"/>
      <c r="RH4621" s="106"/>
      <c r="RI4621" s="106"/>
      <c r="RJ4621" s="106"/>
      <c r="RK4621" s="106"/>
      <c r="RL4621" s="106"/>
    </row>
    <row r="4622" spans="462:480" x14ac:dyDescent="0.3">
      <c r="QT4622" s="106"/>
      <c r="QU4622" s="106"/>
      <c r="QV4622" s="106"/>
      <c r="QW4622" s="106"/>
      <c r="QX4622" s="106"/>
      <c r="QY4622" s="106"/>
      <c r="QZ4622" s="106"/>
      <c r="RA4622" s="106"/>
      <c r="RB4622" s="106"/>
      <c r="RC4622" s="106"/>
      <c r="RD4622" s="106"/>
      <c r="RE4622" s="106"/>
      <c r="RF4622" s="106"/>
      <c r="RG4622" s="106"/>
      <c r="RH4622" s="106"/>
      <c r="RI4622" s="106"/>
      <c r="RJ4622" s="106"/>
      <c r="RK4622" s="106"/>
      <c r="RL4622" s="106"/>
    </row>
    <row r="4623" spans="462:480" x14ac:dyDescent="0.3">
      <c r="QT4623" s="106"/>
      <c r="QU4623" s="106"/>
      <c r="QV4623" s="106"/>
      <c r="QW4623" s="106"/>
      <c r="QX4623" s="106"/>
      <c r="QY4623" s="106"/>
      <c r="QZ4623" s="106"/>
      <c r="RA4623" s="106"/>
      <c r="RB4623" s="106"/>
      <c r="RC4623" s="106"/>
      <c r="RD4623" s="106"/>
      <c r="RE4623" s="106"/>
      <c r="RF4623" s="106"/>
      <c r="RG4623" s="106"/>
      <c r="RH4623" s="106"/>
      <c r="RI4623" s="106"/>
      <c r="RJ4623" s="106"/>
      <c r="RK4623" s="106"/>
      <c r="RL4623" s="106"/>
    </row>
    <row r="4624" spans="462:480" x14ac:dyDescent="0.3">
      <c r="QT4624" s="106"/>
      <c r="QU4624" s="106"/>
      <c r="QV4624" s="106"/>
      <c r="QW4624" s="106"/>
      <c r="QX4624" s="106"/>
      <c r="QY4624" s="106"/>
      <c r="QZ4624" s="106"/>
      <c r="RA4624" s="106"/>
      <c r="RB4624" s="106"/>
      <c r="RC4624" s="106"/>
      <c r="RD4624" s="106"/>
      <c r="RE4624" s="106"/>
      <c r="RF4624" s="106"/>
      <c r="RG4624" s="106"/>
      <c r="RH4624" s="106"/>
      <c r="RI4624" s="106"/>
      <c r="RJ4624" s="106"/>
      <c r="RK4624" s="106"/>
      <c r="RL4624" s="106"/>
    </row>
    <row r="4625" spans="462:480" x14ac:dyDescent="0.3">
      <c r="QT4625" s="106"/>
      <c r="QU4625" s="106"/>
      <c r="QV4625" s="106"/>
      <c r="QW4625" s="106"/>
      <c r="QX4625" s="106"/>
      <c r="QY4625" s="106"/>
      <c r="QZ4625" s="106"/>
      <c r="RA4625" s="106"/>
      <c r="RB4625" s="106"/>
      <c r="RC4625" s="106"/>
      <c r="RD4625" s="106"/>
      <c r="RE4625" s="106"/>
      <c r="RF4625" s="106"/>
      <c r="RG4625" s="106"/>
      <c r="RH4625" s="106"/>
      <c r="RI4625" s="106"/>
      <c r="RJ4625" s="106"/>
      <c r="RK4625" s="106"/>
      <c r="RL4625" s="106"/>
    </row>
    <row r="4626" spans="462:480" x14ac:dyDescent="0.3">
      <c r="QT4626" s="106"/>
      <c r="QU4626" s="106"/>
      <c r="QV4626" s="106"/>
      <c r="QW4626" s="106"/>
      <c r="QX4626" s="106"/>
      <c r="QY4626" s="106"/>
      <c r="QZ4626" s="106"/>
      <c r="RA4626" s="106"/>
      <c r="RB4626" s="106"/>
      <c r="RC4626" s="106"/>
      <c r="RD4626" s="106"/>
      <c r="RE4626" s="106"/>
      <c r="RF4626" s="106"/>
      <c r="RG4626" s="106"/>
      <c r="RH4626" s="106"/>
      <c r="RI4626" s="106"/>
      <c r="RJ4626" s="106"/>
      <c r="RK4626" s="106"/>
      <c r="RL4626" s="106"/>
    </row>
    <row r="4627" spans="462:480" x14ac:dyDescent="0.3">
      <c r="QT4627" s="106"/>
      <c r="QU4627" s="106"/>
      <c r="QV4627" s="106"/>
      <c r="QW4627" s="106"/>
      <c r="QX4627" s="106"/>
      <c r="QY4627" s="106"/>
      <c r="QZ4627" s="106"/>
      <c r="RA4627" s="106"/>
      <c r="RB4627" s="106"/>
      <c r="RC4627" s="106"/>
      <c r="RD4627" s="106"/>
      <c r="RE4627" s="106"/>
      <c r="RF4627" s="106"/>
      <c r="RG4627" s="106"/>
      <c r="RH4627" s="106"/>
      <c r="RI4627" s="106"/>
      <c r="RJ4627" s="106"/>
      <c r="RK4627" s="106"/>
      <c r="RL4627" s="106"/>
    </row>
    <row r="4628" spans="462:480" x14ac:dyDescent="0.3">
      <c r="QT4628" s="106"/>
      <c r="QU4628" s="106"/>
      <c r="QV4628" s="106"/>
      <c r="QW4628" s="106"/>
      <c r="QX4628" s="106"/>
      <c r="QY4628" s="106"/>
      <c r="QZ4628" s="106"/>
      <c r="RA4628" s="106"/>
      <c r="RB4628" s="106"/>
      <c r="RC4628" s="106"/>
      <c r="RD4628" s="106"/>
      <c r="RE4628" s="106"/>
      <c r="RF4628" s="106"/>
      <c r="RG4628" s="106"/>
      <c r="RH4628" s="106"/>
      <c r="RI4628" s="106"/>
      <c r="RJ4628" s="106"/>
      <c r="RK4628" s="106"/>
      <c r="RL4628" s="106"/>
    </row>
    <row r="4629" spans="462:480" x14ac:dyDescent="0.3">
      <c r="QT4629" s="106"/>
      <c r="QU4629" s="106"/>
      <c r="QV4629" s="106"/>
      <c r="QW4629" s="106"/>
      <c r="QX4629" s="106"/>
      <c r="QY4629" s="106"/>
      <c r="QZ4629" s="106"/>
      <c r="RA4629" s="106"/>
      <c r="RB4629" s="106"/>
      <c r="RC4629" s="106"/>
      <c r="RD4629" s="106"/>
      <c r="RE4629" s="106"/>
      <c r="RF4629" s="106"/>
      <c r="RG4629" s="106"/>
      <c r="RH4629" s="106"/>
      <c r="RI4629" s="106"/>
      <c r="RJ4629" s="106"/>
      <c r="RK4629" s="106"/>
      <c r="RL4629" s="106"/>
    </row>
    <row r="4630" spans="462:480" x14ac:dyDescent="0.3">
      <c r="QT4630" s="106"/>
      <c r="QU4630" s="106"/>
      <c r="QV4630" s="106"/>
      <c r="QW4630" s="106"/>
      <c r="QX4630" s="106"/>
      <c r="QY4630" s="106"/>
      <c r="QZ4630" s="106"/>
      <c r="RA4630" s="106"/>
      <c r="RB4630" s="106"/>
      <c r="RC4630" s="106"/>
      <c r="RD4630" s="106"/>
      <c r="RE4630" s="106"/>
      <c r="RF4630" s="106"/>
      <c r="RG4630" s="106"/>
      <c r="RH4630" s="106"/>
      <c r="RI4630" s="106"/>
      <c r="RJ4630" s="106"/>
      <c r="RK4630" s="106"/>
      <c r="RL4630" s="106"/>
    </row>
    <row r="4631" spans="462:480" x14ac:dyDescent="0.3">
      <c r="QT4631" s="106"/>
      <c r="QU4631" s="106"/>
      <c r="QV4631" s="106"/>
      <c r="QW4631" s="106"/>
      <c r="QX4631" s="106"/>
      <c r="QY4631" s="106"/>
      <c r="QZ4631" s="106"/>
      <c r="RA4631" s="106"/>
      <c r="RB4631" s="106"/>
      <c r="RC4631" s="106"/>
      <c r="RD4631" s="106"/>
      <c r="RE4631" s="106"/>
      <c r="RF4631" s="106"/>
      <c r="RG4631" s="106"/>
      <c r="RH4631" s="106"/>
      <c r="RI4631" s="106"/>
      <c r="RJ4631" s="106"/>
      <c r="RK4631" s="106"/>
      <c r="RL4631" s="106"/>
    </row>
    <row r="4632" spans="462:480" x14ac:dyDescent="0.3">
      <c r="QT4632" s="106"/>
      <c r="QU4632" s="106"/>
      <c r="QV4632" s="106"/>
      <c r="QW4632" s="106"/>
      <c r="QX4632" s="106"/>
      <c r="QY4632" s="106"/>
      <c r="QZ4632" s="106"/>
      <c r="RA4632" s="106"/>
      <c r="RB4632" s="106"/>
      <c r="RC4632" s="106"/>
      <c r="RD4632" s="106"/>
      <c r="RE4632" s="106"/>
      <c r="RF4632" s="106"/>
      <c r="RG4632" s="106"/>
      <c r="RH4632" s="106"/>
      <c r="RI4632" s="106"/>
      <c r="RJ4632" s="106"/>
      <c r="RK4632" s="106"/>
      <c r="RL4632" s="106"/>
    </row>
    <row r="4633" spans="462:480" x14ac:dyDescent="0.3">
      <c r="QT4633" s="106"/>
      <c r="QU4633" s="106"/>
      <c r="QV4633" s="106"/>
      <c r="QW4633" s="106"/>
      <c r="QX4633" s="106"/>
      <c r="QY4633" s="106"/>
      <c r="QZ4633" s="106"/>
      <c r="RA4633" s="106"/>
      <c r="RB4633" s="106"/>
      <c r="RC4633" s="106"/>
      <c r="RD4633" s="106"/>
      <c r="RE4633" s="106"/>
      <c r="RF4633" s="106"/>
      <c r="RG4633" s="106"/>
      <c r="RH4633" s="106"/>
      <c r="RI4633" s="106"/>
      <c r="RJ4633" s="106"/>
      <c r="RK4633" s="106"/>
      <c r="RL4633" s="106"/>
    </row>
    <row r="4634" spans="462:480" x14ac:dyDescent="0.3">
      <c r="QT4634" s="106"/>
      <c r="QU4634" s="106"/>
      <c r="QV4634" s="106"/>
      <c r="QW4634" s="106"/>
      <c r="QX4634" s="106"/>
      <c r="QY4634" s="106"/>
      <c r="QZ4634" s="106"/>
      <c r="RA4634" s="106"/>
      <c r="RB4634" s="106"/>
      <c r="RC4634" s="106"/>
      <c r="RD4634" s="106"/>
      <c r="RE4634" s="106"/>
      <c r="RF4634" s="106"/>
      <c r="RG4634" s="106"/>
      <c r="RH4634" s="106"/>
      <c r="RI4634" s="106"/>
      <c r="RJ4634" s="106"/>
      <c r="RK4634" s="106"/>
      <c r="RL4634" s="106"/>
    </row>
    <row r="4635" spans="462:480" x14ac:dyDescent="0.3">
      <c r="QT4635" s="106"/>
      <c r="QU4635" s="106"/>
      <c r="QV4635" s="106"/>
      <c r="QW4635" s="106"/>
      <c r="QX4635" s="106"/>
      <c r="QY4635" s="106"/>
      <c r="QZ4635" s="106"/>
      <c r="RA4635" s="106"/>
      <c r="RB4635" s="106"/>
      <c r="RC4635" s="106"/>
      <c r="RD4635" s="106"/>
      <c r="RE4635" s="106"/>
      <c r="RF4635" s="106"/>
      <c r="RG4635" s="106"/>
      <c r="RH4635" s="106"/>
      <c r="RI4635" s="106"/>
      <c r="RJ4635" s="106"/>
      <c r="RK4635" s="106"/>
      <c r="RL4635" s="106"/>
    </row>
    <row r="4636" spans="462:480" x14ac:dyDescent="0.3">
      <c r="QT4636" s="106"/>
      <c r="QU4636" s="106"/>
      <c r="QV4636" s="106"/>
      <c r="QW4636" s="106"/>
      <c r="QX4636" s="106"/>
      <c r="QY4636" s="106"/>
      <c r="QZ4636" s="106"/>
      <c r="RA4636" s="106"/>
      <c r="RB4636" s="106"/>
      <c r="RC4636" s="106"/>
      <c r="RD4636" s="106"/>
      <c r="RE4636" s="106"/>
      <c r="RF4636" s="106"/>
      <c r="RG4636" s="106"/>
      <c r="RH4636" s="106"/>
      <c r="RI4636" s="106"/>
      <c r="RJ4636" s="106"/>
      <c r="RK4636" s="106"/>
      <c r="RL4636" s="106"/>
    </row>
    <row r="4637" spans="462:480" x14ac:dyDescent="0.3">
      <c r="QT4637" s="106"/>
      <c r="QU4637" s="106"/>
      <c r="QV4637" s="106"/>
      <c r="QW4637" s="106"/>
      <c r="QX4637" s="106"/>
      <c r="QY4637" s="106"/>
      <c r="QZ4637" s="106"/>
      <c r="RA4637" s="106"/>
      <c r="RB4637" s="106"/>
      <c r="RC4637" s="106"/>
      <c r="RD4637" s="106"/>
      <c r="RE4637" s="106"/>
      <c r="RF4637" s="106"/>
      <c r="RG4637" s="106"/>
      <c r="RH4637" s="106"/>
      <c r="RI4637" s="106"/>
      <c r="RJ4637" s="106"/>
      <c r="RK4637" s="106"/>
      <c r="RL4637" s="106"/>
    </row>
    <row r="4638" spans="462:480" x14ac:dyDescent="0.3">
      <c r="QT4638" s="106"/>
      <c r="QU4638" s="106"/>
      <c r="QV4638" s="106"/>
      <c r="QW4638" s="106"/>
      <c r="QX4638" s="106"/>
      <c r="QY4638" s="106"/>
      <c r="QZ4638" s="106"/>
      <c r="RA4638" s="106"/>
      <c r="RB4638" s="106"/>
      <c r="RC4638" s="106"/>
      <c r="RD4638" s="106"/>
      <c r="RE4638" s="106"/>
      <c r="RF4638" s="106"/>
      <c r="RG4638" s="106"/>
      <c r="RH4638" s="106"/>
      <c r="RI4638" s="106"/>
      <c r="RJ4638" s="106"/>
      <c r="RK4638" s="106"/>
      <c r="RL4638" s="106"/>
    </row>
    <row r="4639" spans="462:480" x14ac:dyDescent="0.3">
      <c r="QT4639" s="106"/>
      <c r="QU4639" s="106"/>
      <c r="QV4639" s="106"/>
      <c r="QW4639" s="106"/>
      <c r="QX4639" s="106"/>
      <c r="QY4639" s="106"/>
      <c r="QZ4639" s="106"/>
      <c r="RA4639" s="106"/>
      <c r="RB4639" s="106"/>
      <c r="RC4639" s="106"/>
      <c r="RD4639" s="106"/>
      <c r="RE4639" s="106"/>
      <c r="RF4639" s="106"/>
      <c r="RG4639" s="106"/>
      <c r="RH4639" s="106"/>
      <c r="RI4639" s="106"/>
      <c r="RJ4639" s="106"/>
      <c r="RK4639" s="106"/>
      <c r="RL4639" s="106"/>
    </row>
    <row r="4640" spans="462:480" x14ac:dyDescent="0.3">
      <c r="QT4640" s="106"/>
      <c r="QU4640" s="106"/>
      <c r="QV4640" s="106"/>
      <c r="QW4640" s="106"/>
      <c r="QX4640" s="106"/>
      <c r="QY4640" s="106"/>
      <c r="QZ4640" s="106"/>
      <c r="RA4640" s="106"/>
      <c r="RB4640" s="106"/>
      <c r="RC4640" s="106"/>
      <c r="RD4640" s="106"/>
      <c r="RE4640" s="106"/>
      <c r="RF4640" s="106"/>
      <c r="RG4640" s="106"/>
      <c r="RH4640" s="106"/>
      <c r="RI4640" s="106"/>
      <c r="RJ4640" s="106"/>
      <c r="RK4640" s="106"/>
      <c r="RL4640" s="106"/>
    </row>
    <row r="4641" spans="462:480" x14ac:dyDescent="0.3">
      <c r="QT4641" s="106"/>
      <c r="QU4641" s="106"/>
      <c r="QV4641" s="106"/>
      <c r="QW4641" s="106"/>
      <c r="QX4641" s="106"/>
      <c r="QY4641" s="106"/>
      <c r="QZ4641" s="106"/>
      <c r="RA4641" s="106"/>
      <c r="RB4641" s="106"/>
      <c r="RC4641" s="106"/>
      <c r="RD4641" s="106"/>
      <c r="RE4641" s="106"/>
      <c r="RF4641" s="106"/>
      <c r="RG4641" s="106"/>
      <c r="RH4641" s="106"/>
      <c r="RI4641" s="106"/>
      <c r="RJ4641" s="106"/>
      <c r="RK4641" s="106"/>
      <c r="RL4641" s="106"/>
    </row>
    <row r="4642" spans="462:480" x14ac:dyDescent="0.3">
      <c r="QT4642" s="106"/>
      <c r="QU4642" s="106"/>
      <c r="QV4642" s="106"/>
      <c r="QW4642" s="106"/>
      <c r="QX4642" s="106"/>
      <c r="QY4642" s="106"/>
      <c r="QZ4642" s="106"/>
      <c r="RA4642" s="106"/>
      <c r="RB4642" s="106"/>
      <c r="RC4642" s="106"/>
      <c r="RD4642" s="106"/>
      <c r="RE4642" s="106"/>
      <c r="RF4642" s="106"/>
      <c r="RG4642" s="106"/>
      <c r="RH4642" s="106"/>
      <c r="RI4642" s="106"/>
      <c r="RJ4642" s="106"/>
      <c r="RK4642" s="106"/>
      <c r="RL4642" s="106"/>
    </row>
    <row r="4643" spans="462:480" x14ac:dyDescent="0.3">
      <c r="QT4643" s="106"/>
      <c r="QU4643" s="106"/>
      <c r="QV4643" s="106"/>
      <c r="QW4643" s="106"/>
      <c r="QX4643" s="106"/>
      <c r="QY4643" s="106"/>
      <c r="QZ4643" s="106"/>
      <c r="RA4643" s="106"/>
      <c r="RB4643" s="106"/>
      <c r="RC4643" s="106"/>
      <c r="RD4643" s="106"/>
      <c r="RE4643" s="106"/>
      <c r="RF4643" s="106"/>
      <c r="RG4643" s="106"/>
      <c r="RH4643" s="106"/>
      <c r="RI4643" s="106"/>
      <c r="RJ4643" s="106"/>
      <c r="RK4643" s="106"/>
      <c r="RL4643" s="106"/>
    </row>
    <row r="4644" spans="462:480" x14ac:dyDescent="0.3">
      <c r="QT4644" s="106"/>
      <c r="QU4644" s="106"/>
      <c r="QV4644" s="106"/>
      <c r="QW4644" s="106"/>
      <c r="QX4644" s="106"/>
      <c r="QY4644" s="106"/>
      <c r="QZ4644" s="106"/>
      <c r="RA4644" s="106"/>
      <c r="RB4644" s="106"/>
      <c r="RC4644" s="106"/>
      <c r="RD4644" s="106"/>
      <c r="RE4644" s="106"/>
      <c r="RF4644" s="106"/>
      <c r="RG4644" s="106"/>
      <c r="RH4644" s="106"/>
      <c r="RI4644" s="106"/>
      <c r="RJ4644" s="106"/>
      <c r="RK4644" s="106"/>
      <c r="RL4644" s="106"/>
    </row>
    <row r="4645" spans="462:480" x14ac:dyDescent="0.3">
      <c r="QT4645" s="106"/>
      <c r="QU4645" s="106"/>
      <c r="QV4645" s="106"/>
      <c r="QW4645" s="106"/>
      <c r="QX4645" s="106"/>
      <c r="QY4645" s="106"/>
      <c r="QZ4645" s="106"/>
      <c r="RA4645" s="106"/>
      <c r="RB4645" s="106"/>
      <c r="RC4645" s="106"/>
      <c r="RD4645" s="106"/>
      <c r="RE4645" s="106"/>
      <c r="RF4645" s="106"/>
      <c r="RG4645" s="106"/>
      <c r="RH4645" s="106"/>
      <c r="RI4645" s="106"/>
      <c r="RJ4645" s="106"/>
      <c r="RK4645" s="106"/>
      <c r="RL4645" s="106"/>
    </row>
    <row r="4646" spans="462:480" x14ac:dyDescent="0.3">
      <c r="QT4646" s="106"/>
      <c r="QU4646" s="106"/>
      <c r="QV4646" s="106"/>
      <c r="QW4646" s="106"/>
      <c r="QX4646" s="106"/>
      <c r="QY4646" s="106"/>
      <c r="QZ4646" s="106"/>
      <c r="RA4646" s="106"/>
      <c r="RB4646" s="106"/>
      <c r="RC4646" s="106"/>
      <c r="RD4646" s="106"/>
      <c r="RE4646" s="106"/>
      <c r="RF4646" s="106"/>
      <c r="RG4646" s="106"/>
      <c r="RH4646" s="106"/>
      <c r="RI4646" s="106"/>
      <c r="RJ4646" s="106"/>
      <c r="RK4646" s="106"/>
      <c r="RL4646" s="106"/>
    </row>
    <row r="4647" spans="462:480" x14ac:dyDescent="0.3">
      <c r="QT4647" s="106"/>
      <c r="QU4647" s="106"/>
      <c r="QV4647" s="106"/>
      <c r="QW4647" s="106"/>
      <c r="QX4647" s="106"/>
      <c r="QY4647" s="106"/>
      <c r="QZ4647" s="106"/>
      <c r="RA4647" s="106"/>
      <c r="RB4647" s="106"/>
      <c r="RC4647" s="106"/>
      <c r="RD4647" s="106"/>
      <c r="RE4647" s="106"/>
      <c r="RF4647" s="106"/>
      <c r="RG4647" s="106"/>
      <c r="RH4647" s="106"/>
      <c r="RI4647" s="106"/>
      <c r="RJ4647" s="106"/>
      <c r="RK4647" s="106"/>
      <c r="RL4647" s="106"/>
    </row>
    <row r="4648" spans="462:480" x14ac:dyDescent="0.3">
      <c r="QT4648" s="106"/>
      <c r="QU4648" s="106"/>
      <c r="QV4648" s="106"/>
      <c r="QW4648" s="106"/>
      <c r="QX4648" s="106"/>
      <c r="QY4648" s="106"/>
      <c r="QZ4648" s="106"/>
      <c r="RA4648" s="106"/>
      <c r="RB4648" s="106"/>
      <c r="RC4648" s="106"/>
      <c r="RD4648" s="106"/>
      <c r="RE4648" s="106"/>
      <c r="RF4648" s="106"/>
      <c r="RG4648" s="106"/>
      <c r="RH4648" s="106"/>
      <c r="RI4648" s="106"/>
      <c r="RJ4648" s="106"/>
      <c r="RK4648" s="106"/>
      <c r="RL4648" s="106"/>
    </row>
    <row r="4649" spans="462:480" x14ac:dyDescent="0.3">
      <c r="QT4649" s="106"/>
      <c r="QU4649" s="106"/>
      <c r="QV4649" s="106"/>
      <c r="QW4649" s="106"/>
      <c r="QX4649" s="106"/>
      <c r="QY4649" s="106"/>
      <c r="QZ4649" s="106"/>
      <c r="RA4649" s="106"/>
      <c r="RB4649" s="106"/>
      <c r="RC4649" s="106"/>
      <c r="RD4649" s="106"/>
      <c r="RE4649" s="106"/>
      <c r="RF4649" s="106"/>
      <c r="RG4649" s="106"/>
      <c r="RH4649" s="106"/>
      <c r="RI4649" s="106"/>
      <c r="RJ4649" s="106"/>
      <c r="RK4649" s="106"/>
      <c r="RL4649" s="106"/>
    </row>
    <row r="4650" spans="462:480" x14ac:dyDescent="0.3">
      <c r="QT4650" s="106"/>
      <c r="QU4650" s="106"/>
      <c r="QV4650" s="106"/>
      <c r="QW4650" s="106"/>
      <c r="QX4650" s="106"/>
      <c r="QY4650" s="106"/>
      <c r="QZ4650" s="106"/>
      <c r="RA4650" s="106"/>
      <c r="RB4650" s="106"/>
      <c r="RC4650" s="106"/>
      <c r="RD4650" s="106"/>
      <c r="RE4650" s="106"/>
      <c r="RF4650" s="106"/>
      <c r="RG4650" s="106"/>
      <c r="RH4650" s="106"/>
      <c r="RI4650" s="106"/>
      <c r="RJ4650" s="106"/>
      <c r="RK4650" s="106"/>
      <c r="RL4650" s="106"/>
    </row>
    <row r="4651" spans="462:480" x14ac:dyDescent="0.3">
      <c r="QT4651" s="106"/>
      <c r="QU4651" s="106"/>
      <c r="QV4651" s="106"/>
      <c r="QW4651" s="106"/>
      <c r="QX4651" s="106"/>
      <c r="QY4651" s="106"/>
      <c r="QZ4651" s="106"/>
      <c r="RA4651" s="106"/>
      <c r="RB4651" s="106"/>
      <c r="RC4651" s="106"/>
      <c r="RD4651" s="106"/>
      <c r="RE4651" s="106"/>
      <c r="RF4651" s="106"/>
      <c r="RG4651" s="106"/>
      <c r="RH4651" s="106"/>
      <c r="RI4651" s="106"/>
      <c r="RJ4651" s="106"/>
      <c r="RK4651" s="106"/>
      <c r="RL4651" s="106"/>
    </row>
    <row r="4652" spans="462:480" x14ac:dyDescent="0.3">
      <c r="QT4652" s="106"/>
      <c r="QU4652" s="106"/>
      <c r="QV4652" s="106"/>
      <c r="QW4652" s="106"/>
      <c r="QX4652" s="106"/>
      <c r="QY4652" s="106"/>
      <c r="QZ4652" s="106"/>
      <c r="RA4652" s="106"/>
      <c r="RB4652" s="106"/>
      <c r="RC4652" s="106"/>
      <c r="RD4652" s="106"/>
      <c r="RE4652" s="106"/>
      <c r="RF4652" s="106"/>
      <c r="RG4652" s="106"/>
      <c r="RH4652" s="106"/>
      <c r="RI4652" s="106"/>
      <c r="RJ4652" s="106"/>
      <c r="RK4652" s="106"/>
      <c r="RL4652" s="106"/>
    </row>
    <row r="4653" spans="462:480" x14ac:dyDescent="0.3">
      <c r="QT4653" s="106"/>
      <c r="QU4653" s="106"/>
      <c r="QV4653" s="106"/>
      <c r="QW4653" s="106"/>
      <c r="QX4653" s="106"/>
      <c r="QY4653" s="106"/>
      <c r="QZ4653" s="106"/>
      <c r="RA4653" s="106"/>
      <c r="RB4653" s="106"/>
      <c r="RC4653" s="106"/>
      <c r="RD4653" s="106"/>
      <c r="RE4653" s="106"/>
      <c r="RF4653" s="106"/>
      <c r="RG4653" s="106"/>
      <c r="RH4653" s="106"/>
      <c r="RI4653" s="106"/>
      <c r="RJ4653" s="106"/>
      <c r="RK4653" s="106"/>
      <c r="RL4653" s="106"/>
    </row>
    <row r="4654" spans="462:480" x14ac:dyDescent="0.3">
      <c r="QT4654" s="106"/>
      <c r="QU4654" s="106"/>
      <c r="QV4654" s="106"/>
      <c r="QW4654" s="106"/>
      <c r="QX4654" s="106"/>
      <c r="QY4654" s="106"/>
      <c r="QZ4654" s="106"/>
      <c r="RA4654" s="106"/>
      <c r="RB4654" s="106"/>
      <c r="RC4654" s="106"/>
      <c r="RD4654" s="106"/>
      <c r="RE4654" s="106"/>
      <c r="RF4654" s="106"/>
      <c r="RG4654" s="106"/>
      <c r="RH4654" s="106"/>
      <c r="RI4654" s="106"/>
      <c r="RJ4654" s="106"/>
      <c r="RK4654" s="106"/>
      <c r="RL4654" s="106"/>
    </row>
    <row r="4655" spans="462:480" x14ac:dyDescent="0.3">
      <c r="QT4655" s="106"/>
      <c r="QU4655" s="106"/>
      <c r="QV4655" s="106"/>
      <c r="QW4655" s="106"/>
      <c r="QX4655" s="106"/>
      <c r="QY4655" s="106"/>
      <c r="QZ4655" s="106"/>
      <c r="RA4655" s="106"/>
      <c r="RB4655" s="106"/>
      <c r="RC4655" s="106"/>
      <c r="RD4655" s="106"/>
      <c r="RE4655" s="106"/>
      <c r="RF4655" s="106"/>
      <c r="RG4655" s="106"/>
      <c r="RH4655" s="106"/>
      <c r="RI4655" s="106"/>
      <c r="RJ4655" s="106"/>
      <c r="RK4655" s="106"/>
      <c r="RL4655" s="106"/>
    </row>
    <row r="4656" spans="462:480" x14ac:dyDescent="0.3">
      <c r="QT4656" s="106"/>
      <c r="QU4656" s="106"/>
      <c r="QV4656" s="106"/>
      <c r="QW4656" s="106"/>
      <c r="QX4656" s="106"/>
      <c r="QY4656" s="106"/>
      <c r="QZ4656" s="106"/>
      <c r="RA4656" s="106"/>
      <c r="RB4656" s="106"/>
      <c r="RC4656" s="106"/>
      <c r="RD4656" s="106"/>
      <c r="RE4656" s="106"/>
      <c r="RF4656" s="106"/>
      <c r="RG4656" s="106"/>
      <c r="RH4656" s="106"/>
      <c r="RI4656" s="106"/>
      <c r="RJ4656" s="106"/>
      <c r="RK4656" s="106"/>
      <c r="RL4656" s="106"/>
    </row>
    <row r="4657" spans="462:480" x14ac:dyDescent="0.3">
      <c r="QT4657" s="106"/>
      <c r="QU4657" s="106"/>
      <c r="QV4657" s="106"/>
      <c r="QW4657" s="106"/>
      <c r="QX4657" s="106"/>
      <c r="QY4657" s="106"/>
      <c r="QZ4657" s="106"/>
      <c r="RA4657" s="106"/>
      <c r="RB4657" s="106"/>
      <c r="RC4657" s="106"/>
      <c r="RD4657" s="106"/>
      <c r="RE4657" s="106"/>
      <c r="RF4657" s="106"/>
      <c r="RG4657" s="106"/>
      <c r="RH4657" s="106"/>
      <c r="RI4657" s="106"/>
      <c r="RJ4657" s="106"/>
      <c r="RK4657" s="106"/>
      <c r="RL4657" s="106"/>
    </row>
    <row r="4658" spans="462:480" x14ac:dyDescent="0.3">
      <c r="QT4658" s="106"/>
      <c r="QU4658" s="106"/>
      <c r="QV4658" s="106"/>
      <c r="QW4658" s="106"/>
      <c r="QX4658" s="106"/>
      <c r="QY4658" s="106"/>
      <c r="QZ4658" s="106"/>
      <c r="RA4658" s="106"/>
      <c r="RB4658" s="106"/>
      <c r="RC4658" s="106"/>
      <c r="RD4658" s="106"/>
      <c r="RE4658" s="106"/>
      <c r="RF4658" s="106"/>
      <c r="RG4658" s="106"/>
      <c r="RH4658" s="106"/>
      <c r="RI4658" s="106"/>
      <c r="RJ4658" s="106"/>
      <c r="RK4658" s="106"/>
      <c r="RL4658" s="106"/>
    </row>
    <row r="4659" spans="462:480" x14ac:dyDescent="0.3">
      <c r="QT4659" s="106"/>
      <c r="QU4659" s="106"/>
      <c r="QV4659" s="106"/>
      <c r="QW4659" s="106"/>
      <c r="QX4659" s="106"/>
      <c r="QY4659" s="106"/>
      <c r="QZ4659" s="106"/>
      <c r="RA4659" s="106"/>
      <c r="RB4659" s="106"/>
      <c r="RC4659" s="106"/>
      <c r="RD4659" s="106"/>
      <c r="RE4659" s="106"/>
      <c r="RF4659" s="106"/>
      <c r="RG4659" s="106"/>
      <c r="RH4659" s="106"/>
      <c r="RI4659" s="106"/>
      <c r="RJ4659" s="106"/>
      <c r="RK4659" s="106"/>
      <c r="RL4659" s="106"/>
    </row>
    <row r="4660" spans="462:480" x14ac:dyDescent="0.3">
      <c r="QT4660" s="106"/>
      <c r="QU4660" s="106"/>
      <c r="QV4660" s="106"/>
      <c r="QW4660" s="106"/>
      <c r="QX4660" s="106"/>
      <c r="QY4660" s="106"/>
      <c r="QZ4660" s="106"/>
      <c r="RA4660" s="106"/>
      <c r="RB4660" s="106"/>
      <c r="RC4660" s="106"/>
      <c r="RD4660" s="106"/>
      <c r="RE4660" s="106"/>
      <c r="RF4660" s="106"/>
      <c r="RG4660" s="106"/>
      <c r="RH4660" s="106"/>
      <c r="RI4660" s="106"/>
      <c r="RJ4660" s="106"/>
      <c r="RK4660" s="106"/>
      <c r="RL4660" s="106"/>
    </row>
    <row r="4661" spans="462:480" x14ac:dyDescent="0.3">
      <c r="QT4661" s="106"/>
      <c r="QU4661" s="106"/>
      <c r="QV4661" s="106"/>
      <c r="QW4661" s="106"/>
      <c r="QX4661" s="106"/>
      <c r="QY4661" s="106"/>
      <c r="QZ4661" s="106"/>
      <c r="RA4661" s="106"/>
      <c r="RB4661" s="106"/>
      <c r="RC4661" s="106"/>
      <c r="RD4661" s="106"/>
      <c r="RE4661" s="106"/>
      <c r="RF4661" s="106"/>
      <c r="RG4661" s="106"/>
      <c r="RH4661" s="106"/>
      <c r="RI4661" s="106"/>
      <c r="RJ4661" s="106"/>
      <c r="RK4661" s="106"/>
      <c r="RL4661" s="106"/>
    </row>
    <row r="4662" spans="462:480" x14ac:dyDescent="0.3">
      <c r="QT4662" s="106"/>
      <c r="QU4662" s="106"/>
      <c r="QV4662" s="106"/>
      <c r="QW4662" s="106"/>
      <c r="QX4662" s="106"/>
      <c r="QY4662" s="106"/>
      <c r="QZ4662" s="106"/>
      <c r="RA4662" s="106"/>
      <c r="RB4662" s="106"/>
      <c r="RC4662" s="106"/>
      <c r="RD4662" s="106"/>
      <c r="RE4662" s="106"/>
      <c r="RF4662" s="106"/>
      <c r="RG4662" s="106"/>
      <c r="RH4662" s="106"/>
      <c r="RI4662" s="106"/>
      <c r="RJ4662" s="106"/>
      <c r="RK4662" s="106"/>
      <c r="RL4662" s="106"/>
    </row>
    <row r="4663" spans="462:480" x14ac:dyDescent="0.3">
      <c r="QT4663" s="106"/>
      <c r="QU4663" s="106"/>
      <c r="QV4663" s="106"/>
      <c r="QW4663" s="106"/>
      <c r="QX4663" s="106"/>
      <c r="QY4663" s="106"/>
      <c r="QZ4663" s="106"/>
      <c r="RA4663" s="106"/>
      <c r="RB4663" s="106"/>
      <c r="RC4663" s="106"/>
      <c r="RD4663" s="106"/>
      <c r="RE4663" s="106"/>
      <c r="RF4663" s="106"/>
      <c r="RG4663" s="106"/>
      <c r="RH4663" s="106"/>
      <c r="RI4663" s="106"/>
      <c r="RJ4663" s="106"/>
      <c r="RK4663" s="106"/>
      <c r="RL4663" s="106"/>
    </row>
    <row r="4664" spans="462:480" x14ac:dyDescent="0.3">
      <c r="QT4664" s="106"/>
      <c r="QU4664" s="106"/>
      <c r="QV4664" s="106"/>
      <c r="QW4664" s="106"/>
      <c r="QX4664" s="106"/>
      <c r="QY4664" s="106"/>
      <c r="QZ4664" s="106"/>
      <c r="RA4664" s="106"/>
      <c r="RB4664" s="106"/>
      <c r="RC4664" s="106"/>
      <c r="RD4664" s="106"/>
      <c r="RE4664" s="106"/>
      <c r="RF4664" s="106"/>
      <c r="RG4664" s="106"/>
      <c r="RH4664" s="106"/>
      <c r="RI4664" s="106"/>
      <c r="RJ4664" s="106"/>
      <c r="RK4664" s="106"/>
      <c r="RL4664" s="106"/>
    </row>
    <row r="4665" spans="462:480" x14ac:dyDescent="0.3">
      <c r="QT4665" s="106"/>
      <c r="QU4665" s="106"/>
      <c r="QV4665" s="106"/>
      <c r="QW4665" s="106"/>
      <c r="QX4665" s="106"/>
      <c r="QY4665" s="106"/>
      <c r="QZ4665" s="106"/>
      <c r="RA4665" s="106"/>
      <c r="RB4665" s="106"/>
      <c r="RC4665" s="106"/>
      <c r="RD4665" s="106"/>
      <c r="RE4665" s="106"/>
      <c r="RF4665" s="106"/>
      <c r="RG4665" s="106"/>
      <c r="RH4665" s="106"/>
      <c r="RI4665" s="106"/>
      <c r="RJ4665" s="106"/>
      <c r="RK4665" s="106"/>
      <c r="RL4665" s="106"/>
    </row>
    <row r="4666" spans="462:480" x14ac:dyDescent="0.3">
      <c r="QT4666" s="106"/>
      <c r="QU4666" s="106"/>
      <c r="QV4666" s="106"/>
      <c r="QW4666" s="106"/>
      <c r="QX4666" s="106"/>
      <c r="QY4666" s="106"/>
      <c r="QZ4666" s="106"/>
      <c r="RA4666" s="106"/>
      <c r="RB4666" s="106"/>
      <c r="RC4666" s="106"/>
      <c r="RD4666" s="106"/>
      <c r="RE4666" s="106"/>
      <c r="RF4666" s="106"/>
      <c r="RG4666" s="106"/>
      <c r="RH4666" s="106"/>
      <c r="RI4666" s="106"/>
      <c r="RJ4666" s="106"/>
      <c r="RK4666" s="106"/>
      <c r="RL4666" s="106"/>
    </row>
    <row r="4667" spans="462:480" x14ac:dyDescent="0.3">
      <c r="QT4667" s="106"/>
      <c r="QU4667" s="106"/>
      <c r="QV4667" s="106"/>
      <c r="QW4667" s="106"/>
      <c r="QX4667" s="106"/>
      <c r="QY4667" s="106"/>
      <c r="QZ4667" s="106"/>
      <c r="RA4667" s="106"/>
      <c r="RB4667" s="106"/>
      <c r="RC4667" s="106"/>
      <c r="RD4667" s="106"/>
      <c r="RE4667" s="106"/>
      <c r="RF4667" s="106"/>
      <c r="RG4667" s="106"/>
      <c r="RH4667" s="106"/>
      <c r="RI4667" s="106"/>
      <c r="RJ4667" s="106"/>
      <c r="RK4667" s="106"/>
      <c r="RL4667" s="106"/>
    </row>
    <row r="4668" spans="462:480" x14ac:dyDescent="0.3">
      <c r="QT4668" s="106"/>
      <c r="QU4668" s="106"/>
      <c r="QV4668" s="106"/>
      <c r="QW4668" s="106"/>
      <c r="QX4668" s="106"/>
      <c r="QY4668" s="106"/>
      <c r="QZ4668" s="106"/>
      <c r="RA4668" s="106"/>
      <c r="RB4668" s="106"/>
      <c r="RC4668" s="106"/>
      <c r="RD4668" s="106"/>
      <c r="RE4668" s="106"/>
      <c r="RF4668" s="106"/>
      <c r="RG4668" s="106"/>
      <c r="RH4668" s="106"/>
      <c r="RI4668" s="106"/>
      <c r="RJ4668" s="106"/>
      <c r="RK4668" s="106"/>
      <c r="RL4668" s="106"/>
    </row>
    <row r="4669" spans="462:480" x14ac:dyDescent="0.3">
      <c r="QT4669" s="106"/>
      <c r="QU4669" s="106"/>
      <c r="QV4669" s="106"/>
      <c r="QW4669" s="106"/>
      <c r="QX4669" s="106"/>
      <c r="QY4669" s="106"/>
      <c r="QZ4669" s="106"/>
      <c r="RA4669" s="106"/>
      <c r="RB4669" s="106"/>
      <c r="RC4669" s="106"/>
      <c r="RD4669" s="106"/>
      <c r="RE4669" s="106"/>
      <c r="RF4669" s="106"/>
      <c r="RG4669" s="106"/>
      <c r="RH4669" s="106"/>
      <c r="RI4669" s="106"/>
      <c r="RJ4669" s="106"/>
      <c r="RK4669" s="106"/>
      <c r="RL4669" s="106"/>
    </row>
    <row r="4670" spans="462:480" x14ac:dyDescent="0.3">
      <c r="QT4670" s="106"/>
      <c r="QU4670" s="106"/>
      <c r="QV4670" s="106"/>
      <c r="QW4670" s="106"/>
      <c r="QX4670" s="106"/>
      <c r="QY4670" s="106"/>
      <c r="QZ4670" s="106"/>
      <c r="RA4670" s="106"/>
      <c r="RB4670" s="106"/>
      <c r="RC4670" s="106"/>
      <c r="RD4670" s="106"/>
      <c r="RE4670" s="106"/>
      <c r="RF4670" s="106"/>
      <c r="RG4670" s="106"/>
      <c r="RH4670" s="106"/>
      <c r="RI4670" s="106"/>
      <c r="RJ4670" s="106"/>
      <c r="RK4670" s="106"/>
      <c r="RL4670" s="106"/>
    </row>
    <row r="4671" spans="462:480" x14ac:dyDescent="0.3">
      <c r="QT4671" s="106"/>
      <c r="QU4671" s="106"/>
      <c r="QV4671" s="106"/>
      <c r="QW4671" s="106"/>
      <c r="QX4671" s="106"/>
      <c r="QY4671" s="106"/>
      <c r="QZ4671" s="106"/>
      <c r="RA4671" s="106"/>
      <c r="RB4671" s="106"/>
      <c r="RC4671" s="106"/>
      <c r="RD4671" s="106"/>
      <c r="RE4671" s="106"/>
      <c r="RF4671" s="106"/>
      <c r="RG4671" s="106"/>
      <c r="RH4671" s="106"/>
      <c r="RI4671" s="106"/>
      <c r="RJ4671" s="106"/>
      <c r="RK4671" s="106"/>
      <c r="RL4671" s="106"/>
    </row>
    <row r="4672" spans="462:480" x14ac:dyDescent="0.3">
      <c r="QT4672" s="106"/>
      <c r="QU4672" s="106"/>
      <c r="QV4672" s="106"/>
      <c r="QW4672" s="106"/>
      <c r="QX4672" s="106"/>
      <c r="QY4672" s="106"/>
      <c r="QZ4672" s="106"/>
      <c r="RA4672" s="106"/>
      <c r="RB4672" s="106"/>
      <c r="RC4672" s="106"/>
      <c r="RD4672" s="106"/>
      <c r="RE4672" s="106"/>
      <c r="RF4672" s="106"/>
      <c r="RG4672" s="106"/>
      <c r="RH4672" s="106"/>
      <c r="RI4672" s="106"/>
      <c r="RJ4672" s="106"/>
      <c r="RK4672" s="106"/>
      <c r="RL4672" s="106"/>
    </row>
    <row r="4673" spans="462:480" x14ac:dyDescent="0.3">
      <c r="QT4673" s="106"/>
      <c r="QU4673" s="106"/>
      <c r="QV4673" s="106"/>
      <c r="QW4673" s="106"/>
      <c r="QX4673" s="106"/>
      <c r="QY4673" s="106"/>
      <c r="QZ4673" s="106"/>
      <c r="RA4673" s="106"/>
      <c r="RB4673" s="106"/>
      <c r="RC4673" s="106"/>
      <c r="RD4673" s="106"/>
      <c r="RE4673" s="106"/>
      <c r="RF4673" s="106"/>
      <c r="RG4673" s="106"/>
      <c r="RH4673" s="106"/>
      <c r="RI4673" s="106"/>
      <c r="RJ4673" s="106"/>
      <c r="RK4673" s="106"/>
      <c r="RL4673" s="106"/>
    </row>
    <row r="4674" spans="462:480" x14ac:dyDescent="0.3">
      <c r="QT4674" s="106"/>
      <c r="QU4674" s="106"/>
      <c r="QV4674" s="106"/>
      <c r="QW4674" s="106"/>
      <c r="QX4674" s="106"/>
      <c r="QY4674" s="106"/>
      <c r="QZ4674" s="106"/>
      <c r="RA4674" s="106"/>
      <c r="RB4674" s="106"/>
      <c r="RC4674" s="106"/>
      <c r="RD4674" s="106"/>
      <c r="RE4674" s="106"/>
      <c r="RF4674" s="106"/>
      <c r="RG4674" s="106"/>
      <c r="RH4674" s="106"/>
      <c r="RI4674" s="106"/>
      <c r="RJ4674" s="106"/>
      <c r="RK4674" s="106"/>
      <c r="RL4674" s="106"/>
    </row>
    <row r="4675" spans="462:480" x14ac:dyDescent="0.3">
      <c r="QT4675" s="106"/>
      <c r="QU4675" s="106"/>
      <c r="QV4675" s="106"/>
      <c r="QW4675" s="106"/>
      <c r="QX4675" s="106"/>
      <c r="QY4675" s="106"/>
      <c r="QZ4675" s="106"/>
      <c r="RA4675" s="106"/>
      <c r="RB4675" s="106"/>
      <c r="RC4675" s="106"/>
      <c r="RD4675" s="106"/>
      <c r="RE4675" s="106"/>
      <c r="RF4675" s="106"/>
      <c r="RG4675" s="106"/>
      <c r="RH4675" s="106"/>
      <c r="RI4675" s="106"/>
      <c r="RJ4675" s="106"/>
      <c r="RK4675" s="106"/>
      <c r="RL4675" s="106"/>
    </row>
    <row r="4676" spans="462:480" x14ac:dyDescent="0.3">
      <c r="QT4676" s="106"/>
      <c r="QU4676" s="106"/>
      <c r="QV4676" s="106"/>
      <c r="QW4676" s="106"/>
      <c r="QX4676" s="106"/>
      <c r="QY4676" s="106"/>
      <c r="QZ4676" s="106"/>
      <c r="RA4676" s="106"/>
      <c r="RB4676" s="106"/>
      <c r="RC4676" s="106"/>
      <c r="RD4676" s="106"/>
      <c r="RE4676" s="106"/>
      <c r="RF4676" s="106"/>
      <c r="RG4676" s="106"/>
      <c r="RH4676" s="106"/>
      <c r="RI4676" s="106"/>
      <c r="RJ4676" s="106"/>
      <c r="RK4676" s="106"/>
      <c r="RL4676" s="106"/>
    </row>
    <row r="4677" spans="462:480" x14ac:dyDescent="0.3">
      <c r="QT4677" s="106"/>
      <c r="QU4677" s="106"/>
      <c r="QV4677" s="106"/>
      <c r="QW4677" s="106"/>
      <c r="QX4677" s="106"/>
      <c r="QY4677" s="106"/>
      <c r="QZ4677" s="106"/>
      <c r="RA4677" s="106"/>
      <c r="RB4677" s="106"/>
      <c r="RC4677" s="106"/>
      <c r="RD4677" s="106"/>
      <c r="RE4677" s="106"/>
      <c r="RF4677" s="106"/>
      <c r="RG4677" s="106"/>
      <c r="RH4677" s="106"/>
      <c r="RI4677" s="106"/>
      <c r="RJ4677" s="106"/>
      <c r="RK4677" s="106"/>
      <c r="RL4677" s="106"/>
    </row>
    <row r="4678" spans="462:480" x14ac:dyDescent="0.3">
      <c r="QT4678" s="106"/>
      <c r="QU4678" s="106"/>
      <c r="QV4678" s="106"/>
      <c r="QW4678" s="106"/>
      <c r="QX4678" s="106"/>
      <c r="QY4678" s="106"/>
      <c r="QZ4678" s="106"/>
      <c r="RA4678" s="106"/>
      <c r="RB4678" s="106"/>
      <c r="RC4678" s="106"/>
      <c r="RD4678" s="106"/>
      <c r="RE4678" s="106"/>
      <c r="RF4678" s="106"/>
      <c r="RG4678" s="106"/>
      <c r="RH4678" s="106"/>
      <c r="RI4678" s="106"/>
      <c r="RJ4678" s="106"/>
      <c r="RK4678" s="106"/>
      <c r="RL4678" s="106"/>
    </row>
    <row r="4679" spans="462:480" x14ac:dyDescent="0.3">
      <c r="QT4679" s="106"/>
      <c r="QU4679" s="106"/>
      <c r="QV4679" s="106"/>
      <c r="QW4679" s="106"/>
      <c r="QX4679" s="106"/>
      <c r="QY4679" s="106"/>
      <c r="QZ4679" s="106"/>
      <c r="RA4679" s="106"/>
      <c r="RB4679" s="106"/>
      <c r="RC4679" s="106"/>
      <c r="RD4679" s="106"/>
      <c r="RE4679" s="106"/>
      <c r="RF4679" s="106"/>
      <c r="RG4679" s="106"/>
      <c r="RH4679" s="106"/>
      <c r="RI4679" s="106"/>
      <c r="RJ4679" s="106"/>
      <c r="RK4679" s="106"/>
      <c r="RL4679" s="106"/>
    </row>
    <row r="4680" spans="462:480" x14ac:dyDescent="0.3">
      <c r="QT4680" s="106"/>
      <c r="QU4680" s="106"/>
      <c r="QV4680" s="106"/>
      <c r="QW4680" s="106"/>
      <c r="QX4680" s="106"/>
      <c r="QY4680" s="106"/>
      <c r="QZ4680" s="106"/>
      <c r="RA4680" s="106"/>
      <c r="RB4680" s="106"/>
      <c r="RC4680" s="106"/>
      <c r="RD4680" s="106"/>
      <c r="RE4680" s="106"/>
      <c r="RF4680" s="106"/>
      <c r="RG4680" s="106"/>
      <c r="RH4680" s="106"/>
      <c r="RI4680" s="106"/>
      <c r="RJ4680" s="106"/>
      <c r="RK4680" s="106"/>
      <c r="RL4680" s="106"/>
    </row>
    <row r="4681" spans="462:480" x14ac:dyDescent="0.3">
      <c r="QT4681" s="106"/>
      <c r="QU4681" s="106"/>
      <c r="QV4681" s="106"/>
      <c r="QW4681" s="106"/>
      <c r="QX4681" s="106"/>
      <c r="QY4681" s="106"/>
      <c r="QZ4681" s="106"/>
      <c r="RA4681" s="106"/>
      <c r="RB4681" s="106"/>
      <c r="RC4681" s="106"/>
      <c r="RD4681" s="106"/>
      <c r="RE4681" s="106"/>
      <c r="RF4681" s="106"/>
      <c r="RG4681" s="106"/>
      <c r="RH4681" s="106"/>
      <c r="RI4681" s="106"/>
      <c r="RJ4681" s="106"/>
      <c r="RK4681" s="106"/>
      <c r="RL4681" s="106"/>
    </row>
    <row r="4682" spans="462:480" x14ac:dyDescent="0.3">
      <c r="QT4682" s="106"/>
      <c r="QU4682" s="106"/>
      <c r="QV4682" s="106"/>
      <c r="QW4682" s="106"/>
      <c r="QX4682" s="106"/>
      <c r="QY4682" s="106"/>
      <c r="QZ4682" s="106"/>
      <c r="RA4682" s="106"/>
      <c r="RB4682" s="106"/>
      <c r="RC4682" s="106"/>
      <c r="RD4682" s="106"/>
      <c r="RE4682" s="106"/>
      <c r="RF4682" s="106"/>
      <c r="RG4682" s="106"/>
      <c r="RH4682" s="106"/>
      <c r="RI4682" s="106"/>
      <c r="RJ4682" s="106"/>
      <c r="RK4682" s="106"/>
      <c r="RL4682" s="106"/>
    </row>
    <row r="4683" spans="462:480" x14ac:dyDescent="0.3">
      <c r="QT4683" s="106"/>
      <c r="QU4683" s="106"/>
      <c r="QV4683" s="106"/>
      <c r="QW4683" s="106"/>
      <c r="QX4683" s="106"/>
      <c r="QY4683" s="106"/>
      <c r="QZ4683" s="106"/>
      <c r="RA4683" s="106"/>
      <c r="RB4683" s="106"/>
      <c r="RC4683" s="106"/>
      <c r="RD4683" s="106"/>
      <c r="RE4683" s="106"/>
      <c r="RF4683" s="106"/>
      <c r="RG4683" s="106"/>
      <c r="RH4683" s="106"/>
      <c r="RI4683" s="106"/>
      <c r="RJ4683" s="106"/>
      <c r="RK4683" s="106"/>
      <c r="RL4683" s="106"/>
    </row>
    <row r="4684" spans="462:480" x14ac:dyDescent="0.3">
      <c r="QT4684" s="106"/>
      <c r="QU4684" s="106"/>
      <c r="QV4684" s="106"/>
      <c r="QW4684" s="106"/>
      <c r="QX4684" s="106"/>
      <c r="QY4684" s="106"/>
      <c r="QZ4684" s="106"/>
      <c r="RA4684" s="106"/>
      <c r="RB4684" s="106"/>
      <c r="RC4684" s="106"/>
      <c r="RD4684" s="106"/>
      <c r="RE4684" s="106"/>
      <c r="RF4684" s="106"/>
      <c r="RG4684" s="106"/>
      <c r="RH4684" s="106"/>
      <c r="RI4684" s="106"/>
      <c r="RJ4684" s="106"/>
      <c r="RK4684" s="106"/>
      <c r="RL4684" s="106"/>
    </row>
    <row r="4685" spans="462:480" x14ac:dyDescent="0.3">
      <c r="QT4685" s="106"/>
      <c r="QU4685" s="106"/>
      <c r="QV4685" s="106"/>
      <c r="QW4685" s="106"/>
      <c r="QX4685" s="106"/>
      <c r="QY4685" s="106"/>
      <c r="QZ4685" s="106"/>
      <c r="RA4685" s="106"/>
      <c r="RB4685" s="106"/>
      <c r="RC4685" s="106"/>
      <c r="RD4685" s="106"/>
      <c r="RE4685" s="106"/>
      <c r="RF4685" s="106"/>
      <c r="RG4685" s="106"/>
      <c r="RH4685" s="106"/>
      <c r="RI4685" s="106"/>
      <c r="RJ4685" s="106"/>
      <c r="RK4685" s="106"/>
      <c r="RL4685" s="106"/>
    </row>
    <row r="4686" spans="462:480" x14ac:dyDescent="0.3">
      <c r="QT4686" s="106"/>
      <c r="QU4686" s="106"/>
      <c r="QV4686" s="106"/>
      <c r="QW4686" s="106"/>
      <c r="QX4686" s="106"/>
      <c r="QY4686" s="106"/>
      <c r="QZ4686" s="106"/>
      <c r="RA4686" s="106"/>
      <c r="RB4686" s="106"/>
      <c r="RC4686" s="106"/>
      <c r="RD4686" s="106"/>
      <c r="RE4686" s="106"/>
      <c r="RF4686" s="106"/>
      <c r="RG4686" s="106"/>
      <c r="RH4686" s="106"/>
      <c r="RI4686" s="106"/>
      <c r="RJ4686" s="106"/>
      <c r="RK4686" s="106"/>
      <c r="RL4686" s="106"/>
    </row>
    <row r="4687" spans="462:480" x14ac:dyDescent="0.3">
      <c r="QT4687" s="106"/>
      <c r="QU4687" s="106"/>
      <c r="QV4687" s="106"/>
      <c r="QW4687" s="106"/>
      <c r="QX4687" s="106"/>
      <c r="QY4687" s="106"/>
      <c r="QZ4687" s="106"/>
      <c r="RA4687" s="106"/>
      <c r="RB4687" s="106"/>
      <c r="RC4687" s="106"/>
      <c r="RD4687" s="106"/>
      <c r="RE4687" s="106"/>
      <c r="RF4687" s="106"/>
      <c r="RG4687" s="106"/>
      <c r="RH4687" s="106"/>
      <c r="RI4687" s="106"/>
      <c r="RJ4687" s="106"/>
      <c r="RK4687" s="106"/>
      <c r="RL4687" s="106"/>
    </row>
    <row r="4688" spans="462:480" x14ac:dyDescent="0.3">
      <c r="QT4688" s="106"/>
      <c r="QU4688" s="106"/>
      <c r="QV4688" s="106"/>
      <c r="QW4688" s="106"/>
      <c r="QX4688" s="106"/>
      <c r="QY4688" s="106"/>
      <c r="QZ4688" s="106"/>
      <c r="RA4688" s="106"/>
      <c r="RB4688" s="106"/>
      <c r="RC4688" s="106"/>
      <c r="RD4688" s="106"/>
      <c r="RE4688" s="106"/>
      <c r="RF4688" s="106"/>
      <c r="RG4688" s="106"/>
      <c r="RH4688" s="106"/>
      <c r="RI4688" s="106"/>
      <c r="RJ4688" s="106"/>
      <c r="RK4688" s="106"/>
      <c r="RL4688" s="106"/>
    </row>
    <row r="4689" spans="462:480" x14ac:dyDescent="0.3">
      <c r="QT4689" s="106"/>
      <c r="QU4689" s="106"/>
      <c r="QV4689" s="106"/>
      <c r="QW4689" s="106"/>
      <c r="QX4689" s="106"/>
      <c r="QY4689" s="106"/>
      <c r="QZ4689" s="106"/>
      <c r="RA4689" s="106"/>
      <c r="RB4689" s="106"/>
      <c r="RC4689" s="106"/>
      <c r="RD4689" s="106"/>
      <c r="RE4689" s="106"/>
      <c r="RF4689" s="106"/>
      <c r="RG4689" s="106"/>
      <c r="RH4689" s="106"/>
      <c r="RI4689" s="106"/>
      <c r="RJ4689" s="106"/>
      <c r="RK4689" s="106"/>
      <c r="RL4689" s="106"/>
    </row>
    <row r="4690" spans="462:480" x14ac:dyDescent="0.3">
      <c r="QT4690" s="106"/>
      <c r="QU4690" s="106"/>
      <c r="QV4690" s="106"/>
      <c r="QW4690" s="106"/>
      <c r="QX4690" s="106"/>
      <c r="QY4690" s="106"/>
      <c r="QZ4690" s="106"/>
      <c r="RA4690" s="106"/>
      <c r="RB4690" s="106"/>
      <c r="RC4690" s="106"/>
      <c r="RD4690" s="106"/>
      <c r="RE4690" s="106"/>
      <c r="RF4690" s="106"/>
      <c r="RG4690" s="106"/>
      <c r="RH4690" s="106"/>
      <c r="RI4690" s="106"/>
      <c r="RJ4690" s="106"/>
      <c r="RK4690" s="106"/>
      <c r="RL4690" s="106"/>
    </row>
    <row r="4691" spans="462:480" x14ac:dyDescent="0.3">
      <c r="QT4691" s="106"/>
      <c r="QU4691" s="106"/>
      <c r="QV4691" s="106"/>
      <c r="QW4691" s="106"/>
      <c r="QX4691" s="106"/>
      <c r="QY4691" s="106"/>
      <c r="QZ4691" s="106"/>
      <c r="RA4691" s="106"/>
      <c r="RB4691" s="106"/>
      <c r="RC4691" s="106"/>
      <c r="RD4691" s="106"/>
      <c r="RE4691" s="106"/>
      <c r="RF4691" s="106"/>
      <c r="RG4691" s="106"/>
      <c r="RH4691" s="106"/>
      <c r="RI4691" s="106"/>
      <c r="RJ4691" s="106"/>
      <c r="RK4691" s="106"/>
      <c r="RL4691" s="106"/>
    </row>
    <row r="4692" spans="462:480" x14ac:dyDescent="0.3">
      <c r="QT4692" s="106"/>
      <c r="QU4692" s="106"/>
      <c r="QV4692" s="106"/>
      <c r="QW4692" s="106"/>
      <c r="QX4692" s="106"/>
      <c r="QY4692" s="106"/>
      <c r="QZ4692" s="106"/>
      <c r="RA4692" s="106"/>
      <c r="RB4692" s="106"/>
      <c r="RC4692" s="106"/>
      <c r="RD4692" s="106"/>
      <c r="RE4692" s="106"/>
      <c r="RF4692" s="106"/>
      <c r="RG4692" s="106"/>
      <c r="RH4692" s="106"/>
      <c r="RI4692" s="106"/>
      <c r="RJ4692" s="106"/>
      <c r="RK4692" s="106"/>
      <c r="RL4692" s="106"/>
    </row>
    <row r="4693" spans="462:480" x14ac:dyDescent="0.3">
      <c r="QT4693" s="106"/>
      <c r="QU4693" s="106"/>
      <c r="QV4693" s="106"/>
      <c r="QW4693" s="106"/>
      <c r="QX4693" s="106"/>
      <c r="QY4693" s="106"/>
      <c r="QZ4693" s="106"/>
      <c r="RA4693" s="106"/>
      <c r="RB4693" s="106"/>
      <c r="RC4693" s="106"/>
      <c r="RD4693" s="106"/>
      <c r="RE4693" s="106"/>
      <c r="RF4693" s="106"/>
      <c r="RG4693" s="106"/>
      <c r="RH4693" s="106"/>
      <c r="RI4693" s="106"/>
      <c r="RJ4693" s="106"/>
      <c r="RK4693" s="106"/>
      <c r="RL4693" s="106"/>
    </row>
    <row r="4694" spans="462:480" x14ac:dyDescent="0.3">
      <c r="QT4694" s="106"/>
      <c r="QU4694" s="106"/>
      <c r="QV4694" s="106"/>
      <c r="QW4694" s="106"/>
      <c r="QX4694" s="106"/>
      <c r="QY4694" s="106"/>
      <c r="QZ4694" s="106"/>
      <c r="RA4694" s="106"/>
      <c r="RB4694" s="106"/>
      <c r="RC4694" s="106"/>
      <c r="RD4694" s="106"/>
      <c r="RE4694" s="106"/>
      <c r="RF4694" s="106"/>
      <c r="RG4694" s="106"/>
      <c r="RH4694" s="106"/>
      <c r="RI4694" s="106"/>
      <c r="RJ4694" s="106"/>
      <c r="RK4694" s="106"/>
      <c r="RL4694" s="106"/>
    </row>
    <row r="4695" spans="462:480" x14ac:dyDescent="0.3">
      <c r="QT4695" s="106"/>
      <c r="QU4695" s="106"/>
      <c r="QV4695" s="106"/>
      <c r="QW4695" s="106"/>
      <c r="QX4695" s="106"/>
      <c r="QY4695" s="106"/>
      <c r="QZ4695" s="106"/>
      <c r="RA4695" s="106"/>
      <c r="RB4695" s="106"/>
      <c r="RC4695" s="106"/>
      <c r="RD4695" s="106"/>
      <c r="RE4695" s="106"/>
      <c r="RF4695" s="106"/>
      <c r="RG4695" s="106"/>
      <c r="RH4695" s="106"/>
      <c r="RI4695" s="106"/>
      <c r="RJ4695" s="106"/>
      <c r="RK4695" s="106"/>
      <c r="RL4695" s="106"/>
    </row>
    <row r="4696" spans="462:480" x14ac:dyDescent="0.3">
      <c r="QT4696" s="106"/>
      <c r="QU4696" s="106"/>
      <c r="QV4696" s="106"/>
      <c r="QW4696" s="106"/>
      <c r="QX4696" s="106"/>
      <c r="QY4696" s="106"/>
      <c r="QZ4696" s="106"/>
      <c r="RA4696" s="106"/>
      <c r="RB4696" s="106"/>
      <c r="RC4696" s="106"/>
      <c r="RD4696" s="106"/>
      <c r="RE4696" s="106"/>
      <c r="RF4696" s="106"/>
      <c r="RG4696" s="106"/>
      <c r="RH4696" s="106"/>
      <c r="RI4696" s="106"/>
      <c r="RJ4696" s="106"/>
      <c r="RK4696" s="106"/>
      <c r="RL4696" s="106"/>
    </row>
    <row r="4697" spans="462:480" x14ac:dyDescent="0.3">
      <c r="QT4697" s="106"/>
      <c r="QU4697" s="106"/>
      <c r="QV4697" s="106"/>
      <c r="QW4697" s="106"/>
      <c r="QX4697" s="106"/>
      <c r="QY4697" s="106"/>
      <c r="QZ4697" s="106"/>
      <c r="RA4697" s="106"/>
      <c r="RB4697" s="106"/>
      <c r="RC4697" s="106"/>
      <c r="RD4697" s="106"/>
      <c r="RE4697" s="106"/>
      <c r="RF4697" s="106"/>
      <c r="RG4697" s="106"/>
      <c r="RH4697" s="106"/>
      <c r="RI4697" s="106"/>
      <c r="RJ4697" s="106"/>
      <c r="RK4697" s="106"/>
      <c r="RL4697" s="106"/>
    </row>
    <row r="4698" spans="462:480" x14ac:dyDescent="0.3">
      <c r="QT4698" s="106"/>
      <c r="QU4698" s="106"/>
      <c r="QV4698" s="106"/>
      <c r="QW4698" s="106"/>
      <c r="QX4698" s="106"/>
      <c r="QY4698" s="106"/>
      <c r="QZ4698" s="106"/>
      <c r="RA4698" s="106"/>
      <c r="RB4698" s="106"/>
      <c r="RC4698" s="106"/>
      <c r="RD4698" s="106"/>
      <c r="RE4698" s="106"/>
      <c r="RF4698" s="106"/>
      <c r="RG4698" s="106"/>
      <c r="RH4698" s="106"/>
      <c r="RI4698" s="106"/>
      <c r="RJ4698" s="106"/>
      <c r="RK4698" s="106"/>
      <c r="RL4698" s="106"/>
    </row>
    <row r="4699" spans="462:480" x14ac:dyDescent="0.3">
      <c r="QT4699" s="106"/>
      <c r="QU4699" s="106"/>
      <c r="QV4699" s="106"/>
      <c r="QW4699" s="106"/>
      <c r="QX4699" s="106"/>
      <c r="QY4699" s="106"/>
      <c r="QZ4699" s="106"/>
      <c r="RA4699" s="106"/>
      <c r="RB4699" s="106"/>
      <c r="RC4699" s="106"/>
      <c r="RD4699" s="106"/>
      <c r="RE4699" s="106"/>
      <c r="RF4699" s="106"/>
      <c r="RG4699" s="106"/>
      <c r="RH4699" s="106"/>
      <c r="RI4699" s="106"/>
      <c r="RJ4699" s="106"/>
      <c r="RK4699" s="106"/>
      <c r="RL4699" s="106"/>
    </row>
    <row r="4700" spans="462:480" x14ac:dyDescent="0.3">
      <c r="QT4700" s="106"/>
      <c r="QU4700" s="106"/>
      <c r="QV4700" s="106"/>
      <c r="QW4700" s="106"/>
      <c r="QX4700" s="106"/>
      <c r="QY4700" s="106"/>
      <c r="QZ4700" s="106"/>
      <c r="RA4700" s="106"/>
      <c r="RB4700" s="106"/>
      <c r="RC4700" s="106"/>
      <c r="RD4700" s="106"/>
      <c r="RE4700" s="106"/>
      <c r="RF4700" s="106"/>
      <c r="RG4700" s="106"/>
      <c r="RH4700" s="106"/>
      <c r="RI4700" s="106"/>
      <c r="RJ4700" s="106"/>
      <c r="RK4700" s="106"/>
      <c r="RL4700" s="106"/>
    </row>
    <row r="4701" spans="462:480" x14ac:dyDescent="0.3">
      <c r="QT4701" s="106"/>
      <c r="QU4701" s="106"/>
      <c r="QV4701" s="106"/>
      <c r="QW4701" s="106"/>
      <c r="QX4701" s="106"/>
      <c r="QY4701" s="106"/>
      <c r="QZ4701" s="106"/>
      <c r="RA4701" s="106"/>
      <c r="RB4701" s="106"/>
      <c r="RC4701" s="106"/>
      <c r="RD4701" s="106"/>
      <c r="RE4701" s="106"/>
      <c r="RF4701" s="106"/>
      <c r="RG4701" s="106"/>
      <c r="RH4701" s="106"/>
      <c r="RI4701" s="106"/>
      <c r="RJ4701" s="106"/>
      <c r="RK4701" s="106"/>
      <c r="RL4701" s="106"/>
    </row>
    <row r="4702" spans="462:480" x14ac:dyDescent="0.3">
      <c r="QT4702" s="106"/>
      <c r="QU4702" s="106"/>
      <c r="QV4702" s="106"/>
      <c r="QW4702" s="106"/>
      <c r="QX4702" s="106"/>
      <c r="QY4702" s="106"/>
      <c r="QZ4702" s="106"/>
      <c r="RA4702" s="106"/>
      <c r="RB4702" s="106"/>
      <c r="RC4702" s="106"/>
      <c r="RD4702" s="106"/>
      <c r="RE4702" s="106"/>
      <c r="RF4702" s="106"/>
      <c r="RG4702" s="106"/>
      <c r="RH4702" s="106"/>
      <c r="RI4702" s="106"/>
      <c r="RJ4702" s="106"/>
      <c r="RK4702" s="106"/>
      <c r="RL4702" s="106"/>
    </row>
    <row r="4703" spans="462:480" x14ac:dyDescent="0.3">
      <c r="QT4703" s="106"/>
      <c r="QU4703" s="106"/>
      <c r="QV4703" s="106"/>
      <c r="QW4703" s="106"/>
      <c r="QX4703" s="106"/>
      <c r="QY4703" s="106"/>
      <c r="QZ4703" s="106"/>
      <c r="RA4703" s="106"/>
      <c r="RB4703" s="106"/>
      <c r="RC4703" s="106"/>
      <c r="RD4703" s="106"/>
      <c r="RE4703" s="106"/>
      <c r="RF4703" s="106"/>
      <c r="RG4703" s="106"/>
      <c r="RH4703" s="106"/>
      <c r="RI4703" s="106"/>
      <c r="RJ4703" s="106"/>
      <c r="RK4703" s="106"/>
      <c r="RL4703" s="106"/>
    </row>
    <row r="4704" spans="462:480" x14ac:dyDescent="0.3">
      <c r="QT4704" s="106"/>
      <c r="QU4704" s="106"/>
      <c r="QV4704" s="106"/>
      <c r="QW4704" s="106"/>
      <c r="QX4704" s="106"/>
      <c r="QY4704" s="106"/>
      <c r="QZ4704" s="106"/>
      <c r="RA4704" s="106"/>
      <c r="RB4704" s="106"/>
      <c r="RC4704" s="106"/>
      <c r="RD4704" s="106"/>
      <c r="RE4704" s="106"/>
      <c r="RF4704" s="106"/>
      <c r="RG4704" s="106"/>
      <c r="RH4704" s="106"/>
      <c r="RI4704" s="106"/>
      <c r="RJ4704" s="106"/>
      <c r="RK4704" s="106"/>
      <c r="RL4704" s="106"/>
    </row>
    <row r="4705" spans="462:480" x14ac:dyDescent="0.3">
      <c r="QT4705" s="106"/>
      <c r="QU4705" s="106"/>
      <c r="QV4705" s="106"/>
      <c r="QW4705" s="106"/>
      <c r="QX4705" s="106"/>
      <c r="QY4705" s="106"/>
      <c r="QZ4705" s="106"/>
      <c r="RA4705" s="106"/>
      <c r="RB4705" s="106"/>
      <c r="RC4705" s="106"/>
      <c r="RD4705" s="106"/>
      <c r="RE4705" s="106"/>
      <c r="RF4705" s="106"/>
      <c r="RG4705" s="106"/>
      <c r="RH4705" s="106"/>
      <c r="RI4705" s="106"/>
      <c r="RJ4705" s="106"/>
      <c r="RK4705" s="106"/>
      <c r="RL4705" s="106"/>
    </row>
    <row r="4706" spans="462:480" x14ac:dyDescent="0.3">
      <c r="QT4706" s="106"/>
      <c r="QU4706" s="106"/>
      <c r="QV4706" s="106"/>
      <c r="QW4706" s="106"/>
      <c r="QX4706" s="106"/>
      <c r="QY4706" s="106"/>
      <c r="QZ4706" s="106"/>
      <c r="RA4706" s="106"/>
      <c r="RB4706" s="106"/>
      <c r="RC4706" s="106"/>
      <c r="RD4706" s="106"/>
      <c r="RE4706" s="106"/>
      <c r="RF4706" s="106"/>
      <c r="RG4706" s="106"/>
      <c r="RH4706" s="106"/>
      <c r="RI4706" s="106"/>
      <c r="RJ4706" s="106"/>
      <c r="RK4706" s="106"/>
      <c r="RL4706" s="106"/>
    </row>
    <row r="4707" spans="462:480" x14ac:dyDescent="0.3">
      <c r="QT4707" s="106"/>
      <c r="QU4707" s="106"/>
      <c r="QV4707" s="106"/>
      <c r="QW4707" s="106"/>
      <c r="QX4707" s="106"/>
      <c r="QY4707" s="106"/>
      <c r="QZ4707" s="106"/>
      <c r="RA4707" s="106"/>
      <c r="RB4707" s="106"/>
      <c r="RC4707" s="106"/>
      <c r="RD4707" s="106"/>
      <c r="RE4707" s="106"/>
      <c r="RF4707" s="106"/>
      <c r="RG4707" s="106"/>
      <c r="RH4707" s="106"/>
      <c r="RI4707" s="106"/>
      <c r="RJ4707" s="106"/>
      <c r="RK4707" s="106"/>
      <c r="RL4707" s="106"/>
    </row>
    <row r="4708" spans="462:480" x14ac:dyDescent="0.3">
      <c r="QT4708" s="106"/>
      <c r="QU4708" s="106"/>
      <c r="QV4708" s="106"/>
      <c r="QW4708" s="106"/>
      <c r="QX4708" s="106"/>
      <c r="QY4708" s="106"/>
      <c r="QZ4708" s="106"/>
      <c r="RA4708" s="106"/>
      <c r="RB4708" s="106"/>
      <c r="RC4708" s="106"/>
      <c r="RD4708" s="106"/>
      <c r="RE4708" s="106"/>
      <c r="RF4708" s="106"/>
      <c r="RG4708" s="106"/>
      <c r="RH4708" s="106"/>
      <c r="RI4708" s="106"/>
      <c r="RJ4708" s="106"/>
      <c r="RK4708" s="106"/>
      <c r="RL4708" s="106"/>
    </row>
    <row r="4709" spans="462:480" x14ac:dyDescent="0.3">
      <c r="QT4709" s="106"/>
      <c r="QU4709" s="106"/>
      <c r="QV4709" s="106"/>
      <c r="QW4709" s="106"/>
      <c r="QX4709" s="106"/>
      <c r="QY4709" s="106"/>
      <c r="QZ4709" s="106"/>
      <c r="RA4709" s="106"/>
      <c r="RB4709" s="106"/>
      <c r="RC4709" s="106"/>
      <c r="RD4709" s="106"/>
      <c r="RE4709" s="106"/>
      <c r="RF4709" s="106"/>
      <c r="RG4709" s="106"/>
      <c r="RH4709" s="106"/>
      <c r="RI4709" s="106"/>
      <c r="RJ4709" s="106"/>
      <c r="RK4709" s="106"/>
      <c r="RL4709" s="106"/>
    </row>
    <row r="4710" spans="462:480" x14ac:dyDescent="0.3">
      <c r="QT4710" s="106"/>
      <c r="QU4710" s="106"/>
      <c r="QV4710" s="106"/>
      <c r="QW4710" s="106"/>
      <c r="QX4710" s="106"/>
      <c r="QY4710" s="106"/>
      <c r="QZ4710" s="106"/>
      <c r="RA4710" s="106"/>
      <c r="RB4710" s="106"/>
      <c r="RC4710" s="106"/>
      <c r="RD4710" s="106"/>
      <c r="RE4710" s="106"/>
      <c r="RF4710" s="106"/>
      <c r="RG4710" s="106"/>
      <c r="RH4710" s="106"/>
      <c r="RI4710" s="106"/>
      <c r="RJ4710" s="106"/>
      <c r="RK4710" s="106"/>
      <c r="RL4710" s="106"/>
    </row>
    <row r="4711" spans="462:480" x14ac:dyDescent="0.3">
      <c r="QT4711" s="106"/>
      <c r="QU4711" s="106"/>
      <c r="QV4711" s="106"/>
      <c r="QW4711" s="106"/>
      <c r="QX4711" s="106"/>
      <c r="QY4711" s="106"/>
      <c r="QZ4711" s="106"/>
      <c r="RA4711" s="106"/>
      <c r="RB4711" s="106"/>
      <c r="RC4711" s="106"/>
      <c r="RD4711" s="106"/>
      <c r="RE4711" s="106"/>
      <c r="RF4711" s="106"/>
      <c r="RG4711" s="106"/>
      <c r="RH4711" s="106"/>
      <c r="RI4711" s="106"/>
      <c r="RJ4711" s="106"/>
      <c r="RK4711" s="106"/>
      <c r="RL4711" s="106"/>
    </row>
    <row r="4712" spans="462:480" x14ac:dyDescent="0.3">
      <c r="QT4712" s="106"/>
      <c r="QU4712" s="106"/>
      <c r="QV4712" s="106"/>
      <c r="QW4712" s="106"/>
      <c r="QX4712" s="106"/>
      <c r="QY4712" s="106"/>
      <c r="QZ4712" s="106"/>
      <c r="RA4712" s="106"/>
      <c r="RB4712" s="106"/>
      <c r="RC4712" s="106"/>
      <c r="RD4712" s="106"/>
      <c r="RE4712" s="106"/>
      <c r="RF4712" s="106"/>
      <c r="RG4712" s="106"/>
      <c r="RH4712" s="106"/>
      <c r="RI4712" s="106"/>
      <c r="RJ4712" s="106"/>
      <c r="RK4712" s="106"/>
      <c r="RL4712" s="106"/>
    </row>
    <row r="4713" spans="462:480" x14ac:dyDescent="0.3">
      <c r="QT4713" s="106"/>
      <c r="QU4713" s="106"/>
      <c r="QV4713" s="106"/>
      <c r="QW4713" s="106"/>
      <c r="QX4713" s="106"/>
      <c r="QY4713" s="106"/>
      <c r="QZ4713" s="106"/>
      <c r="RA4713" s="106"/>
      <c r="RB4713" s="106"/>
      <c r="RC4713" s="106"/>
      <c r="RD4713" s="106"/>
      <c r="RE4713" s="106"/>
      <c r="RF4713" s="106"/>
      <c r="RG4713" s="106"/>
      <c r="RH4713" s="106"/>
      <c r="RI4713" s="106"/>
      <c r="RJ4713" s="106"/>
      <c r="RK4713" s="106"/>
      <c r="RL4713" s="106"/>
    </row>
    <row r="4714" spans="462:480" x14ac:dyDescent="0.3">
      <c r="QT4714" s="106"/>
      <c r="QU4714" s="106"/>
      <c r="QV4714" s="106"/>
      <c r="QW4714" s="106"/>
      <c r="QX4714" s="106"/>
      <c r="QY4714" s="106"/>
      <c r="QZ4714" s="106"/>
      <c r="RA4714" s="106"/>
      <c r="RB4714" s="106"/>
      <c r="RC4714" s="106"/>
      <c r="RD4714" s="106"/>
      <c r="RE4714" s="106"/>
      <c r="RF4714" s="106"/>
      <c r="RG4714" s="106"/>
      <c r="RH4714" s="106"/>
      <c r="RI4714" s="106"/>
      <c r="RJ4714" s="106"/>
      <c r="RK4714" s="106"/>
      <c r="RL4714" s="106"/>
    </row>
    <row r="4715" spans="462:480" x14ac:dyDescent="0.3">
      <c r="QT4715" s="106"/>
      <c r="QU4715" s="106"/>
      <c r="QV4715" s="106"/>
      <c r="QW4715" s="106"/>
      <c r="QX4715" s="106"/>
      <c r="QY4715" s="106"/>
      <c r="QZ4715" s="106"/>
      <c r="RA4715" s="106"/>
      <c r="RB4715" s="106"/>
      <c r="RC4715" s="106"/>
      <c r="RD4715" s="106"/>
      <c r="RE4715" s="106"/>
      <c r="RF4715" s="106"/>
      <c r="RG4715" s="106"/>
      <c r="RH4715" s="106"/>
      <c r="RI4715" s="106"/>
      <c r="RJ4715" s="106"/>
      <c r="RK4715" s="106"/>
      <c r="RL4715" s="106"/>
    </row>
    <row r="4716" spans="462:480" x14ac:dyDescent="0.3">
      <c r="QT4716" s="106"/>
      <c r="QU4716" s="106"/>
      <c r="QV4716" s="106"/>
      <c r="QW4716" s="106"/>
      <c r="QX4716" s="106"/>
      <c r="QY4716" s="106"/>
      <c r="QZ4716" s="106"/>
      <c r="RA4716" s="106"/>
      <c r="RB4716" s="106"/>
      <c r="RC4716" s="106"/>
      <c r="RD4716" s="106"/>
      <c r="RE4716" s="106"/>
      <c r="RF4716" s="106"/>
      <c r="RG4716" s="106"/>
      <c r="RH4716" s="106"/>
      <c r="RI4716" s="106"/>
      <c r="RJ4716" s="106"/>
      <c r="RK4716" s="106"/>
      <c r="RL4716" s="106"/>
    </row>
    <row r="4717" spans="462:480" x14ac:dyDescent="0.3">
      <c r="QT4717" s="106"/>
      <c r="QU4717" s="106"/>
      <c r="QV4717" s="106"/>
      <c r="QW4717" s="106"/>
      <c r="QX4717" s="106"/>
      <c r="QY4717" s="106"/>
      <c r="QZ4717" s="106"/>
      <c r="RA4717" s="106"/>
      <c r="RB4717" s="106"/>
      <c r="RC4717" s="106"/>
      <c r="RD4717" s="106"/>
      <c r="RE4717" s="106"/>
      <c r="RF4717" s="106"/>
      <c r="RG4717" s="106"/>
      <c r="RH4717" s="106"/>
      <c r="RI4717" s="106"/>
      <c r="RJ4717" s="106"/>
      <c r="RK4717" s="106"/>
      <c r="RL4717" s="106"/>
    </row>
    <row r="4718" spans="462:480" x14ac:dyDescent="0.3">
      <c r="QT4718" s="106"/>
      <c r="QU4718" s="106"/>
      <c r="QV4718" s="106"/>
      <c r="QW4718" s="106"/>
      <c r="QX4718" s="106"/>
      <c r="QY4718" s="106"/>
      <c r="QZ4718" s="106"/>
      <c r="RA4718" s="106"/>
      <c r="RB4718" s="106"/>
      <c r="RC4718" s="106"/>
      <c r="RD4718" s="106"/>
      <c r="RE4718" s="106"/>
      <c r="RF4718" s="106"/>
      <c r="RG4718" s="106"/>
      <c r="RH4718" s="106"/>
      <c r="RI4718" s="106"/>
      <c r="RJ4718" s="106"/>
      <c r="RK4718" s="106"/>
      <c r="RL4718" s="106"/>
    </row>
    <row r="4719" spans="462:480" x14ac:dyDescent="0.3">
      <c r="QT4719" s="106"/>
      <c r="QU4719" s="106"/>
      <c r="QV4719" s="106"/>
      <c r="QW4719" s="106"/>
      <c r="QX4719" s="106"/>
      <c r="QY4719" s="106"/>
      <c r="QZ4719" s="106"/>
      <c r="RA4719" s="106"/>
      <c r="RB4719" s="106"/>
      <c r="RC4719" s="106"/>
      <c r="RD4719" s="106"/>
      <c r="RE4719" s="106"/>
      <c r="RF4719" s="106"/>
      <c r="RG4719" s="106"/>
      <c r="RH4719" s="106"/>
      <c r="RI4719" s="106"/>
      <c r="RJ4719" s="106"/>
      <c r="RK4719" s="106"/>
      <c r="RL4719" s="106"/>
    </row>
    <row r="4720" spans="462:480" x14ac:dyDescent="0.3">
      <c r="QT4720" s="106"/>
      <c r="QU4720" s="106"/>
      <c r="QV4720" s="106"/>
      <c r="QW4720" s="106"/>
      <c r="QX4720" s="106"/>
      <c r="QY4720" s="106"/>
      <c r="QZ4720" s="106"/>
      <c r="RA4720" s="106"/>
      <c r="RB4720" s="106"/>
      <c r="RC4720" s="106"/>
      <c r="RD4720" s="106"/>
      <c r="RE4720" s="106"/>
      <c r="RF4720" s="106"/>
      <c r="RG4720" s="106"/>
      <c r="RH4720" s="106"/>
      <c r="RI4720" s="106"/>
      <c r="RJ4720" s="106"/>
      <c r="RK4720" s="106"/>
      <c r="RL4720" s="106"/>
    </row>
    <row r="4721" spans="462:480" x14ac:dyDescent="0.3">
      <c r="QT4721" s="106"/>
      <c r="QU4721" s="106"/>
      <c r="QV4721" s="106"/>
      <c r="QW4721" s="106"/>
      <c r="QX4721" s="106"/>
      <c r="QY4721" s="106"/>
      <c r="QZ4721" s="106"/>
      <c r="RA4721" s="106"/>
      <c r="RB4721" s="106"/>
      <c r="RC4721" s="106"/>
      <c r="RD4721" s="106"/>
      <c r="RE4721" s="106"/>
      <c r="RF4721" s="106"/>
      <c r="RG4721" s="106"/>
      <c r="RH4721" s="106"/>
      <c r="RI4721" s="106"/>
      <c r="RJ4721" s="106"/>
      <c r="RK4721" s="106"/>
      <c r="RL4721" s="106"/>
    </row>
    <row r="4722" spans="462:480" x14ac:dyDescent="0.3">
      <c r="QT4722" s="106"/>
      <c r="QU4722" s="106"/>
      <c r="QV4722" s="106"/>
      <c r="QW4722" s="106"/>
      <c r="QX4722" s="106"/>
      <c r="QY4722" s="106"/>
      <c r="QZ4722" s="106"/>
      <c r="RA4722" s="106"/>
      <c r="RB4722" s="106"/>
      <c r="RC4722" s="106"/>
      <c r="RD4722" s="106"/>
      <c r="RE4722" s="106"/>
      <c r="RF4722" s="106"/>
      <c r="RG4722" s="106"/>
      <c r="RH4722" s="106"/>
      <c r="RI4722" s="106"/>
      <c r="RJ4722" s="106"/>
      <c r="RK4722" s="106"/>
      <c r="RL4722" s="106"/>
    </row>
    <row r="4723" spans="462:480" x14ac:dyDescent="0.3">
      <c r="QT4723" s="106"/>
      <c r="QU4723" s="106"/>
      <c r="QV4723" s="106"/>
      <c r="QW4723" s="106"/>
      <c r="QX4723" s="106"/>
      <c r="QY4723" s="106"/>
      <c r="QZ4723" s="106"/>
      <c r="RA4723" s="106"/>
      <c r="RB4723" s="106"/>
      <c r="RC4723" s="106"/>
      <c r="RD4723" s="106"/>
      <c r="RE4723" s="106"/>
      <c r="RF4723" s="106"/>
      <c r="RG4723" s="106"/>
      <c r="RH4723" s="106"/>
      <c r="RI4723" s="106"/>
      <c r="RJ4723" s="106"/>
      <c r="RK4723" s="106"/>
      <c r="RL4723" s="106"/>
    </row>
    <row r="4724" spans="462:480" x14ac:dyDescent="0.3">
      <c r="QT4724" s="106"/>
      <c r="QU4724" s="106"/>
      <c r="QV4724" s="106"/>
      <c r="QW4724" s="106"/>
      <c r="QX4724" s="106"/>
      <c r="QY4724" s="106"/>
      <c r="QZ4724" s="106"/>
      <c r="RA4724" s="106"/>
      <c r="RB4724" s="106"/>
      <c r="RC4724" s="106"/>
      <c r="RD4724" s="106"/>
      <c r="RE4724" s="106"/>
      <c r="RF4724" s="106"/>
      <c r="RG4724" s="106"/>
      <c r="RH4724" s="106"/>
      <c r="RI4724" s="106"/>
      <c r="RJ4724" s="106"/>
      <c r="RK4724" s="106"/>
      <c r="RL4724" s="106"/>
    </row>
    <row r="4725" spans="462:480" x14ac:dyDescent="0.3">
      <c r="QT4725" s="106"/>
      <c r="QU4725" s="106"/>
      <c r="QV4725" s="106"/>
      <c r="QW4725" s="106"/>
      <c r="QX4725" s="106"/>
      <c r="QY4725" s="106"/>
      <c r="QZ4725" s="106"/>
      <c r="RA4725" s="106"/>
      <c r="RB4725" s="106"/>
      <c r="RC4725" s="106"/>
      <c r="RD4725" s="106"/>
      <c r="RE4725" s="106"/>
      <c r="RF4725" s="106"/>
      <c r="RG4725" s="106"/>
      <c r="RH4725" s="106"/>
      <c r="RI4725" s="106"/>
      <c r="RJ4725" s="106"/>
      <c r="RK4725" s="106"/>
      <c r="RL4725" s="106"/>
    </row>
    <row r="4726" spans="462:480" x14ac:dyDescent="0.3">
      <c r="QT4726" s="106"/>
      <c r="QU4726" s="106"/>
      <c r="QV4726" s="106"/>
      <c r="QW4726" s="106"/>
      <c r="QX4726" s="106"/>
      <c r="QY4726" s="106"/>
      <c r="QZ4726" s="106"/>
      <c r="RA4726" s="106"/>
      <c r="RB4726" s="106"/>
      <c r="RC4726" s="106"/>
      <c r="RD4726" s="106"/>
      <c r="RE4726" s="106"/>
      <c r="RF4726" s="106"/>
      <c r="RG4726" s="106"/>
      <c r="RH4726" s="106"/>
      <c r="RI4726" s="106"/>
      <c r="RJ4726" s="106"/>
      <c r="RK4726" s="106"/>
      <c r="RL4726" s="106"/>
    </row>
    <row r="4727" spans="462:480" x14ac:dyDescent="0.3">
      <c r="QT4727" s="106"/>
      <c r="QU4727" s="106"/>
      <c r="QV4727" s="106"/>
      <c r="QW4727" s="106"/>
      <c r="QX4727" s="106"/>
      <c r="QY4727" s="106"/>
      <c r="QZ4727" s="106"/>
      <c r="RA4727" s="106"/>
      <c r="RB4727" s="106"/>
      <c r="RC4727" s="106"/>
      <c r="RD4727" s="106"/>
      <c r="RE4727" s="106"/>
      <c r="RF4727" s="106"/>
      <c r="RG4727" s="106"/>
      <c r="RH4727" s="106"/>
      <c r="RI4727" s="106"/>
      <c r="RJ4727" s="106"/>
      <c r="RK4727" s="106"/>
      <c r="RL4727" s="106"/>
    </row>
    <row r="4728" spans="462:480" x14ac:dyDescent="0.3">
      <c r="QT4728" s="106"/>
      <c r="QU4728" s="106"/>
      <c r="QV4728" s="106"/>
      <c r="QW4728" s="106"/>
      <c r="QX4728" s="106"/>
      <c r="QY4728" s="106"/>
      <c r="QZ4728" s="106"/>
      <c r="RA4728" s="106"/>
      <c r="RB4728" s="106"/>
      <c r="RC4728" s="106"/>
      <c r="RD4728" s="106"/>
      <c r="RE4728" s="106"/>
      <c r="RF4728" s="106"/>
      <c r="RG4728" s="106"/>
      <c r="RH4728" s="106"/>
      <c r="RI4728" s="106"/>
      <c r="RJ4728" s="106"/>
      <c r="RK4728" s="106"/>
      <c r="RL4728" s="106"/>
    </row>
    <row r="4729" spans="462:480" x14ac:dyDescent="0.3">
      <c r="QT4729" s="106"/>
      <c r="QU4729" s="106"/>
      <c r="QV4729" s="106"/>
      <c r="QW4729" s="106"/>
      <c r="QX4729" s="106"/>
      <c r="QY4729" s="106"/>
      <c r="QZ4729" s="106"/>
      <c r="RA4729" s="106"/>
      <c r="RB4729" s="106"/>
      <c r="RC4729" s="106"/>
      <c r="RD4729" s="106"/>
      <c r="RE4729" s="106"/>
      <c r="RF4729" s="106"/>
      <c r="RG4729" s="106"/>
      <c r="RH4729" s="106"/>
      <c r="RI4729" s="106"/>
      <c r="RJ4729" s="106"/>
      <c r="RK4729" s="106"/>
      <c r="RL4729" s="106"/>
    </row>
    <row r="4730" spans="462:480" x14ac:dyDescent="0.3">
      <c r="QT4730" s="106"/>
      <c r="QU4730" s="106"/>
      <c r="QV4730" s="106"/>
      <c r="QW4730" s="106"/>
      <c r="QX4730" s="106"/>
      <c r="QY4730" s="106"/>
      <c r="QZ4730" s="106"/>
      <c r="RA4730" s="106"/>
      <c r="RB4730" s="106"/>
      <c r="RC4730" s="106"/>
      <c r="RD4730" s="106"/>
      <c r="RE4730" s="106"/>
      <c r="RF4730" s="106"/>
      <c r="RG4730" s="106"/>
      <c r="RH4730" s="106"/>
      <c r="RI4730" s="106"/>
      <c r="RJ4730" s="106"/>
      <c r="RK4730" s="106"/>
      <c r="RL4730" s="106"/>
    </row>
    <row r="4731" spans="462:480" x14ac:dyDescent="0.3">
      <c r="QT4731" s="106"/>
      <c r="QU4731" s="106"/>
      <c r="QV4731" s="106"/>
      <c r="QW4731" s="106"/>
      <c r="QX4731" s="106"/>
      <c r="QY4731" s="106"/>
      <c r="QZ4731" s="106"/>
      <c r="RA4731" s="106"/>
      <c r="RB4731" s="106"/>
      <c r="RC4731" s="106"/>
      <c r="RD4731" s="106"/>
      <c r="RE4731" s="106"/>
      <c r="RF4731" s="106"/>
      <c r="RG4731" s="106"/>
      <c r="RH4731" s="106"/>
      <c r="RI4731" s="106"/>
      <c r="RJ4731" s="106"/>
      <c r="RK4731" s="106"/>
      <c r="RL4731" s="106"/>
    </row>
    <row r="4732" spans="462:480" x14ac:dyDescent="0.3">
      <c r="QT4732" s="106"/>
      <c r="QU4732" s="106"/>
      <c r="QV4732" s="106"/>
      <c r="QW4732" s="106"/>
      <c r="QX4732" s="106"/>
      <c r="QY4732" s="106"/>
      <c r="QZ4732" s="106"/>
      <c r="RA4732" s="106"/>
      <c r="RB4732" s="106"/>
      <c r="RC4732" s="106"/>
      <c r="RD4732" s="106"/>
      <c r="RE4732" s="106"/>
      <c r="RF4732" s="106"/>
      <c r="RG4732" s="106"/>
      <c r="RH4732" s="106"/>
      <c r="RI4732" s="106"/>
      <c r="RJ4732" s="106"/>
      <c r="RK4732" s="106"/>
      <c r="RL4732" s="106"/>
    </row>
    <row r="4733" spans="462:480" x14ac:dyDescent="0.3">
      <c r="QT4733" s="106"/>
      <c r="QU4733" s="106"/>
      <c r="QV4733" s="106"/>
      <c r="QW4733" s="106"/>
      <c r="QX4733" s="106"/>
      <c r="QY4733" s="106"/>
      <c r="QZ4733" s="106"/>
      <c r="RA4733" s="106"/>
      <c r="RB4733" s="106"/>
      <c r="RC4733" s="106"/>
      <c r="RD4733" s="106"/>
      <c r="RE4733" s="106"/>
      <c r="RF4733" s="106"/>
      <c r="RG4733" s="106"/>
      <c r="RH4733" s="106"/>
      <c r="RI4733" s="106"/>
      <c r="RJ4733" s="106"/>
      <c r="RK4733" s="106"/>
      <c r="RL4733" s="106"/>
    </row>
    <row r="4734" spans="462:480" x14ac:dyDescent="0.3">
      <c r="QT4734" s="106"/>
      <c r="QU4734" s="106"/>
      <c r="QV4734" s="106"/>
      <c r="QW4734" s="106"/>
      <c r="QX4734" s="106"/>
      <c r="QY4734" s="106"/>
      <c r="QZ4734" s="106"/>
      <c r="RA4734" s="106"/>
      <c r="RB4734" s="106"/>
      <c r="RC4734" s="106"/>
      <c r="RD4734" s="106"/>
      <c r="RE4734" s="106"/>
      <c r="RF4734" s="106"/>
      <c r="RG4734" s="106"/>
      <c r="RH4734" s="106"/>
      <c r="RI4734" s="106"/>
      <c r="RJ4734" s="106"/>
      <c r="RK4734" s="106"/>
      <c r="RL4734" s="106"/>
    </row>
    <row r="4735" spans="462:480" x14ac:dyDescent="0.3">
      <c r="QT4735" s="106"/>
      <c r="QU4735" s="106"/>
      <c r="QV4735" s="106"/>
      <c r="QW4735" s="106"/>
      <c r="QX4735" s="106"/>
      <c r="QY4735" s="106"/>
      <c r="QZ4735" s="106"/>
      <c r="RA4735" s="106"/>
      <c r="RB4735" s="106"/>
      <c r="RC4735" s="106"/>
      <c r="RD4735" s="106"/>
      <c r="RE4735" s="106"/>
      <c r="RF4735" s="106"/>
      <c r="RG4735" s="106"/>
      <c r="RH4735" s="106"/>
      <c r="RI4735" s="106"/>
      <c r="RJ4735" s="106"/>
      <c r="RK4735" s="106"/>
      <c r="RL4735" s="106"/>
    </row>
    <row r="4736" spans="462:480" x14ac:dyDescent="0.3">
      <c r="QT4736" s="106"/>
      <c r="QU4736" s="106"/>
      <c r="QV4736" s="106"/>
      <c r="QW4736" s="106"/>
      <c r="QX4736" s="106"/>
      <c r="QY4736" s="106"/>
      <c r="QZ4736" s="106"/>
      <c r="RA4736" s="106"/>
      <c r="RB4736" s="106"/>
      <c r="RC4736" s="106"/>
      <c r="RD4736" s="106"/>
      <c r="RE4736" s="106"/>
      <c r="RF4736" s="106"/>
      <c r="RG4736" s="106"/>
      <c r="RH4736" s="106"/>
      <c r="RI4736" s="106"/>
      <c r="RJ4736" s="106"/>
      <c r="RK4736" s="106"/>
      <c r="RL4736" s="106"/>
    </row>
    <row r="4737" spans="462:480" x14ac:dyDescent="0.3">
      <c r="QT4737" s="106"/>
      <c r="QU4737" s="106"/>
      <c r="QV4737" s="106"/>
      <c r="QW4737" s="106"/>
      <c r="QX4737" s="106"/>
      <c r="QY4737" s="106"/>
      <c r="QZ4737" s="106"/>
      <c r="RA4737" s="106"/>
      <c r="RB4737" s="106"/>
      <c r="RC4737" s="106"/>
      <c r="RD4737" s="106"/>
      <c r="RE4737" s="106"/>
      <c r="RF4737" s="106"/>
      <c r="RG4737" s="106"/>
      <c r="RH4737" s="106"/>
      <c r="RI4737" s="106"/>
      <c r="RJ4737" s="106"/>
      <c r="RK4737" s="106"/>
      <c r="RL4737" s="106"/>
    </row>
    <row r="4738" spans="462:480" x14ac:dyDescent="0.3">
      <c r="QT4738" s="106"/>
      <c r="QU4738" s="106"/>
      <c r="QV4738" s="106"/>
      <c r="QW4738" s="106"/>
      <c r="QX4738" s="106"/>
      <c r="QY4738" s="106"/>
      <c r="QZ4738" s="106"/>
      <c r="RA4738" s="106"/>
      <c r="RB4738" s="106"/>
      <c r="RC4738" s="106"/>
      <c r="RD4738" s="106"/>
      <c r="RE4738" s="106"/>
      <c r="RF4738" s="106"/>
      <c r="RG4738" s="106"/>
      <c r="RH4738" s="106"/>
      <c r="RI4738" s="106"/>
      <c r="RJ4738" s="106"/>
      <c r="RK4738" s="106"/>
      <c r="RL4738" s="106"/>
    </row>
    <row r="4739" spans="462:480" x14ac:dyDescent="0.3">
      <c r="QT4739" s="106"/>
      <c r="QU4739" s="106"/>
      <c r="QV4739" s="106"/>
      <c r="QW4739" s="106"/>
      <c r="QX4739" s="106"/>
      <c r="QY4739" s="106"/>
      <c r="QZ4739" s="106"/>
      <c r="RA4739" s="106"/>
      <c r="RB4739" s="106"/>
      <c r="RC4739" s="106"/>
      <c r="RD4739" s="106"/>
      <c r="RE4739" s="106"/>
      <c r="RF4739" s="106"/>
      <c r="RG4739" s="106"/>
      <c r="RH4739" s="106"/>
      <c r="RI4739" s="106"/>
      <c r="RJ4739" s="106"/>
      <c r="RK4739" s="106"/>
      <c r="RL4739" s="106"/>
    </row>
    <row r="4740" spans="462:480" x14ac:dyDescent="0.3">
      <c r="QT4740" s="106"/>
      <c r="QU4740" s="106"/>
      <c r="QV4740" s="106"/>
      <c r="QW4740" s="106"/>
      <c r="QX4740" s="106"/>
      <c r="QY4740" s="106"/>
      <c r="QZ4740" s="106"/>
      <c r="RA4740" s="106"/>
      <c r="RB4740" s="106"/>
      <c r="RC4740" s="106"/>
      <c r="RD4740" s="106"/>
      <c r="RE4740" s="106"/>
      <c r="RF4740" s="106"/>
      <c r="RG4740" s="106"/>
      <c r="RH4740" s="106"/>
      <c r="RI4740" s="106"/>
      <c r="RJ4740" s="106"/>
      <c r="RK4740" s="106"/>
      <c r="RL4740" s="106"/>
    </row>
    <row r="4741" spans="462:480" x14ac:dyDescent="0.3">
      <c r="QT4741" s="106"/>
      <c r="QU4741" s="106"/>
      <c r="QV4741" s="106"/>
      <c r="QW4741" s="106"/>
      <c r="QX4741" s="106"/>
      <c r="QY4741" s="106"/>
      <c r="QZ4741" s="106"/>
      <c r="RA4741" s="106"/>
      <c r="RB4741" s="106"/>
      <c r="RC4741" s="106"/>
      <c r="RD4741" s="106"/>
      <c r="RE4741" s="106"/>
      <c r="RF4741" s="106"/>
      <c r="RG4741" s="106"/>
      <c r="RH4741" s="106"/>
      <c r="RI4741" s="106"/>
      <c r="RJ4741" s="106"/>
      <c r="RK4741" s="106"/>
      <c r="RL4741" s="106"/>
    </row>
    <row r="4742" spans="462:480" x14ac:dyDescent="0.3">
      <c r="QT4742" s="106"/>
      <c r="QU4742" s="106"/>
      <c r="QV4742" s="106"/>
      <c r="QW4742" s="106"/>
      <c r="QX4742" s="106"/>
      <c r="QY4742" s="106"/>
      <c r="QZ4742" s="106"/>
      <c r="RA4742" s="106"/>
      <c r="RB4742" s="106"/>
      <c r="RC4742" s="106"/>
      <c r="RD4742" s="106"/>
      <c r="RE4742" s="106"/>
      <c r="RF4742" s="106"/>
      <c r="RG4742" s="106"/>
      <c r="RH4742" s="106"/>
      <c r="RI4742" s="106"/>
      <c r="RJ4742" s="106"/>
      <c r="RK4742" s="106"/>
      <c r="RL4742" s="106"/>
    </row>
    <row r="4743" spans="462:480" x14ac:dyDescent="0.3">
      <c r="QT4743" s="106"/>
      <c r="QU4743" s="106"/>
      <c r="QV4743" s="106"/>
      <c r="QW4743" s="106"/>
      <c r="QX4743" s="106"/>
      <c r="QY4743" s="106"/>
      <c r="QZ4743" s="106"/>
      <c r="RA4743" s="106"/>
      <c r="RB4743" s="106"/>
      <c r="RC4743" s="106"/>
      <c r="RD4743" s="106"/>
      <c r="RE4743" s="106"/>
      <c r="RF4743" s="106"/>
      <c r="RG4743" s="106"/>
      <c r="RH4743" s="106"/>
      <c r="RI4743" s="106"/>
      <c r="RJ4743" s="106"/>
      <c r="RK4743" s="106"/>
      <c r="RL4743" s="106"/>
    </row>
    <row r="4744" spans="462:480" x14ac:dyDescent="0.3">
      <c r="QT4744" s="106"/>
      <c r="QU4744" s="106"/>
      <c r="QV4744" s="106"/>
      <c r="QW4744" s="106"/>
      <c r="QX4744" s="106"/>
      <c r="QY4744" s="106"/>
      <c r="QZ4744" s="106"/>
      <c r="RA4744" s="106"/>
      <c r="RB4744" s="106"/>
      <c r="RC4744" s="106"/>
      <c r="RD4744" s="106"/>
      <c r="RE4744" s="106"/>
      <c r="RF4744" s="106"/>
      <c r="RG4744" s="106"/>
      <c r="RH4744" s="106"/>
      <c r="RI4744" s="106"/>
      <c r="RJ4744" s="106"/>
      <c r="RK4744" s="106"/>
      <c r="RL4744" s="106"/>
    </row>
    <row r="4745" spans="462:480" x14ac:dyDescent="0.3">
      <c r="QT4745" s="106"/>
      <c r="QU4745" s="106"/>
      <c r="QV4745" s="106"/>
      <c r="QW4745" s="106"/>
      <c r="QX4745" s="106"/>
      <c r="QY4745" s="106"/>
      <c r="QZ4745" s="106"/>
      <c r="RA4745" s="106"/>
      <c r="RB4745" s="106"/>
      <c r="RC4745" s="106"/>
      <c r="RD4745" s="106"/>
      <c r="RE4745" s="106"/>
      <c r="RF4745" s="106"/>
      <c r="RG4745" s="106"/>
      <c r="RH4745" s="106"/>
      <c r="RI4745" s="106"/>
      <c r="RJ4745" s="106"/>
      <c r="RK4745" s="106"/>
      <c r="RL4745" s="106"/>
    </row>
    <row r="4746" spans="462:480" x14ac:dyDescent="0.3">
      <c r="QT4746" s="106"/>
      <c r="QU4746" s="106"/>
      <c r="QV4746" s="106"/>
      <c r="QW4746" s="106"/>
      <c r="QX4746" s="106"/>
      <c r="QY4746" s="106"/>
      <c r="QZ4746" s="106"/>
      <c r="RA4746" s="106"/>
      <c r="RB4746" s="106"/>
      <c r="RC4746" s="106"/>
      <c r="RD4746" s="106"/>
      <c r="RE4746" s="106"/>
      <c r="RF4746" s="106"/>
      <c r="RG4746" s="106"/>
      <c r="RH4746" s="106"/>
      <c r="RI4746" s="106"/>
      <c r="RJ4746" s="106"/>
      <c r="RK4746" s="106"/>
      <c r="RL4746" s="106"/>
    </row>
    <row r="4747" spans="462:480" x14ac:dyDescent="0.3">
      <c r="QT4747" s="106"/>
      <c r="QU4747" s="106"/>
      <c r="QV4747" s="106"/>
      <c r="QW4747" s="106"/>
      <c r="QX4747" s="106"/>
      <c r="QY4747" s="106"/>
      <c r="QZ4747" s="106"/>
      <c r="RA4747" s="106"/>
      <c r="RB4747" s="106"/>
      <c r="RC4747" s="106"/>
      <c r="RD4747" s="106"/>
      <c r="RE4747" s="106"/>
      <c r="RF4747" s="106"/>
      <c r="RG4747" s="106"/>
      <c r="RH4747" s="106"/>
      <c r="RI4747" s="106"/>
      <c r="RJ4747" s="106"/>
      <c r="RK4747" s="106"/>
      <c r="RL4747" s="106"/>
    </row>
    <row r="4748" spans="462:480" x14ac:dyDescent="0.3">
      <c r="QT4748" s="106"/>
      <c r="QU4748" s="106"/>
      <c r="QV4748" s="106"/>
      <c r="QW4748" s="106"/>
      <c r="QX4748" s="106"/>
      <c r="QY4748" s="106"/>
      <c r="QZ4748" s="106"/>
      <c r="RA4748" s="106"/>
      <c r="RB4748" s="106"/>
      <c r="RC4748" s="106"/>
      <c r="RD4748" s="106"/>
      <c r="RE4748" s="106"/>
      <c r="RF4748" s="106"/>
      <c r="RG4748" s="106"/>
      <c r="RH4748" s="106"/>
      <c r="RI4748" s="106"/>
      <c r="RJ4748" s="106"/>
      <c r="RK4748" s="106"/>
      <c r="RL4748" s="106"/>
    </row>
    <row r="4749" spans="462:480" x14ac:dyDescent="0.3">
      <c r="QT4749" s="106"/>
      <c r="QU4749" s="106"/>
      <c r="QV4749" s="106"/>
      <c r="QW4749" s="106"/>
      <c r="QX4749" s="106"/>
      <c r="QY4749" s="106"/>
      <c r="QZ4749" s="106"/>
      <c r="RA4749" s="106"/>
      <c r="RB4749" s="106"/>
      <c r="RC4749" s="106"/>
      <c r="RD4749" s="106"/>
      <c r="RE4749" s="106"/>
      <c r="RF4749" s="106"/>
      <c r="RG4749" s="106"/>
      <c r="RH4749" s="106"/>
      <c r="RI4749" s="106"/>
      <c r="RJ4749" s="106"/>
      <c r="RK4749" s="106"/>
      <c r="RL4749" s="106"/>
    </row>
    <row r="4750" spans="462:480" x14ac:dyDescent="0.3">
      <c r="QT4750" s="106"/>
      <c r="QU4750" s="106"/>
      <c r="QV4750" s="106"/>
      <c r="QW4750" s="106"/>
      <c r="QX4750" s="106"/>
      <c r="QY4750" s="106"/>
      <c r="QZ4750" s="106"/>
      <c r="RA4750" s="106"/>
      <c r="RB4750" s="106"/>
      <c r="RC4750" s="106"/>
      <c r="RD4750" s="106"/>
      <c r="RE4750" s="106"/>
      <c r="RF4750" s="106"/>
      <c r="RG4750" s="106"/>
      <c r="RH4750" s="106"/>
      <c r="RI4750" s="106"/>
      <c r="RJ4750" s="106"/>
      <c r="RK4750" s="106"/>
      <c r="RL4750" s="106"/>
    </row>
    <row r="4751" spans="462:480" x14ac:dyDescent="0.3">
      <c r="QT4751" s="106"/>
      <c r="QU4751" s="106"/>
      <c r="QV4751" s="106"/>
      <c r="QW4751" s="106"/>
      <c r="QX4751" s="106"/>
      <c r="QY4751" s="106"/>
      <c r="QZ4751" s="106"/>
      <c r="RA4751" s="106"/>
      <c r="RB4751" s="106"/>
      <c r="RC4751" s="106"/>
      <c r="RD4751" s="106"/>
      <c r="RE4751" s="106"/>
      <c r="RF4751" s="106"/>
      <c r="RG4751" s="106"/>
      <c r="RH4751" s="106"/>
      <c r="RI4751" s="106"/>
      <c r="RJ4751" s="106"/>
      <c r="RK4751" s="106"/>
      <c r="RL4751" s="106"/>
    </row>
    <row r="4752" spans="462:480" x14ac:dyDescent="0.3">
      <c r="QT4752" s="106"/>
      <c r="QU4752" s="106"/>
      <c r="QV4752" s="106"/>
      <c r="QW4752" s="106"/>
      <c r="QX4752" s="106"/>
      <c r="QY4752" s="106"/>
      <c r="QZ4752" s="106"/>
      <c r="RA4752" s="106"/>
      <c r="RB4752" s="106"/>
      <c r="RC4752" s="106"/>
      <c r="RD4752" s="106"/>
      <c r="RE4752" s="106"/>
      <c r="RF4752" s="106"/>
      <c r="RG4752" s="106"/>
      <c r="RH4752" s="106"/>
      <c r="RI4752" s="106"/>
      <c r="RJ4752" s="106"/>
      <c r="RK4752" s="106"/>
      <c r="RL4752" s="106"/>
    </row>
    <row r="4753" spans="462:480" x14ac:dyDescent="0.3">
      <c r="QT4753" s="106"/>
      <c r="QU4753" s="106"/>
      <c r="QV4753" s="106"/>
      <c r="QW4753" s="106"/>
      <c r="QX4753" s="106"/>
      <c r="QY4753" s="106"/>
      <c r="QZ4753" s="106"/>
      <c r="RA4753" s="106"/>
      <c r="RB4753" s="106"/>
      <c r="RC4753" s="106"/>
      <c r="RD4753" s="106"/>
      <c r="RE4753" s="106"/>
      <c r="RF4753" s="106"/>
      <c r="RG4753" s="106"/>
      <c r="RH4753" s="106"/>
      <c r="RI4753" s="106"/>
      <c r="RJ4753" s="106"/>
      <c r="RK4753" s="106"/>
      <c r="RL4753" s="106"/>
    </row>
    <row r="4754" spans="462:480" x14ac:dyDescent="0.3">
      <c r="QT4754" s="106"/>
      <c r="QU4754" s="106"/>
      <c r="QV4754" s="106"/>
      <c r="QW4754" s="106"/>
      <c r="QX4754" s="106"/>
      <c r="QY4754" s="106"/>
      <c r="QZ4754" s="106"/>
      <c r="RA4754" s="106"/>
      <c r="RB4754" s="106"/>
      <c r="RC4754" s="106"/>
      <c r="RD4754" s="106"/>
      <c r="RE4754" s="106"/>
      <c r="RF4754" s="106"/>
      <c r="RG4754" s="106"/>
      <c r="RH4754" s="106"/>
      <c r="RI4754" s="106"/>
      <c r="RJ4754" s="106"/>
      <c r="RK4754" s="106"/>
      <c r="RL4754" s="106"/>
    </row>
    <row r="4755" spans="462:480" x14ac:dyDescent="0.3">
      <c r="QT4755" s="106"/>
      <c r="QU4755" s="106"/>
      <c r="QV4755" s="106"/>
      <c r="QW4755" s="106"/>
      <c r="QX4755" s="106"/>
      <c r="QY4755" s="106"/>
      <c r="QZ4755" s="106"/>
      <c r="RA4755" s="106"/>
      <c r="RB4755" s="106"/>
      <c r="RC4755" s="106"/>
      <c r="RD4755" s="106"/>
      <c r="RE4755" s="106"/>
      <c r="RF4755" s="106"/>
      <c r="RG4755" s="106"/>
      <c r="RH4755" s="106"/>
      <c r="RI4755" s="106"/>
      <c r="RJ4755" s="106"/>
      <c r="RK4755" s="106"/>
      <c r="RL4755" s="106"/>
    </row>
    <row r="4756" spans="462:480" x14ac:dyDescent="0.3">
      <c r="QT4756" s="106"/>
      <c r="QU4756" s="106"/>
      <c r="QV4756" s="106"/>
      <c r="QW4756" s="106"/>
      <c r="QX4756" s="106"/>
      <c r="QY4756" s="106"/>
      <c r="QZ4756" s="106"/>
      <c r="RA4756" s="106"/>
      <c r="RB4756" s="106"/>
      <c r="RC4756" s="106"/>
      <c r="RD4756" s="106"/>
      <c r="RE4756" s="106"/>
      <c r="RF4756" s="106"/>
      <c r="RG4756" s="106"/>
      <c r="RH4756" s="106"/>
      <c r="RI4756" s="106"/>
      <c r="RJ4756" s="106"/>
      <c r="RK4756" s="106"/>
      <c r="RL4756" s="106"/>
    </row>
    <row r="4757" spans="462:480" x14ac:dyDescent="0.3">
      <c r="QT4757" s="106"/>
      <c r="QU4757" s="106"/>
      <c r="QV4757" s="106"/>
      <c r="QW4757" s="106"/>
      <c r="QX4757" s="106"/>
      <c r="QY4757" s="106"/>
      <c r="QZ4757" s="106"/>
      <c r="RA4757" s="106"/>
      <c r="RB4757" s="106"/>
      <c r="RC4757" s="106"/>
      <c r="RD4757" s="106"/>
      <c r="RE4757" s="106"/>
      <c r="RF4757" s="106"/>
      <c r="RG4757" s="106"/>
      <c r="RH4757" s="106"/>
      <c r="RI4757" s="106"/>
      <c r="RJ4757" s="106"/>
      <c r="RK4757" s="106"/>
      <c r="RL4757" s="106"/>
    </row>
    <row r="4758" spans="462:480" x14ac:dyDescent="0.3">
      <c r="QT4758" s="106"/>
      <c r="QU4758" s="106"/>
      <c r="QV4758" s="106"/>
      <c r="QW4758" s="106"/>
      <c r="QX4758" s="106"/>
      <c r="QY4758" s="106"/>
      <c r="QZ4758" s="106"/>
      <c r="RA4758" s="106"/>
      <c r="RB4758" s="106"/>
      <c r="RC4758" s="106"/>
      <c r="RD4758" s="106"/>
      <c r="RE4758" s="106"/>
      <c r="RF4758" s="106"/>
      <c r="RG4758" s="106"/>
      <c r="RH4758" s="106"/>
      <c r="RI4758" s="106"/>
      <c r="RJ4758" s="106"/>
      <c r="RK4758" s="106"/>
      <c r="RL4758" s="106"/>
    </row>
    <row r="4759" spans="462:480" x14ac:dyDescent="0.3">
      <c r="QT4759" s="106"/>
      <c r="QU4759" s="106"/>
      <c r="QV4759" s="106"/>
      <c r="QW4759" s="106"/>
      <c r="QX4759" s="106"/>
      <c r="QY4759" s="106"/>
      <c r="QZ4759" s="106"/>
      <c r="RA4759" s="106"/>
      <c r="RB4759" s="106"/>
      <c r="RC4759" s="106"/>
      <c r="RD4759" s="106"/>
      <c r="RE4759" s="106"/>
      <c r="RF4759" s="106"/>
      <c r="RG4759" s="106"/>
      <c r="RH4759" s="106"/>
      <c r="RI4759" s="106"/>
      <c r="RJ4759" s="106"/>
      <c r="RK4759" s="106"/>
      <c r="RL4759" s="106"/>
    </row>
    <row r="4760" spans="462:480" x14ac:dyDescent="0.3">
      <c r="QT4760" s="106"/>
      <c r="QU4760" s="106"/>
      <c r="QV4760" s="106"/>
      <c r="QW4760" s="106"/>
      <c r="QX4760" s="106"/>
      <c r="QY4760" s="106"/>
      <c r="QZ4760" s="106"/>
      <c r="RA4760" s="106"/>
      <c r="RB4760" s="106"/>
      <c r="RC4760" s="106"/>
      <c r="RD4760" s="106"/>
      <c r="RE4760" s="106"/>
      <c r="RF4760" s="106"/>
      <c r="RG4760" s="106"/>
      <c r="RH4760" s="106"/>
      <c r="RI4760" s="106"/>
      <c r="RJ4760" s="106"/>
      <c r="RK4760" s="106"/>
      <c r="RL4760" s="106"/>
    </row>
    <row r="4761" spans="462:480" x14ac:dyDescent="0.3">
      <c r="QT4761" s="106"/>
      <c r="QU4761" s="106"/>
      <c r="QV4761" s="106"/>
      <c r="QW4761" s="106"/>
      <c r="QX4761" s="106"/>
      <c r="QY4761" s="106"/>
      <c r="QZ4761" s="106"/>
      <c r="RA4761" s="106"/>
      <c r="RB4761" s="106"/>
      <c r="RC4761" s="106"/>
      <c r="RD4761" s="106"/>
      <c r="RE4761" s="106"/>
      <c r="RF4761" s="106"/>
      <c r="RG4761" s="106"/>
      <c r="RH4761" s="106"/>
      <c r="RI4761" s="106"/>
      <c r="RJ4761" s="106"/>
      <c r="RK4761" s="106"/>
      <c r="RL4761" s="106"/>
    </row>
    <row r="4762" spans="462:480" x14ac:dyDescent="0.3">
      <c r="QT4762" s="106"/>
      <c r="QU4762" s="106"/>
      <c r="QV4762" s="106"/>
      <c r="QW4762" s="106"/>
      <c r="QX4762" s="106"/>
      <c r="QY4762" s="106"/>
      <c r="QZ4762" s="106"/>
      <c r="RA4762" s="106"/>
      <c r="RB4762" s="106"/>
      <c r="RC4762" s="106"/>
      <c r="RD4762" s="106"/>
      <c r="RE4762" s="106"/>
      <c r="RF4762" s="106"/>
      <c r="RG4762" s="106"/>
      <c r="RH4762" s="106"/>
      <c r="RI4762" s="106"/>
      <c r="RJ4762" s="106"/>
      <c r="RK4762" s="106"/>
      <c r="RL4762" s="106"/>
    </row>
    <row r="4763" spans="462:480" x14ac:dyDescent="0.3">
      <c r="QT4763" s="106"/>
      <c r="QU4763" s="106"/>
      <c r="QV4763" s="106"/>
      <c r="QW4763" s="106"/>
      <c r="QX4763" s="106"/>
      <c r="QY4763" s="106"/>
      <c r="QZ4763" s="106"/>
      <c r="RA4763" s="106"/>
      <c r="RB4763" s="106"/>
      <c r="RC4763" s="106"/>
      <c r="RD4763" s="106"/>
      <c r="RE4763" s="106"/>
      <c r="RF4763" s="106"/>
      <c r="RG4763" s="106"/>
      <c r="RH4763" s="106"/>
      <c r="RI4763" s="106"/>
      <c r="RJ4763" s="106"/>
      <c r="RK4763" s="106"/>
      <c r="RL4763" s="106"/>
    </row>
    <row r="4764" spans="462:480" x14ac:dyDescent="0.3">
      <c r="QT4764" s="106"/>
      <c r="QU4764" s="106"/>
      <c r="QV4764" s="106"/>
      <c r="QW4764" s="106"/>
      <c r="QX4764" s="106"/>
      <c r="QY4764" s="106"/>
      <c r="QZ4764" s="106"/>
      <c r="RA4764" s="106"/>
      <c r="RB4764" s="106"/>
      <c r="RC4764" s="106"/>
      <c r="RD4764" s="106"/>
      <c r="RE4764" s="106"/>
      <c r="RF4764" s="106"/>
      <c r="RG4764" s="106"/>
      <c r="RH4764" s="106"/>
      <c r="RI4764" s="106"/>
      <c r="RJ4764" s="106"/>
      <c r="RK4764" s="106"/>
      <c r="RL4764" s="106"/>
    </row>
    <row r="4765" spans="462:480" x14ac:dyDescent="0.3">
      <c r="QT4765" s="106"/>
      <c r="QU4765" s="106"/>
      <c r="QV4765" s="106"/>
      <c r="QW4765" s="106"/>
      <c r="QX4765" s="106"/>
      <c r="QY4765" s="106"/>
      <c r="QZ4765" s="106"/>
      <c r="RA4765" s="106"/>
      <c r="RB4765" s="106"/>
      <c r="RC4765" s="106"/>
      <c r="RD4765" s="106"/>
      <c r="RE4765" s="106"/>
      <c r="RF4765" s="106"/>
      <c r="RG4765" s="106"/>
      <c r="RH4765" s="106"/>
      <c r="RI4765" s="106"/>
      <c r="RJ4765" s="106"/>
      <c r="RK4765" s="106"/>
      <c r="RL4765" s="106"/>
    </row>
    <row r="4766" spans="462:480" x14ac:dyDescent="0.3">
      <c r="QT4766" s="106"/>
      <c r="QU4766" s="106"/>
      <c r="QV4766" s="106"/>
      <c r="QW4766" s="106"/>
      <c r="QX4766" s="106"/>
      <c r="QY4766" s="106"/>
      <c r="QZ4766" s="106"/>
      <c r="RA4766" s="106"/>
      <c r="RB4766" s="106"/>
      <c r="RC4766" s="106"/>
      <c r="RD4766" s="106"/>
      <c r="RE4766" s="106"/>
      <c r="RF4766" s="106"/>
      <c r="RG4766" s="106"/>
      <c r="RH4766" s="106"/>
      <c r="RI4766" s="106"/>
      <c r="RJ4766" s="106"/>
      <c r="RK4766" s="106"/>
      <c r="RL4766" s="106"/>
    </row>
    <row r="4767" spans="462:480" x14ac:dyDescent="0.3">
      <c r="QT4767" s="106"/>
      <c r="QU4767" s="106"/>
      <c r="QV4767" s="106"/>
      <c r="QW4767" s="106"/>
      <c r="QX4767" s="106"/>
      <c r="QY4767" s="106"/>
      <c r="QZ4767" s="106"/>
      <c r="RA4767" s="106"/>
      <c r="RB4767" s="106"/>
      <c r="RC4767" s="106"/>
      <c r="RD4767" s="106"/>
      <c r="RE4767" s="106"/>
      <c r="RF4767" s="106"/>
      <c r="RG4767" s="106"/>
      <c r="RH4767" s="106"/>
      <c r="RI4767" s="106"/>
      <c r="RJ4767" s="106"/>
      <c r="RK4767" s="106"/>
      <c r="RL4767" s="106"/>
    </row>
    <row r="4768" spans="462:480" x14ac:dyDescent="0.3">
      <c r="QT4768" s="106"/>
      <c r="QU4768" s="106"/>
      <c r="QV4768" s="106"/>
      <c r="QW4768" s="106"/>
      <c r="QX4768" s="106"/>
      <c r="QY4768" s="106"/>
      <c r="QZ4768" s="106"/>
      <c r="RA4768" s="106"/>
      <c r="RB4768" s="106"/>
      <c r="RC4768" s="106"/>
      <c r="RD4768" s="106"/>
      <c r="RE4768" s="106"/>
      <c r="RF4768" s="106"/>
      <c r="RG4768" s="106"/>
      <c r="RH4768" s="106"/>
      <c r="RI4768" s="106"/>
      <c r="RJ4768" s="106"/>
      <c r="RK4768" s="106"/>
      <c r="RL4768" s="106"/>
    </row>
    <row r="4769" spans="462:480" x14ac:dyDescent="0.3">
      <c r="QT4769" s="106"/>
      <c r="QU4769" s="106"/>
      <c r="QV4769" s="106"/>
      <c r="QW4769" s="106"/>
      <c r="QX4769" s="106"/>
      <c r="QY4769" s="106"/>
      <c r="QZ4769" s="106"/>
      <c r="RA4769" s="106"/>
      <c r="RB4769" s="106"/>
      <c r="RC4769" s="106"/>
      <c r="RD4769" s="106"/>
      <c r="RE4769" s="106"/>
      <c r="RF4769" s="106"/>
      <c r="RG4769" s="106"/>
      <c r="RH4769" s="106"/>
      <c r="RI4769" s="106"/>
      <c r="RJ4769" s="106"/>
      <c r="RK4769" s="106"/>
      <c r="RL4769" s="106"/>
    </row>
    <row r="4770" spans="462:480" x14ac:dyDescent="0.3">
      <c r="QT4770" s="106"/>
      <c r="QU4770" s="106"/>
      <c r="QV4770" s="106"/>
      <c r="QW4770" s="106"/>
      <c r="QX4770" s="106"/>
      <c r="QY4770" s="106"/>
      <c r="QZ4770" s="106"/>
      <c r="RA4770" s="106"/>
      <c r="RB4770" s="106"/>
      <c r="RC4770" s="106"/>
      <c r="RD4770" s="106"/>
      <c r="RE4770" s="106"/>
      <c r="RF4770" s="106"/>
      <c r="RG4770" s="106"/>
      <c r="RH4770" s="106"/>
      <c r="RI4770" s="106"/>
      <c r="RJ4770" s="106"/>
      <c r="RK4770" s="106"/>
      <c r="RL4770" s="106"/>
    </row>
    <row r="4771" spans="462:480" x14ac:dyDescent="0.3">
      <c r="QT4771" s="106"/>
      <c r="QU4771" s="106"/>
      <c r="QV4771" s="106"/>
      <c r="QW4771" s="106"/>
      <c r="QX4771" s="106"/>
      <c r="QY4771" s="106"/>
      <c r="QZ4771" s="106"/>
      <c r="RA4771" s="106"/>
      <c r="RB4771" s="106"/>
      <c r="RC4771" s="106"/>
      <c r="RD4771" s="106"/>
      <c r="RE4771" s="106"/>
      <c r="RF4771" s="106"/>
      <c r="RG4771" s="106"/>
      <c r="RH4771" s="106"/>
      <c r="RI4771" s="106"/>
      <c r="RJ4771" s="106"/>
      <c r="RK4771" s="106"/>
      <c r="RL4771" s="106"/>
    </row>
    <row r="4772" spans="462:480" x14ac:dyDescent="0.3">
      <c r="QT4772" s="106"/>
      <c r="QU4772" s="106"/>
      <c r="QV4772" s="106"/>
      <c r="QW4772" s="106"/>
      <c r="QX4772" s="106"/>
      <c r="QY4772" s="106"/>
      <c r="QZ4772" s="106"/>
      <c r="RA4772" s="106"/>
      <c r="RB4772" s="106"/>
      <c r="RC4772" s="106"/>
      <c r="RD4772" s="106"/>
      <c r="RE4772" s="106"/>
      <c r="RF4772" s="106"/>
      <c r="RG4772" s="106"/>
      <c r="RH4772" s="106"/>
      <c r="RI4772" s="106"/>
      <c r="RJ4772" s="106"/>
      <c r="RK4772" s="106"/>
      <c r="RL4772" s="106"/>
    </row>
    <row r="4773" spans="462:480" x14ac:dyDescent="0.3">
      <c r="QT4773" s="106"/>
      <c r="QU4773" s="106"/>
      <c r="QV4773" s="106"/>
      <c r="QW4773" s="106"/>
      <c r="QX4773" s="106"/>
      <c r="QY4773" s="106"/>
      <c r="QZ4773" s="106"/>
      <c r="RA4773" s="106"/>
      <c r="RB4773" s="106"/>
      <c r="RC4773" s="106"/>
      <c r="RD4773" s="106"/>
      <c r="RE4773" s="106"/>
      <c r="RF4773" s="106"/>
      <c r="RG4773" s="106"/>
      <c r="RH4773" s="106"/>
      <c r="RI4773" s="106"/>
      <c r="RJ4773" s="106"/>
      <c r="RK4773" s="106"/>
      <c r="RL4773" s="106"/>
    </row>
    <row r="4774" spans="462:480" x14ac:dyDescent="0.3">
      <c r="QT4774" s="106"/>
      <c r="QU4774" s="106"/>
      <c r="QV4774" s="106"/>
      <c r="QW4774" s="106"/>
      <c r="QX4774" s="106"/>
      <c r="QY4774" s="106"/>
      <c r="QZ4774" s="106"/>
      <c r="RA4774" s="106"/>
      <c r="RB4774" s="106"/>
      <c r="RC4774" s="106"/>
      <c r="RD4774" s="106"/>
      <c r="RE4774" s="106"/>
      <c r="RF4774" s="106"/>
      <c r="RG4774" s="106"/>
      <c r="RH4774" s="106"/>
      <c r="RI4774" s="106"/>
      <c r="RJ4774" s="106"/>
      <c r="RK4774" s="106"/>
      <c r="RL4774" s="106"/>
    </row>
    <row r="4775" spans="462:480" x14ac:dyDescent="0.3">
      <c r="QT4775" s="106"/>
      <c r="QU4775" s="106"/>
      <c r="QV4775" s="106"/>
      <c r="QW4775" s="106"/>
      <c r="QX4775" s="106"/>
      <c r="QY4775" s="106"/>
      <c r="QZ4775" s="106"/>
      <c r="RA4775" s="106"/>
      <c r="RB4775" s="106"/>
      <c r="RC4775" s="106"/>
      <c r="RD4775" s="106"/>
      <c r="RE4775" s="106"/>
      <c r="RF4775" s="106"/>
      <c r="RG4775" s="106"/>
      <c r="RH4775" s="106"/>
      <c r="RI4775" s="106"/>
      <c r="RJ4775" s="106"/>
      <c r="RK4775" s="106"/>
      <c r="RL4775" s="106"/>
    </row>
    <row r="4776" spans="462:480" x14ac:dyDescent="0.3">
      <c r="QT4776" s="106"/>
      <c r="QU4776" s="106"/>
      <c r="QV4776" s="106"/>
      <c r="QW4776" s="106"/>
      <c r="QX4776" s="106"/>
      <c r="QY4776" s="106"/>
      <c r="QZ4776" s="106"/>
      <c r="RA4776" s="106"/>
      <c r="RB4776" s="106"/>
      <c r="RC4776" s="106"/>
      <c r="RD4776" s="106"/>
      <c r="RE4776" s="106"/>
      <c r="RF4776" s="106"/>
      <c r="RG4776" s="106"/>
      <c r="RH4776" s="106"/>
      <c r="RI4776" s="106"/>
      <c r="RJ4776" s="106"/>
      <c r="RK4776" s="106"/>
      <c r="RL4776" s="106"/>
    </row>
    <row r="4777" spans="462:480" x14ac:dyDescent="0.3">
      <c r="QT4777" s="106"/>
      <c r="QU4777" s="106"/>
      <c r="QV4777" s="106"/>
      <c r="QW4777" s="106"/>
      <c r="QX4777" s="106"/>
      <c r="QY4777" s="106"/>
      <c r="QZ4777" s="106"/>
      <c r="RA4777" s="106"/>
      <c r="RB4777" s="106"/>
      <c r="RC4777" s="106"/>
      <c r="RD4777" s="106"/>
      <c r="RE4777" s="106"/>
      <c r="RF4777" s="106"/>
      <c r="RG4777" s="106"/>
      <c r="RH4777" s="106"/>
      <c r="RI4777" s="106"/>
      <c r="RJ4777" s="106"/>
      <c r="RK4777" s="106"/>
      <c r="RL4777" s="106"/>
    </row>
    <row r="4778" spans="462:480" x14ac:dyDescent="0.3">
      <c r="QT4778" s="106"/>
      <c r="QU4778" s="106"/>
      <c r="QV4778" s="106"/>
      <c r="QW4778" s="106"/>
      <c r="QX4778" s="106"/>
      <c r="QY4778" s="106"/>
      <c r="QZ4778" s="106"/>
      <c r="RA4778" s="106"/>
      <c r="RB4778" s="106"/>
      <c r="RC4778" s="106"/>
      <c r="RD4778" s="106"/>
      <c r="RE4778" s="106"/>
      <c r="RF4778" s="106"/>
      <c r="RG4778" s="106"/>
      <c r="RH4778" s="106"/>
      <c r="RI4778" s="106"/>
      <c r="RJ4778" s="106"/>
      <c r="RK4778" s="106"/>
      <c r="RL4778" s="106"/>
    </row>
    <row r="4779" spans="462:480" x14ac:dyDescent="0.3">
      <c r="QT4779" s="106"/>
      <c r="QU4779" s="106"/>
      <c r="QV4779" s="106"/>
      <c r="QW4779" s="106"/>
      <c r="QX4779" s="106"/>
      <c r="QY4779" s="106"/>
      <c r="QZ4779" s="106"/>
      <c r="RA4779" s="106"/>
      <c r="RB4779" s="106"/>
      <c r="RC4779" s="106"/>
      <c r="RD4779" s="106"/>
      <c r="RE4779" s="106"/>
      <c r="RF4779" s="106"/>
      <c r="RG4779" s="106"/>
      <c r="RH4779" s="106"/>
      <c r="RI4779" s="106"/>
      <c r="RJ4779" s="106"/>
      <c r="RK4779" s="106"/>
      <c r="RL4779" s="106"/>
    </row>
    <row r="4780" spans="462:480" x14ac:dyDescent="0.3">
      <c r="QT4780" s="106"/>
      <c r="QU4780" s="106"/>
      <c r="QV4780" s="106"/>
      <c r="QW4780" s="106"/>
      <c r="QX4780" s="106"/>
      <c r="QY4780" s="106"/>
      <c r="QZ4780" s="106"/>
      <c r="RA4780" s="106"/>
      <c r="RB4780" s="106"/>
      <c r="RC4780" s="106"/>
      <c r="RD4780" s="106"/>
      <c r="RE4780" s="106"/>
      <c r="RF4780" s="106"/>
      <c r="RG4780" s="106"/>
      <c r="RH4780" s="106"/>
      <c r="RI4780" s="106"/>
      <c r="RJ4780" s="106"/>
      <c r="RK4780" s="106"/>
      <c r="RL4780" s="106"/>
    </row>
    <row r="4781" spans="462:480" x14ac:dyDescent="0.3">
      <c r="QT4781" s="106"/>
      <c r="QU4781" s="106"/>
      <c r="QV4781" s="106"/>
      <c r="QW4781" s="106"/>
      <c r="QX4781" s="106"/>
      <c r="QY4781" s="106"/>
      <c r="QZ4781" s="106"/>
      <c r="RA4781" s="106"/>
      <c r="RB4781" s="106"/>
      <c r="RC4781" s="106"/>
      <c r="RD4781" s="106"/>
      <c r="RE4781" s="106"/>
      <c r="RF4781" s="106"/>
      <c r="RG4781" s="106"/>
      <c r="RH4781" s="106"/>
      <c r="RI4781" s="106"/>
      <c r="RJ4781" s="106"/>
      <c r="RK4781" s="106"/>
      <c r="RL4781" s="106"/>
    </row>
    <row r="4782" spans="462:480" x14ac:dyDescent="0.3">
      <c r="QT4782" s="106"/>
      <c r="QU4782" s="106"/>
      <c r="QV4782" s="106"/>
      <c r="QW4782" s="106"/>
      <c r="QX4782" s="106"/>
      <c r="QY4782" s="106"/>
      <c r="QZ4782" s="106"/>
      <c r="RA4782" s="106"/>
      <c r="RB4782" s="106"/>
      <c r="RC4782" s="106"/>
      <c r="RD4782" s="106"/>
      <c r="RE4782" s="106"/>
      <c r="RF4782" s="106"/>
      <c r="RG4782" s="106"/>
      <c r="RH4782" s="106"/>
      <c r="RI4782" s="106"/>
      <c r="RJ4782" s="106"/>
      <c r="RK4782" s="106"/>
      <c r="RL4782" s="106"/>
    </row>
    <row r="4783" spans="462:480" x14ac:dyDescent="0.3">
      <c r="QT4783" s="106"/>
      <c r="QU4783" s="106"/>
      <c r="QV4783" s="106"/>
      <c r="QW4783" s="106"/>
      <c r="QX4783" s="106"/>
      <c r="QY4783" s="106"/>
      <c r="QZ4783" s="106"/>
      <c r="RA4783" s="106"/>
      <c r="RB4783" s="106"/>
      <c r="RC4783" s="106"/>
      <c r="RD4783" s="106"/>
      <c r="RE4783" s="106"/>
      <c r="RF4783" s="106"/>
      <c r="RG4783" s="106"/>
      <c r="RH4783" s="106"/>
      <c r="RI4783" s="106"/>
      <c r="RJ4783" s="106"/>
      <c r="RK4783" s="106"/>
      <c r="RL4783" s="106"/>
    </row>
    <row r="4784" spans="462:480" x14ac:dyDescent="0.3">
      <c r="QT4784" s="106"/>
      <c r="QU4784" s="106"/>
      <c r="QV4784" s="106"/>
      <c r="QW4784" s="106"/>
      <c r="QX4784" s="106"/>
      <c r="QY4784" s="106"/>
      <c r="QZ4784" s="106"/>
      <c r="RA4784" s="106"/>
      <c r="RB4784" s="106"/>
      <c r="RC4784" s="106"/>
      <c r="RD4784" s="106"/>
      <c r="RE4784" s="106"/>
      <c r="RF4784" s="106"/>
      <c r="RG4784" s="106"/>
      <c r="RH4784" s="106"/>
      <c r="RI4784" s="106"/>
      <c r="RJ4784" s="106"/>
      <c r="RK4784" s="106"/>
      <c r="RL4784" s="106"/>
    </row>
    <row r="4785" spans="462:480" x14ac:dyDescent="0.3">
      <c r="QT4785" s="106"/>
      <c r="QU4785" s="106"/>
      <c r="QV4785" s="106"/>
      <c r="QW4785" s="106"/>
      <c r="QX4785" s="106"/>
      <c r="QY4785" s="106"/>
      <c r="QZ4785" s="106"/>
      <c r="RA4785" s="106"/>
      <c r="RB4785" s="106"/>
      <c r="RC4785" s="106"/>
      <c r="RD4785" s="106"/>
      <c r="RE4785" s="106"/>
      <c r="RF4785" s="106"/>
      <c r="RG4785" s="106"/>
      <c r="RH4785" s="106"/>
      <c r="RI4785" s="106"/>
      <c r="RJ4785" s="106"/>
      <c r="RK4785" s="106"/>
      <c r="RL4785" s="106"/>
    </row>
    <row r="4786" spans="462:480" x14ac:dyDescent="0.3">
      <c r="QT4786" s="106"/>
      <c r="QU4786" s="106"/>
      <c r="QV4786" s="106"/>
      <c r="QW4786" s="106"/>
      <c r="QX4786" s="106"/>
      <c r="QY4786" s="106"/>
      <c r="QZ4786" s="106"/>
      <c r="RA4786" s="106"/>
      <c r="RB4786" s="106"/>
      <c r="RC4786" s="106"/>
      <c r="RD4786" s="106"/>
      <c r="RE4786" s="106"/>
      <c r="RF4786" s="106"/>
      <c r="RG4786" s="106"/>
      <c r="RH4786" s="106"/>
      <c r="RI4786" s="106"/>
      <c r="RJ4786" s="106"/>
      <c r="RK4786" s="106"/>
      <c r="RL4786" s="106"/>
    </row>
    <row r="4787" spans="462:480" x14ac:dyDescent="0.3">
      <c r="QT4787" s="106"/>
      <c r="QU4787" s="106"/>
      <c r="QV4787" s="106"/>
      <c r="QW4787" s="106"/>
      <c r="QX4787" s="106"/>
      <c r="QY4787" s="106"/>
      <c r="QZ4787" s="106"/>
      <c r="RA4787" s="106"/>
      <c r="RB4787" s="106"/>
      <c r="RC4787" s="106"/>
      <c r="RD4787" s="106"/>
      <c r="RE4787" s="106"/>
      <c r="RF4787" s="106"/>
      <c r="RG4787" s="106"/>
      <c r="RH4787" s="106"/>
      <c r="RI4787" s="106"/>
      <c r="RJ4787" s="106"/>
      <c r="RK4787" s="106"/>
      <c r="RL4787" s="106"/>
    </row>
    <row r="4788" spans="462:480" x14ac:dyDescent="0.3">
      <c r="QT4788" s="106"/>
      <c r="QU4788" s="106"/>
      <c r="QV4788" s="106"/>
      <c r="QW4788" s="106"/>
      <c r="QX4788" s="106"/>
      <c r="QY4788" s="106"/>
      <c r="QZ4788" s="106"/>
      <c r="RA4788" s="106"/>
      <c r="RB4788" s="106"/>
      <c r="RC4788" s="106"/>
      <c r="RD4788" s="106"/>
      <c r="RE4788" s="106"/>
      <c r="RF4788" s="106"/>
      <c r="RG4788" s="106"/>
      <c r="RH4788" s="106"/>
      <c r="RI4788" s="106"/>
      <c r="RJ4788" s="106"/>
      <c r="RK4788" s="106"/>
      <c r="RL4788" s="106"/>
    </row>
    <row r="4789" spans="462:480" x14ac:dyDescent="0.3">
      <c r="QT4789" s="106"/>
      <c r="QU4789" s="106"/>
      <c r="QV4789" s="106"/>
      <c r="QW4789" s="106"/>
      <c r="QX4789" s="106"/>
      <c r="QY4789" s="106"/>
      <c r="QZ4789" s="106"/>
      <c r="RA4789" s="106"/>
      <c r="RB4789" s="106"/>
      <c r="RC4789" s="106"/>
      <c r="RD4789" s="106"/>
      <c r="RE4789" s="106"/>
      <c r="RF4789" s="106"/>
      <c r="RG4789" s="106"/>
      <c r="RH4789" s="106"/>
      <c r="RI4789" s="106"/>
      <c r="RJ4789" s="106"/>
      <c r="RK4789" s="106"/>
      <c r="RL4789" s="106"/>
    </row>
    <row r="4790" spans="462:480" x14ac:dyDescent="0.3">
      <c r="QT4790" s="106"/>
      <c r="QU4790" s="106"/>
      <c r="QV4790" s="106"/>
      <c r="QW4790" s="106"/>
      <c r="QX4790" s="106"/>
      <c r="QY4790" s="106"/>
      <c r="QZ4790" s="106"/>
      <c r="RA4790" s="106"/>
      <c r="RB4790" s="106"/>
      <c r="RC4790" s="106"/>
      <c r="RD4790" s="106"/>
      <c r="RE4790" s="106"/>
      <c r="RF4790" s="106"/>
      <c r="RG4790" s="106"/>
      <c r="RH4790" s="106"/>
      <c r="RI4790" s="106"/>
      <c r="RJ4790" s="106"/>
      <c r="RK4790" s="106"/>
      <c r="RL4790" s="106"/>
    </row>
    <row r="4791" spans="462:480" x14ac:dyDescent="0.3">
      <c r="QT4791" s="106"/>
      <c r="QU4791" s="106"/>
      <c r="QV4791" s="106"/>
      <c r="QW4791" s="106"/>
      <c r="QX4791" s="106"/>
      <c r="QY4791" s="106"/>
      <c r="QZ4791" s="106"/>
      <c r="RA4791" s="106"/>
      <c r="RB4791" s="106"/>
      <c r="RC4791" s="106"/>
      <c r="RD4791" s="106"/>
      <c r="RE4791" s="106"/>
      <c r="RF4791" s="106"/>
      <c r="RG4791" s="106"/>
      <c r="RH4791" s="106"/>
      <c r="RI4791" s="106"/>
      <c r="RJ4791" s="106"/>
      <c r="RK4791" s="106"/>
      <c r="RL4791" s="106"/>
    </row>
    <row r="4792" spans="462:480" x14ac:dyDescent="0.3">
      <c r="QT4792" s="106"/>
      <c r="QU4792" s="106"/>
      <c r="QV4792" s="106"/>
      <c r="QW4792" s="106"/>
      <c r="QX4792" s="106"/>
      <c r="QY4792" s="106"/>
      <c r="QZ4792" s="106"/>
      <c r="RA4792" s="106"/>
      <c r="RB4792" s="106"/>
      <c r="RC4792" s="106"/>
      <c r="RD4792" s="106"/>
      <c r="RE4792" s="106"/>
      <c r="RF4792" s="106"/>
      <c r="RG4792" s="106"/>
      <c r="RH4792" s="106"/>
      <c r="RI4792" s="106"/>
      <c r="RJ4792" s="106"/>
      <c r="RK4792" s="106"/>
      <c r="RL4792" s="106"/>
    </row>
    <row r="4793" spans="462:480" x14ac:dyDescent="0.3">
      <c r="QT4793" s="106"/>
      <c r="QU4793" s="106"/>
      <c r="QV4793" s="106"/>
      <c r="QW4793" s="106"/>
      <c r="QX4793" s="106"/>
      <c r="QY4793" s="106"/>
      <c r="QZ4793" s="106"/>
      <c r="RA4793" s="106"/>
      <c r="RB4793" s="106"/>
      <c r="RC4793" s="106"/>
      <c r="RD4793" s="106"/>
      <c r="RE4793" s="106"/>
      <c r="RF4793" s="106"/>
      <c r="RG4793" s="106"/>
      <c r="RH4793" s="106"/>
      <c r="RI4793" s="106"/>
      <c r="RJ4793" s="106"/>
      <c r="RK4793" s="106"/>
      <c r="RL4793" s="106"/>
    </row>
    <row r="4794" spans="462:480" x14ac:dyDescent="0.3">
      <c r="QT4794" s="106"/>
      <c r="QU4794" s="106"/>
      <c r="QV4794" s="106"/>
      <c r="QW4794" s="106"/>
      <c r="QX4794" s="106"/>
      <c r="QY4794" s="106"/>
      <c r="QZ4794" s="106"/>
      <c r="RA4794" s="106"/>
      <c r="RB4794" s="106"/>
      <c r="RC4794" s="106"/>
      <c r="RD4794" s="106"/>
      <c r="RE4794" s="106"/>
      <c r="RF4794" s="106"/>
      <c r="RG4794" s="106"/>
      <c r="RH4794" s="106"/>
      <c r="RI4794" s="106"/>
      <c r="RJ4794" s="106"/>
      <c r="RK4794" s="106"/>
      <c r="RL4794" s="106"/>
    </row>
    <row r="4795" spans="462:480" x14ac:dyDescent="0.3">
      <c r="QT4795" s="106"/>
      <c r="QU4795" s="106"/>
      <c r="QV4795" s="106"/>
      <c r="QW4795" s="106"/>
      <c r="QX4795" s="106"/>
      <c r="QY4795" s="106"/>
      <c r="QZ4795" s="106"/>
      <c r="RA4795" s="106"/>
      <c r="RB4795" s="106"/>
      <c r="RC4795" s="106"/>
      <c r="RD4795" s="106"/>
      <c r="RE4795" s="106"/>
      <c r="RF4795" s="106"/>
      <c r="RG4795" s="106"/>
      <c r="RH4795" s="106"/>
      <c r="RI4795" s="106"/>
      <c r="RJ4795" s="106"/>
      <c r="RK4795" s="106"/>
      <c r="RL4795" s="106"/>
    </row>
    <row r="4796" spans="462:480" x14ac:dyDescent="0.3">
      <c r="QT4796" s="106"/>
      <c r="QU4796" s="106"/>
      <c r="QV4796" s="106"/>
      <c r="QW4796" s="106"/>
      <c r="QX4796" s="106"/>
      <c r="QY4796" s="106"/>
      <c r="QZ4796" s="106"/>
      <c r="RA4796" s="106"/>
      <c r="RB4796" s="106"/>
      <c r="RC4796" s="106"/>
      <c r="RD4796" s="106"/>
      <c r="RE4796" s="106"/>
      <c r="RF4796" s="106"/>
      <c r="RG4796" s="106"/>
      <c r="RH4796" s="106"/>
      <c r="RI4796" s="106"/>
      <c r="RJ4796" s="106"/>
      <c r="RK4796" s="106"/>
      <c r="RL4796" s="106"/>
    </row>
    <row r="4797" spans="462:480" x14ac:dyDescent="0.3">
      <c r="QT4797" s="106"/>
      <c r="QU4797" s="106"/>
      <c r="QV4797" s="106"/>
      <c r="QW4797" s="106"/>
      <c r="QX4797" s="106"/>
      <c r="QY4797" s="106"/>
      <c r="QZ4797" s="106"/>
      <c r="RA4797" s="106"/>
      <c r="RB4797" s="106"/>
      <c r="RC4797" s="106"/>
      <c r="RD4797" s="106"/>
      <c r="RE4797" s="106"/>
      <c r="RF4797" s="106"/>
      <c r="RG4797" s="106"/>
      <c r="RH4797" s="106"/>
      <c r="RI4797" s="106"/>
      <c r="RJ4797" s="106"/>
      <c r="RK4797" s="106"/>
      <c r="RL4797" s="106"/>
    </row>
    <row r="4798" spans="462:480" x14ac:dyDescent="0.3">
      <c r="QT4798" s="106"/>
      <c r="QU4798" s="106"/>
      <c r="QV4798" s="106"/>
      <c r="QW4798" s="106"/>
      <c r="QX4798" s="106"/>
      <c r="QY4798" s="106"/>
      <c r="QZ4798" s="106"/>
      <c r="RA4798" s="106"/>
      <c r="RB4798" s="106"/>
      <c r="RC4798" s="106"/>
      <c r="RD4798" s="106"/>
      <c r="RE4798" s="106"/>
      <c r="RF4798" s="106"/>
      <c r="RG4798" s="106"/>
      <c r="RH4798" s="106"/>
      <c r="RI4798" s="106"/>
      <c r="RJ4798" s="106"/>
      <c r="RK4798" s="106"/>
      <c r="RL4798" s="106"/>
    </row>
    <row r="4799" spans="462:480" x14ac:dyDescent="0.3">
      <c r="QT4799" s="106"/>
      <c r="QU4799" s="106"/>
      <c r="QV4799" s="106"/>
      <c r="QW4799" s="106"/>
      <c r="QX4799" s="106"/>
      <c r="QY4799" s="106"/>
      <c r="QZ4799" s="106"/>
      <c r="RA4799" s="106"/>
      <c r="RB4799" s="106"/>
      <c r="RC4799" s="106"/>
      <c r="RD4799" s="106"/>
      <c r="RE4799" s="106"/>
      <c r="RF4799" s="106"/>
      <c r="RG4799" s="106"/>
      <c r="RH4799" s="106"/>
      <c r="RI4799" s="106"/>
      <c r="RJ4799" s="106"/>
      <c r="RK4799" s="106"/>
      <c r="RL4799" s="106"/>
    </row>
    <row r="4800" spans="462:480" x14ac:dyDescent="0.3">
      <c r="QT4800" s="106"/>
      <c r="QU4800" s="106"/>
      <c r="QV4800" s="106"/>
      <c r="QW4800" s="106"/>
      <c r="QX4800" s="106"/>
      <c r="QY4800" s="106"/>
      <c r="QZ4800" s="106"/>
      <c r="RA4800" s="106"/>
      <c r="RB4800" s="106"/>
      <c r="RC4800" s="106"/>
      <c r="RD4800" s="106"/>
      <c r="RE4800" s="106"/>
      <c r="RF4800" s="106"/>
      <c r="RG4800" s="106"/>
      <c r="RH4800" s="106"/>
      <c r="RI4800" s="106"/>
      <c r="RJ4800" s="106"/>
      <c r="RK4800" s="106"/>
      <c r="RL4800" s="106"/>
    </row>
    <row r="4801" spans="462:480" x14ac:dyDescent="0.3">
      <c r="QT4801" s="106"/>
      <c r="QU4801" s="106"/>
      <c r="QV4801" s="106"/>
      <c r="QW4801" s="106"/>
      <c r="QX4801" s="106"/>
      <c r="QY4801" s="106"/>
      <c r="QZ4801" s="106"/>
      <c r="RA4801" s="106"/>
      <c r="RB4801" s="106"/>
      <c r="RC4801" s="106"/>
      <c r="RD4801" s="106"/>
      <c r="RE4801" s="106"/>
      <c r="RF4801" s="106"/>
      <c r="RG4801" s="106"/>
      <c r="RH4801" s="106"/>
      <c r="RI4801" s="106"/>
      <c r="RJ4801" s="106"/>
      <c r="RK4801" s="106"/>
      <c r="RL4801" s="106"/>
    </row>
    <row r="4802" spans="462:480" x14ac:dyDescent="0.3">
      <c r="QT4802" s="106"/>
      <c r="QU4802" s="106"/>
      <c r="QV4802" s="106"/>
      <c r="QW4802" s="106"/>
      <c r="QX4802" s="106"/>
      <c r="QY4802" s="106"/>
      <c r="QZ4802" s="106"/>
      <c r="RA4802" s="106"/>
      <c r="RB4802" s="106"/>
      <c r="RC4802" s="106"/>
      <c r="RD4802" s="106"/>
      <c r="RE4802" s="106"/>
      <c r="RF4802" s="106"/>
      <c r="RG4802" s="106"/>
      <c r="RH4802" s="106"/>
      <c r="RI4802" s="106"/>
      <c r="RJ4802" s="106"/>
      <c r="RK4802" s="106"/>
      <c r="RL4802" s="106"/>
    </row>
    <row r="4803" spans="462:480" x14ac:dyDescent="0.3">
      <c r="QT4803" s="106"/>
      <c r="QU4803" s="106"/>
      <c r="QV4803" s="106"/>
      <c r="QW4803" s="106"/>
      <c r="QX4803" s="106"/>
      <c r="QY4803" s="106"/>
      <c r="QZ4803" s="106"/>
      <c r="RA4803" s="106"/>
      <c r="RB4803" s="106"/>
      <c r="RC4803" s="106"/>
      <c r="RD4803" s="106"/>
      <c r="RE4803" s="106"/>
      <c r="RF4803" s="106"/>
      <c r="RG4803" s="106"/>
      <c r="RH4803" s="106"/>
      <c r="RI4803" s="106"/>
      <c r="RJ4803" s="106"/>
      <c r="RK4803" s="106"/>
      <c r="RL4803" s="106"/>
    </row>
    <row r="4804" spans="462:480" x14ac:dyDescent="0.3">
      <c r="QT4804" s="106"/>
      <c r="QU4804" s="106"/>
      <c r="QV4804" s="106"/>
      <c r="QW4804" s="106"/>
      <c r="QX4804" s="106"/>
      <c r="QY4804" s="106"/>
      <c r="QZ4804" s="106"/>
      <c r="RA4804" s="106"/>
      <c r="RB4804" s="106"/>
      <c r="RC4804" s="106"/>
      <c r="RD4804" s="106"/>
      <c r="RE4804" s="106"/>
      <c r="RF4804" s="106"/>
      <c r="RG4804" s="106"/>
      <c r="RH4804" s="106"/>
      <c r="RI4804" s="106"/>
      <c r="RJ4804" s="106"/>
      <c r="RK4804" s="106"/>
      <c r="RL4804" s="106"/>
    </row>
    <row r="4805" spans="462:480" x14ac:dyDescent="0.3">
      <c r="QT4805" s="106"/>
      <c r="QU4805" s="106"/>
      <c r="QV4805" s="106"/>
      <c r="QW4805" s="106"/>
      <c r="QX4805" s="106"/>
      <c r="QY4805" s="106"/>
      <c r="QZ4805" s="106"/>
      <c r="RA4805" s="106"/>
      <c r="RB4805" s="106"/>
      <c r="RC4805" s="106"/>
      <c r="RD4805" s="106"/>
      <c r="RE4805" s="106"/>
      <c r="RF4805" s="106"/>
      <c r="RG4805" s="106"/>
      <c r="RH4805" s="106"/>
      <c r="RI4805" s="106"/>
      <c r="RJ4805" s="106"/>
      <c r="RK4805" s="106"/>
      <c r="RL4805" s="106"/>
    </row>
    <row r="4806" spans="462:480" x14ac:dyDescent="0.3">
      <c r="QT4806" s="106"/>
      <c r="QU4806" s="106"/>
      <c r="QV4806" s="106"/>
      <c r="QW4806" s="106"/>
      <c r="QX4806" s="106"/>
      <c r="QY4806" s="106"/>
      <c r="QZ4806" s="106"/>
      <c r="RA4806" s="106"/>
      <c r="RB4806" s="106"/>
      <c r="RC4806" s="106"/>
      <c r="RD4806" s="106"/>
      <c r="RE4806" s="106"/>
      <c r="RF4806" s="106"/>
      <c r="RG4806" s="106"/>
      <c r="RH4806" s="106"/>
      <c r="RI4806" s="106"/>
      <c r="RJ4806" s="106"/>
      <c r="RK4806" s="106"/>
      <c r="RL4806" s="106"/>
    </row>
    <row r="4807" spans="462:480" x14ac:dyDescent="0.3">
      <c r="QT4807" s="106"/>
      <c r="QU4807" s="106"/>
      <c r="QV4807" s="106"/>
      <c r="QW4807" s="106"/>
      <c r="QX4807" s="106"/>
      <c r="QY4807" s="106"/>
      <c r="QZ4807" s="106"/>
      <c r="RA4807" s="106"/>
      <c r="RB4807" s="106"/>
      <c r="RC4807" s="106"/>
      <c r="RD4807" s="106"/>
      <c r="RE4807" s="106"/>
      <c r="RF4807" s="106"/>
      <c r="RG4807" s="106"/>
      <c r="RH4807" s="106"/>
      <c r="RI4807" s="106"/>
      <c r="RJ4807" s="106"/>
      <c r="RK4807" s="106"/>
      <c r="RL4807" s="106"/>
    </row>
    <row r="4808" spans="462:480" x14ac:dyDescent="0.3">
      <c r="QT4808" s="106"/>
      <c r="QU4808" s="106"/>
      <c r="QV4808" s="106"/>
      <c r="QW4808" s="106"/>
      <c r="QX4808" s="106"/>
      <c r="QY4808" s="106"/>
      <c r="QZ4808" s="106"/>
      <c r="RA4808" s="106"/>
      <c r="RB4808" s="106"/>
      <c r="RC4808" s="106"/>
      <c r="RD4808" s="106"/>
      <c r="RE4808" s="106"/>
      <c r="RF4808" s="106"/>
      <c r="RG4808" s="106"/>
      <c r="RH4808" s="106"/>
      <c r="RI4808" s="106"/>
      <c r="RJ4808" s="106"/>
      <c r="RK4808" s="106"/>
      <c r="RL4808" s="106"/>
    </row>
    <row r="4809" spans="462:480" x14ac:dyDescent="0.3">
      <c r="QT4809" s="106"/>
      <c r="QU4809" s="106"/>
      <c r="QV4809" s="106"/>
      <c r="QW4809" s="106"/>
      <c r="QX4809" s="106"/>
      <c r="QY4809" s="106"/>
      <c r="QZ4809" s="106"/>
      <c r="RA4809" s="106"/>
      <c r="RB4809" s="106"/>
      <c r="RC4809" s="106"/>
      <c r="RD4809" s="106"/>
      <c r="RE4809" s="106"/>
      <c r="RF4809" s="106"/>
      <c r="RG4809" s="106"/>
      <c r="RH4809" s="106"/>
      <c r="RI4809" s="106"/>
      <c r="RJ4809" s="106"/>
      <c r="RK4809" s="106"/>
      <c r="RL4809" s="106"/>
    </row>
    <row r="4810" spans="462:480" x14ac:dyDescent="0.3">
      <c r="QT4810" s="106"/>
      <c r="QU4810" s="106"/>
      <c r="QV4810" s="106"/>
      <c r="QW4810" s="106"/>
      <c r="QX4810" s="106"/>
      <c r="QY4810" s="106"/>
      <c r="QZ4810" s="106"/>
      <c r="RA4810" s="106"/>
      <c r="RB4810" s="106"/>
      <c r="RC4810" s="106"/>
      <c r="RD4810" s="106"/>
      <c r="RE4810" s="106"/>
      <c r="RF4810" s="106"/>
      <c r="RG4810" s="106"/>
      <c r="RH4810" s="106"/>
      <c r="RI4810" s="106"/>
      <c r="RJ4810" s="106"/>
      <c r="RK4810" s="106"/>
      <c r="RL4810" s="106"/>
    </row>
    <row r="4811" spans="462:480" x14ac:dyDescent="0.3">
      <c r="QT4811" s="106"/>
      <c r="QU4811" s="106"/>
      <c r="QV4811" s="106"/>
      <c r="QW4811" s="106"/>
      <c r="QX4811" s="106"/>
      <c r="QY4811" s="106"/>
      <c r="QZ4811" s="106"/>
      <c r="RA4811" s="106"/>
      <c r="RB4811" s="106"/>
      <c r="RC4811" s="106"/>
      <c r="RD4811" s="106"/>
      <c r="RE4811" s="106"/>
      <c r="RF4811" s="106"/>
      <c r="RG4811" s="106"/>
      <c r="RH4811" s="106"/>
      <c r="RI4811" s="106"/>
      <c r="RJ4811" s="106"/>
      <c r="RK4811" s="106"/>
      <c r="RL4811" s="106"/>
    </row>
    <row r="4812" spans="462:480" x14ac:dyDescent="0.3">
      <c r="QT4812" s="106"/>
      <c r="QU4812" s="106"/>
      <c r="QV4812" s="106"/>
      <c r="QW4812" s="106"/>
      <c r="QX4812" s="106"/>
      <c r="QY4812" s="106"/>
      <c r="QZ4812" s="106"/>
      <c r="RA4812" s="106"/>
      <c r="RB4812" s="106"/>
      <c r="RC4812" s="106"/>
      <c r="RD4812" s="106"/>
      <c r="RE4812" s="106"/>
      <c r="RF4812" s="106"/>
      <c r="RG4812" s="106"/>
      <c r="RH4812" s="106"/>
      <c r="RI4812" s="106"/>
      <c r="RJ4812" s="106"/>
      <c r="RK4812" s="106"/>
      <c r="RL4812" s="106"/>
    </row>
    <row r="4813" spans="462:480" x14ac:dyDescent="0.3">
      <c r="QT4813" s="106"/>
      <c r="QU4813" s="106"/>
      <c r="QV4813" s="106"/>
      <c r="QW4813" s="106"/>
      <c r="QX4813" s="106"/>
      <c r="QY4813" s="106"/>
      <c r="QZ4813" s="106"/>
      <c r="RA4813" s="106"/>
      <c r="RB4813" s="106"/>
      <c r="RC4813" s="106"/>
      <c r="RD4813" s="106"/>
      <c r="RE4813" s="106"/>
      <c r="RF4813" s="106"/>
      <c r="RG4813" s="106"/>
      <c r="RH4813" s="106"/>
      <c r="RI4813" s="106"/>
      <c r="RJ4813" s="106"/>
      <c r="RK4813" s="106"/>
      <c r="RL4813" s="106"/>
    </row>
    <row r="4814" spans="462:480" x14ac:dyDescent="0.3">
      <c r="QT4814" s="106"/>
      <c r="QU4814" s="106"/>
      <c r="QV4814" s="106"/>
      <c r="QW4814" s="106"/>
      <c r="QX4814" s="106"/>
      <c r="QY4814" s="106"/>
      <c r="QZ4814" s="106"/>
      <c r="RA4814" s="106"/>
      <c r="RB4814" s="106"/>
      <c r="RC4814" s="106"/>
      <c r="RD4814" s="106"/>
      <c r="RE4814" s="106"/>
      <c r="RF4814" s="106"/>
      <c r="RG4814" s="106"/>
      <c r="RH4814" s="106"/>
      <c r="RI4814" s="106"/>
      <c r="RJ4814" s="106"/>
      <c r="RK4814" s="106"/>
      <c r="RL4814" s="106"/>
    </row>
    <row r="4815" spans="462:480" x14ac:dyDescent="0.3">
      <c r="QT4815" s="106"/>
      <c r="QU4815" s="106"/>
      <c r="QV4815" s="106"/>
      <c r="QW4815" s="106"/>
      <c r="QX4815" s="106"/>
      <c r="QY4815" s="106"/>
      <c r="QZ4815" s="106"/>
      <c r="RA4815" s="106"/>
      <c r="RB4815" s="106"/>
      <c r="RC4815" s="106"/>
      <c r="RD4815" s="106"/>
      <c r="RE4815" s="106"/>
      <c r="RF4815" s="106"/>
      <c r="RG4815" s="106"/>
      <c r="RH4815" s="106"/>
      <c r="RI4815" s="106"/>
      <c r="RJ4815" s="106"/>
      <c r="RK4815" s="106"/>
      <c r="RL4815" s="106"/>
    </row>
    <row r="4816" spans="462:480" x14ac:dyDescent="0.3">
      <c r="QT4816" s="106"/>
      <c r="QU4816" s="106"/>
      <c r="QV4816" s="106"/>
      <c r="QW4816" s="106"/>
      <c r="QX4816" s="106"/>
      <c r="QY4816" s="106"/>
      <c r="QZ4816" s="106"/>
      <c r="RA4816" s="106"/>
      <c r="RB4816" s="106"/>
      <c r="RC4816" s="106"/>
      <c r="RD4816" s="106"/>
      <c r="RE4816" s="106"/>
      <c r="RF4816" s="106"/>
      <c r="RG4816" s="106"/>
      <c r="RH4816" s="106"/>
      <c r="RI4816" s="106"/>
      <c r="RJ4816" s="106"/>
      <c r="RK4816" s="106"/>
      <c r="RL4816" s="106"/>
    </row>
    <row r="4817" spans="462:480" x14ac:dyDescent="0.3">
      <c r="QT4817" s="106"/>
      <c r="QU4817" s="106"/>
      <c r="QV4817" s="106"/>
      <c r="QW4817" s="106"/>
      <c r="QX4817" s="106"/>
      <c r="QY4817" s="106"/>
      <c r="QZ4817" s="106"/>
      <c r="RA4817" s="106"/>
      <c r="RB4817" s="106"/>
      <c r="RC4817" s="106"/>
      <c r="RD4817" s="106"/>
      <c r="RE4817" s="106"/>
      <c r="RF4817" s="106"/>
      <c r="RG4817" s="106"/>
      <c r="RH4817" s="106"/>
      <c r="RI4817" s="106"/>
      <c r="RJ4817" s="106"/>
      <c r="RK4817" s="106"/>
      <c r="RL4817" s="106"/>
    </row>
    <row r="4818" spans="462:480" x14ac:dyDescent="0.3">
      <c r="QT4818" s="106"/>
      <c r="QU4818" s="106"/>
      <c r="QV4818" s="106"/>
      <c r="QW4818" s="106"/>
      <c r="QX4818" s="106"/>
      <c r="QY4818" s="106"/>
      <c r="QZ4818" s="106"/>
      <c r="RA4818" s="106"/>
      <c r="RB4818" s="106"/>
      <c r="RC4818" s="106"/>
      <c r="RD4818" s="106"/>
      <c r="RE4818" s="106"/>
      <c r="RF4818" s="106"/>
      <c r="RG4818" s="106"/>
      <c r="RH4818" s="106"/>
      <c r="RI4818" s="106"/>
      <c r="RJ4818" s="106"/>
      <c r="RK4818" s="106"/>
      <c r="RL4818" s="106"/>
    </row>
    <row r="4819" spans="462:480" x14ac:dyDescent="0.3">
      <c r="QT4819" s="106"/>
      <c r="QU4819" s="106"/>
      <c r="QV4819" s="106"/>
      <c r="QW4819" s="106"/>
      <c r="QX4819" s="106"/>
      <c r="QY4819" s="106"/>
      <c r="QZ4819" s="106"/>
      <c r="RA4819" s="106"/>
      <c r="RB4819" s="106"/>
      <c r="RC4819" s="106"/>
      <c r="RD4819" s="106"/>
      <c r="RE4819" s="106"/>
      <c r="RF4819" s="106"/>
      <c r="RG4819" s="106"/>
      <c r="RH4819" s="106"/>
      <c r="RI4819" s="106"/>
      <c r="RJ4819" s="106"/>
      <c r="RK4819" s="106"/>
      <c r="RL4819" s="106"/>
    </row>
    <row r="4820" spans="462:480" x14ac:dyDescent="0.3">
      <c r="QT4820" s="106"/>
      <c r="QU4820" s="106"/>
      <c r="QV4820" s="106"/>
      <c r="QW4820" s="106"/>
      <c r="QX4820" s="106"/>
      <c r="QY4820" s="106"/>
      <c r="QZ4820" s="106"/>
      <c r="RA4820" s="106"/>
      <c r="RB4820" s="106"/>
      <c r="RC4820" s="106"/>
      <c r="RD4820" s="106"/>
      <c r="RE4820" s="106"/>
      <c r="RF4820" s="106"/>
      <c r="RG4820" s="106"/>
      <c r="RH4820" s="106"/>
      <c r="RI4820" s="106"/>
      <c r="RJ4820" s="106"/>
      <c r="RK4820" s="106"/>
      <c r="RL4820" s="106"/>
    </row>
    <row r="4821" spans="462:480" x14ac:dyDescent="0.3">
      <c r="QT4821" s="106"/>
      <c r="QU4821" s="106"/>
      <c r="QV4821" s="106"/>
      <c r="QW4821" s="106"/>
      <c r="QX4821" s="106"/>
      <c r="QY4821" s="106"/>
      <c r="QZ4821" s="106"/>
      <c r="RA4821" s="106"/>
      <c r="RB4821" s="106"/>
      <c r="RC4821" s="106"/>
      <c r="RD4821" s="106"/>
      <c r="RE4821" s="106"/>
      <c r="RF4821" s="106"/>
      <c r="RG4821" s="106"/>
      <c r="RH4821" s="106"/>
      <c r="RI4821" s="106"/>
      <c r="RJ4821" s="106"/>
      <c r="RK4821" s="106"/>
      <c r="RL4821" s="106"/>
    </row>
    <row r="4822" spans="462:480" x14ac:dyDescent="0.3">
      <c r="QT4822" s="106"/>
      <c r="QU4822" s="106"/>
      <c r="QV4822" s="106"/>
      <c r="QW4822" s="106"/>
      <c r="QX4822" s="106"/>
      <c r="QY4822" s="106"/>
      <c r="QZ4822" s="106"/>
      <c r="RA4822" s="106"/>
      <c r="RB4822" s="106"/>
      <c r="RC4822" s="106"/>
      <c r="RD4822" s="106"/>
      <c r="RE4822" s="106"/>
      <c r="RF4822" s="106"/>
      <c r="RG4822" s="106"/>
      <c r="RH4822" s="106"/>
      <c r="RI4822" s="106"/>
      <c r="RJ4822" s="106"/>
      <c r="RK4822" s="106"/>
      <c r="RL4822" s="106"/>
    </row>
    <row r="4823" spans="462:480" x14ac:dyDescent="0.3">
      <c r="QT4823" s="106"/>
      <c r="QU4823" s="106"/>
      <c r="QV4823" s="106"/>
      <c r="QW4823" s="106"/>
      <c r="QX4823" s="106"/>
      <c r="QY4823" s="106"/>
      <c r="QZ4823" s="106"/>
      <c r="RA4823" s="106"/>
      <c r="RB4823" s="106"/>
      <c r="RC4823" s="106"/>
      <c r="RD4823" s="106"/>
      <c r="RE4823" s="106"/>
      <c r="RF4823" s="106"/>
      <c r="RG4823" s="106"/>
      <c r="RH4823" s="106"/>
      <c r="RI4823" s="106"/>
      <c r="RJ4823" s="106"/>
      <c r="RK4823" s="106"/>
      <c r="RL4823" s="106"/>
    </row>
    <row r="4824" spans="462:480" x14ac:dyDescent="0.3">
      <c r="QT4824" s="106"/>
      <c r="QU4824" s="106"/>
      <c r="QV4824" s="106"/>
      <c r="QW4824" s="106"/>
      <c r="QX4824" s="106"/>
      <c r="QY4824" s="106"/>
      <c r="QZ4824" s="106"/>
      <c r="RA4824" s="106"/>
      <c r="RB4824" s="106"/>
      <c r="RC4824" s="106"/>
      <c r="RD4824" s="106"/>
      <c r="RE4824" s="106"/>
      <c r="RF4824" s="106"/>
      <c r="RG4824" s="106"/>
      <c r="RH4824" s="106"/>
      <c r="RI4824" s="106"/>
      <c r="RJ4824" s="106"/>
      <c r="RK4824" s="106"/>
      <c r="RL4824" s="106"/>
    </row>
    <row r="4825" spans="462:480" x14ac:dyDescent="0.3">
      <c r="QT4825" s="106"/>
      <c r="QU4825" s="106"/>
      <c r="QV4825" s="106"/>
      <c r="QW4825" s="106"/>
      <c r="QX4825" s="106"/>
      <c r="QY4825" s="106"/>
      <c r="QZ4825" s="106"/>
      <c r="RA4825" s="106"/>
      <c r="RB4825" s="106"/>
      <c r="RC4825" s="106"/>
      <c r="RD4825" s="106"/>
      <c r="RE4825" s="106"/>
      <c r="RF4825" s="106"/>
      <c r="RG4825" s="106"/>
      <c r="RH4825" s="106"/>
      <c r="RI4825" s="106"/>
      <c r="RJ4825" s="106"/>
      <c r="RK4825" s="106"/>
      <c r="RL4825" s="106"/>
    </row>
    <row r="4826" spans="462:480" x14ac:dyDescent="0.3">
      <c r="QT4826" s="106"/>
      <c r="QU4826" s="106"/>
      <c r="QV4826" s="106"/>
      <c r="QW4826" s="106"/>
      <c r="QX4826" s="106"/>
      <c r="QY4826" s="106"/>
      <c r="QZ4826" s="106"/>
      <c r="RA4826" s="106"/>
      <c r="RB4826" s="106"/>
      <c r="RC4826" s="106"/>
      <c r="RD4826" s="106"/>
      <c r="RE4826" s="106"/>
      <c r="RF4826" s="106"/>
      <c r="RG4826" s="106"/>
      <c r="RH4826" s="106"/>
      <c r="RI4826" s="106"/>
      <c r="RJ4826" s="106"/>
      <c r="RK4826" s="106"/>
      <c r="RL4826" s="106"/>
    </row>
    <row r="4827" spans="462:480" x14ac:dyDescent="0.3">
      <c r="QT4827" s="106"/>
      <c r="QU4827" s="106"/>
      <c r="QV4827" s="106"/>
      <c r="QW4827" s="106"/>
      <c r="QX4827" s="106"/>
      <c r="QY4827" s="106"/>
      <c r="QZ4827" s="106"/>
      <c r="RA4827" s="106"/>
      <c r="RB4827" s="106"/>
      <c r="RC4827" s="106"/>
      <c r="RD4827" s="106"/>
      <c r="RE4827" s="106"/>
      <c r="RF4827" s="106"/>
      <c r="RG4827" s="106"/>
      <c r="RH4827" s="106"/>
      <c r="RI4827" s="106"/>
      <c r="RJ4827" s="106"/>
      <c r="RK4827" s="106"/>
      <c r="RL4827" s="106"/>
    </row>
    <row r="4828" spans="462:480" x14ac:dyDescent="0.3">
      <c r="QT4828" s="106"/>
      <c r="QU4828" s="106"/>
      <c r="QV4828" s="106"/>
      <c r="QW4828" s="106"/>
      <c r="QX4828" s="106"/>
      <c r="QY4828" s="106"/>
      <c r="QZ4828" s="106"/>
      <c r="RA4828" s="106"/>
      <c r="RB4828" s="106"/>
      <c r="RC4828" s="106"/>
      <c r="RD4828" s="106"/>
      <c r="RE4828" s="106"/>
      <c r="RF4828" s="106"/>
      <c r="RG4828" s="106"/>
      <c r="RH4828" s="106"/>
      <c r="RI4828" s="106"/>
      <c r="RJ4828" s="106"/>
      <c r="RK4828" s="106"/>
      <c r="RL4828" s="106"/>
    </row>
    <row r="4829" spans="462:480" x14ac:dyDescent="0.3">
      <c r="QT4829" s="106"/>
      <c r="QU4829" s="106"/>
      <c r="QV4829" s="106"/>
      <c r="QW4829" s="106"/>
      <c r="QX4829" s="106"/>
      <c r="QY4829" s="106"/>
      <c r="QZ4829" s="106"/>
      <c r="RA4829" s="106"/>
      <c r="RB4829" s="106"/>
      <c r="RC4829" s="106"/>
      <c r="RD4829" s="106"/>
      <c r="RE4829" s="106"/>
      <c r="RF4829" s="106"/>
      <c r="RG4829" s="106"/>
      <c r="RH4829" s="106"/>
      <c r="RI4829" s="106"/>
      <c r="RJ4829" s="106"/>
      <c r="RK4829" s="106"/>
      <c r="RL4829" s="106"/>
    </row>
    <row r="4830" spans="462:480" x14ac:dyDescent="0.3">
      <c r="QT4830" s="106"/>
      <c r="QU4830" s="106"/>
      <c r="QV4830" s="106"/>
      <c r="QW4830" s="106"/>
      <c r="QX4830" s="106"/>
      <c r="QY4830" s="106"/>
      <c r="QZ4830" s="106"/>
      <c r="RA4830" s="106"/>
      <c r="RB4830" s="106"/>
      <c r="RC4830" s="106"/>
      <c r="RD4830" s="106"/>
      <c r="RE4830" s="106"/>
      <c r="RF4830" s="106"/>
      <c r="RG4830" s="106"/>
      <c r="RH4830" s="106"/>
      <c r="RI4830" s="106"/>
      <c r="RJ4830" s="106"/>
      <c r="RK4830" s="106"/>
      <c r="RL4830" s="106"/>
    </row>
    <row r="4831" spans="462:480" x14ac:dyDescent="0.3">
      <c r="QT4831" s="106"/>
      <c r="QU4831" s="106"/>
      <c r="QV4831" s="106"/>
      <c r="QW4831" s="106"/>
      <c r="QX4831" s="106"/>
      <c r="QY4831" s="106"/>
      <c r="QZ4831" s="106"/>
      <c r="RA4831" s="106"/>
      <c r="RB4831" s="106"/>
      <c r="RC4831" s="106"/>
      <c r="RD4831" s="106"/>
      <c r="RE4831" s="106"/>
      <c r="RF4831" s="106"/>
      <c r="RG4831" s="106"/>
      <c r="RH4831" s="106"/>
      <c r="RI4831" s="106"/>
      <c r="RJ4831" s="106"/>
      <c r="RK4831" s="106"/>
      <c r="RL4831" s="106"/>
    </row>
    <row r="4832" spans="462:480" x14ac:dyDescent="0.3">
      <c r="QT4832" s="106"/>
      <c r="QU4832" s="106"/>
      <c r="QV4832" s="106"/>
      <c r="QW4832" s="106"/>
      <c r="QX4832" s="106"/>
      <c r="QY4832" s="106"/>
      <c r="QZ4832" s="106"/>
      <c r="RA4832" s="106"/>
      <c r="RB4832" s="106"/>
      <c r="RC4832" s="106"/>
      <c r="RD4832" s="106"/>
      <c r="RE4832" s="106"/>
      <c r="RF4832" s="106"/>
      <c r="RG4832" s="106"/>
      <c r="RH4832" s="106"/>
      <c r="RI4832" s="106"/>
      <c r="RJ4832" s="106"/>
      <c r="RK4832" s="106"/>
      <c r="RL4832" s="106"/>
    </row>
    <row r="4833" spans="462:480" x14ac:dyDescent="0.3">
      <c r="QT4833" s="106"/>
      <c r="QU4833" s="106"/>
      <c r="QV4833" s="106"/>
      <c r="QW4833" s="106"/>
      <c r="QX4833" s="106"/>
      <c r="QY4833" s="106"/>
      <c r="QZ4833" s="106"/>
      <c r="RA4833" s="106"/>
      <c r="RB4833" s="106"/>
      <c r="RC4833" s="106"/>
      <c r="RD4833" s="106"/>
      <c r="RE4833" s="106"/>
      <c r="RF4833" s="106"/>
      <c r="RG4833" s="106"/>
      <c r="RH4833" s="106"/>
      <c r="RI4833" s="106"/>
      <c r="RJ4833" s="106"/>
      <c r="RK4833" s="106"/>
      <c r="RL4833" s="106"/>
    </row>
    <row r="4834" spans="462:480" x14ac:dyDescent="0.3">
      <c r="QT4834" s="106"/>
      <c r="QU4834" s="106"/>
      <c r="QV4834" s="106"/>
      <c r="QW4834" s="106"/>
      <c r="QX4834" s="106"/>
      <c r="QY4834" s="106"/>
      <c r="QZ4834" s="106"/>
      <c r="RA4834" s="106"/>
      <c r="RB4834" s="106"/>
      <c r="RC4834" s="106"/>
      <c r="RD4834" s="106"/>
      <c r="RE4834" s="106"/>
      <c r="RF4834" s="106"/>
      <c r="RG4834" s="106"/>
      <c r="RH4834" s="106"/>
      <c r="RI4834" s="106"/>
      <c r="RJ4834" s="106"/>
      <c r="RK4834" s="106"/>
      <c r="RL4834" s="106"/>
    </row>
    <row r="4835" spans="462:480" x14ac:dyDescent="0.3">
      <c r="QT4835" s="106"/>
      <c r="QU4835" s="106"/>
      <c r="QV4835" s="106"/>
      <c r="QW4835" s="106"/>
      <c r="QX4835" s="106"/>
      <c r="QY4835" s="106"/>
      <c r="QZ4835" s="106"/>
      <c r="RA4835" s="106"/>
      <c r="RB4835" s="106"/>
      <c r="RC4835" s="106"/>
      <c r="RD4835" s="106"/>
      <c r="RE4835" s="106"/>
      <c r="RF4835" s="106"/>
      <c r="RG4835" s="106"/>
      <c r="RH4835" s="106"/>
      <c r="RI4835" s="106"/>
      <c r="RJ4835" s="106"/>
      <c r="RK4835" s="106"/>
      <c r="RL4835" s="106"/>
    </row>
    <row r="4836" spans="462:480" x14ac:dyDescent="0.3">
      <c r="QT4836" s="106"/>
      <c r="QU4836" s="106"/>
      <c r="QV4836" s="106"/>
      <c r="QW4836" s="106"/>
      <c r="QX4836" s="106"/>
      <c r="QY4836" s="106"/>
      <c r="QZ4836" s="106"/>
      <c r="RA4836" s="106"/>
      <c r="RB4836" s="106"/>
      <c r="RC4836" s="106"/>
      <c r="RD4836" s="106"/>
      <c r="RE4836" s="106"/>
      <c r="RF4836" s="106"/>
      <c r="RG4836" s="106"/>
      <c r="RH4836" s="106"/>
      <c r="RI4836" s="106"/>
      <c r="RJ4836" s="106"/>
      <c r="RK4836" s="106"/>
      <c r="RL4836" s="106"/>
    </row>
    <row r="4837" spans="462:480" x14ac:dyDescent="0.3">
      <c r="QT4837" s="106"/>
      <c r="QU4837" s="106"/>
      <c r="QV4837" s="106"/>
      <c r="QW4837" s="106"/>
      <c r="QX4837" s="106"/>
      <c r="QY4837" s="106"/>
      <c r="QZ4837" s="106"/>
      <c r="RA4837" s="106"/>
      <c r="RB4837" s="106"/>
      <c r="RC4837" s="106"/>
      <c r="RD4837" s="106"/>
      <c r="RE4837" s="106"/>
      <c r="RF4837" s="106"/>
      <c r="RG4837" s="106"/>
      <c r="RH4837" s="106"/>
      <c r="RI4837" s="106"/>
      <c r="RJ4837" s="106"/>
      <c r="RK4837" s="106"/>
      <c r="RL4837" s="106"/>
    </row>
    <row r="4838" spans="462:480" x14ac:dyDescent="0.3">
      <c r="QT4838" s="106"/>
      <c r="QU4838" s="106"/>
      <c r="QV4838" s="106"/>
      <c r="QW4838" s="106"/>
      <c r="QX4838" s="106"/>
      <c r="QY4838" s="106"/>
      <c r="QZ4838" s="106"/>
      <c r="RA4838" s="106"/>
      <c r="RB4838" s="106"/>
      <c r="RC4838" s="106"/>
      <c r="RD4838" s="106"/>
      <c r="RE4838" s="106"/>
      <c r="RF4838" s="106"/>
      <c r="RG4838" s="106"/>
      <c r="RH4838" s="106"/>
      <c r="RI4838" s="106"/>
      <c r="RJ4838" s="106"/>
      <c r="RK4838" s="106"/>
      <c r="RL4838" s="106"/>
    </row>
    <row r="4839" spans="462:480" x14ac:dyDescent="0.3">
      <c r="QT4839" s="106"/>
      <c r="QU4839" s="106"/>
      <c r="QV4839" s="106"/>
      <c r="QW4839" s="106"/>
      <c r="QX4839" s="106"/>
      <c r="QY4839" s="106"/>
      <c r="QZ4839" s="106"/>
      <c r="RA4839" s="106"/>
      <c r="RB4839" s="106"/>
      <c r="RC4839" s="106"/>
      <c r="RD4839" s="106"/>
      <c r="RE4839" s="106"/>
      <c r="RF4839" s="106"/>
      <c r="RG4839" s="106"/>
      <c r="RH4839" s="106"/>
      <c r="RI4839" s="106"/>
      <c r="RJ4839" s="106"/>
      <c r="RK4839" s="106"/>
      <c r="RL4839" s="106"/>
    </row>
    <row r="4840" spans="462:480" x14ac:dyDescent="0.3">
      <c r="QT4840" s="106"/>
      <c r="QU4840" s="106"/>
      <c r="QV4840" s="106"/>
      <c r="QW4840" s="106"/>
      <c r="QX4840" s="106"/>
      <c r="QY4840" s="106"/>
      <c r="QZ4840" s="106"/>
      <c r="RA4840" s="106"/>
      <c r="RB4840" s="106"/>
      <c r="RC4840" s="106"/>
      <c r="RD4840" s="106"/>
      <c r="RE4840" s="106"/>
      <c r="RF4840" s="106"/>
      <c r="RG4840" s="106"/>
      <c r="RH4840" s="106"/>
      <c r="RI4840" s="106"/>
      <c r="RJ4840" s="106"/>
      <c r="RK4840" s="106"/>
      <c r="RL4840" s="106"/>
    </row>
    <row r="4841" spans="462:480" x14ac:dyDescent="0.3">
      <c r="QT4841" s="106"/>
      <c r="QU4841" s="106"/>
      <c r="QV4841" s="106"/>
      <c r="QW4841" s="106"/>
      <c r="QX4841" s="106"/>
      <c r="QY4841" s="106"/>
      <c r="QZ4841" s="106"/>
      <c r="RA4841" s="106"/>
      <c r="RB4841" s="106"/>
      <c r="RC4841" s="106"/>
      <c r="RD4841" s="106"/>
      <c r="RE4841" s="106"/>
      <c r="RF4841" s="106"/>
      <c r="RG4841" s="106"/>
      <c r="RH4841" s="106"/>
      <c r="RI4841" s="106"/>
      <c r="RJ4841" s="106"/>
      <c r="RK4841" s="106"/>
      <c r="RL4841" s="106"/>
    </row>
    <row r="4842" spans="462:480" x14ac:dyDescent="0.3">
      <c r="QT4842" s="106"/>
      <c r="QU4842" s="106"/>
      <c r="QV4842" s="106"/>
      <c r="QW4842" s="106"/>
      <c r="QX4842" s="106"/>
      <c r="QY4842" s="106"/>
      <c r="QZ4842" s="106"/>
      <c r="RA4842" s="106"/>
      <c r="RB4842" s="106"/>
      <c r="RC4842" s="106"/>
      <c r="RD4842" s="106"/>
      <c r="RE4842" s="106"/>
      <c r="RF4842" s="106"/>
      <c r="RG4842" s="106"/>
      <c r="RH4842" s="106"/>
      <c r="RI4842" s="106"/>
      <c r="RJ4842" s="106"/>
      <c r="RK4842" s="106"/>
      <c r="RL4842" s="106"/>
    </row>
    <row r="4843" spans="462:480" x14ac:dyDescent="0.3">
      <c r="QT4843" s="106"/>
      <c r="QU4843" s="106"/>
      <c r="QV4843" s="106"/>
      <c r="QW4843" s="106"/>
      <c r="QX4843" s="106"/>
      <c r="QY4843" s="106"/>
      <c r="QZ4843" s="106"/>
      <c r="RA4843" s="106"/>
      <c r="RB4843" s="106"/>
      <c r="RC4843" s="106"/>
      <c r="RD4843" s="106"/>
      <c r="RE4843" s="106"/>
      <c r="RF4843" s="106"/>
      <c r="RG4843" s="106"/>
      <c r="RH4843" s="106"/>
      <c r="RI4843" s="106"/>
      <c r="RJ4843" s="106"/>
      <c r="RK4843" s="106"/>
      <c r="RL4843" s="106"/>
    </row>
    <row r="4844" spans="462:480" x14ac:dyDescent="0.3">
      <c r="QT4844" s="106"/>
      <c r="QU4844" s="106"/>
      <c r="QV4844" s="106"/>
      <c r="QW4844" s="106"/>
      <c r="QX4844" s="106"/>
      <c r="QY4844" s="106"/>
      <c r="QZ4844" s="106"/>
      <c r="RA4844" s="106"/>
      <c r="RB4844" s="106"/>
      <c r="RC4844" s="106"/>
      <c r="RD4844" s="106"/>
      <c r="RE4844" s="106"/>
      <c r="RF4844" s="106"/>
      <c r="RG4844" s="106"/>
      <c r="RH4844" s="106"/>
      <c r="RI4844" s="106"/>
      <c r="RJ4844" s="106"/>
      <c r="RK4844" s="106"/>
      <c r="RL4844" s="106"/>
    </row>
    <row r="4845" spans="462:480" x14ac:dyDescent="0.3">
      <c r="QT4845" s="106"/>
      <c r="QU4845" s="106"/>
      <c r="QV4845" s="106"/>
      <c r="QW4845" s="106"/>
      <c r="QX4845" s="106"/>
      <c r="QY4845" s="106"/>
      <c r="QZ4845" s="106"/>
      <c r="RA4845" s="106"/>
      <c r="RB4845" s="106"/>
      <c r="RC4845" s="106"/>
      <c r="RD4845" s="106"/>
      <c r="RE4845" s="106"/>
      <c r="RF4845" s="106"/>
      <c r="RG4845" s="106"/>
      <c r="RH4845" s="106"/>
      <c r="RI4845" s="106"/>
      <c r="RJ4845" s="106"/>
      <c r="RK4845" s="106"/>
      <c r="RL4845" s="106"/>
    </row>
    <row r="4846" spans="462:480" x14ac:dyDescent="0.3">
      <c r="QT4846" s="106"/>
      <c r="QU4846" s="106"/>
      <c r="QV4846" s="106"/>
      <c r="QW4846" s="106"/>
      <c r="QX4846" s="106"/>
      <c r="QY4846" s="106"/>
      <c r="QZ4846" s="106"/>
      <c r="RA4846" s="106"/>
      <c r="RB4846" s="106"/>
      <c r="RC4846" s="106"/>
      <c r="RD4846" s="106"/>
      <c r="RE4846" s="106"/>
      <c r="RF4846" s="106"/>
      <c r="RG4846" s="106"/>
      <c r="RH4846" s="106"/>
      <c r="RI4846" s="106"/>
      <c r="RJ4846" s="106"/>
      <c r="RK4846" s="106"/>
      <c r="RL4846" s="106"/>
    </row>
    <row r="4847" spans="462:480" x14ac:dyDescent="0.3">
      <c r="QT4847" s="106"/>
      <c r="QU4847" s="106"/>
      <c r="QV4847" s="106"/>
      <c r="QW4847" s="106"/>
      <c r="QX4847" s="106"/>
      <c r="QY4847" s="106"/>
      <c r="QZ4847" s="106"/>
      <c r="RA4847" s="106"/>
      <c r="RB4847" s="106"/>
      <c r="RC4847" s="106"/>
      <c r="RD4847" s="106"/>
      <c r="RE4847" s="106"/>
      <c r="RF4847" s="106"/>
      <c r="RG4847" s="106"/>
      <c r="RH4847" s="106"/>
      <c r="RI4847" s="106"/>
      <c r="RJ4847" s="106"/>
      <c r="RK4847" s="106"/>
      <c r="RL4847" s="106"/>
    </row>
    <row r="4848" spans="462:480" x14ac:dyDescent="0.3">
      <c r="QT4848" s="106"/>
      <c r="QU4848" s="106"/>
      <c r="QV4848" s="106"/>
      <c r="QW4848" s="106"/>
      <c r="QX4848" s="106"/>
      <c r="QY4848" s="106"/>
      <c r="QZ4848" s="106"/>
      <c r="RA4848" s="106"/>
      <c r="RB4848" s="106"/>
      <c r="RC4848" s="106"/>
      <c r="RD4848" s="106"/>
      <c r="RE4848" s="106"/>
      <c r="RF4848" s="106"/>
      <c r="RG4848" s="106"/>
      <c r="RH4848" s="106"/>
      <c r="RI4848" s="106"/>
      <c r="RJ4848" s="106"/>
      <c r="RK4848" s="106"/>
      <c r="RL4848" s="106"/>
    </row>
    <row r="4849" spans="462:480" x14ac:dyDescent="0.3">
      <c r="QT4849" s="106"/>
      <c r="QU4849" s="106"/>
      <c r="QV4849" s="106"/>
      <c r="QW4849" s="106"/>
      <c r="QX4849" s="106"/>
      <c r="QY4849" s="106"/>
      <c r="QZ4849" s="106"/>
      <c r="RA4849" s="106"/>
      <c r="RB4849" s="106"/>
      <c r="RC4849" s="106"/>
      <c r="RD4849" s="106"/>
      <c r="RE4849" s="106"/>
      <c r="RF4849" s="106"/>
      <c r="RG4849" s="106"/>
      <c r="RH4849" s="106"/>
      <c r="RI4849" s="106"/>
      <c r="RJ4849" s="106"/>
      <c r="RK4849" s="106"/>
      <c r="RL4849" s="106"/>
    </row>
    <row r="4850" spans="462:480" x14ac:dyDescent="0.3">
      <c r="QT4850" s="106"/>
      <c r="QU4850" s="106"/>
      <c r="QV4850" s="106"/>
      <c r="QW4850" s="106"/>
      <c r="QX4850" s="106"/>
      <c r="QY4850" s="106"/>
      <c r="QZ4850" s="106"/>
      <c r="RA4850" s="106"/>
      <c r="RB4850" s="106"/>
      <c r="RC4850" s="106"/>
      <c r="RD4850" s="106"/>
      <c r="RE4850" s="106"/>
      <c r="RF4850" s="106"/>
      <c r="RG4850" s="106"/>
      <c r="RH4850" s="106"/>
      <c r="RI4850" s="106"/>
      <c r="RJ4850" s="106"/>
      <c r="RK4850" s="106"/>
      <c r="RL4850" s="106"/>
    </row>
    <row r="4851" spans="462:480" x14ac:dyDescent="0.3">
      <c r="QT4851" s="106"/>
      <c r="QU4851" s="106"/>
      <c r="QV4851" s="106"/>
      <c r="QW4851" s="106"/>
      <c r="QX4851" s="106"/>
      <c r="QY4851" s="106"/>
      <c r="QZ4851" s="106"/>
      <c r="RA4851" s="106"/>
      <c r="RB4851" s="106"/>
      <c r="RC4851" s="106"/>
      <c r="RD4851" s="106"/>
      <c r="RE4851" s="106"/>
      <c r="RF4851" s="106"/>
      <c r="RG4851" s="106"/>
      <c r="RH4851" s="106"/>
      <c r="RI4851" s="106"/>
      <c r="RJ4851" s="106"/>
      <c r="RK4851" s="106"/>
      <c r="RL4851" s="106"/>
    </row>
    <row r="4852" spans="462:480" x14ac:dyDescent="0.3">
      <c r="QT4852" s="106"/>
      <c r="QU4852" s="106"/>
      <c r="QV4852" s="106"/>
      <c r="QW4852" s="106"/>
      <c r="QX4852" s="106"/>
      <c r="QY4852" s="106"/>
      <c r="QZ4852" s="106"/>
      <c r="RA4852" s="106"/>
      <c r="RB4852" s="106"/>
      <c r="RC4852" s="106"/>
      <c r="RD4852" s="106"/>
      <c r="RE4852" s="106"/>
      <c r="RF4852" s="106"/>
      <c r="RG4852" s="106"/>
      <c r="RH4852" s="106"/>
      <c r="RI4852" s="106"/>
      <c r="RJ4852" s="106"/>
      <c r="RK4852" s="106"/>
      <c r="RL4852" s="106"/>
    </row>
    <row r="4853" spans="462:480" x14ac:dyDescent="0.3">
      <c r="QT4853" s="106"/>
      <c r="QU4853" s="106"/>
      <c r="QV4853" s="106"/>
      <c r="QW4853" s="106"/>
      <c r="QX4853" s="106"/>
      <c r="QY4853" s="106"/>
      <c r="QZ4853" s="106"/>
      <c r="RA4853" s="106"/>
      <c r="RB4853" s="106"/>
      <c r="RC4853" s="106"/>
      <c r="RD4853" s="106"/>
      <c r="RE4853" s="106"/>
      <c r="RF4853" s="106"/>
      <c r="RG4853" s="106"/>
      <c r="RH4853" s="106"/>
      <c r="RI4853" s="106"/>
      <c r="RJ4853" s="106"/>
      <c r="RK4853" s="106"/>
      <c r="RL4853" s="106"/>
    </row>
    <row r="4854" spans="462:480" x14ac:dyDescent="0.3">
      <c r="QT4854" s="106"/>
      <c r="QU4854" s="106"/>
      <c r="QV4854" s="106"/>
      <c r="QW4854" s="106"/>
      <c r="QX4854" s="106"/>
      <c r="QY4854" s="106"/>
      <c r="QZ4854" s="106"/>
      <c r="RA4854" s="106"/>
      <c r="RB4854" s="106"/>
      <c r="RC4854" s="106"/>
      <c r="RD4854" s="106"/>
      <c r="RE4854" s="106"/>
      <c r="RF4854" s="106"/>
      <c r="RG4854" s="106"/>
      <c r="RH4854" s="106"/>
      <c r="RI4854" s="106"/>
      <c r="RJ4854" s="106"/>
      <c r="RK4854" s="106"/>
      <c r="RL4854" s="106"/>
    </row>
    <row r="4855" spans="462:480" x14ac:dyDescent="0.3">
      <c r="QT4855" s="106"/>
      <c r="QU4855" s="106"/>
      <c r="QV4855" s="106"/>
      <c r="QW4855" s="106"/>
      <c r="QX4855" s="106"/>
      <c r="QY4855" s="106"/>
      <c r="QZ4855" s="106"/>
      <c r="RA4855" s="106"/>
      <c r="RB4855" s="106"/>
      <c r="RC4855" s="106"/>
      <c r="RD4855" s="106"/>
      <c r="RE4855" s="106"/>
      <c r="RF4855" s="106"/>
      <c r="RG4855" s="106"/>
      <c r="RH4855" s="106"/>
      <c r="RI4855" s="106"/>
      <c r="RJ4855" s="106"/>
      <c r="RK4855" s="106"/>
      <c r="RL4855" s="106"/>
    </row>
    <row r="4856" spans="462:480" x14ac:dyDescent="0.3">
      <c r="QT4856" s="106"/>
      <c r="QU4856" s="106"/>
      <c r="QV4856" s="106"/>
      <c r="QW4856" s="106"/>
      <c r="QX4856" s="106"/>
      <c r="QY4856" s="106"/>
      <c r="QZ4856" s="106"/>
      <c r="RA4856" s="106"/>
      <c r="RB4856" s="106"/>
      <c r="RC4856" s="106"/>
      <c r="RD4856" s="106"/>
      <c r="RE4856" s="106"/>
      <c r="RF4856" s="106"/>
      <c r="RG4856" s="106"/>
      <c r="RH4856" s="106"/>
      <c r="RI4856" s="106"/>
      <c r="RJ4856" s="106"/>
      <c r="RK4856" s="106"/>
      <c r="RL4856" s="106"/>
    </row>
    <row r="4857" spans="462:480" x14ac:dyDescent="0.3">
      <c r="QT4857" s="106"/>
      <c r="QU4857" s="106"/>
      <c r="QV4857" s="106"/>
      <c r="QW4857" s="106"/>
      <c r="QX4857" s="106"/>
      <c r="QY4857" s="106"/>
      <c r="QZ4857" s="106"/>
      <c r="RA4857" s="106"/>
      <c r="RB4857" s="106"/>
      <c r="RC4857" s="106"/>
      <c r="RD4857" s="106"/>
      <c r="RE4857" s="106"/>
      <c r="RF4857" s="106"/>
      <c r="RG4857" s="106"/>
      <c r="RH4857" s="106"/>
      <c r="RI4857" s="106"/>
      <c r="RJ4857" s="106"/>
      <c r="RK4857" s="106"/>
      <c r="RL4857" s="106"/>
    </row>
    <row r="4858" spans="462:480" x14ac:dyDescent="0.3">
      <c r="QT4858" s="106"/>
      <c r="QU4858" s="106"/>
      <c r="QV4858" s="106"/>
      <c r="QW4858" s="106"/>
      <c r="QX4858" s="106"/>
      <c r="QY4858" s="106"/>
      <c r="QZ4858" s="106"/>
      <c r="RA4858" s="106"/>
      <c r="RB4858" s="106"/>
      <c r="RC4858" s="106"/>
      <c r="RD4858" s="106"/>
      <c r="RE4858" s="106"/>
      <c r="RF4858" s="106"/>
      <c r="RG4858" s="106"/>
      <c r="RH4858" s="106"/>
      <c r="RI4858" s="106"/>
      <c r="RJ4858" s="106"/>
      <c r="RK4858" s="106"/>
      <c r="RL4858" s="106"/>
    </row>
    <row r="4859" spans="462:480" x14ac:dyDescent="0.3">
      <c r="QT4859" s="106"/>
      <c r="QU4859" s="106"/>
      <c r="QV4859" s="106"/>
      <c r="QW4859" s="106"/>
      <c r="QX4859" s="106"/>
      <c r="QY4859" s="106"/>
      <c r="QZ4859" s="106"/>
      <c r="RA4859" s="106"/>
      <c r="RB4859" s="106"/>
      <c r="RC4859" s="106"/>
      <c r="RD4859" s="106"/>
      <c r="RE4859" s="106"/>
      <c r="RF4859" s="106"/>
      <c r="RG4859" s="106"/>
      <c r="RH4859" s="106"/>
      <c r="RI4859" s="106"/>
      <c r="RJ4859" s="106"/>
      <c r="RK4859" s="106"/>
      <c r="RL4859" s="106"/>
    </row>
    <row r="4860" spans="462:480" x14ac:dyDescent="0.3">
      <c r="QT4860" s="106"/>
      <c r="QU4860" s="106"/>
      <c r="QV4860" s="106"/>
      <c r="QW4860" s="106"/>
      <c r="QX4860" s="106"/>
      <c r="QY4860" s="106"/>
      <c r="QZ4860" s="106"/>
      <c r="RA4860" s="106"/>
      <c r="RB4860" s="106"/>
      <c r="RC4860" s="106"/>
      <c r="RD4860" s="106"/>
      <c r="RE4860" s="106"/>
      <c r="RF4860" s="106"/>
      <c r="RG4860" s="106"/>
      <c r="RH4860" s="106"/>
      <c r="RI4860" s="106"/>
      <c r="RJ4860" s="106"/>
      <c r="RK4860" s="106"/>
      <c r="RL4860" s="106"/>
    </row>
    <row r="4861" spans="462:480" x14ac:dyDescent="0.3">
      <c r="QT4861" s="106"/>
      <c r="QU4861" s="106"/>
      <c r="QV4861" s="106"/>
      <c r="QW4861" s="106"/>
      <c r="QX4861" s="106"/>
      <c r="QY4861" s="106"/>
      <c r="QZ4861" s="106"/>
      <c r="RA4861" s="106"/>
      <c r="RB4861" s="106"/>
      <c r="RC4861" s="106"/>
      <c r="RD4861" s="106"/>
      <c r="RE4861" s="106"/>
      <c r="RF4861" s="106"/>
      <c r="RG4861" s="106"/>
      <c r="RH4861" s="106"/>
      <c r="RI4861" s="106"/>
      <c r="RJ4861" s="106"/>
      <c r="RK4861" s="106"/>
      <c r="RL4861" s="106"/>
    </row>
    <row r="4862" spans="462:480" x14ac:dyDescent="0.3">
      <c r="QT4862" s="106"/>
      <c r="QU4862" s="106"/>
      <c r="QV4862" s="106"/>
      <c r="QW4862" s="106"/>
      <c r="QX4862" s="106"/>
      <c r="QY4862" s="106"/>
      <c r="QZ4862" s="106"/>
      <c r="RA4862" s="106"/>
      <c r="RB4862" s="106"/>
      <c r="RC4862" s="106"/>
      <c r="RD4862" s="106"/>
      <c r="RE4862" s="106"/>
      <c r="RF4862" s="106"/>
      <c r="RG4862" s="106"/>
      <c r="RH4862" s="106"/>
      <c r="RI4862" s="106"/>
      <c r="RJ4862" s="106"/>
      <c r="RK4862" s="106"/>
      <c r="RL4862" s="106"/>
    </row>
    <row r="4863" spans="462:480" x14ac:dyDescent="0.3">
      <c r="QT4863" s="106"/>
      <c r="QU4863" s="106"/>
      <c r="QV4863" s="106"/>
      <c r="QW4863" s="106"/>
      <c r="QX4863" s="106"/>
      <c r="QY4863" s="106"/>
      <c r="QZ4863" s="106"/>
      <c r="RA4863" s="106"/>
      <c r="RB4863" s="106"/>
      <c r="RC4863" s="106"/>
      <c r="RD4863" s="106"/>
      <c r="RE4863" s="106"/>
      <c r="RF4863" s="106"/>
      <c r="RG4863" s="106"/>
      <c r="RH4863" s="106"/>
      <c r="RI4863" s="106"/>
      <c r="RJ4863" s="106"/>
      <c r="RK4863" s="106"/>
      <c r="RL4863" s="106"/>
    </row>
    <row r="4864" spans="462:480" x14ac:dyDescent="0.3">
      <c r="QT4864" s="106"/>
      <c r="QU4864" s="106"/>
      <c r="QV4864" s="106"/>
      <c r="QW4864" s="106"/>
      <c r="QX4864" s="106"/>
      <c r="QY4864" s="106"/>
      <c r="QZ4864" s="106"/>
      <c r="RA4864" s="106"/>
      <c r="RB4864" s="106"/>
      <c r="RC4864" s="106"/>
      <c r="RD4864" s="106"/>
      <c r="RE4864" s="106"/>
      <c r="RF4864" s="106"/>
      <c r="RG4864" s="106"/>
      <c r="RH4864" s="106"/>
      <c r="RI4864" s="106"/>
      <c r="RJ4864" s="106"/>
      <c r="RK4864" s="106"/>
      <c r="RL4864" s="106"/>
    </row>
    <row r="4865" spans="462:480" x14ac:dyDescent="0.3">
      <c r="QT4865" s="106"/>
      <c r="QU4865" s="106"/>
      <c r="QV4865" s="106"/>
      <c r="QW4865" s="106"/>
      <c r="QX4865" s="106"/>
      <c r="QY4865" s="106"/>
      <c r="QZ4865" s="106"/>
      <c r="RA4865" s="106"/>
      <c r="RB4865" s="106"/>
      <c r="RC4865" s="106"/>
      <c r="RD4865" s="106"/>
      <c r="RE4865" s="106"/>
      <c r="RF4865" s="106"/>
      <c r="RG4865" s="106"/>
      <c r="RH4865" s="106"/>
      <c r="RI4865" s="106"/>
      <c r="RJ4865" s="106"/>
      <c r="RK4865" s="106"/>
      <c r="RL4865" s="106"/>
    </row>
    <row r="4866" spans="462:480" x14ac:dyDescent="0.3">
      <c r="QT4866" s="106"/>
      <c r="QU4866" s="106"/>
      <c r="QV4866" s="106"/>
      <c r="QW4866" s="106"/>
      <c r="QX4866" s="106"/>
      <c r="QY4866" s="106"/>
      <c r="QZ4866" s="106"/>
      <c r="RA4866" s="106"/>
      <c r="RB4866" s="106"/>
      <c r="RC4866" s="106"/>
      <c r="RD4866" s="106"/>
      <c r="RE4866" s="106"/>
      <c r="RF4866" s="106"/>
      <c r="RG4866" s="106"/>
      <c r="RH4866" s="106"/>
      <c r="RI4866" s="106"/>
      <c r="RJ4866" s="106"/>
      <c r="RK4866" s="106"/>
      <c r="RL4866" s="106"/>
    </row>
    <row r="4867" spans="462:480" x14ac:dyDescent="0.3">
      <c r="QT4867" s="106"/>
      <c r="QU4867" s="106"/>
      <c r="QV4867" s="106"/>
      <c r="QW4867" s="106"/>
      <c r="QX4867" s="106"/>
      <c r="QY4867" s="106"/>
      <c r="QZ4867" s="106"/>
      <c r="RA4867" s="106"/>
      <c r="RB4867" s="106"/>
      <c r="RC4867" s="106"/>
      <c r="RD4867" s="106"/>
      <c r="RE4867" s="106"/>
      <c r="RF4867" s="106"/>
      <c r="RG4867" s="106"/>
      <c r="RH4867" s="106"/>
      <c r="RI4867" s="106"/>
      <c r="RJ4867" s="106"/>
      <c r="RK4867" s="106"/>
      <c r="RL4867" s="106"/>
    </row>
    <row r="4868" spans="462:480" x14ac:dyDescent="0.3">
      <c r="QT4868" s="106"/>
      <c r="QU4868" s="106"/>
      <c r="QV4868" s="106"/>
      <c r="QW4868" s="106"/>
      <c r="QX4868" s="106"/>
      <c r="QY4868" s="106"/>
      <c r="QZ4868" s="106"/>
      <c r="RA4868" s="106"/>
      <c r="RB4868" s="106"/>
      <c r="RC4868" s="106"/>
      <c r="RD4868" s="106"/>
      <c r="RE4868" s="106"/>
      <c r="RF4868" s="106"/>
      <c r="RG4868" s="106"/>
      <c r="RH4868" s="106"/>
      <c r="RI4868" s="106"/>
      <c r="RJ4868" s="106"/>
      <c r="RK4868" s="106"/>
      <c r="RL4868" s="106"/>
    </row>
    <row r="4869" spans="462:480" x14ac:dyDescent="0.3">
      <c r="QT4869" s="106"/>
      <c r="QU4869" s="106"/>
      <c r="QV4869" s="106"/>
      <c r="QW4869" s="106"/>
      <c r="QX4869" s="106"/>
      <c r="QY4869" s="106"/>
      <c r="QZ4869" s="106"/>
      <c r="RA4869" s="106"/>
      <c r="RB4869" s="106"/>
      <c r="RC4869" s="106"/>
      <c r="RD4869" s="106"/>
      <c r="RE4869" s="106"/>
      <c r="RF4869" s="106"/>
      <c r="RG4869" s="106"/>
      <c r="RH4869" s="106"/>
      <c r="RI4869" s="106"/>
      <c r="RJ4869" s="106"/>
      <c r="RK4869" s="106"/>
      <c r="RL4869" s="106"/>
    </row>
    <row r="4870" spans="462:480" x14ac:dyDescent="0.3">
      <c r="QT4870" s="106"/>
      <c r="QU4870" s="106"/>
      <c r="QV4870" s="106"/>
      <c r="QW4870" s="106"/>
      <c r="QX4870" s="106"/>
      <c r="QY4870" s="106"/>
      <c r="QZ4870" s="106"/>
      <c r="RA4870" s="106"/>
      <c r="RB4870" s="106"/>
      <c r="RC4870" s="106"/>
      <c r="RD4870" s="106"/>
      <c r="RE4870" s="106"/>
      <c r="RF4870" s="106"/>
      <c r="RG4870" s="106"/>
      <c r="RH4870" s="106"/>
      <c r="RI4870" s="106"/>
      <c r="RJ4870" s="106"/>
      <c r="RK4870" s="106"/>
      <c r="RL4870" s="106"/>
    </row>
    <row r="4871" spans="462:480" x14ac:dyDescent="0.3">
      <c r="QT4871" s="106"/>
      <c r="QU4871" s="106"/>
      <c r="QV4871" s="106"/>
      <c r="QW4871" s="106"/>
      <c r="QX4871" s="106"/>
      <c r="QY4871" s="106"/>
      <c r="QZ4871" s="106"/>
      <c r="RA4871" s="106"/>
      <c r="RB4871" s="106"/>
      <c r="RC4871" s="106"/>
      <c r="RD4871" s="106"/>
      <c r="RE4871" s="106"/>
      <c r="RF4871" s="106"/>
      <c r="RG4871" s="106"/>
      <c r="RH4871" s="106"/>
      <c r="RI4871" s="106"/>
      <c r="RJ4871" s="106"/>
      <c r="RK4871" s="106"/>
      <c r="RL4871" s="106"/>
    </row>
    <row r="4872" spans="462:480" x14ac:dyDescent="0.3">
      <c r="QT4872" s="106"/>
      <c r="QU4872" s="106"/>
      <c r="QV4872" s="106"/>
      <c r="QW4872" s="106"/>
      <c r="QX4872" s="106"/>
      <c r="QY4872" s="106"/>
      <c r="QZ4872" s="106"/>
      <c r="RA4872" s="106"/>
      <c r="RB4872" s="106"/>
      <c r="RC4872" s="106"/>
      <c r="RD4872" s="106"/>
      <c r="RE4872" s="106"/>
      <c r="RF4872" s="106"/>
      <c r="RG4872" s="106"/>
      <c r="RH4872" s="106"/>
      <c r="RI4872" s="106"/>
      <c r="RJ4872" s="106"/>
      <c r="RK4872" s="106"/>
      <c r="RL4872" s="106"/>
    </row>
    <row r="4873" spans="462:480" x14ac:dyDescent="0.3">
      <c r="QT4873" s="106"/>
      <c r="QU4873" s="106"/>
      <c r="QV4873" s="106"/>
      <c r="QW4873" s="106"/>
      <c r="QX4873" s="106"/>
      <c r="QY4873" s="106"/>
      <c r="QZ4873" s="106"/>
      <c r="RA4873" s="106"/>
      <c r="RB4873" s="106"/>
      <c r="RC4873" s="106"/>
      <c r="RD4873" s="106"/>
      <c r="RE4873" s="106"/>
      <c r="RF4873" s="106"/>
      <c r="RG4873" s="106"/>
      <c r="RH4873" s="106"/>
      <c r="RI4873" s="106"/>
      <c r="RJ4873" s="106"/>
      <c r="RK4873" s="106"/>
      <c r="RL4873" s="106"/>
    </row>
    <row r="4874" spans="462:480" x14ac:dyDescent="0.3">
      <c r="QT4874" s="106"/>
      <c r="QU4874" s="106"/>
      <c r="QV4874" s="106"/>
      <c r="QW4874" s="106"/>
      <c r="QX4874" s="106"/>
      <c r="QY4874" s="106"/>
      <c r="QZ4874" s="106"/>
      <c r="RA4874" s="106"/>
      <c r="RB4874" s="106"/>
      <c r="RC4874" s="106"/>
      <c r="RD4874" s="106"/>
      <c r="RE4874" s="106"/>
      <c r="RF4874" s="106"/>
      <c r="RG4874" s="106"/>
      <c r="RH4874" s="106"/>
      <c r="RI4874" s="106"/>
      <c r="RJ4874" s="106"/>
      <c r="RK4874" s="106"/>
      <c r="RL4874" s="106"/>
    </row>
    <row r="4875" spans="462:480" x14ac:dyDescent="0.3">
      <c r="QT4875" s="106"/>
      <c r="QU4875" s="106"/>
      <c r="QV4875" s="106"/>
      <c r="QW4875" s="106"/>
      <c r="QX4875" s="106"/>
      <c r="QY4875" s="106"/>
      <c r="QZ4875" s="106"/>
      <c r="RA4875" s="106"/>
      <c r="RB4875" s="106"/>
      <c r="RC4875" s="106"/>
      <c r="RD4875" s="106"/>
      <c r="RE4875" s="106"/>
      <c r="RF4875" s="106"/>
      <c r="RG4875" s="106"/>
      <c r="RH4875" s="106"/>
      <c r="RI4875" s="106"/>
      <c r="RJ4875" s="106"/>
      <c r="RK4875" s="106"/>
      <c r="RL4875" s="106"/>
    </row>
    <row r="4876" spans="462:480" x14ac:dyDescent="0.3">
      <c r="QT4876" s="106"/>
      <c r="QU4876" s="106"/>
      <c r="QV4876" s="106"/>
      <c r="QW4876" s="106"/>
      <c r="QX4876" s="106"/>
      <c r="QY4876" s="106"/>
      <c r="QZ4876" s="106"/>
      <c r="RA4876" s="106"/>
      <c r="RB4876" s="106"/>
      <c r="RC4876" s="106"/>
      <c r="RD4876" s="106"/>
      <c r="RE4876" s="106"/>
      <c r="RF4876" s="106"/>
      <c r="RG4876" s="106"/>
      <c r="RH4876" s="106"/>
      <c r="RI4876" s="106"/>
      <c r="RJ4876" s="106"/>
      <c r="RK4876" s="106"/>
      <c r="RL4876" s="106"/>
    </row>
    <row r="4877" spans="462:480" x14ac:dyDescent="0.3">
      <c r="QT4877" s="106"/>
      <c r="QU4877" s="106"/>
      <c r="QV4877" s="106"/>
      <c r="QW4877" s="106"/>
      <c r="QX4877" s="106"/>
      <c r="QY4877" s="106"/>
      <c r="QZ4877" s="106"/>
      <c r="RA4877" s="106"/>
      <c r="RB4877" s="106"/>
      <c r="RC4877" s="106"/>
      <c r="RD4877" s="106"/>
      <c r="RE4877" s="106"/>
      <c r="RF4877" s="106"/>
      <c r="RG4877" s="106"/>
      <c r="RH4877" s="106"/>
      <c r="RI4877" s="106"/>
      <c r="RJ4877" s="106"/>
      <c r="RK4877" s="106"/>
      <c r="RL4877" s="106"/>
    </row>
    <row r="4878" spans="462:480" x14ac:dyDescent="0.3">
      <c r="QT4878" s="106"/>
      <c r="QU4878" s="106"/>
      <c r="QV4878" s="106"/>
      <c r="QW4878" s="106"/>
      <c r="QX4878" s="106"/>
      <c r="QY4878" s="106"/>
      <c r="QZ4878" s="106"/>
      <c r="RA4878" s="106"/>
      <c r="RB4878" s="106"/>
      <c r="RC4878" s="106"/>
      <c r="RD4878" s="106"/>
      <c r="RE4878" s="106"/>
      <c r="RF4878" s="106"/>
      <c r="RG4878" s="106"/>
      <c r="RH4878" s="106"/>
      <c r="RI4878" s="106"/>
      <c r="RJ4878" s="106"/>
      <c r="RK4878" s="106"/>
      <c r="RL4878" s="106"/>
    </row>
    <row r="4879" spans="462:480" x14ac:dyDescent="0.3">
      <c r="QT4879" s="106"/>
      <c r="QU4879" s="106"/>
      <c r="QV4879" s="106"/>
      <c r="QW4879" s="106"/>
      <c r="QX4879" s="106"/>
      <c r="QY4879" s="106"/>
      <c r="QZ4879" s="106"/>
      <c r="RA4879" s="106"/>
      <c r="RB4879" s="106"/>
      <c r="RC4879" s="106"/>
      <c r="RD4879" s="106"/>
      <c r="RE4879" s="106"/>
      <c r="RF4879" s="106"/>
      <c r="RG4879" s="106"/>
      <c r="RH4879" s="106"/>
      <c r="RI4879" s="106"/>
      <c r="RJ4879" s="106"/>
      <c r="RK4879" s="106"/>
      <c r="RL4879" s="106"/>
    </row>
    <row r="4880" spans="462:480" x14ac:dyDescent="0.3">
      <c r="QT4880" s="106"/>
      <c r="QU4880" s="106"/>
      <c r="QV4880" s="106"/>
      <c r="QW4880" s="106"/>
      <c r="QX4880" s="106"/>
      <c r="QY4880" s="106"/>
      <c r="QZ4880" s="106"/>
      <c r="RA4880" s="106"/>
      <c r="RB4880" s="106"/>
      <c r="RC4880" s="106"/>
      <c r="RD4880" s="106"/>
      <c r="RE4880" s="106"/>
      <c r="RF4880" s="106"/>
      <c r="RG4880" s="106"/>
      <c r="RH4880" s="106"/>
      <c r="RI4880" s="106"/>
      <c r="RJ4880" s="106"/>
      <c r="RK4880" s="106"/>
      <c r="RL4880" s="106"/>
    </row>
    <row r="4881" spans="462:480" x14ac:dyDescent="0.3">
      <c r="QT4881" s="106"/>
      <c r="QU4881" s="106"/>
      <c r="QV4881" s="106"/>
      <c r="QW4881" s="106"/>
      <c r="QX4881" s="106"/>
      <c r="QY4881" s="106"/>
      <c r="QZ4881" s="106"/>
      <c r="RA4881" s="106"/>
      <c r="RB4881" s="106"/>
      <c r="RC4881" s="106"/>
      <c r="RD4881" s="106"/>
      <c r="RE4881" s="106"/>
      <c r="RF4881" s="106"/>
      <c r="RG4881" s="106"/>
      <c r="RH4881" s="106"/>
      <c r="RI4881" s="106"/>
      <c r="RJ4881" s="106"/>
      <c r="RK4881" s="106"/>
      <c r="RL4881" s="106"/>
    </row>
    <row r="4882" spans="462:480" x14ac:dyDescent="0.3">
      <c r="QT4882" s="106"/>
      <c r="QU4882" s="106"/>
      <c r="QV4882" s="106"/>
      <c r="QW4882" s="106"/>
      <c r="QX4882" s="106"/>
      <c r="QY4882" s="106"/>
      <c r="QZ4882" s="106"/>
      <c r="RA4882" s="106"/>
      <c r="RB4882" s="106"/>
      <c r="RC4882" s="106"/>
      <c r="RD4882" s="106"/>
      <c r="RE4882" s="106"/>
      <c r="RF4882" s="106"/>
      <c r="RG4882" s="106"/>
      <c r="RH4882" s="106"/>
      <c r="RI4882" s="106"/>
      <c r="RJ4882" s="106"/>
      <c r="RK4882" s="106"/>
      <c r="RL4882" s="106"/>
    </row>
    <row r="4883" spans="462:480" x14ac:dyDescent="0.3">
      <c r="QT4883" s="106"/>
      <c r="QU4883" s="106"/>
      <c r="QV4883" s="106"/>
      <c r="QW4883" s="106"/>
      <c r="QX4883" s="106"/>
      <c r="QY4883" s="106"/>
      <c r="QZ4883" s="106"/>
      <c r="RA4883" s="106"/>
      <c r="RB4883" s="106"/>
      <c r="RC4883" s="106"/>
      <c r="RD4883" s="106"/>
      <c r="RE4883" s="106"/>
      <c r="RF4883" s="106"/>
      <c r="RG4883" s="106"/>
      <c r="RH4883" s="106"/>
      <c r="RI4883" s="106"/>
      <c r="RJ4883" s="106"/>
      <c r="RK4883" s="106"/>
      <c r="RL4883" s="106"/>
    </row>
    <row r="4884" spans="462:480" x14ac:dyDescent="0.3">
      <c r="QT4884" s="106"/>
      <c r="QU4884" s="106"/>
      <c r="QV4884" s="106"/>
      <c r="QW4884" s="106"/>
      <c r="QX4884" s="106"/>
      <c r="QY4884" s="106"/>
      <c r="QZ4884" s="106"/>
      <c r="RA4884" s="106"/>
      <c r="RB4884" s="106"/>
      <c r="RC4884" s="106"/>
      <c r="RD4884" s="106"/>
      <c r="RE4884" s="106"/>
      <c r="RF4884" s="106"/>
      <c r="RG4884" s="106"/>
      <c r="RH4884" s="106"/>
      <c r="RI4884" s="106"/>
      <c r="RJ4884" s="106"/>
      <c r="RK4884" s="106"/>
      <c r="RL4884" s="106"/>
    </row>
    <row r="4885" spans="462:480" x14ac:dyDescent="0.3">
      <c r="QT4885" s="106"/>
      <c r="QU4885" s="106"/>
      <c r="QV4885" s="106"/>
      <c r="QW4885" s="106"/>
      <c r="QX4885" s="106"/>
      <c r="QY4885" s="106"/>
      <c r="QZ4885" s="106"/>
      <c r="RA4885" s="106"/>
      <c r="RB4885" s="106"/>
      <c r="RC4885" s="106"/>
      <c r="RD4885" s="106"/>
      <c r="RE4885" s="106"/>
      <c r="RF4885" s="106"/>
      <c r="RG4885" s="106"/>
      <c r="RH4885" s="106"/>
      <c r="RI4885" s="106"/>
      <c r="RJ4885" s="106"/>
      <c r="RK4885" s="106"/>
      <c r="RL4885" s="106"/>
    </row>
    <row r="4886" spans="462:480" x14ac:dyDescent="0.3">
      <c r="QT4886" s="106"/>
      <c r="QU4886" s="106"/>
      <c r="QV4886" s="106"/>
      <c r="QW4886" s="106"/>
      <c r="QX4886" s="106"/>
      <c r="QY4886" s="106"/>
      <c r="QZ4886" s="106"/>
      <c r="RA4886" s="106"/>
      <c r="RB4886" s="106"/>
      <c r="RC4886" s="106"/>
      <c r="RD4886" s="106"/>
      <c r="RE4886" s="106"/>
      <c r="RF4886" s="106"/>
      <c r="RG4886" s="106"/>
      <c r="RH4886" s="106"/>
      <c r="RI4886" s="106"/>
      <c r="RJ4886" s="106"/>
      <c r="RK4886" s="106"/>
      <c r="RL4886" s="106"/>
    </row>
    <row r="4887" spans="462:480" x14ac:dyDescent="0.3">
      <c r="QT4887" s="106"/>
      <c r="QU4887" s="106"/>
      <c r="QV4887" s="106"/>
      <c r="QW4887" s="106"/>
      <c r="QX4887" s="106"/>
      <c r="QY4887" s="106"/>
      <c r="QZ4887" s="106"/>
      <c r="RA4887" s="106"/>
      <c r="RB4887" s="106"/>
      <c r="RC4887" s="106"/>
      <c r="RD4887" s="106"/>
      <c r="RE4887" s="106"/>
      <c r="RF4887" s="106"/>
      <c r="RG4887" s="106"/>
      <c r="RH4887" s="106"/>
      <c r="RI4887" s="106"/>
      <c r="RJ4887" s="106"/>
      <c r="RK4887" s="106"/>
      <c r="RL4887" s="106"/>
    </row>
    <row r="4888" spans="462:480" x14ac:dyDescent="0.3">
      <c r="QT4888" s="106"/>
      <c r="QU4888" s="106"/>
      <c r="QV4888" s="106"/>
      <c r="QW4888" s="106"/>
      <c r="QX4888" s="106"/>
      <c r="QY4888" s="106"/>
      <c r="QZ4888" s="106"/>
      <c r="RA4888" s="106"/>
      <c r="RB4888" s="106"/>
      <c r="RC4888" s="106"/>
      <c r="RD4888" s="106"/>
      <c r="RE4888" s="106"/>
      <c r="RF4888" s="106"/>
      <c r="RG4888" s="106"/>
      <c r="RH4888" s="106"/>
      <c r="RI4888" s="106"/>
      <c r="RJ4888" s="106"/>
      <c r="RK4888" s="106"/>
      <c r="RL4888" s="106"/>
    </row>
    <row r="4889" spans="462:480" x14ac:dyDescent="0.3">
      <c r="QT4889" s="106"/>
      <c r="QU4889" s="106"/>
      <c r="QV4889" s="106"/>
      <c r="QW4889" s="106"/>
      <c r="QX4889" s="106"/>
      <c r="QY4889" s="106"/>
      <c r="QZ4889" s="106"/>
      <c r="RA4889" s="106"/>
      <c r="RB4889" s="106"/>
      <c r="RC4889" s="106"/>
      <c r="RD4889" s="106"/>
      <c r="RE4889" s="106"/>
      <c r="RF4889" s="106"/>
      <c r="RG4889" s="106"/>
      <c r="RH4889" s="106"/>
      <c r="RI4889" s="106"/>
      <c r="RJ4889" s="106"/>
      <c r="RK4889" s="106"/>
      <c r="RL4889" s="106"/>
    </row>
    <row r="4890" spans="462:480" x14ac:dyDescent="0.3">
      <c r="QT4890" s="106"/>
      <c r="QU4890" s="106"/>
      <c r="QV4890" s="106"/>
      <c r="QW4890" s="106"/>
      <c r="QX4890" s="106"/>
      <c r="QY4890" s="106"/>
      <c r="QZ4890" s="106"/>
      <c r="RA4890" s="106"/>
      <c r="RB4890" s="106"/>
      <c r="RC4890" s="106"/>
      <c r="RD4890" s="106"/>
      <c r="RE4890" s="106"/>
      <c r="RF4890" s="106"/>
      <c r="RG4890" s="106"/>
      <c r="RH4890" s="106"/>
      <c r="RI4890" s="106"/>
      <c r="RJ4890" s="106"/>
      <c r="RK4890" s="106"/>
      <c r="RL4890" s="106"/>
    </row>
    <row r="4891" spans="462:480" x14ac:dyDescent="0.3">
      <c r="QT4891" s="106"/>
      <c r="QU4891" s="106"/>
      <c r="QV4891" s="106"/>
      <c r="QW4891" s="106"/>
      <c r="QX4891" s="106"/>
      <c r="QY4891" s="106"/>
      <c r="QZ4891" s="106"/>
      <c r="RA4891" s="106"/>
      <c r="RB4891" s="106"/>
      <c r="RC4891" s="106"/>
      <c r="RD4891" s="106"/>
      <c r="RE4891" s="106"/>
      <c r="RF4891" s="106"/>
      <c r="RG4891" s="106"/>
      <c r="RH4891" s="106"/>
      <c r="RI4891" s="106"/>
      <c r="RJ4891" s="106"/>
      <c r="RK4891" s="106"/>
      <c r="RL4891" s="106"/>
    </row>
    <row r="4892" spans="462:480" x14ac:dyDescent="0.3">
      <c r="QT4892" s="106"/>
      <c r="QU4892" s="106"/>
      <c r="QV4892" s="106"/>
      <c r="QW4892" s="106"/>
      <c r="QX4892" s="106"/>
      <c r="QY4892" s="106"/>
      <c r="QZ4892" s="106"/>
      <c r="RA4892" s="106"/>
      <c r="RB4892" s="106"/>
      <c r="RC4892" s="106"/>
      <c r="RD4892" s="106"/>
      <c r="RE4892" s="106"/>
      <c r="RF4892" s="106"/>
      <c r="RG4892" s="106"/>
      <c r="RH4892" s="106"/>
      <c r="RI4892" s="106"/>
      <c r="RJ4892" s="106"/>
      <c r="RK4892" s="106"/>
      <c r="RL4892" s="106"/>
    </row>
    <row r="4893" spans="462:480" x14ac:dyDescent="0.3">
      <c r="QT4893" s="106"/>
      <c r="QU4893" s="106"/>
      <c r="QV4893" s="106"/>
      <c r="QW4893" s="106"/>
      <c r="QX4893" s="106"/>
      <c r="QY4893" s="106"/>
      <c r="QZ4893" s="106"/>
      <c r="RA4893" s="106"/>
      <c r="RB4893" s="106"/>
      <c r="RC4893" s="106"/>
      <c r="RD4893" s="106"/>
      <c r="RE4893" s="106"/>
      <c r="RF4893" s="106"/>
      <c r="RG4893" s="106"/>
      <c r="RH4893" s="106"/>
      <c r="RI4893" s="106"/>
      <c r="RJ4893" s="106"/>
      <c r="RK4893" s="106"/>
      <c r="RL4893" s="106"/>
    </row>
    <row r="4894" spans="462:480" x14ac:dyDescent="0.3">
      <c r="QT4894" s="106"/>
      <c r="QU4894" s="106"/>
      <c r="QV4894" s="106"/>
      <c r="QW4894" s="106"/>
      <c r="QX4894" s="106"/>
      <c r="QY4894" s="106"/>
      <c r="QZ4894" s="106"/>
      <c r="RA4894" s="106"/>
      <c r="RB4894" s="106"/>
      <c r="RC4894" s="106"/>
      <c r="RD4894" s="106"/>
      <c r="RE4894" s="106"/>
      <c r="RF4894" s="106"/>
      <c r="RG4894" s="106"/>
      <c r="RH4894" s="106"/>
      <c r="RI4894" s="106"/>
      <c r="RJ4894" s="106"/>
      <c r="RK4894" s="106"/>
      <c r="RL4894" s="106"/>
    </row>
    <row r="4895" spans="462:480" x14ac:dyDescent="0.3">
      <c r="QT4895" s="106"/>
      <c r="QU4895" s="106"/>
      <c r="QV4895" s="106"/>
      <c r="QW4895" s="106"/>
      <c r="QX4895" s="106"/>
      <c r="QY4895" s="106"/>
      <c r="QZ4895" s="106"/>
      <c r="RA4895" s="106"/>
      <c r="RB4895" s="106"/>
      <c r="RC4895" s="106"/>
      <c r="RD4895" s="106"/>
      <c r="RE4895" s="106"/>
      <c r="RF4895" s="106"/>
      <c r="RG4895" s="106"/>
      <c r="RH4895" s="106"/>
      <c r="RI4895" s="106"/>
      <c r="RJ4895" s="106"/>
      <c r="RK4895" s="106"/>
      <c r="RL4895" s="106"/>
    </row>
    <row r="4896" spans="462:480" x14ac:dyDescent="0.3">
      <c r="QT4896" s="106"/>
      <c r="QU4896" s="106"/>
      <c r="QV4896" s="106"/>
      <c r="QW4896" s="106"/>
      <c r="QX4896" s="106"/>
      <c r="QY4896" s="106"/>
      <c r="QZ4896" s="106"/>
      <c r="RA4896" s="106"/>
      <c r="RB4896" s="106"/>
      <c r="RC4896" s="106"/>
      <c r="RD4896" s="106"/>
      <c r="RE4896" s="106"/>
      <c r="RF4896" s="106"/>
      <c r="RG4896" s="106"/>
      <c r="RH4896" s="106"/>
      <c r="RI4896" s="106"/>
      <c r="RJ4896" s="106"/>
      <c r="RK4896" s="106"/>
      <c r="RL4896" s="106"/>
    </row>
    <row r="4897" spans="462:480" x14ac:dyDescent="0.3">
      <c r="QT4897" s="106"/>
      <c r="QU4897" s="106"/>
      <c r="QV4897" s="106"/>
      <c r="QW4897" s="106"/>
      <c r="QX4897" s="106"/>
      <c r="QY4897" s="106"/>
      <c r="QZ4897" s="106"/>
      <c r="RA4897" s="106"/>
      <c r="RB4897" s="106"/>
      <c r="RC4897" s="106"/>
      <c r="RD4897" s="106"/>
      <c r="RE4897" s="106"/>
      <c r="RF4897" s="106"/>
      <c r="RG4897" s="106"/>
      <c r="RH4897" s="106"/>
      <c r="RI4897" s="106"/>
      <c r="RJ4897" s="106"/>
      <c r="RK4897" s="106"/>
      <c r="RL4897" s="106"/>
    </row>
    <row r="4898" spans="462:480" x14ac:dyDescent="0.3">
      <c r="QT4898" s="106"/>
      <c r="QU4898" s="106"/>
      <c r="QV4898" s="106"/>
      <c r="QW4898" s="106"/>
      <c r="QX4898" s="106"/>
      <c r="QY4898" s="106"/>
      <c r="QZ4898" s="106"/>
      <c r="RA4898" s="106"/>
      <c r="RB4898" s="106"/>
      <c r="RC4898" s="106"/>
      <c r="RD4898" s="106"/>
      <c r="RE4898" s="106"/>
      <c r="RF4898" s="106"/>
      <c r="RG4898" s="106"/>
      <c r="RH4898" s="106"/>
      <c r="RI4898" s="106"/>
      <c r="RJ4898" s="106"/>
      <c r="RK4898" s="106"/>
      <c r="RL4898" s="106"/>
    </row>
    <row r="4899" spans="462:480" x14ac:dyDescent="0.3">
      <c r="QT4899" s="106"/>
      <c r="QU4899" s="106"/>
      <c r="QV4899" s="106"/>
      <c r="QW4899" s="106"/>
      <c r="QX4899" s="106"/>
      <c r="QY4899" s="106"/>
      <c r="QZ4899" s="106"/>
      <c r="RA4899" s="106"/>
      <c r="RB4899" s="106"/>
      <c r="RC4899" s="106"/>
      <c r="RD4899" s="106"/>
      <c r="RE4899" s="106"/>
      <c r="RF4899" s="106"/>
      <c r="RG4899" s="106"/>
      <c r="RH4899" s="106"/>
      <c r="RI4899" s="106"/>
      <c r="RJ4899" s="106"/>
      <c r="RK4899" s="106"/>
      <c r="RL4899" s="106"/>
    </row>
    <row r="4900" spans="462:480" x14ac:dyDescent="0.3">
      <c r="QT4900" s="106"/>
      <c r="QU4900" s="106"/>
      <c r="QV4900" s="106"/>
      <c r="QW4900" s="106"/>
      <c r="QX4900" s="106"/>
      <c r="QY4900" s="106"/>
      <c r="QZ4900" s="106"/>
      <c r="RA4900" s="106"/>
      <c r="RB4900" s="106"/>
      <c r="RC4900" s="106"/>
      <c r="RD4900" s="106"/>
      <c r="RE4900" s="106"/>
      <c r="RF4900" s="106"/>
      <c r="RG4900" s="106"/>
      <c r="RH4900" s="106"/>
      <c r="RI4900" s="106"/>
      <c r="RJ4900" s="106"/>
      <c r="RK4900" s="106"/>
      <c r="RL4900" s="106"/>
    </row>
    <row r="4901" spans="462:480" x14ac:dyDescent="0.3">
      <c r="QT4901" s="106"/>
      <c r="QU4901" s="106"/>
      <c r="QV4901" s="106"/>
      <c r="QW4901" s="106"/>
      <c r="QX4901" s="106"/>
      <c r="QY4901" s="106"/>
      <c r="QZ4901" s="106"/>
      <c r="RA4901" s="106"/>
      <c r="RB4901" s="106"/>
      <c r="RC4901" s="106"/>
      <c r="RD4901" s="106"/>
      <c r="RE4901" s="106"/>
      <c r="RF4901" s="106"/>
      <c r="RG4901" s="106"/>
      <c r="RH4901" s="106"/>
      <c r="RI4901" s="106"/>
      <c r="RJ4901" s="106"/>
      <c r="RK4901" s="106"/>
      <c r="RL4901" s="106"/>
    </row>
    <row r="4902" spans="462:480" x14ac:dyDescent="0.3">
      <c r="QT4902" s="106"/>
      <c r="QU4902" s="106"/>
      <c r="QV4902" s="106"/>
      <c r="QW4902" s="106"/>
      <c r="QX4902" s="106"/>
      <c r="QY4902" s="106"/>
      <c r="QZ4902" s="106"/>
      <c r="RA4902" s="106"/>
      <c r="RB4902" s="106"/>
      <c r="RC4902" s="106"/>
      <c r="RD4902" s="106"/>
      <c r="RE4902" s="106"/>
      <c r="RF4902" s="106"/>
      <c r="RG4902" s="106"/>
      <c r="RH4902" s="106"/>
      <c r="RI4902" s="106"/>
      <c r="RJ4902" s="106"/>
      <c r="RK4902" s="106"/>
      <c r="RL4902" s="106"/>
    </row>
    <row r="4903" spans="462:480" x14ac:dyDescent="0.3">
      <c r="QT4903" s="106"/>
      <c r="QU4903" s="106"/>
      <c r="QV4903" s="106"/>
      <c r="QW4903" s="106"/>
      <c r="QX4903" s="106"/>
      <c r="QY4903" s="106"/>
      <c r="QZ4903" s="106"/>
      <c r="RA4903" s="106"/>
      <c r="RB4903" s="106"/>
      <c r="RC4903" s="106"/>
      <c r="RD4903" s="106"/>
      <c r="RE4903" s="106"/>
      <c r="RF4903" s="106"/>
      <c r="RG4903" s="106"/>
      <c r="RH4903" s="106"/>
      <c r="RI4903" s="106"/>
      <c r="RJ4903" s="106"/>
      <c r="RK4903" s="106"/>
      <c r="RL4903" s="106"/>
    </row>
    <row r="4904" spans="462:480" x14ac:dyDescent="0.3">
      <c r="QT4904" s="106"/>
      <c r="QU4904" s="106"/>
      <c r="QV4904" s="106"/>
      <c r="QW4904" s="106"/>
      <c r="QX4904" s="106"/>
      <c r="QY4904" s="106"/>
      <c r="QZ4904" s="106"/>
      <c r="RA4904" s="106"/>
      <c r="RB4904" s="106"/>
      <c r="RC4904" s="106"/>
      <c r="RD4904" s="106"/>
      <c r="RE4904" s="106"/>
      <c r="RF4904" s="106"/>
      <c r="RG4904" s="106"/>
      <c r="RH4904" s="106"/>
      <c r="RI4904" s="106"/>
      <c r="RJ4904" s="106"/>
      <c r="RK4904" s="106"/>
      <c r="RL4904" s="106"/>
    </row>
    <row r="4905" spans="462:480" x14ac:dyDescent="0.3">
      <c r="QT4905" s="106"/>
      <c r="QU4905" s="106"/>
      <c r="QV4905" s="106"/>
      <c r="QW4905" s="106"/>
      <c r="QX4905" s="106"/>
      <c r="QY4905" s="106"/>
      <c r="QZ4905" s="106"/>
      <c r="RA4905" s="106"/>
      <c r="RB4905" s="106"/>
      <c r="RC4905" s="106"/>
      <c r="RD4905" s="106"/>
      <c r="RE4905" s="106"/>
      <c r="RF4905" s="106"/>
      <c r="RG4905" s="106"/>
      <c r="RH4905" s="106"/>
      <c r="RI4905" s="106"/>
      <c r="RJ4905" s="106"/>
      <c r="RK4905" s="106"/>
      <c r="RL4905" s="106"/>
    </row>
    <row r="4906" spans="462:480" x14ac:dyDescent="0.3">
      <c r="QT4906" s="106"/>
      <c r="QU4906" s="106"/>
      <c r="QV4906" s="106"/>
      <c r="QW4906" s="106"/>
      <c r="QX4906" s="106"/>
      <c r="QY4906" s="106"/>
      <c r="QZ4906" s="106"/>
      <c r="RA4906" s="106"/>
      <c r="RB4906" s="106"/>
      <c r="RC4906" s="106"/>
      <c r="RD4906" s="106"/>
      <c r="RE4906" s="106"/>
      <c r="RF4906" s="106"/>
      <c r="RG4906" s="106"/>
      <c r="RH4906" s="106"/>
      <c r="RI4906" s="106"/>
      <c r="RJ4906" s="106"/>
      <c r="RK4906" s="106"/>
      <c r="RL4906" s="106"/>
    </row>
    <row r="4907" spans="462:480" x14ac:dyDescent="0.3">
      <c r="QT4907" s="106"/>
      <c r="QU4907" s="106"/>
      <c r="QV4907" s="106"/>
      <c r="QW4907" s="106"/>
      <c r="QX4907" s="106"/>
      <c r="QY4907" s="106"/>
      <c r="QZ4907" s="106"/>
      <c r="RA4907" s="106"/>
      <c r="RB4907" s="106"/>
      <c r="RC4907" s="106"/>
      <c r="RD4907" s="106"/>
      <c r="RE4907" s="106"/>
      <c r="RF4907" s="106"/>
      <c r="RG4907" s="106"/>
      <c r="RH4907" s="106"/>
      <c r="RI4907" s="106"/>
      <c r="RJ4907" s="106"/>
      <c r="RK4907" s="106"/>
      <c r="RL4907" s="106"/>
    </row>
    <row r="4908" spans="462:480" x14ac:dyDescent="0.3">
      <c r="QT4908" s="106"/>
      <c r="QU4908" s="106"/>
      <c r="QV4908" s="106"/>
      <c r="QW4908" s="106"/>
      <c r="QX4908" s="106"/>
      <c r="QY4908" s="106"/>
      <c r="QZ4908" s="106"/>
      <c r="RA4908" s="106"/>
      <c r="RB4908" s="106"/>
      <c r="RC4908" s="106"/>
      <c r="RD4908" s="106"/>
      <c r="RE4908" s="106"/>
      <c r="RF4908" s="106"/>
      <c r="RG4908" s="106"/>
      <c r="RH4908" s="106"/>
      <c r="RI4908" s="106"/>
      <c r="RJ4908" s="106"/>
      <c r="RK4908" s="106"/>
      <c r="RL4908" s="106"/>
    </row>
    <row r="4909" spans="462:480" x14ac:dyDescent="0.3">
      <c r="QT4909" s="106"/>
      <c r="QU4909" s="106"/>
      <c r="QV4909" s="106"/>
      <c r="QW4909" s="106"/>
      <c r="QX4909" s="106"/>
      <c r="QY4909" s="106"/>
      <c r="QZ4909" s="106"/>
      <c r="RA4909" s="106"/>
      <c r="RB4909" s="106"/>
      <c r="RC4909" s="106"/>
      <c r="RD4909" s="106"/>
      <c r="RE4909" s="106"/>
      <c r="RF4909" s="106"/>
      <c r="RG4909" s="106"/>
      <c r="RH4909" s="106"/>
      <c r="RI4909" s="106"/>
      <c r="RJ4909" s="106"/>
      <c r="RK4909" s="106"/>
      <c r="RL4909" s="106"/>
    </row>
    <row r="4910" spans="462:480" x14ac:dyDescent="0.3">
      <c r="QT4910" s="106"/>
      <c r="QU4910" s="106"/>
      <c r="QV4910" s="106"/>
      <c r="QW4910" s="106"/>
      <c r="QX4910" s="106"/>
      <c r="QY4910" s="106"/>
      <c r="QZ4910" s="106"/>
      <c r="RA4910" s="106"/>
      <c r="RB4910" s="106"/>
      <c r="RC4910" s="106"/>
      <c r="RD4910" s="106"/>
      <c r="RE4910" s="106"/>
      <c r="RF4910" s="106"/>
      <c r="RG4910" s="106"/>
      <c r="RH4910" s="106"/>
      <c r="RI4910" s="106"/>
      <c r="RJ4910" s="106"/>
      <c r="RK4910" s="106"/>
      <c r="RL4910" s="106"/>
    </row>
    <row r="4911" spans="462:480" x14ac:dyDescent="0.3">
      <c r="QT4911" s="106"/>
      <c r="QU4911" s="106"/>
      <c r="QV4911" s="106"/>
      <c r="QW4911" s="106"/>
      <c r="QX4911" s="106"/>
      <c r="QY4911" s="106"/>
      <c r="QZ4911" s="106"/>
      <c r="RA4911" s="106"/>
      <c r="RB4911" s="106"/>
      <c r="RC4911" s="106"/>
      <c r="RD4911" s="106"/>
      <c r="RE4911" s="106"/>
      <c r="RF4911" s="106"/>
      <c r="RG4911" s="106"/>
      <c r="RH4911" s="106"/>
      <c r="RI4911" s="106"/>
      <c r="RJ4911" s="106"/>
      <c r="RK4911" s="106"/>
      <c r="RL4911" s="106"/>
    </row>
    <row r="4912" spans="462:480" x14ac:dyDescent="0.3">
      <c r="QT4912" s="106"/>
      <c r="QU4912" s="106"/>
      <c r="QV4912" s="106"/>
      <c r="QW4912" s="106"/>
      <c r="QX4912" s="106"/>
      <c r="QY4912" s="106"/>
      <c r="QZ4912" s="106"/>
      <c r="RA4912" s="106"/>
      <c r="RB4912" s="106"/>
      <c r="RC4912" s="106"/>
      <c r="RD4912" s="106"/>
      <c r="RE4912" s="106"/>
      <c r="RF4912" s="106"/>
      <c r="RG4912" s="106"/>
      <c r="RH4912" s="106"/>
      <c r="RI4912" s="106"/>
      <c r="RJ4912" s="106"/>
      <c r="RK4912" s="106"/>
      <c r="RL4912" s="106"/>
    </row>
    <row r="4913" spans="462:480" x14ac:dyDescent="0.3">
      <c r="QT4913" s="106"/>
      <c r="QU4913" s="106"/>
      <c r="QV4913" s="106"/>
      <c r="QW4913" s="106"/>
      <c r="QX4913" s="106"/>
      <c r="QY4913" s="106"/>
      <c r="QZ4913" s="106"/>
      <c r="RA4913" s="106"/>
      <c r="RB4913" s="106"/>
      <c r="RC4913" s="106"/>
      <c r="RD4913" s="106"/>
      <c r="RE4913" s="106"/>
      <c r="RF4913" s="106"/>
      <c r="RG4913" s="106"/>
      <c r="RH4913" s="106"/>
      <c r="RI4913" s="106"/>
      <c r="RJ4913" s="106"/>
      <c r="RK4913" s="106"/>
      <c r="RL4913" s="106"/>
    </row>
    <row r="4914" spans="462:480" x14ac:dyDescent="0.3">
      <c r="QT4914" s="106"/>
      <c r="QU4914" s="106"/>
      <c r="QV4914" s="106"/>
      <c r="QW4914" s="106"/>
      <c r="QX4914" s="106"/>
      <c r="QY4914" s="106"/>
      <c r="QZ4914" s="106"/>
      <c r="RA4914" s="106"/>
      <c r="RB4914" s="106"/>
      <c r="RC4914" s="106"/>
      <c r="RD4914" s="106"/>
      <c r="RE4914" s="106"/>
      <c r="RF4914" s="106"/>
      <c r="RG4914" s="106"/>
      <c r="RH4914" s="106"/>
      <c r="RI4914" s="106"/>
      <c r="RJ4914" s="106"/>
      <c r="RK4914" s="106"/>
      <c r="RL4914" s="106"/>
    </row>
    <row r="4915" spans="462:480" x14ac:dyDescent="0.3">
      <c r="QT4915" s="106"/>
      <c r="QU4915" s="106"/>
      <c r="QV4915" s="106"/>
      <c r="QW4915" s="106"/>
      <c r="QX4915" s="106"/>
      <c r="QY4915" s="106"/>
      <c r="QZ4915" s="106"/>
      <c r="RA4915" s="106"/>
      <c r="RB4915" s="106"/>
      <c r="RC4915" s="106"/>
      <c r="RD4915" s="106"/>
      <c r="RE4915" s="106"/>
      <c r="RF4915" s="106"/>
      <c r="RG4915" s="106"/>
      <c r="RH4915" s="106"/>
      <c r="RI4915" s="106"/>
      <c r="RJ4915" s="106"/>
      <c r="RK4915" s="106"/>
      <c r="RL4915" s="106"/>
    </row>
    <row r="4916" spans="462:480" x14ac:dyDescent="0.3">
      <c r="QT4916" s="106"/>
      <c r="QU4916" s="106"/>
      <c r="QV4916" s="106"/>
      <c r="QW4916" s="106"/>
      <c r="QX4916" s="106"/>
      <c r="QY4916" s="106"/>
      <c r="QZ4916" s="106"/>
      <c r="RA4916" s="106"/>
      <c r="RB4916" s="106"/>
      <c r="RC4916" s="106"/>
      <c r="RD4916" s="106"/>
      <c r="RE4916" s="106"/>
      <c r="RF4916" s="106"/>
      <c r="RG4916" s="106"/>
      <c r="RH4916" s="106"/>
      <c r="RI4916" s="106"/>
      <c r="RJ4916" s="106"/>
      <c r="RK4916" s="106"/>
      <c r="RL4916" s="106"/>
    </row>
    <row r="4917" spans="462:480" x14ac:dyDescent="0.3">
      <c r="QT4917" s="106"/>
      <c r="QU4917" s="106"/>
      <c r="QV4917" s="106"/>
      <c r="QW4917" s="106"/>
      <c r="QX4917" s="106"/>
      <c r="QY4917" s="106"/>
      <c r="QZ4917" s="106"/>
      <c r="RA4917" s="106"/>
      <c r="RB4917" s="106"/>
      <c r="RC4917" s="106"/>
      <c r="RD4917" s="106"/>
      <c r="RE4917" s="106"/>
      <c r="RF4917" s="106"/>
      <c r="RG4917" s="106"/>
      <c r="RH4917" s="106"/>
      <c r="RI4917" s="106"/>
      <c r="RJ4917" s="106"/>
      <c r="RK4917" s="106"/>
      <c r="RL4917" s="106"/>
    </row>
    <row r="4918" spans="462:480" x14ac:dyDescent="0.3">
      <c r="QT4918" s="106"/>
      <c r="QU4918" s="106"/>
      <c r="QV4918" s="106"/>
      <c r="QW4918" s="106"/>
      <c r="QX4918" s="106"/>
      <c r="QY4918" s="106"/>
      <c r="QZ4918" s="106"/>
      <c r="RA4918" s="106"/>
      <c r="RB4918" s="106"/>
      <c r="RC4918" s="106"/>
      <c r="RD4918" s="106"/>
      <c r="RE4918" s="106"/>
      <c r="RF4918" s="106"/>
      <c r="RG4918" s="106"/>
      <c r="RH4918" s="106"/>
      <c r="RI4918" s="106"/>
      <c r="RJ4918" s="106"/>
      <c r="RK4918" s="106"/>
      <c r="RL4918" s="106"/>
    </row>
    <row r="4919" spans="462:480" x14ac:dyDescent="0.3">
      <c r="QT4919" s="106"/>
      <c r="QU4919" s="106"/>
      <c r="QV4919" s="106"/>
      <c r="QW4919" s="106"/>
      <c r="QX4919" s="106"/>
      <c r="QY4919" s="106"/>
      <c r="QZ4919" s="106"/>
      <c r="RA4919" s="106"/>
      <c r="RB4919" s="106"/>
      <c r="RC4919" s="106"/>
      <c r="RD4919" s="106"/>
      <c r="RE4919" s="106"/>
      <c r="RF4919" s="106"/>
      <c r="RG4919" s="106"/>
      <c r="RH4919" s="106"/>
      <c r="RI4919" s="106"/>
      <c r="RJ4919" s="106"/>
      <c r="RK4919" s="106"/>
      <c r="RL4919" s="106"/>
    </row>
    <row r="4920" spans="462:480" x14ac:dyDescent="0.3">
      <c r="QT4920" s="106"/>
      <c r="QU4920" s="106"/>
      <c r="QV4920" s="106"/>
      <c r="QW4920" s="106"/>
      <c r="QX4920" s="106"/>
      <c r="QY4920" s="106"/>
      <c r="QZ4920" s="106"/>
      <c r="RA4920" s="106"/>
      <c r="RB4920" s="106"/>
      <c r="RC4920" s="106"/>
      <c r="RD4920" s="106"/>
      <c r="RE4920" s="106"/>
      <c r="RF4920" s="106"/>
      <c r="RG4920" s="106"/>
      <c r="RH4920" s="106"/>
      <c r="RI4920" s="106"/>
      <c r="RJ4920" s="106"/>
      <c r="RK4920" s="106"/>
      <c r="RL4920" s="106"/>
    </row>
    <row r="4921" spans="462:480" x14ac:dyDescent="0.3">
      <c r="QT4921" s="106"/>
      <c r="QU4921" s="106"/>
      <c r="QV4921" s="106"/>
      <c r="QW4921" s="106"/>
      <c r="QX4921" s="106"/>
      <c r="QY4921" s="106"/>
      <c r="QZ4921" s="106"/>
      <c r="RA4921" s="106"/>
      <c r="RB4921" s="106"/>
      <c r="RC4921" s="106"/>
      <c r="RD4921" s="106"/>
      <c r="RE4921" s="106"/>
      <c r="RF4921" s="106"/>
      <c r="RG4921" s="106"/>
      <c r="RH4921" s="106"/>
      <c r="RI4921" s="106"/>
      <c r="RJ4921" s="106"/>
      <c r="RK4921" s="106"/>
      <c r="RL4921" s="106"/>
    </row>
    <row r="4922" spans="462:480" x14ac:dyDescent="0.3">
      <c r="QT4922" s="106"/>
      <c r="QU4922" s="106"/>
      <c r="QV4922" s="106"/>
      <c r="QW4922" s="106"/>
      <c r="QX4922" s="106"/>
      <c r="QY4922" s="106"/>
      <c r="QZ4922" s="106"/>
      <c r="RA4922" s="106"/>
      <c r="RB4922" s="106"/>
      <c r="RC4922" s="106"/>
      <c r="RD4922" s="106"/>
      <c r="RE4922" s="106"/>
      <c r="RF4922" s="106"/>
      <c r="RG4922" s="106"/>
      <c r="RH4922" s="106"/>
      <c r="RI4922" s="106"/>
      <c r="RJ4922" s="106"/>
      <c r="RK4922" s="106"/>
      <c r="RL4922" s="106"/>
    </row>
    <row r="4923" spans="462:480" x14ac:dyDescent="0.3">
      <c r="QT4923" s="106"/>
      <c r="QU4923" s="106"/>
      <c r="QV4923" s="106"/>
      <c r="QW4923" s="106"/>
      <c r="QX4923" s="106"/>
      <c r="QY4923" s="106"/>
      <c r="QZ4923" s="106"/>
      <c r="RA4923" s="106"/>
      <c r="RB4923" s="106"/>
      <c r="RC4923" s="106"/>
      <c r="RD4923" s="106"/>
      <c r="RE4923" s="106"/>
      <c r="RF4923" s="106"/>
      <c r="RG4923" s="106"/>
      <c r="RH4923" s="106"/>
      <c r="RI4923" s="106"/>
      <c r="RJ4923" s="106"/>
      <c r="RK4923" s="106"/>
      <c r="RL4923" s="106"/>
    </row>
    <row r="4924" spans="462:480" x14ac:dyDescent="0.3">
      <c r="QT4924" s="106"/>
      <c r="QU4924" s="106"/>
      <c r="QV4924" s="106"/>
      <c r="QW4924" s="106"/>
      <c r="QX4924" s="106"/>
      <c r="QY4924" s="106"/>
      <c r="QZ4924" s="106"/>
      <c r="RA4924" s="106"/>
      <c r="RB4924" s="106"/>
      <c r="RC4924" s="106"/>
      <c r="RD4924" s="106"/>
      <c r="RE4924" s="106"/>
      <c r="RF4924" s="106"/>
      <c r="RG4924" s="106"/>
      <c r="RH4924" s="106"/>
      <c r="RI4924" s="106"/>
      <c r="RJ4924" s="106"/>
      <c r="RK4924" s="106"/>
      <c r="RL4924" s="106"/>
    </row>
    <row r="4925" spans="462:480" x14ac:dyDescent="0.3">
      <c r="QT4925" s="106"/>
      <c r="QU4925" s="106"/>
      <c r="QV4925" s="106"/>
      <c r="QW4925" s="106"/>
      <c r="QX4925" s="106"/>
      <c r="QY4925" s="106"/>
      <c r="QZ4925" s="106"/>
      <c r="RA4925" s="106"/>
      <c r="RB4925" s="106"/>
      <c r="RC4925" s="106"/>
      <c r="RD4925" s="106"/>
      <c r="RE4925" s="106"/>
      <c r="RF4925" s="106"/>
      <c r="RG4925" s="106"/>
      <c r="RH4925" s="106"/>
      <c r="RI4925" s="106"/>
      <c r="RJ4925" s="106"/>
      <c r="RK4925" s="106"/>
      <c r="RL4925" s="106"/>
    </row>
    <row r="4926" spans="462:480" x14ac:dyDescent="0.3">
      <c r="QT4926" s="106"/>
      <c r="QU4926" s="106"/>
      <c r="QV4926" s="106"/>
      <c r="QW4926" s="106"/>
      <c r="QX4926" s="106"/>
      <c r="QY4926" s="106"/>
      <c r="QZ4926" s="106"/>
      <c r="RA4926" s="106"/>
      <c r="RB4926" s="106"/>
      <c r="RC4926" s="106"/>
      <c r="RD4926" s="106"/>
      <c r="RE4926" s="106"/>
      <c r="RF4926" s="106"/>
      <c r="RG4926" s="106"/>
      <c r="RH4926" s="106"/>
      <c r="RI4926" s="106"/>
      <c r="RJ4926" s="106"/>
      <c r="RK4926" s="106"/>
      <c r="RL4926" s="106"/>
    </row>
    <row r="4927" spans="462:480" x14ac:dyDescent="0.3">
      <c r="QT4927" s="106"/>
      <c r="QU4927" s="106"/>
      <c r="QV4927" s="106"/>
      <c r="QW4927" s="106"/>
      <c r="QX4927" s="106"/>
      <c r="QY4927" s="106"/>
      <c r="QZ4927" s="106"/>
      <c r="RA4927" s="106"/>
      <c r="RB4927" s="106"/>
      <c r="RC4927" s="106"/>
      <c r="RD4927" s="106"/>
      <c r="RE4927" s="106"/>
      <c r="RF4927" s="106"/>
      <c r="RG4927" s="106"/>
      <c r="RH4927" s="106"/>
      <c r="RI4927" s="106"/>
      <c r="RJ4927" s="106"/>
      <c r="RK4927" s="106"/>
      <c r="RL4927" s="106"/>
    </row>
    <row r="4928" spans="462:480" x14ac:dyDescent="0.3">
      <c r="QT4928" s="106"/>
      <c r="QU4928" s="106"/>
      <c r="QV4928" s="106"/>
      <c r="QW4928" s="106"/>
      <c r="QX4928" s="106"/>
      <c r="QY4928" s="106"/>
      <c r="QZ4928" s="106"/>
      <c r="RA4928" s="106"/>
      <c r="RB4928" s="106"/>
      <c r="RC4928" s="106"/>
      <c r="RD4928" s="106"/>
      <c r="RE4928" s="106"/>
      <c r="RF4928" s="106"/>
      <c r="RG4928" s="106"/>
      <c r="RH4928" s="106"/>
      <c r="RI4928" s="106"/>
      <c r="RJ4928" s="106"/>
      <c r="RK4928" s="106"/>
      <c r="RL4928" s="106"/>
    </row>
    <row r="4929" spans="462:480" x14ac:dyDescent="0.3">
      <c r="QT4929" s="106"/>
      <c r="QU4929" s="106"/>
      <c r="QV4929" s="106"/>
      <c r="QW4929" s="106"/>
      <c r="QX4929" s="106"/>
      <c r="QY4929" s="106"/>
      <c r="QZ4929" s="106"/>
      <c r="RA4929" s="106"/>
      <c r="RB4929" s="106"/>
      <c r="RC4929" s="106"/>
      <c r="RD4929" s="106"/>
      <c r="RE4929" s="106"/>
      <c r="RF4929" s="106"/>
      <c r="RG4929" s="106"/>
      <c r="RH4929" s="106"/>
      <c r="RI4929" s="106"/>
      <c r="RJ4929" s="106"/>
      <c r="RK4929" s="106"/>
      <c r="RL4929" s="106"/>
    </row>
    <row r="4930" spans="462:480" x14ac:dyDescent="0.3">
      <c r="QT4930" s="106"/>
      <c r="QU4930" s="106"/>
      <c r="QV4930" s="106"/>
      <c r="QW4930" s="106"/>
      <c r="QX4930" s="106"/>
      <c r="QY4930" s="106"/>
      <c r="QZ4930" s="106"/>
      <c r="RA4930" s="106"/>
      <c r="RB4930" s="106"/>
      <c r="RC4930" s="106"/>
      <c r="RD4930" s="106"/>
      <c r="RE4930" s="106"/>
      <c r="RF4930" s="106"/>
      <c r="RG4930" s="106"/>
      <c r="RH4930" s="106"/>
      <c r="RI4930" s="106"/>
      <c r="RJ4930" s="106"/>
      <c r="RK4930" s="106"/>
      <c r="RL4930" s="106"/>
    </row>
    <row r="4931" spans="462:480" x14ac:dyDescent="0.3">
      <c r="QT4931" s="106"/>
      <c r="QU4931" s="106"/>
      <c r="QV4931" s="106"/>
      <c r="QW4931" s="106"/>
      <c r="QX4931" s="106"/>
      <c r="QY4931" s="106"/>
      <c r="QZ4931" s="106"/>
      <c r="RA4931" s="106"/>
      <c r="RB4931" s="106"/>
      <c r="RC4931" s="106"/>
      <c r="RD4931" s="106"/>
      <c r="RE4931" s="106"/>
      <c r="RF4931" s="106"/>
      <c r="RG4931" s="106"/>
      <c r="RH4931" s="106"/>
      <c r="RI4931" s="106"/>
      <c r="RJ4931" s="106"/>
      <c r="RK4931" s="106"/>
      <c r="RL4931" s="106"/>
    </row>
    <row r="4932" spans="462:480" x14ac:dyDescent="0.3">
      <c r="QT4932" s="106"/>
      <c r="QU4932" s="106"/>
      <c r="QV4932" s="106"/>
      <c r="QW4932" s="106"/>
      <c r="QX4932" s="106"/>
      <c r="QY4932" s="106"/>
      <c r="QZ4932" s="106"/>
      <c r="RA4932" s="106"/>
      <c r="RB4932" s="106"/>
      <c r="RC4932" s="106"/>
      <c r="RD4932" s="106"/>
      <c r="RE4932" s="106"/>
      <c r="RF4932" s="106"/>
      <c r="RG4932" s="106"/>
      <c r="RH4932" s="106"/>
      <c r="RI4932" s="106"/>
      <c r="RJ4932" s="106"/>
      <c r="RK4932" s="106"/>
      <c r="RL4932" s="106"/>
    </row>
    <row r="4933" spans="462:480" x14ac:dyDescent="0.3">
      <c r="QT4933" s="106"/>
      <c r="QU4933" s="106"/>
      <c r="QV4933" s="106"/>
      <c r="QW4933" s="106"/>
      <c r="QX4933" s="106"/>
      <c r="QY4933" s="106"/>
      <c r="QZ4933" s="106"/>
      <c r="RA4933" s="106"/>
      <c r="RB4933" s="106"/>
      <c r="RC4933" s="106"/>
      <c r="RD4933" s="106"/>
      <c r="RE4933" s="106"/>
      <c r="RF4933" s="106"/>
      <c r="RG4933" s="106"/>
      <c r="RH4933" s="106"/>
      <c r="RI4933" s="106"/>
      <c r="RJ4933" s="106"/>
      <c r="RK4933" s="106"/>
      <c r="RL4933" s="106"/>
    </row>
    <row r="4934" spans="462:480" x14ac:dyDescent="0.3">
      <c r="QT4934" s="106"/>
      <c r="QU4934" s="106"/>
      <c r="QV4934" s="106"/>
      <c r="QW4934" s="106"/>
      <c r="QX4934" s="106"/>
      <c r="QY4934" s="106"/>
      <c r="QZ4934" s="106"/>
      <c r="RA4934" s="106"/>
      <c r="RB4934" s="106"/>
      <c r="RC4934" s="106"/>
      <c r="RD4934" s="106"/>
      <c r="RE4934" s="106"/>
      <c r="RF4934" s="106"/>
      <c r="RG4934" s="106"/>
      <c r="RH4934" s="106"/>
      <c r="RI4934" s="106"/>
      <c r="RJ4934" s="106"/>
      <c r="RK4934" s="106"/>
      <c r="RL4934" s="106"/>
    </row>
    <row r="4935" spans="462:480" x14ac:dyDescent="0.3">
      <c r="QT4935" s="106"/>
      <c r="QU4935" s="106"/>
      <c r="QV4935" s="106"/>
      <c r="QW4935" s="106"/>
      <c r="QX4935" s="106"/>
      <c r="QY4935" s="106"/>
      <c r="QZ4935" s="106"/>
      <c r="RA4935" s="106"/>
      <c r="RB4935" s="106"/>
      <c r="RC4935" s="106"/>
      <c r="RD4935" s="106"/>
      <c r="RE4935" s="106"/>
      <c r="RF4935" s="106"/>
      <c r="RG4935" s="106"/>
      <c r="RH4935" s="106"/>
      <c r="RI4935" s="106"/>
      <c r="RJ4935" s="106"/>
      <c r="RK4935" s="106"/>
      <c r="RL4935" s="106"/>
    </row>
    <row r="4936" spans="462:480" x14ac:dyDescent="0.3">
      <c r="QT4936" s="106"/>
      <c r="QU4936" s="106"/>
      <c r="QV4936" s="106"/>
      <c r="QW4936" s="106"/>
      <c r="QX4936" s="106"/>
      <c r="QY4936" s="106"/>
      <c r="QZ4936" s="106"/>
      <c r="RA4936" s="106"/>
      <c r="RB4936" s="106"/>
      <c r="RC4936" s="106"/>
      <c r="RD4936" s="106"/>
      <c r="RE4936" s="106"/>
      <c r="RF4936" s="106"/>
      <c r="RG4936" s="106"/>
      <c r="RH4936" s="106"/>
      <c r="RI4936" s="106"/>
      <c r="RJ4936" s="106"/>
      <c r="RK4936" s="106"/>
      <c r="RL4936" s="106"/>
    </row>
    <row r="4937" spans="462:480" x14ac:dyDescent="0.3">
      <c r="QT4937" s="106"/>
      <c r="QU4937" s="106"/>
      <c r="QV4937" s="106"/>
      <c r="QW4937" s="106"/>
      <c r="QX4937" s="106"/>
      <c r="QY4937" s="106"/>
      <c r="QZ4937" s="106"/>
      <c r="RA4937" s="106"/>
      <c r="RB4937" s="106"/>
      <c r="RC4937" s="106"/>
      <c r="RD4937" s="106"/>
      <c r="RE4937" s="106"/>
      <c r="RF4937" s="106"/>
      <c r="RG4937" s="106"/>
      <c r="RH4937" s="106"/>
      <c r="RI4937" s="106"/>
      <c r="RJ4937" s="106"/>
      <c r="RK4937" s="106"/>
      <c r="RL4937" s="106"/>
    </row>
    <row r="4938" spans="462:480" x14ac:dyDescent="0.3">
      <c r="QT4938" s="106"/>
      <c r="QU4938" s="106"/>
      <c r="QV4938" s="106"/>
      <c r="QW4938" s="106"/>
      <c r="QX4938" s="106"/>
      <c r="QY4938" s="106"/>
      <c r="QZ4938" s="106"/>
      <c r="RA4938" s="106"/>
      <c r="RB4938" s="106"/>
      <c r="RC4938" s="106"/>
      <c r="RD4938" s="106"/>
      <c r="RE4938" s="106"/>
      <c r="RF4938" s="106"/>
      <c r="RG4938" s="106"/>
      <c r="RH4938" s="106"/>
      <c r="RI4938" s="106"/>
      <c r="RJ4938" s="106"/>
      <c r="RK4938" s="106"/>
      <c r="RL4938" s="106"/>
    </row>
    <row r="4939" spans="462:480" x14ac:dyDescent="0.3">
      <c r="QT4939" s="106"/>
      <c r="QU4939" s="106"/>
      <c r="QV4939" s="106"/>
      <c r="QW4939" s="106"/>
      <c r="QX4939" s="106"/>
      <c r="QY4939" s="106"/>
      <c r="QZ4939" s="106"/>
      <c r="RA4939" s="106"/>
      <c r="RB4939" s="106"/>
      <c r="RC4939" s="106"/>
      <c r="RD4939" s="106"/>
      <c r="RE4939" s="106"/>
      <c r="RF4939" s="106"/>
      <c r="RG4939" s="106"/>
      <c r="RH4939" s="106"/>
      <c r="RI4939" s="106"/>
      <c r="RJ4939" s="106"/>
      <c r="RK4939" s="106"/>
      <c r="RL4939" s="106"/>
    </row>
    <row r="4940" spans="462:480" x14ac:dyDescent="0.3">
      <c r="QT4940" s="106"/>
      <c r="QU4940" s="106"/>
      <c r="QV4940" s="106"/>
      <c r="QW4940" s="106"/>
      <c r="QX4940" s="106"/>
      <c r="QY4940" s="106"/>
      <c r="QZ4940" s="106"/>
      <c r="RA4940" s="106"/>
      <c r="RB4940" s="106"/>
      <c r="RC4940" s="106"/>
      <c r="RD4940" s="106"/>
      <c r="RE4940" s="106"/>
      <c r="RF4940" s="106"/>
      <c r="RG4940" s="106"/>
      <c r="RH4940" s="106"/>
      <c r="RI4940" s="106"/>
      <c r="RJ4940" s="106"/>
      <c r="RK4940" s="106"/>
      <c r="RL4940" s="106"/>
    </row>
    <row r="4941" spans="462:480" x14ac:dyDescent="0.3">
      <c r="QT4941" s="106"/>
      <c r="QU4941" s="106"/>
      <c r="QV4941" s="106"/>
      <c r="QW4941" s="106"/>
      <c r="QX4941" s="106"/>
      <c r="QY4941" s="106"/>
      <c r="QZ4941" s="106"/>
      <c r="RA4941" s="106"/>
      <c r="RB4941" s="106"/>
      <c r="RC4941" s="106"/>
      <c r="RD4941" s="106"/>
      <c r="RE4941" s="106"/>
      <c r="RF4941" s="106"/>
      <c r="RG4941" s="106"/>
      <c r="RH4941" s="106"/>
      <c r="RI4941" s="106"/>
      <c r="RJ4941" s="106"/>
      <c r="RK4941" s="106"/>
      <c r="RL4941" s="106"/>
    </row>
    <row r="4942" spans="462:480" x14ac:dyDescent="0.3">
      <c r="QT4942" s="106"/>
      <c r="QU4942" s="106"/>
      <c r="QV4942" s="106"/>
      <c r="QW4942" s="106"/>
      <c r="QX4942" s="106"/>
      <c r="QY4942" s="106"/>
      <c r="QZ4942" s="106"/>
      <c r="RA4942" s="106"/>
      <c r="RB4942" s="106"/>
      <c r="RC4942" s="106"/>
      <c r="RD4942" s="106"/>
      <c r="RE4942" s="106"/>
      <c r="RF4942" s="106"/>
      <c r="RG4942" s="106"/>
      <c r="RH4942" s="106"/>
      <c r="RI4942" s="106"/>
      <c r="RJ4942" s="106"/>
      <c r="RK4942" s="106"/>
      <c r="RL4942" s="106"/>
    </row>
    <row r="4943" spans="462:480" x14ac:dyDescent="0.3">
      <c r="QT4943" s="106"/>
      <c r="QU4943" s="106"/>
      <c r="QV4943" s="106"/>
      <c r="QW4943" s="106"/>
      <c r="QX4943" s="106"/>
      <c r="QY4943" s="106"/>
      <c r="QZ4943" s="106"/>
      <c r="RA4943" s="106"/>
      <c r="RB4943" s="106"/>
      <c r="RC4943" s="106"/>
      <c r="RD4943" s="106"/>
      <c r="RE4943" s="106"/>
      <c r="RF4943" s="106"/>
      <c r="RG4943" s="106"/>
      <c r="RH4943" s="106"/>
      <c r="RI4943" s="106"/>
      <c r="RJ4943" s="106"/>
      <c r="RK4943" s="106"/>
      <c r="RL4943" s="106"/>
    </row>
    <row r="4944" spans="462:480" x14ac:dyDescent="0.3">
      <c r="QT4944" s="106"/>
      <c r="QU4944" s="106"/>
      <c r="QV4944" s="106"/>
      <c r="QW4944" s="106"/>
      <c r="QX4944" s="106"/>
      <c r="QY4944" s="106"/>
      <c r="QZ4944" s="106"/>
      <c r="RA4944" s="106"/>
      <c r="RB4944" s="106"/>
      <c r="RC4944" s="106"/>
      <c r="RD4944" s="106"/>
      <c r="RE4944" s="106"/>
      <c r="RF4944" s="106"/>
      <c r="RG4944" s="106"/>
      <c r="RH4944" s="106"/>
      <c r="RI4944" s="106"/>
      <c r="RJ4944" s="106"/>
      <c r="RK4944" s="106"/>
      <c r="RL4944" s="106"/>
    </row>
    <row r="4945" spans="462:480" x14ac:dyDescent="0.3">
      <c r="QT4945" s="106"/>
      <c r="QU4945" s="106"/>
      <c r="QV4945" s="106"/>
      <c r="QW4945" s="106"/>
      <c r="QX4945" s="106"/>
      <c r="QY4945" s="106"/>
      <c r="QZ4945" s="106"/>
      <c r="RA4945" s="106"/>
      <c r="RB4945" s="106"/>
      <c r="RC4945" s="106"/>
      <c r="RD4945" s="106"/>
      <c r="RE4945" s="106"/>
      <c r="RF4945" s="106"/>
      <c r="RG4945" s="106"/>
      <c r="RH4945" s="106"/>
      <c r="RI4945" s="106"/>
      <c r="RJ4945" s="106"/>
      <c r="RK4945" s="106"/>
      <c r="RL4945" s="106"/>
    </row>
    <row r="4946" spans="462:480" x14ac:dyDescent="0.3">
      <c r="QT4946" s="106"/>
      <c r="QU4946" s="106"/>
      <c r="QV4946" s="106"/>
      <c r="QW4946" s="106"/>
      <c r="QX4946" s="106"/>
      <c r="QY4946" s="106"/>
      <c r="QZ4946" s="106"/>
      <c r="RA4946" s="106"/>
      <c r="RB4946" s="106"/>
      <c r="RC4946" s="106"/>
      <c r="RD4946" s="106"/>
      <c r="RE4946" s="106"/>
      <c r="RF4946" s="106"/>
      <c r="RG4946" s="106"/>
      <c r="RH4946" s="106"/>
      <c r="RI4946" s="106"/>
      <c r="RJ4946" s="106"/>
      <c r="RK4946" s="106"/>
      <c r="RL4946" s="106"/>
    </row>
    <row r="4947" spans="462:480" x14ac:dyDescent="0.3">
      <c r="QT4947" s="106"/>
      <c r="QU4947" s="106"/>
      <c r="QV4947" s="106"/>
      <c r="QW4947" s="106"/>
      <c r="QX4947" s="106"/>
      <c r="QY4947" s="106"/>
      <c r="QZ4947" s="106"/>
      <c r="RA4947" s="106"/>
      <c r="RB4947" s="106"/>
      <c r="RC4947" s="106"/>
      <c r="RD4947" s="106"/>
      <c r="RE4947" s="106"/>
      <c r="RF4947" s="106"/>
      <c r="RG4947" s="106"/>
      <c r="RH4947" s="106"/>
      <c r="RI4947" s="106"/>
      <c r="RJ4947" s="106"/>
      <c r="RK4947" s="106"/>
      <c r="RL4947" s="106"/>
    </row>
    <row r="4948" spans="462:480" x14ac:dyDescent="0.3">
      <c r="QT4948" s="106"/>
      <c r="QU4948" s="106"/>
      <c r="QV4948" s="106"/>
      <c r="QW4948" s="106"/>
      <c r="QX4948" s="106"/>
      <c r="QY4948" s="106"/>
      <c r="QZ4948" s="106"/>
      <c r="RA4948" s="106"/>
      <c r="RB4948" s="106"/>
      <c r="RC4948" s="106"/>
      <c r="RD4948" s="106"/>
      <c r="RE4948" s="106"/>
      <c r="RF4948" s="106"/>
      <c r="RG4948" s="106"/>
      <c r="RH4948" s="106"/>
      <c r="RI4948" s="106"/>
      <c r="RJ4948" s="106"/>
      <c r="RK4948" s="106"/>
      <c r="RL4948" s="106"/>
    </row>
    <row r="4949" spans="462:480" x14ac:dyDescent="0.3">
      <c r="QT4949" s="106"/>
      <c r="QU4949" s="106"/>
      <c r="QV4949" s="106"/>
      <c r="QW4949" s="106"/>
      <c r="QX4949" s="106"/>
      <c r="QY4949" s="106"/>
      <c r="QZ4949" s="106"/>
      <c r="RA4949" s="106"/>
      <c r="RB4949" s="106"/>
      <c r="RC4949" s="106"/>
      <c r="RD4949" s="106"/>
      <c r="RE4949" s="106"/>
      <c r="RF4949" s="106"/>
      <c r="RG4949" s="106"/>
      <c r="RH4949" s="106"/>
      <c r="RI4949" s="106"/>
      <c r="RJ4949" s="106"/>
      <c r="RK4949" s="106"/>
      <c r="RL4949" s="106"/>
    </row>
    <row r="4950" spans="462:480" x14ac:dyDescent="0.3">
      <c r="QT4950" s="106"/>
      <c r="QU4950" s="106"/>
      <c r="QV4950" s="106"/>
      <c r="QW4950" s="106"/>
      <c r="QX4950" s="106"/>
      <c r="QY4950" s="106"/>
      <c r="QZ4950" s="106"/>
      <c r="RA4950" s="106"/>
      <c r="RB4950" s="106"/>
      <c r="RC4950" s="106"/>
      <c r="RD4950" s="106"/>
      <c r="RE4950" s="106"/>
      <c r="RF4950" s="106"/>
      <c r="RG4950" s="106"/>
      <c r="RH4950" s="106"/>
      <c r="RI4950" s="106"/>
      <c r="RJ4950" s="106"/>
      <c r="RK4950" s="106"/>
      <c r="RL4950" s="106"/>
    </row>
    <row r="4951" spans="462:480" x14ac:dyDescent="0.3">
      <c r="QT4951" s="106"/>
      <c r="QU4951" s="106"/>
      <c r="QV4951" s="106"/>
      <c r="QW4951" s="106"/>
      <c r="QX4951" s="106"/>
      <c r="QY4951" s="106"/>
      <c r="QZ4951" s="106"/>
      <c r="RA4951" s="106"/>
      <c r="RB4951" s="106"/>
      <c r="RC4951" s="106"/>
      <c r="RD4951" s="106"/>
      <c r="RE4951" s="106"/>
      <c r="RF4951" s="106"/>
      <c r="RG4951" s="106"/>
      <c r="RH4951" s="106"/>
      <c r="RI4951" s="106"/>
      <c r="RJ4951" s="106"/>
      <c r="RK4951" s="106"/>
      <c r="RL4951" s="106"/>
    </row>
    <row r="4952" spans="462:480" x14ac:dyDescent="0.3">
      <c r="QT4952" s="106"/>
      <c r="QU4952" s="106"/>
      <c r="QV4952" s="106"/>
      <c r="QW4952" s="106"/>
      <c r="QX4952" s="106"/>
      <c r="QY4952" s="106"/>
      <c r="QZ4952" s="106"/>
      <c r="RA4952" s="106"/>
      <c r="RB4952" s="106"/>
      <c r="RC4952" s="106"/>
      <c r="RD4952" s="106"/>
      <c r="RE4952" s="106"/>
      <c r="RF4952" s="106"/>
      <c r="RG4952" s="106"/>
      <c r="RH4952" s="106"/>
      <c r="RI4952" s="106"/>
      <c r="RJ4952" s="106"/>
      <c r="RK4952" s="106"/>
      <c r="RL4952" s="106"/>
    </row>
    <row r="4953" spans="462:480" x14ac:dyDescent="0.3">
      <c r="QT4953" s="106"/>
      <c r="QU4953" s="106"/>
      <c r="QV4953" s="106"/>
      <c r="QW4953" s="106"/>
      <c r="QX4953" s="106"/>
      <c r="QY4953" s="106"/>
      <c r="QZ4953" s="106"/>
      <c r="RA4953" s="106"/>
      <c r="RB4953" s="106"/>
      <c r="RC4953" s="106"/>
      <c r="RD4953" s="106"/>
      <c r="RE4953" s="106"/>
      <c r="RF4953" s="106"/>
      <c r="RG4953" s="106"/>
      <c r="RH4953" s="106"/>
      <c r="RI4953" s="106"/>
      <c r="RJ4953" s="106"/>
      <c r="RK4953" s="106"/>
      <c r="RL4953" s="106"/>
    </row>
    <row r="4954" spans="462:480" x14ac:dyDescent="0.3">
      <c r="QT4954" s="106"/>
      <c r="QU4954" s="106"/>
      <c r="QV4954" s="106"/>
      <c r="QW4954" s="106"/>
      <c r="QX4954" s="106"/>
      <c r="QY4954" s="106"/>
      <c r="QZ4954" s="106"/>
      <c r="RA4954" s="106"/>
      <c r="RB4954" s="106"/>
      <c r="RC4954" s="106"/>
      <c r="RD4954" s="106"/>
      <c r="RE4954" s="106"/>
      <c r="RF4954" s="106"/>
      <c r="RG4954" s="106"/>
      <c r="RH4954" s="106"/>
      <c r="RI4954" s="106"/>
      <c r="RJ4954" s="106"/>
      <c r="RK4954" s="106"/>
      <c r="RL4954" s="106"/>
    </row>
    <row r="4955" spans="462:480" x14ac:dyDescent="0.3">
      <c r="QT4955" s="106"/>
      <c r="QU4955" s="106"/>
      <c r="QV4955" s="106"/>
      <c r="QW4955" s="106"/>
      <c r="QX4955" s="106"/>
      <c r="QY4955" s="106"/>
      <c r="QZ4955" s="106"/>
      <c r="RA4955" s="106"/>
      <c r="RB4955" s="106"/>
      <c r="RC4955" s="106"/>
      <c r="RD4955" s="106"/>
      <c r="RE4955" s="106"/>
      <c r="RF4955" s="106"/>
      <c r="RG4955" s="106"/>
      <c r="RH4955" s="106"/>
      <c r="RI4955" s="106"/>
      <c r="RJ4955" s="106"/>
      <c r="RK4955" s="106"/>
      <c r="RL4955" s="106"/>
    </row>
    <row r="4956" spans="462:480" x14ac:dyDescent="0.3">
      <c r="QT4956" s="106"/>
      <c r="QU4956" s="106"/>
      <c r="QV4956" s="106"/>
      <c r="QW4956" s="106"/>
      <c r="QX4956" s="106"/>
      <c r="QY4956" s="106"/>
      <c r="QZ4956" s="106"/>
      <c r="RA4956" s="106"/>
      <c r="RB4956" s="106"/>
      <c r="RC4956" s="106"/>
      <c r="RD4956" s="106"/>
      <c r="RE4956" s="106"/>
      <c r="RF4956" s="106"/>
      <c r="RG4956" s="106"/>
      <c r="RH4956" s="106"/>
      <c r="RI4956" s="106"/>
      <c r="RJ4956" s="106"/>
      <c r="RK4956" s="106"/>
      <c r="RL4956" s="106"/>
    </row>
    <row r="4957" spans="462:480" x14ac:dyDescent="0.3">
      <c r="QT4957" s="106"/>
      <c r="QU4957" s="106"/>
      <c r="QV4957" s="106"/>
      <c r="QW4957" s="106"/>
      <c r="QX4957" s="106"/>
      <c r="QY4957" s="106"/>
      <c r="QZ4957" s="106"/>
      <c r="RA4957" s="106"/>
      <c r="RB4957" s="106"/>
      <c r="RC4957" s="106"/>
      <c r="RD4957" s="106"/>
      <c r="RE4957" s="106"/>
      <c r="RF4957" s="106"/>
      <c r="RG4957" s="106"/>
      <c r="RH4957" s="106"/>
      <c r="RI4957" s="106"/>
      <c r="RJ4957" s="106"/>
      <c r="RK4957" s="106"/>
      <c r="RL4957" s="106"/>
    </row>
    <row r="4958" spans="462:480" x14ac:dyDescent="0.3">
      <c r="QT4958" s="106"/>
      <c r="QU4958" s="106"/>
      <c r="QV4958" s="106"/>
      <c r="QW4958" s="106"/>
      <c r="QX4958" s="106"/>
      <c r="QY4958" s="106"/>
      <c r="QZ4958" s="106"/>
      <c r="RA4958" s="106"/>
      <c r="RB4958" s="106"/>
      <c r="RC4958" s="106"/>
      <c r="RD4958" s="106"/>
      <c r="RE4958" s="106"/>
      <c r="RF4958" s="106"/>
      <c r="RG4958" s="106"/>
      <c r="RH4958" s="106"/>
      <c r="RI4958" s="106"/>
      <c r="RJ4958" s="106"/>
      <c r="RK4958" s="106"/>
      <c r="RL4958" s="106"/>
    </row>
    <row r="4959" spans="462:480" x14ac:dyDescent="0.3">
      <c r="QT4959" s="106"/>
      <c r="QU4959" s="106"/>
      <c r="QV4959" s="106"/>
      <c r="QW4959" s="106"/>
      <c r="QX4959" s="106"/>
      <c r="QY4959" s="106"/>
      <c r="QZ4959" s="106"/>
      <c r="RA4959" s="106"/>
      <c r="RB4959" s="106"/>
      <c r="RC4959" s="106"/>
      <c r="RD4959" s="106"/>
      <c r="RE4959" s="106"/>
      <c r="RF4959" s="106"/>
      <c r="RG4959" s="106"/>
      <c r="RH4959" s="106"/>
      <c r="RI4959" s="106"/>
      <c r="RJ4959" s="106"/>
      <c r="RK4959" s="106"/>
      <c r="RL4959" s="106"/>
    </row>
    <row r="4960" spans="462:480" x14ac:dyDescent="0.3">
      <c r="QT4960" s="106"/>
      <c r="QU4960" s="106"/>
      <c r="QV4960" s="106"/>
      <c r="QW4960" s="106"/>
      <c r="QX4960" s="106"/>
      <c r="QY4960" s="106"/>
      <c r="QZ4960" s="106"/>
      <c r="RA4960" s="106"/>
      <c r="RB4960" s="106"/>
      <c r="RC4960" s="106"/>
      <c r="RD4960" s="106"/>
      <c r="RE4960" s="106"/>
      <c r="RF4960" s="106"/>
      <c r="RG4960" s="106"/>
      <c r="RH4960" s="106"/>
      <c r="RI4960" s="106"/>
      <c r="RJ4960" s="106"/>
      <c r="RK4960" s="106"/>
      <c r="RL4960" s="106"/>
    </row>
    <row r="4961" spans="462:480" x14ac:dyDescent="0.3">
      <c r="QT4961" s="106"/>
      <c r="QU4961" s="106"/>
      <c r="QV4961" s="106"/>
      <c r="QW4961" s="106"/>
      <c r="QX4961" s="106"/>
      <c r="QY4961" s="106"/>
      <c r="QZ4961" s="106"/>
      <c r="RA4961" s="106"/>
      <c r="RB4961" s="106"/>
      <c r="RC4961" s="106"/>
      <c r="RD4961" s="106"/>
      <c r="RE4961" s="106"/>
      <c r="RF4961" s="106"/>
      <c r="RG4961" s="106"/>
      <c r="RH4961" s="106"/>
      <c r="RI4961" s="106"/>
      <c r="RJ4961" s="106"/>
      <c r="RK4961" s="106"/>
      <c r="RL4961" s="106"/>
    </row>
    <row r="4962" spans="462:480" x14ac:dyDescent="0.3">
      <c r="QT4962" s="106"/>
      <c r="QU4962" s="106"/>
      <c r="QV4962" s="106"/>
      <c r="QW4962" s="106"/>
      <c r="QX4962" s="106"/>
      <c r="QY4962" s="106"/>
      <c r="QZ4962" s="106"/>
      <c r="RA4962" s="106"/>
      <c r="RB4962" s="106"/>
      <c r="RC4962" s="106"/>
      <c r="RD4962" s="106"/>
      <c r="RE4962" s="106"/>
      <c r="RF4962" s="106"/>
      <c r="RG4962" s="106"/>
      <c r="RH4962" s="106"/>
      <c r="RI4962" s="106"/>
      <c r="RJ4962" s="106"/>
      <c r="RK4962" s="106"/>
      <c r="RL4962" s="106"/>
    </row>
    <row r="4963" spans="462:480" x14ac:dyDescent="0.3">
      <c r="QT4963" s="106"/>
      <c r="QU4963" s="106"/>
      <c r="QV4963" s="106"/>
      <c r="QW4963" s="106"/>
      <c r="QX4963" s="106"/>
      <c r="QY4963" s="106"/>
      <c r="QZ4963" s="106"/>
      <c r="RA4963" s="106"/>
      <c r="RB4963" s="106"/>
      <c r="RC4963" s="106"/>
      <c r="RD4963" s="106"/>
      <c r="RE4963" s="106"/>
      <c r="RF4963" s="106"/>
      <c r="RG4963" s="106"/>
      <c r="RH4963" s="106"/>
      <c r="RI4963" s="106"/>
      <c r="RJ4963" s="106"/>
      <c r="RK4963" s="106"/>
      <c r="RL4963" s="106"/>
    </row>
    <row r="4964" spans="462:480" x14ac:dyDescent="0.3">
      <c r="QT4964" s="106"/>
      <c r="QU4964" s="106"/>
      <c r="QV4964" s="106"/>
      <c r="QW4964" s="106"/>
      <c r="QX4964" s="106"/>
      <c r="QY4964" s="106"/>
      <c r="QZ4964" s="106"/>
      <c r="RA4964" s="106"/>
      <c r="RB4964" s="106"/>
      <c r="RC4964" s="106"/>
      <c r="RD4964" s="106"/>
      <c r="RE4964" s="106"/>
      <c r="RF4964" s="106"/>
      <c r="RG4964" s="106"/>
      <c r="RH4964" s="106"/>
      <c r="RI4964" s="106"/>
      <c r="RJ4964" s="106"/>
      <c r="RK4964" s="106"/>
      <c r="RL4964" s="106"/>
    </row>
    <row r="4965" spans="462:480" x14ac:dyDescent="0.3">
      <c r="QT4965" s="106"/>
      <c r="QU4965" s="106"/>
      <c r="QV4965" s="106"/>
      <c r="QW4965" s="106"/>
      <c r="QX4965" s="106"/>
      <c r="QY4965" s="106"/>
      <c r="QZ4965" s="106"/>
      <c r="RA4965" s="106"/>
      <c r="RB4965" s="106"/>
      <c r="RC4965" s="106"/>
      <c r="RD4965" s="106"/>
      <c r="RE4965" s="106"/>
      <c r="RF4965" s="106"/>
      <c r="RG4965" s="106"/>
      <c r="RH4965" s="106"/>
      <c r="RI4965" s="106"/>
      <c r="RJ4965" s="106"/>
      <c r="RK4965" s="106"/>
      <c r="RL4965" s="106"/>
    </row>
    <row r="4966" spans="462:480" x14ac:dyDescent="0.3">
      <c r="QT4966" s="106"/>
      <c r="QU4966" s="106"/>
      <c r="QV4966" s="106"/>
      <c r="QW4966" s="106"/>
      <c r="QX4966" s="106"/>
      <c r="QY4966" s="106"/>
      <c r="QZ4966" s="106"/>
      <c r="RA4966" s="106"/>
      <c r="RB4966" s="106"/>
      <c r="RC4966" s="106"/>
      <c r="RD4966" s="106"/>
      <c r="RE4966" s="106"/>
      <c r="RF4966" s="106"/>
      <c r="RG4966" s="106"/>
      <c r="RH4966" s="106"/>
      <c r="RI4966" s="106"/>
      <c r="RJ4966" s="106"/>
      <c r="RK4966" s="106"/>
      <c r="RL4966" s="106"/>
    </row>
    <row r="4967" spans="462:480" x14ac:dyDescent="0.3">
      <c r="QT4967" s="106"/>
      <c r="QU4967" s="106"/>
      <c r="QV4967" s="106"/>
      <c r="QW4967" s="106"/>
      <c r="QX4967" s="106"/>
      <c r="QY4967" s="106"/>
      <c r="QZ4967" s="106"/>
      <c r="RA4967" s="106"/>
      <c r="RB4967" s="106"/>
      <c r="RC4967" s="106"/>
      <c r="RD4967" s="106"/>
      <c r="RE4967" s="106"/>
      <c r="RF4967" s="106"/>
      <c r="RG4967" s="106"/>
      <c r="RH4967" s="106"/>
      <c r="RI4967" s="106"/>
      <c r="RJ4967" s="106"/>
      <c r="RK4967" s="106"/>
      <c r="RL4967" s="106"/>
    </row>
    <row r="4968" spans="462:480" x14ac:dyDescent="0.3">
      <c r="QT4968" s="106"/>
      <c r="QU4968" s="106"/>
      <c r="QV4968" s="106"/>
      <c r="QW4968" s="106"/>
      <c r="QX4968" s="106"/>
      <c r="QY4968" s="106"/>
      <c r="QZ4968" s="106"/>
      <c r="RA4968" s="106"/>
      <c r="RB4968" s="106"/>
      <c r="RC4968" s="106"/>
      <c r="RD4968" s="106"/>
      <c r="RE4968" s="106"/>
      <c r="RF4968" s="106"/>
      <c r="RG4968" s="106"/>
      <c r="RH4968" s="106"/>
      <c r="RI4968" s="106"/>
      <c r="RJ4968" s="106"/>
      <c r="RK4968" s="106"/>
      <c r="RL4968" s="106"/>
    </row>
    <row r="4969" spans="462:480" x14ac:dyDescent="0.3">
      <c r="QT4969" s="106"/>
      <c r="QU4969" s="106"/>
      <c r="QV4969" s="106"/>
      <c r="QW4969" s="106"/>
      <c r="QX4969" s="106"/>
      <c r="QY4969" s="106"/>
      <c r="QZ4969" s="106"/>
      <c r="RA4969" s="106"/>
      <c r="RB4969" s="106"/>
      <c r="RC4969" s="106"/>
      <c r="RD4969" s="106"/>
      <c r="RE4969" s="106"/>
      <c r="RF4969" s="106"/>
      <c r="RG4969" s="106"/>
      <c r="RH4969" s="106"/>
      <c r="RI4969" s="106"/>
      <c r="RJ4969" s="106"/>
      <c r="RK4969" s="106"/>
      <c r="RL4969" s="106"/>
    </row>
    <row r="4970" spans="462:480" x14ac:dyDescent="0.3">
      <c r="QT4970" s="106"/>
      <c r="QU4970" s="106"/>
      <c r="QV4970" s="106"/>
      <c r="QW4970" s="106"/>
      <c r="QX4970" s="106"/>
      <c r="QY4970" s="106"/>
      <c r="QZ4970" s="106"/>
      <c r="RA4970" s="106"/>
      <c r="RB4970" s="106"/>
      <c r="RC4970" s="106"/>
      <c r="RD4970" s="106"/>
      <c r="RE4970" s="106"/>
      <c r="RF4970" s="106"/>
      <c r="RG4970" s="106"/>
      <c r="RH4970" s="106"/>
      <c r="RI4970" s="106"/>
      <c r="RJ4970" s="106"/>
      <c r="RK4970" s="106"/>
      <c r="RL4970" s="106"/>
    </row>
    <row r="4971" spans="462:480" x14ac:dyDescent="0.3">
      <c r="QT4971" s="106"/>
      <c r="QU4971" s="106"/>
      <c r="QV4971" s="106"/>
      <c r="QW4971" s="106"/>
      <c r="QX4971" s="106"/>
      <c r="QY4971" s="106"/>
      <c r="QZ4971" s="106"/>
      <c r="RA4971" s="106"/>
      <c r="RB4971" s="106"/>
      <c r="RC4971" s="106"/>
      <c r="RD4971" s="106"/>
      <c r="RE4971" s="106"/>
      <c r="RF4971" s="106"/>
      <c r="RG4971" s="106"/>
      <c r="RH4971" s="106"/>
      <c r="RI4971" s="106"/>
      <c r="RJ4971" s="106"/>
      <c r="RK4971" s="106"/>
      <c r="RL4971" s="106"/>
    </row>
    <row r="4972" spans="462:480" x14ac:dyDescent="0.3">
      <c r="QT4972" s="106"/>
      <c r="QU4972" s="106"/>
      <c r="QV4972" s="106"/>
      <c r="QW4972" s="106"/>
      <c r="QX4972" s="106"/>
      <c r="QY4972" s="106"/>
      <c r="QZ4972" s="106"/>
      <c r="RA4972" s="106"/>
      <c r="RB4972" s="106"/>
      <c r="RC4972" s="106"/>
      <c r="RD4972" s="106"/>
      <c r="RE4972" s="106"/>
      <c r="RF4972" s="106"/>
      <c r="RG4972" s="106"/>
      <c r="RH4972" s="106"/>
      <c r="RI4972" s="106"/>
      <c r="RJ4972" s="106"/>
      <c r="RK4972" s="106"/>
      <c r="RL4972" s="106"/>
    </row>
    <row r="4973" spans="462:480" x14ac:dyDescent="0.3">
      <c r="QT4973" s="106"/>
      <c r="QU4973" s="106"/>
      <c r="QV4973" s="106"/>
      <c r="QW4973" s="106"/>
      <c r="QX4973" s="106"/>
      <c r="QY4973" s="106"/>
      <c r="QZ4973" s="106"/>
      <c r="RA4973" s="106"/>
      <c r="RB4973" s="106"/>
      <c r="RC4973" s="106"/>
      <c r="RD4973" s="106"/>
      <c r="RE4973" s="106"/>
      <c r="RF4973" s="106"/>
      <c r="RG4973" s="106"/>
      <c r="RH4973" s="106"/>
      <c r="RI4973" s="106"/>
      <c r="RJ4973" s="106"/>
      <c r="RK4973" s="106"/>
      <c r="RL4973" s="106"/>
    </row>
    <row r="4974" spans="462:480" x14ac:dyDescent="0.3">
      <c r="QT4974" s="106"/>
      <c r="QU4974" s="106"/>
      <c r="QV4974" s="106"/>
      <c r="QW4974" s="106"/>
      <c r="QX4974" s="106"/>
      <c r="QY4974" s="106"/>
      <c r="QZ4974" s="106"/>
      <c r="RA4974" s="106"/>
      <c r="RB4974" s="106"/>
      <c r="RC4974" s="106"/>
      <c r="RD4974" s="106"/>
      <c r="RE4974" s="106"/>
      <c r="RF4974" s="106"/>
      <c r="RG4974" s="106"/>
      <c r="RH4974" s="106"/>
      <c r="RI4974" s="106"/>
      <c r="RJ4974" s="106"/>
      <c r="RK4974" s="106"/>
      <c r="RL4974" s="106"/>
    </row>
    <row r="4975" spans="462:480" x14ac:dyDescent="0.3">
      <c r="QT4975" s="106"/>
      <c r="QU4975" s="106"/>
      <c r="QV4975" s="106"/>
      <c r="QW4975" s="106"/>
      <c r="QX4975" s="106"/>
      <c r="QY4975" s="106"/>
      <c r="QZ4975" s="106"/>
      <c r="RA4975" s="106"/>
      <c r="RB4975" s="106"/>
      <c r="RC4975" s="106"/>
      <c r="RD4975" s="106"/>
      <c r="RE4975" s="106"/>
      <c r="RF4975" s="106"/>
      <c r="RG4975" s="106"/>
      <c r="RH4975" s="106"/>
      <c r="RI4975" s="106"/>
      <c r="RJ4975" s="106"/>
      <c r="RK4975" s="106"/>
      <c r="RL4975" s="106"/>
    </row>
    <row r="4976" spans="462:480" x14ac:dyDescent="0.3">
      <c r="QT4976" s="106"/>
      <c r="QU4976" s="106"/>
      <c r="QV4976" s="106"/>
      <c r="QW4976" s="106"/>
      <c r="QX4976" s="106"/>
      <c r="QY4976" s="106"/>
      <c r="QZ4976" s="106"/>
      <c r="RA4976" s="106"/>
      <c r="RB4976" s="106"/>
      <c r="RC4976" s="106"/>
      <c r="RD4976" s="106"/>
      <c r="RE4976" s="106"/>
      <c r="RF4976" s="106"/>
      <c r="RG4976" s="106"/>
      <c r="RH4976" s="106"/>
      <c r="RI4976" s="106"/>
      <c r="RJ4976" s="106"/>
      <c r="RK4976" s="106"/>
      <c r="RL4976" s="106"/>
    </row>
    <row r="4977" spans="462:480" x14ac:dyDescent="0.3">
      <c r="QT4977" s="106"/>
      <c r="QU4977" s="106"/>
      <c r="QV4977" s="106"/>
      <c r="QW4977" s="106"/>
      <c r="QX4977" s="106"/>
      <c r="QY4977" s="106"/>
      <c r="QZ4977" s="106"/>
      <c r="RA4977" s="106"/>
      <c r="RB4977" s="106"/>
      <c r="RC4977" s="106"/>
      <c r="RD4977" s="106"/>
      <c r="RE4977" s="106"/>
      <c r="RF4977" s="106"/>
      <c r="RG4977" s="106"/>
      <c r="RH4977" s="106"/>
      <c r="RI4977" s="106"/>
      <c r="RJ4977" s="106"/>
      <c r="RK4977" s="106"/>
      <c r="RL4977" s="106"/>
    </row>
    <row r="4978" spans="462:480" x14ac:dyDescent="0.3">
      <c r="QT4978" s="106"/>
      <c r="QU4978" s="106"/>
      <c r="QV4978" s="106"/>
      <c r="QW4978" s="106"/>
      <c r="QX4978" s="106"/>
      <c r="QY4978" s="106"/>
      <c r="QZ4978" s="106"/>
      <c r="RA4978" s="106"/>
      <c r="RB4978" s="106"/>
      <c r="RC4978" s="106"/>
      <c r="RD4978" s="106"/>
      <c r="RE4978" s="106"/>
      <c r="RF4978" s="106"/>
      <c r="RG4978" s="106"/>
      <c r="RH4978" s="106"/>
      <c r="RI4978" s="106"/>
      <c r="RJ4978" s="106"/>
      <c r="RK4978" s="106"/>
      <c r="RL4978" s="106"/>
    </row>
    <row r="4979" spans="462:480" x14ac:dyDescent="0.3">
      <c r="QT4979" s="106"/>
      <c r="QU4979" s="106"/>
      <c r="QV4979" s="106"/>
      <c r="QW4979" s="106"/>
      <c r="QX4979" s="106"/>
      <c r="QY4979" s="106"/>
      <c r="QZ4979" s="106"/>
      <c r="RA4979" s="106"/>
      <c r="RB4979" s="106"/>
      <c r="RC4979" s="106"/>
      <c r="RD4979" s="106"/>
      <c r="RE4979" s="106"/>
      <c r="RF4979" s="106"/>
      <c r="RG4979" s="106"/>
      <c r="RH4979" s="106"/>
      <c r="RI4979" s="106"/>
      <c r="RJ4979" s="106"/>
      <c r="RK4979" s="106"/>
      <c r="RL4979" s="106"/>
    </row>
    <row r="4980" spans="462:480" x14ac:dyDescent="0.3">
      <c r="QT4980" s="106"/>
      <c r="QU4980" s="106"/>
      <c r="QV4980" s="106"/>
      <c r="QW4980" s="106"/>
      <c r="QX4980" s="106"/>
      <c r="QY4980" s="106"/>
      <c r="QZ4980" s="106"/>
      <c r="RA4980" s="106"/>
      <c r="RB4980" s="106"/>
      <c r="RC4980" s="106"/>
      <c r="RD4980" s="106"/>
      <c r="RE4980" s="106"/>
      <c r="RF4980" s="106"/>
      <c r="RG4980" s="106"/>
      <c r="RH4980" s="106"/>
      <c r="RI4980" s="106"/>
      <c r="RJ4980" s="106"/>
      <c r="RK4980" s="106"/>
      <c r="RL4980" s="106"/>
    </row>
    <row r="4981" spans="462:480" x14ac:dyDescent="0.3">
      <c r="QT4981" s="106"/>
      <c r="QU4981" s="106"/>
      <c r="QV4981" s="106"/>
      <c r="QW4981" s="106"/>
      <c r="QX4981" s="106"/>
      <c r="QY4981" s="106"/>
      <c r="QZ4981" s="106"/>
      <c r="RA4981" s="106"/>
      <c r="RB4981" s="106"/>
      <c r="RC4981" s="106"/>
      <c r="RD4981" s="106"/>
      <c r="RE4981" s="106"/>
      <c r="RF4981" s="106"/>
      <c r="RG4981" s="106"/>
      <c r="RH4981" s="106"/>
      <c r="RI4981" s="106"/>
      <c r="RJ4981" s="106"/>
      <c r="RK4981" s="106"/>
      <c r="RL4981" s="106"/>
    </row>
    <row r="4982" spans="462:480" x14ac:dyDescent="0.3">
      <c r="QT4982" s="106"/>
      <c r="QU4982" s="106"/>
      <c r="QV4982" s="106"/>
      <c r="QW4982" s="106"/>
      <c r="QX4982" s="106"/>
      <c r="QY4982" s="106"/>
      <c r="QZ4982" s="106"/>
      <c r="RA4982" s="106"/>
      <c r="RB4982" s="106"/>
      <c r="RC4982" s="106"/>
      <c r="RD4982" s="106"/>
      <c r="RE4982" s="106"/>
      <c r="RF4982" s="106"/>
      <c r="RG4982" s="106"/>
      <c r="RH4982" s="106"/>
      <c r="RI4982" s="106"/>
      <c r="RJ4982" s="106"/>
      <c r="RK4982" s="106"/>
      <c r="RL4982" s="106"/>
    </row>
    <row r="4983" spans="462:480" x14ac:dyDescent="0.3">
      <c r="QT4983" s="106"/>
      <c r="QU4983" s="106"/>
      <c r="QV4983" s="106"/>
      <c r="QW4983" s="106"/>
      <c r="QX4983" s="106"/>
      <c r="QY4983" s="106"/>
      <c r="QZ4983" s="106"/>
      <c r="RA4983" s="106"/>
      <c r="RB4983" s="106"/>
      <c r="RC4983" s="106"/>
      <c r="RD4983" s="106"/>
      <c r="RE4983" s="106"/>
      <c r="RF4983" s="106"/>
      <c r="RG4983" s="106"/>
      <c r="RH4983" s="106"/>
      <c r="RI4983" s="106"/>
      <c r="RJ4983" s="106"/>
      <c r="RK4983" s="106"/>
      <c r="RL4983" s="106"/>
    </row>
    <row r="4984" spans="462:480" x14ac:dyDescent="0.3">
      <c r="QT4984" s="106"/>
      <c r="QU4984" s="106"/>
      <c r="QV4984" s="106"/>
      <c r="QW4984" s="106"/>
      <c r="QX4984" s="106"/>
      <c r="QY4984" s="106"/>
      <c r="QZ4984" s="106"/>
      <c r="RA4984" s="106"/>
      <c r="RB4984" s="106"/>
      <c r="RC4984" s="106"/>
      <c r="RD4984" s="106"/>
      <c r="RE4984" s="106"/>
      <c r="RF4984" s="106"/>
      <c r="RG4984" s="106"/>
      <c r="RH4984" s="106"/>
      <c r="RI4984" s="106"/>
      <c r="RJ4984" s="106"/>
      <c r="RK4984" s="106"/>
      <c r="RL4984" s="106"/>
    </row>
    <row r="4985" spans="462:480" x14ac:dyDescent="0.3">
      <c r="QT4985" s="106"/>
      <c r="QU4985" s="106"/>
      <c r="QV4985" s="106"/>
      <c r="QW4985" s="106"/>
      <c r="QX4985" s="106"/>
      <c r="QY4985" s="106"/>
      <c r="QZ4985" s="106"/>
      <c r="RA4985" s="106"/>
      <c r="RB4985" s="106"/>
      <c r="RC4985" s="106"/>
      <c r="RD4985" s="106"/>
      <c r="RE4985" s="106"/>
      <c r="RF4985" s="106"/>
      <c r="RG4985" s="106"/>
      <c r="RH4985" s="106"/>
      <c r="RI4985" s="106"/>
      <c r="RJ4985" s="106"/>
      <c r="RK4985" s="106"/>
      <c r="RL4985" s="106"/>
    </row>
    <row r="4986" spans="462:480" x14ac:dyDescent="0.3">
      <c r="QT4986" s="106"/>
      <c r="QU4986" s="106"/>
      <c r="QV4986" s="106"/>
      <c r="QW4986" s="106"/>
      <c r="QX4986" s="106"/>
      <c r="QY4986" s="106"/>
      <c r="QZ4986" s="106"/>
      <c r="RA4986" s="106"/>
      <c r="RB4986" s="106"/>
      <c r="RC4986" s="106"/>
      <c r="RD4986" s="106"/>
      <c r="RE4986" s="106"/>
      <c r="RF4986" s="106"/>
      <c r="RG4986" s="106"/>
      <c r="RH4986" s="106"/>
      <c r="RI4986" s="106"/>
      <c r="RJ4986" s="106"/>
      <c r="RK4986" s="106"/>
      <c r="RL4986" s="106"/>
    </row>
    <row r="4987" spans="462:480" x14ac:dyDescent="0.3">
      <c r="QT4987" s="106"/>
      <c r="QU4987" s="106"/>
      <c r="QV4987" s="106"/>
      <c r="QW4987" s="106"/>
      <c r="QX4987" s="106"/>
      <c r="QY4987" s="106"/>
      <c r="QZ4987" s="106"/>
      <c r="RA4987" s="106"/>
      <c r="RB4987" s="106"/>
      <c r="RC4987" s="106"/>
      <c r="RD4987" s="106"/>
      <c r="RE4987" s="106"/>
      <c r="RF4987" s="106"/>
      <c r="RG4987" s="106"/>
      <c r="RH4987" s="106"/>
      <c r="RI4987" s="106"/>
      <c r="RJ4987" s="106"/>
      <c r="RK4987" s="106"/>
      <c r="RL4987" s="106"/>
    </row>
    <row r="4988" spans="462:480" x14ac:dyDescent="0.3">
      <c r="QT4988" s="106"/>
      <c r="QU4988" s="106"/>
      <c r="QV4988" s="106"/>
      <c r="QW4988" s="106"/>
      <c r="QX4988" s="106"/>
      <c r="QY4988" s="106"/>
      <c r="QZ4988" s="106"/>
      <c r="RA4988" s="106"/>
      <c r="RB4988" s="106"/>
      <c r="RC4988" s="106"/>
      <c r="RD4988" s="106"/>
      <c r="RE4988" s="106"/>
      <c r="RF4988" s="106"/>
      <c r="RG4988" s="106"/>
      <c r="RH4988" s="106"/>
      <c r="RI4988" s="106"/>
      <c r="RJ4988" s="106"/>
      <c r="RK4988" s="106"/>
      <c r="RL4988" s="106"/>
    </row>
    <row r="4989" spans="462:480" x14ac:dyDescent="0.3">
      <c r="QT4989" s="106"/>
      <c r="QU4989" s="106"/>
      <c r="QV4989" s="106"/>
      <c r="QW4989" s="106"/>
      <c r="QX4989" s="106"/>
      <c r="QY4989" s="106"/>
      <c r="QZ4989" s="106"/>
      <c r="RA4989" s="106"/>
      <c r="RB4989" s="106"/>
      <c r="RC4989" s="106"/>
      <c r="RD4989" s="106"/>
      <c r="RE4989" s="106"/>
      <c r="RF4989" s="106"/>
      <c r="RG4989" s="106"/>
      <c r="RH4989" s="106"/>
      <c r="RI4989" s="106"/>
      <c r="RJ4989" s="106"/>
      <c r="RK4989" s="106"/>
      <c r="RL4989" s="106"/>
    </row>
    <row r="4990" spans="462:480" x14ac:dyDescent="0.3">
      <c r="QT4990" s="106"/>
      <c r="QU4990" s="106"/>
      <c r="QV4990" s="106"/>
      <c r="QW4990" s="106"/>
      <c r="QX4990" s="106"/>
      <c r="QY4990" s="106"/>
      <c r="QZ4990" s="106"/>
      <c r="RA4990" s="106"/>
      <c r="RB4990" s="106"/>
      <c r="RC4990" s="106"/>
      <c r="RD4990" s="106"/>
      <c r="RE4990" s="106"/>
      <c r="RF4990" s="106"/>
      <c r="RG4990" s="106"/>
      <c r="RH4990" s="106"/>
      <c r="RI4990" s="106"/>
      <c r="RJ4990" s="106"/>
      <c r="RK4990" s="106"/>
      <c r="RL4990" s="106"/>
    </row>
    <row r="4991" spans="462:480" x14ac:dyDescent="0.3">
      <c r="QT4991" s="106"/>
      <c r="QU4991" s="106"/>
      <c r="QV4991" s="106"/>
      <c r="QW4991" s="106"/>
      <c r="QX4991" s="106"/>
      <c r="QY4991" s="106"/>
      <c r="QZ4991" s="106"/>
      <c r="RA4991" s="106"/>
      <c r="RB4991" s="106"/>
      <c r="RC4991" s="106"/>
      <c r="RD4991" s="106"/>
      <c r="RE4991" s="106"/>
      <c r="RF4991" s="106"/>
      <c r="RG4991" s="106"/>
      <c r="RH4991" s="106"/>
      <c r="RI4991" s="106"/>
      <c r="RJ4991" s="106"/>
      <c r="RK4991" s="106"/>
      <c r="RL4991" s="106"/>
    </row>
    <row r="4992" spans="462:480" x14ac:dyDescent="0.3">
      <c r="QT4992" s="106"/>
      <c r="QU4992" s="106"/>
      <c r="QV4992" s="106"/>
      <c r="QW4992" s="106"/>
      <c r="QX4992" s="106"/>
      <c r="QY4992" s="106"/>
      <c r="QZ4992" s="106"/>
      <c r="RA4992" s="106"/>
      <c r="RB4992" s="106"/>
      <c r="RC4992" s="106"/>
      <c r="RD4992" s="106"/>
      <c r="RE4992" s="106"/>
      <c r="RF4992" s="106"/>
      <c r="RG4992" s="106"/>
      <c r="RH4992" s="106"/>
      <c r="RI4992" s="106"/>
      <c r="RJ4992" s="106"/>
      <c r="RK4992" s="106"/>
      <c r="RL4992" s="106"/>
    </row>
    <row r="4993" spans="462:480" x14ac:dyDescent="0.3">
      <c r="QT4993" s="106"/>
      <c r="QU4993" s="106"/>
      <c r="QV4993" s="106"/>
      <c r="QW4993" s="106"/>
      <c r="QX4993" s="106"/>
      <c r="QY4993" s="106"/>
      <c r="QZ4993" s="106"/>
      <c r="RA4993" s="106"/>
      <c r="RB4993" s="106"/>
      <c r="RC4993" s="106"/>
      <c r="RD4993" s="106"/>
      <c r="RE4993" s="106"/>
      <c r="RF4993" s="106"/>
      <c r="RG4993" s="106"/>
      <c r="RH4993" s="106"/>
      <c r="RI4993" s="106"/>
      <c r="RJ4993" s="106"/>
      <c r="RK4993" s="106"/>
      <c r="RL4993" s="106"/>
    </row>
    <row r="4994" spans="462:480" x14ac:dyDescent="0.3">
      <c r="QT4994" s="106"/>
      <c r="QU4994" s="106"/>
      <c r="QV4994" s="106"/>
      <c r="QW4994" s="106"/>
      <c r="QX4994" s="106"/>
      <c r="QY4994" s="106"/>
      <c r="QZ4994" s="106"/>
      <c r="RA4994" s="106"/>
      <c r="RB4994" s="106"/>
      <c r="RC4994" s="106"/>
      <c r="RD4994" s="106"/>
      <c r="RE4994" s="106"/>
      <c r="RF4994" s="106"/>
      <c r="RG4994" s="106"/>
      <c r="RH4994" s="106"/>
      <c r="RI4994" s="106"/>
      <c r="RJ4994" s="106"/>
      <c r="RK4994" s="106"/>
      <c r="RL4994" s="106"/>
    </row>
    <row r="4995" spans="462:480" x14ac:dyDescent="0.3">
      <c r="QT4995" s="106"/>
      <c r="QU4995" s="106"/>
      <c r="QV4995" s="106"/>
      <c r="QW4995" s="106"/>
      <c r="QX4995" s="106"/>
      <c r="QY4995" s="106"/>
      <c r="QZ4995" s="106"/>
      <c r="RA4995" s="106"/>
      <c r="RB4995" s="106"/>
      <c r="RC4995" s="106"/>
      <c r="RD4995" s="106"/>
      <c r="RE4995" s="106"/>
      <c r="RF4995" s="106"/>
      <c r="RG4995" s="106"/>
      <c r="RH4995" s="106"/>
      <c r="RI4995" s="106"/>
      <c r="RJ4995" s="106"/>
      <c r="RK4995" s="106"/>
      <c r="RL4995" s="106"/>
    </row>
    <row r="4996" spans="462:480" x14ac:dyDescent="0.3">
      <c r="QT4996" s="106"/>
      <c r="QU4996" s="106"/>
      <c r="QV4996" s="106"/>
      <c r="QW4996" s="106"/>
      <c r="QX4996" s="106"/>
      <c r="QY4996" s="106"/>
      <c r="QZ4996" s="106"/>
      <c r="RA4996" s="106"/>
      <c r="RB4996" s="106"/>
      <c r="RC4996" s="106"/>
      <c r="RD4996" s="106"/>
      <c r="RE4996" s="106"/>
      <c r="RF4996" s="106"/>
      <c r="RG4996" s="106"/>
      <c r="RH4996" s="106"/>
      <c r="RI4996" s="106"/>
      <c r="RJ4996" s="106"/>
      <c r="RK4996" s="106"/>
      <c r="RL4996" s="106"/>
    </row>
    <row r="4997" spans="462:480" x14ac:dyDescent="0.3">
      <c r="QT4997" s="106"/>
      <c r="QU4997" s="106"/>
      <c r="QV4997" s="106"/>
      <c r="QW4997" s="106"/>
      <c r="QX4997" s="106"/>
      <c r="QY4997" s="106"/>
      <c r="QZ4997" s="106"/>
      <c r="RA4997" s="106"/>
      <c r="RB4997" s="106"/>
      <c r="RC4997" s="106"/>
      <c r="RD4997" s="106"/>
      <c r="RE4997" s="106"/>
      <c r="RF4997" s="106"/>
      <c r="RG4997" s="106"/>
      <c r="RH4997" s="106"/>
      <c r="RI4997" s="106"/>
      <c r="RJ4997" s="106"/>
      <c r="RK4997" s="106"/>
      <c r="RL4997" s="106"/>
    </row>
    <row r="4998" spans="462:480" x14ac:dyDescent="0.3">
      <c r="QT4998" s="106"/>
      <c r="QU4998" s="106"/>
      <c r="QV4998" s="106"/>
      <c r="QW4998" s="106"/>
      <c r="QX4998" s="106"/>
      <c r="QY4998" s="106"/>
      <c r="QZ4998" s="106"/>
      <c r="RA4998" s="106"/>
      <c r="RB4998" s="106"/>
      <c r="RC4998" s="106"/>
      <c r="RD4998" s="106"/>
      <c r="RE4998" s="106"/>
      <c r="RF4998" s="106"/>
      <c r="RG4998" s="106"/>
      <c r="RH4998" s="106"/>
      <c r="RI4998" s="106"/>
      <c r="RJ4998" s="106"/>
      <c r="RK4998" s="106"/>
      <c r="RL4998" s="106"/>
    </row>
    <row r="4999" spans="462:480" x14ac:dyDescent="0.3">
      <c r="QT4999" s="106"/>
      <c r="QU4999" s="106"/>
      <c r="QV4999" s="106"/>
      <c r="QW4999" s="106"/>
      <c r="QX4999" s="106"/>
      <c r="QY4999" s="106"/>
      <c r="QZ4999" s="106"/>
      <c r="RA4999" s="106"/>
      <c r="RB4999" s="106"/>
      <c r="RC4999" s="106"/>
      <c r="RD4999" s="106"/>
      <c r="RE4999" s="106"/>
      <c r="RF4999" s="106"/>
      <c r="RG4999" s="106"/>
      <c r="RH4999" s="106"/>
      <c r="RI4999" s="106"/>
      <c r="RJ4999" s="106"/>
      <c r="RK4999" s="106"/>
      <c r="RL4999" s="106"/>
    </row>
    <row r="5000" spans="462:480" x14ac:dyDescent="0.3">
      <c r="QT5000" s="106"/>
      <c r="QU5000" s="106"/>
      <c r="QV5000" s="106"/>
      <c r="QW5000" s="106"/>
      <c r="QX5000" s="106"/>
      <c r="QY5000" s="106"/>
      <c r="QZ5000" s="106"/>
      <c r="RA5000" s="106"/>
      <c r="RB5000" s="106"/>
      <c r="RC5000" s="106"/>
      <c r="RD5000" s="106"/>
      <c r="RE5000" s="106"/>
      <c r="RF5000" s="106"/>
      <c r="RG5000" s="106"/>
      <c r="RH5000" s="106"/>
      <c r="RI5000" s="106"/>
      <c r="RJ5000" s="106"/>
      <c r="RK5000" s="106"/>
      <c r="RL5000" s="106"/>
    </row>
    <row r="5001" spans="462:480" x14ac:dyDescent="0.3">
      <c r="QT5001" s="106"/>
      <c r="QU5001" s="106"/>
      <c r="QV5001" s="106"/>
      <c r="QW5001" s="106"/>
      <c r="QX5001" s="106"/>
      <c r="QY5001" s="106"/>
      <c r="QZ5001" s="106"/>
      <c r="RA5001" s="106"/>
      <c r="RB5001" s="106"/>
      <c r="RC5001" s="106"/>
      <c r="RD5001" s="106"/>
      <c r="RE5001" s="106"/>
      <c r="RF5001" s="106"/>
      <c r="RG5001" s="106"/>
      <c r="RH5001" s="106"/>
      <c r="RI5001" s="106"/>
      <c r="RJ5001" s="106"/>
      <c r="RK5001" s="106"/>
      <c r="RL5001" s="106"/>
    </row>
    <row r="5002" spans="462:480" x14ac:dyDescent="0.3">
      <c r="QT5002" s="106"/>
      <c r="QU5002" s="106"/>
      <c r="QV5002" s="106"/>
      <c r="QW5002" s="106"/>
      <c r="QX5002" s="106"/>
      <c r="QY5002" s="106"/>
      <c r="QZ5002" s="106"/>
      <c r="RA5002" s="106"/>
      <c r="RB5002" s="106"/>
      <c r="RC5002" s="106"/>
      <c r="RD5002" s="106"/>
      <c r="RE5002" s="106"/>
      <c r="RF5002" s="106"/>
      <c r="RG5002" s="106"/>
      <c r="RH5002" s="106"/>
      <c r="RI5002" s="106"/>
      <c r="RJ5002" s="106"/>
      <c r="RK5002" s="106"/>
      <c r="RL5002" s="106"/>
    </row>
    <row r="5003" spans="462:480" x14ac:dyDescent="0.3">
      <c r="QT5003" s="106"/>
      <c r="QU5003" s="106"/>
      <c r="QV5003" s="106"/>
      <c r="QW5003" s="106"/>
      <c r="QX5003" s="106"/>
      <c r="QY5003" s="106"/>
      <c r="QZ5003" s="106"/>
      <c r="RA5003" s="106"/>
      <c r="RB5003" s="106"/>
      <c r="RC5003" s="106"/>
      <c r="RD5003" s="106"/>
      <c r="RE5003" s="106"/>
      <c r="RF5003" s="106"/>
      <c r="RG5003" s="106"/>
      <c r="RH5003" s="106"/>
      <c r="RI5003" s="106"/>
      <c r="RJ5003" s="106"/>
      <c r="RK5003" s="106"/>
      <c r="RL5003" s="106"/>
    </row>
    <row r="5004" spans="462:480" x14ac:dyDescent="0.3">
      <c r="QT5004" s="106"/>
      <c r="QU5004" s="106"/>
      <c r="QV5004" s="106"/>
      <c r="QW5004" s="106"/>
      <c r="QX5004" s="106"/>
      <c r="QY5004" s="106"/>
      <c r="QZ5004" s="106"/>
      <c r="RA5004" s="106"/>
      <c r="RB5004" s="106"/>
      <c r="RC5004" s="106"/>
      <c r="RD5004" s="106"/>
      <c r="RE5004" s="106"/>
      <c r="RF5004" s="106"/>
      <c r="RG5004" s="106"/>
      <c r="RH5004" s="106"/>
      <c r="RI5004" s="106"/>
      <c r="RJ5004" s="106"/>
      <c r="RK5004" s="106"/>
      <c r="RL5004" s="106"/>
    </row>
    <row r="5005" spans="462:480" x14ac:dyDescent="0.3">
      <c r="QT5005" s="106"/>
      <c r="QU5005" s="106"/>
      <c r="QV5005" s="106"/>
      <c r="QW5005" s="106"/>
      <c r="QX5005" s="106"/>
      <c r="QY5005" s="106"/>
      <c r="QZ5005" s="106"/>
      <c r="RA5005" s="106"/>
      <c r="RB5005" s="106"/>
      <c r="RC5005" s="106"/>
      <c r="RD5005" s="106"/>
      <c r="RE5005" s="106"/>
      <c r="RF5005" s="106"/>
      <c r="RG5005" s="106"/>
      <c r="RH5005" s="106"/>
      <c r="RI5005" s="106"/>
      <c r="RJ5005" s="106"/>
      <c r="RK5005" s="106"/>
      <c r="RL5005" s="106"/>
    </row>
    <row r="5006" spans="462:480" x14ac:dyDescent="0.3">
      <c r="QT5006" s="106"/>
      <c r="QU5006" s="106"/>
      <c r="QV5006" s="106"/>
      <c r="QW5006" s="106"/>
      <c r="QX5006" s="106"/>
      <c r="QY5006" s="106"/>
      <c r="QZ5006" s="106"/>
      <c r="RA5006" s="106"/>
      <c r="RB5006" s="106"/>
      <c r="RC5006" s="106"/>
      <c r="RD5006" s="106"/>
      <c r="RE5006" s="106"/>
      <c r="RF5006" s="106"/>
      <c r="RG5006" s="106"/>
      <c r="RH5006" s="106"/>
      <c r="RI5006" s="106"/>
      <c r="RJ5006" s="106"/>
      <c r="RK5006" s="106"/>
      <c r="RL5006" s="106"/>
    </row>
    <row r="5007" spans="462:480" x14ac:dyDescent="0.3">
      <c r="QT5007" s="106"/>
      <c r="QU5007" s="106"/>
      <c r="QV5007" s="106"/>
      <c r="QW5007" s="106"/>
      <c r="QX5007" s="106"/>
      <c r="QY5007" s="106"/>
      <c r="QZ5007" s="106"/>
      <c r="RA5007" s="106"/>
      <c r="RB5007" s="106"/>
      <c r="RC5007" s="106"/>
      <c r="RD5007" s="106"/>
      <c r="RE5007" s="106"/>
      <c r="RF5007" s="106"/>
      <c r="RG5007" s="106"/>
      <c r="RH5007" s="106"/>
      <c r="RI5007" s="106"/>
      <c r="RJ5007" s="106"/>
      <c r="RK5007" s="106"/>
      <c r="RL5007" s="106"/>
    </row>
    <row r="5008" spans="462:480" x14ac:dyDescent="0.3">
      <c r="QT5008" s="106"/>
      <c r="QU5008" s="106"/>
      <c r="QV5008" s="106"/>
      <c r="QW5008" s="106"/>
      <c r="QX5008" s="106"/>
      <c r="QY5008" s="106"/>
      <c r="QZ5008" s="106"/>
      <c r="RA5008" s="106"/>
      <c r="RB5008" s="106"/>
      <c r="RC5008" s="106"/>
      <c r="RD5008" s="106"/>
      <c r="RE5008" s="106"/>
      <c r="RF5008" s="106"/>
      <c r="RG5008" s="106"/>
      <c r="RH5008" s="106"/>
      <c r="RI5008" s="106"/>
      <c r="RJ5008" s="106"/>
      <c r="RK5008" s="106"/>
      <c r="RL5008" s="106"/>
    </row>
    <row r="5009" spans="462:480" x14ac:dyDescent="0.3">
      <c r="QT5009" s="106"/>
      <c r="QU5009" s="106"/>
      <c r="QV5009" s="106"/>
      <c r="QW5009" s="106"/>
      <c r="QX5009" s="106"/>
      <c r="QY5009" s="106"/>
      <c r="QZ5009" s="106"/>
      <c r="RA5009" s="106"/>
      <c r="RB5009" s="106"/>
      <c r="RC5009" s="106"/>
      <c r="RD5009" s="106"/>
      <c r="RE5009" s="106"/>
      <c r="RF5009" s="106"/>
      <c r="RG5009" s="106"/>
      <c r="RH5009" s="106"/>
      <c r="RI5009" s="106"/>
      <c r="RJ5009" s="106"/>
      <c r="RK5009" s="106"/>
      <c r="RL5009" s="106"/>
    </row>
    <row r="5010" spans="462:480" x14ac:dyDescent="0.3">
      <c r="QT5010" s="106"/>
      <c r="QU5010" s="106"/>
      <c r="QV5010" s="106"/>
      <c r="QW5010" s="106"/>
      <c r="QX5010" s="106"/>
      <c r="QY5010" s="106"/>
      <c r="QZ5010" s="106"/>
      <c r="RA5010" s="106"/>
      <c r="RB5010" s="106"/>
      <c r="RC5010" s="106"/>
      <c r="RD5010" s="106"/>
      <c r="RE5010" s="106"/>
      <c r="RF5010" s="106"/>
      <c r="RG5010" s="106"/>
      <c r="RH5010" s="106"/>
      <c r="RI5010" s="106"/>
      <c r="RJ5010" s="106"/>
      <c r="RK5010" s="106"/>
      <c r="RL5010" s="106"/>
    </row>
    <row r="5011" spans="462:480" x14ac:dyDescent="0.3">
      <c r="QT5011" s="106"/>
      <c r="QU5011" s="106"/>
      <c r="QV5011" s="106"/>
      <c r="QW5011" s="106"/>
      <c r="QX5011" s="106"/>
      <c r="QY5011" s="106"/>
      <c r="QZ5011" s="106"/>
      <c r="RA5011" s="106"/>
      <c r="RB5011" s="106"/>
      <c r="RC5011" s="106"/>
      <c r="RD5011" s="106"/>
      <c r="RE5011" s="106"/>
      <c r="RF5011" s="106"/>
      <c r="RG5011" s="106"/>
      <c r="RH5011" s="106"/>
      <c r="RI5011" s="106"/>
      <c r="RJ5011" s="106"/>
      <c r="RK5011" s="106"/>
      <c r="RL5011" s="106"/>
    </row>
    <row r="5012" spans="462:480" x14ac:dyDescent="0.3">
      <c r="QT5012" s="106"/>
      <c r="QU5012" s="106"/>
      <c r="QV5012" s="106"/>
      <c r="QW5012" s="106"/>
      <c r="QX5012" s="106"/>
      <c r="QY5012" s="106"/>
      <c r="QZ5012" s="106"/>
      <c r="RA5012" s="106"/>
      <c r="RB5012" s="106"/>
      <c r="RC5012" s="106"/>
      <c r="RD5012" s="106"/>
      <c r="RE5012" s="106"/>
      <c r="RF5012" s="106"/>
      <c r="RG5012" s="106"/>
      <c r="RH5012" s="106"/>
      <c r="RI5012" s="106"/>
      <c r="RJ5012" s="106"/>
      <c r="RK5012" s="106"/>
      <c r="RL5012" s="106"/>
    </row>
    <row r="5013" spans="462:480" x14ac:dyDescent="0.3">
      <c r="QT5013" s="106"/>
      <c r="QU5013" s="106"/>
      <c r="QV5013" s="106"/>
      <c r="QW5013" s="106"/>
      <c r="QX5013" s="106"/>
      <c r="QY5013" s="106"/>
      <c r="QZ5013" s="106"/>
      <c r="RA5013" s="106"/>
      <c r="RB5013" s="106"/>
      <c r="RC5013" s="106"/>
      <c r="RD5013" s="106"/>
      <c r="RE5013" s="106"/>
      <c r="RF5013" s="106"/>
      <c r="RG5013" s="106"/>
      <c r="RH5013" s="106"/>
      <c r="RI5013" s="106"/>
      <c r="RJ5013" s="106"/>
      <c r="RK5013" s="106"/>
      <c r="RL5013" s="106"/>
    </row>
    <row r="5014" spans="462:480" x14ac:dyDescent="0.3">
      <c r="QT5014" s="106"/>
      <c r="QU5014" s="106"/>
      <c r="QV5014" s="106"/>
      <c r="QW5014" s="106"/>
      <c r="QX5014" s="106"/>
      <c r="QY5014" s="106"/>
      <c r="QZ5014" s="106"/>
      <c r="RA5014" s="106"/>
      <c r="RB5014" s="106"/>
      <c r="RC5014" s="106"/>
      <c r="RD5014" s="106"/>
      <c r="RE5014" s="106"/>
      <c r="RF5014" s="106"/>
      <c r="RG5014" s="106"/>
      <c r="RH5014" s="106"/>
      <c r="RI5014" s="106"/>
      <c r="RJ5014" s="106"/>
      <c r="RK5014" s="106"/>
      <c r="RL5014" s="106"/>
    </row>
    <row r="5015" spans="462:480" x14ac:dyDescent="0.3">
      <c r="QT5015" s="106"/>
      <c r="QU5015" s="106"/>
      <c r="QV5015" s="106"/>
      <c r="QW5015" s="106"/>
      <c r="QX5015" s="106"/>
      <c r="QY5015" s="106"/>
      <c r="QZ5015" s="106"/>
      <c r="RA5015" s="106"/>
      <c r="RB5015" s="106"/>
      <c r="RC5015" s="106"/>
      <c r="RD5015" s="106"/>
      <c r="RE5015" s="106"/>
      <c r="RF5015" s="106"/>
      <c r="RG5015" s="106"/>
      <c r="RH5015" s="106"/>
      <c r="RI5015" s="106"/>
      <c r="RJ5015" s="106"/>
      <c r="RK5015" s="106"/>
      <c r="RL5015" s="106"/>
    </row>
    <row r="5016" spans="462:480" x14ac:dyDescent="0.3">
      <c r="QT5016" s="106"/>
      <c r="QU5016" s="106"/>
      <c r="QV5016" s="106"/>
      <c r="QW5016" s="106"/>
      <c r="QX5016" s="106"/>
      <c r="QY5016" s="106"/>
      <c r="QZ5016" s="106"/>
      <c r="RA5016" s="106"/>
      <c r="RB5016" s="106"/>
      <c r="RC5016" s="106"/>
      <c r="RD5016" s="106"/>
      <c r="RE5016" s="106"/>
      <c r="RF5016" s="106"/>
      <c r="RG5016" s="106"/>
      <c r="RH5016" s="106"/>
      <c r="RI5016" s="106"/>
      <c r="RJ5016" s="106"/>
      <c r="RK5016" s="106"/>
      <c r="RL5016" s="106"/>
    </row>
    <row r="5017" spans="462:480" x14ac:dyDescent="0.3">
      <c r="QT5017" s="106"/>
      <c r="QU5017" s="106"/>
      <c r="QV5017" s="106"/>
      <c r="QW5017" s="106"/>
      <c r="QX5017" s="106"/>
      <c r="QY5017" s="106"/>
      <c r="QZ5017" s="106"/>
      <c r="RA5017" s="106"/>
      <c r="RB5017" s="106"/>
      <c r="RC5017" s="106"/>
      <c r="RD5017" s="106"/>
      <c r="RE5017" s="106"/>
      <c r="RF5017" s="106"/>
      <c r="RG5017" s="106"/>
      <c r="RH5017" s="106"/>
      <c r="RI5017" s="106"/>
      <c r="RJ5017" s="106"/>
      <c r="RK5017" s="106"/>
      <c r="RL5017" s="106"/>
    </row>
    <row r="5018" spans="462:480" x14ac:dyDescent="0.3">
      <c r="QT5018" s="106"/>
      <c r="QU5018" s="106"/>
      <c r="QV5018" s="106"/>
      <c r="QW5018" s="106"/>
      <c r="QX5018" s="106"/>
      <c r="QY5018" s="106"/>
      <c r="QZ5018" s="106"/>
      <c r="RA5018" s="106"/>
      <c r="RB5018" s="106"/>
      <c r="RC5018" s="106"/>
      <c r="RD5018" s="106"/>
      <c r="RE5018" s="106"/>
      <c r="RF5018" s="106"/>
      <c r="RG5018" s="106"/>
      <c r="RH5018" s="106"/>
      <c r="RI5018" s="106"/>
      <c r="RJ5018" s="106"/>
      <c r="RK5018" s="106"/>
      <c r="RL5018" s="106"/>
    </row>
    <row r="5019" spans="462:480" x14ac:dyDescent="0.3">
      <c r="QT5019" s="106"/>
      <c r="QU5019" s="106"/>
      <c r="QV5019" s="106"/>
      <c r="QW5019" s="106"/>
      <c r="QX5019" s="106"/>
      <c r="QY5019" s="106"/>
      <c r="QZ5019" s="106"/>
      <c r="RA5019" s="106"/>
      <c r="RB5019" s="106"/>
      <c r="RC5019" s="106"/>
      <c r="RD5019" s="106"/>
      <c r="RE5019" s="106"/>
      <c r="RF5019" s="106"/>
      <c r="RG5019" s="106"/>
      <c r="RH5019" s="106"/>
      <c r="RI5019" s="106"/>
      <c r="RJ5019" s="106"/>
      <c r="RK5019" s="106"/>
      <c r="RL5019" s="106"/>
    </row>
    <row r="5020" spans="462:480" x14ac:dyDescent="0.3">
      <c r="QT5020" s="106"/>
      <c r="QU5020" s="106"/>
      <c r="QV5020" s="106"/>
      <c r="QW5020" s="106"/>
      <c r="QX5020" s="106"/>
      <c r="QY5020" s="106"/>
      <c r="QZ5020" s="106"/>
      <c r="RA5020" s="106"/>
      <c r="RB5020" s="106"/>
      <c r="RC5020" s="106"/>
      <c r="RD5020" s="106"/>
      <c r="RE5020" s="106"/>
      <c r="RF5020" s="106"/>
      <c r="RG5020" s="106"/>
      <c r="RH5020" s="106"/>
      <c r="RI5020" s="106"/>
      <c r="RJ5020" s="106"/>
      <c r="RK5020" s="106"/>
      <c r="RL5020" s="106"/>
    </row>
    <row r="5021" spans="462:480" x14ac:dyDescent="0.3">
      <c r="QT5021" s="106"/>
      <c r="QU5021" s="106"/>
      <c r="QV5021" s="106"/>
      <c r="QW5021" s="106"/>
      <c r="QX5021" s="106"/>
      <c r="QY5021" s="106"/>
      <c r="QZ5021" s="106"/>
      <c r="RA5021" s="106"/>
      <c r="RB5021" s="106"/>
      <c r="RC5021" s="106"/>
      <c r="RD5021" s="106"/>
      <c r="RE5021" s="106"/>
      <c r="RF5021" s="106"/>
      <c r="RG5021" s="106"/>
      <c r="RH5021" s="106"/>
      <c r="RI5021" s="106"/>
      <c r="RJ5021" s="106"/>
      <c r="RK5021" s="106"/>
      <c r="RL5021" s="106"/>
    </row>
    <row r="5022" spans="462:480" x14ac:dyDescent="0.3">
      <c r="QT5022" s="106"/>
      <c r="QU5022" s="106"/>
      <c r="QV5022" s="106"/>
      <c r="QW5022" s="106"/>
      <c r="QX5022" s="106"/>
      <c r="QY5022" s="106"/>
      <c r="QZ5022" s="106"/>
      <c r="RA5022" s="106"/>
      <c r="RB5022" s="106"/>
      <c r="RC5022" s="106"/>
      <c r="RD5022" s="106"/>
      <c r="RE5022" s="106"/>
      <c r="RF5022" s="106"/>
      <c r="RG5022" s="106"/>
      <c r="RH5022" s="106"/>
      <c r="RI5022" s="106"/>
      <c r="RJ5022" s="106"/>
      <c r="RK5022" s="106"/>
      <c r="RL5022" s="106"/>
    </row>
    <row r="5023" spans="462:480" x14ac:dyDescent="0.3">
      <c r="QT5023" s="106"/>
      <c r="QU5023" s="106"/>
      <c r="QV5023" s="106"/>
      <c r="QW5023" s="106"/>
      <c r="QX5023" s="106"/>
      <c r="QY5023" s="106"/>
      <c r="QZ5023" s="106"/>
      <c r="RA5023" s="106"/>
      <c r="RB5023" s="106"/>
      <c r="RC5023" s="106"/>
      <c r="RD5023" s="106"/>
      <c r="RE5023" s="106"/>
      <c r="RF5023" s="106"/>
      <c r="RG5023" s="106"/>
      <c r="RH5023" s="106"/>
      <c r="RI5023" s="106"/>
      <c r="RJ5023" s="106"/>
      <c r="RK5023" s="106"/>
      <c r="RL5023" s="106"/>
    </row>
    <row r="5024" spans="462:480" x14ac:dyDescent="0.3">
      <c r="QT5024" s="106"/>
      <c r="QU5024" s="106"/>
      <c r="QV5024" s="106"/>
      <c r="QW5024" s="106"/>
      <c r="QX5024" s="106"/>
      <c r="QY5024" s="106"/>
      <c r="QZ5024" s="106"/>
      <c r="RA5024" s="106"/>
      <c r="RB5024" s="106"/>
      <c r="RC5024" s="106"/>
      <c r="RD5024" s="106"/>
      <c r="RE5024" s="106"/>
      <c r="RF5024" s="106"/>
      <c r="RG5024" s="106"/>
      <c r="RH5024" s="106"/>
      <c r="RI5024" s="106"/>
      <c r="RJ5024" s="106"/>
      <c r="RK5024" s="106"/>
      <c r="RL5024" s="106"/>
    </row>
    <row r="5025" spans="462:480" x14ac:dyDescent="0.3">
      <c r="QT5025" s="106"/>
      <c r="QU5025" s="106"/>
      <c r="QV5025" s="106"/>
      <c r="QW5025" s="106"/>
      <c r="QX5025" s="106"/>
      <c r="QY5025" s="106"/>
      <c r="QZ5025" s="106"/>
      <c r="RA5025" s="106"/>
      <c r="RB5025" s="106"/>
      <c r="RC5025" s="106"/>
      <c r="RD5025" s="106"/>
      <c r="RE5025" s="106"/>
      <c r="RF5025" s="106"/>
      <c r="RG5025" s="106"/>
      <c r="RH5025" s="106"/>
      <c r="RI5025" s="106"/>
      <c r="RJ5025" s="106"/>
      <c r="RK5025" s="106"/>
      <c r="RL5025" s="106"/>
    </row>
    <row r="5026" spans="462:480" x14ac:dyDescent="0.3">
      <c r="QT5026" s="106"/>
      <c r="QU5026" s="106"/>
      <c r="QV5026" s="106"/>
      <c r="QW5026" s="106"/>
      <c r="QX5026" s="106"/>
      <c r="QY5026" s="106"/>
      <c r="QZ5026" s="106"/>
      <c r="RA5026" s="106"/>
      <c r="RB5026" s="106"/>
      <c r="RC5026" s="106"/>
      <c r="RD5026" s="106"/>
      <c r="RE5026" s="106"/>
      <c r="RF5026" s="106"/>
      <c r="RG5026" s="106"/>
      <c r="RH5026" s="106"/>
      <c r="RI5026" s="106"/>
      <c r="RJ5026" s="106"/>
      <c r="RK5026" s="106"/>
      <c r="RL5026" s="106"/>
    </row>
    <row r="5027" spans="462:480" x14ac:dyDescent="0.3">
      <c r="QT5027" s="106"/>
      <c r="QU5027" s="106"/>
      <c r="QV5027" s="106"/>
      <c r="QW5027" s="106"/>
      <c r="QX5027" s="106"/>
      <c r="QY5027" s="106"/>
      <c r="QZ5027" s="106"/>
      <c r="RA5027" s="106"/>
      <c r="RB5027" s="106"/>
      <c r="RC5027" s="106"/>
      <c r="RD5027" s="106"/>
      <c r="RE5027" s="106"/>
      <c r="RF5027" s="106"/>
      <c r="RG5027" s="106"/>
      <c r="RH5027" s="106"/>
      <c r="RI5027" s="106"/>
      <c r="RJ5027" s="106"/>
      <c r="RK5027" s="106"/>
      <c r="RL5027" s="106"/>
    </row>
    <row r="5028" spans="462:480" x14ac:dyDescent="0.3">
      <c r="QT5028" s="106"/>
      <c r="QU5028" s="106"/>
      <c r="QV5028" s="106"/>
      <c r="QW5028" s="106"/>
      <c r="QX5028" s="106"/>
      <c r="QY5028" s="106"/>
      <c r="QZ5028" s="106"/>
      <c r="RA5028" s="106"/>
      <c r="RB5028" s="106"/>
      <c r="RC5028" s="106"/>
      <c r="RD5028" s="106"/>
      <c r="RE5028" s="106"/>
      <c r="RF5028" s="106"/>
      <c r="RG5028" s="106"/>
      <c r="RH5028" s="106"/>
      <c r="RI5028" s="106"/>
      <c r="RJ5028" s="106"/>
      <c r="RK5028" s="106"/>
      <c r="RL5028" s="106"/>
    </row>
    <row r="5029" spans="462:480" x14ac:dyDescent="0.3">
      <c r="QT5029" s="106"/>
      <c r="QU5029" s="106"/>
      <c r="QV5029" s="106"/>
      <c r="QW5029" s="106"/>
      <c r="QX5029" s="106"/>
      <c r="QY5029" s="106"/>
      <c r="QZ5029" s="106"/>
      <c r="RA5029" s="106"/>
      <c r="RB5029" s="106"/>
      <c r="RC5029" s="106"/>
      <c r="RD5029" s="106"/>
      <c r="RE5029" s="106"/>
      <c r="RF5029" s="106"/>
      <c r="RG5029" s="106"/>
      <c r="RH5029" s="106"/>
      <c r="RI5029" s="106"/>
      <c r="RJ5029" s="106"/>
      <c r="RK5029" s="106"/>
      <c r="RL5029" s="106"/>
    </row>
    <row r="5030" spans="462:480" x14ac:dyDescent="0.3">
      <c r="QT5030" s="106"/>
      <c r="QU5030" s="106"/>
      <c r="QV5030" s="106"/>
      <c r="QW5030" s="106"/>
      <c r="QX5030" s="106"/>
      <c r="QY5030" s="106"/>
      <c r="QZ5030" s="106"/>
      <c r="RA5030" s="106"/>
      <c r="RB5030" s="106"/>
      <c r="RC5030" s="106"/>
      <c r="RD5030" s="106"/>
      <c r="RE5030" s="106"/>
      <c r="RF5030" s="106"/>
      <c r="RG5030" s="106"/>
      <c r="RH5030" s="106"/>
      <c r="RI5030" s="106"/>
      <c r="RJ5030" s="106"/>
      <c r="RK5030" s="106"/>
      <c r="RL5030" s="106"/>
    </row>
    <row r="5031" spans="462:480" x14ac:dyDescent="0.3">
      <c r="QT5031" s="106"/>
      <c r="QU5031" s="106"/>
      <c r="QV5031" s="106"/>
      <c r="QW5031" s="106"/>
      <c r="QX5031" s="106"/>
      <c r="QY5031" s="106"/>
      <c r="QZ5031" s="106"/>
      <c r="RA5031" s="106"/>
      <c r="RB5031" s="106"/>
      <c r="RC5031" s="106"/>
      <c r="RD5031" s="106"/>
      <c r="RE5031" s="106"/>
      <c r="RF5031" s="106"/>
      <c r="RG5031" s="106"/>
      <c r="RH5031" s="106"/>
      <c r="RI5031" s="106"/>
      <c r="RJ5031" s="106"/>
      <c r="RK5031" s="106"/>
      <c r="RL5031" s="106"/>
    </row>
    <row r="5032" spans="462:480" x14ac:dyDescent="0.3">
      <c r="QT5032" s="106"/>
      <c r="QU5032" s="106"/>
      <c r="QV5032" s="106"/>
      <c r="QW5032" s="106"/>
      <c r="QX5032" s="106"/>
      <c r="QY5032" s="106"/>
      <c r="QZ5032" s="106"/>
      <c r="RA5032" s="106"/>
      <c r="RB5032" s="106"/>
      <c r="RC5032" s="106"/>
      <c r="RD5032" s="106"/>
      <c r="RE5032" s="106"/>
      <c r="RF5032" s="106"/>
      <c r="RG5032" s="106"/>
      <c r="RH5032" s="106"/>
      <c r="RI5032" s="106"/>
      <c r="RJ5032" s="106"/>
      <c r="RK5032" s="106"/>
      <c r="RL5032" s="106"/>
    </row>
    <row r="5033" spans="462:480" x14ac:dyDescent="0.3">
      <c r="QT5033" s="106"/>
      <c r="QU5033" s="106"/>
      <c r="QV5033" s="106"/>
      <c r="QW5033" s="106"/>
      <c r="QX5033" s="106"/>
      <c r="QY5033" s="106"/>
      <c r="QZ5033" s="106"/>
      <c r="RA5033" s="106"/>
      <c r="RB5033" s="106"/>
      <c r="RC5033" s="106"/>
      <c r="RD5033" s="106"/>
      <c r="RE5033" s="106"/>
      <c r="RF5033" s="106"/>
      <c r="RG5033" s="106"/>
      <c r="RH5033" s="106"/>
      <c r="RI5033" s="106"/>
      <c r="RJ5033" s="106"/>
      <c r="RK5033" s="106"/>
      <c r="RL5033" s="106"/>
    </row>
    <row r="5034" spans="462:480" x14ac:dyDescent="0.3">
      <c r="QT5034" s="106"/>
      <c r="QU5034" s="106"/>
      <c r="QV5034" s="106"/>
      <c r="QW5034" s="106"/>
      <c r="QX5034" s="106"/>
      <c r="QY5034" s="106"/>
      <c r="QZ5034" s="106"/>
      <c r="RA5034" s="106"/>
      <c r="RB5034" s="106"/>
      <c r="RC5034" s="106"/>
      <c r="RD5034" s="106"/>
      <c r="RE5034" s="106"/>
      <c r="RF5034" s="106"/>
      <c r="RG5034" s="106"/>
      <c r="RH5034" s="106"/>
      <c r="RI5034" s="106"/>
      <c r="RJ5034" s="106"/>
      <c r="RK5034" s="106"/>
      <c r="RL5034" s="106"/>
    </row>
    <row r="5035" spans="462:480" x14ac:dyDescent="0.3">
      <c r="QT5035" s="106"/>
      <c r="QU5035" s="106"/>
      <c r="QV5035" s="106"/>
      <c r="QW5035" s="106"/>
      <c r="QX5035" s="106"/>
      <c r="QY5035" s="106"/>
      <c r="QZ5035" s="106"/>
      <c r="RA5035" s="106"/>
      <c r="RB5035" s="106"/>
      <c r="RC5035" s="106"/>
      <c r="RD5035" s="106"/>
      <c r="RE5035" s="106"/>
      <c r="RF5035" s="106"/>
      <c r="RG5035" s="106"/>
      <c r="RH5035" s="106"/>
      <c r="RI5035" s="106"/>
      <c r="RJ5035" s="106"/>
      <c r="RK5035" s="106"/>
      <c r="RL5035" s="106"/>
    </row>
    <row r="5036" spans="462:480" x14ac:dyDescent="0.3">
      <c r="QT5036" s="106"/>
      <c r="QU5036" s="106"/>
      <c r="QV5036" s="106"/>
      <c r="QW5036" s="106"/>
      <c r="QX5036" s="106"/>
      <c r="QY5036" s="106"/>
      <c r="QZ5036" s="106"/>
      <c r="RA5036" s="106"/>
      <c r="RB5036" s="106"/>
      <c r="RC5036" s="106"/>
      <c r="RD5036" s="106"/>
      <c r="RE5036" s="106"/>
      <c r="RF5036" s="106"/>
      <c r="RG5036" s="106"/>
      <c r="RH5036" s="106"/>
      <c r="RI5036" s="106"/>
      <c r="RJ5036" s="106"/>
      <c r="RK5036" s="106"/>
      <c r="RL5036" s="106"/>
    </row>
    <row r="5037" spans="462:480" x14ac:dyDescent="0.3">
      <c r="QT5037" s="106"/>
      <c r="QU5037" s="106"/>
      <c r="QV5037" s="106"/>
      <c r="QW5037" s="106"/>
      <c r="QX5037" s="106"/>
      <c r="QY5037" s="106"/>
      <c r="QZ5037" s="106"/>
      <c r="RA5037" s="106"/>
      <c r="RB5037" s="106"/>
      <c r="RC5037" s="106"/>
      <c r="RD5037" s="106"/>
      <c r="RE5037" s="106"/>
      <c r="RF5037" s="106"/>
      <c r="RG5037" s="106"/>
      <c r="RH5037" s="106"/>
      <c r="RI5037" s="106"/>
      <c r="RJ5037" s="106"/>
      <c r="RK5037" s="106"/>
      <c r="RL5037" s="106"/>
    </row>
    <row r="5038" spans="462:480" x14ac:dyDescent="0.3">
      <c r="QT5038" s="106"/>
      <c r="QU5038" s="106"/>
      <c r="QV5038" s="106"/>
      <c r="QW5038" s="106"/>
      <c r="QX5038" s="106"/>
      <c r="QY5038" s="106"/>
      <c r="QZ5038" s="106"/>
      <c r="RA5038" s="106"/>
      <c r="RB5038" s="106"/>
      <c r="RC5038" s="106"/>
      <c r="RD5038" s="106"/>
      <c r="RE5038" s="106"/>
      <c r="RF5038" s="106"/>
      <c r="RG5038" s="106"/>
      <c r="RH5038" s="106"/>
      <c r="RI5038" s="106"/>
      <c r="RJ5038" s="106"/>
      <c r="RK5038" s="106"/>
      <c r="RL5038" s="106"/>
    </row>
    <row r="5039" spans="462:480" x14ac:dyDescent="0.3">
      <c r="QT5039" s="106"/>
      <c r="QU5039" s="106"/>
      <c r="QV5039" s="106"/>
      <c r="QW5039" s="106"/>
      <c r="QX5039" s="106"/>
      <c r="QY5039" s="106"/>
      <c r="QZ5039" s="106"/>
      <c r="RA5039" s="106"/>
      <c r="RB5039" s="106"/>
      <c r="RC5039" s="106"/>
      <c r="RD5039" s="106"/>
      <c r="RE5039" s="106"/>
      <c r="RF5039" s="106"/>
      <c r="RG5039" s="106"/>
      <c r="RH5039" s="106"/>
      <c r="RI5039" s="106"/>
      <c r="RJ5039" s="106"/>
      <c r="RK5039" s="106"/>
      <c r="RL5039" s="106"/>
    </row>
    <row r="5040" spans="462:480" x14ac:dyDescent="0.3">
      <c r="QT5040" s="106"/>
      <c r="QU5040" s="106"/>
      <c r="QV5040" s="106"/>
      <c r="QW5040" s="106"/>
      <c r="QX5040" s="106"/>
      <c r="QY5040" s="106"/>
      <c r="QZ5040" s="106"/>
      <c r="RA5040" s="106"/>
      <c r="RB5040" s="106"/>
      <c r="RC5040" s="106"/>
      <c r="RD5040" s="106"/>
      <c r="RE5040" s="106"/>
      <c r="RF5040" s="106"/>
      <c r="RG5040" s="106"/>
      <c r="RH5040" s="106"/>
      <c r="RI5040" s="106"/>
      <c r="RJ5040" s="106"/>
      <c r="RK5040" s="106"/>
      <c r="RL5040" s="106"/>
    </row>
    <row r="5041" spans="462:480" x14ac:dyDescent="0.3">
      <c r="QT5041" s="106"/>
      <c r="QU5041" s="106"/>
      <c r="QV5041" s="106"/>
      <c r="QW5041" s="106"/>
      <c r="QX5041" s="106"/>
      <c r="QY5041" s="106"/>
      <c r="QZ5041" s="106"/>
      <c r="RA5041" s="106"/>
      <c r="RB5041" s="106"/>
      <c r="RC5041" s="106"/>
      <c r="RD5041" s="106"/>
      <c r="RE5041" s="106"/>
      <c r="RF5041" s="106"/>
      <c r="RG5041" s="106"/>
      <c r="RH5041" s="106"/>
      <c r="RI5041" s="106"/>
      <c r="RJ5041" s="106"/>
      <c r="RK5041" s="106"/>
      <c r="RL5041" s="106"/>
    </row>
    <row r="5042" spans="462:480" x14ac:dyDescent="0.3">
      <c r="QT5042" s="106"/>
      <c r="QU5042" s="106"/>
      <c r="QV5042" s="106"/>
      <c r="QW5042" s="106"/>
      <c r="QX5042" s="106"/>
      <c r="QY5042" s="106"/>
      <c r="QZ5042" s="106"/>
      <c r="RA5042" s="106"/>
      <c r="RB5042" s="106"/>
      <c r="RC5042" s="106"/>
      <c r="RD5042" s="106"/>
      <c r="RE5042" s="106"/>
      <c r="RF5042" s="106"/>
      <c r="RG5042" s="106"/>
      <c r="RH5042" s="106"/>
      <c r="RI5042" s="106"/>
      <c r="RJ5042" s="106"/>
      <c r="RK5042" s="106"/>
      <c r="RL5042" s="106"/>
    </row>
    <row r="5043" spans="462:480" x14ac:dyDescent="0.3">
      <c r="QT5043" s="106"/>
      <c r="QU5043" s="106"/>
      <c r="QV5043" s="106"/>
      <c r="QW5043" s="106"/>
      <c r="QX5043" s="106"/>
      <c r="QY5043" s="106"/>
      <c r="QZ5043" s="106"/>
      <c r="RA5043" s="106"/>
      <c r="RB5043" s="106"/>
      <c r="RC5043" s="106"/>
      <c r="RD5043" s="106"/>
      <c r="RE5043" s="106"/>
      <c r="RF5043" s="106"/>
      <c r="RG5043" s="106"/>
      <c r="RH5043" s="106"/>
      <c r="RI5043" s="106"/>
      <c r="RJ5043" s="106"/>
      <c r="RK5043" s="106"/>
      <c r="RL5043" s="106"/>
    </row>
    <row r="5044" spans="462:480" x14ac:dyDescent="0.3">
      <c r="QT5044" s="106"/>
      <c r="QU5044" s="106"/>
      <c r="QV5044" s="106"/>
      <c r="QW5044" s="106"/>
      <c r="QX5044" s="106"/>
      <c r="QY5044" s="106"/>
      <c r="QZ5044" s="106"/>
      <c r="RA5044" s="106"/>
      <c r="RB5044" s="106"/>
      <c r="RC5044" s="106"/>
      <c r="RD5044" s="106"/>
      <c r="RE5044" s="106"/>
      <c r="RF5044" s="106"/>
      <c r="RG5044" s="106"/>
      <c r="RH5044" s="106"/>
      <c r="RI5044" s="106"/>
      <c r="RJ5044" s="106"/>
      <c r="RK5044" s="106"/>
      <c r="RL5044" s="106"/>
    </row>
    <row r="5045" spans="462:480" x14ac:dyDescent="0.3">
      <c r="QT5045" s="106"/>
      <c r="QU5045" s="106"/>
      <c r="QV5045" s="106"/>
      <c r="QW5045" s="106"/>
      <c r="QX5045" s="106"/>
      <c r="QY5045" s="106"/>
      <c r="QZ5045" s="106"/>
      <c r="RA5045" s="106"/>
      <c r="RB5045" s="106"/>
      <c r="RC5045" s="106"/>
      <c r="RD5045" s="106"/>
      <c r="RE5045" s="106"/>
      <c r="RF5045" s="106"/>
      <c r="RG5045" s="106"/>
      <c r="RH5045" s="106"/>
      <c r="RI5045" s="106"/>
      <c r="RJ5045" s="106"/>
      <c r="RK5045" s="106"/>
      <c r="RL5045" s="106"/>
    </row>
    <row r="5046" spans="462:480" x14ac:dyDescent="0.3">
      <c r="QT5046" s="106"/>
      <c r="QU5046" s="106"/>
      <c r="QV5046" s="106"/>
      <c r="QW5046" s="106"/>
      <c r="QX5046" s="106"/>
      <c r="QY5046" s="106"/>
      <c r="QZ5046" s="106"/>
      <c r="RA5046" s="106"/>
      <c r="RB5046" s="106"/>
      <c r="RC5046" s="106"/>
      <c r="RD5046" s="106"/>
      <c r="RE5046" s="106"/>
      <c r="RF5046" s="106"/>
      <c r="RG5046" s="106"/>
      <c r="RH5046" s="106"/>
      <c r="RI5046" s="106"/>
      <c r="RJ5046" s="106"/>
      <c r="RK5046" s="106"/>
      <c r="RL5046" s="106"/>
    </row>
    <row r="5047" spans="462:480" x14ac:dyDescent="0.3">
      <c r="QT5047" s="106"/>
      <c r="QU5047" s="106"/>
      <c r="QV5047" s="106"/>
      <c r="QW5047" s="106"/>
      <c r="QX5047" s="106"/>
      <c r="QY5047" s="106"/>
      <c r="QZ5047" s="106"/>
      <c r="RA5047" s="106"/>
      <c r="RB5047" s="106"/>
      <c r="RC5047" s="106"/>
      <c r="RD5047" s="106"/>
      <c r="RE5047" s="106"/>
      <c r="RF5047" s="106"/>
      <c r="RG5047" s="106"/>
      <c r="RH5047" s="106"/>
      <c r="RI5047" s="106"/>
      <c r="RJ5047" s="106"/>
      <c r="RK5047" s="106"/>
      <c r="RL5047" s="106"/>
    </row>
    <row r="5048" spans="462:480" x14ac:dyDescent="0.3">
      <c r="QT5048" s="106"/>
      <c r="QU5048" s="106"/>
      <c r="QV5048" s="106"/>
      <c r="QW5048" s="106"/>
      <c r="QX5048" s="106"/>
      <c r="QY5048" s="106"/>
      <c r="QZ5048" s="106"/>
      <c r="RA5048" s="106"/>
      <c r="RB5048" s="106"/>
      <c r="RC5048" s="106"/>
      <c r="RD5048" s="106"/>
      <c r="RE5048" s="106"/>
      <c r="RF5048" s="106"/>
      <c r="RG5048" s="106"/>
      <c r="RH5048" s="106"/>
      <c r="RI5048" s="106"/>
      <c r="RJ5048" s="106"/>
      <c r="RK5048" s="106"/>
      <c r="RL5048" s="106"/>
    </row>
    <row r="5049" spans="462:480" x14ac:dyDescent="0.3">
      <c r="QT5049" s="106"/>
      <c r="QU5049" s="106"/>
      <c r="QV5049" s="106"/>
      <c r="QW5049" s="106"/>
      <c r="QX5049" s="106"/>
      <c r="QY5049" s="106"/>
      <c r="QZ5049" s="106"/>
      <c r="RA5049" s="106"/>
      <c r="RB5049" s="106"/>
      <c r="RC5049" s="106"/>
      <c r="RD5049" s="106"/>
      <c r="RE5049" s="106"/>
      <c r="RF5049" s="106"/>
      <c r="RG5049" s="106"/>
      <c r="RH5049" s="106"/>
      <c r="RI5049" s="106"/>
      <c r="RJ5049" s="106"/>
      <c r="RK5049" s="106"/>
      <c r="RL5049" s="106"/>
    </row>
    <row r="5050" spans="462:480" x14ac:dyDescent="0.3">
      <c r="QT5050" s="106"/>
      <c r="QU5050" s="106"/>
      <c r="QV5050" s="106"/>
      <c r="QW5050" s="106"/>
      <c r="QX5050" s="106"/>
      <c r="QY5050" s="106"/>
      <c r="QZ5050" s="106"/>
      <c r="RA5050" s="106"/>
      <c r="RB5050" s="106"/>
      <c r="RC5050" s="106"/>
      <c r="RD5050" s="106"/>
      <c r="RE5050" s="106"/>
      <c r="RF5050" s="106"/>
      <c r="RG5050" s="106"/>
      <c r="RH5050" s="106"/>
      <c r="RI5050" s="106"/>
      <c r="RJ5050" s="106"/>
      <c r="RK5050" s="106"/>
      <c r="RL5050" s="106"/>
    </row>
    <row r="5051" spans="462:480" x14ac:dyDescent="0.3">
      <c r="QT5051" s="106"/>
      <c r="QU5051" s="106"/>
      <c r="QV5051" s="106"/>
      <c r="QW5051" s="106"/>
      <c r="QX5051" s="106"/>
      <c r="QY5051" s="106"/>
      <c r="QZ5051" s="106"/>
      <c r="RA5051" s="106"/>
      <c r="RB5051" s="106"/>
      <c r="RC5051" s="106"/>
      <c r="RD5051" s="106"/>
      <c r="RE5051" s="106"/>
      <c r="RF5051" s="106"/>
      <c r="RG5051" s="106"/>
      <c r="RH5051" s="106"/>
      <c r="RI5051" s="106"/>
      <c r="RJ5051" s="106"/>
      <c r="RK5051" s="106"/>
      <c r="RL5051" s="106"/>
    </row>
    <row r="5052" spans="462:480" x14ac:dyDescent="0.3">
      <c r="QT5052" s="106"/>
      <c r="QU5052" s="106"/>
      <c r="QV5052" s="106"/>
      <c r="QW5052" s="106"/>
      <c r="QX5052" s="106"/>
      <c r="QY5052" s="106"/>
      <c r="QZ5052" s="106"/>
      <c r="RA5052" s="106"/>
      <c r="RB5052" s="106"/>
      <c r="RC5052" s="106"/>
      <c r="RD5052" s="106"/>
      <c r="RE5052" s="106"/>
      <c r="RF5052" s="106"/>
      <c r="RG5052" s="106"/>
      <c r="RH5052" s="106"/>
      <c r="RI5052" s="106"/>
      <c r="RJ5052" s="106"/>
      <c r="RK5052" s="106"/>
      <c r="RL5052" s="106"/>
    </row>
    <row r="5053" spans="462:480" x14ac:dyDescent="0.3">
      <c r="QT5053" s="106"/>
      <c r="QU5053" s="106"/>
      <c r="QV5053" s="106"/>
      <c r="QW5053" s="106"/>
      <c r="QX5053" s="106"/>
      <c r="QY5053" s="106"/>
      <c r="QZ5053" s="106"/>
      <c r="RA5053" s="106"/>
      <c r="RB5053" s="106"/>
      <c r="RC5053" s="106"/>
      <c r="RD5053" s="106"/>
      <c r="RE5053" s="106"/>
      <c r="RF5053" s="106"/>
      <c r="RG5053" s="106"/>
      <c r="RH5053" s="106"/>
      <c r="RI5053" s="106"/>
      <c r="RJ5053" s="106"/>
      <c r="RK5053" s="106"/>
      <c r="RL5053" s="106"/>
    </row>
    <row r="5054" spans="462:480" x14ac:dyDescent="0.3">
      <c r="QT5054" s="106"/>
      <c r="QU5054" s="106"/>
      <c r="QV5054" s="106"/>
      <c r="QW5054" s="106"/>
      <c r="QX5054" s="106"/>
      <c r="QY5054" s="106"/>
      <c r="QZ5054" s="106"/>
      <c r="RA5054" s="106"/>
      <c r="RB5054" s="106"/>
      <c r="RC5054" s="106"/>
      <c r="RD5054" s="106"/>
      <c r="RE5054" s="106"/>
      <c r="RF5054" s="106"/>
      <c r="RG5054" s="106"/>
      <c r="RH5054" s="106"/>
      <c r="RI5054" s="106"/>
      <c r="RJ5054" s="106"/>
      <c r="RK5054" s="106"/>
      <c r="RL5054" s="106"/>
    </row>
    <row r="5055" spans="462:480" x14ac:dyDescent="0.3">
      <c r="QT5055" s="106"/>
      <c r="QU5055" s="106"/>
      <c r="QV5055" s="106"/>
      <c r="QW5055" s="106"/>
      <c r="QX5055" s="106"/>
      <c r="QY5055" s="106"/>
      <c r="QZ5055" s="106"/>
      <c r="RA5055" s="106"/>
      <c r="RB5055" s="106"/>
      <c r="RC5055" s="106"/>
      <c r="RD5055" s="106"/>
      <c r="RE5055" s="106"/>
      <c r="RF5055" s="106"/>
      <c r="RG5055" s="106"/>
      <c r="RH5055" s="106"/>
      <c r="RI5055" s="106"/>
      <c r="RJ5055" s="106"/>
      <c r="RK5055" s="106"/>
      <c r="RL5055" s="106"/>
    </row>
    <row r="5056" spans="462:480" x14ac:dyDescent="0.3">
      <c r="QT5056" s="106"/>
      <c r="QU5056" s="106"/>
      <c r="QV5056" s="106"/>
      <c r="QW5056" s="106"/>
      <c r="QX5056" s="106"/>
      <c r="QY5056" s="106"/>
      <c r="QZ5056" s="106"/>
      <c r="RA5056" s="106"/>
      <c r="RB5056" s="106"/>
      <c r="RC5056" s="106"/>
      <c r="RD5056" s="106"/>
      <c r="RE5056" s="106"/>
      <c r="RF5056" s="106"/>
      <c r="RG5056" s="106"/>
      <c r="RH5056" s="106"/>
      <c r="RI5056" s="106"/>
      <c r="RJ5056" s="106"/>
      <c r="RK5056" s="106"/>
      <c r="RL5056" s="106"/>
    </row>
    <row r="5057" spans="462:480" x14ac:dyDescent="0.3">
      <c r="QT5057" s="106"/>
      <c r="QU5057" s="106"/>
      <c r="QV5057" s="106"/>
      <c r="QW5057" s="106"/>
      <c r="QX5057" s="106"/>
      <c r="QY5057" s="106"/>
      <c r="QZ5057" s="106"/>
      <c r="RA5057" s="106"/>
      <c r="RB5057" s="106"/>
      <c r="RC5057" s="106"/>
      <c r="RD5057" s="106"/>
      <c r="RE5057" s="106"/>
      <c r="RF5057" s="106"/>
      <c r="RG5057" s="106"/>
      <c r="RH5057" s="106"/>
      <c r="RI5057" s="106"/>
      <c r="RJ5057" s="106"/>
      <c r="RK5057" s="106"/>
      <c r="RL5057" s="106"/>
    </row>
    <row r="5058" spans="462:480" x14ac:dyDescent="0.3">
      <c r="QT5058" s="106"/>
      <c r="QU5058" s="106"/>
      <c r="QV5058" s="106"/>
      <c r="QW5058" s="106"/>
      <c r="QX5058" s="106"/>
      <c r="QY5058" s="106"/>
      <c r="QZ5058" s="106"/>
      <c r="RA5058" s="106"/>
      <c r="RB5058" s="106"/>
      <c r="RC5058" s="106"/>
      <c r="RD5058" s="106"/>
      <c r="RE5058" s="106"/>
      <c r="RF5058" s="106"/>
      <c r="RG5058" s="106"/>
      <c r="RH5058" s="106"/>
      <c r="RI5058" s="106"/>
      <c r="RJ5058" s="106"/>
      <c r="RK5058" s="106"/>
      <c r="RL5058" s="106"/>
    </row>
    <row r="5059" spans="462:480" x14ac:dyDescent="0.3">
      <c r="QT5059" s="106"/>
      <c r="QU5059" s="106"/>
      <c r="QV5059" s="106"/>
      <c r="QW5059" s="106"/>
      <c r="QX5059" s="106"/>
      <c r="QY5059" s="106"/>
      <c r="QZ5059" s="106"/>
      <c r="RA5059" s="106"/>
      <c r="RB5059" s="106"/>
      <c r="RC5059" s="106"/>
      <c r="RD5059" s="106"/>
      <c r="RE5059" s="106"/>
      <c r="RF5059" s="106"/>
      <c r="RG5059" s="106"/>
      <c r="RH5059" s="106"/>
      <c r="RI5059" s="106"/>
      <c r="RJ5059" s="106"/>
      <c r="RK5059" s="106"/>
      <c r="RL5059" s="106"/>
    </row>
    <row r="5060" spans="462:480" x14ac:dyDescent="0.3">
      <c r="QT5060" s="106"/>
      <c r="QU5060" s="106"/>
      <c r="QV5060" s="106"/>
      <c r="QW5060" s="106"/>
      <c r="QX5060" s="106"/>
      <c r="QY5060" s="106"/>
      <c r="QZ5060" s="106"/>
      <c r="RA5060" s="106"/>
      <c r="RB5060" s="106"/>
      <c r="RC5060" s="106"/>
      <c r="RD5060" s="106"/>
      <c r="RE5060" s="106"/>
      <c r="RF5060" s="106"/>
      <c r="RG5060" s="106"/>
      <c r="RH5060" s="106"/>
      <c r="RI5060" s="106"/>
      <c r="RJ5060" s="106"/>
      <c r="RK5060" s="106"/>
      <c r="RL5060" s="106"/>
    </row>
    <row r="5061" spans="462:480" x14ac:dyDescent="0.3">
      <c r="QT5061" s="106"/>
      <c r="QU5061" s="106"/>
      <c r="QV5061" s="106"/>
      <c r="QW5061" s="106"/>
      <c r="QX5061" s="106"/>
      <c r="QY5061" s="106"/>
      <c r="QZ5061" s="106"/>
      <c r="RA5061" s="106"/>
      <c r="RB5061" s="106"/>
      <c r="RC5061" s="106"/>
      <c r="RD5061" s="106"/>
      <c r="RE5061" s="106"/>
      <c r="RF5061" s="106"/>
      <c r="RG5061" s="106"/>
      <c r="RH5061" s="106"/>
      <c r="RI5061" s="106"/>
      <c r="RJ5061" s="106"/>
      <c r="RK5061" s="106"/>
      <c r="RL5061" s="106"/>
    </row>
    <row r="5062" spans="462:480" x14ac:dyDescent="0.3">
      <c r="QT5062" s="106"/>
      <c r="QU5062" s="106"/>
      <c r="QV5062" s="106"/>
      <c r="QW5062" s="106"/>
      <c r="QX5062" s="106"/>
      <c r="QY5062" s="106"/>
      <c r="QZ5062" s="106"/>
      <c r="RA5062" s="106"/>
      <c r="RB5062" s="106"/>
      <c r="RC5062" s="106"/>
      <c r="RD5062" s="106"/>
      <c r="RE5062" s="106"/>
      <c r="RF5062" s="106"/>
      <c r="RG5062" s="106"/>
      <c r="RH5062" s="106"/>
      <c r="RI5062" s="106"/>
      <c r="RJ5062" s="106"/>
      <c r="RK5062" s="106"/>
      <c r="RL5062" s="106"/>
    </row>
    <row r="5063" spans="462:480" x14ac:dyDescent="0.3">
      <c r="QT5063" s="106"/>
      <c r="QU5063" s="106"/>
      <c r="QV5063" s="106"/>
      <c r="QW5063" s="106"/>
      <c r="QX5063" s="106"/>
      <c r="QY5063" s="106"/>
      <c r="QZ5063" s="106"/>
      <c r="RA5063" s="106"/>
      <c r="RB5063" s="106"/>
      <c r="RC5063" s="106"/>
      <c r="RD5063" s="106"/>
      <c r="RE5063" s="106"/>
      <c r="RF5063" s="106"/>
      <c r="RG5063" s="106"/>
      <c r="RH5063" s="106"/>
      <c r="RI5063" s="106"/>
      <c r="RJ5063" s="106"/>
      <c r="RK5063" s="106"/>
      <c r="RL5063" s="106"/>
    </row>
    <row r="5064" spans="462:480" x14ac:dyDescent="0.3">
      <c r="QT5064" s="106"/>
      <c r="QU5064" s="106"/>
      <c r="QV5064" s="106"/>
      <c r="QW5064" s="106"/>
      <c r="QX5064" s="106"/>
      <c r="QY5064" s="106"/>
      <c r="QZ5064" s="106"/>
      <c r="RA5064" s="106"/>
      <c r="RB5064" s="106"/>
      <c r="RC5064" s="106"/>
      <c r="RD5064" s="106"/>
      <c r="RE5064" s="106"/>
      <c r="RF5064" s="106"/>
      <c r="RG5064" s="106"/>
      <c r="RH5064" s="106"/>
      <c r="RI5064" s="106"/>
      <c r="RJ5064" s="106"/>
      <c r="RK5064" s="106"/>
      <c r="RL5064" s="106"/>
    </row>
    <row r="5065" spans="462:480" x14ac:dyDescent="0.3">
      <c r="QT5065" s="106"/>
      <c r="QU5065" s="106"/>
      <c r="QV5065" s="106"/>
      <c r="QW5065" s="106"/>
      <c r="QX5065" s="106"/>
      <c r="QY5065" s="106"/>
      <c r="QZ5065" s="106"/>
      <c r="RA5065" s="106"/>
      <c r="RB5065" s="106"/>
      <c r="RC5065" s="106"/>
      <c r="RD5065" s="106"/>
      <c r="RE5065" s="106"/>
      <c r="RF5065" s="106"/>
      <c r="RG5065" s="106"/>
      <c r="RH5065" s="106"/>
      <c r="RI5065" s="106"/>
      <c r="RJ5065" s="106"/>
      <c r="RK5065" s="106"/>
      <c r="RL5065" s="106"/>
    </row>
    <row r="5066" spans="462:480" x14ac:dyDescent="0.3">
      <c r="QT5066" s="106"/>
      <c r="QU5066" s="106"/>
      <c r="QV5066" s="106"/>
      <c r="QW5066" s="106"/>
      <c r="QX5066" s="106"/>
      <c r="QY5066" s="106"/>
      <c r="QZ5066" s="106"/>
      <c r="RA5066" s="106"/>
      <c r="RB5066" s="106"/>
      <c r="RC5066" s="106"/>
      <c r="RD5066" s="106"/>
      <c r="RE5066" s="106"/>
      <c r="RF5066" s="106"/>
      <c r="RG5066" s="106"/>
      <c r="RH5066" s="106"/>
      <c r="RI5066" s="106"/>
      <c r="RJ5066" s="106"/>
      <c r="RK5066" s="106"/>
      <c r="RL5066" s="106"/>
    </row>
    <row r="5067" spans="462:480" x14ac:dyDescent="0.3">
      <c r="QT5067" s="106"/>
      <c r="QU5067" s="106"/>
      <c r="QV5067" s="106"/>
      <c r="QW5067" s="106"/>
      <c r="QX5067" s="106"/>
      <c r="QY5067" s="106"/>
      <c r="QZ5067" s="106"/>
      <c r="RA5067" s="106"/>
      <c r="RB5067" s="106"/>
      <c r="RC5067" s="106"/>
      <c r="RD5067" s="106"/>
      <c r="RE5067" s="106"/>
      <c r="RF5067" s="106"/>
      <c r="RG5067" s="106"/>
      <c r="RH5067" s="106"/>
      <c r="RI5067" s="106"/>
      <c r="RJ5067" s="106"/>
      <c r="RK5067" s="106"/>
      <c r="RL5067" s="106"/>
    </row>
    <row r="5068" spans="462:480" x14ac:dyDescent="0.3">
      <c r="QT5068" s="106"/>
      <c r="QU5068" s="106"/>
      <c r="QV5068" s="106"/>
      <c r="QW5068" s="106"/>
      <c r="QX5068" s="106"/>
      <c r="QY5068" s="106"/>
      <c r="QZ5068" s="106"/>
      <c r="RA5068" s="106"/>
      <c r="RB5068" s="106"/>
      <c r="RC5068" s="106"/>
      <c r="RD5068" s="106"/>
      <c r="RE5068" s="106"/>
      <c r="RF5068" s="106"/>
      <c r="RG5068" s="106"/>
      <c r="RH5068" s="106"/>
      <c r="RI5068" s="106"/>
      <c r="RJ5068" s="106"/>
      <c r="RK5068" s="106"/>
      <c r="RL5068" s="106"/>
    </row>
    <row r="5069" spans="462:480" x14ac:dyDescent="0.3">
      <c r="QT5069" s="106"/>
      <c r="QU5069" s="106"/>
      <c r="QV5069" s="106"/>
      <c r="QW5069" s="106"/>
      <c r="QX5069" s="106"/>
      <c r="QY5069" s="106"/>
      <c r="QZ5069" s="106"/>
      <c r="RA5069" s="106"/>
      <c r="RB5069" s="106"/>
      <c r="RC5069" s="106"/>
      <c r="RD5069" s="106"/>
      <c r="RE5069" s="106"/>
      <c r="RF5069" s="106"/>
      <c r="RG5069" s="106"/>
      <c r="RH5069" s="106"/>
      <c r="RI5069" s="106"/>
      <c r="RJ5069" s="106"/>
      <c r="RK5069" s="106"/>
      <c r="RL5069" s="106"/>
    </row>
    <row r="5070" spans="462:480" x14ac:dyDescent="0.3">
      <c r="QT5070" s="106"/>
      <c r="QU5070" s="106"/>
      <c r="QV5070" s="106"/>
      <c r="QW5070" s="106"/>
      <c r="QX5070" s="106"/>
      <c r="QY5070" s="106"/>
      <c r="QZ5070" s="106"/>
      <c r="RA5070" s="106"/>
      <c r="RB5070" s="106"/>
      <c r="RC5070" s="106"/>
      <c r="RD5070" s="106"/>
      <c r="RE5070" s="106"/>
      <c r="RF5070" s="106"/>
      <c r="RG5070" s="106"/>
      <c r="RH5070" s="106"/>
      <c r="RI5070" s="106"/>
      <c r="RJ5070" s="106"/>
      <c r="RK5070" s="106"/>
      <c r="RL5070" s="106"/>
    </row>
    <row r="5071" spans="462:480" x14ac:dyDescent="0.3">
      <c r="QT5071" s="106"/>
      <c r="QU5071" s="106"/>
      <c r="QV5071" s="106"/>
      <c r="QW5071" s="106"/>
      <c r="QX5071" s="106"/>
      <c r="QY5071" s="106"/>
      <c r="QZ5071" s="106"/>
      <c r="RA5071" s="106"/>
      <c r="RB5071" s="106"/>
      <c r="RC5071" s="106"/>
      <c r="RD5071" s="106"/>
      <c r="RE5071" s="106"/>
      <c r="RF5071" s="106"/>
      <c r="RG5071" s="106"/>
      <c r="RH5071" s="106"/>
      <c r="RI5071" s="106"/>
      <c r="RJ5071" s="106"/>
      <c r="RK5071" s="106"/>
      <c r="RL5071" s="106"/>
    </row>
    <row r="5072" spans="462:480" x14ac:dyDescent="0.3">
      <c r="QT5072" s="106"/>
      <c r="QU5072" s="106"/>
      <c r="QV5072" s="106"/>
      <c r="QW5072" s="106"/>
      <c r="QX5072" s="106"/>
      <c r="QY5072" s="106"/>
      <c r="QZ5072" s="106"/>
      <c r="RA5072" s="106"/>
      <c r="RB5072" s="106"/>
      <c r="RC5072" s="106"/>
      <c r="RD5072" s="106"/>
      <c r="RE5072" s="106"/>
      <c r="RF5072" s="106"/>
      <c r="RG5072" s="106"/>
      <c r="RH5072" s="106"/>
      <c r="RI5072" s="106"/>
      <c r="RJ5072" s="106"/>
      <c r="RK5072" s="106"/>
      <c r="RL5072" s="106"/>
    </row>
    <row r="5073" spans="462:480" x14ac:dyDescent="0.3">
      <c r="QT5073" s="106"/>
      <c r="QU5073" s="106"/>
      <c r="QV5073" s="106"/>
      <c r="QW5073" s="106"/>
      <c r="QX5073" s="106"/>
      <c r="QY5073" s="106"/>
      <c r="QZ5073" s="106"/>
      <c r="RA5073" s="106"/>
      <c r="RB5073" s="106"/>
      <c r="RC5073" s="106"/>
      <c r="RD5073" s="106"/>
      <c r="RE5073" s="106"/>
      <c r="RF5073" s="106"/>
      <c r="RG5073" s="106"/>
      <c r="RH5073" s="106"/>
      <c r="RI5073" s="106"/>
      <c r="RJ5073" s="106"/>
      <c r="RK5073" s="106"/>
      <c r="RL5073" s="106"/>
    </row>
    <row r="5074" spans="462:480" x14ac:dyDescent="0.3">
      <c r="QT5074" s="106"/>
      <c r="QU5074" s="106"/>
      <c r="QV5074" s="106"/>
      <c r="QW5074" s="106"/>
      <c r="QX5074" s="106"/>
      <c r="QY5074" s="106"/>
      <c r="QZ5074" s="106"/>
      <c r="RA5074" s="106"/>
      <c r="RB5074" s="106"/>
      <c r="RC5074" s="106"/>
      <c r="RD5074" s="106"/>
      <c r="RE5074" s="106"/>
      <c r="RF5074" s="106"/>
      <c r="RG5074" s="106"/>
      <c r="RH5074" s="106"/>
      <c r="RI5074" s="106"/>
      <c r="RJ5074" s="106"/>
      <c r="RK5074" s="106"/>
      <c r="RL5074" s="106"/>
    </row>
    <row r="5075" spans="462:480" x14ac:dyDescent="0.3">
      <c r="QT5075" s="106"/>
      <c r="QU5075" s="106"/>
      <c r="QV5075" s="106"/>
      <c r="QW5075" s="106"/>
      <c r="QX5075" s="106"/>
      <c r="QY5075" s="106"/>
      <c r="QZ5075" s="106"/>
      <c r="RA5075" s="106"/>
      <c r="RB5075" s="106"/>
      <c r="RC5075" s="106"/>
      <c r="RD5075" s="106"/>
      <c r="RE5075" s="106"/>
      <c r="RF5075" s="106"/>
      <c r="RG5075" s="106"/>
      <c r="RH5075" s="106"/>
      <c r="RI5075" s="106"/>
      <c r="RJ5075" s="106"/>
      <c r="RK5075" s="106"/>
      <c r="RL5075" s="106"/>
    </row>
    <row r="5076" spans="462:480" x14ac:dyDescent="0.3">
      <c r="QT5076" s="106"/>
      <c r="QU5076" s="106"/>
      <c r="QV5076" s="106"/>
      <c r="QW5076" s="106"/>
      <c r="QX5076" s="106"/>
      <c r="QY5076" s="106"/>
      <c r="QZ5076" s="106"/>
      <c r="RA5076" s="106"/>
      <c r="RB5076" s="106"/>
      <c r="RC5076" s="106"/>
      <c r="RD5076" s="106"/>
      <c r="RE5076" s="106"/>
      <c r="RF5076" s="106"/>
      <c r="RG5076" s="106"/>
      <c r="RH5076" s="106"/>
      <c r="RI5076" s="106"/>
      <c r="RJ5076" s="106"/>
      <c r="RK5076" s="106"/>
      <c r="RL5076" s="106"/>
    </row>
    <row r="5077" spans="462:480" x14ac:dyDescent="0.3">
      <c r="QT5077" s="106"/>
      <c r="QU5077" s="106"/>
      <c r="QV5077" s="106"/>
      <c r="QW5077" s="106"/>
      <c r="QX5077" s="106"/>
      <c r="QY5077" s="106"/>
      <c r="QZ5077" s="106"/>
      <c r="RA5077" s="106"/>
      <c r="RB5077" s="106"/>
      <c r="RC5077" s="106"/>
      <c r="RD5077" s="106"/>
      <c r="RE5077" s="106"/>
      <c r="RF5077" s="106"/>
      <c r="RG5077" s="106"/>
      <c r="RH5077" s="106"/>
      <c r="RI5077" s="106"/>
      <c r="RJ5077" s="106"/>
      <c r="RK5077" s="106"/>
      <c r="RL5077" s="106"/>
    </row>
    <row r="5078" spans="462:480" x14ac:dyDescent="0.3">
      <c r="QT5078" s="106"/>
      <c r="QU5078" s="106"/>
      <c r="QV5078" s="106"/>
      <c r="QW5078" s="106"/>
      <c r="QX5078" s="106"/>
      <c r="QY5078" s="106"/>
      <c r="QZ5078" s="106"/>
      <c r="RA5078" s="106"/>
      <c r="RB5078" s="106"/>
      <c r="RC5078" s="106"/>
      <c r="RD5078" s="106"/>
      <c r="RE5078" s="106"/>
      <c r="RF5078" s="106"/>
      <c r="RG5078" s="106"/>
      <c r="RH5078" s="106"/>
      <c r="RI5078" s="106"/>
      <c r="RJ5078" s="106"/>
      <c r="RK5078" s="106"/>
      <c r="RL5078" s="106"/>
    </row>
    <row r="5079" spans="462:480" x14ac:dyDescent="0.3">
      <c r="QT5079" s="106"/>
      <c r="QU5079" s="106"/>
      <c r="QV5079" s="106"/>
      <c r="QW5079" s="106"/>
      <c r="QX5079" s="106"/>
      <c r="QY5079" s="106"/>
      <c r="QZ5079" s="106"/>
      <c r="RA5079" s="106"/>
      <c r="RB5079" s="106"/>
      <c r="RC5079" s="106"/>
      <c r="RD5079" s="106"/>
      <c r="RE5079" s="106"/>
      <c r="RF5079" s="106"/>
      <c r="RG5079" s="106"/>
      <c r="RH5079" s="106"/>
      <c r="RI5079" s="106"/>
      <c r="RJ5079" s="106"/>
      <c r="RK5079" s="106"/>
      <c r="RL5079" s="106"/>
    </row>
    <row r="5080" spans="462:480" x14ac:dyDescent="0.3">
      <c r="QT5080" s="106"/>
      <c r="QU5080" s="106"/>
      <c r="QV5080" s="106"/>
      <c r="QW5080" s="106"/>
      <c r="QX5080" s="106"/>
      <c r="QY5080" s="106"/>
      <c r="QZ5080" s="106"/>
      <c r="RA5080" s="106"/>
      <c r="RB5080" s="106"/>
      <c r="RC5080" s="106"/>
      <c r="RD5080" s="106"/>
      <c r="RE5080" s="106"/>
      <c r="RF5080" s="106"/>
      <c r="RG5080" s="106"/>
      <c r="RH5080" s="106"/>
      <c r="RI5080" s="106"/>
      <c r="RJ5080" s="106"/>
      <c r="RK5080" s="106"/>
      <c r="RL5080" s="106"/>
    </row>
    <row r="5081" spans="462:480" x14ac:dyDescent="0.3">
      <c r="QT5081" s="106"/>
      <c r="QU5081" s="106"/>
      <c r="QV5081" s="106"/>
      <c r="QW5081" s="106"/>
      <c r="QX5081" s="106"/>
      <c r="QY5081" s="106"/>
      <c r="QZ5081" s="106"/>
      <c r="RA5081" s="106"/>
      <c r="RB5081" s="106"/>
      <c r="RC5081" s="106"/>
      <c r="RD5081" s="106"/>
      <c r="RE5081" s="106"/>
      <c r="RF5081" s="106"/>
      <c r="RG5081" s="106"/>
      <c r="RH5081" s="106"/>
      <c r="RI5081" s="106"/>
      <c r="RJ5081" s="106"/>
      <c r="RK5081" s="106"/>
      <c r="RL5081" s="106"/>
    </row>
    <row r="5082" spans="462:480" x14ac:dyDescent="0.3">
      <c r="QT5082" s="106"/>
      <c r="QU5082" s="106"/>
      <c r="QV5082" s="106"/>
      <c r="QW5082" s="106"/>
      <c r="QX5082" s="106"/>
      <c r="QY5082" s="106"/>
      <c r="QZ5082" s="106"/>
      <c r="RA5082" s="106"/>
      <c r="RB5082" s="106"/>
      <c r="RC5082" s="106"/>
      <c r="RD5082" s="106"/>
      <c r="RE5082" s="106"/>
      <c r="RF5082" s="106"/>
      <c r="RG5082" s="106"/>
      <c r="RH5082" s="106"/>
      <c r="RI5082" s="106"/>
      <c r="RJ5082" s="106"/>
      <c r="RK5082" s="106"/>
      <c r="RL5082" s="106"/>
    </row>
    <row r="5083" spans="462:480" x14ac:dyDescent="0.3">
      <c r="QT5083" s="106"/>
      <c r="QU5083" s="106"/>
      <c r="QV5083" s="106"/>
      <c r="QW5083" s="106"/>
      <c r="QX5083" s="106"/>
      <c r="QY5083" s="106"/>
      <c r="QZ5083" s="106"/>
      <c r="RA5083" s="106"/>
      <c r="RB5083" s="106"/>
      <c r="RC5083" s="106"/>
      <c r="RD5083" s="106"/>
      <c r="RE5083" s="106"/>
      <c r="RF5083" s="106"/>
      <c r="RG5083" s="106"/>
      <c r="RH5083" s="106"/>
      <c r="RI5083" s="106"/>
      <c r="RJ5083" s="106"/>
      <c r="RK5083" s="106"/>
      <c r="RL5083" s="106"/>
    </row>
    <row r="5084" spans="462:480" x14ac:dyDescent="0.3">
      <c r="QT5084" s="106"/>
      <c r="QU5084" s="106"/>
      <c r="QV5084" s="106"/>
      <c r="QW5084" s="106"/>
      <c r="QX5084" s="106"/>
      <c r="QY5084" s="106"/>
      <c r="QZ5084" s="106"/>
      <c r="RA5084" s="106"/>
      <c r="RB5084" s="106"/>
      <c r="RC5084" s="106"/>
      <c r="RD5084" s="106"/>
      <c r="RE5084" s="106"/>
      <c r="RF5084" s="106"/>
      <c r="RG5084" s="106"/>
      <c r="RH5084" s="106"/>
      <c r="RI5084" s="106"/>
      <c r="RJ5084" s="106"/>
      <c r="RK5084" s="106"/>
      <c r="RL5084" s="106"/>
    </row>
    <row r="5085" spans="462:480" x14ac:dyDescent="0.3">
      <c r="QT5085" s="106"/>
      <c r="QU5085" s="106"/>
      <c r="QV5085" s="106"/>
      <c r="QW5085" s="106"/>
      <c r="QX5085" s="106"/>
      <c r="QY5085" s="106"/>
      <c r="QZ5085" s="106"/>
      <c r="RA5085" s="106"/>
      <c r="RB5085" s="106"/>
      <c r="RC5085" s="106"/>
      <c r="RD5085" s="106"/>
      <c r="RE5085" s="106"/>
      <c r="RF5085" s="106"/>
      <c r="RG5085" s="106"/>
      <c r="RH5085" s="106"/>
      <c r="RI5085" s="106"/>
      <c r="RJ5085" s="106"/>
      <c r="RK5085" s="106"/>
      <c r="RL5085" s="106"/>
    </row>
    <row r="5086" spans="462:480" x14ac:dyDescent="0.3">
      <c r="QT5086" s="106"/>
      <c r="QU5086" s="106"/>
      <c r="QV5086" s="106"/>
      <c r="QW5086" s="106"/>
      <c r="QX5086" s="106"/>
      <c r="QY5086" s="106"/>
      <c r="QZ5086" s="106"/>
      <c r="RA5086" s="106"/>
      <c r="RB5086" s="106"/>
      <c r="RC5086" s="106"/>
      <c r="RD5086" s="106"/>
      <c r="RE5086" s="106"/>
      <c r="RF5086" s="106"/>
      <c r="RG5086" s="106"/>
      <c r="RH5086" s="106"/>
      <c r="RI5086" s="106"/>
      <c r="RJ5086" s="106"/>
      <c r="RK5086" s="106"/>
      <c r="RL5086" s="106"/>
    </row>
    <row r="5087" spans="462:480" x14ac:dyDescent="0.3">
      <c r="QT5087" s="106"/>
      <c r="QU5087" s="106"/>
      <c r="QV5087" s="106"/>
      <c r="QW5087" s="106"/>
      <c r="QX5087" s="106"/>
      <c r="QY5087" s="106"/>
      <c r="QZ5087" s="106"/>
      <c r="RA5087" s="106"/>
      <c r="RB5087" s="106"/>
      <c r="RC5087" s="106"/>
      <c r="RD5087" s="106"/>
      <c r="RE5087" s="106"/>
      <c r="RF5087" s="106"/>
      <c r="RG5087" s="106"/>
      <c r="RH5087" s="106"/>
      <c r="RI5087" s="106"/>
      <c r="RJ5087" s="106"/>
      <c r="RK5087" s="106"/>
      <c r="RL5087" s="106"/>
    </row>
    <row r="5088" spans="462:480" x14ac:dyDescent="0.3">
      <c r="QT5088" s="106"/>
      <c r="QU5088" s="106"/>
      <c r="QV5088" s="106"/>
      <c r="QW5088" s="106"/>
      <c r="QX5088" s="106"/>
      <c r="QY5088" s="106"/>
      <c r="QZ5088" s="106"/>
      <c r="RA5088" s="106"/>
      <c r="RB5088" s="106"/>
      <c r="RC5088" s="106"/>
      <c r="RD5088" s="106"/>
      <c r="RE5088" s="106"/>
      <c r="RF5088" s="106"/>
      <c r="RG5088" s="106"/>
      <c r="RH5088" s="106"/>
      <c r="RI5088" s="106"/>
      <c r="RJ5088" s="106"/>
      <c r="RK5088" s="106"/>
      <c r="RL5088" s="106"/>
    </row>
    <row r="5089" spans="462:480" x14ac:dyDescent="0.3">
      <c r="QT5089" s="106"/>
      <c r="QU5089" s="106"/>
      <c r="QV5089" s="106"/>
      <c r="QW5089" s="106"/>
      <c r="QX5089" s="106"/>
      <c r="QY5089" s="106"/>
      <c r="QZ5089" s="106"/>
      <c r="RA5089" s="106"/>
      <c r="RB5089" s="106"/>
      <c r="RC5089" s="106"/>
      <c r="RD5089" s="106"/>
      <c r="RE5089" s="106"/>
      <c r="RF5089" s="106"/>
      <c r="RG5089" s="106"/>
      <c r="RH5089" s="106"/>
      <c r="RI5089" s="106"/>
      <c r="RJ5089" s="106"/>
      <c r="RK5089" s="106"/>
      <c r="RL5089" s="106"/>
    </row>
    <row r="5090" spans="462:480" x14ac:dyDescent="0.3">
      <c r="QT5090" s="106"/>
      <c r="QU5090" s="106"/>
      <c r="QV5090" s="106"/>
      <c r="QW5090" s="106"/>
      <c r="QX5090" s="106"/>
      <c r="QY5090" s="106"/>
      <c r="QZ5090" s="106"/>
      <c r="RA5090" s="106"/>
      <c r="RB5090" s="106"/>
      <c r="RC5090" s="106"/>
      <c r="RD5090" s="106"/>
      <c r="RE5090" s="106"/>
      <c r="RF5090" s="106"/>
      <c r="RG5090" s="106"/>
      <c r="RH5090" s="106"/>
      <c r="RI5090" s="106"/>
      <c r="RJ5090" s="106"/>
      <c r="RK5090" s="106"/>
      <c r="RL5090" s="106"/>
    </row>
    <row r="5091" spans="462:480" x14ac:dyDescent="0.3">
      <c r="QT5091" s="106"/>
      <c r="QU5091" s="106"/>
      <c r="QV5091" s="106"/>
      <c r="QW5091" s="106"/>
      <c r="QX5091" s="106"/>
      <c r="QY5091" s="106"/>
      <c r="QZ5091" s="106"/>
      <c r="RA5091" s="106"/>
      <c r="RB5091" s="106"/>
      <c r="RC5091" s="106"/>
      <c r="RD5091" s="106"/>
      <c r="RE5091" s="106"/>
      <c r="RF5091" s="106"/>
      <c r="RG5091" s="106"/>
      <c r="RH5091" s="106"/>
      <c r="RI5091" s="106"/>
      <c r="RJ5091" s="106"/>
      <c r="RK5091" s="106"/>
      <c r="RL5091" s="106"/>
    </row>
    <row r="5092" spans="462:480" x14ac:dyDescent="0.3">
      <c r="QT5092" s="106"/>
      <c r="QU5092" s="106"/>
      <c r="QV5092" s="106"/>
      <c r="QW5092" s="106"/>
      <c r="QX5092" s="106"/>
      <c r="QY5092" s="106"/>
      <c r="QZ5092" s="106"/>
      <c r="RA5092" s="106"/>
      <c r="RB5092" s="106"/>
      <c r="RC5092" s="106"/>
      <c r="RD5092" s="106"/>
      <c r="RE5092" s="106"/>
      <c r="RF5092" s="106"/>
      <c r="RG5092" s="106"/>
      <c r="RH5092" s="106"/>
      <c r="RI5092" s="106"/>
      <c r="RJ5092" s="106"/>
      <c r="RK5092" s="106"/>
      <c r="RL5092" s="106"/>
    </row>
    <row r="5093" spans="462:480" x14ac:dyDescent="0.3">
      <c r="QT5093" s="106"/>
      <c r="QU5093" s="106"/>
      <c r="QV5093" s="106"/>
      <c r="QW5093" s="106"/>
      <c r="QX5093" s="106"/>
      <c r="QY5093" s="106"/>
      <c r="QZ5093" s="106"/>
      <c r="RA5093" s="106"/>
      <c r="RB5093" s="106"/>
      <c r="RC5093" s="106"/>
      <c r="RD5093" s="106"/>
      <c r="RE5093" s="106"/>
      <c r="RF5093" s="106"/>
      <c r="RG5093" s="106"/>
      <c r="RH5093" s="106"/>
      <c r="RI5093" s="106"/>
      <c r="RJ5093" s="106"/>
      <c r="RK5093" s="106"/>
      <c r="RL5093" s="106"/>
    </row>
    <row r="5094" spans="462:480" x14ac:dyDescent="0.3">
      <c r="QT5094" s="106"/>
      <c r="QU5094" s="106"/>
      <c r="QV5094" s="106"/>
      <c r="QW5094" s="106"/>
      <c r="QX5094" s="106"/>
      <c r="QY5094" s="106"/>
      <c r="QZ5094" s="106"/>
      <c r="RA5094" s="106"/>
      <c r="RB5094" s="106"/>
      <c r="RC5094" s="106"/>
      <c r="RD5094" s="106"/>
      <c r="RE5094" s="106"/>
      <c r="RF5094" s="106"/>
      <c r="RG5094" s="106"/>
      <c r="RH5094" s="106"/>
      <c r="RI5094" s="106"/>
      <c r="RJ5094" s="106"/>
      <c r="RK5094" s="106"/>
      <c r="RL5094" s="106"/>
    </row>
    <row r="5095" spans="462:480" x14ac:dyDescent="0.3">
      <c r="QT5095" s="106"/>
      <c r="QU5095" s="106"/>
      <c r="QV5095" s="106"/>
      <c r="QW5095" s="106"/>
      <c r="QX5095" s="106"/>
      <c r="QY5095" s="106"/>
      <c r="QZ5095" s="106"/>
      <c r="RA5095" s="106"/>
      <c r="RB5095" s="106"/>
      <c r="RC5095" s="106"/>
      <c r="RD5095" s="106"/>
      <c r="RE5095" s="106"/>
      <c r="RF5095" s="106"/>
      <c r="RG5095" s="106"/>
      <c r="RH5095" s="106"/>
      <c r="RI5095" s="106"/>
      <c r="RJ5095" s="106"/>
      <c r="RK5095" s="106"/>
      <c r="RL5095" s="106"/>
    </row>
    <row r="5096" spans="462:480" x14ac:dyDescent="0.3">
      <c r="QT5096" s="106"/>
      <c r="QU5096" s="106"/>
      <c r="QV5096" s="106"/>
      <c r="QW5096" s="106"/>
      <c r="QX5096" s="106"/>
      <c r="QY5096" s="106"/>
      <c r="QZ5096" s="106"/>
      <c r="RA5096" s="106"/>
      <c r="RB5096" s="106"/>
      <c r="RC5096" s="106"/>
      <c r="RD5096" s="106"/>
      <c r="RE5096" s="106"/>
      <c r="RF5096" s="106"/>
      <c r="RG5096" s="106"/>
      <c r="RH5096" s="106"/>
      <c r="RI5096" s="106"/>
      <c r="RJ5096" s="106"/>
      <c r="RK5096" s="106"/>
      <c r="RL5096" s="106"/>
    </row>
    <row r="5097" spans="462:480" x14ac:dyDescent="0.3">
      <c r="QT5097" s="106"/>
      <c r="QU5097" s="106"/>
      <c r="QV5097" s="106"/>
      <c r="QW5097" s="106"/>
      <c r="QX5097" s="106"/>
      <c r="QY5097" s="106"/>
      <c r="QZ5097" s="106"/>
      <c r="RA5097" s="106"/>
      <c r="RB5097" s="106"/>
      <c r="RC5097" s="106"/>
      <c r="RD5097" s="106"/>
      <c r="RE5097" s="106"/>
      <c r="RF5097" s="106"/>
      <c r="RG5097" s="106"/>
      <c r="RH5097" s="106"/>
      <c r="RI5097" s="106"/>
      <c r="RJ5097" s="106"/>
      <c r="RK5097" s="106"/>
      <c r="RL5097" s="106"/>
    </row>
    <row r="5098" spans="462:480" x14ac:dyDescent="0.3">
      <c r="QT5098" s="106"/>
      <c r="QU5098" s="106"/>
      <c r="QV5098" s="106"/>
      <c r="QW5098" s="106"/>
      <c r="QX5098" s="106"/>
      <c r="QY5098" s="106"/>
      <c r="QZ5098" s="106"/>
      <c r="RA5098" s="106"/>
      <c r="RB5098" s="106"/>
      <c r="RC5098" s="106"/>
      <c r="RD5098" s="106"/>
      <c r="RE5098" s="106"/>
      <c r="RF5098" s="106"/>
      <c r="RG5098" s="106"/>
      <c r="RH5098" s="106"/>
      <c r="RI5098" s="106"/>
      <c r="RJ5098" s="106"/>
      <c r="RK5098" s="106"/>
      <c r="RL5098" s="106"/>
    </row>
    <row r="5099" spans="462:480" x14ac:dyDescent="0.3">
      <c r="QT5099" s="106"/>
      <c r="QU5099" s="106"/>
      <c r="QV5099" s="106"/>
      <c r="QW5099" s="106"/>
      <c r="QX5099" s="106"/>
      <c r="QY5099" s="106"/>
      <c r="QZ5099" s="106"/>
      <c r="RA5099" s="106"/>
      <c r="RB5099" s="106"/>
      <c r="RC5099" s="106"/>
      <c r="RD5099" s="106"/>
      <c r="RE5099" s="106"/>
      <c r="RF5099" s="106"/>
      <c r="RG5099" s="106"/>
      <c r="RH5099" s="106"/>
      <c r="RI5099" s="106"/>
      <c r="RJ5099" s="106"/>
      <c r="RK5099" s="106"/>
      <c r="RL5099" s="106"/>
    </row>
    <row r="5100" spans="462:480" x14ac:dyDescent="0.3">
      <c r="QT5100" s="106"/>
      <c r="QU5100" s="106"/>
      <c r="QV5100" s="106"/>
      <c r="QW5100" s="106"/>
      <c r="QX5100" s="106"/>
      <c r="QY5100" s="106"/>
      <c r="QZ5100" s="106"/>
      <c r="RA5100" s="106"/>
      <c r="RB5100" s="106"/>
      <c r="RC5100" s="106"/>
      <c r="RD5100" s="106"/>
      <c r="RE5100" s="106"/>
      <c r="RF5100" s="106"/>
      <c r="RG5100" s="106"/>
      <c r="RH5100" s="106"/>
      <c r="RI5100" s="106"/>
      <c r="RJ5100" s="106"/>
      <c r="RK5100" s="106"/>
      <c r="RL5100" s="106"/>
    </row>
    <row r="5101" spans="462:480" x14ac:dyDescent="0.3">
      <c r="QT5101" s="106"/>
      <c r="QU5101" s="106"/>
      <c r="QV5101" s="106"/>
      <c r="QW5101" s="106"/>
      <c r="QX5101" s="106"/>
      <c r="QY5101" s="106"/>
      <c r="QZ5101" s="106"/>
      <c r="RA5101" s="106"/>
      <c r="RB5101" s="106"/>
      <c r="RC5101" s="106"/>
      <c r="RD5101" s="106"/>
      <c r="RE5101" s="106"/>
      <c r="RF5101" s="106"/>
      <c r="RG5101" s="106"/>
      <c r="RH5101" s="106"/>
      <c r="RI5101" s="106"/>
      <c r="RJ5101" s="106"/>
      <c r="RK5101" s="106"/>
      <c r="RL5101" s="106"/>
    </row>
    <row r="5102" spans="462:480" x14ac:dyDescent="0.3">
      <c r="QT5102" s="106"/>
      <c r="QU5102" s="106"/>
      <c r="QV5102" s="106"/>
      <c r="QW5102" s="106"/>
      <c r="QX5102" s="106"/>
      <c r="QY5102" s="106"/>
      <c r="QZ5102" s="106"/>
      <c r="RA5102" s="106"/>
      <c r="RB5102" s="106"/>
      <c r="RC5102" s="106"/>
      <c r="RD5102" s="106"/>
      <c r="RE5102" s="106"/>
      <c r="RF5102" s="106"/>
      <c r="RG5102" s="106"/>
      <c r="RH5102" s="106"/>
      <c r="RI5102" s="106"/>
      <c r="RJ5102" s="106"/>
      <c r="RK5102" s="106"/>
      <c r="RL5102" s="106"/>
    </row>
    <row r="5103" spans="462:480" x14ac:dyDescent="0.3">
      <c r="QT5103" s="106"/>
      <c r="QU5103" s="106"/>
      <c r="QV5103" s="106"/>
      <c r="QW5103" s="106"/>
      <c r="QX5103" s="106"/>
      <c r="QY5103" s="106"/>
      <c r="QZ5103" s="106"/>
      <c r="RA5103" s="106"/>
      <c r="RB5103" s="106"/>
      <c r="RC5103" s="106"/>
      <c r="RD5103" s="106"/>
      <c r="RE5103" s="106"/>
      <c r="RF5103" s="106"/>
      <c r="RG5103" s="106"/>
      <c r="RH5103" s="106"/>
      <c r="RI5103" s="106"/>
      <c r="RJ5103" s="106"/>
      <c r="RK5103" s="106"/>
      <c r="RL5103" s="106"/>
    </row>
    <row r="5104" spans="462:480" x14ac:dyDescent="0.3">
      <c r="QT5104" s="106"/>
      <c r="QU5104" s="106"/>
      <c r="QV5104" s="106"/>
      <c r="QW5104" s="106"/>
      <c r="QX5104" s="106"/>
      <c r="QY5104" s="106"/>
      <c r="QZ5104" s="106"/>
      <c r="RA5104" s="106"/>
      <c r="RB5104" s="106"/>
      <c r="RC5104" s="106"/>
      <c r="RD5104" s="106"/>
      <c r="RE5104" s="106"/>
      <c r="RF5104" s="106"/>
      <c r="RG5104" s="106"/>
      <c r="RH5104" s="106"/>
      <c r="RI5104" s="106"/>
      <c r="RJ5104" s="106"/>
      <c r="RK5104" s="106"/>
      <c r="RL5104" s="106"/>
    </row>
    <row r="5105" spans="462:480" x14ac:dyDescent="0.3">
      <c r="QT5105" s="106"/>
      <c r="QU5105" s="106"/>
      <c r="QV5105" s="106"/>
      <c r="QW5105" s="106"/>
      <c r="QX5105" s="106"/>
      <c r="QY5105" s="106"/>
      <c r="QZ5105" s="106"/>
      <c r="RA5105" s="106"/>
      <c r="RB5105" s="106"/>
      <c r="RC5105" s="106"/>
      <c r="RD5105" s="106"/>
      <c r="RE5105" s="106"/>
      <c r="RF5105" s="106"/>
      <c r="RG5105" s="106"/>
      <c r="RH5105" s="106"/>
      <c r="RI5105" s="106"/>
      <c r="RJ5105" s="106"/>
      <c r="RK5105" s="106"/>
      <c r="RL5105" s="106"/>
    </row>
    <row r="5106" spans="462:480" x14ac:dyDescent="0.3">
      <c r="QT5106" s="106"/>
      <c r="QU5106" s="106"/>
      <c r="QV5106" s="106"/>
      <c r="QW5106" s="106"/>
      <c r="QX5106" s="106"/>
      <c r="QY5106" s="106"/>
      <c r="QZ5106" s="106"/>
      <c r="RA5106" s="106"/>
      <c r="RB5106" s="106"/>
      <c r="RC5106" s="106"/>
      <c r="RD5106" s="106"/>
      <c r="RE5106" s="106"/>
      <c r="RF5106" s="106"/>
      <c r="RG5106" s="106"/>
      <c r="RH5106" s="106"/>
      <c r="RI5106" s="106"/>
      <c r="RJ5106" s="106"/>
      <c r="RK5106" s="106"/>
      <c r="RL5106" s="106"/>
    </row>
    <row r="5107" spans="462:480" x14ac:dyDescent="0.3">
      <c r="QT5107" s="106"/>
      <c r="QU5107" s="106"/>
      <c r="QV5107" s="106"/>
      <c r="QW5107" s="106"/>
      <c r="QX5107" s="106"/>
      <c r="QY5107" s="106"/>
      <c r="QZ5107" s="106"/>
      <c r="RA5107" s="106"/>
      <c r="RB5107" s="106"/>
      <c r="RC5107" s="106"/>
      <c r="RD5107" s="106"/>
      <c r="RE5107" s="106"/>
      <c r="RF5107" s="106"/>
      <c r="RG5107" s="106"/>
      <c r="RH5107" s="106"/>
      <c r="RI5107" s="106"/>
      <c r="RJ5107" s="106"/>
      <c r="RK5107" s="106"/>
      <c r="RL5107" s="106"/>
    </row>
    <row r="5108" spans="462:480" x14ac:dyDescent="0.3">
      <c r="QT5108" s="106"/>
      <c r="QU5108" s="106"/>
      <c r="QV5108" s="106"/>
      <c r="QW5108" s="106"/>
      <c r="QX5108" s="106"/>
      <c r="QY5108" s="106"/>
      <c r="QZ5108" s="106"/>
      <c r="RA5108" s="106"/>
      <c r="RB5108" s="106"/>
      <c r="RC5108" s="106"/>
      <c r="RD5108" s="106"/>
      <c r="RE5108" s="106"/>
      <c r="RF5108" s="106"/>
      <c r="RG5108" s="106"/>
      <c r="RH5108" s="106"/>
      <c r="RI5108" s="106"/>
      <c r="RJ5108" s="106"/>
      <c r="RK5108" s="106"/>
      <c r="RL5108" s="106"/>
    </row>
    <row r="5109" spans="462:480" x14ac:dyDescent="0.3">
      <c r="QT5109" s="106"/>
      <c r="QU5109" s="106"/>
      <c r="QV5109" s="106"/>
      <c r="QW5109" s="106"/>
      <c r="QX5109" s="106"/>
      <c r="QY5109" s="106"/>
      <c r="QZ5109" s="106"/>
      <c r="RA5109" s="106"/>
      <c r="RB5109" s="106"/>
      <c r="RC5109" s="106"/>
      <c r="RD5109" s="106"/>
      <c r="RE5109" s="106"/>
      <c r="RF5109" s="106"/>
      <c r="RG5109" s="106"/>
      <c r="RH5109" s="106"/>
      <c r="RI5109" s="106"/>
      <c r="RJ5109" s="106"/>
      <c r="RK5109" s="106"/>
      <c r="RL5109" s="106"/>
    </row>
    <row r="5110" spans="462:480" x14ac:dyDescent="0.3">
      <c r="QT5110" s="106"/>
      <c r="QU5110" s="106"/>
      <c r="QV5110" s="106"/>
      <c r="QW5110" s="106"/>
      <c r="QX5110" s="106"/>
      <c r="QY5110" s="106"/>
      <c r="QZ5110" s="106"/>
      <c r="RA5110" s="106"/>
      <c r="RB5110" s="106"/>
      <c r="RC5110" s="106"/>
      <c r="RD5110" s="106"/>
      <c r="RE5110" s="106"/>
      <c r="RF5110" s="106"/>
      <c r="RG5110" s="106"/>
      <c r="RH5110" s="106"/>
      <c r="RI5110" s="106"/>
      <c r="RJ5110" s="106"/>
      <c r="RK5110" s="106"/>
      <c r="RL5110" s="106"/>
    </row>
    <row r="5111" spans="462:480" x14ac:dyDescent="0.3">
      <c r="QT5111" s="106"/>
      <c r="QU5111" s="106"/>
      <c r="QV5111" s="106"/>
      <c r="QW5111" s="106"/>
      <c r="QX5111" s="106"/>
      <c r="QY5111" s="106"/>
      <c r="QZ5111" s="106"/>
      <c r="RA5111" s="106"/>
      <c r="RB5111" s="106"/>
      <c r="RC5111" s="106"/>
      <c r="RD5111" s="106"/>
      <c r="RE5111" s="106"/>
      <c r="RF5111" s="106"/>
      <c r="RG5111" s="106"/>
      <c r="RH5111" s="106"/>
      <c r="RI5111" s="106"/>
      <c r="RJ5111" s="106"/>
      <c r="RK5111" s="106"/>
      <c r="RL5111" s="106"/>
    </row>
    <row r="5112" spans="462:480" x14ac:dyDescent="0.3">
      <c r="QT5112" s="106"/>
      <c r="QU5112" s="106"/>
      <c r="QV5112" s="106"/>
      <c r="QW5112" s="106"/>
      <c r="QX5112" s="106"/>
      <c r="QY5112" s="106"/>
      <c r="QZ5112" s="106"/>
      <c r="RA5112" s="106"/>
      <c r="RB5112" s="106"/>
      <c r="RC5112" s="106"/>
      <c r="RD5112" s="106"/>
      <c r="RE5112" s="106"/>
      <c r="RF5112" s="106"/>
      <c r="RG5112" s="106"/>
      <c r="RH5112" s="106"/>
      <c r="RI5112" s="106"/>
      <c r="RJ5112" s="106"/>
      <c r="RK5112" s="106"/>
      <c r="RL5112" s="106"/>
    </row>
    <row r="5113" spans="462:480" x14ac:dyDescent="0.3">
      <c r="QT5113" s="106"/>
      <c r="QU5113" s="106"/>
      <c r="QV5113" s="106"/>
      <c r="QW5113" s="106"/>
      <c r="QX5113" s="106"/>
      <c r="QY5113" s="106"/>
      <c r="QZ5113" s="106"/>
      <c r="RA5113" s="106"/>
      <c r="RB5113" s="106"/>
      <c r="RC5113" s="106"/>
      <c r="RD5113" s="106"/>
      <c r="RE5113" s="106"/>
      <c r="RF5113" s="106"/>
      <c r="RG5113" s="106"/>
      <c r="RH5113" s="106"/>
      <c r="RI5113" s="106"/>
      <c r="RJ5113" s="106"/>
      <c r="RK5113" s="106"/>
      <c r="RL5113" s="106"/>
    </row>
    <row r="5114" spans="462:480" x14ac:dyDescent="0.3">
      <c r="QT5114" s="106"/>
      <c r="QU5114" s="106"/>
      <c r="QV5114" s="106"/>
      <c r="QW5114" s="106"/>
      <c r="QX5114" s="106"/>
      <c r="QY5114" s="106"/>
      <c r="QZ5114" s="106"/>
      <c r="RA5114" s="106"/>
      <c r="RB5114" s="106"/>
      <c r="RC5114" s="106"/>
      <c r="RD5114" s="106"/>
      <c r="RE5114" s="106"/>
      <c r="RF5114" s="106"/>
      <c r="RG5114" s="106"/>
      <c r="RH5114" s="106"/>
      <c r="RI5114" s="106"/>
      <c r="RJ5114" s="106"/>
      <c r="RK5114" s="106"/>
      <c r="RL5114" s="106"/>
    </row>
    <row r="5115" spans="462:480" x14ac:dyDescent="0.3">
      <c r="QT5115" s="106"/>
      <c r="QU5115" s="106"/>
      <c r="QV5115" s="106"/>
      <c r="QW5115" s="106"/>
      <c r="QX5115" s="106"/>
      <c r="QY5115" s="106"/>
      <c r="QZ5115" s="106"/>
      <c r="RA5115" s="106"/>
      <c r="RB5115" s="106"/>
      <c r="RC5115" s="106"/>
      <c r="RD5115" s="106"/>
      <c r="RE5115" s="106"/>
      <c r="RF5115" s="106"/>
      <c r="RG5115" s="106"/>
      <c r="RH5115" s="106"/>
      <c r="RI5115" s="106"/>
      <c r="RJ5115" s="106"/>
      <c r="RK5115" s="106"/>
      <c r="RL5115" s="106"/>
    </row>
    <row r="5116" spans="462:480" x14ac:dyDescent="0.3">
      <c r="QT5116" s="106"/>
      <c r="QU5116" s="106"/>
      <c r="QV5116" s="106"/>
      <c r="QW5116" s="106"/>
      <c r="QX5116" s="106"/>
      <c r="QY5116" s="106"/>
      <c r="QZ5116" s="106"/>
      <c r="RA5116" s="106"/>
      <c r="RB5116" s="106"/>
      <c r="RC5116" s="106"/>
      <c r="RD5116" s="106"/>
      <c r="RE5116" s="106"/>
      <c r="RF5116" s="106"/>
      <c r="RG5116" s="106"/>
      <c r="RH5116" s="106"/>
      <c r="RI5116" s="106"/>
      <c r="RJ5116" s="106"/>
      <c r="RK5116" s="106"/>
      <c r="RL5116" s="106"/>
    </row>
    <row r="5117" spans="462:480" x14ac:dyDescent="0.3">
      <c r="QT5117" s="106"/>
      <c r="QU5117" s="106"/>
      <c r="QV5117" s="106"/>
      <c r="QW5117" s="106"/>
      <c r="QX5117" s="106"/>
      <c r="QY5117" s="106"/>
      <c r="QZ5117" s="106"/>
      <c r="RA5117" s="106"/>
      <c r="RB5117" s="106"/>
      <c r="RC5117" s="106"/>
      <c r="RD5117" s="106"/>
      <c r="RE5117" s="106"/>
      <c r="RF5117" s="106"/>
      <c r="RG5117" s="106"/>
      <c r="RH5117" s="106"/>
      <c r="RI5117" s="106"/>
      <c r="RJ5117" s="106"/>
      <c r="RK5117" s="106"/>
      <c r="RL5117" s="106"/>
    </row>
    <row r="5118" spans="462:480" x14ac:dyDescent="0.3">
      <c r="QT5118" s="106"/>
      <c r="QU5118" s="106"/>
      <c r="QV5118" s="106"/>
      <c r="QW5118" s="106"/>
      <c r="QX5118" s="106"/>
      <c r="QY5118" s="106"/>
      <c r="QZ5118" s="106"/>
      <c r="RA5118" s="106"/>
      <c r="RB5118" s="106"/>
      <c r="RC5118" s="106"/>
      <c r="RD5118" s="106"/>
      <c r="RE5118" s="106"/>
      <c r="RF5118" s="106"/>
      <c r="RG5118" s="106"/>
      <c r="RH5118" s="106"/>
      <c r="RI5118" s="106"/>
      <c r="RJ5118" s="106"/>
      <c r="RK5118" s="106"/>
      <c r="RL5118" s="106"/>
    </row>
    <row r="5119" spans="462:480" x14ac:dyDescent="0.3">
      <c r="QT5119" s="106"/>
      <c r="QU5119" s="106"/>
      <c r="QV5119" s="106"/>
      <c r="QW5119" s="106"/>
      <c r="QX5119" s="106"/>
      <c r="QY5119" s="106"/>
      <c r="QZ5119" s="106"/>
      <c r="RA5119" s="106"/>
      <c r="RB5119" s="106"/>
      <c r="RC5119" s="106"/>
      <c r="RD5119" s="106"/>
      <c r="RE5119" s="106"/>
      <c r="RF5119" s="106"/>
      <c r="RG5119" s="106"/>
      <c r="RH5119" s="106"/>
      <c r="RI5119" s="106"/>
      <c r="RJ5119" s="106"/>
      <c r="RK5119" s="106"/>
      <c r="RL5119" s="106"/>
    </row>
    <row r="5120" spans="462:480" x14ac:dyDescent="0.3">
      <c r="QT5120" s="106"/>
      <c r="QU5120" s="106"/>
      <c r="QV5120" s="106"/>
      <c r="QW5120" s="106"/>
      <c r="QX5120" s="106"/>
      <c r="QY5120" s="106"/>
      <c r="QZ5120" s="106"/>
      <c r="RA5120" s="106"/>
      <c r="RB5120" s="106"/>
      <c r="RC5120" s="106"/>
      <c r="RD5120" s="106"/>
      <c r="RE5120" s="106"/>
      <c r="RF5120" s="106"/>
      <c r="RG5120" s="106"/>
      <c r="RH5120" s="106"/>
      <c r="RI5120" s="106"/>
      <c r="RJ5120" s="106"/>
      <c r="RK5120" s="106"/>
      <c r="RL5120" s="106"/>
    </row>
    <row r="5121" spans="462:480" x14ac:dyDescent="0.3">
      <c r="QT5121" s="106"/>
      <c r="QU5121" s="106"/>
      <c r="QV5121" s="106"/>
      <c r="QW5121" s="106"/>
      <c r="QX5121" s="106"/>
      <c r="QY5121" s="106"/>
      <c r="QZ5121" s="106"/>
      <c r="RA5121" s="106"/>
      <c r="RB5121" s="106"/>
      <c r="RC5121" s="106"/>
      <c r="RD5121" s="106"/>
      <c r="RE5121" s="106"/>
      <c r="RF5121" s="106"/>
      <c r="RG5121" s="106"/>
      <c r="RH5121" s="106"/>
      <c r="RI5121" s="106"/>
      <c r="RJ5121" s="106"/>
      <c r="RK5121" s="106"/>
      <c r="RL5121" s="106"/>
    </row>
    <row r="5122" spans="462:480" x14ac:dyDescent="0.3">
      <c r="QT5122" s="106"/>
      <c r="QU5122" s="106"/>
      <c r="QV5122" s="106"/>
      <c r="QW5122" s="106"/>
      <c r="QX5122" s="106"/>
      <c r="QY5122" s="106"/>
      <c r="QZ5122" s="106"/>
      <c r="RA5122" s="106"/>
      <c r="RB5122" s="106"/>
      <c r="RC5122" s="106"/>
      <c r="RD5122" s="106"/>
      <c r="RE5122" s="106"/>
      <c r="RF5122" s="106"/>
      <c r="RG5122" s="106"/>
      <c r="RH5122" s="106"/>
      <c r="RI5122" s="106"/>
      <c r="RJ5122" s="106"/>
      <c r="RK5122" s="106"/>
      <c r="RL5122" s="106"/>
    </row>
    <row r="5123" spans="462:480" x14ac:dyDescent="0.3">
      <c r="QT5123" s="106"/>
      <c r="QU5123" s="106"/>
      <c r="QV5123" s="106"/>
      <c r="QW5123" s="106"/>
      <c r="QX5123" s="106"/>
      <c r="QY5123" s="106"/>
      <c r="QZ5123" s="106"/>
      <c r="RA5123" s="106"/>
      <c r="RB5123" s="106"/>
      <c r="RC5123" s="106"/>
      <c r="RD5123" s="106"/>
      <c r="RE5123" s="106"/>
      <c r="RF5123" s="106"/>
      <c r="RG5123" s="106"/>
      <c r="RH5123" s="106"/>
      <c r="RI5123" s="106"/>
      <c r="RJ5123" s="106"/>
      <c r="RK5123" s="106"/>
      <c r="RL5123" s="106"/>
    </row>
    <row r="5124" spans="462:480" x14ac:dyDescent="0.3">
      <c r="QT5124" s="106"/>
      <c r="QU5124" s="106"/>
      <c r="QV5124" s="106"/>
      <c r="QW5124" s="106"/>
      <c r="QX5124" s="106"/>
      <c r="QY5124" s="106"/>
      <c r="QZ5124" s="106"/>
      <c r="RA5124" s="106"/>
      <c r="RB5124" s="106"/>
      <c r="RC5124" s="106"/>
      <c r="RD5124" s="106"/>
      <c r="RE5124" s="106"/>
      <c r="RF5124" s="106"/>
      <c r="RG5124" s="106"/>
      <c r="RH5124" s="106"/>
      <c r="RI5124" s="106"/>
      <c r="RJ5124" s="106"/>
      <c r="RK5124" s="106"/>
      <c r="RL5124" s="106"/>
    </row>
    <row r="5125" spans="462:480" x14ac:dyDescent="0.3">
      <c r="QT5125" s="106"/>
      <c r="QU5125" s="106"/>
      <c r="QV5125" s="106"/>
      <c r="QW5125" s="106"/>
      <c r="QX5125" s="106"/>
      <c r="QY5125" s="106"/>
      <c r="QZ5125" s="106"/>
      <c r="RA5125" s="106"/>
      <c r="RB5125" s="106"/>
      <c r="RC5125" s="106"/>
      <c r="RD5125" s="106"/>
      <c r="RE5125" s="106"/>
      <c r="RF5125" s="106"/>
      <c r="RG5125" s="106"/>
      <c r="RH5125" s="106"/>
      <c r="RI5125" s="106"/>
      <c r="RJ5125" s="106"/>
      <c r="RK5125" s="106"/>
      <c r="RL5125" s="106"/>
    </row>
    <row r="5126" spans="462:480" x14ac:dyDescent="0.3">
      <c r="QT5126" s="106"/>
      <c r="QU5126" s="106"/>
      <c r="QV5126" s="106"/>
      <c r="QW5126" s="106"/>
      <c r="QX5126" s="106"/>
      <c r="QY5126" s="106"/>
      <c r="QZ5126" s="106"/>
      <c r="RA5126" s="106"/>
      <c r="RB5126" s="106"/>
      <c r="RC5126" s="106"/>
      <c r="RD5126" s="106"/>
      <c r="RE5126" s="106"/>
      <c r="RF5126" s="106"/>
      <c r="RG5126" s="106"/>
      <c r="RH5126" s="106"/>
      <c r="RI5126" s="106"/>
      <c r="RJ5126" s="106"/>
      <c r="RK5126" s="106"/>
      <c r="RL5126" s="106"/>
    </row>
    <row r="5127" spans="462:480" x14ac:dyDescent="0.3">
      <c r="QT5127" s="106"/>
      <c r="QU5127" s="106"/>
      <c r="QV5127" s="106"/>
      <c r="QW5127" s="106"/>
      <c r="QX5127" s="106"/>
      <c r="QY5127" s="106"/>
      <c r="QZ5127" s="106"/>
      <c r="RA5127" s="106"/>
      <c r="RB5127" s="106"/>
      <c r="RC5127" s="106"/>
      <c r="RD5127" s="106"/>
      <c r="RE5127" s="106"/>
      <c r="RF5127" s="106"/>
      <c r="RG5127" s="106"/>
      <c r="RH5127" s="106"/>
      <c r="RI5127" s="106"/>
      <c r="RJ5127" s="106"/>
      <c r="RK5127" s="106"/>
      <c r="RL5127" s="106"/>
    </row>
    <row r="5128" spans="462:480" x14ac:dyDescent="0.3">
      <c r="QT5128" s="106"/>
      <c r="QU5128" s="106"/>
      <c r="QV5128" s="106"/>
      <c r="QW5128" s="106"/>
      <c r="QX5128" s="106"/>
      <c r="QY5128" s="106"/>
      <c r="QZ5128" s="106"/>
      <c r="RA5128" s="106"/>
      <c r="RB5128" s="106"/>
      <c r="RC5128" s="106"/>
      <c r="RD5128" s="106"/>
      <c r="RE5128" s="106"/>
      <c r="RF5128" s="106"/>
      <c r="RG5128" s="106"/>
      <c r="RH5128" s="106"/>
      <c r="RI5128" s="106"/>
      <c r="RJ5128" s="106"/>
      <c r="RK5128" s="106"/>
      <c r="RL5128" s="106"/>
    </row>
    <row r="5129" spans="462:480" x14ac:dyDescent="0.3">
      <c r="QT5129" s="106"/>
      <c r="QU5129" s="106"/>
      <c r="QV5129" s="106"/>
      <c r="QW5129" s="106"/>
      <c r="QX5129" s="106"/>
      <c r="QY5129" s="106"/>
      <c r="QZ5129" s="106"/>
      <c r="RA5129" s="106"/>
      <c r="RB5129" s="106"/>
      <c r="RC5129" s="106"/>
      <c r="RD5129" s="106"/>
      <c r="RE5129" s="106"/>
      <c r="RF5129" s="106"/>
      <c r="RG5129" s="106"/>
      <c r="RH5129" s="106"/>
      <c r="RI5129" s="106"/>
      <c r="RJ5129" s="106"/>
      <c r="RK5129" s="106"/>
      <c r="RL5129" s="106"/>
    </row>
    <row r="5130" spans="462:480" x14ac:dyDescent="0.3">
      <c r="QT5130" s="106"/>
      <c r="QU5130" s="106"/>
      <c r="QV5130" s="106"/>
      <c r="QW5130" s="106"/>
      <c r="QX5130" s="106"/>
      <c r="QY5130" s="106"/>
      <c r="QZ5130" s="106"/>
      <c r="RA5130" s="106"/>
      <c r="RB5130" s="106"/>
      <c r="RC5130" s="106"/>
      <c r="RD5130" s="106"/>
      <c r="RE5130" s="106"/>
      <c r="RF5130" s="106"/>
      <c r="RG5130" s="106"/>
      <c r="RH5130" s="106"/>
      <c r="RI5130" s="106"/>
      <c r="RJ5130" s="106"/>
      <c r="RK5130" s="106"/>
      <c r="RL5130" s="106"/>
    </row>
    <row r="5131" spans="462:480" x14ac:dyDescent="0.3">
      <c r="QT5131" s="106"/>
      <c r="QU5131" s="106"/>
      <c r="QV5131" s="106"/>
      <c r="QW5131" s="106"/>
      <c r="QX5131" s="106"/>
      <c r="QY5131" s="106"/>
      <c r="QZ5131" s="106"/>
      <c r="RA5131" s="106"/>
      <c r="RB5131" s="106"/>
      <c r="RC5131" s="106"/>
      <c r="RD5131" s="106"/>
      <c r="RE5131" s="106"/>
      <c r="RF5131" s="106"/>
      <c r="RG5131" s="106"/>
      <c r="RH5131" s="106"/>
      <c r="RI5131" s="106"/>
      <c r="RJ5131" s="106"/>
      <c r="RK5131" s="106"/>
      <c r="RL5131" s="106"/>
    </row>
    <row r="5132" spans="462:480" x14ac:dyDescent="0.3">
      <c r="QT5132" s="106"/>
      <c r="QU5132" s="106"/>
      <c r="QV5132" s="106"/>
      <c r="QW5132" s="106"/>
      <c r="QX5132" s="106"/>
      <c r="QY5132" s="106"/>
      <c r="QZ5132" s="106"/>
      <c r="RA5132" s="106"/>
      <c r="RB5132" s="106"/>
      <c r="RC5132" s="106"/>
      <c r="RD5132" s="106"/>
      <c r="RE5132" s="106"/>
      <c r="RF5132" s="106"/>
      <c r="RG5132" s="106"/>
      <c r="RH5132" s="106"/>
      <c r="RI5132" s="106"/>
      <c r="RJ5132" s="106"/>
      <c r="RK5132" s="106"/>
      <c r="RL5132" s="106"/>
    </row>
    <row r="5133" spans="462:480" x14ac:dyDescent="0.3">
      <c r="QT5133" s="106"/>
      <c r="QU5133" s="106"/>
      <c r="QV5133" s="106"/>
      <c r="QW5133" s="106"/>
      <c r="QX5133" s="106"/>
      <c r="QY5133" s="106"/>
      <c r="QZ5133" s="106"/>
      <c r="RA5133" s="106"/>
      <c r="RB5133" s="106"/>
      <c r="RC5133" s="106"/>
      <c r="RD5133" s="106"/>
      <c r="RE5133" s="106"/>
      <c r="RF5133" s="106"/>
      <c r="RG5133" s="106"/>
      <c r="RH5133" s="106"/>
      <c r="RI5133" s="106"/>
      <c r="RJ5133" s="106"/>
      <c r="RK5133" s="106"/>
      <c r="RL5133" s="106"/>
    </row>
    <row r="5134" spans="462:480" x14ac:dyDescent="0.3">
      <c r="QT5134" s="106"/>
      <c r="QU5134" s="106"/>
      <c r="QV5134" s="106"/>
      <c r="QW5134" s="106"/>
      <c r="QX5134" s="106"/>
      <c r="QY5134" s="106"/>
      <c r="QZ5134" s="106"/>
      <c r="RA5134" s="106"/>
      <c r="RB5134" s="106"/>
      <c r="RC5134" s="106"/>
      <c r="RD5134" s="106"/>
      <c r="RE5134" s="106"/>
      <c r="RF5134" s="106"/>
      <c r="RG5134" s="106"/>
      <c r="RH5134" s="106"/>
      <c r="RI5134" s="106"/>
      <c r="RJ5134" s="106"/>
      <c r="RK5134" s="106"/>
      <c r="RL5134" s="106"/>
    </row>
    <row r="5135" spans="462:480" x14ac:dyDescent="0.3">
      <c r="QT5135" s="106"/>
      <c r="QU5135" s="106"/>
      <c r="QV5135" s="106"/>
      <c r="QW5135" s="106"/>
      <c r="QX5135" s="106"/>
      <c r="QY5135" s="106"/>
      <c r="QZ5135" s="106"/>
      <c r="RA5135" s="106"/>
      <c r="RB5135" s="106"/>
      <c r="RC5135" s="106"/>
      <c r="RD5135" s="106"/>
      <c r="RE5135" s="106"/>
      <c r="RF5135" s="106"/>
      <c r="RG5135" s="106"/>
      <c r="RH5135" s="106"/>
      <c r="RI5135" s="106"/>
      <c r="RJ5135" s="106"/>
      <c r="RK5135" s="106"/>
      <c r="RL5135" s="106"/>
    </row>
    <row r="5136" spans="462:480" x14ac:dyDescent="0.3">
      <c r="QT5136" s="106"/>
      <c r="QU5136" s="106"/>
      <c r="QV5136" s="106"/>
      <c r="QW5136" s="106"/>
      <c r="QX5136" s="106"/>
      <c r="QY5136" s="106"/>
      <c r="QZ5136" s="106"/>
      <c r="RA5136" s="106"/>
      <c r="RB5136" s="106"/>
      <c r="RC5136" s="106"/>
      <c r="RD5136" s="106"/>
      <c r="RE5136" s="106"/>
      <c r="RF5136" s="106"/>
      <c r="RG5136" s="106"/>
      <c r="RH5136" s="106"/>
      <c r="RI5136" s="106"/>
      <c r="RJ5136" s="106"/>
      <c r="RK5136" s="106"/>
      <c r="RL5136" s="106"/>
    </row>
    <row r="5137" spans="462:480" x14ac:dyDescent="0.3">
      <c r="QT5137" s="106"/>
      <c r="QU5137" s="106"/>
      <c r="QV5137" s="106"/>
      <c r="QW5137" s="106"/>
      <c r="QX5137" s="106"/>
      <c r="QY5137" s="106"/>
      <c r="QZ5137" s="106"/>
      <c r="RA5137" s="106"/>
      <c r="RB5137" s="106"/>
      <c r="RC5137" s="106"/>
      <c r="RD5137" s="106"/>
      <c r="RE5137" s="106"/>
      <c r="RF5137" s="106"/>
      <c r="RG5137" s="106"/>
      <c r="RH5137" s="106"/>
      <c r="RI5137" s="106"/>
      <c r="RJ5137" s="106"/>
      <c r="RK5137" s="106"/>
      <c r="RL5137" s="106"/>
    </row>
    <row r="5138" spans="462:480" x14ac:dyDescent="0.3">
      <c r="QT5138" s="106"/>
      <c r="QU5138" s="106"/>
      <c r="QV5138" s="106"/>
      <c r="QW5138" s="106"/>
      <c r="QX5138" s="106"/>
      <c r="QY5138" s="106"/>
      <c r="QZ5138" s="106"/>
      <c r="RA5138" s="106"/>
      <c r="RB5138" s="106"/>
      <c r="RC5138" s="106"/>
      <c r="RD5138" s="106"/>
      <c r="RE5138" s="106"/>
      <c r="RF5138" s="106"/>
      <c r="RG5138" s="106"/>
      <c r="RH5138" s="106"/>
      <c r="RI5138" s="106"/>
      <c r="RJ5138" s="106"/>
      <c r="RK5138" s="106"/>
      <c r="RL5138" s="106"/>
    </row>
    <row r="5139" spans="462:480" x14ac:dyDescent="0.3">
      <c r="QT5139" s="106"/>
      <c r="QU5139" s="106"/>
      <c r="QV5139" s="106"/>
      <c r="QW5139" s="106"/>
      <c r="QX5139" s="106"/>
      <c r="QY5139" s="106"/>
      <c r="QZ5139" s="106"/>
      <c r="RA5139" s="106"/>
      <c r="RB5139" s="106"/>
      <c r="RC5139" s="106"/>
      <c r="RD5139" s="106"/>
      <c r="RE5139" s="106"/>
      <c r="RF5139" s="106"/>
      <c r="RG5139" s="106"/>
      <c r="RH5139" s="106"/>
      <c r="RI5139" s="106"/>
      <c r="RJ5139" s="106"/>
      <c r="RK5139" s="106"/>
      <c r="RL5139" s="106"/>
    </row>
    <row r="5140" spans="462:480" x14ac:dyDescent="0.3">
      <c r="QT5140" s="106"/>
      <c r="QU5140" s="106"/>
      <c r="QV5140" s="106"/>
      <c r="QW5140" s="106"/>
      <c r="QX5140" s="106"/>
      <c r="QY5140" s="106"/>
      <c r="QZ5140" s="106"/>
      <c r="RA5140" s="106"/>
      <c r="RB5140" s="106"/>
      <c r="RC5140" s="106"/>
      <c r="RD5140" s="106"/>
      <c r="RE5140" s="106"/>
      <c r="RF5140" s="106"/>
      <c r="RG5140" s="106"/>
      <c r="RH5140" s="106"/>
      <c r="RI5140" s="106"/>
      <c r="RJ5140" s="106"/>
      <c r="RK5140" s="106"/>
      <c r="RL5140" s="106"/>
    </row>
    <row r="5141" spans="462:480" x14ac:dyDescent="0.3">
      <c r="QT5141" s="106"/>
      <c r="QU5141" s="106"/>
      <c r="QV5141" s="106"/>
      <c r="QW5141" s="106"/>
      <c r="QX5141" s="106"/>
      <c r="QY5141" s="106"/>
      <c r="QZ5141" s="106"/>
      <c r="RA5141" s="106"/>
      <c r="RB5141" s="106"/>
      <c r="RC5141" s="106"/>
      <c r="RD5141" s="106"/>
      <c r="RE5141" s="106"/>
      <c r="RF5141" s="106"/>
      <c r="RG5141" s="106"/>
      <c r="RH5141" s="106"/>
      <c r="RI5141" s="106"/>
      <c r="RJ5141" s="106"/>
      <c r="RK5141" s="106"/>
      <c r="RL5141" s="106"/>
    </row>
    <row r="5142" spans="462:480" x14ac:dyDescent="0.3">
      <c r="QT5142" s="106"/>
      <c r="QU5142" s="106"/>
      <c r="QV5142" s="106"/>
      <c r="QW5142" s="106"/>
      <c r="QX5142" s="106"/>
      <c r="QY5142" s="106"/>
      <c r="QZ5142" s="106"/>
      <c r="RA5142" s="106"/>
      <c r="RB5142" s="106"/>
      <c r="RC5142" s="106"/>
      <c r="RD5142" s="106"/>
      <c r="RE5142" s="106"/>
      <c r="RF5142" s="106"/>
      <c r="RG5142" s="106"/>
      <c r="RH5142" s="106"/>
      <c r="RI5142" s="106"/>
      <c r="RJ5142" s="106"/>
      <c r="RK5142" s="106"/>
      <c r="RL5142" s="106"/>
    </row>
    <row r="5143" spans="462:480" x14ac:dyDescent="0.3">
      <c r="QT5143" s="106"/>
      <c r="QU5143" s="106"/>
      <c r="QV5143" s="106"/>
      <c r="QW5143" s="106"/>
      <c r="QX5143" s="106"/>
      <c r="QY5143" s="106"/>
      <c r="QZ5143" s="106"/>
      <c r="RA5143" s="106"/>
      <c r="RB5143" s="106"/>
      <c r="RC5143" s="106"/>
      <c r="RD5143" s="106"/>
      <c r="RE5143" s="106"/>
      <c r="RF5143" s="106"/>
      <c r="RG5143" s="106"/>
      <c r="RH5143" s="106"/>
      <c r="RI5143" s="106"/>
      <c r="RJ5143" s="106"/>
      <c r="RK5143" s="106"/>
      <c r="RL5143" s="106"/>
    </row>
    <row r="5144" spans="462:480" x14ac:dyDescent="0.3">
      <c r="QT5144" s="106"/>
      <c r="QU5144" s="106"/>
      <c r="QV5144" s="106"/>
      <c r="QW5144" s="106"/>
      <c r="QX5144" s="106"/>
      <c r="QY5144" s="106"/>
      <c r="QZ5144" s="106"/>
      <c r="RA5144" s="106"/>
      <c r="RB5144" s="106"/>
      <c r="RC5144" s="106"/>
      <c r="RD5144" s="106"/>
      <c r="RE5144" s="106"/>
      <c r="RF5144" s="106"/>
      <c r="RG5144" s="106"/>
      <c r="RH5144" s="106"/>
      <c r="RI5144" s="106"/>
      <c r="RJ5144" s="106"/>
      <c r="RK5144" s="106"/>
      <c r="RL5144" s="106"/>
    </row>
    <row r="5145" spans="462:480" x14ac:dyDescent="0.3">
      <c r="QT5145" s="106"/>
      <c r="QU5145" s="106"/>
      <c r="QV5145" s="106"/>
      <c r="QW5145" s="106"/>
      <c r="QX5145" s="106"/>
      <c r="QY5145" s="106"/>
      <c r="QZ5145" s="106"/>
      <c r="RA5145" s="106"/>
      <c r="RB5145" s="106"/>
      <c r="RC5145" s="106"/>
      <c r="RD5145" s="106"/>
      <c r="RE5145" s="106"/>
      <c r="RF5145" s="106"/>
      <c r="RG5145" s="106"/>
      <c r="RH5145" s="106"/>
      <c r="RI5145" s="106"/>
      <c r="RJ5145" s="106"/>
      <c r="RK5145" s="106"/>
      <c r="RL5145" s="106"/>
    </row>
    <row r="5146" spans="462:480" x14ac:dyDescent="0.3">
      <c r="QT5146" s="106"/>
      <c r="QU5146" s="106"/>
      <c r="QV5146" s="106"/>
      <c r="QW5146" s="106"/>
      <c r="QX5146" s="106"/>
      <c r="QY5146" s="106"/>
      <c r="QZ5146" s="106"/>
      <c r="RA5146" s="106"/>
      <c r="RB5146" s="106"/>
      <c r="RC5146" s="106"/>
      <c r="RD5146" s="106"/>
      <c r="RE5146" s="106"/>
      <c r="RF5146" s="106"/>
      <c r="RG5146" s="106"/>
      <c r="RH5146" s="106"/>
      <c r="RI5146" s="106"/>
      <c r="RJ5146" s="106"/>
      <c r="RK5146" s="106"/>
      <c r="RL5146" s="106"/>
    </row>
    <row r="5147" spans="462:480" x14ac:dyDescent="0.3">
      <c r="QT5147" s="106"/>
      <c r="QU5147" s="106"/>
      <c r="QV5147" s="106"/>
      <c r="QW5147" s="106"/>
      <c r="QX5147" s="106"/>
      <c r="QY5147" s="106"/>
      <c r="QZ5147" s="106"/>
      <c r="RA5147" s="106"/>
      <c r="RB5147" s="106"/>
      <c r="RC5147" s="106"/>
      <c r="RD5147" s="106"/>
      <c r="RE5147" s="106"/>
      <c r="RF5147" s="106"/>
      <c r="RG5147" s="106"/>
      <c r="RH5147" s="106"/>
      <c r="RI5147" s="106"/>
      <c r="RJ5147" s="106"/>
      <c r="RK5147" s="106"/>
      <c r="RL5147" s="106"/>
    </row>
    <row r="5148" spans="462:480" x14ac:dyDescent="0.3">
      <c r="QT5148" s="106"/>
      <c r="QU5148" s="106"/>
      <c r="QV5148" s="106"/>
      <c r="QW5148" s="106"/>
      <c r="QX5148" s="106"/>
      <c r="QY5148" s="106"/>
      <c r="QZ5148" s="106"/>
      <c r="RA5148" s="106"/>
      <c r="RB5148" s="106"/>
      <c r="RC5148" s="106"/>
      <c r="RD5148" s="106"/>
      <c r="RE5148" s="106"/>
      <c r="RF5148" s="106"/>
      <c r="RG5148" s="106"/>
      <c r="RH5148" s="106"/>
      <c r="RI5148" s="106"/>
      <c r="RJ5148" s="106"/>
      <c r="RK5148" s="106"/>
      <c r="RL5148" s="106"/>
    </row>
    <row r="5149" spans="462:480" x14ac:dyDescent="0.3">
      <c r="QT5149" s="106"/>
      <c r="QU5149" s="106"/>
      <c r="QV5149" s="106"/>
      <c r="QW5149" s="106"/>
      <c r="QX5149" s="106"/>
      <c r="QY5149" s="106"/>
      <c r="QZ5149" s="106"/>
      <c r="RA5149" s="106"/>
      <c r="RB5149" s="106"/>
      <c r="RC5149" s="106"/>
      <c r="RD5149" s="106"/>
      <c r="RE5149" s="106"/>
      <c r="RF5149" s="106"/>
      <c r="RG5149" s="106"/>
      <c r="RH5149" s="106"/>
      <c r="RI5149" s="106"/>
      <c r="RJ5149" s="106"/>
      <c r="RK5149" s="106"/>
      <c r="RL5149" s="106"/>
    </row>
    <row r="5150" spans="462:480" x14ac:dyDescent="0.3">
      <c r="QT5150" s="106"/>
      <c r="QU5150" s="106"/>
      <c r="QV5150" s="106"/>
      <c r="QW5150" s="106"/>
      <c r="QX5150" s="106"/>
      <c r="QY5150" s="106"/>
      <c r="QZ5150" s="106"/>
      <c r="RA5150" s="106"/>
      <c r="RB5150" s="106"/>
      <c r="RC5150" s="106"/>
      <c r="RD5150" s="106"/>
      <c r="RE5150" s="106"/>
      <c r="RF5150" s="106"/>
      <c r="RG5150" s="106"/>
      <c r="RH5150" s="106"/>
      <c r="RI5150" s="106"/>
      <c r="RJ5150" s="106"/>
      <c r="RK5150" s="106"/>
      <c r="RL5150" s="106"/>
    </row>
    <row r="5151" spans="462:480" x14ac:dyDescent="0.3">
      <c r="QT5151" s="106"/>
      <c r="QU5151" s="106"/>
      <c r="QV5151" s="106"/>
      <c r="QW5151" s="106"/>
      <c r="QX5151" s="106"/>
      <c r="QY5151" s="106"/>
      <c r="QZ5151" s="106"/>
      <c r="RA5151" s="106"/>
      <c r="RB5151" s="106"/>
      <c r="RC5151" s="106"/>
      <c r="RD5151" s="106"/>
      <c r="RE5151" s="106"/>
      <c r="RF5151" s="106"/>
      <c r="RG5151" s="106"/>
      <c r="RH5151" s="106"/>
      <c r="RI5151" s="106"/>
      <c r="RJ5151" s="106"/>
      <c r="RK5151" s="106"/>
      <c r="RL5151" s="106"/>
    </row>
    <row r="5152" spans="462:480" x14ac:dyDescent="0.3">
      <c r="QT5152" s="106"/>
      <c r="QU5152" s="106"/>
      <c r="QV5152" s="106"/>
      <c r="QW5152" s="106"/>
      <c r="QX5152" s="106"/>
      <c r="QY5152" s="106"/>
      <c r="QZ5152" s="106"/>
      <c r="RA5152" s="106"/>
      <c r="RB5152" s="106"/>
      <c r="RC5152" s="106"/>
      <c r="RD5152" s="106"/>
      <c r="RE5152" s="106"/>
      <c r="RF5152" s="106"/>
      <c r="RG5152" s="106"/>
      <c r="RH5152" s="106"/>
      <c r="RI5152" s="106"/>
      <c r="RJ5152" s="106"/>
      <c r="RK5152" s="106"/>
      <c r="RL5152" s="106"/>
    </row>
    <row r="5153" spans="462:480" x14ac:dyDescent="0.3">
      <c r="QT5153" s="106"/>
      <c r="QU5153" s="106"/>
      <c r="QV5153" s="106"/>
      <c r="QW5153" s="106"/>
      <c r="QX5153" s="106"/>
      <c r="QY5153" s="106"/>
      <c r="QZ5153" s="106"/>
      <c r="RA5153" s="106"/>
      <c r="RB5153" s="106"/>
      <c r="RC5153" s="106"/>
      <c r="RD5153" s="106"/>
      <c r="RE5153" s="106"/>
      <c r="RF5153" s="106"/>
      <c r="RG5153" s="106"/>
      <c r="RH5153" s="106"/>
      <c r="RI5153" s="106"/>
      <c r="RJ5153" s="106"/>
      <c r="RK5153" s="106"/>
      <c r="RL5153" s="106"/>
    </row>
    <row r="5154" spans="462:480" x14ac:dyDescent="0.3">
      <c r="QT5154" s="106"/>
      <c r="QU5154" s="106"/>
      <c r="QV5154" s="106"/>
      <c r="QW5154" s="106"/>
      <c r="QX5154" s="106"/>
      <c r="QY5154" s="106"/>
      <c r="QZ5154" s="106"/>
      <c r="RA5154" s="106"/>
      <c r="RB5154" s="106"/>
      <c r="RC5154" s="106"/>
      <c r="RD5154" s="106"/>
      <c r="RE5154" s="106"/>
      <c r="RF5154" s="106"/>
      <c r="RG5154" s="106"/>
      <c r="RH5154" s="106"/>
      <c r="RI5154" s="106"/>
      <c r="RJ5154" s="106"/>
      <c r="RK5154" s="106"/>
      <c r="RL5154" s="106"/>
    </row>
    <row r="5155" spans="462:480" x14ac:dyDescent="0.3">
      <c r="QT5155" s="106"/>
      <c r="QU5155" s="106"/>
      <c r="QV5155" s="106"/>
      <c r="QW5155" s="106"/>
      <c r="QX5155" s="106"/>
      <c r="QY5155" s="106"/>
      <c r="QZ5155" s="106"/>
      <c r="RA5155" s="106"/>
      <c r="RB5155" s="106"/>
      <c r="RC5155" s="106"/>
      <c r="RD5155" s="106"/>
      <c r="RE5155" s="106"/>
      <c r="RF5155" s="106"/>
      <c r="RG5155" s="106"/>
      <c r="RH5155" s="106"/>
      <c r="RI5155" s="106"/>
      <c r="RJ5155" s="106"/>
      <c r="RK5155" s="106"/>
      <c r="RL5155" s="106"/>
    </row>
    <row r="5156" spans="462:480" x14ac:dyDescent="0.3">
      <c r="QT5156" s="106"/>
      <c r="QU5156" s="106"/>
      <c r="QV5156" s="106"/>
      <c r="QW5156" s="106"/>
      <c r="QX5156" s="106"/>
      <c r="QY5156" s="106"/>
      <c r="QZ5156" s="106"/>
      <c r="RA5156" s="106"/>
      <c r="RB5156" s="106"/>
      <c r="RC5156" s="106"/>
      <c r="RD5156" s="106"/>
      <c r="RE5156" s="106"/>
      <c r="RF5156" s="106"/>
      <c r="RG5156" s="106"/>
      <c r="RH5156" s="106"/>
      <c r="RI5156" s="106"/>
      <c r="RJ5156" s="106"/>
      <c r="RK5156" s="106"/>
      <c r="RL5156" s="106"/>
    </row>
    <row r="5157" spans="462:480" x14ac:dyDescent="0.3">
      <c r="QT5157" s="106"/>
      <c r="QU5157" s="106"/>
      <c r="QV5157" s="106"/>
      <c r="QW5157" s="106"/>
      <c r="QX5157" s="106"/>
      <c r="QY5157" s="106"/>
      <c r="QZ5157" s="106"/>
      <c r="RA5157" s="106"/>
      <c r="RB5157" s="106"/>
      <c r="RC5157" s="106"/>
      <c r="RD5157" s="106"/>
      <c r="RE5157" s="106"/>
      <c r="RF5157" s="106"/>
      <c r="RG5157" s="106"/>
      <c r="RH5157" s="106"/>
      <c r="RI5157" s="106"/>
      <c r="RJ5157" s="106"/>
      <c r="RK5157" s="106"/>
      <c r="RL5157" s="106"/>
    </row>
    <row r="5158" spans="462:480" x14ac:dyDescent="0.3">
      <c r="QT5158" s="106"/>
      <c r="QU5158" s="106"/>
      <c r="QV5158" s="106"/>
      <c r="QW5158" s="106"/>
      <c r="QX5158" s="106"/>
      <c r="QY5158" s="106"/>
      <c r="QZ5158" s="106"/>
      <c r="RA5158" s="106"/>
      <c r="RB5158" s="106"/>
      <c r="RC5158" s="106"/>
      <c r="RD5158" s="106"/>
      <c r="RE5158" s="106"/>
      <c r="RF5158" s="106"/>
      <c r="RG5158" s="106"/>
      <c r="RH5158" s="106"/>
      <c r="RI5158" s="106"/>
      <c r="RJ5158" s="106"/>
      <c r="RK5158" s="106"/>
      <c r="RL5158" s="106"/>
    </row>
    <row r="5159" spans="462:480" x14ac:dyDescent="0.3">
      <c r="QT5159" s="106"/>
      <c r="QU5159" s="106"/>
      <c r="QV5159" s="106"/>
      <c r="QW5159" s="106"/>
      <c r="QX5159" s="106"/>
      <c r="QY5159" s="106"/>
      <c r="QZ5159" s="106"/>
      <c r="RA5159" s="106"/>
      <c r="RB5159" s="106"/>
      <c r="RC5159" s="106"/>
      <c r="RD5159" s="106"/>
      <c r="RE5159" s="106"/>
      <c r="RF5159" s="106"/>
      <c r="RG5159" s="106"/>
      <c r="RH5159" s="106"/>
      <c r="RI5159" s="106"/>
      <c r="RJ5159" s="106"/>
      <c r="RK5159" s="106"/>
      <c r="RL5159" s="106"/>
    </row>
    <row r="5160" spans="462:480" x14ac:dyDescent="0.3">
      <c r="QT5160" s="106"/>
      <c r="QU5160" s="106"/>
      <c r="QV5160" s="106"/>
      <c r="QW5160" s="106"/>
      <c r="QX5160" s="106"/>
      <c r="QY5160" s="106"/>
      <c r="QZ5160" s="106"/>
      <c r="RA5160" s="106"/>
      <c r="RB5160" s="106"/>
      <c r="RC5160" s="106"/>
      <c r="RD5160" s="106"/>
      <c r="RE5160" s="106"/>
      <c r="RF5160" s="106"/>
      <c r="RG5160" s="106"/>
      <c r="RH5160" s="106"/>
      <c r="RI5160" s="106"/>
      <c r="RJ5160" s="106"/>
      <c r="RK5160" s="106"/>
      <c r="RL5160" s="106"/>
    </row>
    <row r="5161" spans="462:480" x14ac:dyDescent="0.3">
      <c r="QT5161" s="106"/>
      <c r="QU5161" s="106"/>
      <c r="QV5161" s="106"/>
      <c r="QW5161" s="106"/>
      <c r="QX5161" s="106"/>
      <c r="QY5161" s="106"/>
      <c r="QZ5161" s="106"/>
      <c r="RA5161" s="106"/>
      <c r="RB5161" s="106"/>
      <c r="RC5161" s="106"/>
      <c r="RD5161" s="106"/>
      <c r="RE5161" s="106"/>
      <c r="RF5161" s="106"/>
      <c r="RG5161" s="106"/>
      <c r="RH5161" s="106"/>
      <c r="RI5161" s="106"/>
      <c r="RJ5161" s="106"/>
      <c r="RK5161" s="106"/>
      <c r="RL5161" s="106"/>
    </row>
    <row r="5162" spans="462:480" x14ac:dyDescent="0.3">
      <c r="QT5162" s="106"/>
      <c r="QU5162" s="106"/>
      <c r="QV5162" s="106"/>
      <c r="QW5162" s="106"/>
      <c r="QX5162" s="106"/>
      <c r="QY5162" s="106"/>
      <c r="QZ5162" s="106"/>
      <c r="RA5162" s="106"/>
      <c r="RB5162" s="106"/>
      <c r="RC5162" s="106"/>
      <c r="RD5162" s="106"/>
      <c r="RE5162" s="106"/>
      <c r="RF5162" s="106"/>
      <c r="RG5162" s="106"/>
      <c r="RH5162" s="106"/>
      <c r="RI5162" s="106"/>
      <c r="RJ5162" s="106"/>
      <c r="RK5162" s="106"/>
      <c r="RL5162" s="106"/>
    </row>
    <row r="5163" spans="462:480" x14ac:dyDescent="0.3">
      <c r="QT5163" s="106"/>
      <c r="QU5163" s="106"/>
      <c r="QV5163" s="106"/>
      <c r="QW5163" s="106"/>
      <c r="QX5163" s="106"/>
      <c r="QY5163" s="106"/>
      <c r="QZ5163" s="106"/>
      <c r="RA5163" s="106"/>
      <c r="RB5163" s="106"/>
      <c r="RC5163" s="106"/>
      <c r="RD5163" s="106"/>
      <c r="RE5163" s="106"/>
      <c r="RF5163" s="106"/>
      <c r="RG5163" s="106"/>
      <c r="RH5163" s="106"/>
      <c r="RI5163" s="106"/>
      <c r="RJ5163" s="106"/>
      <c r="RK5163" s="106"/>
      <c r="RL5163" s="106"/>
    </row>
    <row r="5164" spans="462:480" x14ac:dyDescent="0.3">
      <c r="QT5164" s="106"/>
      <c r="QU5164" s="106"/>
      <c r="QV5164" s="106"/>
      <c r="QW5164" s="106"/>
      <c r="QX5164" s="106"/>
      <c r="QY5164" s="106"/>
      <c r="QZ5164" s="106"/>
      <c r="RA5164" s="106"/>
      <c r="RB5164" s="106"/>
      <c r="RC5164" s="106"/>
      <c r="RD5164" s="106"/>
      <c r="RE5164" s="106"/>
      <c r="RF5164" s="106"/>
      <c r="RG5164" s="106"/>
      <c r="RH5164" s="106"/>
      <c r="RI5164" s="106"/>
      <c r="RJ5164" s="106"/>
      <c r="RK5164" s="106"/>
      <c r="RL5164" s="106"/>
    </row>
    <row r="5165" spans="462:480" x14ac:dyDescent="0.3">
      <c r="QT5165" s="106"/>
      <c r="QU5165" s="106"/>
      <c r="QV5165" s="106"/>
      <c r="QW5165" s="106"/>
      <c r="QX5165" s="106"/>
      <c r="QY5165" s="106"/>
      <c r="QZ5165" s="106"/>
      <c r="RA5165" s="106"/>
      <c r="RB5165" s="106"/>
      <c r="RC5165" s="106"/>
      <c r="RD5165" s="106"/>
      <c r="RE5165" s="106"/>
      <c r="RF5165" s="106"/>
      <c r="RG5165" s="106"/>
      <c r="RH5165" s="106"/>
      <c r="RI5165" s="106"/>
      <c r="RJ5165" s="106"/>
      <c r="RK5165" s="106"/>
      <c r="RL5165" s="106"/>
    </row>
    <row r="5166" spans="462:480" x14ac:dyDescent="0.3">
      <c r="QT5166" s="106"/>
      <c r="QU5166" s="106"/>
      <c r="QV5166" s="106"/>
      <c r="QW5166" s="106"/>
      <c r="QX5166" s="106"/>
      <c r="QY5166" s="106"/>
      <c r="QZ5166" s="106"/>
      <c r="RA5166" s="106"/>
      <c r="RB5166" s="106"/>
      <c r="RC5166" s="106"/>
      <c r="RD5166" s="106"/>
      <c r="RE5166" s="106"/>
      <c r="RF5166" s="106"/>
      <c r="RG5166" s="106"/>
      <c r="RH5166" s="106"/>
      <c r="RI5166" s="106"/>
      <c r="RJ5166" s="106"/>
      <c r="RK5166" s="106"/>
      <c r="RL5166" s="106"/>
    </row>
    <row r="5167" spans="462:480" x14ac:dyDescent="0.3">
      <c r="QT5167" s="106"/>
      <c r="QU5167" s="106"/>
      <c r="QV5167" s="106"/>
      <c r="QW5167" s="106"/>
      <c r="QX5167" s="106"/>
      <c r="QY5167" s="106"/>
      <c r="QZ5167" s="106"/>
      <c r="RA5167" s="106"/>
      <c r="RB5167" s="106"/>
      <c r="RC5167" s="106"/>
      <c r="RD5167" s="106"/>
      <c r="RE5167" s="106"/>
      <c r="RF5167" s="106"/>
      <c r="RG5167" s="106"/>
      <c r="RH5167" s="106"/>
      <c r="RI5167" s="106"/>
      <c r="RJ5167" s="106"/>
      <c r="RK5167" s="106"/>
      <c r="RL5167" s="106"/>
    </row>
    <row r="5168" spans="462:480" x14ac:dyDescent="0.3">
      <c r="QT5168" s="106"/>
      <c r="QU5168" s="106"/>
      <c r="QV5168" s="106"/>
      <c r="QW5168" s="106"/>
      <c r="QX5168" s="106"/>
      <c r="QY5168" s="106"/>
      <c r="QZ5168" s="106"/>
      <c r="RA5168" s="106"/>
      <c r="RB5168" s="106"/>
      <c r="RC5168" s="106"/>
      <c r="RD5168" s="106"/>
      <c r="RE5168" s="106"/>
      <c r="RF5168" s="106"/>
      <c r="RG5168" s="106"/>
      <c r="RH5168" s="106"/>
      <c r="RI5168" s="106"/>
      <c r="RJ5168" s="106"/>
      <c r="RK5168" s="106"/>
      <c r="RL5168" s="106"/>
    </row>
    <row r="5169" spans="462:480" x14ac:dyDescent="0.3">
      <c r="QT5169" s="106"/>
      <c r="QU5169" s="106"/>
      <c r="QV5169" s="106"/>
      <c r="QW5169" s="106"/>
      <c r="QX5169" s="106"/>
      <c r="QY5169" s="106"/>
      <c r="QZ5169" s="106"/>
      <c r="RA5169" s="106"/>
      <c r="RB5169" s="106"/>
      <c r="RC5169" s="106"/>
      <c r="RD5169" s="106"/>
      <c r="RE5169" s="106"/>
      <c r="RF5169" s="106"/>
      <c r="RG5169" s="106"/>
      <c r="RH5169" s="106"/>
      <c r="RI5169" s="106"/>
      <c r="RJ5169" s="106"/>
      <c r="RK5169" s="106"/>
      <c r="RL5169" s="106"/>
    </row>
    <row r="5170" spans="462:480" x14ac:dyDescent="0.3">
      <c r="QT5170" s="106"/>
      <c r="QU5170" s="106"/>
      <c r="QV5170" s="106"/>
      <c r="QW5170" s="106"/>
      <c r="QX5170" s="106"/>
      <c r="QY5170" s="106"/>
      <c r="QZ5170" s="106"/>
      <c r="RA5170" s="106"/>
      <c r="RB5170" s="106"/>
      <c r="RC5170" s="106"/>
      <c r="RD5170" s="106"/>
      <c r="RE5170" s="106"/>
      <c r="RF5170" s="106"/>
      <c r="RG5170" s="106"/>
      <c r="RH5170" s="106"/>
      <c r="RI5170" s="106"/>
      <c r="RJ5170" s="106"/>
      <c r="RK5170" s="106"/>
      <c r="RL5170" s="106"/>
    </row>
    <row r="5171" spans="462:480" x14ac:dyDescent="0.3">
      <c r="QT5171" s="106"/>
      <c r="QU5171" s="106"/>
      <c r="QV5171" s="106"/>
      <c r="QW5171" s="106"/>
      <c r="QX5171" s="106"/>
      <c r="QY5171" s="106"/>
      <c r="QZ5171" s="106"/>
      <c r="RA5171" s="106"/>
      <c r="RB5171" s="106"/>
      <c r="RC5171" s="106"/>
      <c r="RD5171" s="106"/>
      <c r="RE5171" s="106"/>
      <c r="RF5171" s="106"/>
      <c r="RG5171" s="106"/>
      <c r="RH5171" s="106"/>
      <c r="RI5171" s="106"/>
      <c r="RJ5171" s="106"/>
      <c r="RK5171" s="106"/>
      <c r="RL5171" s="106"/>
    </row>
    <row r="5172" spans="462:480" x14ac:dyDescent="0.3">
      <c r="QT5172" s="106"/>
      <c r="QU5172" s="106"/>
      <c r="QV5172" s="106"/>
      <c r="QW5172" s="106"/>
      <c r="QX5172" s="106"/>
      <c r="QY5172" s="106"/>
      <c r="QZ5172" s="106"/>
      <c r="RA5172" s="106"/>
      <c r="RB5172" s="106"/>
      <c r="RC5172" s="106"/>
      <c r="RD5172" s="106"/>
      <c r="RE5172" s="106"/>
      <c r="RF5172" s="106"/>
      <c r="RG5172" s="106"/>
      <c r="RH5172" s="106"/>
      <c r="RI5172" s="106"/>
      <c r="RJ5172" s="106"/>
      <c r="RK5172" s="106"/>
      <c r="RL5172" s="106"/>
    </row>
    <row r="5173" spans="462:480" x14ac:dyDescent="0.3">
      <c r="QT5173" s="106"/>
      <c r="QU5173" s="106"/>
      <c r="QV5173" s="106"/>
      <c r="QW5173" s="106"/>
      <c r="QX5173" s="106"/>
      <c r="QY5173" s="106"/>
      <c r="QZ5173" s="106"/>
      <c r="RA5173" s="106"/>
      <c r="RB5173" s="106"/>
      <c r="RC5173" s="106"/>
      <c r="RD5173" s="106"/>
      <c r="RE5173" s="106"/>
      <c r="RF5173" s="106"/>
      <c r="RG5173" s="106"/>
      <c r="RH5173" s="106"/>
      <c r="RI5173" s="106"/>
      <c r="RJ5173" s="106"/>
      <c r="RK5173" s="106"/>
      <c r="RL5173" s="106"/>
    </row>
    <row r="5174" spans="462:480" x14ac:dyDescent="0.3">
      <c r="QT5174" s="106"/>
      <c r="QU5174" s="106"/>
      <c r="QV5174" s="106"/>
      <c r="QW5174" s="106"/>
      <c r="QX5174" s="106"/>
      <c r="QY5174" s="106"/>
      <c r="QZ5174" s="106"/>
      <c r="RA5174" s="106"/>
      <c r="RB5174" s="106"/>
      <c r="RC5174" s="106"/>
      <c r="RD5174" s="106"/>
      <c r="RE5174" s="106"/>
      <c r="RF5174" s="106"/>
      <c r="RG5174" s="106"/>
      <c r="RH5174" s="106"/>
      <c r="RI5174" s="106"/>
      <c r="RJ5174" s="106"/>
      <c r="RK5174" s="106"/>
      <c r="RL5174" s="106"/>
    </row>
    <row r="5175" spans="462:480" x14ac:dyDescent="0.3">
      <c r="QT5175" s="106"/>
      <c r="QU5175" s="106"/>
      <c r="QV5175" s="106"/>
      <c r="QW5175" s="106"/>
      <c r="QX5175" s="106"/>
      <c r="QY5175" s="106"/>
      <c r="QZ5175" s="106"/>
      <c r="RA5175" s="106"/>
      <c r="RB5175" s="106"/>
      <c r="RC5175" s="106"/>
      <c r="RD5175" s="106"/>
      <c r="RE5175" s="106"/>
      <c r="RF5175" s="106"/>
      <c r="RG5175" s="106"/>
      <c r="RH5175" s="106"/>
      <c r="RI5175" s="106"/>
      <c r="RJ5175" s="106"/>
      <c r="RK5175" s="106"/>
      <c r="RL5175" s="106"/>
    </row>
    <row r="5176" spans="462:480" x14ac:dyDescent="0.3">
      <c r="QT5176" s="106"/>
      <c r="QU5176" s="106"/>
      <c r="QV5176" s="106"/>
      <c r="QW5176" s="106"/>
      <c r="QX5176" s="106"/>
      <c r="QY5176" s="106"/>
      <c r="QZ5176" s="106"/>
      <c r="RA5176" s="106"/>
      <c r="RB5176" s="106"/>
      <c r="RC5176" s="106"/>
      <c r="RD5176" s="106"/>
      <c r="RE5176" s="106"/>
      <c r="RF5176" s="106"/>
      <c r="RG5176" s="106"/>
      <c r="RH5176" s="106"/>
      <c r="RI5176" s="106"/>
      <c r="RJ5176" s="106"/>
      <c r="RK5176" s="106"/>
      <c r="RL5176" s="106"/>
    </row>
    <row r="5177" spans="462:480" x14ac:dyDescent="0.3">
      <c r="QT5177" s="106"/>
      <c r="QU5177" s="106"/>
      <c r="QV5177" s="106"/>
      <c r="QW5177" s="106"/>
      <c r="QX5177" s="106"/>
      <c r="QY5177" s="106"/>
      <c r="QZ5177" s="106"/>
      <c r="RA5177" s="106"/>
      <c r="RB5177" s="106"/>
      <c r="RC5177" s="106"/>
      <c r="RD5177" s="106"/>
      <c r="RE5177" s="106"/>
      <c r="RF5177" s="106"/>
      <c r="RG5177" s="106"/>
      <c r="RH5177" s="106"/>
      <c r="RI5177" s="106"/>
      <c r="RJ5177" s="106"/>
      <c r="RK5177" s="106"/>
      <c r="RL5177" s="106"/>
    </row>
    <row r="5178" spans="462:480" x14ac:dyDescent="0.3">
      <c r="QT5178" s="106"/>
      <c r="QU5178" s="106"/>
      <c r="QV5178" s="106"/>
      <c r="QW5178" s="106"/>
      <c r="QX5178" s="106"/>
      <c r="QY5178" s="106"/>
      <c r="QZ5178" s="106"/>
      <c r="RA5178" s="106"/>
      <c r="RB5178" s="106"/>
      <c r="RC5178" s="106"/>
      <c r="RD5178" s="106"/>
      <c r="RE5178" s="106"/>
      <c r="RF5178" s="106"/>
      <c r="RG5178" s="106"/>
      <c r="RH5178" s="106"/>
      <c r="RI5178" s="106"/>
      <c r="RJ5178" s="106"/>
      <c r="RK5178" s="106"/>
      <c r="RL5178" s="106"/>
    </row>
    <row r="5179" spans="462:480" x14ac:dyDescent="0.3">
      <c r="QT5179" s="106"/>
      <c r="QU5179" s="106"/>
      <c r="QV5179" s="106"/>
      <c r="QW5179" s="106"/>
      <c r="QX5179" s="106"/>
      <c r="QY5179" s="106"/>
      <c r="QZ5179" s="106"/>
      <c r="RA5179" s="106"/>
      <c r="RB5179" s="106"/>
      <c r="RC5179" s="106"/>
      <c r="RD5179" s="106"/>
      <c r="RE5179" s="106"/>
      <c r="RF5179" s="106"/>
      <c r="RG5179" s="106"/>
      <c r="RH5179" s="106"/>
      <c r="RI5179" s="106"/>
      <c r="RJ5179" s="106"/>
      <c r="RK5179" s="106"/>
      <c r="RL5179" s="106"/>
    </row>
    <row r="5180" spans="462:480" x14ac:dyDescent="0.3">
      <c r="QT5180" s="106"/>
      <c r="QU5180" s="106"/>
      <c r="QV5180" s="106"/>
      <c r="QW5180" s="106"/>
      <c r="QX5180" s="106"/>
      <c r="QY5180" s="106"/>
      <c r="QZ5180" s="106"/>
      <c r="RA5180" s="106"/>
      <c r="RB5180" s="106"/>
      <c r="RC5180" s="106"/>
      <c r="RD5180" s="106"/>
      <c r="RE5180" s="106"/>
      <c r="RF5180" s="106"/>
      <c r="RG5180" s="106"/>
      <c r="RH5180" s="106"/>
      <c r="RI5180" s="106"/>
      <c r="RJ5180" s="106"/>
      <c r="RK5180" s="106"/>
      <c r="RL5180" s="106"/>
    </row>
    <row r="5181" spans="462:480" x14ac:dyDescent="0.3">
      <c r="QT5181" s="106"/>
      <c r="QU5181" s="106"/>
      <c r="QV5181" s="106"/>
      <c r="QW5181" s="106"/>
      <c r="QX5181" s="106"/>
      <c r="QY5181" s="106"/>
      <c r="QZ5181" s="106"/>
      <c r="RA5181" s="106"/>
      <c r="RB5181" s="106"/>
      <c r="RC5181" s="106"/>
      <c r="RD5181" s="106"/>
      <c r="RE5181" s="106"/>
      <c r="RF5181" s="106"/>
      <c r="RG5181" s="106"/>
      <c r="RH5181" s="106"/>
      <c r="RI5181" s="106"/>
      <c r="RJ5181" s="106"/>
      <c r="RK5181" s="106"/>
      <c r="RL5181" s="106"/>
    </row>
    <row r="5182" spans="462:480" x14ac:dyDescent="0.3">
      <c r="QT5182" s="106"/>
      <c r="QU5182" s="106"/>
      <c r="QV5182" s="106"/>
      <c r="QW5182" s="106"/>
      <c r="QX5182" s="106"/>
      <c r="QY5182" s="106"/>
      <c r="QZ5182" s="106"/>
      <c r="RA5182" s="106"/>
      <c r="RB5182" s="106"/>
      <c r="RC5182" s="106"/>
      <c r="RD5182" s="106"/>
      <c r="RE5182" s="106"/>
      <c r="RF5182" s="106"/>
      <c r="RG5182" s="106"/>
      <c r="RH5182" s="106"/>
      <c r="RI5182" s="106"/>
      <c r="RJ5182" s="106"/>
      <c r="RK5182" s="106"/>
      <c r="RL5182" s="106"/>
    </row>
    <row r="5183" spans="462:480" x14ac:dyDescent="0.3">
      <c r="QT5183" s="106"/>
      <c r="QU5183" s="106"/>
      <c r="QV5183" s="106"/>
      <c r="QW5183" s="106"/>
      <c r="QX5183" s="106"/>
      <c r="QY5183" s="106"/>
      <c r="QZ5183" s="106"/>
      <c r="RA5183" s="106"/>
      <c r="RB5183" s="106"/>
      <c r="RC5183" s="106"/>
      <c r="RD5183" s="106"/>
      <c r="RE5183" s="106"/>
      <c r="RF5183" s="106"/>
      <c r="RG5183" s="106"/>
      <c r="RH5183" s="106"/>
      <c r="RI5183" s="106"/>
      <c r="RJ5183" s="106"/>
      <c r="RK5183" s="106"/>
      <c r="RL5183" s="106"/>
    </row>
    <row r="5184" spans="462:480" x14ac:dyDescent="0.3">
      <c r="QT5184" s="106"/>
      <c r="QU5184" s="106"/>
      <c r="QV5184" s="106"/>
      <c r="QW5184" s="106"/>
      <c r="QX5184" s="106"/>
      <c r="QY5184" s="106"/>
      <c r="QZ5184" s="106"/>
      <c r="RA5184" s="106"/>
      <c r="RB5184" s="106"/>
      <c r="RC5184" s="106"/>
      <c r="RD5184" s="106"/>
      <c r="RE5184" s="106"/>
      <c r="RF5184" s="106"/>
      <c r="RG5184" s="106"/>
      <c r="RH5184" s="106"/>
      <c r="RI5184" s="106"/>
      <c r="RJ5184" s="106"/>
      <c r="RK5184" s="106"/>
      <c r="RL5184" s="106"/>
    </row>
    <row r="5185" spans="462:480" x14ac:dyDescent="0.3">
      <c r="QT5185" s="106"/>
      <c r="QU5185" s="106"/>
      <c r="QV5185" s="106"/>
      <c r="QW5185" s="106"/>
      <c r="QX5185" s="106"/>
      <c r="QY5185" s="106"/>
      <c r="QZ5185" s="106"/>
      <c r="RA5185" s="106"/>
      <c r="RB5185" s="106"/>
      <c r="RC5185" s="106"/>
      <c r="RD5185" s="106"/>
      <c r="RE5185" s="106"/>
      <c r="RF5185" s="106"/>
      <c r="RG5185" s="106"/>
      <c r="RH5185" s="106"/>
      <c r="RI5185" s="106"/>
      <c r="RJ5185" s="106"/>
      <c r="RK5185" s="106"/>
      <c r="RL5185" s="106"/>
    </row>
    <row r="5186" spans="462:480" x14ac:dyDescent="0.3">
      <c r="QT5186" s="106"/>
      <c r="QU5186" s="106"/>
      <c r="QV5186" s="106"/>
      <c r="QW5186" s="106"/>
      <c r="QX5186" s="106"/>
      <c r="QY5186" s="106"/>
      <c r="QZ5186" s="106"/>
      <c r="RA5186" s="106"/>
      <c r="RB5186" s="106"/>
      <c r="RC5186" s="106"/>
      <c r="RD5186" s="106"/>
      <c r="RE5186" s="106"/>
      <c r="RF5186" s="106"/>
      <c r="RG5186" s="106"/>
      <c r="RH5186" s="106"/>
      <c r="RI5186" s="106"/>
      <c r="RJ5186" s="106"/>
      <c r="RK5186" s="106"/>
      <c r="RL5186" s="106"/>
    </row>
    <row r="5187" spans="462:480" x14ac:dyDescent="0.3">
      <c r="QT5187" s="106"/>
      <c r="QU5187" s="106"/>
      <c r="QV5187" s="106"/>
      <c r="QW5187" s="106"/>
      <c r="QX5187" s="106"/>
      <c r="QY5187" s="106"/>
      <c r="QZ5187" s="106"/>
      <c r="RA5187" s="106"/>
      <c r="RB5187" s="106"/>
      <c r="RC5187" s="106"/>
      <c r="RD5187" s="106"/>
      <c r="RE5187" s="106"/>
      <c r="RF5187" s="106"/>
      <c r="RG5187" s="106"/>
      <c r="RH5187" s="106"/>
      <c r="RI5187" s="106"/>
      <c r="RJ5187" s="106"/>
      <c r="RK5187" s="106"/>
      <c r="RL5187" s="106"/>
    </row>
    <row r="5188" spans="462:480" x14ac:dyDescent="0.3">
      <c r="QT5188" s="106"/>
      <c r="QU5188" s="106"/>
      <c r="QV5188" s="106"/>
      <c r="QW5188" s="106"/>
      <c r="QX5188" s="106"/>
      <c r="QY5188" s="106"/>
      <c r="QZ5188" s="106"/>
      <c r="RA5188" s="106"/>
      <c r="RB5188" s="106"/>
      <c r="RC5188" s="106"/>
      <c r="RD5188" s="106"/>
      <c r="RE5188" s="106"/>
      <c r="RF5188" s="106"/>
      <c r="RG5188" s="106"/>
      <c r="RH5188" s="106"/>
      <c r="RI5188" s="106"/>
      <c r="RJ5188" s="106"/>
      <c r="RK5188" s="106"/>
      <c r="RL5188" s="106"/>
    </row>
    <row r="5189" spans="462:480" x14ac:dyDescent="0.3">
      <c r="QT5189" s="106"/>
      <c r="QU5189" s="106"/>
      <c r="QV5189" s="106"/>
      <c r="QW5189" s="106"/>
      <c r="QX5189" s="106"/>
      <c r="QY5189" s="106"/>
      <c r="QZ5189" s="106"/>
      <c r="RA5189" s="106"/>
      <c r="RB5189" s="106"/>
      <c r="RC5189" s="106"/>
      <c r="RD5189" s="106"/>
      <c r="RE5189" s="106"/>
      <c r="RF5189" s="106"/>
      <c r="RG5189" s="106"/>
      <c r="RH5189" s="106"/>
      <c r="RI5189" s="106"/>
      <c r="RJ5189" s="106"/>
      <c r="RK5189" s="106"/>
      <c r="RL5189" s="106"/>
    </row>
    <row r="5190" spans="462:480" x14ac:dyDescent="0.3">
      <c r="QT5190" s="106"/>
      <c r="QU5190" s="106"/>
      <c r="QV5190" s="106"/>
      <c r="QW5190" s="106"/>
      <c r="QX5190" s="106"/>
      <c r="QY5190" s="106"/>
      <c r="QZ5190" s="106"/>
      <c r="RA5190" s="106"/>
      <c r="RB5190" s="106"/>
      <c r="RC5190" s="106"/>
      <c r="RD5190" s="106"/>
      <c r="RE5190" s="106"/>
      <c r="RF5190" s="106"/>
      <c r="RG5190" s="106"/>
      <c r="RH5190" s="106"/>
      <c r="RI5190" s="106"/>
      <c r="RJ5190" s="106"/>
      <c r="RK5190" s="106"/>
      <c r="RL5190" s="106"/>
    </row>
    <row r="5191" spans="462:480" x14ac:dyDescent="0.3">
      <c r="QT5191" s="106"/>
      <c r="QU5191" s="106"/>
      <c r="QV5191" s="106"/>
      <c r="QW5191" s="106"/>
      <c r="QX5191" s="106"/>
      <c r="QY5191" s="106"/>
      <c r="QZ5191" s="106"/>
      <c r="RA5191" s="106"/>
      <c r="RB5191" s="106"/>
      <c r="RC5191" s="106"/>
      <c r="RD5191" s="106"/>
      <c r="RE5191" s="106"/>
      <c r="RF5191" s="106"/>
      <c r="RG5191" s="106"/>
      <c r="RH5191" s="106"/>
      <c r="RI5191" s="106"/>
      <c r="RJ5191" s="106"/>
      <c r="RK5191" s="106"/>
      <c r="RL5191" s="106"/>
    </row>
    <row r="5192" spans="462:480" x14ac:dyDescent="0.3">
      <c r="QT5192" s="106"/>
      <c r="QU5192" s="106"/>
      <c r="QV5192" s="106"/>
      <c r="QW5192" s="106"/>
      <c r="QX5192" s="106"/>
      <c r="QY5192" s="106"/>
      <c r="QZ5192" s="106"/>
      <c r="RA5192" s="106"/>
      <c r="RB5192" s="106"/>
      <c r="RC5192" s="106"/>
      <c r="RD5192" s="106"/>
      <c r="RE5192" s="106"/>
      <c r="RF5192" s="106"/>
      <c r="RG5192" s="106"/>
      <c r="RH5192" s="106"/>
      <c r="RI5192" s="106"/>
      <c r="RJ5192" s="106"/>
      <c r="RK5192" s="106"/>
      <c r="RL5192" s="106"/>
    </row>
    <row r="5193" spans="462:480" x14ac:dyDescent="0.3">
      <c r="QT5193" s="106"/>
      <c r="QU5193" s="106"/>
      <c r="QV5193" s="106"/>
      <c r="QW5193" s="106"/>
      <c r="QX5193" s="106"/>
      <c r="QY5193" s="106"/>
      <c r="QZ5193" s="106"/>
      <c r="RA5193" s="106"/>
      <c r="RB5193" s="106"/>
      <c r="RC5193" s="106"/>
      <c r="RD5193" s="106"/>
      <c r="RE5193" s="106"/>
      <c r="RF5193" s="106"/>
      <c r="RG5193" s="106"/>
      <c r="RH5193" s="106"/>
      <c r="RI5193" s="106"/>
      <c r="RJ5193" s="106"/>
      <c r="RK5193" s="106"/>
      <c r="RL5193" s="106"/>
    </row>
    <row r="5194" spans="462:480" x14ac:dyDescent="0.3">
      <c r="QT5194" s="106"/>
      <c r="QU5194" s="106"/>
      <c r="QV5194" s="106"/>
      <c r="QW5194" s="106"/>
      <c r="QX5194" s="106"/>
      <c r="QY5194" s="106"/>
      <c r="QZ5194" s="106"/>
      <c r="RA5194" s="106"/>
      <c r="RB5194" s="106"/>
      <c r="RC5194" s="106"/>
      <c r="RD5194" s="106"/>
      <c r="RE5194" s="106"/>
      <c r="RF5194" s="106"/>
      <c r="RG5194" s="106"/>
      <c r="RH5194" s="106"/>
      <c r="RI5194" s="106"/>
      <c r="RJ5194" s="106"/>
      <c r="RK5194" s="106"/>
      <c r="RL5194" s="106"/>
    </row>
    <row r="5195" spans="462:480" x14ac:dyDescent="0.3">
      <c r="QT5195" s="106"/>
      <c r="QU5195" s="106"/>
      <c r="QV5195" s="106"/>
      <c r="QW5195" s="106"/>
      <c r="QX5195" s="106"/>
      <c r="QY5195" s="106"/>
      <c r="QZ5195" s="106"/>
      <c r="RA5195" s="106"/>
      <c r="RB5195" s="106"/>
      <c r="RC5195" s="106"/>
      <c r="RD5195" s="106"/>
      <c r="RE5195" s="106"/>
      <c r="RF5195" s="106"/>
      <c r="RG5195" s="106"/>
      <c r="RH5195" s="106"/>
      <c r="RI5195" s="106"/>
      <c r="RJ5195" s="106"/>
      <c r="RK5195" s="106"/>
      <c r="RL5195" s="106"/>
    </row>
    <row r="5196" spans="462:480" x14ac:dyDescent="0.3">
      <c r="QT5196" s="106"/>
      <c r="QU5196" s="106"/>
      <c r="QV5196" s="106"/>
      <c r="QW5196" s="106"/>
      <c r="QX5196" s="106"/>
      <c r="QY5196" s="106"/>
      <c r="QZ5196" s="106"/>
      <c r="RA5196" s="106"/>
      <c r="RB5196" s="106"/>
      <c r="RC5196" s="106"/>
      <c r="RD5196" s="106"/>
      <c r="RE5196" s="106"/>
      <c r="RF5196" s="106"/>
      <c r="RG5196" s="106"/>
      <c r="RH5196" s="106"/>
      <c r="RI5196" s="106"/>
      <c r="RJ5196" s="106"/>
      <c r="RK5196" s="106"/>
      <c r="RL5196" s="106"/>
    </row>
    <row r="5197" spans="462:480" x14ac:dyDescent="0.3">
      <c r="QT5197" s="106"/>
      <c r="QU5197" s="106"/>
      <c r="QV5197" s="106"/>
      <c r="QW5197" s="106"/>
      <c r="QX5197" s="106"/>
      <c r="QY5197" s="106"/>
      <c r="QZ5197" s="106"/>
      <c r="RA5197" s="106"/>
      <c r="RB5197" s="106"/>
      <c r="RC5197" s="106"/>
      <c r="RD5197" s="106"/>
      <c r="RE5197" s="106"/>
      <c r="RF5197" s="106"/>
      <c r="RG5197" s="106"/>
      <c r="RH5197" s="106"/>
      <c r="RI5197" s="106"/>
      <c r="RJ5197" s="106"/>
      <c r="RK5197" s="106"/>
      <c r="RL5197" s="106"/>
    </row>
    <row r="5198" spans="462:480" x14ac:dyDescent="0.3">
      <c r="QT5198" s="106"/>
      <c r="QU5198" s="106"/>
      <c r="QV5198" s="106"/>
      <c r="QW5198" s="106"/>
      <c r="QX5198" s="106"/>
      <c r="QY5198" s="106"/>
      <c r="QZ5198" s="106"/>
      <c r="RA5198" s="106"/>
      <c r="RB5198" s="106"/>
      <c r="RC5198" s="106"/>
      <c r="RD5198" s="106"/>
      <c r="RE5198" s="106"/>
      <c r="RF5198" s="106"/>
      <c r="RG5198" s="106"/>
      <c r="RH5198" s="106"/>
      <c r="RI5198" s="106"/>
      <c r="RJ5198" s="106"/>
      <c r="RK5198" s="106"/>
      <c r="RL5198" s="106"/>
    </row>
    <row r="5199" spans="462:480" x14ac:dyDescent="0.3">
      <c r="QT5199" s="106"/>
      <c r="QU5199" s="106"/>
      <c r="QV5199" s="106"/>
      <c r="QW5199" s="106"/>
      <c r="QX5199" s="106"/>
      <c r="QY5199" s="106"/>
      <c r="QZ5199" s="106"/>
      <c r="RA5199" s="106"/>
      <c r="RB5199" s="106"/>
      <c r="RC5199" s="106"/>
      <c r="RD5199" s="106"/>
      <c r="RE5199" s="106"/>
      <c r="RF5199" s="106"/>
      <c r="RG5199" s="106"/>
      <c r="RH5199" s="106"/>
      <c r="RI5199" s="106"/>
      <c r="RJ5199" s="106"/>
      <c r="RK5199" s="106"/>
      <c r="RL5199" s="106"/>
    </row>
    <row r="5200" spans="462:480" x14ac:dyDescent="0.3">
      <c r="QT5200" s="106"/>
      <c r="QU5200" s="106"/>
      <c r="QV5200" s="106"/>
      <c r="QW5200" s="106"/>
      <c r="QX5200" s="106"/>
      <c r="QY5200" s="106"/>
      <c r="QZ5200" s="106"/>
      <c r="RA5200" s="106"/>
      <c r="RB5200" s="106"/>
      <c r="RC5200" s="106"/>
      <c r="RD5200" s="106"/>
      <c r="RE5200" s="106"/>
      <c r="RF5200" s="106"/>
      <c r="RG5200" s="106"/>
      <c r="RH5200" s="106"/>
      <c r="RI5200" s="106"/>
      <c r="RJ5200" s="106"/>
      <c r="RK5200" s="106"/>
      <c r="RL5200" s="106"/>
    </row>
    <row r="5201" spans="462:480" x14ac:dyDescent="0.3">
      <c r="QT5201" s="106"/>
      <c r="QU5201" s="106"/>
      <c r="QV5201" s="106"/>
      <c r="QW5201" s="106"/>
      <c r="QX5201" s="106"/>
      <c r="QY5201" s="106"/>
      <c r="QZ5201" s="106"/>
      <c r="RA5201" s="106"/>
      <c r="RB5201" s="106"/>
      <c r="RC5201" s="106"/>
      <c r="RD5201" s="106"/>
      <c r="RE5201" s="106"/>
      <c r="RF5201" s="106"/>
      <c r="RG5201" s="106"/>
      <c r="RH5201" s="106"/>
      <c r="RI5201" s="106"/>
      <c r="RJ5201" s="106"/>
      <c r="RK5201" s="106"/>
      <c r="RL5201" s="106"/>
    </row>
    <row r="5202" spans="462:480" x14ac:dyDescent="0.3">
      <c r="QT5202" s="106"/>
      <c r="QU5202" s="106"/>
      <c r="QV5202" s="106"/>
      <c r="QW5202" s="106"/>
      <c r="QX5202" s="106"/>
      <c r="QY5202" s="106"/>
      <c r="QZ5202" s="106"/>
      <c r="RA5202" s="106"/>
      <c r="RB5202" s="106"/>
      <c r="RC5202" s="106"/>
      <c r="RD5202" s="106"/>
      <c r="RE5202" s="106"/>
      <c r="RF5202" s="106"/>
      <c r="RG5202" s="106"/>
      <c r="RH5202" s="106"/>
      <c r="RI5202" s="106"/>
      <c r="RJ5202" s="106"/>
      <c r="RK5202" s="106"/>
      <c r="RL5202" s="106"/>
    </row>
    <row r="5203" spans="462:480" x14ac:dyDescent="0.3">
      <c r="QT5203" s="106"/>
      <c r="QU5203" s="106"/>
      <c r="QV5203" s="106"/>
      <c r="QW5203" s="106"/>
      <c r="QX5203" s="106"/>
      <c r="QY5203" s="106"/>
      <c r="QZ5203" s="106"/>
      <c r="RA5203" s="106"/>
      <c r="RB5203" s="106"/>
      <c r="RC5203" s="106"/>
      <c r="RD5203" s="106"/>
      <c r="RE5203" s="106"/>
      <c r="RF5203" s="106"/>
      <c r="RG5203" s="106"/>
      <c r="RH5203" s="106"/>
      <c r="RI5203" s="106"/>
      <c r="RJ5203" s="106"/>
      <c r="RK5203" s="106"/>
      <c r="RL5203" s="106"/>
    </row>
    <row r="5204" spans="462:480" x14ac:dyDescent="0.3">
      <c r="QT5204" s="106"/>
      <c r="QU5204" s="106"/>
      <c r="QV5204" s="106"/>
      <c r="QW5204" s="106"/>
      <c r="QX5204" s="106"/>
      <c r="QY5204" s="106"/>
      <c r="QZ5204" s="106"/>
      <c r="RA5204" s="106"/>
      <c r="RB5204" s="106"/>
      <c r="RC5204" s="106"/>
      <c r="RD5204" s="106"/>
      <c r="RE5204" s="106"/>
      <c r="RF5204" s="106"/>
      <c r="RG5204" s="106"/>
      <c r="RH5204" s="106"/>
      <c r="RI5204" s="106"/>
      <c r="RJ5204" s="106"/>
      <c r="RK5204" s="106"/>
      <c r="RL5204" s="106"/>
    </row>
    <row r="5205" spans="462:480" x14ac:dyDescent="0.3">
      <c r="QT5205" s="106"/>
      <c r="QU5205" s="106"/>
      <c r="QV5205" s="106"/>
      <c r="QW5205" s="106"/>
      <c r="QX5205" s="106"/>
      <c r="QY5205" s="106"/>
      <c r="QZ5205" s="106"/>
      <c r="RA5205" s="106"/>
      <c r="RB5205" s="106"/>
      <c r="RC5205" s="106"/>
      <c r="RD5205" s="106"/>
      <c r="RE5205" s="106"/>
      <c r="RF5205" s="106"/>
      <c r="RG5205" s="106"/>
      <c r="RH5205" s="106"/>
      <c r="RI5205" s="106"/>
      <c r="RJ5205" s="106"/>
      <c r="RK5205" s="106"/>
      <c r="RL5205" s="106"/>
    </row>
    <row r="5206" spans="462:480" x14ac:dyDescent="0.3">
      <c r="QT5206" s="106"/>
      <c r="QU5206" s="106"/>
      <c r="QV5206" s="106"/>
      <c r="QW5206" s="106"/>
      <c r="QX5206" s="106"/>
      <c r="QY5206" s="106"/>
      <c r="QZ5206" s="106"/>
      <c r="RA5206" s="106"/>
      <c r="RB5206" s="106"/>
      <c r="RC5206" s="106"/>
      <c r="RD5206" s="106"/>
      <c r="RE5206" s="106"/>
      <c r="RF5206" s="106"/>
      <c r="RG5206" s="106"/>
      <c r="RH5206" s="106"/>
      <c r="RI5206" s="106"/>
      <c r="RJ5206" s="106"/>
      <c r="RK5206" s="106"/>
      <c r="RL5206" s="106"/>
    </row>
    <row r="5207" spans="462:480" x14ac:dyDescent="0.3">
      <c r="QT5207" s="106"/>
      <c r="QU5207" s="106"/>
      <c r="QV5207" s="106"/>
      <c r="QW5207" s="106"/>
      <c r="QX5207" s="106"/>
      <c r="QY5207" s="106"/>
      <c r="QZ5207" s="106"/>
      <c r="RA5207" s="106"/>
      <c r="RB5207" s="106"/>
      <c r="RC5207" s="106"/>
      <c r="RD5207" s="106"/>
      <c r="RE5207" s="106"/>
      <c r="RF5207" s="106"/>
      <c r="RG5207" s="106"/>
      <c r="RH5207" s="106"/>
      <c r="RI5207" s="106"/>
      <c r="RJ5207" s="106"/>
      <c r="RK5207" s="106"/>
      <c r="RL5207" s="106"/>
    </row>
    <row r="5208" spans="462:480" x14ac:dyDescent="0.3">
      <c r="QT5208" s="106"/>
      <c r="QU5208" s="106"/>
      <c r="QV5208" s="106"/>
      <c r="QW5208" s="106"/>
      <c r="QX5208" s="106"/>
      <c r="QY5208" s="106"/>
      <c r="QZ5208" s="106"/>
      <c r="RA5208" s="106"/>
      <c r="RB5208" s="106"/>
      <c r="RC5208" s="106"/>
      <c r="RD5208" s="106"/>
      <c r="RE5208" s="106"/>
      <c r="RF5208" s="106"/>
      <c r="RG5208" s="106"/>
      <c r="RH5208" s="106"/>
      <c r="RI5208" s="106"/>
      <c r="RJ5208" s="106"/>
      <c r="RK5208" s="106"/>
      <c r="RL5208" s="106"/>
    </row>
    <row r="5209" spans="462:480" x14ac:dyDescent="0.3">
      <c r="QT5209" s="106"/>
      <c r="QU5209" s="106"/>
      <c r="QV5209" s="106"/>
      <c r="QW5209" s="106"/>
      <c r="QX5209" s="106"/>
      <c r="QY5209" s="106"/>
      <c r="QZ5209" s="106"/>
      <c r="RA5209" s="106"/>
      <c r="RB5209" s="106"/>
      <c r="RC5209" s="106"/>
      <c r="RD5209" s="106"/>
      <c r="RE5209" s="106"/>
      <c r="RF5209" s="106"/>
      <c r="RG5209" s="106"/>
      <c r="RH5209" s="106"/>
      <c r="RI5209" s="106"/>
      <c r="RJ5209" s="106"/>
      <c r="RK5209" s="106"/>
      <c r="RL5209" s="106"/>
    </row>
    <row r="5210" spans="462:480" x14ac:dyDescent="0.3">
      <c r="QT5210" s="106"/>
      <c r="QU5210" s="106"/>
      <c r="QV5210" s="106"/>
      <c r="QW5210" s="106"/>
      <c r="QX5210" s="106"/>
      <c r="QY5210" s="106"/>
      <c r="QZ5210" s="106"/>
      <c r="RA5210" s="106"/>
      <c r="RB5210" s="106"/>
      <c r="RC5210" s="106"/>
      <c r="RD5210" s="106"/>
      <c r="RE5210" s="106"/>
      <c r="RF5210" s="106"/>
      <c r="RG5210" s="106"/>
      <c r="RH5210" s="106"/>
      <c r="RI5210" s="106"/>
      <c r="RJ5210" s="106"/>
      <c r="RK5210" s="106"/>
      <c r="RL5210" s="106"/>
    </row>
    <row r="5211" spans="462:480" x14ac:dyDescent="0.3">
      <c r="QT5211" s="106"/>
      <c r="QU5211" s="106"/>
      <c r="QV5211" s="106"/>
      <c r="QW5211" s="106"/>
      <c r="QX5211" s="106"/>
      <c r="QY5211" s="106"/>
      <c r="QZ5211" s="106"/>
      <c r="RA5211" s="106"/>
      <c r="RB5211" s="106"/>
      <c r="RC5211" s="106"/>
      <c r="RD5211" s="106"/>
      <c r="RE5211" s="106"/>
      <c r="RF5211" s="106"/>
      <c r="RG5211" s="106"/>
      <c r="RH5211" s="106"/>
      <c r="RI5211" s="106"/>
      <c r="RJ5211" s="106"/>
      <c r="RK5211" s="106"/>
      <c r="RL5211" s="106"/>
    </row>
    <row r="5212" spans="462:480" x14ac:dyDescent="0.3">
      <c r="QT5212" s="106"/>
      <c r="QU5212" s="106"/>
      <c r="QV5212" s="106"/>
      <c r="QW5212" s="106"/>
      <c r="QX5212" s="106"/>
      <c r="QY5212" s="106"/>
      <c r="QZ5212" s="106"/>
      <c r="RA5212" s="106"/>
      <c r="RB5212" s="106"/>
      <c r="RC5212" s="106"/>
      <c r="RD5212" s="106"/>
      <c r="RE5212" s="106"/>
      <c r="RF5212" s="106"/>
      <c r="RG5212" s="106"/>
      <c r="RH5212" s="106"/>
      <c r="RI5212" s="106"/>
      <c r="RJ5212" s="106"/>
      <c r="RK5212" s="106"/>
      <c r="RL5212" s="106"/>
    </row>
    <row r="5213" spans="462:480" x14ac:dyDescent="0.3">
      <c r="QT5213" s="106"/>
      <c r="QU5213" s="106"/>
      <c r="QV5213" s="106"/>
      <c r="QW5213" s="106"/>
      <c r="QX5213" s="106"/>
      <c r="QY5213" s="106"/>
      <c r="QZ5213" s="106"/>
      <c r="RA5213" s="106"/>
      <c r="RB5213" s="106"/>
      <c r="RC5213" s="106"/>
      <c r="RD5213" s="106"/>
      <c r="RE5213" s="106"/>
      <c r="RF5213" s="106"/>
      <c r="RG5213" s="106"/>
      <c r="RH5213" s="106"/>
      <c r="RI5213" s="106"/>
      <c r="RJ5213" s="106"/>
      <c r="RK5213" s="106"/>
      <c r="RL5213" s="106"/>
    </row>
    <row r="5214" spans="462:480" x14ac:dyDescent="0.3">
      <c r="QT5214" s="106"/>
      <c r="QU5214" s="106"/>
      <c r="QV5214" s="106"/>
      <c r="QW5214" s="106"/>
      <c r="QX5214" s="106"/>
      <c r="QY5214" s="106"/>
      <c r="QZ5214" s="106"/>
      <c r="RA5214" s="106"/>
      <c r="RB5214" s="106"/>
      <c r="RC5214" s="106"/>
      <c r="RD5214" s="106"/>
      <c r="RE5214" s="106"/>
      <c r="RF5214" s="106"/>
      <c r="RG5214" s="106"/>
      <c r="RH5214" s="106"/>
      <c r="RI5214" s="106"/>
      <c r="RJ5214" s="106"/>
      <c r="RK5214" s="106"/>
      <c r="RL5214" s="106"/>
    </row>
    <row r="5215" spans="462:480" x14ac:dyDescent="0.3">
      <c r="QT5215" s="106"/>
      <c r="QU5215" s="106"/>
      <c r="QV5215" s="106"/>
      <c r="QW5215" s="106"/>
      <c r="QX5215" s="106"/>
      <c r="QY5215" s="106"/>
      <c r="QZ5215" s="106"/>
      <c r="RA5215" s="106"/>
      <c r="RB5215" s="106"/>
      <c r="RC5215" s="106"/>
      <c r="RD5215" s="106"/>
      <c r="RE5215" s="106"/>
      <c r="RF5215" s="106"/>
      <c r="RG5215" s="106"/>
      <c r="RH5215" s="106"/>
      <c r="RI5215" s="106"/>
      <c r="RJ5215" s="106"/>
      <c r="RK5215" s="106"/>
      <c r="RL5215" s="106"/>
    </row>
    <row r="5216" spans="462:480" x14ac:dyDescent="0.3">
      <c r="QT5216" s="106"/>
      <c r="QU5216" s="106"/>
      <c r="QV5216" s="106"/>
      <c r="QW5216" s="106"/>
      <c r="QX5216" s="106"/>
      <c r="QY5216" s="106"/>
      <c r="QZ5216" s="106"/>
      <c r="RA5216" s="106"/>
      <c r="RB5216" s="106"/>
      <c r="RC5216" s="106"/>
      <c r="RD5216" s="106"/>
      <c r="RE5216" s="106"/>
      <c r="RF5216" s="106"/>
      <c r="RG5216" s="106"/>
      <c r="RH5216" s="106"/>
      <c r="RI5216" s="106"/>
      <c r="RJ5216" s="106"/>
      <c r="RK5216" s="106"/>
      <c r="RL5216" s="106"/>
    </row>
    <row r="5217" spans="462:480" x14ac:dyDescent="0.3">
      <c r="QT5217" s="106"/>
      <c r="QU5217" s="106"/>
      <c r="QV5217" s="106"/>
      <c r="QW5217" s="106"/>
      <c r="QX5217" s="106"/>
      <c r="QY5217" s="106"/>
      <c r="QZ5217" s="106"/>
      <c r="RA5217" s="106"/>
      <c r="RB5217" s="106"/>
      <c r="RC5217" s="106"/>
      <c r="RD5217" s="106"/>
      <c r="RE5217" s="106"/>
      <c r="RF5217" s="106"/>
      <c r="RG5217" s="106"/>
      <c r="RH5217" s="106"/>
      <c r="RI5217" s="106"/>
      <c r="RJ5217" s="106"/>
      <c r="RK5217" s="106"/>
      <c r="RL5217" s="106"/>
    </row>
    <row r="5218" spans="462:480" x14ac:dyDescent="0.3">
      <c r="QT5218" s="106"/>
      <c r="QU5218" s="106"/>
      <c r="QV5218" s="106"/>
      <c r="QW5218" s="106"/>
      <c r="QX5218" s="106"/>
      <c r="QY5218" s="106"/>
      <c r="QZ5218" s="106"/>
      <c r="RA5218" s="106"/>
      <c r="RB5218" s="106"/>
      <c r="RC5218" s="106"/>
      <c r="RD5218" s="106"/>
      <c r="RE5218" s="106"/>
      <c r="RF5218" s="106"/>
      <c r="RG5218" s="106"/>
      <c r="RH5218" s="106"/>
      <c r="RI5218" s="106"/>
      <c r="RJ5218" s="106"/>
      <c r="RK5218" s="106"/>
      <c r="RL5218" s="106"/>
    </row>
    <row r="5219" spans="462:480" x14ac:dyDescent="0.3">
      <c r="QT5219" s="106"/>
      <c r="QU5219" s="106"/>
      <c r="QV5219" s="106"/>
      <c r="QW5219" s="106"/>
      <c r="QX5219" s="106"/>
      <c r="QY5219" s="106"/>
      <c r="QZ5219" s="106"/>
      <c r="RA5219" s="106"/>
      <c r="RB5219" s="106"/>
      <c r="RC5219" s="106"/>
      <c r="RD5219" s="106"/>
      <c r="RE5219" s="106"/>
      <c r="RF5219" s="106"/>
      <c r="RG5219" s="106"/>
      <c r="RH5219" s="106"/>
      <c r="RI5219" s="106"/>
      <c r="RJ5219" s="106"/>
      <c r="RK5219" s="106"/>
      <c r="RL5219" s="106"/>
    </row>
    <row r="5220" spans="462:480" x14ac:dyDescent="0.3">
      <c r="QT5220" s="106"/>
      <c r="QU5220" s="106"/>
      <c r="QV5220" s="106"/>
      <c r="QW5220" s="106"/>
      <c r="QX5220" s="106"/>
      <c r="QY5220" s="106"/>
      <c r="QZ5220" s="106"/>
      <c r="RA5220" s="106"/>
      <c r="RB5220" s="106"/>
      <c r="RC5220" s="106"/>
      <c r="RD5220" s="106"/>
      <c r="RE5220" s="106"/>
      <c r="RF5220" s="106"/>
      <c r="RG5220" s="106"/>
      <c r="RH5220" s="106"/>
      <c r="RI5220" s="106"/>
      <c r="RJ5220" s="106"/>
      <c r="RK5220" s="106"/>
      <c r="RL5220" s="106"/>
    </row>
    <row r="5221" spans="462:480" x14ac:dyDescent="0.3">
      <c r="QT5221" s="106"/>
      <c r="QU5221" s="106"/>
      <c r="QV5221" s="106"/>
      <c r="QW5221" s="106"/>
      <c r="QX5221" s="106"/>
      <c r="QY5221" s="106"/>
      <c r="QZ5221" s="106"/>
      <c r="RA5221" s="106"/>
      <c r="RB5221" s="106"/>
      <c r="RC5221" s="106"/>
      <c r="RD5221" s="106"/>
      <c r="RE5221" s="106"/>
      <c r="RF5221" s="106"/>
      <c r="RG5221" s="106"/>
      <c r="RH5221" s="106"/>
      <c r="RI5221" s="106"/>
      <c r="RJ5221" s="106"/>
      <c r="RK5221" s="106"/>
      <c r="RL5221" s="106"/>
    </row>
    <row r="5222" spans="462:480" x14ac:dyDescent="0.3">
      <c r="QT5222" s="106"/>
      <c r="QU5222" s="106"/>
      <c r="QV5222" s="106"/>
      <c r="QW5222" s="106"/>
      <c r="QX5222" s="106"/>
      <c r="QY5222" s="106"/>
      <c r="QZ5222" s="106"/>
      <c r="RA5222" s="106"/>
      <c r="RB5222" s="106"/>
      <c r="RC5222" s="106"/>
      <c r="RD5222" s="106"/>
      <c r="RE5222" s="106"/>
      <c r="RF5222" s="106"/>
      <c r="RG5222" s="106"/>
      <c r="RH5222" s="106"/>
      <c r="RI5222" s="106"/>
      <c r="RJ5222" s="106"/>
      <c r="RK5222" s="106"/>
      <c r="RL5222" s="106"/>
    </row>
    <row r="5223" spans="462:480" x14ac:dyDescent="0.3">
      <c r="QT5223" s="106"/>
      <c r="QU5223" s="106"/>
      <c r="QV5223" s="106"/>
      <c r="QW5223" s="106"/>
      <c r="QX5223" s="106"/>
      <c r="QY5223" s="106"/>
      <c r="QZ5223" s="106"/>
      <c r="RA5223" s="106"/>
      <c r="RB5223" s="106"/>
      <c r="RC5223" s="106"/>
      <c r="RD5223" s="106"/>
      <c r="RE5223" s="106"/>
      <c r="RF5223" s="106"/>
      <c r="RG5223" s="106"/>
      <c r="RH5223" s="106"/>
      <c r="RI5223" s="106"/>
      <c r="RJ5223" s="106"/>
      <c r="RK5223" s="106"/>
      <c r="RL5223" s="106"/>
    </row>
    <row r="5224" spans="462:480" x14ac:dyDescent="0.3">
      <c r="QT5224" s="106"/>
      <c r="QU5224" s="106"/>
      <c r="QV5224" s="106"/>
      <c r="QW5224" s="106"/>
      <c r="QX5224" s="106"/>
      <c r="QY5224" s="106"/>
      <c r="QZ5224" s="106"/>
      <c r="RA5224" s="106"/>
      <c r="RB5224" s="106"/>
      <c r="RC5224" s="106"/>
      <c r="RD5224" s="106"/>
      <c r="RE5224" s="106"/>
      <c r="RF5224" s="106"/>
      <c r="RG5224" s="106"/>
      <c r="RH5224" s="106"/>
      <c r="RI5224" s="106"/>
      <c r="RJ5224" s="106"/>
      <c r="RK5224" s="106"/>
      <c r="RL5224" s="106"/>
    </row>
    <row r="5225" spans="462:480" x14ac:dyDescent="0.3">
      <c r="QT5225" s="106"/>
      <c r="QU5225" s="106"/>
      <c r="QV5225" s="106"/>
      <c r="QW5225" s="106"/>
      <c r="QX5225" s="106"/>
      <c r="QY5225" s="106"/>
      <c r="QZ5225" s="106"/>
      <c r="RA5225" s="106"/>
      <c r="RB5225" s="106"/>
      <c r="RC5225" s="106"/>
      <c r="RD5225" s="106"/>
      <c r="RE5225" s="106"/>
      <c r="RF5225" s="106"/>
      <c r="RG5225" s="106"/>
      <c r="RH5225" s="106"/>
      <c r="RI5225" s="106"/>
      <c r="RJ5225" s="106"/>
      <c r="RK5225" s="106"/>
      <c r="RL5225" s="106"/>
    </row>
    <row r="5226" spans="462:480" x14ac:dyDescent="0.3">
      <c r="QT5226" s="106"/>
      <c r="QU5226" s="106"/>
      <c r="QV5226" s="106"/>
      <c r="QW5226" s="106"/>
      <c r="QX5226" s="106"/>
      <c r="QY5226" s="106"/>
      <c r="QZ5226" s="106"/>
      <c r="RA5226" s="106"/>
      <c r="RB5226" s="106"/>
      <c r="RC5226" s="106"/>
      <c r="RD5226" s="106"/>
      <c r="RE5226" s="106"/>
      <c r="RF5226" s="106"/>
      <c r="RG5226" s="106"/>
      <c r="RH5226" s="106"/>
      <c r="RI5226" s="106"/>
      <c r="RJ5226" s="106"/>
      <c r="RK5226" s="106"/>
      <c r="RL5226" s="106"/>
    </row>
    <row r="5227" spans="462:480" x14ac:dyDescent="0.3">
      <c r="QT5227" s="106"/>
      <c r="QU5227" s="106"/>
      <c r="QV5227" s="106"/>
      <c r="QW5227" s="106"/>
      <c r="QX5227" s="106"/>
      <c r="QY5227" s="106"/>
      <c r="QZ5227" s="106"/>
      <c r="RA5227" s="106"/>
      <c r="RB5227" s="106"/>
      <c r="RC5227" s="106"/>
      <c r="RD5227" s="106"/>
      <c r="RE5227" s="106"/>
      <c r="RF5227" s="106"/>
      <c r="RG5227" s="106"/>
      <c r="RH5227" s="106"/>
      <c r="RI5227" s="106"/>
      <c r="RJ5227" s="106"/>
      <c r="RK5227" s="106"/>
      <c r="RL5227" s="106"/>
    </row>
    <row r="5228" spans="462:480" x14ac:dyDescent="0.3">
      <c r="QT5228" s="106"/>
      <c r="QU5228" s="106"/>
      <c r="QV5228" s="106"/>
      <c r="QW5228" s="106"/>
      <c r="QX5228" s="106"/>
      <c r="QY5228" s="106"/>
      <c r="QZ5228" s="106"/>
      <c r="RA5228" s="106"/>
      <c r="RB5228" s="106"/>
      <c r="RC5228" s="106"/>
      <c r="RD5228" s="106"/>
      <c r="RE5228" s="106"/>
      <c r="RF5228" s="106"/>
      <c r="RG5228" s="106"/>
      <c r="RH5228" s="106"/>
      <c r="RI5228" s="106"/>
      <c r="RJ5228" s="106"/>
      <c r="RK5228" s="106"/>
      <c r="RL5228" s="106"/>
    </row>
    <row r="5229" spans="462:480" x14ac:dyDescent="0.3">
      <c r="QT5229" s="106"/>
      <c r="QU5229" s="106"/>
      <c r="QV5229" s="106"/>
      <c r="QW5229" s="106"/>
      <c r="QX5229" s="106"/>
      <c r="QY5229" s="106"/>
      <c r="QZ5229" s="106"/>
      <c r="RA5229" s="106"/>
      <c r="RB5229" s="106"/>
      <c r="RC5229" s="106"/>
      <c r="RD5229" s="106"/>
      <c r="RE5229" s="106"/>
      <c r="RF5229" s="106"/>
      <c r="RG5229" s="106"/>
      <c r="RH5229" s="106"/>
      <c r="RI5229" s="106"/>
      <c r="RJ5229" s="106"/>
      <c r="RK5229" s="106"/>
      <c r="RL5229" s="106"/>
    </row>
    <row r="5230" spans="462:480" x14ac:dyDescent="0.3">
      <c r="QT5230" s="106"/>
      <c r="QU5230" s="106"/>
      <c r="QV5230" s="106"/>
      <c r="QW5230" s="106"/>
      <c r="QX5230" s="106"/>
      <c r="QY5230" s="106"/>
      <c r="QZ5230" s="106"/>
      <c r="RA5230" s="106"/>
      <c r="RB5230" s="106"/>
      <c r="RC5230" s="106"/>
      <c r="RD5230" s="106"/>
      <c r="RE5230" s="106"/>
      <c r="RF5230" s="106"/>
      <c r="RG5230" s="106"/>
      <c r="RH5230" s="106"/>
      <c r="RI5230" s="106"/>
      <c r="RJ5230" s="106"/>
      <c r="RK5230" s="106"/>
      <c r="RL5230" s="106"/>
    </row>
    <row r="5231" spans="462:480" x14ac:dyDescent="0.3">
      <c r="QT5231" s="106"/>
      <c r="QU5231" s="106"/>
      <c r="QV5231" s="106"/>
      <c r="QW5231" s="106"/>
      <c r="QX5231" s="106"/>
      <c r="QY5231" s="106"/>
      <c r="QZ5231" s="106"/>
      <c r="RA5231" s="106"/>
      <c r="RB5231" s="106"/>
      <c r="RC5231" s="106"/>
      <c r="RD5231" s="106"/>
      <c r="RE5231" s="106"/>
      <c r="RF5231" s="106"/>
      <c r="RG5231" s="106"/>
      <c r="RH5231" s="106"/>
      <c r="RI5231" s="106"/>
      <c r="RJ5231" s="106"/>
      <c r="RK5231" s="106"/>
      <c r="RL5231" s="106"/>
    </row>
    <row r="5232" spans="462:480" x14ac:dyDescent="0.3">
      <c r="QT5232" s="106"/>
      <c r="QU5232" s="106"/>
      <c r="QV5232" s="106"/>
      <c r="QW5232" s="106"/>
      <c r="QX5232" s="106"/>
      <c r="QY5232" s="106"/>
      <c r="QZ5232" s="106"/>
      <c r="RA5232" s="106"/>
      <c r="RB5232" s="106"/>
      <c r="RC5232" s="106"/>
      <c r="RD5232" s="106"/>
      <c r="RE5232" s="106"/>
      <c r="RF5232" s="106"/>
      <c r="RG5232" s="106"/>
      <c r="RH5232" s="106"/>
      <c r="RI5232" s="106"/>
      <c r="RJ5232" s="106"/>
      <c r="RK5232" s="106"/>
      <c r="RL5232" s="106"/>
    </row>
    <row r="5233" spans="462:480" x14ac:dyDescent="0.3">
      <c r="QT5233" s="106"/>
      <c r="QU5233" s="106"/>
      <c r="QV5233" s="106"/>
      <c r="QW5233" s="106"/>
      <c r="QX5233" s="106"/>
      <c r="QY5233" s="106"/>
      <c r="QZ5233" s="106"/>
      <c r="RA5233" s="106"/>
      <c r="RB5233" s="106"/>
      <c r="RC5233" s="106"/>
      <c r="RD5233" s="106"/>
      <c r="RE5233" s="106"/>
      <c r="RF5233" s="106"/>
      <c r="RG5233" s="106"/>
      <c r="RH5233" s="106"/>
      <c r="RI5233" s="106"/>
      <c r="RJ5233" s="106"/>
      <c r="RK5233" s="106"/>
      <c r="RL5233" s="106"/>
    </row>
    <row r="5234" spans="462:480" x14ac:dyDescent="0.3">
      <c r="QT5234" s="106"/>
      <c r="QU5234" s="106"/>
      <c r="QV5234" s="106"/>
      <c r="QW5234" s="106"/>
      <c r="QX5234" s="106"/>
      <c r="QY5234" s="106"/>
      <c r="QZ5234" s="106"/>
      <c r="RA5234" s="106"/>
      <c r="RB5234" s="106"/>
      <c r="RC5234" s="106"/>
      <c r="RD5234" s="106"/>
      <c r="RE5234" s="106"/>
      <c r="RF5234" s="106"/>
      <c r="RG5234" s="106"/>
      <c r="RH5234" s="106"/>
      <c r="RI5234" s="106"/>
      <c r="RJ5234" s="106"/>
      <c r="RK5234" s="106"/>
      <c r="RL5234" s="106"/>
    </row>
    <row r="5235" spans="462:480" x14ac:dyDescent="0.3">
      <c r="QT5235" s="106"/>
      <c r="QU5235" s="106"/>
      <c r="QV5235" s="106"/>
      <c r="QW5235" s="106"/>
      <c r="QX5235" s="106"/>
      <c r="QY5235" s="106"/>
      <c r="QZ5235" s="106"/>
      <c r="RA5235" s="106"/>
      <c r="RB5235" s="106"/>
      <c r="RC5235" s="106"/>
      <c r="RD5235" s="106"/>
      <c r="RE5235" s="106"/>
      <c r="RF5235" s="106"/>
      <c r="RG5235" s="106"/>
      <c r="RH5235" s="106"/>
      <c r="RI5235" s="106"/>
      <c r="RJ5235" s="106"/>
      <c r="RK5235" s="106"/>
      <c r="RL5235" s="106"/>
    </row>
    <row r="5236" spans="462:480" x14ac:dyDescent="0.3">
      <c r="QT5236" s="106"/>
      <c r="QU5236" s="106"/>
      <c r="QV5236" s="106"/>
      <c r="QW5236" s="106"/>
      <c r="QX5236" s="106"/>
      <c r="QY5236" s="106"/>
      <c r="QZ5236" s="106"/>
      <c r="RA5236" s="106"/>
      <c r="RB5236" s="106"/>
      <c r="RC5236" s="106"/>
      <c r="RD5236" s="106"/>
      <c r="RE5236" s="106"/>
      <c r="RF5236" s="106"/>
      <c r="RG5236" s="106"/>
      <c r="RH5236" s="106"/>
      <c r="RI5236" s="106"/>
      <c r="RJ5236" s="106"/>
      <c r="RK5236" s="106"/>
      <c r="RL5236" s="106"/>
    </row>
    <row r="5237" spans="462:480" x14ac:dyDescent="0.3">
      <c r="QT5237" s="106"/>
      <c r="QU5237" s="106"/>
      <c r="QV5237" s="106"/>
      <c r="QW5237" s="106"/>
      <c r="QX5237" s="106"/>
      <c r="QY5237" s="106"/>
      <c r="QZ5237" s="106"/>
      <c r="RA5237" s="106"/>
      <c r="RB5237" s="106"/>
      <c r="RC5237" s="106"/>
      <c r="RD5237" s="106"/>
      <c r="RE5237" s="106"/>
      <c r="RF5237" s="106"/>
      <c r="RG5237" s="106"/>
      <c r="RH5237" s="106"/>
      <c r="RI5237" s="106"/>
      <c r="RJ5237" s="106"/>
      <c r="RK5237" s="106"/>
      <c r="RL5237" s="106"/>
    </row>
    <row r="5238" spans="462:480" x14ac:dyDescent="0.3">
      <c r="QT5238" s="106"/>
      <c r="QU5238" s="106"/>
      <c r="QV5238" s="106"/>
      <c r="QW5238" s="106"/>
      <c r="QX5238" s="106"/>
      <c r="QY5238" s="106"/>
      <c r="QZ5238" s="106"/>
      <c r="RA5238" s="106"/>
      <c r="RB5238" s="106"/>
      <c r="RC5238" s="106"/>
      <c r="RD5238" s="106"/>
      <c r="RE5238" s="106"/>
      <c r="RF5238" s="106"/>
      <c r="RG5238" s="106"/>
      <c r="RH5238" s="106"/>
      <c r="RI5238" s="106"/>
      <c r="RJ5238" s="106"/>
      <c r="RK5238" s="106"/>
      <c r="RL5238" s="106"/>
    </row>
    <row r="5239" spans="462:480" x14ac:dyDescent="0.3">
      <c r="QT5239" s="106"/>
      <c r="QU5239" s="106"/>
      <c r="QV5239" s="106"/>
      <c r="QW5239" s="106"/>
      <c r="QX5239" s="106"/>
      <c r="QY5239" s="106"/>
      <c r="QZ5239" s="106"/>
      <c r="RA5239" s="106"/>
      <c r="RB5239" s="106"/>
      <c r="RC5239" s="106"/>
      <c r="RD5239" s="106"/>
      <c r="RE5239" s="106"/>
      <c r="RF5239" s="106"/>
      <c r="RG5239" s="106"/>
      <c r="RH5239" s="106"/>
      <c r="RI5239" s="106"/>
      <c r="RJ5239" s="106"/>
      <c r="RK5239" s="106"/>
      <c r="RL5239" s="106"/>
    </row>
    <row r="5240" spans="462:480" x14ac:dyDescent="0.3">
      <c r="QT5240" s="106"/>
      <c r="QU5240" s="106"/>
      <c r="QV5240" s="106"/>
      <c r="QW5240" s="106"/>
      <c r="QX5240" s="106"/>
      <c r="QY5240" s="106"/>
      <c r="QZ5240" s="106"/>
      <c r="RA5240" s="106"/>
      <c r="RB5240" s="106"/>
      <c r="RC5240" s="106"/>
      <c r="RD5240" s="106"/>
      <c r="RE5240" s="106"/>
      <c r="RF5240" s="106"/>
      <c r="RG5240" s="106"/>
      <c r="RH5240" s="106"/>
      <c r="RI5240" s="106"/>
      <c r="RJ5240" s="106"/>
      <c r="RK5240" s="106"/>
      <c r="RL5240" s="106"/>
    </row>
    <row r="5241" spans="462:480" x14ac:dyDescent="0.3">
      <c r="QT5241" s="106"/>
      <c r="QU5241" s="106"/>
      <c r="QV5241" s="106"/>
      <c r="QW5241" s="106"/>
      <c r="QX5241" s="106"/>
      <c r="QY5241" s="106"/>
      <c r="QZ5241" s="106"/>
      <c r="RA5241" s="106"/>
      <c r="RB5241" s="106"/>
      <c r="RC5241" s="106"/>
      <c r="RD5241" s="106"/>
      <c r="RE5241" s="106"/>
      <c r="RF5241" s="106"/>
      <c r="RG5241" s="106"/>
      <c r="RH5241" s="106"/>
      <c r="RI5241" s="106"/>
      <c r="RJ5241" s="106"/>
      <c r="RK5241" s="106"/>
      <c r="RL5241" s="106"/>
    </row>
    <row r="5242" spans="462:480" x14ac:dyDescent="0.3">
      <c r="QT5242" s="106"/>
      <c r="QU5242" s="106"/>
      <c r="QV5242" s="106"/>
      <c r="QW5242" s="106"/>
      <c r="QX5242" s="106"/>
      <c r="QY5242" s="106"/>
      <c r="QZ5242" s="106"/>
      <c r="RA5242" s="106"/>
      <c r="RB5242" s="106"/>
      <c r="RC5242" s="106"/>
      <c r="RD5242" s="106"/>
      <c r="RE5242" s="106"/>
      <c r="RF5242" s="106"/>
      <c r="RG5242" s="106"/>
      <c r="RH5242" s="106"/>
      <c r="RI5242" s="106"/>
      <c r="RJ5242" s="106"/>
      <c r="RK5242" s="106"/>
      <c r="RL5242" s="106"/>
    </row>
    <row r="5243" spans="462:480" x14ac:dyDescent="0.3">
      <c r="QT5243" s="106"/>
      <c r="QU5243" s="106"/>
      <c r="QV5243" s="106"/>
      <c r="QW5243" s="106"/>
      <c r="QX5243" s="106"/>
      <c r="QY5243" s="106"/>
      <c r="QZ5243" s="106"/>
      <c r="RA5243" s="106"/>
      <c r="RB5243" s="106"/>
      <c r="RC5243" s="106"/>
      <c r="RD5243" s="106"/>
      <c r="RE5243" s="106"/>
      <c r="RF5243" s="106"/>
      <c r="RG5243" s="106"/>
      <c r="RH5243" s="106"/>
      <c r="RI5243" s="106"/>
      <c r="RJ5243" s="106"/>
      <c r="RK5243" s="106"/>
      <c r="RL5243" s="106"/>
    </row>
    <row r="5244" spans="462:480" x14ac:dyDescent="0.3">
      <c r="QT5244" s="106"/>
      <c r="QU5244" s="106"/>
      <c r="QV5244" s="106"/>
      <c r="QW5244" s="106"/>
      <c r="QX5244" s="106"/>
      <c r="QY5244" s="106"/>
      <c r="QZ5244" s="106"/>
      <c r="RA5244" s="106"/>
      <c r="RB5244" s="106"/>
      <c r="RC5244" s="106"/>
      <c r="RD5244" s="106"/>
      <c r="RE5244" s="106"/>
      <c r="RF5244" s="106"/>
      <c r="RG5244" s="106"/>
      <c r="RH5244" s="106"/>
      <c r="RI5244" s="106"/>
      <c r="RJ5244" s="106"/>
      <c r="RK5244" s="106"/>
      <c r="RL5244" s="106"/>
    </row>
    <row r="5245" spans="462:480" x14ac:dyDescent="0.3">
      <c r="QT5245" s="106"/>
      <c r="QU5245" s="106"/>
      <c r="QV5245" s="106"/>
      <c r="QW5245" s="106"/>
      <c r="QX5245" s="106"/>
      <c r="QY5245" s="106"/>
      <c r="QZ5245" s="106"/>
      <c r="RA5245" s="106"/>
      <c r="RB5245" s="106"/>
      <c r="RC5245" s="106"/>
      <c r="RD5245" s="106"/>
      <c r="RE5245" s="106"/>
      <c r="RF5245" s="106"/>
      <c r="RG5245" s="106"/>
      <c r="RH5245" s="106"/>
      <c r="RI5245" s="106"/>
      <c r="RJ5245" s="106"/>
      <c r="RK5245" s="106"/>
      <c r="RL5245" s="106"/>
    </row>
    <row r="5246" spans="462:480" x14ac:dyDescent="0.3">
      <c r="QT5246" s="106"/>
      <c r="QU5246" s="106"/>
      <c r="QV5246" s="106"/>
      <c r="QW5246" s="106"/>
      <c r="QX5246" s="106"/>
      <c r="QY5246" s="106"/>
      <c r="QZ5246" s="106"/>
      <c r="RA5246" s="106"/>
      <c r="RB5246" s="106"/>
      <c r="RC5246" s="106"/>
      <c r="RD5246" s="106"/>
      <c r="RE5246" s="106"/>
      <c r="RF5246" s="106"/>
      <c r="RG5246" s="106"/>
      <c r="RH5246" s="106"/>
      <c r="RI5246" s="106"/>
      <c r="RJ5246" s="106"/>
      <c r="RK5246" s="106"/>
      <c r="RL5246" s="106"/>
    </row>
    <row r="5247" spans="462:480" x14ac:dyDescent="0.3">
      <c r="QT5247" s="106"/>
      <c r="QU5247" s="106"/>
      <c r="QV5247" s="106"/>
      <c r="QW5247" s="106"/>
      <c r="QX5247" s="106"/>
      <c r="QY5247" s="106"/>
      <c r="QZ5247" s="106"/>
      <c r="RA5247" s="106"/>
      <c r="RB5247" s="106"/>
      <c r="RC5247" s="106"/>
      <c r="RD5247" s="106"/>
      <c r="RE5247" s="106"/>
      <c r="RF5247" s="106"/>
      <c r="RG5247" s="106"/>
      <c r="RH5247" s="106"/>
      <c r="RI5247" s="106"/>
      <c r="RJ5247" s="106"/>
      <c r="RK5247" s="106"/>
      <c r="RL5247" s="106"/>
    </row>
    <row r="5248" spans="462:480" x14ac:dyDescent="0.3">
      <c r="QT5248" s="106"/>
      <c r="QU5248" s="106"/>
      <c r="QV5248" s="106"/>
      <c r="QW5248" s="106"/>
      <c r="QX5248" s="106"/>
      <c r="QY5248" s="106"/>
      <c r="QZ5248" s="106"/>
      <c r="RA5248" s="106"/>
      <c r="RB5248" s="106"/>
      <c r="RC5248" s="106"/>
      <c r="RD5248" s="106"/>
      <c r="RE5248" s="106"/>
      <c r="RF5248" s="106"/>
      <c r="RG5248" s="106"/>
      <c r="RH5248" s="106"/>
      <c r="RI5248" s="106"/>
      <c r="RJ5248" s="106"/>
      <c r="RK5248" s="106"/>
      <c r="RL5248" s="106"/>
    </row>
    <row r="5249" spans="462:480" x14ac:dyDescent="0.3">
      <c r="QT5249" s="106"/>
      <c r="QU5249" s="106"/>
      <c r="QV5249" s="106"/>
      <c r="QW5249" s="106"/>
      <c r="QX5249" s="106"/>
      <c r="QY5249" s="106"/>
      <c r="QZ5249" s="106"/>
      <c r="RA5249" s="106"/>
      <c r="RB5249" s="106"/>
      <c r="RC5249" s="106"/>
      <c r="RD5249" s="106"/>
      <c r="RE5249" s="106"/>
      <c r="RF5249" s="106"/>
      <c r="RG5249" s="106"/>
      <c r="RH5249" s="106"/>
      <c r="RI5249" s="106"/>
      <c r="RJ5249" s="106"/>
      <c r="RK5249" s="106"/>
      <c r="RL5249" s="106"/>
    </row>
    <row r="5250" spans="462:480" x14ac:dyDescent="0.3">
      <c r="QT5250" s="106"/>
      <c r="QU5250" s="106"/>
      <c r="QV5250" s="106"/>
      <c r="QW5250" s="106"/>
      <c r="QX5250" s="106"/>
      <c r="QY5250" s="106"/>
      <c r="QZ5250" s="106"/>
      <c r="RA5250" s="106"/>
      <c r="RB5250" s="106"/>
      <c r="RC5250" s="106"/>
      <c r="RD5250" s="106"/>
      <c r="RE5250" s="106"/>
      <c r="RF5250" s="106"/>
      <c r="RG5250" s="106"/>
      <c r="RH5250" s="106"/>
      <c r="RI5250" s="106"/>
      <c r="RJ5250" s="106"/>
      <c r="RK5250" s="106"/>
      <c r="RL5250" s="106"/>
    </row>
    <row r="5251" spans="462:480" x14ac:dyDescent="0.3">
      <c r="QT5251" s="106"/>
      <c r="QU5251" s="106"/>
      <c r="QV5251" s="106"/>
      <c r="QW5251" s="106"/>
      <c r="QX5251" s="106"/>
      <c r="QY5251" s="106"/>
      <c r="QZ5251" s="106"/>
      <c r="RA5251" s="106"/>
      <c r="RB5251" s="106"/>
      <c r="RC5251" s="106"/>
      <c r="RD5251" s="106"/>
      <c r="RE5251" s="106"/>
      <c r="RF5251" s="106"/>
      <c r="RG5251" s="106"/>
      <c r="RH5251" s="106"/>
      <c r="RI5251" s="106"/>
      <c r="RJ5251" s="106"/>
      <c r="RK5251" s="106"/>
      <c r="RL5251" s="106"/>
    </row>
    <row r="5252" spans="462:480" x14ac:dyDescent="0.3">
      <c r="QT5252" s="106"/>
      <c r="QU5252" s="106"/>
      <c r="QV5252" s="106"/>
      <c r="QW5252" s="106"/>
      <c r="QX5252" s="106"/>
      <c r="QY5252" s="106"/>
      <c r="QZ5252" s="106"/>
      <c r="RA5252" s="106"/>
      <c r="RB5252" s="106"/>
      <c r="RC5252" s="106"/>
      <c r="RD5252" s="106"/>
      <c r="RE5252" s="106"/>
      <c r="RF5252" s="106"/>
      <c r="RG5252" s="106"/>
      <c r="RH5252" s="106"/>
      <c r="RI5252" s="106"/>
      <c r="RJ5252" s="106"/>
      <c r="RK5252" s="106"/>
      <c r="RL5252" s="106"/>
    </row>
    <row r="5253" spans="462:480" x14ac:dyDescent="0.3">
      <c r="QT5253" s="106"/>
      <c r="QU5253" s="106"/>
      <c r="QV5253" s="106"/>
      <c r="QW5253" s="106"/>
      <c r="QX5253" s="106"/>
      <c r="QY5253" s="106"/>
      <c r="QZ5253" s="106"/>
      <c r="RA5253" s="106"/>
      <c r="RB5253" s="106"/>
      <c r="RC5253" s="106"/>
      <c r="RD5253" s="106"/>
      <c r="RE5253" s="106"/>
      <c r="RF5253" s="106"/>
      <c r="RG5253" s="106"/>
      <c r="RH5253" s="106"/>
      <c r="RI5253" s="106"/>
      <c r="RJ5253" s="106"/>
      <c r="RK5253" s="106"/>
      <c r="RL5253" s="106"/>
    </row>
    <row r="5254" spans="462:480" x14ac:dyDescent="0.3">
      <c r="QT5254" s="106"/>
      <c r="QU5254" s="106"/>
      <c r="QV5254" s="106"/>
      <c r="QW5254" s="106"/>
      <c r="QX5254" s="106"/>
      <c r="QY5254" s="106"/>
      <c r="QZ5254" s="106"/>
      <c r="RA5254" s="106"/>
      <c r="RB5254" s="106"/>
      <c r="RC5254" s="106"/>
      <c r="RD5254" s="106"/>
      <c r="RE5254" s="106"/>
      <c r="RF5254" s="106"/>
      <c r="RG5254" s="106"/>
      <c r="RH5254" s="106"/>
      <c r="RI5254" s="106"/>
      <c r="RJ5254" s="106"/>
      <c r="RK5254" s="106"/>
      <c r="RL5254" s="106"/>
    </row>
    <row r="5255" spans="462:480" x14ac:dyDescent="0.3">
      <c r="QT5255" s="106"/>
      <c r="QU5255" s="106"/>
      <c r="QV5255" s="106"/>
      <c r="QW5255" s="106"/>
      <c r="QX5255" s="106"/>
      <c r="QY5255" s="106"/>
      <c r="QZ5255" s="106"/>
      <c r="RA5255" s="106"/>
      <c r="RB5255" s="106"/>
      <c r="RC5255" s="106"/>
      <c r="RD5255" s="106"/>
      <c r="RE5255" s="106"/>
      <c r="RF5255" s="106"/>
      <c r="RG5255" s="106"/>
      <c r="RH5255" s="106"/>
      <c r="RI5255" s="106"/>
      <c r="RJ5255" s="106"/>
      <c r="RK5255" s="106"/>
      <c r="RL5255" s="106"/>
    </row>
    <row r="5256" spans="462:480" x14ac:dyDescent="0.3">
      <c r="QT5256" s="106"/>
      <c r="QU5256" s="106"/>
      <c r="QV5256" s="106"/>
      <c r="QW5256" s="106"/>
      <c r="QX5256" s="106"/>
      <c r="QY5256" s="106"/>
      <c r="QZ5256" s="106"/>
      <c r="RA5256" s="106"/>
      <c r="RB5256" s="106"/>
      <c r="RC5256" s="106"/>
      <c r="RD5256" s="106"/>
      <c r="RE5256" s="106"/>
      <c r="RF5256" s="106"/>
      <c r="RG5256" s="106"/>
      <c r="RH5256" s="106"/>
      <c r="RI5256" s="106"/>
      <c r="RJ5256" s="106"/>
      <c r="RK5256" s="106"/>
      <c r="RL5256" s="106"/>
    </row>
    <row r="5257" spans="462:480" x14ac:dyDescent="0.3">
      <c r="QT5257" s="106"/>
      <c r="QU5257" s="106"/>
      <c r="QV5257" s="106"/>
      <c r="QW5257" s="106"/>
      <c r="QX5257" s="106"/>
      <c r="QY5257" s="106"/>
      <c r="QZ5257" s="106"/>
      <c r="RA5257" s="106"/>
      <c r="RB5257" s="106"/>
      <c r="RC5257" s="106"/>
      <c r="RD5257" s="106"/>
      <c r="RE5257" s="106"/>
      <c r="RF5257" s="106"/>
      <c r="RG5257" s="106"/>
      <c r="RH5257" s="106"/>
      <c r="RI5257" s="106"/>
      <c r="RJ5257" s="106"/>
      <c r="RK5257" s="106"/>
      <c r="RL5257" s="106"/>
    </row>
    <row r="5258" spans="462:480" x14ac:dyDescent="0.3">
      <c r="QT5258" s="106"/>
      <c r="QU5258" s="106"/>
      <c r="QV5258" s="106"/>
      <c r="QW5258" s="106"/>
      <c r="QX5258" s="106"/>
      <c r="QY5258" s="106"/>
      <c r="QZ5258" s="106"/>
      <c r="RA5258" s="106"/>
      <c r="RB5258" s="106"/>
      <c r="RC5258" s="106"/>
      <c r="RD5258" s="106"/>
      <c r="RE5258" s="106"/>
      <c r="RF5258" s="106"/>
      <c r="RG5258" s="106"/>
      <c r="RH5258" s="106"/>
      <c r="RI5258" s="106"/>
      <c r="RJ5258" s="106"/>
      <c r="RK5258" s="106"/>
      <c r="RL5258" s="106"/>
    </row>
    <row r="5259" spans="462:480" x14ac:dyDescent="0.3">
      <c r="QT5259" s="106"/>
      <c r="QU5259" s="106"/>
      <c r="QV5259" s="106"/>
      <c r="QW5259" s="106"/>
      <c r="QX5259" s="106"/>
      <c r="QY5259" s="106"/>
      <c r="QZ5259" s="106"/>
      <c r="RA5259" s="106"/>
      <c r="RB5259" s="106"/>
      <c r="RC5259" s="106"/>
      <c r="RD5259" s="106"/>
      <c r="RE5259" s="106"/>
      <c r="RF5259" s="106"/>
      <c r="RG5259" s="106"/>
      <c r="RH5259" s="106"/>
      <c r="RI5259" s="106"/>
      <c r="RJ5259" s="106"/>
      <c r="RK5259" s="106"/>
      <c r="RL5259" s="106"/>
    </row>
    <row r="5260" spans="462:480" x14ac:dyDescent="0.3">
      <c r="QT5260" s="106"/>
      <c r="QU5260" s="106"/>
      <c r="QV5260" s="106"/>
      <c r="QW5260" s="106"/>
      <c r="QX5260" s="106"/>
      <c r="QY5260" s="106"/>
      <c r="QZ5260" s="106"/>
      <c r="RA5260" s="106"/>
      <c r="RB5260" s="106"/>
      <c r="RC5260" s="106"/>
      <c r="RD5260" s="106"/>
      <c r="RE5260" s="106"/>
      <c r="RF5260" s="106"/>
      <c r="RG5260" s="106"/>
      <c r="RH5260" s="106"/>
      <c r="RI5260" s="106"/>
      <c r="RJ5260" s="106"/>
      <c r="RK5260" s="106"/>
      <c r="RL5260" s="106"/>
    </row>
    <row r="5261" spans="462:480" x14ac:dyDescent="0.3">
      <c r="QT5261" s="106"/>
      <c r="QU5261" s="106"/>
      <c r="QV5261" s="106"/>
      <c r="QW5261" s="106"/>
      <c r="QX5261" s="106"/>
      <c r="QY5261" s="106"/>
      <c r="QZ5261" s="106"/>
      <c r="RA5261" s="106"/>
      <c r="RB5261" s="106"/>
      <c r="RC5261" s="106"/>
      <c r="RD5261" s="106"/>
      <c r="RE5261" s="106"/>
      <c r="RF5261" s="106"/>
      <c r="RG5261" s="106"/>
      <c r="RH5261" s="106"/>
      <c r="RI5261" s="106"/>
      <c r="RJ5261" s="106"/>
      <c r="RK5261" s="106"/>
      <c r="RL5261" s="106"/>
    </row>
    <row r="5262" spans="462:480" x14ac:dyDescent="0.3">
      <c r="QT5262" s="106"/>
      <c r="QU5262" s="106"/>
      <c r="QV5262" s="106"/>
      <c r="QW5262" s="106"/>
      <c r="QX5262" s="106"/>
      <c r="QY5262" s="106"/>
      <c r="QZ5262" s="106"/>
      <c r="RA5262" s="106"/>
      <c r="RB5262" s="106"/>
      <c r="RC5262" s="106"/>
      <c r="RD5262" s="106"/>
      <c r="RE5262" s="106"/>
      <c r="RF5262" s="106"/>
      <c r="RG5262" s="106"/>
      <c r="RH5262" s="106"/>
      <c r="RI5262" s="106"/>
      <c r="RJ5262" s="106"/>
      <c r="RK5262" s="106"/>
      <c r="RL5262" s="106"/>
    </row>
    <row r="5263" spans="462:480" x14ac:dyDescent="0.3">
      <c r="QT5263" s="106"/>
      <c r="QU5263" s="106"/>
      <c r="QV5263" s="106"/>
      <c r="QW5263" s="106"/>
      <c r="QX5263" s="106"/>
      <c r="QY5263" s="106"/>
      <c r="QZ5263" s="106"/>
      <c r="RA5263" s="106"/>
      <c r="RB5263" s="106"/>
      <c r="RC5263" s="106"/>
      <c r="RD5263" s="106"/>
      <c r="RE5263" s="106"/>
      <c r="RF5263" s="106"/>
      <c r="RG5263" s="106"/>
      <c r="RH5263" s="106"/>
      <c r="RI5263" s="106"/>
      <c r="RJ5263" s="106"/>
      <c r="RK5263" s="106"/>
      <c r="RL5263" s="106"/>
    </row>
    <row r="5264" spans="462:480" x14ac:dyDescent="0.3">
      <c r="QT5264" s="106"/>
      <c r="QU5264" s="106"/>
      <c r="QV5264" s="106"/>
      <c r="QW5264" s="106"/>
      <c r="QX5264" s="106"/>
      <c r="QY5264" s="106"/>
      <c r="QZ5264" s="106"/>
      <c r="RA5264" s="106"/>
      <c r="RB5264" s="106"/>
      <c r="RC5264" s="106"/>
      <c r="RD5264" s="106"/>
      <c r="RE5264" s="106"/>
      <c r="RF5264" s="106"/>
      <c r="RG5264" s="106"/>
      <c r="RH5264" s="106"/>
      <c r="RI5264" s="106"/>
      <c r="RJ5264" s="106"/>
      <c r="RK5264" s="106"/>
      <c r="RL5264" s="106"/>
    </row>
    <row r="5265" spans="462:480" x14ac:dyDescent="0.3">
      <c r="QT5265" s="106"/>
      <c r="QU5265" s="106"/>
      <c r="QV5265" s="106"/>
      <c r="QW5265" s="106"/>
      <c r="QX5265" s="106"/>
      <c r="QY5265" s="106"/>
      <c r="QZ5265" s="106"/>
      <c r="RA5265" s="106"/>
      <c r="RB5265" s="106"/>
      <c r="RC5265" s="106"/>
      <c r="RD5265" s="106"/>
      <c r="RE5265" s="106"/>
      <c r="RF5265" s="106"/>
      <c r="RG5265" s="106"/>
      <c r="RH5265" s="106"/>
      <c r="RI5265" s="106"/>
      <c r="RJ5265" s="106"/>
      <c r="RK5265" s="106"/>
      <c r="RL5265" s="106"/>
    </row>
    <row r="5266" spans="462:480" x14ac:dyDescent="0.3">
      <c r="QT5266" s="106"/>
      <c r="QU5266" s="106"/>
      <c r="QV5266" s="106"/>
      <c r="QW5266" s="106"/>
      <c r="QX5266" s="106"/>
      <c r="QY5266" s="106"/>
      <c r="QZ5266" s="106"/>
      <c r="RA5266" s="106"/>
      <c r="RB5266" s="106"/>
      <c r="RC5266" s="106"/>
      <c r="RD5266" s="106"/>
      <c r="RE5266" s="106"/>
      <c r="RF5266" s="106"/>
      <c r="RG5266" s="106"/>
      <c r="RH5266" s="106"/>
      <c r="RI5266" s="106"/>
      <c r="RJ5266" s="106"/>
      <c r="RK5266" s="106"/>
      <c r="RL5266" s="106"/>
    </row>
    <row r="5267" spans="462:480" x14ac:dyDescent="0.3">
      <c r="QT5267" s="106"/>
      <c r="QU5267" s="106"/>
      <c r="QV5267" s="106"/>
      <c r="QW5267" s="106"/>
      <c r="QX5267" s="106"/>
      <c r="QY5267" s="106"/>
      <c r="QZ5267" s="106"/>
      <c r="RA5267" s="106"/>
      <c r="RB5267" s="106"/>
      <c r="RC5267" s="106"/>
      <c r="RD5267" s="106"/>
      <c r="RE5267" s="106"/>
      <c r="RF5267" s="106"/>
      <c r="RG5267" s="106"/>
      <c r="RH5267" s="106"/>
      <c r="RI5267" s="106"/>
      <c r="RJ5267" s="106"/>
      <c r="RK5267" s="106"/>
      <c r="RL5267" s="106"/>
    </row>
    <row r="5268" spans="462:480" x14ac:dyDescent="0.3">
      <c r="QT5268" s="106"/>
      <c r="QU5268" s="106"/>
      <c r="QV5268" s="106"/>
      <c r="QW5268" s="106"/>
      <c r="QX5268" s="106"/>
      <c r="QY5268" s="106"/>
      <c r="QZ5268" s="106"/>
      <c r="RA5268" s="106"/>
      <c r="RB5268" s="106"/>
      <c r="RC5268" s="106"/>
      <c r="RD5268" s="106"/>
      <c r="RE5268" s="106"/>
      <c r="RF5268" s="106"/>
      <c r="RG5268" s="106"/>
      <c r="RH5268" s="106"/>
      <c r="RI5268" s="106"/>
      <c r="RJ5268" s="106"/>
      <c r="RK5268" s="106"/>
      <c r="RL5268" s="106"/>
    </row>
    <row r="5269" spans="462:480" x14ac:dyDescent="0.3">
      <c r="QT5269" s="106"/>
      <c r="QU5269" s="106"/>
      <c r="QV5269" s="106"/>
      <c r="QW5269" s="106"/>
      <c r="QX5269" s="106"/>
      <c r="QY5269" s="106"/>
      <c r="QZ5269" s="106"/>
      <c r="RA5269" s="106"/>
      <c r="RB5269" s="106"/>
      <c r="RC5269" s="106"/>
      <c r="RD5269" s="106"/>
      <c r="RE5269" s="106"/>
      <c r="RF5269" s="106"/>
      <c r="RG5269" s="106"/>
      <c r="RH5269" s="106"/>
      <c r="RI5269" s="106"/>
      <c r="RJ5269" s="106"/>
      <c r="RK5269" s="106"/>
      <c r="RL5269" s="106"/>
    </row>
    <row r="5270" spans="462:480" x14ac:dyDescent="0.3">
      <c r="QT5270" s="106"/>
      <c r="QU5270" s="106"/>
      <c r="QV5270" s="106"/>
      <c r="QW5270" s="106"/>
      <c r="QX5270" s="106"/>
      <c r="QY5270" s="106"/>
      <c r="QZ5270" s="106"/>
      <c r="RA5270" s="106"/>
      <c r="RB5270" s="106"/>
      <c r="RC5270" s="106"/>
      <c r="RD5270" s="106"/>
      <c r="RE5270" s="106"/>
      <c r="RF5270" s="106"/>
      <c r="RG5270" s="106"/>
      <c r="RH5270" s="106"/>
      <c r="RI5270" s="106"/>
      <c r="RJ5270" s="106"/>
      <c r="RK5270" s="106"/>
      <c r="RL5270" s="106"/>
    </row>
    <row r="5271" spans="462:480" x14ac:dyDescent="0.3">
      <c r="QT5271" s="106"/>
      <c r="QU5271" s="106"/>
      <c r="QV5271" s="106"/>
      <c r="QW5271" s="106"/>
      <c r="QX5271" s="106"/>
      <c r="QY5271" s="106"/>
      <c r="QZ5271" s="106"/>
      <c r="RA5271" s="106"/>
      <c r="RB5271" s="106"/>
      <c r="RC5271" s="106"/>
      <c r="RD5271" s="106"/>
      <c r="RE5271" s="106"/>
      <c r="RF5271" s="106"/>
      <c r="RG5271" s="106"/>
      <c r="RH5271" s="106"/>
      <c r="RI5271" s="106"/>
      <c r="RJ5271" s="106"/>
      <c r="RK5271" s="106"/>
      <c r="RL5271" s="106"/>
    </row>
    <row r="5272" spans="462:480" x14ac:dyDescent="0.3">
      <c r="QT5272" s="106"/>
      <c r="QU5272" s="106"/>
      <c r="QV5272" s="106"/>
      <c r="QW5272" s="106"/>
      <c r="QX5272" s="106"/>
      <c r="QY5272" s="106"/>
      <c r="QZ5272" s="106"/>
      <c r="RA5272" s="106"/>
      <c r="RB5272" s="106"/>
      <c r="RC5272" s="106"/>
      <c r="RD5272" s="106"/>
      <c r="RE5272" s="106"/>
      <c r="RF5272" s="106"/>
      <c r="RG5272" s="106"/>
      <c r="RH5272" s="106"/>
      <c r="RI5272" s="106"/>
      <c r="RJ5272" s="106"/>
      <c r="RK5272" s="106"/>
      <c r="RL5272" s="106"/>
    </row>
    <row r="5273" spans="462:480" x14ac:dyDescent="0.3">
      <c r="QT5273" s="106"/>
      <c r="QU5273" s="106"/>
      <c r="QV5273" s="106"/>
      <c r="QW5273" s="106"/>
      <c r="QX5273" s="106"/>
      <c r="QY5273" s="106"/>
      <c r="QZ5273" s="106"/>
      <c r="RA5273" s="106"/>
      <c r="RB5273" s="106"/>
      <c r="RC5273" s="106"/>
      <c r="RD5273" s="106"/>
      <c r="RE5273" s="106"/>
      <c r="RF5273" s="106"/>
      <c r="RG5273" s="106"/>
      <c r="RH5273" s="106"/>
      <c r="RI5273" s="106"/>
      <c r="RJ5273" s="106"/>
      <c r="RK5273" s="106"/>
      <c r="RL5273" s="106"/>
    </row>
    <row r="5274" spans="462:480" x14ac:dyDescent="0.3">
      <c r="QT5274" s="106"/>
      <c r="QU5274" s="106"/>
      <c r="QV5274" s="106"/>
      <c r="QW5274" s="106"/>
      <c r="QX5274" s="106"/>
      <c r="QY5274" s="106"/>
      <c r="QZ5274" s="106"/>
      <c r="RA5274" s="106"/>
      <c r="RB5274" s="106"/>
      <c r="RC5274" s="106"/>
      <c r="RD5274" s="106"/>
      <c r="RE5274" s="106"/>
      <c r="RF5274" s="106"/>
      <c r="RG5274" s="106"/>
      <c r="RH5274" s="106"/>
      <c r="RI5274" s="106"/>
      <c r="RJ5274" s="106"/>
      <c r="RK5274" s="106"/>
      <c r="RL5274" s="106"/>
    </row>
    <row r="5275" spans="462:480" x14ac:dyDescent="0.3">
      <c r="QT5275" s="106"/>
      <c r="QU5275" s="106"/>
      <c r="QV5275" s="106"/>
      <c r="QW5275" s="106"/>
      <c r="QX5275" s="106"/>
      <c r="QY5275" s="106"/>
      <c r="QZ5275" s="106"/>
      <c r="RA5275" s="106"/>
      <c r="RB5275" s="106"/>
      <c r="RC5275" s="106"/>
      <c r="RD5275" s="106"/>
      <c r="RE5275" s="106"/>
      <c r="RF5275" s="106"/>
      <c r="RG5275" s="106"/>
      <c r="RH5275" s="106"/>
      <c r="RI5275" s="106"/>
      <c r="RJ5275" s="106"/>
      <c r="RK5275" s="106"/>
      <c r="RL5275" s="106"/>
    </row>
    <row r="5276" spans="462:480" x14ac:dyDescent="0.3">
      <c r="QT5276" s="106"/>
      <c r="QU5276" s="106"/>
      <c r="QV5276" s="106"/>
      <c r="QW5276" s="106"/>
      <c r="QX5276" s="106"/>
      <c r="QY5276" s="106"/>
      <c r="QZ5276" s="106"/>
      <c r="RA5276" s="106"/>
      <c r="RB5276" s="106"/>
      <c r="RC5276" s="106"/>
      <c r="RD5276" s="106"/>
      <c r="RE5276" s="106"/>
      <c r="RF5276" s="106"/>
      <c r="RG5276" s="106"/>
      <c r="RH5276" s="106"/>
      <c r="RI5276" s="106"/>
      <c r="RJ5276" s="106"/>
      <c r="RK5276" s="106"/>
      <c r="RL5276" s="106"/>
    </row>
    <row r="5277" spans="462:480" x14ac:dyDescent="0.3">
      <c r="QT5277" s="106"/>
      <c r="QU5277" s="106"/>
      <c r="QV5277" s="106"/>
      <c r="QW5277" s="106"/>
      <c r="QX5277" s="106"/>
      <c r="QY5277" s="106"/>
      <c r="QZ5277" s="106"/>
      <c r="RA5277" s="106"/>
      <c r="RB5277" s="106"/>
      <c r="RC5277" s="106"/>
      <c r="RD5277" s="106"/>
      <c r="RE5277" s="106"/>
      <c r="RF5277" s="106"/>
      <c r="RG5277" s="106"/>
      <c r="RH5277" s="106"/>
      <c r="RI5277" s="106"/>
      <c r="RJ5277" s="106"/>
      <c r="RK5277" s="106"/>
      <c r="RL5277" s="106"/>
    </row>
    <row r="5278" spans="462:480" x14ac:dyDescent="0.3">
      <c r="QT5278" s="106"/>
      <c r="QU5278" s="106"/>
      <c r="QV5278" s="106"/>
      <c r="QW5278" s="106"/>
      <c r="QX5278" s="106"/>
      <c r="QY5278" s="106"/>
      <c r="QZ5278" s="106"/>
      <c r="RA5278" s="106"/>
      <c r="RB5278" s="106"/>
      <c r="RC5278" s="106"/>
      <c r="RD5278" s="106"/>
      <c r="RE5278" s="106"/>
      <c r="RF5278" s="106"/>
      <c r="RG5278" s="106"/>
      <c r="RH5278" s="106"/>
      <c r="RI5278" s="106"/>
      <c r="RJ5278" s="106"/>
      <c r="RK5278" s="106"/>
      <c r="RL5278" s="106"/>
    </row>
    <row r="5279" spans="462:480" x14ac:dyDescent="0.3">
      <c r="QT5279" s="106"/>
      <c r="QU5279" s="106"/>
      <c r="QV5279" s="106"/>
      <c r="QW5279" s="106"/>
      <c r="QX5279" s="106"/>
      <c r="QY5279" s="106"/>
      <c r="QZ5279" s="106"/>
      <c r="RA5279" s="106"/>
      <c r="RB5279" s="106"/>
      <c r="RC5279" s="106"/>
      <c r="RD5279" s="106"/>
      <c r="RE5279" s="106"/>
      <c r="RF5279" s="106"/>
      <c r="RG5279" s="106"/>
      <c r="RH5279" s="106"/>
      <c r="RI5279" s="106"/>
      <c r="RJ5279" s="106"/>
      <c r="RK5279" s="106"/>
      <c r="RL5279" s="106"/>
    </row>
    <row r="5280" spans="462:480" x14ac:dyDescent="0.3">
      <c r="QT5280" s="106"/>
      <c r="QU5280" s="106"/>
      <c r="QV5280" s="106"/>
      <c r="QW5280" s="106"/>
      <c r="QX5280" s="106"/>
      <c r="QY5280" s="106"/>
      <c r="QZ5280" s="106"/>
      <c r="RA5280" s="106"/>
      <c r="RB5280" s="106"/>
      <c r="RC5280" s="106"/>
      <c r="RD5280" s="106"/>
      <c r="RE5280" s="106"/>
      <c r="RF5280" s="106"/>
      <c r="RG5280" s="106"/>
      <c r="RH5280" s="106"/>
      <c r="RI5280" s="106"/>
      <c r="RJ5280" s="106"/>
      <c r="RK5280" s="106"/>
      <c r="RL5280" s="106"/>
    </row>
    <row r="5281" spans="462:480" x14ac:dyDescent="0.3">
      <c r="QT5281" s="106"/>
      <c r="QU5281" s="106"/>
      <c r="QV5281" s="106"/>
      <c r="QW5281" s="106"/>
      <c r="QX5281" s="106"/>
      <c r="QY5281" s="106"/>
      <c r="QZ5281" s="106"/>
      <c r="RA5281" s="106"/>
      <c r="RB5281" s="106"/>
      <c r="RC5281" s="106"/>
      <c r="RD5281" s="106"/>
      <c r="RE5281" s="106"/>
      <c r="RF5281" s="106"/>
      <c r="RG5281" s="106"/>
      <c r="RH5281" s="106"/>
      <c r="RI5281" s="106"/>
      <c r="RJ5281" s="106"/>
      <c r="RK5281" s="106"/>
      <c r="RL5281" s="106"/>
    </row>
    <row r="5282" spans="462:480" x14ac:dyDescent="0.3">
      <c r="QT5282" s="106"/>
      <c r="QU5282" s="106"/>
      <c r="QV5282" s="106"/>
      <c r="QW5282" s="106"/>
      <c r="QX5282" s="106"/>
      <c r="QY5282" s="106"/>
      <c r="QZ5282" s="106"/>
      <c r="RA5282" s="106"/>
      <c r="RB5282" s="106"/>
      <c r="RC5282" s="106"/>
      <c r="RD5282" s="106"/>
      <c r="RE5282" s="106"/>
      <c r="RF5282" s="106"/>
      <c r="RG5282" s="106"/>
      <c r="RH5282" s="106"/>
      <c r="RI5282" s="106"/>
      <c r="RJ5282" s="106"/>
      <c r="RK5282" s="106"/>
      <c r="RL5282" s="106"/>
    </row>
    <row r="5283" spans="462:480" x14ac:dyDescent="0.3">
      <c r="QT5283" s="106"/>
      <c r="QU5283" s="106"/>
      <c r="QV5283" s="106"/>
      <c r="QW5283" s="106"/>
      <c r="QX5283" s="106"/>
      <c r="QY5283" s="106"/>
      <c r="QZ5283" s="106"/>
      <c r="RA5283" s="106"/>
      <c r="RB5283" s="106"/>
      <c r="RC5283" s="106"/>
      <c r="RD5283" s="106"/>
      <c r="RE5283" s="106"/>
      <c r="RF5283" s="106"/>
      <c r="RG5283" s="106"/>
      <c r="RH5283" s="106"/>
      <c r="RI5283" s="106"/>
      <c r="RJ5283" s="106"/>
      <c r="RK5283" s="106"/>
      <c r="RL5283" s="106"/>
    </row>
    <row r="5284" spans="462:480" x14ac:dyDescent="0.3">
      <c r="QT5284" s="106"/>
      <c r="QU5284" s="106"/>
      <c r="QV5284" s="106"/>
      <c r="QW5284" s="106"/>
      <c r="QX5284" s="106"/>
      <c r="QY5284" s="106"/>
      <c r="QZ5284" s="106"/>
      <c r="RA5284" s="106"/>
      <c r="RB5284" s="106"/>
      <c r="RC5284" s="106"/>
      <c r="RD5284" s="106"/>
      <c r="RE5284" s="106"/>
      <c r="RF5284" s="106"/>
      <c r="RG5284" s="106"/>
      <c r="RH5284" s="106"/>
      <c r="RI5284" s="106"/>
      <c r="RJ5284" s="106"/>
      <c r="RK5284" s="106"/>
      <c r="RL5284" s="106"/>
    </row>
    <row r="5285" spans="462:480" x14ac:dyDescent="0.3">
      <c r="QT5285" s="106"/>
      <c r="QU5285" s="106"/>
      <c r="QV5285" s="106"/>
      <c r="QW5285" s="106"/>
      <c r="QX5285" s="106"/>
      <c r="QY5285" s="106"/>
      <c r="QZ5285" s="106"/>
      <c r="RA5285" s="106"/>
      <c r="RB5285" s="106"/>
      <c r="RC5285" s="106"/>
      <c r="RD5285" s="106"/>
      <c r="RE5285" s="106"/>
      <c r="RF5285" s="106"/>
      <c r="RG5285" s="106"/>
      <c r="RH5285" s="106"/>
      <c r="RI5285" s="106"/>
      <c r="RJ5285" s="106"/>
      <c r="RK5285" s="106"/>
      <c r="RL5285" s="106"/>
    </row>
    <row r="5286" spans="462:480" x14ac:dyDescent="0.3">
      <c r="QT5286" s="106"/>
      <c r="QU5286" s="106"/>
      <c r="QV5286" s="106"/>
      <c r="QW5286" s="106"/>
      <c r="QX5286" s="106"/>
      <c r="QY5286" s="106"/>
      <c r="QZ5286" s="106"/>
      <c r="RA5286" s="106"/>
      <c r="RB5286" s="106"/>
      <c r="RC5286" s="106"/>
      <c r="RD5286" s="106"/>
      <c r="RE5286" s="106"/>
      <c r="RF5286" s="106"/>
      <c r="RG5286" s="106"/>
      <c r="RH5286" s="106"/>
      <c r="RI5286" s="106"/>
      <c r="RJ5286" s="106"/>
      <c r="RK5286" s="106"/>
      <c r="RL5286" s="106"/>
    </row>
    <row r="5287" spans="462:480" x14ac:dyDescent="0.3">
      <c r="QT5287" s="106"/>
      <c r="QU5287" s="106"/>
      <c r="QV5287" s="106"/>
      <c r="QW5287" s="106"/>
      <c r="QX5287" s="106"/>
      <c r="QY5287" s="106"/>
      <c r="QZ5287" s="106"/>
      <c r="RA5287" s="106"/>
      <c r="RB5287" s="106"/>
      <c r="RC5287" s="106"/>
      <c r="RD5287" s="106"/>
      <c r="RE5287" s="106"/>
      <c r="RF5287" s="106"/>
      <c r="RG5287" s="106"/>
      <c r="RH5287" s="106"/>
      <c r="RI5287" s="106"/>
      <c r="RJ5287" s="106"/>
      <c r="RK5287" s="106"/>
      <c r="RL5287" s="106"/>
    </row>
    <row r="5288" spans="462:480" x14ac:dyDescent="0.3">
      <c r="QT5288" s="106"/>
      <c r="QU5288" s="106"/>
      <c r="QV5288" s="106"/>
      <c r="QW5288" s="106"/>
      <c r="QX5288" s="106"/>
      <c r="QY5288" s="106"/>
      <c r="QZ5288" s="106"/>
      <c r="RA5288" s="106"/>
      <c r="RB5288" s="106"/>
      <c r="RC5288" s="106"/>
      <c r="RD5288" s="106"/>
      <c r="RE5288" s="106"/>
      <c r="RF5288" s="106"/>
      <c r="RG5288" s="106"/>
      <c r="RH5288" s="106"/>
      <c r="RI5288" s="106"/>
      <c r="RJ5288" s="106"/>
      <c r="RK5288" s="106"/>
      <c r="RL5288" s="106"/>
    </row>
    <row r="5289" spans="462:480" x14ac:dyDescent="0.3">
      <c r="QT5289" s="106"/>
      <c r="QU5289" s="106"/>
      <c r="QV5289" s="106"/>
      <c r="QW5289" s="106"/>
      <c r="QX5289" s="106"/>
      <c r="QY5289" s="106"/>
      <c r="QZ5289" s="106"/>
      <c r="RA5289" s="106"/>
      <c r="RB5289" s="106"/>
      <c r="RC5289" s="106"/>
      <c r="RD5289" s="106"/>
      <c r="RE5289" s="106"/>
      <c r="RF5289" s="106"/>
      <c r="RG5289" s="106"/>
      <c r="RH5289" s="106"/>
      <c r="RI5289" s="106"/>
      <c r="RJ5289" s="106"/>
      <c r="RK5289" s="106"/>
      <c r="RL5289" s="106"/>
    </row>
    <row r="5290" spans="462:480" x14ac:dyDescent="0.3">
      <c r="QT5290" s="106"/>
      <c r="QU5290" s="106"/>
      <c r="QV5290" s="106"/>
      <c r="QW5290" s="106"/>
      <c r="QX5290" s="106"/>
      <c r="QY5290" s="106"/>
      <c r="QZ5290" s="106"/>
      <c r="RA5290" s="106"/>
      <c r="RB5290" s="106"/>
      <c r="RC5290" s="106"/>
      <c r="RD5290" s="106"/>
      <c r="RE5290" s="106"/>
      <c r="RF5290" s="106"/>
      <c r="RG5290" s="106"/>
      <c r="RH5290" s="106"/>
      <c r="RI5290" s="106"/>
      <c r="RJ5290" s="106"/>
      <c r="RK5290" s="106"/>
      <c r="RL5290" s="106"/>
    </row>
    <row r="5291" spans="462:480" x14ac:dyDescent="0.3">
      <c r="QT5291" s="106"/>
      <c r="QU5291" s="106"/>
      <c r="QV5291" s="106"/>
      <c r="QW5291" s="106"/>
      <c r="QX5291" s="106"/>
      <c r="QY5291" s="106"/>
      <c r="QZ5291" s="106"/>
      <c r="RA5291" s="106"/>
      <c r="RB5291" s="106"/>
      <c r="RC5291" s="106"/>
      <c r="RD5291" s="106"/>
      <c r="RE5291" s="106"/>
      <c r="RF5291" s="106"/>
      <c r="RG5291" s="106"/>
      <c r="RH5291" s="106"/>
      <c r="RI5291" s="106"/>
      <c r="RJ5291" s="106"/>
      <c r="RK5291" s="106"/>
      <c r="RL5291" s="106"/>
    </row>
    <row r="5292" spans="462:480" x14ac:dyDescent="0.3">
      <c r="QT5292" s="106"/>
      <c r="QU5292" s="106"/>
      <c r="QV5292" s="106"/>
      <c r="QW5292" s="106"/>
      <c r="QX5292" s="106"/>
      <c r="QY5292" s="106"/>
      <c r="QZ5292" s="106"/>
      <c r="RA5292" s="106"/>
      <c r="RB5292" s="106"/>
      <c r="RC5292" s="106"/>
      <c r="RD5292" s="106"/>
      <c r="RE5292" s="106"/>
      <c r="RF5292" s="106"/>
      <c r="RG5292" s="106"/>
      <c r="RH5292" s="106"/>
      <c r="RI5292" s="106"/>
      <c r="RJ5292" s="106"/>
      <c r="RK5292" s="106"/>
      <c r="RL5292" s="106"/>
    </row>
    <row r="5293" spans="462:480" x14ac:dyDescent="0.3">
      <c r="QT5293" s="106"/>
      <c r="QU5293" s="106"/>
      <c r="QV5293" s="106"/>
      <c r="QW5293" s="106"/>
      <c r="QX5293" s="106"/>
      <c r="QY5293" s="106"/>
      <c r="QZ5293" s="106"/>
      <c r="RA5293" s="106"/>
      <c r="RB5293" s="106"/>
      <c r="RC5293" s="106"/>
      <c r="RD5293" s="106"/>
      <c r="RE5293" s="106"/>
      <c r="RF5293" s="106"/>
      <c r="RG5293" s="106"/>
      <c r="RH5293" s="106"/>
      <c r="RI5293" s="106"/>
      <c r="RJ5293" s="106"/>
      <c r="RK5293" s="106"/>
      <c r="RL5293" s="106"/>
    </row>
    <row r="5294" spans="462:480" x14ac:dyDescent="0.3">
      <c r="QT5294" s="106"/>
      <c r="QU5294" s="106"/>
      <c r="QV5294" s="106"/>
      <c r="QW5294" s="106"/>
      <c r="QX5294" s="106"/>
      <c r="QY5294" s="106"/>
      <c r="QZ5294" s="106"/>
      <c r="RA5294" s="106"/>
      <c r="RB5294" s="106"/>
      <c r="RC5294" s="106"/>
      <c r="RD5294" s="106"/>
      <c r="RE5294" s="106"/>
      <c r="RF5294" s="106"/>
      <c r="RG5294" s="106"/>
      <c r="RH5294" s="106"/>
      <c r="RI5294" s="106"/>
      <c r="RJ5294" s="106"/>
      <c r="RK5294" s="106"/>
      <c r="RL5294" s="106"/>
    </row>
    <row r="5295" spans="462:480" x14ac:dyDescent="0.3">
      <c r="QT5295" s="106"/>
      <c r="QU5295" s="106"/>
      <c r="QV5295" s="106"/>
      <c r="QW5295" s="106"/>
      <c r="QX5295" s="106"/>
      <c r="QY5295" s="106"/>
      <c r="QZ5295" s="106"/>
      <c r="RA5295" s="106"/>
      <c r="RB5295" s="106"/>
      <c r="RC5295" s="106"/>
      <c r="RD5295" s="106"/>
      <c r="RE5295" s="106"/>
      <c r="RF5295" s="106"/>
      <c r="RG5295" s="106"/>
      <c r="RH5295" s="106"/>
      <c r="RI5295" s="106"/>
      <c r="RJ5295" s="106"/>
      <c r="RK5295" s="106"/>
      <c r="RL5295" s="106"/>
    </row>
    <row r="5296" spans="462:480" x14ac:dyDescent="0.3">
      <c r="QT5296" s="106"/>
      <c r="QU5296" s="106"/>
      <c r="QV5296" s="106"/>
      <c r="QW5296" s="106"/>
      <c r="QX5296" s="106"/>
      <c r="QY5296" s="106"/>
      <c r="QZ5296" s="106"/>
      <c r="RA5296" s="106"/>
      <c r="RB5296" s="106"/>
      <c r="RC5296" s="106"/>
      <c r="RD5296" s="106"/>
      <c r="RE5296" s="106"/>
      <c r="RF5296" s="106"/>
      <c r="RG5296" s="106"/>
      <c r="RH5296" s="106"/>
      <c r="RI5296" s="106"/>
      <c r="RJ5296" s="106"/>
      <c r="RK5296" s="106"/>
      <c r="RL5296" s="106"/>
    </row>
    <row r="5297" spans="462:480" x14ac:dyDescent="0.3">
      <c r="QT5297" s="106"/>
      <c r="QU5297" s="106"/>
      <c r="QV5297" s="106"/>
      <c r="QW5297" s="106"/>
      <c r="QX5297" s="106"/>
      <c r="QY5297" s="106"/>
      <c r="QZ5297" s="106"/>
      <c r="RA5297" s="106"/>
      <c r="RB5297" s="106"/>
      <c r="RC5297" s="106"/>
      <c r="RD5297" s="106"/>
      <c r="RE5297" s="106"/>
      <c r="RF5297" s="106"/>
      <c r="RG5297" s="106"/>
      <c r="RH5297" s="106"/>
      <c r="RI5297" s="106"/>
      <c r="RJ5297" s="106"/>
      <c r="RK5297" s="106"/>
      <c r="RL5297" s="106"/>
    </row>
    <row r="5298" spans="462:480" x14ac:dyDescent="0.3">
      <c r="QT5298" s="106"/>
      <c r="QU5298" s="106"/>
      <c r="QV5298" s="106"/>
      <c r="QW5298" s="106"/>
      <c r="QX5298" s="106"/>
      <c r="QY5298" s="106"/>
      <c r="QZ5298" s="106"/>
      <c r="RA5298" s="106"/>
      <c r="RB5298" s="106"/>
      <c r="RC5298" s="106"/>
      <c r="RD5298" s="106"/>
      <c r="RE5298" s="106"/>
      <c r="RF5298" s="106"/>
      <c r="RG5298" s="106"/>
      <c r="RH5298" s="106"/>
      <c r="RI5298" s="106"/>
      <c r="RJ5298" s="106"/>
      <c r="RK5298" s="106"/>
      <c r="RL5298" s="106"/>
    </row>
    <row r="5299" spans="462:480" x14ac:dyDescent="0.3">
      <c r="QT5299" s="106"/>
      <c r="QU5299" s="106"/>
      <c r="QV5299" s="106"/>
      <c r="QW5299" s="106"/>
      <c r="QX5299" s="106"/>
      <c r="QY5299" s="106"/>
      <c r="QZ5299" s="106"/>
      <c r="RA5299" s="106"/>
      <c r="RB5299" s="106"/>
      <c r="RC5299" s="106"/>
      <c r="RD5299" s="106"/>
      <c r="RE5299" s="106"/>
      <c r="RF5299" s="106"/>
      <c r="RG5299" s="106"/>
      <c r="RH5299" s="106"/>
      <c r="RI5299" s="106"/>
      <c r="RJ5299" s="106"/>
      <c r="RK5299" s="106"/>
      <c r="RL5299" s="106"/>
    </row>
    <row r="5300" spans="462:480" x14ac:dyDescent="0.3">
      <c r="QT5300" s="106"/>
      <c r="QU5300" s="106"/>
      <c r="QV5300" s="106"/>
      <c r="QW5300" s="106"/>
      <c r="QX5300" s="106"/>
      <c r="QY5300" s="106"/>
      <c r="QZ5300" s="106"/>
      <c r="RA5300" s="106"/>
      <c r="RB5300" s="106"/>
      <c r="RC5300" s="106"/>
      <c r="RD5300" s="106"/>
      <c r="RE5300" s="106"/>
      <c r="RF5300" s="106"/>
      <c r="RG5300" s="106"/>
      <c r="RH5300" s="106"/>
      <c r="RI5300" s="106"/>
      <c r="RJ5300" s="106"/>
      <c r="RK5300" s="106"/>
      <c r="RL5300" s="106"/>
    </row>
    <row r="5301" spans="462:480" x14ac:dyDescent="0.3">
      <c r="QT5301" s="106"/>
      <c r="QU5301" s="106"/>
      <c r="QV5301" s="106"/>
      <c r="QW5301" s="106"/>
      <c r="QX5301" s="106"/>
      <c r="QY5301" s="106"/>
      <c r="QZ5301" s="106"/>
      <c r="RA5301" s="106"/>
      <c r="RB5301" s="106"/>
      <c r="RC5301" s="106"/>
      <c r="RD5301" s="106"/>
      <c r="RE5301" s="106"/>
      <c r="RF5301" s="106"/>
      <c r="RG5301" s="106"/>
      <c r="RH5301" s="106"/>
      <c r="RI5301" s="106"/>
      <c r="RJ5301" s="106"/>
      <c r="RK5301" s="106"/>
      <c r="RL5301" s="106"/>
    </row>
    <row r="5302" spans="462:480" x14ac:dyDescent="0.3">
      <c r="QT5302" s="106"/>
      <c r="QU5302" s="106"/>
      <c r="QV5302" s="106"/>
      <c r="QW5302" s="106"/>
      <c r="QX5302" s="106"/>
      <c r="QY5302" s="106"/>
      <c r="QZ5302" s="106"/>
      <c r="RA5302" s="106"/>
      <c r="RB5302" s="106"/>
      <c r="RC5302" s="106"/>
      <c r="RD5302" s="106"/>
      <c r="RE5302" s="106"/>
      <c r="RF5302" s="106"/>
      <c r="RG5302" s="106"/>
      <c r="RH5302" s="106"/>
      <c r="RI5302" s="106"/>
      <c r="RJ5302" s="106"/>
      <c r="RK5302" s="106"/>
      <c r="RL5302" s="106"/>
    </row>
    <row r="5303" spans="462:480" x14ac:dyDescent="0.3">
      <c r="QT5303" s="106"/>
      <c r="QU5303" s="106"/>
      <c r="QV5303" s="106"/>
      <c r="QW5303" s="106"/>
      <c r="QX5303" s="106"/>
      <c r="QY5303" s="106"/>
      <c r="QZ5303" s="106"/>
      <c r="RA5303" s="106"/>
      <c r="RB5303" s="106"/>
      <c r="RC5303" s="106"/>
      <c r="RD5303" s="106"/>
      <c r="RE5303" s="106"/>
      <c r="RF5303" s="106"/>
      <c r="RG5303" s="106"/>
      <c r="RH5303" s="106"/>
      <c r="RI5303" s="106"/>
      <c r="RJ5303" s="106"/>
      <c r="RK5303" s="106"/>
      <c r="RL5303" s="106"/>
    </row>
    <row r="5304" spans="462:480" x14ac:dyDescent="0.3">
      <c r="QT5304" s="106"/>
      <c r="QU5304" s="106"/>
      <c r="QV5304" s="106"/>
      <c r="QW5304" s="106"/>
      <c r="QX5304" s="106"/>
      <c r="QY5304" s="106"/>
      <c r="QZ5304" s="106"/>
      <c r="RA5304" s="106"/>
      <c r="RB5304" s="106"/>
      <c r="RC5304" s="106"/>
      <c r="RD5304" s="106"/>
      <c r="RE5304" s="106"/>
      <c r="RF5304" s="106"/>
      <c r="RG5304" s="106"/>
      <c r="RH5304" s="106"/>
      <c r="RI5304" s="106"/>
      <c r="RJ5304" s="106"/>
      <c r="RK5304" s="106"/>
      <c r="RL5304" s="106"/>
    </row>
    <row r="5305" spans="462:480" x14ac:dyDescent="0.3">
      <c r="QT5305" s="106"/>
      <c r="QU5305" s="106"/>
      <c r="QV5305" s="106"/>
      <c r="QW5305" s="106"/>
      <c r="QX5305" s="106"/>
      <c r="QY5305" s="106"/>
      <c r="QZ5305" s="106"/>
      <c r="RA5305" s="106"/>
      <c r="RB5305" s="106"/>
      <c r="RC5305" s="106"/>
      <c r="RD5305" s="106"/>
      <c r="RE5305" s="106"/>
      <c r="RF5305" s="106"/>
      <c r="RG5305" s="106"/>
      <c r="RH5305" s="106"/>
      <c r="RI5305" s="106"/>
      <c r="RJ5305" s="106"/>
      <c r="RK5305" s="106"/>
      <c r="RL5305" s="106"/>
    </row>
    <row r="5306" spans="462:480" x14ac:dyDescent="0.3">
      <c r="QT5306" s="106"/>
      <c r="QU5306" s="106"/>
      <c r="QV5306" s="106"/>
      <c r="QW5306" s="106"/>
      <c r="QX5306" s="106"/>
      <c r="QY5306" s="106"/>
      <c r="QZ5306" s="106"/>
      <c r="RA5306" s="106"/>
      <c r="RB5306" s="106"/>
      <c r="RC5306" s="106"/>
      <c r="RD5306" s="106"/>
      <c r="RE5306" s="106"/>
      <c r="RF5306" s="106"/>
      <c r="RG5306" s="106"/>
      <c r="RH5306" s="106"/>
      <c r="RI5306" s="106"/>
      <c r="RJ5306" s="106"/>
      <c r="RK5306" s="106"/>
      <c r="RL5306" s="106"/>
    </row>
    <row r="5307" spans="462:480" x14ac:dyDescent="0.3">
      <c r="QT5307" s="106"/>
      <c r="QU5307" s="106"/>
      <c r="QV5307" s="106"/>
      <c r="QW5307" s="106"/>
      <c r="QX5307" s="106"/>
      <c r="QY5307" s="106"/>
      <c r="QZ5307" s="106"/>
      <c r="RA5307" s="106"/>
      <c r="RB5307" s="106"/>
      <c r="RC5307" s="106"/>
      <c r="RD5307" s="106"/>
      <c r="RE5307" s="106"/>
      <c r="RF5307" s="106"/>
      <c r="RG5307" s="106"/>
      <c r="RH5307" s="106"/>
      <c r="RI5307" s="106"/>
      <c r="RJ5307" s="106"/>
      <c r="RK5307" s="106"/>
      <c r="RL5307" s="106"/>
    </row>
    <row r="5308" spans="462:480" x14ac:dyDescent="0.3">
      <c r="QT5308" s="106"/>
      <c r="QU5308" s="106"/>
      <c r="QV5308" s="106"/>
      <c r="QW5308" s="106"/>
      <c r="QX5308" s="106"/>
      <c r="QY5308" s="106"/>
      <c r="QZ5308" s="106"/>
      <c r="RA5308" s="106"/>
      <c r="RB5308" s="106"/>
      <c r="RC5308" s="106"/>
      <c r="RD5308" s="106"/>
      <c r="RE5308" s="106"/>
      <c r="RF5308" s="106"/>
      <c r="RG5308" s="106"/>
      <c r="RH5308" s="106"/>
      <c r="RI5308" s="106"/>
      <c r="RJ5308" s="106"/>
      <c r="RK5308" s="106"/>
      <c r="RL5308" s="106"/>
    </row>
    <row r="5309" spans="462:480" x14ac:dyDescent="0.3">
      <c r="QT5309" s="106"/>
      <c r="QU5309" s="106"/>
      <c r="QV5309" s="106"/>
      <c r="QW5309" s="106"/>
      <c r="QX5309" s="106"/>
      <c r="QY5309" s="106"/>
      <c r="QZ5309" s="106"/>
      <c r="RA5309" s="106"/>
      <c r="RB5309" s="106"/>
      <c r="RC5309" s="106"/>
      <c r="RD5309" s="106"/>
      <c r="RE5309" s="106"/>
      <c r="RF5309" s="106"/>
      <c r="RG5309" s="106"/>
      <c r="RH5309" s="106"/>
      <c r="RI5309" s="106"/>
      <c r="RJ5309" s="106"/>
      <c r="RK5309" s="106"/>
      <c r="RL5309" s="106"/>
    </row>
    <row r="5310" spans="462:480" x14ac:dyDescent="0.3">
      <c r="QT5310" s="106"/>
      <c r="QU5310" s="106"/>
      <c r="QV5310" s="106"/>
      <c r="QW5310" s="106"/>
      <c r="QX5310" s="106"/>
      <c r="QY5310" s="106"/>
      <c r="QZ5310" s="106"/>
      <c r="RA5310" s="106"/>
      <c r="RB5310" s="106"/>
      <c r="RC5310" s="106"/>
      <c r="RD5310" s="106"/>
      <c r="RE5310" s="106"/>
      <c r="RF5310" s="106"/>
      <c r="RG5310" s="106"/>
      <c r="RH5310" s="106"/>
      <c r="RI5310" s="106"/>
      <c r="RJ5310" s="106"/>
      <c r="RK5310" s="106"/>
      <c r="RL5310" s="106"/>
    </row>
    <row r="5311" spans="462:480" x14ac:dyDescent="0.3">
      <c r="QT5311" s="106"/>
      <c r="QU5311" s="106"/>
      <c r="QV5311" s="106"/>
      <c r="QW5311" s="106"/>
      <c r="QX5311" s="106"/>
      <c r="QY5311" s="106"/>
      <c r="QZ5311" s="106"/>
      <c r="RA5311" s="106"/>
      <c r="RB5311" s="106"/>
      <c r="RC5311" s="106"/>
      <c r="RD5311" s="106"/>
      <c r="RE5311" s="106"/>
      <c r="RF5311" s="106"/>
      <c r="RG5311" s="106"/>
      <c r="RH5311" s="106"/>
      <c r="RI5311" s="106"/>
      <c r="RJ5311" s="106"/>
      <c r="RK5311" s="106"/>
      <c r="RL5311" s="106"/>
    </row>
    <row r="5312" spans="462:480" x14ac:dyDescent="0.3">
      <c r="QT5312" s="106"/>
      <c r="QU5312" s="106"/>
      <c r="QV5312" s="106"/>
      <c r="QW5312" s="106"/>
      <c r="QX5312" s="106"/>
      <c r="QY5312" s="106"/>
      <c r="QZ5312" s="106"/>
      <c r="RA5312" s="106"/>
      <c r="RB5312" s="106"/>
      <c r="RC5312" s="106"/>
      <c r="RD5312" s="106"/>
      <c r="RE5312" s="106"/>
      <c r="RF5312" s="106"/>
      <c r="RG5312" s="106"/>
      <c r="RH5312" s="106"/>
      <c r="RI5312" s="106"/>
      <c r="RJ5312" s="106"/>
      <c r="RK5312" s="106"/>
      <c r="RL5312" s="106"/>
    </row>
    <row r="5313" spans="462:480" x14ac:dyDescent="0.3">
      <c r="QT5313" s="106"/>
      <c r="QU5313" s="106"/>
      <c r="QV5313" s="106"/>
      <c r="QW5313" s="106"/>
      <c r="QX5313" s="106"/>
      <c r="QY5313" s="106"/>
      <c r="QZ5313" s="106"/>
      <c r="RA5313" s="106"/>
      <c r="RB5313" s="106"/>
      <c r="RC5313" s="106"/>
      <c r="RD5313" s="106"/>
      <c r="RE5313" s="106"/>
      <c r="RF5313" s="106"/>
      <c r="RG5313" s="106"/>
      <c r="RH5313" s="106"/>
      <c r="RI5313" s="106"/>
      <c r="RJ5313" s="106"/>
      <c r="RK5313" s="106"/>
      <c r="RL5313" s="106"/>
    </row>
    <row r="5314" spans="462:480" x14ac:dyDescent="0.3">
      <c r="QT5314" s="106"/>
      <c r="QU5314" s="106"/>
      <c r="QV5314" s="106"/>
      <c r="QW5314" s="106"/>
      <c r="QX5314" s="106"/>
      <c r="QY5314" s="106"/>
      <c r="QZ5314" s="106"/>
      <c r="RA5314" s="106"/>
      <c r="RB5314" s="106"/>
      <c r="RC5314" s="106"/>
      <c r="RD5314" s="106"/>
      <c r="RE5314" s="106"/>
      <c r="RF5314" s="106"/>
      <c r="RG5314" s="106"/>
      <c r="RH5314" s="106"/>
      <c r="RI5314" s="106"/>
      <c r="RJ5314" s="106"/>
      <c r="RK5314" s="106"/>
      <c r="RL5314" s="106"/>
    </row>
    <row r="5315" spans="462:480" x14ac:dyDescent="0.3">
      <c r="QT5315" s="106"/>
      <c r="QU5315" s="106"/>
      <c r="QV5315" s="106"/>
      <c r="QW5315" s="106"/>
      <c r="QX5315" s="106"/>
      <c r="QY5315" s="106"/>
      <c r="QZ5315" s="106"/>
      <c r="RA5315" s="106"/>
      <c r="RB5315" s="106"/>
      <c r="RC5315" s="106"/>
      <c r="RD5315" s="106"/>
      <c r="RE5315" s="106"/>
      <c r="RF5315" s="106"/>
      <c r="RG5315" s="106"/>
      <c r="RH5315" s="106"/>
      <c r="RI5315" s="106"/>
      <c r="RJ5315" s="106"/>
      <c r="RK5315" s="106"/>
      <c r="RL5315" s="106"/>
    </row>
    <row r="5316" spans="462:480" x14ac:dyDescent="0.3">
      <c r="QT5316" s="106"/>
      <c r="QU5316" s="106"/>
      <c r="QV5316" s="106"/>
      <c r="QW5316" s="106"/>
      <c r="QX5316" s="106"/>
      <c r="QY5316" s="106"/>
      <c r="QZ5316" s="106"/>
      <c r="RA5316" s="106"/>
      <c r="RB5316" s="106"/>
      <c r="RC5316" s="106"/>
      <c r="RD5316" s="106"/>
      <c r="RE5316" s="106"/>
      <c r="RF5316" s="106"/>
      <c r="RG5316" s="106"/>
      <c r="RH5316" s="106"/>
      <c r="RI5316" s="106"/>
      <c r="RJ5316" s="106"/>
      <c r="RK5316" s="106"/>
      <c r="RL5316" s="106"/>
    </row>
    <row r="5317" spans="462:480" x14ac:dyDescent="0.3">
      <c r="QT5317" s="106"/>
      <c r="QU5317" s="106"/>
      <c r="QV5317" s="106"/>
      <c r="QW5317" s="106"/>
      <c r="QX5317" s="106"/>
      <c r="QY5317" s="106"/>
      <c r="QZ5317" s="106"/>
      <c r="RA5317" s="106"/>
      <c r="RB5317" s="106"/>
      <c r="RC5317" s="106"/>
      <c r="RD5317" s="106"/>
      <c r="RE5317" s="106"/>
      <c r="RF5317" s="106"/>
      <c r="RG5317" s="106"/>
      <c r="RH5317" s="106"/>
      <c r="RI5317" s="106"/>
      <c r="RJ5317" s="106"/>
      <c r="RK5317" s="106"/>
      <c r="RL5317" s="106"/>
    </row>
    <row r="5318" spans="462:480" x14ac:dyDescent="0.3">
      <c r="QT5318" s="106"/>
      <c r="QU5318" s="106"/>
      <c r="QV5318" s="106"/>
      <c r="QW5318" s="106"/>
      <c r="QX5318" s="106"/>
      <c r="QY5318" s="106"/>
      <c r="QZ5318" s="106"/>
      <c r="RA5318" s="106"/>
      <c r="RB5318" s="106"/>
      <c r="RC5318" s="106"/>
      <c r="RD5318" s="106"/>
      <c r="RE5318" s="106"/>
      <c r="RF5318" s="106"/>
      <c r="RG5318" s="106"/>
      <c r="RH5318" s="106"/>
      <c r="RI5318" s="106"/>
      <c r="RJ5318" s="106"/>
      <c r="RK5318" s="106"/>
      <c r="RL5318" s="106"/>
    </row>
    <row r="5319" spans="462:480" x14ac:dyDescent="0.3">
      <c r="QT5319" s="106"/>
      <c r="QU5319" s="106"/>
      <c r="QV5319" s="106"/>
      <c r="QW5319" s="106"/>
      <c r="QX5319" s="106"/>
      <c r="QY5319" s="106"/>
      <c r="QZ5319" s="106"/>
      <c r="RA5319" s="106"/>
      <c r="RB5319" s="106"/>
      <c r="RC5319" s="106"/>
      <c r="RD5319" s="106"/>
      <c r="RE5319" s="106"/>
      <c r="RF5319" s="106"/>
      <c r="RG5319" s="106"/>
      <c r="RH5319" s="106"/>
      <c r="RI5319" s="106"/>
      <c r="RJ5319" s="106"/>
      <c r="RK5319" s="106"/>
      <c r="RL5319" s="106"/>
    </row>
    <row r="5320" spans="462:480" x14ac:dyDescent="0.3">
      <c r="QT5320" s="106"/>
      <c r="QU5320" s="106"/>
      <c r="QV5320" s="106"/>
      <c r="QW5320" s="106"/>
      <c r="QX5320" s="106"/>
      <c r="QY5320" s="106"/>
      <c r="QZ5320" s="106"/>
      <c r="RA5320" s="106"/>
      <c r="RB5320" s="106"/>
      <c r="RC5320" s="106"/>
      <c r="RD5320" s="106"/>
      <c r="RE5320" s="106"/>
      <c r="RF5320" s="106"/>
      <c r="RG5320" s="106"/>
      <c r="RH5320" s="106"/>
      <c r="RI5320" s="106"/>
      <c r="RJ5320" s="106"/>
      <c r="RK5320" s="106"/>
      <c r="RL5320" s="106"/>
    </row>
    <row r="5321" spans="462:480" x14ac:dyDescent="0.3">
      <c r="QT5321" s="106"/>
      <c r="QU5321" s="106"/>
      <c r="QV5321" s="106"/>
      <c r="QW5321" s="106"/>
      <c r="QX5321" s="106"/>
      <c r="QY5321" s="106"/>
      <c r="QZ5321" s="106"/>
      <c r="RA5321" s="106"/>
      <c r="RB5321" s="106"/>
      <c r="RC5321" s="106"/>
      <c r="RD5321" s="106"/>
      <c r="RE5321" s="106"/>
      <c r="RF5321" s="106"/>
      <c r="RG5321" s="106"/>
      <c r="RH5321" s="106"/>
      <c r="RI5321" s="106"/>
      <c r="RJ5321" s="106"/>
      <c r="RK5321" s="106"/>
      <c r="RL5321" s="106"/>
    </row>
    <row r="5322" spans="462:480" x14ac:dyDescent="0.3">
      <c r="QT5322" s="106"/>
      <c r="QU5322" s="106"/>
      <c r="QV5322" s="106"/>
      <c r="QW5322" s="106"/>
      <c r="QX5322" s="106"/>
      <c r="QY5322" s="106"/>
      <c r="QZ5322" s="106"/>
      <c r="RA5322" s="106"/>
      <c r="RB5322" s="106"/>
      <c r="RC5322" s="106"/>
      <c r="RD5322" s="106"/>
      <c r="RE5322" s="106"/>
      <c r="RF5322" s="106"/>
      <c r="RG5322" s="106"/>
      <c r="RH5322" s="106"/>
      <c r="RI5322" s="106"/>
      <c r="RJ5322" s="106"/>
      <c r="RK5322" s="106"/>
      <c r="RL5322" s="106"/>
    </row>
    <row r="5323" spans="462:480" x14ac:dyDescent="0.3">
      <c r="QT5323" s="106"/>
      <c r="QU5323" s="106"/>
      <c r="QV5323" s="106"/>
      <c r="QW5323" s="106"/>
      <c r="QX5323" s="106"/>
      <c r="QY5323" s="106"/>
      <c r="QZ5323" s="106"/>
      <c r="RA5323" s="106"/>
      <c r="RB5323" s="106"/>
      <c r="RC5323" s="106"/>
      <c r="RD5323" s="106"/>
      <c r="RE5323" s="106"/>
      <c r="RF5323" s="106"/>
      <c r="RG5323" s="106"/>
      <c r="RH5323" s="106"/>
      <c r="RI5323" s="106"/>
      <c r="RJ5323" s="106"/>
      <c r="RK5323" s="106"/>
      <c r="RL5323" s="106"/>
    </row>
    <row r="5324" spans="462:480" x14ac:dyDescent="0.3">
      <c r="QT5324" s="106"/>
      <c r="QU5324" s="106"/>
      <c r="QV5324" s="106"/>
      <c r="QW5324" s="106"/>
      <c r="QX5324" s="106"/>
      <c r="QY5324" s="106"/>
      <c r="QZ5324" s="106"/>
      <c r="RA5324" s="106"/>
      <c r="RB5324" s="106"/>
      <c r="RC5324" s="106"/>
      <c r="RD5324" s="106"/>
      <c r="RE5324" s="106"/>
      <c r="RF5324" s="106"/>
      <c r="RG5324" s="106"/>
      <c r="RH5324" s="106"/>
      <c r="RI5324" s="106"/>
      <c r="RJ5324" s="106"/>
      <c r="RK5324" s="106"/>
      <c r="RL5324" s="106"/>
    </row>
    <row r="5325" spans="462:480" x14ac:dyDescent="0.3">
      <c r="QT5325" s="106"/>
      <c r="QU5325" s="106"/>
      <c r="QV5325" s="106"/>
      <c r="QW5325" s="106"/>
      <c r="QX5325" s="106"/>
      <c r="QY5325" s="106"/>
      <c r="QZ5325" s="106"/>
      <c r="RA5325" s="106"/>
      <c r="RB5325" s="106"/>
      <c r="RC5325" s="106"/>
      <c r="RD5325" s="106"/>
      <c r="RE5325" s="106"/>
      <c r="RF5325" s="106"/>
      <c r="RG5325" s="106"/>
      <c r="RH5325" s="106"/>
      <c r="RI5325" s="106"/>
      <c r="RJ5325" s="106"/>
      <c r="RK5325" s="106"/>
      <c r="RL5325" s="106"/>
    </row>
    <row r="5326" spans="462:480" x14ac:dyDescent="0.3">
      <c r="QT5326" s="106"/>
      <c r="QU5326" s="106"/>
      <c r="QV5326" s="106"/>
      <c r="QW5326" s="106"/>
      <c r="QX5326" s="106"/>
      <c r="QY5326" s="106"/>
      <c r="QZ5326" s="106"/>
      <c r="RA5326" s="106"/>
      <c r="RB5326" s="106"/>
      <c r="RC5326" s="106"/>
      <c r="RD5326" s="106"/>
      <c r="RE5326" s="106"/>
      <c r="RF5326" s="106"/>
      <c r="RG5326" s="106"/>
      <c r="RH5326" s="106"/>
      <c r="RI5326" s="106"/>
      <c r="RJ5326" s="106"/>
      <c r="RK5326" s="106"/>
      <c r="RL5326" s="106"/>
    </row>
    <row r="5327" spans="462:480" x14ac:dyDescent="0.3">
      <c r="QT5327" s="106"/>
      <c r="QU5327" s="106"/>
      <c r="QV5327" s="106"/>
      <c r="QW5327" s="106"/>
      <c r="QX5327" s="106"/>
      <c r="QY5327" s="106"/>
      <c r="QZ5327" s="106"/>
      <c r="RA5327" s="106"/>
      <c r="RB5327" s="106"/>
      <c r="RC5327" s="106"/>
      <c r="RD5327" s="106"/>
      <c r="RE5327" s="106"/>
      <c r="RF5327" s="106"/>
      <c r="RG5327" s="106"/>
      <c r="RH5327" s="106"/>
      <c r="RI5327" s="106"/>
      <c r="RJ5327" s="106"/>
      <c r="RK5327" s="106"/>
      <c r="RL5327" s="106"/>
    </row>
    <row r="5328" spans="462:480" x14ac:dyDescent="0.3">
      <c r="QT5328" s="106"/>
      <c r="QU5328" s="106"/>
      <c r="QV5328" s="106"/>
      <c r="QW5328" s="106"/>
      <c r="QX5328" s="106"/>
      <c r="QY5328" s="106"/>
      <c r="QZ5328" s="106"/>
      <c r="RA5328" s="106"/>
      <c r="RB5328" s="106"/>
      <c r="RC5328" s="106"/>
      <c r="RD5328" s="106"/>
      <c r="RE5328" s="106"/>
      <c r="RF5328" s="106"/>
      <c r="RG5328" s="106"/>
      <c r="RH5328" s="106"/>
      <c r="RI5328" s="106"/>
      <c r="RJ5328" s="106"/>
      <c r="RK5328" s="106"/>
      <c r="RL5328" s="106"/>
    </row>
    <row r="5329" spans="462:480" x14ac:dyDescent="0.3">
      <c r="QT5329" s="106"/>
      <c r="QU5329" s="106"/>
      <c r="QV5329" s="106"/>
      <c r="QW5329" s="106"/>
      <c r="QX5329" s="106"/>
      <c r="QY5329" s="106"/>
      <c r="QZ5329" s="106"/>
      <c r="RA5329" s="106"/>
      <c r="RB5329" s="106"/>
      <c r="RC5329" s="106"/>
      <c r="RD5329" s="106"/>
      <c r="RE5329" s="106"/>
      <c r="RF5329" s="106"/>
      <c r="RG5329" s="106"/>
      <c r="RH5329" s="106"/>
      <c r="RI5329" s="106"/>
      <c r="RJ5329" s="106"/>
      <c r="RK5329" s="106"/>
      <c r="RL5329" s="106"/>
    </row>
    <row r="5330" spans="462:480" x14ac:dyDescent="0.3">
      <c r="QT5330" s="106"/>
      <c r="QU5330" s="106"/>
      <c r="QV5330" s="106"/>
      <c r="QW5330" s="106"/>
      <c r="QX5330" s="106"/>
      <c r="QY5330" s="106"/>
      <c r="QZ5330" s="106"/>
      <c r="RA5330" s="106"/>
      <c r="RB5330" s="106"/>
      <c r="RC5330" s="106"/>
      <c r="RD5330" s="106"/>
      <c r="RE5330" s="106"/>
      <c r="RF5330" s="106"/>
      <c r="RG5330" s="106"/>
      <c r="RH5330" s="106"/>
      <c r="RI5330" s="106"/>
      <c r="RJ5330" s="106"/>
      <c r="RK5330" s="106"/>
      <c r="RL5330" s="106"/>
    </row>
    <row r="5331" spans="462:480" x14ac:dyDescent="0.3">
      <c r="QT5331" s="106"/>
      <c r="QU5331" s="106"/>
      <c r="QV5331" s="106"/>
      <c r="QW5331" s="106"/>
      <c r="QX5331" s="106"/>
      <c r="QY5331" s="106"/>
      <c r="QZ5331" s="106"/>
      <c r="RA5331" s="106"/>
      <c r="RB5331" s="106"/>
      <c r="RC5331" s="106"/>
      <c r="RD5331" s="106"/>
      <c r="RE5331" s="106"/>
      <c r="RF5331" s="106"/>
      <c r="RG5331" s="106"/>
      <c r="RH5331" s="106"/>
      <c r="RI5331" s="106"/>
      <c r="RJ5331" s="106"/>
      <c r="RK5331" s="106"/>
      <c r="RL5331" s="106"/>
    </row>
    <row r="5332" spans="462:480" x14ac:dyDescent="0.3">
      <c r="QT5332" s="106"/>
      <c r="QU5332" s="106"/>
      <c r="QV5332" s="106"/>
      <c r="QW5332" s="106"/>
      <c r="QX5332" s="106"/>
      <c r="QY5332" s="106"/>
      <c r="QZ5332" s="106"/>
      <c r="RA5332" s="106"/>
      <c r="RB5332" s="106"/>
      <c r="RC5332" s="106"/>
      <c r="RD5332" s="106"/>
      <c r="RE5332" s="106"/>
      <c r="RF5332" s="106"/>
      <c r="RG5332" s="106"/>
      <c r="RH5332" s="106"/>
      <c r="RI5332" s="106"/>
      <c r="RJ5332" s="106"/>
      <c r="RK5332" s="106"/>
      <c r="RL5332" s="106"/>
    </row>
    <row r="5333" spans="462:480" x14ac:dyDescent="0.3">
      <c r="QT5333" s="106"/>
      <c r="QU5333" s="106"/>
      <c r="QV5333" s="106"/>
      <c r="QW5333" s="106"/>
      <c r="QX5333" s="106"/>
      <c r="QY5333" s="106"/>
      <c r="QZ5333" s="106"/>
      <c r="RA5333" s="106"/>
      <c r="RB5333" s="106"/>
      <c r="RC5333" s="106"/>
      <c r="RD5333" s="106"/>
      <c r="RE5333" s="106"/>
      <c r="RF5333" s="106"/>
      <c r="RG5333" s="106"/>
      <c r="RH5333" s="106"/>
      <c r="RI5333" s="106"/>
      <c r="RJ5333" s="106"/>
      <c r="RK5333" s="106"/>
      <c r="RL5333" s="106"/>
    </row>
    <row r="5334" spans="462:480" x14ac:dyDescent="0.3">
      <c r="QT5334" s="106"/>
      <c r="QU5334" s="106"/>
      <c r="QV5334" s="106"/>
      <c r="QW5334" s="106"/>
      <c r="QX5334" s="106"/>
      <c r="QY5334" s="106"/>
      <c r="QZ5334" s="106"/>
      <c r="RA5334" s="106"/>
      <c r="RB5334" s="106"/>
      <c r="RC5334" s="106"/>
      <c r="RD5334" s="106"/>
      <c r="RE5334" s="106"/>
      <c r="RF5334" s="106"/>
      <c r="RG5334" s="106"/>
      <c r="RH5334" s="106"/>
      <c r="RI5334" s="106"/>
      <c r="RJ5334" s="106"/>
      <c r="RK5334" s="106"/>
      <c r="RL5334" s="106"/>
    </row>
    <row r="5335" spans="462:480" x14ac:dyDescent="0.3">
      <c r="QT5335" s="106"/>
      <c r="QU5335" s="106"/>
      <c r="QV5335" s="106"/>
      <c r="QW5335" s="106"/>
      <c r="QX5335" s="106"/>
      <c r="QY5335" s="106"/>
      <c r="QZ5335" s="106"/>
      <c r="RA5335" s="106"/>
      <c r="RB5335" s="106"/>
      <c r="RC5335" s="106"/>
      <c r="RD5335" s="106"/>
      <c r="RE5335" s="106"/>
      <c r="RF5335" s="106"/>
      <c r="RG5335" s="106"/>
      <c r="RH5335" s="106"/>
      <c r="RI5335" s="106"/>
      <c r="RJ5335" s="106"/>
      <c r="RK5335" s="106"/>
      <c r="RL5335" s="106"/>
    </row>
    <row r="5336" spans="462:480" x14ac:dyDescent="0.3">
      <c r="QT5336" s="106"/>
      <c r="QU5336" s="106"/>
      <c r="QV5336" s="106"/>
      <c r="QW5336" s="106"/>
      <c r="QX5336" s="106"/>
      <c r="QY5336" s="106"/>
      <c r="QZ5336" s="106"/>
      <c r="RA5336" s="106"/>
      <c r="RB5336" s="106"/>
      <c r="RC5336" s="106"/>
      <c r="RD5336" s="106"/>
      <c r="RE5336" s="106"/>
      <c r="RF5336" s="106"/>
      <c r="RG5336" s="106"/>
      <c r="RH5336" s="106"/>
      <c r="RI5336" s="106"/>
      <c r="RJ5336" s="106"/>
      <c r="RK5336" s="106"/>
      <c r="RL5336" s="106"/>
    </row>
    <row r="5337" spans="462:480" x14ac:dyDescent="0.3">
      <c r="QT5337" s="106"/>
      <c r="QU5337" s="106"/>
      <c r="QV5337" s="106"/>
      <c r="QW5337" s="106"/>
      <c r="QX5337" s="106"/>
      <c r="QY5337" s="106"/>
      <c r="QZ5337" s="106"/>
      <c r="RA5337" s="106"/>
      <c r="RB5337" s="106"/>
      <c r="RC5337" s="106"/>
      <c r="RD5337" s="106"/>
      <c r="RE5337" s="106"/>
      <c r="RF5337" s="106"/>
      <c r="RG5337" s="106"/>
      <c r="RH5337" s="106"/>
      <c r="RI5337" s="106"/>
      <c r="RJ5337" s="106"/>
      <c r="RK5337" s="106"/>
      <c r="RL5337" s="106"/>
    </row>
    <row r="5338" spans="462:480" x14ac:dyDescent="0.3">
      <c r="QT5338" s="106"/>
      <c r="QU5338" s="106"/>
      <c r="QV5338" s="106"/>
      <c r="QW5338" s="106"/>
      <c r="QX5338" s="106"/>
      <c r="QY5338" s="106"/>
      <c r="QZ5338" s="106"/>
      <c r="RA5338" s="106"/>
      <c r="RB5338" s="106"/>
      <c r="RC5338" s="106"/>
      <c r="RD5338" s="106"/>
      <c r="RE5338" s="106"/>
      <c r="RF5338" s="106"/>
      <c r="RG5338" s="106"/>
      <c r="RH5338" s="106"/>
      <c r="RI5338" s="106"/>
      <c r="RJ5338" s="106"/>
      <c r="RK5338" s="106"/>
      <c r="RL5338" s="106"/>
    </row>
    <row r="5339" spans="462:480" x14ac:dyDescent="0.3">
      <c r="QT5339" s="106"/>
      <c r="QU5339" s="106"/>
      <c r="QV5339" s="106"/>
      <c r="QW5339" s="106"/>
      <c r="QX5339" s="106"/>
      <c r="QY5339" s="106"/>
      <c r="QZ5339" s="106"/>
      <c r="RA5339" s="106"/>
      <c r="RB5339" s="106"/>
      <c r="RC5339" s="106"/>
      <c r="RD5339" s="106"/>
      <c r="RE5339" s="106"/>
      <c r="RF5339" s="106"/>
      <c r="RG5339" s="106"/>
      <c r="RH5339" s="106"/>
      <c r="RI5339" s="106"/>
      <c r="RJ5339" s="106"/>
      <c r="RK5339" s="106"/>
      <c r="RL5339" s="106"/>
    </row>
    <row r="5340" spans="462:480" x14ac:dyDescent="0.3">
      <c r="QT5340" s="106"/>
      <c r="QU5340" s="106"/>
      <c r="QV5340" s="106"/>
      <c r="QW5340" s="106"/>
      <c r="QX5340" s="106"/>
      <c r="QY5340" s="106"/>
      <c r="QZ5340" s="106"/>
      <c r="RA5340" s="106"/>
      <c r="RB5340" s="106"/>
      <c r="RC5340" s="106"/>
      <c r="RD5340" s="106"/>
      <c r="RE5340" s="106"/>
      <c r="RF5340" s="106"/>
      <c r="RG5340" s="106"/>
      <c r="RH5340" s="106"/>
      <c r="RI5340" s="106"/>
      <c r="RJ5340" s="106"/>
      <c r="RK5340" s="106"/>
      <c r="RL5340" s="106"/>
    </row>
    <row r="5341" spans="462:480" x14ac:dyDescent="0.3">
      <c r="QT5341" s="106"/>
      <c r="QU5341" s="106"/>
      <c r="QV5341" s="106"/>
      <c r="QW5341" s="106"/>
      <c r="QX5341" s="106"/>
      <c r="QY5341" s="106"/>
      <c r="QZ5341" s="106"/>
      <c r="RA5341" s="106"/>
      <c r="RB5341" s="106"/>
      <c r="RC5341" s="106"/>
      <c r="RD5341" s="106"/>
      <c r="RE5341" s="106"/>
      <c r="RF5341" s="106"/>
      <c r="RG5341" s="106"/>
      <c r="RH5341" s="106"/>
      <c r="RI5341" s="106"/>
      <c r="RJ5341" s="106"/>
      <c r="RK5341" s="106"/>
      <c r="RL5341" s="106"/>
    </row>
    <row r="5342" spans="462:480" x14ac:dyDescent="0.3">
      <c r="QT5342" s="106"/>
      <c r="QU5342" s="106"/>
      <c r="QV5342" s="106"/>
      <c r="QW5342" s="106"/>
      <c r="QX5342" s="106"/>
      <c r="QY5342" s="106"/>
      <c r="QZ5342" s="106"/>
      <c r="RA5342" s="106"/>
      <c r="RB5342" s="106"/>
      <c r="RC5342" s="106"/>
      <c r="RD5342" s="106"/>
      <c r="RE5342" s="106"/>
      <c r="RF5342" s="106"/>
      <c r="RG5342" s="106"/>
      <c r="RH5342" s="106"/>
      <c r="RI5342" s="106"/>
      <c r="RJ5342" s="106"/>
      <c r="RK5342" s="106"/>
      <c r="RL5342" s="106"/>
    </row>
    <row r="5343" spans="462:480" x14ac:dyDescent="0.3">
      <c r="QT5343" s="106"/>
      <c r="QU5343" s="106"/>
      <c r="QV5343" s="106"/>
      <c r="QW5343" s="106"/>
      <c r="QX5343" s="106"/>
      <c r="QY5343" s="106"/>
      <c r="QZ5343" s="106"/>
      <c r="RA5343" s="106"/>
      <c r="RB5343" s="106"/>
      <c r="RC5343" s="106"/>
      <c r="RD5343" s="106"/>
      <c r="RE5343" s="106"/>
      <c r="RF5343" s="106"/>
      <c r="RG5343" s="106"/>
      <c r="RH5343" s="106"/>
      <c r="RI5343" s="106"/>
      <c r="RJ5343" s="106"/>
      <c r="RK5343" s="106"/>
      <c r="RL5343" s="106"/>
    </row>
    <row r="5344" spans="462:480" x14ac:dyDescent="0.3">
      <c r="QT5344" s="106"/>
      <c r="QU5344" s="106"/>
      <c r="QV5344" s="106"/>
      <c r="QW5344" s="106"/>
      <c r="QX5344" s="106"/>
      <c r="QY5344" s="106"/>
      <c r="QZ5344" s="106"/>
      <c r="RA5344" s="106"/>
      <c r="RB5344" s="106"/>
      <c r="RC5344" s="106"/>
      <c r="RD5344" s="106"/>
      <c r="RE5344" s="106"/>
      <c r="RF5344" s="106"/>
      <c r="RG5344" s="106"/>
      <c r="RH5344" s="106"/>
      <c r="RI5344" s="106"/>
      <c r="RJ5344" s="106"/>
      <c r="RK5344" s="106"/>
      <c r="RL5344" s="106"/>
    </row>
    <row r="5345" spans="462:480" x14ac:dyDescent="0.3">
      <c r="QT5345" s="106"/>
      <c r="QU5345" s="106"/>
      <c r="QV5345" s="106"/>
      <c r="QW5345" s="106"/>
      <c r="QX5345" s="106"/>
      <c r="QY5345" s="106"/>
      <c r="QZ5345" s="106"/>
      <c r="RA5345" s="106"/>
      <c r="RB5345" s="106"/>
      <c r="RC5345" s="106"/>
      <c r="RD5345" s="106"/>
      <c r="RE5345" s="106"/>
      <c r="RF5345" s="106"/>
      <c r="RG5345" s="106"/>
      <c r="RH5345" s="106"/>
      <c r="RI5345" s="106"/>
      <c r="RJ5345" s="106"/>
      <c r="RK5345" s="106"/>
      <c r="RL5345" s="106"/>
    </row>
    <row r="5346" spans="462:480" x14ac:dyDescent="0.3">
      <c r="QT5346" s="106"/>
      <c r="QU5346" s="106"/>
      <c r="QV5346" s="106"/>
      <c r="QW5346" s="106"/>
      <c r="QX5346" s="106"/>
      <c r="QY5346" s="106"/>
      <c r="QZ5346" s="106"/>
      <c r="RA5346" s="106"/>
      <c r="RB5346" s="106"/>
      <c r="RC5346" s="106"/>
      <c r="RD5346" s="106"/>
      <c r="RE5346" s="106"/>
      <c r="RF5346" s="106"/>
      <c r="RG5346" s="106"/>
      <c r="RH5346" s="106"/>
      <c r="RI5346" s="106"/>
      <c r="RJ5346" s="106"/>
      <c r="RK5346" s="106"/>
      <c r="RL5346" s="106"/>
    </row>
    <row r="5347" spans="462:480" x14ac:dyDescent="0.3">
      <c r="QT5347" s="106"/>
      <c r="QU5347" s="106"/>
      <c r="QV5347" s="106"/>
      <c r="QW5347" s="106"/>
      <c r="QX5347" s="106"/>
      <c r="QY5347" s="106"/>
      <c r="QZ5347" s="106"/>
      <c r="RA5347" s="106"/>
      <c r="RB5347" s="106"/>
      <c r="RC5347" s="106"/>
      <c r="RD5347" s="106"/>
      <c r="RE5347" s="106"/>
      <c r="RF5347" s="106"/>
      <c r="RG5347" s="106"/>
      <c r="RH5347" s="106"/>
      <c r="RI5347" s="106"/>
      <c r="RJ5347" s="106"/>
      <c r="RK5347" s="106"/>
      <c r="RL5347" s="106"/>
    </row>
    <row r="5348" spans="462:480" x14ac:dyDescent="0.3">
      <c r="QT5348" s="106"/>
      <c r="QU5348" s="106"/>
      <c r="QV5348" s="106"/>
      <c r="QW5348" s="106"/>
      <c r="QX5348" s="106"/>
      <c r="QY5348" s="106"/>
      <c r="QZ5348" s="106"/>
      <c r="RA5348" s="106"/>
      <c r="RB5348" s="106"/>
      <c r="RC5348" s="106"/>
      <c r="RD5348" s="106"/>
      <c r="RE5348" s="106"/>
      <c r="RF5348" s="106"/>
      <c r="RG5348" s="106"/>
      <c r="RH5348" s="106"/>
      <c r="RI5348" s="106"/>
      <c r="RJ5348" s="106"/>
      <c r="RK5348" s="106"/>
      <c r="RL5348" s="106"/>
    </row>
    <row r="5349" spans="462:480" x14ac:dyDescent="0.3">
      <c r="QT5349" s="106"/>
      <c r="QU5349" s="106"/>
      <c r="QV5349" s="106"/>
      <c r="QW5349" s="106"/>
      <c r="QX5349" s="106"/>
      <c r="QY5349" s="106"/>
      <c r="QZ5349" s="106"/>
      <c r="RA5349" s="106"/>
      <c r="RB5349" s="106"/>
      <c r="RC5349" s="106"/>
      <c r="RD5349" s="106"/>
      <c r="RE5349" s="106"/>
      <c r="RF5349" s="106"/>
      <c r="RG5349" s="106"/>
      <c r="RH5349" s="106"/>
      <c r="RI5349" s="106"/>
      <c r="RJ5349" s="106"/>
      <c r="RK5349" s="106"/>
      <c r="RL5349" s="106"/>
    </row>
    <row r="5350" spans="462:480" x14ac:dyDescent="0.3">
      <c r="QT5350" s="106"/>
      <c r="QU5350" s="106"/>
      <c r="QV5350" s="106"/>
      <c r="QW5350" s="106"/>
      <c r="QX5350" s="106"/>
      <c r="QY5350" s="106"/>
      <c r="QZ5350" s="106"/>
      <c r="RA5350" s="106"/>
      <c r="RB5350" s="106"/>
      <c r="RC5350" s="106"/>
      <c r="RD5350" s="106"/>
      <c r="RE5350" s="106"/>
      <c r="RF5350" s="106"/>
      <c r="RG5350" s="106"/>
      <c r="RH5350" s="106"/>
      <c r="RI5350" s="106"/>
      <c r="RJ5350" s="106"/>
      <c r="RK5350" s="106"/>
      <c r="RL5350" s="106"/>
    </row>
    <row r="5351" spans="462:480" x14ac:dyDescent="0.3">
      <c r="QT5351" s="106"/>
      <c r="QU5351" s="106"/>
      <c r="QV5351" s="106"/>
      <c r="QW5351" s="106"/>
      <c r="QX5351" s="106"/>
      <c r="QY5351" s="106"/>
      <c r="QZ5351" s="106"/>
      <c r="RA5351" s="106"/>
      <c r="RB5351" s="106"/>
      <c r="RC5351" s="106"/>
      <c r="RD5351" s="106"/>
      <c r="RE5351" s="106"/>
      <c r="RF5351" s="106"/>
      <c r="RG5351" s="106"/>
      <c r="RH5351" s="106"/>
      <c r="RI5351" s="106"/>
      <c r="RJ5351" s="106"/>
      <c r="RK5351" s="106"/>
      <c r="RL5351" s="106"/>
    </row>
    <row r="5352" spans="462:480" x14ac:dyDescent="0.3">
      <c r="QT5352" s="106"/>
      <c r="QU5352" s="106"/>
      <c r="QV5352" s="106"/>
      <c r="QW5352" s="106"/>
      <c r="QX5352" s="106"/>
      <c r="QY5352" s="106"/>
      <c r="QZ5352" s="106"/>
      <c r="RA5352" s="106"/>
      <c r="RB5352" s="106"/>
      <c r="RC5352" s="106"/>
      <c r="RD5352" s="106"/>
      <c r="RE5352" s="106"/>
      <c r="RF5352" s="106"/>
      <c r="RG5352" s="106"/>
      <c r="RH5352" s="106"/>
      <c r="RI5352" s="106"/>
      <c r="RJ5352" s="106"/>
      <c r="RK5352" s="106"/>
      <c r="RL5352" s="106"/>
    </row>
    <row r="5353" spans="462:480" x14ac:dyDescent="0.3">
      <c r="QT5353" s="106"/>
      <c r="QU5353" s="106"/>
      <c r="QV5353" s="106"/>
      <c r="QW5353" s="106"/>
      <c r="QX5353" s="106"/>
      <c r="QY5353" s="106"/>
      <c r="QZ5353" s="106"/>
      <c r="RA5353" s="106"/>
      <c r="RB5353" s="106"/>
      <c r="RC5353" s="106"/>
      <c r="RD5353" s="106"/>
      <c r="RE5353" s="106"/>
      <c r="RF5353" s="106"/>
      <c r="RG5353" s="106"/>
      <c r="RH5353" s="106"/>
      <c r="RI5353" s="106"/>
      <c r="RJ5353" s="106"/>
      <c r="RK5353" s="106"/>
      <c r="RL5353" s="106"/>
    </row>
    <row r="5354" spans="462:480" x14ac:dyDescent="0.3">
      <c r="QT5354" s="106"/>
      <c r="QU5354" s="106"/>
      <c r="QV5354" s="106"/>
      <c r="QW5354" s="106"/>
      <c r="QX5354" s="106"/>
      <c r="QY5354" s="106"/>
      <c r="QZ5354" s="106"/>
      <c r="RA5354" s="106"/>
      <c r="RB5354" s="106"/>
      <c r="RC5354" s="106"/>
      <c r="RD5354" s="106"/>
      <c r="RE5354" s="106"/>
      <c r="RF5354" s="106"/>
      <c r="RG5354" s="106"/>
      <c r="RH5354" s="106"/>
      <c r="RI5354" s="106"/>
      <c r="RJ5354" s="106"/>
      <c r="RK5354" s="106"/>
      <c r="RL5354" s="106"/>
    </row>
    <row r="5355" spans="462:480" x14ac:dyDescent="0.3">
      <c r="QT5355" s="106"/>
      <c r="QU5355" s="106"/>
      <c r="QV5355" s="106"/>
      <c r="QW5355" s="106"/>
      <c r="QX5355" s="106"/>
      <c r="QY5355" s="106"/>
      <c r="QZ5355" s="106"/>
      <c r="RA5355" s="106"/>
      <c r="RB5355" s="106"/>
      <c r="RC5355" s="106"/>
      <c r="RD5355" s="106"/>
      <c r="RE5355" s="106"/>
      <c r="RF5355" s="106"/>
      <c r="RG5355" s="106"/>
      <c r="RH5355" s="106"/>
      <c r="RI5355" s="106"/>
      <c r="RJ5355" s="106"/>
      <c r="RK5355" s="106"/>
      <c r="RL5355" s="106"/>
    </row>
    <row r="5356" spans="462:480" x14ac:dyDescent="0.3">
      <c r="QT5356" s="106"/>
      <c r="QU5356" s="106"/>
      <c r="QV5356" s="106"/>
      <c r="QW5356" s="106"/>
      <c r="QX5356" s="106"/>
      <c r="QY5356" s="106"/>
      <c r="QZ5356" s="106"/>
      <c r="RA5356" s="106"/>
      <c r="RB5356" s="106"/>
      <c r="RC5356" s="106"/>
      <c r="RD5356" s="106"/>
      <c r="RE5356" s="106"/>
      <c r="RF5356" s="106"/>
      <c r="RG5356" s="106"/>
      <c r="RH5356" s="106"/>
      <c r="RI5356" s="106"/>
      <c r="RJ5356" s="106"/>
      <c r="RK5356" s="106"/>
      <c r="RL5356" s="106"/>
    </row>
    <row r="5357" spans="462:480" x14ac:dyDescent="0.3">
      <c r="QT5357" s="106"/>
      <c r="QU5357" s="106"/>
      <c r="QV5357" s="106"/>
      <c r="QW5357" s="106"/>
      <c r="QX5357" s="106"/>
      <c r="QY5357" s="106"/>
      <c r="QZ5357" s="106"/>
      <c r="RA5357" s="106"/>
      <c r="RB5357" s="106"/>
      <c r="RC5357" s="106"/>
      <c r="RD5357" s="106"/>
      <c r="RE5357" s="106"/>
      <c r="RF5357" s="106"/>
      <c r="RG5357" s="106"/>
      <c r="RH5357" s="106"/>
      <c r="RI5357" s="106"/>
      <c r="RJ5357" s="106"/>
      <c r="RK5357" s="106"/>
      <c r="RL5357" s="106"/>
    </row>
    <row r="5358" spans="462:480" x14ac:dyDescent="0.3">
      <c r="QT5358" s="106"/>
      <c r="QU5358" s="106"/>
      <c r="QV5358" s="106"/>
      <c r="QW5358" s="106"/>
      <c r="QX5358" s="106"/>
      <c r="QY5358" s="106"/>
      <c r="QZ5358" s="106"/>
      <c r="RA5358" s="106"/>
      <c r="RB5358" s="106"/>
      <c r="RC5358" s="106"/>
      <c r="RD5358" s="106"/>
      <c r="RE5358" s="106"/>
      <c r="RF5358" s="106"/>
      <c r="RG5358" s="106"/>
      <c r="RH5358" s="106"/>
      <c r="RI5358" s="106"/>
      <c r="RJ5358" s="106"/>
      <c r="RK5358" s="106"/>
      <c r="RL5358" s="106"/>
    </row>
    <row r="5359" spans="462:480" x14ac:dyDescent="0.3">
      <c r="QT5359" s="106"/>
      <c r="QU5359" s="106"/>
      <c r="QV5359" s="106"/>
      <c r="QW5359" s="106"/>
      <c r="QX5359" s="106"/>
      <c r="QY5359" s="106"/>
      <c r="QZ5359" s="106"/>
      <c r="RA5359" s="106"/>
      <c r="RB5359" s="106"/>
      <c r="RC5359" s="106"/>
      <c r="RD5359" s="106"/>
      <c r="RE5359" s="106"/>
      <c r="RF5359" s="106"/>
      <c r="RG5359" s="106"/>
      <c r="RH5359" s="106"/>
      <c r="RI5359" s="106"/>
      <c r="RJ5359" s="106"/>
      <c r="RK5359" s="106"/>
      <c r="RL5359" s="106"/>
    </row>
    <row r="5360" spans="462:480" x14ac:dyDescent="0.3">
      <c r="QT5360" s="106"/>
      <c r="QU5360" s="106"/>
      <c r="QV5360" s="106"/>
      <c r="QW5360" s="106"/>
      <c r="QX5360" s="106"/>
      <c r="QY5360" s="106"/>
      <c r="QZ5360" s="106"/>
      <c r="RA5360" s="106"/>
      <c r="RB5360" s="106"/>
      <c r="RC5360" s="106"/>
      <c r="RD5360" s="106"/>
      <c r="RE5360" s="106"/>
      <c r="RF5360" s="106"/>
      <c r="RG5360" s="106"/>
      <c r="RH5360" s="106"/>
      <c r="RI5360" s="106"/>
      <c r="RJ5360" s="106"/>
      <c r="RK5360" s="106"/>
      <c r="RL5360" s="106"/>
    </row>
    <row r="5361" spans="462:480" x14ac:dyDescent="0.3">
      <c r="QT5361" s="106"/>
      <c r="QU5361" s="106"/>
      <c r="QV5361" s="106"/>
      <c r="QW5361" s="106"/>
      <c r="QX5361" s="106"/>
      <c r="QY5361" s="106"/>
      <c r="QZ5361" s="106"/>
      <c r="RA5361" s="106"/>
      <c r="RB5361" s="106"/>
      <c r="RC5361" s="106"/>
      <c r="RD5361" s="106"/>
      <c r="RE5361" s="106"/>
      <c r="RF5361" s="106"/>
      <c r="RG5361" s="106"/>
      <c r="RH5361" s="106"/>
      <c r="RI5361" s="106"/>
      <c r="RJ5361" s="106"/>
      <c r="RK5361" s="106"/>
      <c r="RL5361" s="106"/>
    </row>
    <row r="5362" spans="462:480" x14ac:dyDescent="0.3">
      <c r="QT5362" s="106"/>
      <c r="QU5362" s="106"/>
      <c r="QV5362" s="106"/>
      <c r="QW5362" s="106"/>
      <c r="QX5362" s="106"/>
      <c r="QY5362" s="106"/>
      <c r="QZ5362" s="106"/>
      <c r="RA5362" s="106"/>
      <c r="RB5362" s="106"/>
      <c r="RC5362" s="106"/>
      <c r="RD5362" s="106"/>
      <c r="RE5362" s="106"/>
      <c r="RF5362" s="106"/>
      <c r="RG5362" s="106"/>
      <c r="RH5362" s="106"/>
      <c r="RI5362" s="106"/>
      <c r="RJ5362" s="106"/>
      <c r="RK5362" s="106"/>
      <c r="RL5362" s="106"/>
    </row>
    <row r="5363" spans="462:480" x14ac:dyDescent="0.3">
      <c r="QT5363" s="106"/>
      <c r="QU5363" s="106"/>
      <c r="QV5363" s="106"/>
      <c r="QW5363" s="106"/>
      <c r="QX5363" s="106"/>
      <c r="QY5363" s="106"/>
      <c r="QZ5363" s="106"/>
      <c r="RA5363" s="106"/>
      <c r="RB5363" s="106"/>
      <c r="RC5363" s="106"/>
      <c r="RD5363" s="106"/>
      <c r="RE5363" s="106"/>
      <c r="RF5363" s="106"/>
      <c r="RG5363" s="106"/>
      <c r="RH5363" s="106"/>
      <c r="RI5363" s="106"/>
      <c r="RJ5363" s="106"/>
      <c r="RK5363" s="106"/>
      <c r="RL5363" s="106"/>
    </row>
    <row r="5364" spans="462:480" x14ac:dyDescent="0.3">
      <c r="QT5364" s="106"/>
      <c r="QU5364" s="106"/>
      <c r="QV5364" s="106"/>
      <c r="QW5364" s="106"/>
      <c r="QX5364" s="106"/>
      <c r="QY5364" s="106"/>
      <c r="QZ5364" s="106"/>
      <c r="RA5364" s="106"/>
      <c r="RB5364" s="106"/>
      <c r="RC5364" s="106"/>
      <c r="RD5364" s="106"/>
      <c r="RE5364" s="106"/>
      <c r="RF5364" s="106"/>
      <c r="RG5364" s="106"/>
      <c r="RH5364" s="106"/>
      <c r="RI5364" s="106"/>
      <c r="RJ5364" s="106"/>
      <c r="RK5364" s="106"/>
      <c r="RL5364" s="106"/>
    </row>
    <row r="5365" spans="462:480" x14ac:dyDescent="0.3">
      <c r="QT5365" s="106"/>
      <c r="QU5365" s="106"/>
      <c r="QV5365" s="106"/>
      <c r="QW5365" s="106"/>
      <c r="QX5365" s="106"/>
      <c r="QY5365" s="106"/>
      <c r="QZ5365" s="106"/>
      <c r="RA5365" s="106"/>
      <c r="RB5365" s="106"/>
      <c r="RC5365" s="106"/>
      <c r="RD5365" s="106"/>
      <c r="RE5365" s="106"/>
      <c r="RF5365" s="106"/>
      <c r="RG5365" s="106"/>
      <c r="RH5365" s="106"/>
      <c r="RI5365" s="106"/>
      <c r="RJ5365" s="106"/>
      <c r="RK5365" s="106"/>
      <c r="RL5365" s="106"/>
    </row>
    <row r="5366" spans="462:480" x14ac:dyDescent="0.3">
      <c r="QT5366" s="106"/>
      <c r="QU5366" s="106"/>
      <c r="QV5366" s="106"/>
      <c r="QW5366" s="106"/>
      <c r="QX5366" s="106"/>
      <c r="QY5366" s="106"/>
      <c r="QZ5366" s="106"/>
      <c r="RA5366" s="106"/>
      <c r="RB5366" s="106"/>
      <c r="RC5366" s="106"/>
      <c r="RD5366" s="106"/>
      <c r="RE5366" s="106"/>
      <c r="RF5366" s="106"/>
      <c r="RG5366" s="106"/>
      <c r="RH5366" s="106"/>
      <c r="RI5366" s="106"/>
      <c r="RJ5366" s="106"/>
      <c r="RK5366" s="106"/>
      <c r="RL5366" s="106"/>
    </row>
    <row r="5367" spans="462:480" x14ac:dyDescent="0.3">
      <c r="QT5367" s="106"/>
      <c r="QU5367" s="106"/>
      <c r="QV5367" s="106"/>
      <c r="QW5367" s="106"/>
      <c r="QX5367" s="106"/>
      <c r="QY5367" s="106"/>
      <c r="QZ5367" s="106"/>
      <c r="RA5367" s="106"/>
      <c r="RB5367" s="106"/>
      <c r="RC5367" s="106"/>
      <c r="RD5367" s="106"/>
      <c r="RE5367" s="106"/>
      <c r="RF5367" s="106"/>
      <c r="RG5367" s="106"/>
      <c r="RH5367" s="106"/>
      <c r="RI5367" s="106"/>
      <c r="RJ5367" s="106"/>
      <c r="RK5367" s="106"/>
      <c r="RL5367" s="106"/>
    </row>
    <row r="5368" spans="462:480" x14ac:dyDescent="0.3">
      <c r="QT5368" s="106"/>
      <c r="QU5368" s="106"/>
      <c r="QV5368" s="106"/>
      <c r="QW5368" s="106"/>
      <c r="QX5368" s="106"/>
      <c r="QY5368" s="106"/>
      <c r="QZ5368" s="106"/>
      <c r="RA5368" s="106"/>
      <c r="RB5368" s="106"/>
      <c r="RC5368" s="106"/>
      <c r="RD5368" s="106"/>
      <c r="RE5368" s="106"/>
      <c r="RF5368" s="106"/>
      <c r="RG5368" s="106"/>
      <c r="RH5368" s="106"/>
      <c r="RI5368" s="106"/>
      <c r="RJ5368" s="106"/>
      <c r="RK5368" s="106"/>
      <c r="RL5368" s="106"/>
    </row>
    <row r="5369" spans="462:480" x14ac:dyDescent="0.3">
      <c r="QT5369" s="106"/>
      <c r="QU5369" s="106"/>
      <c r="QV5369" s="106"/>
      <c r="QW5369" s="106"/>
      <c r="QX5369" s="106"/>
      <c r="QY5369" s="106"/>
      <c r="QZ5369" s="106"/>
      <c r="RA5369" s="106"/>
      <c r="RB5369" s="106"/>
      <c r="RC5369" s="106"/>
      <c r="RD5369" s="106"/>
      <c r="RE5369" s="106"/>
      <c r="RF5369" s="106"/>
      <c r="RG5369" s="106"/>
      <c r="RH5369" s="106"/>
      <c r="RI5369" s="106"/>
      <c r="RJ5369" s="106"/>
      <c r="RK5369" s="106"/>
      <c r="RL5369" s="106"/>
    </row>
    <row r="5370" spans="462:480" x14ac:dyDescent="0.3">
      <c r="QT5370" s="106"/>
      <c r="QU5370" s="106"/>
      <c r="QV5370" s="106"/>
      <c r="QW5370" s="106"/>
      <c r="QX5370" s="106"/>
      <c r="QY5370" s="106"/>
      <c r="QZ5370" s="106"/>
      <c r="RA5370" s="106"/>
      <c r="RB5370" s="106"/>
      <c r="RC5370" s="106"/>
      <c r="RD5370" s="106"/>
      <c r="RE5370" s="106"/>
      <c r="RF5370" s="106"/>
      <c r="RG5370" s="106"/>
      <c r="RH5370" s="106"/>
      <c r="RI5370" s="106"/>
      <c r="RJ5370" s="106"/>
      <c r="RK5370" s="106"/>
      <c r="RL5370" s="106"/>
    </row>
    <row r="5371" spans="462:480" x14ac:dyDescent="0.3">
      <c r="QT5371" s="106"/>
      <c r="QU5371" s="106"/>
      <c r="QV5371" s="106"/>
      <c r="QW5371" s="106"/>
      <c r="QX5371" s="106"/>
      <c r="QY5371" s="106"/>
      <c r="QZ5371" s="106"/>
      <c r="RA5371" s="106"/>
      <c r="RB5371" s="106"/>
      <c r="RC5371" s="106"/>
      <c r="RD5371" s="106"/>
      <c r="RE5371" s="106"/>
      <c r="RF5371" s="106"/>
      <c r="RG5371" s="106"/>
      <c r="RH5371" s="106"/>
      <c r="RI5371" s="106"/>
      <c r="RJ5371" s="106"/>
      <c r="RK5371" s="106"/>
      <c r="RL5371" s="106"/>
    </row>
    <row r="5372" spans="462:480" x14ac:dyDescent="0.3">
      <c r="QT5372" s="106"/>
      <c r="QU5372" s="106"/>
      <c r="QV5372" s="106"/>
      <c r="QW5372" s="106"/>
      <c r="QX5372" s="106"/>
      <c r="QY5372" s="106"/>
      <c r="QZ5372" s="106"/>
      <c r="RA5372" s="106"/>
      <c r="RB5372" s="106"/>
      <c r="RC5372" s="106"/>
      <c r="RD5372" s="106"/>
      <c r="RE5372" s="106"/>
      <c r="RF5372" s="106"/>
      <c r="RG5372" s="106"/>
      <c r="RH5372" s="106"/>
      <c r="RI5372" s="106"/>
      <c r="RJ5372" s="106"/>
      <c r="RK5372" s="106"/>
      <c r="RL5372" s="106"/>
    </row>
    <row r="5373" spans="462:480" x14ac:dyDescent="0.3">
      <c r="QT5373" s="106"/>
      <c r="QU5373" s="106"/>
      <c r="QV5373" s="106"/>
      <c r="QW5373" s="106"/>
      <c r="QX5373" s="106"/>
      <c r="QY5373" s="106"/>
      <c r="QZ5373" s="106"/>
      <c r="RA5373" s="106"/>
      <c r="RB5373" s="106"/>
      <c r="RC5373" s="106"/>
      <c r="RD5373" s="106"/>
      <c r="RE5373" s="106"/>
      <c r="RF5373" s="106"/>
      <c r="RG5373" s="106"/>
      <c r="RH5373" s="106"/>
      <c r="RI5373" s="106"/>
      <c r="RJ5373" s="106"/>
      <c r="RK5373" s="106"/>
      <c r="RL5373" s="106"/>
    </row>
    <row r="5374" spans="462:480" x14ac:dyDescent="0.3">
      <c r="QT5374" s="106"/>
      <c r="QU5374" s="106"/>
      <c r="QV5374" s="106"/>
      <c r="QW5374" s="106"/>
      <c r="QX5374" s="106"/>
      <c r="QY5374" s="106"/>
      <c r="QZ5374" s="106"/>
      <c r="RA5374" s="106"/>
      <c r="RB5374" s="106"/>
      <c r="RC5374" s="106"/>
      <c r="RD5374" s="106"/>
      <c r="RE5374" s="106"/>
      <c r="RF5374" s="106"/>
      <c r="RG5374" s="106"/>
      <c r="RH5374" s="106"/>
      <c r="RI5374" s="106"/>
      <c r="RJ5374" s="106"/>
      <c r="RK5374" s="106"/>
      <c r="RL5374" s="106"/>
    </row>
    <row r="5375" spans="462:480" x14ac:dyDescent="0.3">
      <c r="QT5375" s="106"/>
      <c r="QU5375" s="106"/>
      <c r="QV5375" s="106"/>
      <c r="QW5375" s="106"/>
      <c r="QX5375" s="106"/>
      <c r="QY5375" s="106"/>
      <c r="QZ5375" s="106"/>
      <c r="RA5375" s="106"/>
      <c r="RB5375" s="106"/>
      <c r="RC5375" s="106"/>
      <c r="RD5375" s="106"/>
      <c r="RE5375" s="106"/>
      <c r="RF5375" s="106"/>
      <c r="RG5375" s="106"/>
      <c r="RH5375" s="106"/>
      <c r="RI5375" s="106"/>
      <c r="RJ5375" s="106"/>
      <c r="RK5375" s="106"/>
      <c r="RL5375" s="106"/>
    </row>
    <row r="5376" spans="462:480" x14ac:dyDescent="0.3">
      <c r="QT5376" s="106"/>
      <c r="QU5376" s="106"/>
      <c r="QV5376" s="106"/>
      <c r="QW5376" s="106"/>
      <c r="QX5376" s="106"/>
      <c r="QY5376" s="106"/>
      <c r="QZ5376" s="106"/>
      <c r="RA5376" s="106"/>
      <c r="RB5376" s="106"/>
      <c r="RC5376" s="106"/>
      <c r="RD5376" s="106"/>
      <c r="RE5376" s="106"/>
      <c r="RF5376" s="106"/>
      <c r="RG5376" s="106"/>
      <c r="RH5376" s="106"/>
      <c r="RI5376" s="106"/>
      <c r="RJ5376" s="106"/>
      <c r="RK5376" s="106"/>
      <c r="RL5376" s="106"/>
    </row>
    <row r="5377" spans="462:480" x14ac:dyDescent="0.3">
      <c r="QT5377" s="106"/>
      <c r="QU5377" s="106"/>
      <c r="QV5377" s="106"/>
      <c r="QW5377" s="106"/>
      <c r="QX5377" s="106"/>
      <c r="QY5377" s="106"/>
      <c r="QZ5377" s="106"/>
      <c r="RA5377" s="106"/>
      <c r="RB5377" s="106"/>
      <c r="RC5377" s="106"/>
      <c r="RD5377" s="106"/>
      <c r="RE5377" s="106"/>
      <c r="RF5377" s="106"/>
      <c r="RG5377" s="106"/>
      <c r="RH5377" s="106"/>
      <c r="RI5377" s="106"/>
      <c r="RJ5377" s="106"/>
      <c r="RK5377" s="106"/>
      <c r="RL5377" s="106"/>
    </row>
    <row r="5378" spans="462:480" x14ac:dyDescent="0.3">
      <c r="QT5378" s="106"/>
      <c r="QU5378" s="106"/>
      <c r="QV5378" s="106"/>
      <c r="QW5378" s="106"/>
      <c r="QX5378" s="106"/>
      <c r="QY5378" s="106"/>
      <c r="QZ5378" s="106"/>
      <c r="RA5378" s="106"/>
      <c r="RB5378" s="106"/>
      <c r="RC5378" s="106"/>
      <c r="RD5378" s="106"/>
      <c r="RE5378" s="106"/>
      <c r="RF5378" s="106"/>
      <c r="RG5378" s="106"/>
      <c r="RH5378" s="106"/>
      <c r="RI5378" s="106"/>
      <c r="RJ5378" s="106"/>
      <c r="RK5378" s="106"/>
      <c r="RL5378" s="106"/>
    </row>
    <row r="5379" spans="462:480" x14ac:dyDescent="0.3">
      <c r="QT5379" s="106"/>
      <c r="QU5379" s="106"/>
      <c r="QV5379" s="106"/>
      <c r="QW5379" s="106"/>
      <c r="QX5379" s="106"/>
      <c r="QY5379" s="106"/>
      <c r="QZ5379" s="106"/>
      <c r="RA5379" s="106"/>
      <c r="RB5379" s="106"/>
      <c r="RC5379" s="106"/>
      <c r="RD5379" s="106"/>
      <c r="RE5379" s="106"/>
      <c r="RF5379" s="106"/>
      <c r="RG5379" s="106"/>
      <c r="RH5379" s="106"/>
      <c r="RI5379" s="106"/>
      <c r="RJ5379" s="106"/>
      <c r="RK5379" s="106"/>
      <c r="RL5379" s="106"/>
    </row>
    <row r="5380" spans="462:480" x14ac:dyDescent="0.3">
      <c r="QT5380" s="106"/>
      <c r="QU5380" s="106"/>
      <c r="QV5380" s="106"/>
      <c r="QW5380" s="106"/>
      <c r="QX5380" s="106"/>
      <c r="QY5380" s="106"/>
      <c r="QZ5380" s="106"/>
      <c r="RA5380" s="106"/>
      <c r="RB5380" s="106"/>
      <c r="RC5380" s="106"/>
      <c r="RD5380" s="106"/>
      <c r="RE5380" s="106"/>
      <c r="RF5380" s="106"/>
      <c r="RG5380" s="106"/>
      <c r="RH5380" s="106"/>
      <c r="RI5380" s="106"/>
      <c r="RJ5380" s="106"/>
      <c r="RK5380" s="106"/>
      <c r="RL5380" s="106"/>
    </row>
    <row r="5381" spans="462:480" x14ac:dyDescent="0.3">
      <c r="QT5381" s="106"/>
      <c r="QU5381" s="106"/>
      <c r="QV5381" s="106"/>
      <c r="QW5381" s="106"/>
      <c r="QX5381" s="106"/>
      <c r="QY5381" s="106"/>
      <c r="QZ5381" s="106"/>
      <c r="RA5381" s="106"/>
      <c r="RB5381" s="106"/>
      <c r="RC5381" s="106"/>
      <c r="RD5381" s="106"/>
      <c r="RE5381" s="106"/>
      <c r="RF5381" s="106"/>
      <c r="RG5381" s="106"/>
      <c r="RH5381" s="106"/>
      <c r="RI5381" s="106"/>
      <c r="RJ5381" s="106"/>
      <c r="RK5381" s="106"/>
      <c r="RL5381" s="106"/>
    </row>
    <row r="5382" spans="462:480" x14ac:dyDescent="0.3">
      <c r="QT5382" s="106"/>
      <c r="QU5382" s="106"/>
      <c r="QV5382" s="106"/>
      <c r="QW5382" s="106"/>
      <c r="QX5382" s="106"/>
      <c r="QY5382" s="106"/>
      <c r="QZ5382" s="106"/>
      <c r="RA5382" s="106"/>
      <c r="RB5382" s="106"/>
      <c r="RC5382" s="106"/>
      <c r="RD5382" s="106"/>
      <c r="RE5382" s="106"/>
      <c r="RF5382" s="106"/>
      <c r="RG5382" s="106"/>
      <c r="RH5382" s="106"/>
      <c r="RI5382" s="106"/>
      <c r="RJ5382" s="106"/>
      <c r="RK5382" s="106"/>
      <c r="RL5382" s="106"/>
    </row>
    <row r="5383" spans="462:480" x14ac:dyDescent="0.3">
      <c r="QT5383" s="106"/>
      <c r="QU5383" s="106"/>
      <c r="QV5383" s="106"/>
      <c r="QW5383" s="106"/>
      <c r="QX5383" s="106"/>
      <c r="QY5383" s="106"/>
      <c r="QZ5383" s="106"/>
      <c r="RA5383" s="106"/>
      <c r="RB5383" s="106"/>
      <c r="RC5383" s="106"/>
      <c r="RD5383" s="106"/>
      <c r="RE5383" s="106"/>
      <c r="RF5383" s="106"/>
      <c r="RG5383" s="106"/>
      <c r="RH5383" s="106"/>
      <c r="RI5383" s="106"/>
      <c r="RJ5383" s="106"/>
      <c r="RK5383" s="106"/>
      <c r="RL5383" s="106"/>
    </row>
    <row r="5384" spans="462:480" x14ac:dyDescent="0.3">
      <c r="QT5384" s="106"/>
      <c r="QU5384" s="106"/>
      <c r="QV5384" s="106"/>
      <c r="QW5384" s="106"/>
      <c r="QX5384" s="106"/>
      <c r="QY5384" s="106"/>
      <c r="QZ5384" s="106"/>
      <c r="RA5384" s="106"/>
      <c r="RB5384" s="106"/>
      <c r="RC5384" s="106"/>
      <c r="RD5384" s="106"/>
      <c r="RE5384" s="106"/>
      <c r="RF5384" s="106"/>
      <c r="RG5384" s="106"/>
      <c r="RH5384" s="106"/>
      <c r="RI5384" s="106"/>
      <c r="RJ5384" s="106"/>
      <c r="RK5384" s="106"/>
      <c r="RL5384" s="106"/>
    </row>
    <row r="5385" spans="462:480" x14ac:dyDescent="0.3">
      <c r="QT5385" s="106"/>
      <c r="QU5385" s="106"/>
      <c r="QV5385" s="106"/>
      <c r="QW5385" s="106"/>
      <c r="QX5385" s="106"/>
      <c r="QY5385" s="106"/>
      <c r="QZ5385" s="106"/>
      <c r="RA5385" s="106"/>
      <c r="RB5385" s="106"/>
      <c r="RC5385" s="106"/>
      <c r="RD5385" s="106"/>
      <c r="RE5385" s="106"/>
      <c r="RF5385" s="106"/>
      <c r="RG5385" s="106"/>
      <c r="RH5385" s="106"/>
      <c r="RI5385" s="106"/>
      <c r="RJ5385" s="106"/>
      <c r="RK5385" s="106"/>
      <c r="RL5385" s="106"/>
    </row>
    <row r="5386" spans="462:480" x14ac:dyDescent="0.3">
      <c r="QT5386" s="106"/>
      <c r="QU5386" s="106"/>
      <c r="QV5386" s="106"/>
      <c r="QW5386" s="106"/>
      <c r="QX5386" s="106"/>
      <c r="QY5386" s="106"/>
      <c r="QZ5386" s="106"/>
      <c r="RA5386" s="106"/>
      <c r="RB5386" s="106"/>
      <c r="RC5386" s="106"/>
      <c r="RD5386" s="106"/>
      <c r="RE5386" s="106"/>
      <c r="RF5386" s="106"/>
      <c r="RG5386" s="106"/>
      <c r="RH5386" s="106"/>
      <c r="RI5386" s="106"/>
      <c r="RJ5386" s="106"/>
      <c r="RK5386" s="106"/>
      <c r="RL5386" s="106"/>
    </row>
    <row r="5387" spans="462:480" x14ac:dyDescent="0.3">
      <c r="QT5387" s="106"/>
      <c r="QU5387" s="106"/>
      <c r="QV5387" s="106"/>
      <c r="QW5387" s="106"/>
      <c r="QX5387" s="106"/>
      <c r="QY5387" s="106"/>
      <c r="QZ5387" s="106"/>
      <c r="RA5387" s="106"/>
      <c r="RB5387" s="106"/>
      <c r="RC5387" s="106"/>
      <c r="RD5387" s="106"/>
      <c r="RE5387" s="106"/>
      <c r="RF5387" s="106"/>
      <c r="RG5387" s="106"/>
      <c r="RH5387" s="106"/>
      <c r="RI5387" s="106"/>
      <c r="RJ5387" s="106"/>
      <c r="RK5387" s="106"/>
      <c r="RL5387" s="106"/>
    </row>
    <row r="5388" spans="462:480" x14ac:dyDescent="0.3">
      <c r="QT5388" s="106"/>
      <c r="QU5388" s="106"/>
      <c r="QV5388" s="106"/>
      <c r="QW5388" s="106"/>
      <c r="QX5388" s="106"/>
      <c r="QY5388" s="106"/>
      <c r="QZ5388" s="106"/>
      <c r="RA5388" s="106"/>
      <c r="RB5388" s="106"/>
      <c r="RC5388" s="106"/>
      <c r="RD5388" s="106"/>
      <c r="RE5388" s="106"/>
      <c r="RF5388" s="106"/>
      <c r="RG5388" s="106"/>
      <c r="RH5388" s="106"/>
      <c r="RI5388" s="106"/>
      <c r="RJ5388" s="106"/>
      <c r="RK5388" s="106"/>
      <c r="RL5388" s="106"/>
    </row>
    <row r="5389" spans="462:480" x14ac:dyDescent="0.3">
      <c r="QT5389" s="106"/>
      <c r="QU5389" s="106"/>
      <c r="QV5389" s="106"/>
      <c r="QW5389" s="106"/>
      <c r="QX5389" s="106"/>
      <c r="QY5389" s="106"/>
      <c r="QZ5389" s="106"/>
      <c r="RA5389" s="106"/>
      <c r="RB5389" s="106"/>
      <c r="RC5389" s="106"/>
      <c r="RD5389" s="106"/>
      <c r="RE5389" s="106"/>
      <c r="RF5389" s="106"/>
      <c r="RG5389" s="106"/>
      <c r="RH5389" s="106"/>
      <c r="RI5389" s="106"/>
      <c r="RJ5389" s="106"/>
      <c r="RK5389" s="106"/>
      <c r="RL5389" s="106"/>
    </row>
    <row r="5390" spans="462:480" x14ac:dyDescent="0.3">
      <c r="QT5390" s="106"/>
      <c r="QU5390" s="106"/>
      <c r="QV5390" s="106"/>
      <c r="QW5390" s="106"/>
      <c r="QX5390" s="106"/>
      <c r="QY5390" s="106"/>
      <c r="QZ5390" s="106"/>
      <c r="RA5390" s="106"/>
      <c r="RB5390" s="106"/>
      <c r="RC5390" s="106"/>
      <c r="RD5390" s="106"/>
      <c r="RE5390" s="106"/>
      <c r="RF5390" s="106"/>
      <c r="RG5390" s="106"/>
      <c r="RH5390" s="106"/>
      <c r="RI5390" s="106"/>
      <c r="RJ5390" s="106"/>
      <c r="RK5390" s="106"/>
      <c r="RL5390" s="106"/>
    </row>
    <row r="5391" spans="462:480" x14ac:dyDescent="0.3">
      <c r="QT5391" s="106"/>
      <c r="QU5391" s="106"/>
      <c r="QV5391" s="106"/>
      <c r="QW5391" s="106"/>
      <c r="QX5391" s="106"/>
      <c r="QY5391" s="106"/>
      <c r="QZ5391" s="106"/>
      <c r="RA5391" s="106"/>
      <c r="RB5391" s="106"/>
      <c r="RC5391" s="106"/>
      <c r="RD5391" s="106"/>
      <c r="RE5391" s="106"/>
      <c r="RF5391" s="106"/>
      <c r="RG5391" s="106"/>
      <c r="RH5391" s="106"/>
      <c r="RI5391" s="106"/>
      <c r="RJ5391" s="106"/>
      <c r="RK5391" s="106"/>
      <c r="RL5391" s="106"/>
    </row>
    <row r="5392" spans="462:480" x14ac:dyDescent="0.3">
      <c r="QT5392" s="106"/>
      <c r="QU5392" s="106"/>
      <c r="QV5392" s="106"/>
      <c r="QW5392" s="106"/>
      <c r="QX5392" s="106"/>
      <c r="QY5392" s="106"/>
      <c r="QZ5392" s="106"/>
      <c r="RA5392" s="106"/>
      <c r="RB5392" s="106"/>
      <c r="RC5392" s="106"/>
      <c r="RD5392" s="106"/>
      <c r="RE5392" s="106"/>
      <c r="RF5392" s="106"/>
      <c r="RG5392" s="106"/>
      <c r="RH5392" s="106"/>
      <c r="RI5392" s="106"/>
      <c r="RJ5392" s="106"/>
      <c r="RK5392" s="106"/>
      <c r="RL5392" s="106"/>
    </row>
    <row r="5393" spans="462:480" x14ac:dyDescent="0.3">
      <c r="QT5393" s="106"/>
      <c r="QU5393" s="106"/>
      <c r="QV5393" s="106"/>
      <c r="QW5393" s="106"/>
      <c r="QX5393" s="106"/>
      <c r="QY5393" s="106"/>
      <c r="QZ5393" s="106"/>
      <c r="RA5393" s="106"/>
      <c r="RB5393" s="106"/>
      <c r="RC5393" s="106"/>
      <c r="RD5393" s="106"/>
      <c r="RE5393" s="106"/>
      <c r="RF5393" s="106"/>
      <c r="RG5393" s="106"/>
      <c r="RH5393" s="106"/>
      <c r="RI5393" s="106"/>
      <c r="RJ5393" s="106"/>
      <c r="RK5393" s="106"/>
      <c r="RL5393" s="106"/>
    </row>
    <row r="5394" spans="462:480" x14ac:dyDescent="0.3">
      <c r="QT5394" s="106"/>
      <c r="QU5394" s="106"/>
      <c r="QV5394" s="106"/>
      <c r="QW5394" s="106"/>
      <c r="QX5394" s="106"/>
      <c r="QY5394" s="106"/>
      <c r="QZ5394" s="106"/>
      <c r="RA5394" s="106"/>
      <c r="RB5394" s="106"/>
      <c r="RC5394" s="106"/>
      <c r="RD5394" s="106"/>
      <c r="RE5394" s="106"/>
      <c r="RF5394" s="106"/>
      <c r="RG5394" s="106"/>
      <c r="RH5394" s="106"/>
      <c r="RI5394" s="106"/>
      <c r="RJ5394" s="106"/>
      <c r="RK5394" s="106"/>
      <c r="RL5394" s="106"/>
    </row>
    <row r="5395" spans="462:480" x14ac:dyDescent="0.3">
      <c r="QT5395" s="106"/>
      <c r="QU5395" s="106"/>
      <c r="QV5395" s="106"/>
      <c r="QW5395" s="106"/>
      <c r="QX5395" s="106"/>
      <c r="QY5395" s="106"/>
      <c r="QZ5395" s="106"/>
      <c r="RA5395" s="106"/>
      <c r="RB5395" s="106"/>
      <c r="RC5395" s="106"/>
      <c r="RD5395" s="106"/>
      <c r="RE5395" s="106"/>
      <c r="RF5395" s="106"/>
      <c r="RG5395" s="106"/>
      <c r="RH5395" s="106"/>
      <c r="RI5395" s="106"/>
      <c r="RJ5395" s="106"/>
      <c r="RK5395" s="106"/>
      <c r="RL5395" s="106"/>
    </row>
    <row r="5396" spans="462:480" x14ac:dyDescent="0.3">
      <c r="QT5396" s="106"/>
      <c r="QU5396" s="106"/>
      <c r="QV5396" s="106"/>
      <c r="QW5396" s="106"/>
      <c r="QX5396" s="106"/>
      <c r="QY5396" s="106"/>
      <c r="QZ5396" s="106"/>
      <c r="RA5396" s="106"/>
      <c r="RB5396" s="106"/>
      <c r="RC5396" s="106"/>
      <c r="RD5396" s="106"/>
      <c r="RE5396" s="106"/>
      <c r="RF5396" s="106"/>
      <c r="RG5396" s="106"/>
      <c r="RH5396" s="106"/>
      <c r="RI5396" s="106"/>
      <c r="RJ5396" s="106"/>
      <c r="RK5396" s="106"/>
      <c r="RL5396" s="106"/>
    </row>
    <row r="5397" spans="462:480" x14ac:dyDescent="0.3">
      <c r="QT5397" s="106"/>
      <c r="QU5397" s="106"/>
      <c r="QV5397" s="106"/>
      <c r="QW5397" s="106"/>
      <c r="QX5397" s="106"/>
      <c r="QY5397" s="106"/>
      <c r="QZ5397" s="106"/>
      <c r="RA5397" s="106"/>
      <c r="RB5397" s="106"/>
      <c r="RC5397" s="106"/>
      <c r="RD5397" s="106"/>
      <c r="RE5397" s="106"/>
      <c r="RF5397" s="106"/>
      <c r="RG5397" s="106"/>
      <c r="RH5397" s="106"/>
      <c r="RI5397" s="106"/>
      <c r="RJ5397" s="106"/>
      <c r="RK5397" s="106"/>
      <c r="RL5397" s="106"/>
    </row>
    <row r="5398" spans="462:480" x14ac:dyDescent="0.3">
      <c r="QT5398" s="106"/>
      <c r="QU5398" s="106"/>
      <c r="QV5398" s="106"/>
      <c r="QW5398" s="106"/>
      <c r="QX5398" s="106"/>
      <c r="QY5398" s="106"/>
      <c r="QZ5398" s="106"/>
      <c r="RA5398" s="106"/>
      <c r="RB5398" s="106"/>
      <c r="RC5398" s="106"/>
      <c r="RD5398" s="106"/>
      <c r="RE5398" s="106"/>
      <c r="RF5398" s="106"/>
      <c r="RG5398" s="106"/>
      <c r="RH5398" s="106"/>
      <c r="RI5398" s="106"/>
      <c r="RJ5398" s="106"/>
      <c r="RK5398" s="106"/>
      <c r="RL5398" s="106"/>
    </row>
    <row r="5399" spans="462:480" x14ac:dyDescent="0.3">
      <c r="QT5399" s="106"/>
      <c r="QU5399" s="106"/>
      <c r="QV5399" s="106"/>
      <c r="QW5399" s="106"/>
      <c r="QX5399" s="106"/>
      <c r="QY5399" s="106"/>
      <c r="QZ5399" s="106"/>
      <c r="RA5399" s="106"/>
      <c r="RB5399" s="106"/>
      <c r="RC5399" s="106"/>
      <c r="RD5399" s="106"/>
      <c r="RE5399" s="106"/>
      <c r="RF5399" s="106"/>
      <c r="RG5399" s="106"/>
      <c r="RH5399" s="106"/>
      <c r="RI5399" s="106"/>
      <c r="RJ5399" s="106"/>
      <c r="RK5399" s="106"/>
      <c r="RL5399" s="106"/>
    </row>
    <row r="5400" spans="462:480" x14ac:dyDescent="0.3">
      <c r="QT5400" s="106"/>
      <c r="QU5400" s="106"/>
      <c r="QV5400" s="106"/>
      <c r="QW5400" s="106"/>
      <c r="QX5400" s="106"/>
      <c r="QY5400" s="106"/>
      <c r="QZ5400" s="106"/>
      <c r="RA5400" s="106"/>
      <c r="RB5400" s="106"/>
      <c r="RC5400" s="106"/>
      <c r="RD5400" s="106"/>
      <c r="RE5400" s="106"/>
      <c r="RF5400" s="106"/>
      <c r="RG5400" s="106"/>
      <c r="RH5400" s="106"/>
      <c r="RI5400" s="106"/>
      <c r="RJ5400" s="106"/>
      <c r="RK5400" s="106"/>
      <c r="RL5400" s="106"/>
    </row>
    <row r="5401" spans="462:480" x14ac:dyDescent="0.3">
      <c r="QT5401" s="106"/>
      <c r="QU5401" s="106"/>
      <c r="QV5401" s="106"/>
      <c r="QW5401" s="106"/>
      <c r="QX5401" s="106"/>
      <c r="QY5401" s="106"/>
      <c r="QZ5401" s="106"/>
      <c r="RA5401" s="106"/>
      <c r="RB5401" s="106"/>
      <c r="RC5401" s="106"/>
      <c r="RD5401" s="106"/>
      <c r="RE5401" s="106"/>
      <c r="RF5401" s="106"/>
      <c r="RG5401" s="106"/>
      <c r="RH5401" s="106"/>
      <c r="RI5401" s="106"/>
      <c r="RJ5401" s="106"/>
      <c r="RK5401" s="106"/>
      <c r="RL5401" s="106"/>
    </row>
    <row r="5402" spans="462:480" x14ac:dyDescent="0.3">
      <c r="QT5402" s="106"/>
      <c r="QU5402" s="106"/>
      <c r="QV5402" s="106"/>
      <c r="QW5402" s="106"/>
      <c r="QX5402" s="106"/>
      <c r="QY5402" s="106"/>
      <c r="QZ5402" s="106"/>
      <c r="RA5402" s="106"/>
      <c r="RB5402" s="106"/>
      <c r="RC5402" s="106"/>
      <c r="RD5402" s="106"/>
      <c r="RE5402" s="106"/>
      <c r="RF5402" s="106"/>
      <c r="RG5402" s="106"/>
      <c r="RH5402" s="106"/>
      <c r="RI5402" s="106"/>
      <c r="RJ5402" s="106"/>
      <c r="RK5402" s="106"/>
      <c r="RL5402" s="106"/>
    </row>
    <row r="5403" spans="462:480" x14ac:dyDescent="0.3">
      <c r="QT5403" s="106"/>
      <c r="QU5403" s="106"/>
      <c r="QV5403" s="106"/>
      <c r="QW5403" s="106"/>
      <c r="QX5403" s="106"/>
      <c r="QY5403" s="106"/>
      <c r="QZ5403" s="106"/>
      <c r="RA5403" s="106"/>
      <c r="RB5403" s="106"/>
      <c r="RC5403" s="106"/>
      <c r="RD5403" s="106"/>
      <c r="RE5403" s="106"/>
      <c r="RF5403" s="106"/>
      <c r="RG5403" s="106"/>
      <c r="RH5403" s="106"/>
      <c r="RI5403" s="106"/>
      <c r="RJ5403" s="106"/>
      <c r="RK5403" s="106"/>
      <c r="RL5403" s="106"/>
    </row>
    <row r="5404" spans="462:480" x14ac:dyDescent="0.3">
      <c r="QT5404" s="106"/>
      <c r="QU5404" s="106"/>
      <c r="QV5404" s="106"/>
      <c r="QW5404" s="106"/>
      <c r="QX5404" s="106"/>
      <c r="QY5404" s="106"/>
      <c r="QZ5404" s="106"/>
      <c r="RA5404" s="106"/>
      <c r="RB5404" s="106"/>
      <c r="RC5404" s="106"/>
      <c r="RD5404" s="106"/>
      <c r="RE5404" s="106"/>
      <c r="RF5404" s="106"/>
      <c r="RG5404" s="106"/>
      <c r="RH5404" s="106"/>
      <c r="RI5404" s="106"/>
      <c r="RJ5404" s="106"/>
      <c r="RK5404" s="106"/>
      <c r="RL5404" s="106"/>
    </row>
    <row r="5405" spans="462:480" x14ac:dyDescent="0.3">
      <c r="QT5405" s="106"/>
      <c r="QU5405" s="106"/>
      <c r="QV5405" s="106"/>
      <c r="QW5405" s="106"/>
      <c r="QX5405" s="106"/>
      <c r="QY5405" s="106"/>
      <c r="QZ5405" s="106"/>
      <c r="RA5405" s="106"/>
      <c r="RB5405" s="106"/>
      <c r="RC5405" s="106"/>
      <c r="RD5405" s="106"/>
      <c r="RE5405" s="106"/>
      <c r="RF5405" s="106"/>
      <c r="RG5405" s="106"/>
      <c r="RH5405" s="106"/>
      <c r="RI5405" s="106"/>
      <c r="RJ5405" s="106"/>
      <c r="RK5405" s="106"/>
      <c r="RL5405" s="106"/>
    </row>
    <row r="5406" spans="462:480" x14ac:dyDescent="0.3">
      <c r="QT5406" s="106"/>
      <c r="QU5406" s="106"/>
      <c r="QV5406" s="106"/>
      <c r="QW5406" s="106"/>
      <c r="QX5406" s="106"/>
      <c r="QY5406" s="106"/>
      <c r="QZ5406" s="106"/>
      <c r="RA5406" s="106"/>
      <c r="RB5406" s="106"/>
      <c r="RC5406" s="106"/>
      <c r="RD5406" s="106"/>
      <c r="RE5406" s="106"/>
      <c r="RF5406" s="106"/>
      <c r="RG5406" s="106"/>
      <c r="RH5406" s="106"/>
      <c r="RI5406" s="106"/>
      <c r="RJ5406" s="106"/>
      <c r="RK5406" s="106"/>
      <c r="RL5406" s="106"/>
    </row>
    <row r="5407" spans="462:480" x14ac:dyDescent="0.3">
      <c r="QT5407" s="106"/>
      <c r="QU5407" s="106"/>
      <c r="QV5407" s="106"/>
      <c r="QW5407" s="106"/>
      <c r="QX5407" s="106"/>
      <c r="QY5407" s="106"/>
      <c r="QZ5407" s="106"/>
      <c r="RA5407" s="106"/>
      <c r="RB5407" s="106"/>
      <c r="RC5407" s="106"/>
      <c r="RD5407" s="106"/>
      <c r="RE5407" s="106"/>
      <c r="RF5407" s="106"/>
      <c r="RG5407" s="106"/>
      <c r="RH5407" s="106"/>
      <c r="RI5407" s="106"/>
      <c r="RJ5407" s="106"/>
      <c r="RK5407" s="106"/>
      <c r="RL5407" s="106"/>
    </row>
    <row r="5408" spans="462:480" x14ac:dyDescent="0.3">
      <c r="QT5408" s="106"/>
      <c r="QU5408" s="106"/>
      <c r="QV5408" s="106"/>
      <c r="QW5408" s="106"/>
      <c r="QX5408" s="106"/>
      <c r="QY5408" s="106"/>
      <c r="QZ5408" s="106"/>
      <c r="RA5408" s="106"/>
      <c r="RB5408" s="106"/>
      <c r="RC5408" s="106"/>
      <c r="RD5408" s="106"/>
      <c r="RE5408" s="106"/>
      <c r="RF5408" s="106"/>
      <c r="RG5408" s="106"/>
      <c r="RH5408" s="106"/>
      <c r="RI5408" s="106"/>
      <c r="RJ5408" s="106"/>
      <c r="RK5408" s="106"/>
      <c r="RL5408" s="106"/>
    </row>
    <row r="5409" spans="462:480" x14ac:dyDescent="0.3">
      <c r="QT5409" s="106"/>
      <c r="QU5409" s="106"/>
      <c r="QV5409" s="106"/>
      <c r="QW5409" s="106"/>
      <c r="QX5409" s="106"/>
      <c r="QY5409" s="106"/>
      <c r="QZ5409" s="106"/>
      <c r="RA5409" s="106"/>
      <c r="RB5409" s="106"/>
      <c r="RC5409" s="106"/>
      <c r="RD5409" s="106"/>
      <c r="RE5409" s="106"/>
      <c r="RF5409" s="106"/>
      <c r="RG5409" s="106"/>
      <c r="RH5409" s="106"/>
      <c r="RI5409" s="106"/>
      <c r="RJ5409" s="106"/>
      <c r="RK5409" s="106"/>
      <c r="RL5409" s="106"/>
    </row>
    <row r="5410" spans="462:480" x14ac:dyDescent="0.3">
      <c r="QT5410" s="106"/>
      <c r="QU5410" s="106"/>
      <c r="QV5410" s="106"/>
      <c r="QW5410" s="106"/>
      <c r="QX5410" s="106"/>
      <c r="QY5410" s="106"/>
      <c r="QZ5410" s="106"/>
      <c r="RA5410" s="106"/>
      <c r="RB5410" s="106"/>
      <c r="RC5410" s="106"/>
      <c r="RD5410" s="106"/>
      <c r="RE5410" s="106"/>
      <c r="RF5410" s="106"/>
      <c r="RG5410" s="106"/>
      <c r="RH5410" s="106"/>
      <c r="RI5410" s="106"/>
      <c r="RJ5410" s="106"/>
      <c r="RK5410" s="106"/>
      <c r="RL5410" s="106"/>
    </row>
    <row r="5411" spans="462:480" x14ac:dyDescent="0.3">
      <c r="QT5411" s="106"/>
      <c r="QU5411" s="106"/>
      <c r="QV5411" s="106"/>
      <c r="QW5411" s="106"/>
      <c r="QX5411" s="106"/>
      <c r="QY5411" s="106"/>
      <c r="QZ5411" s="106"/>
      <c r="RA5411" s="106"/>
      <c r="RB5411" s="106"/>
      <c r="RC5411" s="106"/>
      <c r="RD5411" s="106"/>
      <c r="RE5411" s="106"/>
      <c r="RF5411" s="106"/>
      <c r="RG5411" s="106"/>
      <c r="RH5411" s="106"/>
      <c r="RI5411" s="106"/>
      <c r="RJ5411" s="106"/>
      <c r="RK5411" s="106"/>
      <c r="RL5411" s="106"/>
    </row>
    <row r="5412" spans="462:480" x14ac:dyDescent="0.3">
      <c r="QT5412" s="106"/>
      <c r="QU5412" s="106"/>
      <c r="QV5412" s="106"/>
      <c r="QW5412" s="106"/>
      <c r="QX5412" s="106"/>
      <c r="QY5412" s="106"/>
      <c r="QZ5412" s="106"/>
      <c r="RA5412" s="106"/>
      <c r="RB5412" s="106"/>
      <c r="RC5412" s="106"/>
      <c r="RD5412" s="106"/>
      <c r="RE5412" s="106"/>
      <c r="RF5412" s="106"/>
      <c r="RG5412" s="106"/>
      <c r="RH5412" s="106"/>
      <c r="RI5412" s="106"/>
      <c r="RJ5412" s="106"/>
      <c r="RK5412" s="106"/>
      <c r="RL5412" s="106"/>
    </row>
    <row r="5413" spans="462:480" x14ac:dyDescent="0.3">
      <c r="QT5413" s="106"/>
      <c r="QU5413" s="106"/>
      <c r="QV5413" s="106"/>
      <c r="QW5413" s="106"/>
      <c r="QX5413" s="106"/>
      <c r="QY5413" s="106"/>
      <c r="QZ5413" s="106"/>
      <c r="RA5413" s="106"/>
      <c r="RB5413" s="106"/>
      <c r="RC5413" s="106"/>
      <c r="RD5413" s="106"/>
      <c r="RE5413" s="106"/>
      <c r="RF5413" s="106"/>
      <c r="RG5413" s="106"/>
      <c r="RH5413" s="106"/>
      <c r="RI5413" s="106"/>
      <c r="RJ5413" s="106"/>
      <c r="RK5413" s="106"/>
      <c r="RL5413" s="106"/>
    </row>
    <row r="5414" spans="462:480" x14ac:dyDescent="0.3">
      <c r="QT5414" s="106"/>
      <c r="QU5414" s="106"/>
      <c r="QV5414" s="106"/>
      <c r="QW5414" s="106"/>
      <c r="QX5414" s="106"/>
      <c r="QY5414" s="106"/>
      <c r="QZ5414" s="106"/>
      <c r="RA5414" s="106"/>
      <c r="RB5414" s="106"/>
      <c r="RC5414" s="106"/>
      <c r="RD5414" s="106"/>
      <c r="RE5414" s="106"/>
      <c r="RF5414" s="106"/>
      <c r="RG5414" s="106"/>
      <c r="RH5414" s="106"/>
      <c r="RI5414" s="106"/>
      <c r="RJ5414" s="106"/>
      <c r="RK5414" s="106"/>
      <c r="RL5414" s="106"/>
    </row>
    <row r="5415" spans="462:480" x14ac:dyDescent="0.3">
      <c r="QT5415" s="106"/>
      <c r="QU5415" s="106"/>
      <c r="QV5415" s="106"/>
      <c r="QW5415" s="106"/>
      <c r="QX5415" s="106"/>
      <c r="QY5415" s="106"/>
      <c r="QZ5415" s="106"/>
      <c r="RA5415" s="106"/>
      <c r="RB5415" s="106"/>
      <c r="RC5415" s="106"/>
      <c r="RD5415" s="106"/>
      <c r="RE5415" s="106"/>
      <c r="RF5415" s="106"/>
      <c r="RG5415" s="106"/>
      <c r="RH5415" s="106"/>
      <c r="RI5415" s="106"/>
      <c r="RJ5415" s="106"/>
      <c r="RK5415" s="106"/>
      <c r="RL5415" s="106"/>
    </row>
    <row r="5416" spans="462:480" x14ac:dyDescent="0.3">
      <c r="QT5416" s="106"/>
      <c r="QU5416" s="106"/>
      <c r="QV5416" s="106"/>
      <c r="QW5416" s="106"/>
      <c r="QX5416" s="106"/>
      <c r="QY5416" s="106"/>
      <c r="QZ5416" s="106"/>
      <c r="RA5416" s="106"/>
      <c r="RB5416" s="106"/>
      <c r="RC5416" s="106"/>
      <c r="RD5416" s="106"/>
      <c r="RE5416" s="106"/>
      <c r="RF5416" s="106"/>
      <c r="RG5416" s="106"/>
      <c r="RH5416" s="106"/>
      <c r="RI5416" s="106"/>
      <c r="RJ5416" s="106"/>
      <c r="RK5416" s="106"/>
      <c r="RL5416" s="106"/>
    </row>
    <row r="5417" spans="462:480" x14ac:dyDescent="0.3">
      <c r="QT5417" s="106"/>
      <c r="QU5417" s="106"/>
      <c r="QV5417" s="106"/>
      <c r="QW5417" s="106"/>
      <c r="QX5417" s="106"/>
      <c r="QY5417" s="106"/>
      <c r="QZ5417" s="106"/>
      <c r="RA5417" s="106"/>
      <c r="RB5417" s="106"/>
      <c r="RC5417" s="106"/>
      <c r="RD5417" s="106"/>
      <c r="RE5417" s="106"/>
      <c r="RF5417" s="106"/>
      <c r="RG5417" s="106"/>
      <c r="RH5417" s="106"/>
      <c r="RI5417" s="106"/>
      <c r="RJ5417" s="106"/>
      <c r="RK5417" s="106"/>
      <c r="RL5417" s="106"/>
    </row>
    <row r="5418" spans="462:480" x14ac:dyDescent="0.3">
      <c r="QT5418" s="106"/>
      <c r="QU5418" s="106"/>
      <c r="QV5418" s="106"/>
      <c r="QW5418" s="106"/>
      <c r="QX5418" s="106"/>
      <c r="QY5418" s="106"/>
      <c r="QZ5418" s="106"/>
      <c r="RA5418" s="106"/>
      <c r="RB5418" s="106"/>
      <c r="RC5418" s="106"/>
      <c r="RD5418" s="106"/>
      <c r="RE5418" s="106"/>
      <c r="RF5418" s="106"/>
      <c r="RG5418" s="106"/>
      <c r="RH5418" s="106"/>
      <c r="RI5418" s="106"/>
      <c r="RJ5418" s="106"/>
      <c r="RK5418" s="106"/>
      <c r="RL5418" s="106"/>
    </row>
    <row r="5419" spans="462:480" x14ac:dyDescent="0.3">
      <c r="QT5419" s="106"/>
      <c r="QU5419" s="106"/>
      <c r="QV5419" s="106"/>
      <c r="QW5419" s="106"/>
      <c r="QX5419" s="106"/>
      <c r="QY5419" s="106"/>
      <c r="QZ5419" s="106"/>
      <c r="RA5419" s="106"/>
      <c r="RB5419" s="106"/>
      <c r="RC5419" s="106"/>
      <c r="RD5419" s="106"/>
      <c r="RE5419" s="106"/>
      <c r="RF5419" s="106"/>
      <c r="RG5419" s="106"/>
      <c r="RH5419" s="106"/>
      <c r="RI5419" s="106"/>
      <c r="RJ5419" s="106"/>
      <c r="RK5419" s="106"/>
      <c r="RL5419" s="106"/>
    </row>
    <row r="5420" spans="462:480" x14ac:dyDescent="0.3">
      <c r="QT5420" s="106"/>
      <c r="QU5420" s="106"/>
      <c r="QV5420" s="106"/>
      <c r="QW5420" s="106"/>
      <c r="QX5420" s="106"/>
      <c r="QY5420" s="106"/>
      <c r="QZ5420" s="106"/>
      <c r="RA5420" s="106"/>
      <c r="RB5420" s="106"/>
      <c r="RC5420" s="106"/>
      <c r="RD5420" s="106"/>
      <c r="RE5420" s="106"/>
      <c r="RF5420" s="106"/>
      <c r="RG5420" s="106"/>
      <c r="RH5420" s="106"/>
      <c r="RI5420" s="106"/>
      <c r="RJ5420" s="106"/>
      <c r="RK5420" s="106"/>
      <c r="RL5420" s="106"/>
    </row>
    <row r="5421" spans="462:480" x14ac:dyDescent="0.3">
      <c r="QT5421" s="106"/>
      <c r="QU5421" s="106"/>
      <c r="QV5421" s="106"/>
      <c r="QW5421" s="106"/>
      <c r="QX5421" s="106"/>
      <c r="QY5421" s="106"/>
      <c r="QZ5421" s="106"/>
      <c r="RA5421" s="106"/>
      <c r="RB5421" s="106"/>
      <c r="RC5421" s="106"/>
      <c r="RD5421" s="106"/>
      <c r="RE5421" s="106"/>
      <c r="RF5421" s="106"/>
      <c r="RG5421" s="106"/>
      <c r="RH5421" s="106"/>
      <c r="RI5421" s="106"/>
      <c r="RJ5421" s="106"/>
      <c r="RK5421" s="106"/>
      <c r="RL5421" s="106"/>
    </row>
    <row r="5422" spans="462:480" x14ac:dyDescent="0.3">
      <c r="QT5422" s="106"/>
      <c r="QU5422" s="106"/>
      <c r="QV5422" s="106"/>
      <c r="QW5422" s="106"/>
      <c r="QX5422" s="106"/>
      <c r="QY5422" s="106"/>
      <c r="QZ5422" s="106"/>
      <c r="RA5422" s="106"/>
      <c r="RB5422" s="106"/>
      <c r="RC5422" s="106"/>
      <c r="RD5422" s="106"/>
      <c r="RE5422" s="106"/>
      <c r="RF5422" s="106"/>
      <c r="RG5422" s="106"/>
      <c r="RH5422" s="106"/>
      <c r="RI5422" s="106"/>
      <c r="RJ5422" s="106"/>
      <c r="RK5422" s="106"/>
      <c r="RL5422" s="106"/>
    </row>
    <row r="5423" spans="462:480" x14ac:dyDescent="0.3">
      <c r="QT5423" s="106"/>
      <c r="QU5423" s="106"/>
      <c r="QV5423" s="106"/>
      <c r="QW5423" s="106"/>
      <c r="QX5423" s="106"/>
      <c r="QY5423" s="106"/>
      <c r="QZ5423" s="106"/>
      <c r="RA5423" s="106"/>
      <c r="RB5423" s="106"/>
      <c r="RC5423" s="106"/>
      <c r="RD5423" s="106"/>
      <c r="RE5423" s="106"/>
      <c r="RF5423" s="106"/>
      <c r="RG5423" s="106"/>
      <c r="RH5423" s="106"/>
      <c r="RI5423" s="106"/>
      <c r="RJ5423" s="106"/>
      <c r="RK5423" s="106"/>
      <c r="RL5423" s="106"/>
    </row>
    <row r="5424" spans="462:480" x14ac:dyDescent="0.3">
      <c r="QT5424" s="106"/>
      <c r="QU5424" s="106"/>
      <c r="QV5424" s="106"/>
      <c r="QW5424" s="106"/>
      <c r="QX5424" s="106"/>
      <c r="QY5424" s="106"/>
      <c r="QZ5424" s="106"/>
      <c r="RA5424" s="106"/>
      <c r="RB5424" s="106"/>
      <c r="RC5424" s="106"/>
      <c r="RD5424" s="106"/>
      <c r="RE5424" s="106"/>
      <c r="RF5424" s="106"/>
      <c r="RG5424" s="106"/>
      <c r="RH5424" s="106"/>
      <c r="RI5424" s="106"/>
      <c r="RJ5424" s="106"/>
      <c r="RK5424" s="106"/>
      <c r="RL5424" s="106"/>
    </row>
    <row r="5425" spans="462:480" x14ac:dyDescent="0.3">
      <c r="QT5425" s="106"/>
      <c r="QU5425" s="106"/>
      <c r="QV5425" s="106"/>
      <c r="QW5425" s="106"/>
      <c r="QX5425" s="106"/>
      <c r="QY5425" s="106"/>
      <c r="QZ5425" s="106"/>
      <c r="RA5425" s="106"/>
      <c r="RB5425" s="106"/>
      <c r="RC5425" s="106"/>
      <c r="RD5425" s="106"/>
      <c r="RE5425" s="106"/>
      <c r="RF5425" s="106"/>
      <c r="RG5425" s="106"/>
      <c r="RH5425" s="106"/>
      <c r="RI5425" s="106"/>
      <c r="RJ5425" s="106"/>
      <c r="RK5425" s="106"/>
      <c r="RL5425" s="106"/>
    </row>
    <row r="5426" spans="462:480" x14ac:dyDescent="0.3">
      <c r="QT5426" s="106"/>
      <c r="QU5426" s="106"/>
      <c r="QV5426" s="106"/>
      <c r="QW5426" s="106"/>
      <c r="QX5426" s="106"/>
      <c r="QY5426" s="106"/>
      <c r="QZ5426" s="106"/>
      <c r="RA5426" s="106"/>
      <c r="RB5426" s="106"/>
      <c r="RC5426" s="106"/>
      <c r="RD5426" s="106"/>
      <c r="RE5426" s="106"/>
      <c r="RF5426" s="106"/>
      <c r="RG5426" s="106"/>
      <c r="RH5426" s="106"/>
      <c r="RI5426" s="106"/>
      <c r="RJ5426" s="106"/>
      <c r="RK5426" s="106"/>
      <c r="RL5426" s="106"/>
    </row>
    <row r="5427" spans="462:480" x14ac:dyDescent="0.3">
      <c r="QT5427" s="106"/>
      <c r="QU5427" s="106"/>
      <c r="QV5427" s="106"/>
      <c r="QW5427" s="106"/>
      <c r="QX5427" s="106"/>
      <c r="QY5427" s="106"/>
      <c r="QZ5427" s="106"/>
      <c r="RA5427" s="106"/>
      <c r="RB5427" s="106"/>
      <c r="RC5427" s="106"/>
      <c r="RD5427" s="106"/>
      <c r="RE5427" s="106"/>
      <c r="RF5427" s="106"/>
      <c r="RG5427" s="106"/>
      <c r="RH5427" s="106"/>
      <c r="RI5427" s="106"/>
      <c r="RJ5427" s="106"/>
      <c r="RK5427" s="106"/>
      <c r="RL5427" s="106"/>
    </row>
    <row r="5428" spans="462:480" x14ac:dyDescent="0.3">
      <c r="QT5428" s="106"/>
      <c r="QU5428" s="106"/>
      <c r="QV5428" s="106"/>
      <c r="QW5428" s="106"/>
      <c r="QX5428" s="106"/>
      <c r="QY5428" s="106"/>
      <c r="QZ5428" s="106"/>
      <c r="RA5428" s="106"/>
      <c r="RB5428" s="106"/>
      <c r="RC5428" s="106"/>
      <c r="RD5428" s="106"/>
      <c r="RE5428" s="106"/>
      <c r="RF5428" s="106"/>
      <c r="RG5428" s="106"/>
      <c r="RH5428" s="106"/>
      <c r="RI5428" s="106"/>
      <c r="RJ5428" s="106"/>
      <c r="RK5428" s="106"/>
      <c r="RL5428" s="106"/>
    </row>
    <row r="5429" spans="462:480" x14ac:dyDescent="0.3">
      <c r="QT5429" s="106"/>
      <c r="QU5429" s="106"/>
      <c r="QV5429" s="106"/>
      <c r="QW5429" s="106"/>
      <c r="QX5429" s="106"/>
      <c r="QY5429" s="106"/>
      <c r="QZ5429" s="106"/>
      <c r="RA5429" s="106"/>
      <c r="RB5429" s="106"/>
      <c r="RC5429" s="106"/>
      <c r="RD5429" s="106"/>
      <c r="RE5429" s="106"/>
      <c r="RF5429" s="106"/>
      <c r="RG5429" s="106"/>
      <c r="RH5429" s="106"/>
      <c r="RI5429" s="106"/>
      <c r="RJ5429" s="106"/>
      <c r="RK5429" s="106"/>
      <c r="RL5429" s="106"/>
    </row>
    <row r="5430" spans="462:480" x14ac:dyDescent="0.3">
      <c r="QT5430" s="106"/>
      <c r="QU5430" s="106"/>
      <c r="QV5430" s="106"/>
      <c r="QW5430" s="106"/>
      <c r="QX5430" s="106"/>
      <c r="QY5430" s="106"/>
      <c r="QZ5430" s="106"/>
      <c r="RA5430" s="106"/>
      <c r="RB5430" s="106"/>
      <c r="RC5430" s="106"/>
      <c r="RD5430" s="106"/>
      <c r="RE5430" s="106"/>
      <c r="RF5430" s="106"/>
      <c r="RG5430" s="106"/>
      <c r="RH5430" s="106"/>
      <c r="RI5430" s="106"/>
      <c r="RJ5430" s="106"/>
      <c r="RK5430" s="106"/>
      <c r="RL5430" s="106"/>
    </row>
    <row r="5431" spans="462:480" x14ac:dyDescent="0.3">
      <c r="QT5431" s="106"/>
      <c r="QU5431" s="106"/>
      <c r="QV5431" s="106"/>
      <c r="QW5431" s="106"/>
      <c r="QX5431" s="106"/>
      <c r="QY5431" s="106"/>
      <c r="QZ5431" s="106"/>
      <c r="RA5431" s="106"/>
      <c r="RB5431" s="106"/>
      <c r="RC5431" s="106"/>
      <c r="RD5431" s="106"/>
      <c r="RE5431" s="106"/>
      <c r="RF5431" s="106"/>
      <c r="RG5431" s="106"/>
      <c r="RH5431" s="106"/>
      <c r="RI5431" s="106"/>
      <c r="RJ5431" s="106"/>
      <c r="RK5431" s="106"/>
      <c r="RL5431" s="106"/>
    </row>
    <row r="5432" spans="462:480" x14ac:dyDescent="0.3">
      <c r="QT5432" s="106"/>
      <c r="QU5432" s="106"/>
      <c r="QV5432" s="106"/>
      <c r="QW5432" s="106"/>
      <c r="QX5432" s="106"/>
      <c r="QY5432" s="106"/>
      <c r="QZ5432" s="106"/>
      <c r="RA5432" s="106"/>
      <c r="RB5432" s="106"/>
      <c r="RC5432" s="106"/>
      <c r="RD5432" s="106"/>
      <c r="RE5432" s="106"/>
      <c r="RF5432" s="106"/>
      <c r="RG5432" s="106"/>
      <c r="RH5432" s="106"/>
      <c r="RI5432" s="106"/>
      <c r="RJ5432" s="106"/>
      <c r="RK5432" s="106"/>
      <c r="RL5432" s="106"/>
    </row>
    <row r="5433" spans="462:480" x14ac:dyDescent="0.3">
      <c r="QT5433" s="106"/>
      <c r="QU5433" s="106"/>
      <c r="QV5433" s="106"/>
      <c r="QW5433" s="106"/>
      <c r="QX5433" s="106"/>
      <c r="QY5433" s="106"/>
      <c r="QZ5433" s="106"/>
      <c r="RA5433" s="106"/>
      <c r="RB5433" s="106"/>
      <c r="RC5433" s="106"/>
      <c r="RD5433" s="106"/>
      <c r="RE5433" s="106"/>
      <c r="RF5433" s="106"/>
      <c r="RG5433" s="106"/>
      <c r="RH5433" s="106"/>
      <c r="RI5433" s="106"/>
      <c r="RJ5433" s="106"/>
      <c r="RK5433" s="106"/>
      <c r="RL5433" s="106"/>
    </row>
    <row r="5434" spans="462:480" x14ac:dyDescent="0.3">
      <c r="QT5434" s="106"/>
      <c r="QU5434" s="106"/>
      <c r="QV5434" s="106"/>
      <c r="QW5434" s="106"/>
      <c r="QX5434" s="106"/>
      <c r="QY5434" s="106"/>
      <c r="QZ5434" s="106"/>
      <c r="RA5434" s="106"/>
      <c r="RB5434" s="106"/>
      <c r="RC5434" s="106"/>
      <c r="RD5434" s="106"/>
      <c r="RE5434" s="106"/>
      <c r="RF5434" s="106"/>
      <c r="RG5434" s="106"/>
      <c r="RH5434" s="106"/>
      <c r="RI5434" s="106"/>
      <c r="RJ5434" s="106"/>
      <c r="RK5434" s="106"/>
      <c r="RL5434" s="106"/>
    </row>
    <row r="5435" spans="462:480" x14ac:dyDescent="0.3">
      <c r="QT5435" s="106"/>
      <c r="QU5435" s="106"/>
      <c r="QV5435" s="106"/>
      <c r="QW5435" s="106"/>
      <c r="QX5435" s="106"/>
      <c r="QY5435" s="106"/>
      <c r="QZ5435" s="106"/>
      <c r="RA5435" s="106"/>
      <c r="RB5435" s="106"/>
      <c r="RC5435" s="106"/>
      <c r="RD5435" s="106"/>
      <c r="RE5435" s="106"/>
      <c r="RF5435" s="106"/>
      <c r="RG5435" s="106"/>
      <c r="RH5435" s="106"/>
      <c r="RI5435" s="106"/>
      <c r="RJ5435" s="106"/>
      <c r="RK5435" s="106"/>
      <c r="RL5435" s="106"/>
    </row>
    <row r="5436" spans="462:480" x14ac:dyDescent="0.3">
      <c r="QT5436" s="106"/>
      <c r="QU5436" s="106"/>
      <c r="QV5436" s="106"/>
      <c r="QW5436" s="106"/>
      <c r="QX5436" s="106"/>
      <c r="QY5436" s="106"/>
      <c r="QZ5436" s="106"/>
      <c r="RA5436" s="106"/>
      <c r="RB5436" s="106"/>
      <c r="RC5436" s="106"/>
      <c r="RD5436" s="106"/>
      <c r="RE5436" s="106"/>
      <c r="RF5436" s="106"/>
      <c r="RG5436" s="106"/>
      <c r="RH5436" s="106"/>
      <c r="RI5436" s="106"/>
      <c r="RJ5436" s="106"/>
      <c r="RK5436" s="106"/>
      <c r="RL5436" s="106"/>
    </row>
    <row r="5437" spans="462:480" x14ac:dyDescent="0.3">
      <c r="QT5437" s="106"/>
      <c r="QU5437" s="106"/>
      <c r="QV5437" s="106"/>
      <c r="QW5437" s="106"/>
      <c r="QX5437" s="106"/>
      <c r="QY5437" s="106"/>
      <c r="QZ5437" s="106"/>
      <c r="RA5437" s="106"/>
      <c r="RB5437" s="106"/>
      <c r="RC5437" s="106"/>
      <c r="RD5437" s="106"/>
      <c r="RE5437" s="106"/>
      <c r="RF5437" s="106"/>
      <c r="RG5437" s="106"/>
      <c r="RH5437" s="106"/>
      <c r="RI5437" s="106"/>
      <c r="RJ5437" s="106"/>
      <c r="RK5437" s="106"/>
      <c r="RL5437" s="106"/>
    </row>
    <row r="5438" spans="462:480" x14ac:dyDescent="0.3">
      <c r="QT5438" s="106"/>
      <c r="QU5438" s="106"/>
      <c r="QV5438" s="106"/>
      <c r="QW5438" s="106"/>
      <c r="QX5438" s="106"/>
      <c r="QY5438" s="106"/>
      <c r="QZ5438" s="106"/>
      <c r="RA5438" s="106"/>
      <c r="RB5438" s="106"/>
      <c r="RC5438" s="106"/>
      <c r="RD5438" s="106"/>
      <c r="RE5438" s="106"/>
      <c r="RF5438" s="106"/>
      <c r="RG5438" s="106"/>
      <c r="RH5438" s="106"/>
      <c r="RI5438" s="106"/>
      <c r="RJ5438" s="106"/>
      <c r="RK5438" s="106"/>
      <c r="RL5438" s="106"/>
    </row>
    <row r="5439" spans="462:480" x14ac:dyDescent="0.3">
      <c r="QT5439" s="106"/>
      <c r="QU5439" s="106"/>
      <c r="QV5439" s="106"/>
      <c r="QW5439" s="106"/>
      <c r="QX5439" s="106"/>
      <c r="QY5439" s="106"/>
      <c r="QZ5439" s="106"/>
      <c r="RA5439" s="106"/>
      <c r="RB5439" s="106"/>
      <c r="RC5439" s="106"/>
      <c r="RD5439" s="106"/>
      <c r="RE5439" s="106"/>
      <c r="RF5439" s="106"/>
      <c r="RG5439" s="106"/>
      <c r="RH5439" s="106"/>
      <c r="RI5439" s="106"/>
      <c r="RJ5439" s="106"/>
      <c r="RK5439" s="106"/>
      <c r="RL5439" s="106"/>
    </row>
    <row r="5440" spans="462:480" x14ac:dyDescent="0.3">
      <c r="QT5440" s="106"/>
      <c r="QU5440" s="106"/>
      <c r="QV5440" s="106"/>
      <c r="QW5440" s="106"/>
      <c r="QX5440" s="106"/>
      <c r="QY5440" s="106"/>
      <c r="QZ5440" s="106"/>
      <c r="RA5440" s="106"/>
      <c r="RB5440" s="106"/>
      <c r="RC5440" s="106"/>
      <c r="RD5440" s="106"/>
      <c r="RE5440" s="106"/>
      <c r="RF5440" s="106"/>
      <c r="RG5440" s="106"/>
      <c r="RH5440" s="106"/>
      <c r="RI5440" s="106"/>
      <c r="RJ5440" s="106"/>
      <c r="RK5440" s="106"/>
      <c r="RL5440" s="106"/>
    </row>
    <row r="5441" spans="462:480" x14ac:dyDescent="0.3">
      <c r="QT5441" s="106"/>
      <c r="QU5441" s="106"/>
      <c r="QV5441" s="106"/>
      <c r="QW5441" s="106"/>
      <c r="QX5441" s="106"/>
      <c r="QY5441" s="106"/>
      <c r="QZ5441" s="106"/>
      <c r="RA5441" s="106"/>
      <c r="RB5441" s="106"/>
      <c r="RC5441" s="106"/>
      <c r="RD5441" s="106"/>
      <c r="RE5441" s="106"/>
      <c r="RF5441" s="106"/>
      <c r="RG5441" s="106"/>
      <c r="RH5441" s="106"/>
      <c r="RI5441" s="106"/>
      <c r="RJ5441" s="106"/>
      <c r="RK5441" s="106"/>
      <c r="RL5441" s="106"/>
    </row>
    <row r="5442" spans="462:480" x14ac:dyDescent="0.3">
      <c r="QT5442" s="106"/>
      <c r="QU5442" s="106"/>
      <c r="QV5442" s="106"/>
      <c r="QW5442" s="106"/>
      <c r="QX5442" s="106"/>
      <c r="QY5442" s="106"/>
      <c r="QZ5442" s="106"/>
      <c r="RA5442" s="106"/>
      <c r="RB5442" s="106"/>
      <c r="RC5442" s="106"/>
      <c r="RD5442" s="106"/>
      <c r="RE5442" s="106"/>
      <c r="RF5442" s="106"/>
      <c r="RG5442" s="106"/>
      <c r="RH5442" s="106"/>
      <c r="RI5442" s="106"/>
      <c r="RJ5442" s="106"/>
      <c r="RK5442" s="106"/>
      <c r="RL5442" s="106"/>
    </row>
    <row r="5443" spans="462:480" x14ac:dyDescent="0.3">
      <c r="QT5443" s="106"/>
      <c r="QU5443" s="106"/>
      <c r="QV5443" s="106"/>
      <c r="QW5443" s="106"/>
      <c r="QX5443" s="106"/>
      <c r="QY5443" s="106"/>
      <c r="QZ5443" s="106"/>
      <c r="RA5443" s="106"/>
      <c r="RB5443" s="106"/>
      <c r="RC5443" s="106"/>
      <c r="RD5443" s="106"/>
      <c r="RE5443" s="106"/>
      <c r="RF5443" s="106"/>
      <c r="RG5443" s="106"/>
      <c r="RH5443" s="106"/>
      <c r="RI5443" s="106"/>
      <c r="RJ5443" s="106"/>
      <c r="RK5443" s="106"/>
      <c r="RL5443" s="106"/>
    </row>
    <row r="5444" spans="462:480" x14ac:dyDescent="0.3">
      <c r="QT5444" s="106"/>
      <c r="QU5444" s="106"/>
      <c r="QV5444" s="106"/>
      <c r="QW5444" s="106"/>
      <c r="QX5444" s="106"/>
      <c r="QY5444" s="106"/>
      <c r="QZ5444" s="106"/>
      <c r="RA5444" s="106"/>
      <c r="RB5444" s="106"/>
      <c r="RC5444" s="106"/>
      <c r="RD5444" s="106"/>
      <c r="RE5444" s="106"/>
      <c r="RF5444" s="106"/>
      <c r="RG5444" s="106"/>
      <c r="RH5444" s="106"/>
      <c r="RI5444" s="106"/>
      <c r="RJ5444" s="106"/>
      <c r="RK5444" s="106"/>
      <c r="RL5444" s="106"/>
    </row>
    <row r="5445" spans="462:480" x14ac:dyDescent="0.3">
      <c r="QT5445" s="106"/>
      <c r="QU5445" s="106"/>
      <c r="QV5445" s="106"/>
      <c r="QW5445" s="106"/>
      <c r="QX5445" s="106"/>
      <c r="QY5445" s="106"/>
      <c r="QZ5445" s="106"/>
      <c r="RA5445" s="106"/>
      <c r="RB5445" s="106"/>
      <c r="RC5445" s="106"/>
      <c r="RD5445" s="106"/>
      <c r="RE5445" s="106"/>
      <c r="RF5445" s="106"/>
      <c r="RG5445" s="106"/>
      <c r="RH5445" s="106"/>
      <c r="RI5445" s="106"/>
      <c r="RJ5445" s="106"/>
      <c r="RK5445" s="106"/>
      <c r="RL5445" s="106"/>
    </row>
    <row r="5446" spans="462:480" x14ac:dyDescent="0.3">
      <c r="QT5446" s="106"/>
      <c r="QU5446" s="106"/>
      <c r="QV5446" s="106"/>
      <c r="QW5446" s="106"/>
      <c r="QX5446" s="106"/>
      <c r="QY5446" s="106"/>
      <c r="QZ5446" s="106"/>
      <c r="RA5446" s="106"/>
      <c r="RB5446" s="106"/>
      <c r="RC5446" s="106"/>
      <c r="RD5446" s="106"/>
      <c r="RE5446" s="106"/>
      <c r="RF5446" s="106"/>
      <c r="RG5446" s="106"/>
      <c r="RH5446" s="106"/>
      <c r="RI5446" s="106"/>
      <c r="RJ5446" s="106"/>
      <c r="RK5446" s="106"/>
      <c r="RL5446" s="106"/>
    </row>
    <row r="5447" spans="462:480" x14ac:dyDescent="0.3">
      <c r="QT5447" s="106"/>
      <c r="QU5447" s="106"/>
      <c r="QV5447" s="106"/>
      <c r="QW5447" s="106"/>
      <c r="QX5447" s="106"/>
      <c r="QY5447" s="106"/>
      <c r="QZ5447" s="106"/>
      <c r="RA5447" s="106"/>
      <c r="RB5447" s="106"/>
      <c r="RC5447" s="106"/>
      <c r="RD5447" s="106"/>
      <c r="RE5447" s="106"/>
      <c r="RF5447" s="106"/>
      <c r="RG5447" s="106"/>
      <c r="RH5447" s="106"/>
      <c r="RI5447" s="106"/>
      <c r="RJ5447" s="106"/>
      <c r="RK5447" s="106"/>
      <c r="RL5447" s="106"/>
    </row>
    <row r="5448" spans="462:480" x14ac:dyDescent="0.3">
      <c r="QT5448" s="106"/>
      <c r="QU5448" s="106"/>
      <c r="QV5448" s="106"/>
      <c r="QW5448" s="106"/>
      <c r="QX5448" s="106"/>
      <c r="QY5448" s="106"/>
      <c r="QZ5448" s="106"/>
      <c r="RA5448" s="106"/>
      <c r="RB5448" s="106"/>
      <c r="RC5448" s="106"/>
      <c r="RD5448" s="106"/>
      <c r="RE5448" s="106"/>
      <c r="RF5448" s="106"/>
      <c r="RG5448" s="106"/>
      <c r="RH5448" s="106"/>
      <c r="RI5448" s="106"/>
      <c r="RJ5448" s="106"/>
      <c r="RK5448" s="106"/>
      <c r="RL5448" s="106"/>
    </row>
    <row r="5449" spans="462:480" x14ac:dyDescent="0.3">
      <c r="QT5449" s="106"/>
      <c r="QU5449" s="106"/>
      <c r="QV5449" s="106"/>
      <c r="QW5449" s="106"/>
      <c r="QX5449" s="106"/>
      <c r="QY5449" s="106"/>
      <c r="QZ5449" s="106"/>
      <c r="RA5449" s="106"/>
      <c r="RB5449" s="106"/>
      <c r="RC5449" s="106"/>
      <c r="RD5449" s="106"/>
      <c r="RE5449" s="106"/>
      <c r="RF5449" s="106"/>
      <c r="RG5449" s="106"/>
      <c r="RH5449" s="106"/>
      <c r="RI5449" s="106"/>
      <c r="RJ5449" s="106"/>
      <c r="RK5449" s="106"/>
      <c r="RL5449" s="106"/>
    </row>
    <row r="5450" spans="462:480" x14ac:dyDescent="0.3">
      <c r="QT5450" s="106"/>
      <c r="QU5450" s="106"/>
      <c r="QV5450" s="106"/>
      <c r="QW5450" s="106"/>
      <c r="QX5450" s="106"/>
      <c r="QY5450" s="106"/>
      <c r="QZ5450" s="106"/>
      <c r="RA5450" s="106"/>
      <c r="RB5450" s="106"/>
      <c r="RC5450" s="106"/>
      <c r="RD5450" s="106"/>
      <c r="RE5450" s="106"/>
      <c r="RF5450" s="106"/>
      <c r="RG5450" s="106"/>
      <c r="RH5450" s="106"/>
      <c r="RI5450" s="106"/>
      <c r="RJ5450" s="106"/>
      <c r="RK5450" s="106"/>
      <c r="RL5450" s="106"/>
    </row>
    <row r="5451" spans="462:480" x14ac:dyDescent="0.3">
      <c r="QT5451" s="106"/>
      <c r="QU5451" s="106"/>
      <c r="QV5451" s="106"/>
      <c r="QW5451" s="106"/>
      <c r="QX5451" s="106"/>
      <c r="QY5451" s="106"/>
      <c r="QZ5451" s="106"/>
      <c r="RA5451" s="106"/>
      <c r="RB5451" s="106"/>
      <c r="RC5451" s="106"/>
      <c r="RD5451" s="106"/>
      <c r="RE5451" s="106"/>
      <c r="RF5451" s="106"/>
      <c r="RG5451" s="106"/>
      <c r="RH5451" s="106"/>
      <c r="RI5451" s="106"/>
      <c r="RJ5451" s="106"/>
      <c r="RK5451" s="106"/>
      <c r="RL5451" s="106"/>
    </row>
    <row r="5452" spans="462:480" x14ac:dyDescent="0.3">
      <c r="QT5452" s="106"/>
      <c r="QU5452" s="106"/>
      <c r="QV5452" s="106"/>
      <c r="QW5452" s="106"/>
      <c r="QX5452" s="106"/>
      <c r="QY5452" s="106"/>
      <c r="QZ5452" s="106"/>
      <c r="RA5452" s="106"/>
      <c r="RB5452" s="106"/>
      <c r="RC5452" s="106"/>
      <c r="RD5452" s="106"/>
      <c r="RE5452" s="106"/>
      <c r="RF5452" s="106"/>
      <c r="RG5452" s="106"/>
      <c r="RH5452" s="106"/>
      <c r="RI5452" s="106"/>
      <c r="RJ5452" s="106"/>
      <c r="RK5452" s="106"/>
      <c r="RL5452" s="106"/>
    </row>
    <row r="5453" spans="462:480" x14ac:dyDescent="0.3">
      <c r="QT5453" s="106"/>
      <c r="QU5453" s="106"/>
      <c r="QV5453" s="106"/>
      <c r="QW5453" s="106"/>
      <c r="QX5453" s="106"/>
      <c r="QY5453" s="106"/>
      <c r="QZ5453" s="106"/>
      <c r="RA5453" s="106"/>
      <c r="RB5453" s="106"/>
      <c r="RC5453" s="106"/>
      <c r="RD5453" s="106"/>
      <c r="RE5453" s="106"/>
      <c r="RF5453" s="106"/>
      <c r="RG5453" s="106"/>
      <c r="RH5453" s="106"/>
      <c r="RI5453" s="106"/>
      <c r="RJ5453" s="106"/>
      <c r="RK5453" s="106"/>
      <c r="RL5453" s="106"/>
    </row>
    <row r="5454" spans="462:480" x14ac:dyDescent="0.3">
      <c r="QT5454" s="106"/>
      <c r="QU5454" s="106"/>
      <c r="QV5454" s="106"/>
      <c r="QW5454" s="106"/>
      <c r="QX5454" s="106"/>
      <c r="QY5454" s="106"/>
      <c r="QZ5454" s="106"/>
      <c r="RA5454" s="106"/>
      <c r="RB5454" s="106"/>
      <c r="RC5454" s="106"/>
      <c r="RD5454" s="106"/>
      <c r="RE5454" s="106"/>
      <c r="RF5454" s="106"/>
      <c r="RG5454" s="106"/>
      <c r="RH5454" s="106"/>
      <c r="RI5454" s="106"/>
      <c r="RJ5454" s="106"/>
      <c r="RK5454" s="106"/>
      <c r="RL5454" s="106"/>
    </row>
    <row r="5455" spans="462:480" x14ac:dyDescent="0.3">
      <c r="QT5455" s="106"/>
      <c r="QU5455" s="106"/>
      <c r="QV5455" s="106"/>
      <c r="QW5455" s="106"/>
      <c r="QX5455" s="106"/>
      <c r="QY5455" s="106"/>
      <c r="QZ5455" s="106"/>
      <c r="RA5455" s="106"/>
      <c r="RB5455" s="106"/>
      <c r="RC5455" s="106"/>
      <c r="RD5455" s="106"/>
      <c r="RE5455" s="106"/>
      <c r="RF5455" s="106"/>
      <c r="RG5455" s="106"/>
      <c r="RH5455" s="106"/>
      <c r="RI5455" s="106"/>
      <c r="RJ5455" s="106"/>
      <c r="RK5455" s="106"/>
      <c r="RL5455" s="106"/>
    </row>
    <row r="5456" spans="462:480" x14ac:dyDescent="0.3">
      <c r="QT5456" s="106"/>
      <c r="QU5456" s="106"/>
      <c r="QV5456" s="106"/>
      <c r="QW5456" s="106"/>
      <c r="QX5456" s="106"/>
      <c r="QY5456" s="106"/>
      <c r="QZ5456" s="106"/>
      <c r="RA5456" s="106"/>
      <c r="RB5456" s="106"/>
      <c r="RC5456" s="106"/>
      <c r="RD5456" s="106"/>
      <c r="RE5456" s="106"/>
      <c r="RF5456" s="106"/>
      <c r="RG5456" s="106"/>
      <c r="RH5456" s="106"/>
      <c r="RI5456" s="106"/>
      <c r="RJ5456" s="106"/>
      <c r="RK5456" s="106"/>
      <c r="RL5456" s="106"/>
    </row>
    <row r="5457" spans="462:480" x14ac:dyDescent="0.3">
      <c r="QT5457" s="106"/>
      <c r="QU5457" s="106"/>
      <c r="QV5457" s="106"/>
      <c r="QW5457" s="106"/>
      <c r="QX5457" s="106"/>
      <c r="QY5457" s="106"/>
      <c r="QZ5457" s="106"/>
      <c r="RA5457" s="106"/>
      <c r="RB5457" s="106"/>
      <c r="RC5457" s="106"/>
      <c r="RD5457" s="106"/>
      <c r="RE5457" s="106"/>
      <c r="RF5457" s="106"/>
      <c r="RG5457" s="106"/>
      <c r="RH5457" s="106"/>
      <c r="RI5457" s="106"/>
      <c r="RJ5457" s="106"/>
      <c r="RK5457" s="106"/>
      <c r="RL5457" s="106"/>
    </row>
    <row r="5458" spans="462:480" x14ac:dyDescent="0.3">
      <c r="QT5458" s="106"/>
      <c r="QU5458" s="106"/>
      <c r="QV5458" s="106"/>
      <c r="QW5458" s="106"/>
      <c r="QX5458" s="106"/>
      <c r="QY5458" s="106"/>
      <c r="QZ5458" s="106"/>
      <c r="RA5458" s="106"/>
      <c r="RB5458" s="106"/>
      <c r="RC5458" s="106"/>
      <c r="RD5458" s="106"/>
      <c r="RE5458" s="106"/>
      <c r="RF5458" s="106"/>
      <c r="RG5458" s="106"/>
      <c r="RH5458" s="106"/>
      <c r="RI5458" s="106"/>
      <c r="RJ5458" s="106"/>
      <c r="RK5458" s="106"/>
      <c r="RL5458" s="106"/>
    </row>
    <row r="5459" spans="462:480" x14ac:dyDescent="0.3">
      <c r="QT5459" s="106"/>
      <c r="QU5459" s="106"/>
      <c r="QV5459" s="106"/>
      <c r="QW5459" s="106"/>
      <c r="QX5459" s="106"/>
      <c r="QY5459" s="106"/>
      <c r="QZ5459" s="106"/>
      <c r="RA5459" s="106"/>
      <c r="RB5459" s="106"/>
      <c r="RC5459" s="106"/>
      <c r="RD5459" s="106"/>
      <c r="RE5459" s="106"/>
      <c r="RF5459" s="106"/>
      <c r="RG5459" s="106"/>
      <c r="RH5459" s="106"/>
      <c r="RI5459" s="106"/>
      <c r="RJ5459" s="106"/>
      <c r="RK5459" s="106"/>
      <c r="RL5459" s="106"/>
    </row>
    <row r="5460" spans="462:480" x14ac:dyDescent="0.3">
      <c r="QT5460" s="106"/>
      <c r="QU5460" s="106"/>
      <c r="QV5460" s="106"/>
      <c r="QW5460" s="106"/>
      <c r="QX5460" s="106"/>
      <c r="QY5460" s="106"/>
      <c r="QZ5460" s="106"/>
      <c r="RA5460" s="106"/>
      <c r="RB5460" s="106"/>
      <c r="RC5460" s="106"/>
      <c r="RD5460" s="106"/>
      <c r="RE5460" s="106"/>
      <c r="RF5460" s="106"/>
      <c r="RG5460" s="106"/>
      <c r="RH5460" s="106"/>
      <c r="RI5460" s="106"/>
      <c r="RJ5460" s="106"/>
      <c r="RK5460" s="106"/>
      <c r="RL5460" s="106"/>
    </row>
    <row r="5461" spans="462:480" x14ac:dyDescent="0.3">
      <c r="QT5461" s="106"/>
      <c r="QU5461" s="106"/>
      <c r="QV5461" s="106"/>
      <c r="QW5461" s="106"/>
      <c r="QX5461" s="106"/>
      <c r="QY5461" s="106"/>
      <c r="QZ5461" s="106"/>
      <c r="RA5461" s="106"/>
      <c r="RB5461" s="106"/>
      <c r="RC5461" s="106"/>
      <c r="RD5461" s="106"/>
      <c r="RE5461" s="106"/>
      <c r="RF5461" s="106"/>
      <c r="RG5461" s="106"/>
      <c r="RH5461" s="106"/>
      <c r="RI5461" s="106"/>
      <c r="RJ5461" s="106"/>
      <c r="RK5461" s="106"/>
      <c r="RL5461" s="106"/>
    </row>
    <row r="5462" spans="462:480" x14ac:dyDescent="0.3">
      <c r="QT5462" s="106"/>
      <c r="QU5462" s="106"/>
      <c r="QV5462" s="106"/>
      <c r="QW5462" s="106"/>
      <c r="QX5462" s="106"/>
      <c r="QY5462" s="106"/>
      <c r="QZ5462" s="106"/>
      <c r="RA5462" s="106"/>
      <c r="RB5462" s="106"/>
      <c r="RC5462" s="106"/>
      <c r="RD5462" s="106"/>
      <c r="RE5462" s="106"/>
      <c r="RF5462" s="106"/>
      <c r="RG5462" s="106"/>
      <c r="RH5462" s="106"/>
      <c r="RI5462" s="106"/>
      <c r="RJ5462" s="106"/>
      <c r="RK5462" s="106"/>
      <c r="RL5462" s="106"/>
    </row>
    <row r="5463" spans="462:480" x14ac:dyDescent="0.3">
      <c r="QT5463" s="106"/>
      <c r="QU5463" s="106"/>
      <c r="QV5463" s="106"/>
      <c r="QW5463" s="106"/>
      <c r="QX5463" s="106"/>
      <c r="QY5463" s="106"/>
      <c r="QZ5463" s="106"/>
      <c r="RA5463" s="106"/>
      <c r="RB5463" s="106"/>
      <c r="RC5463" s="106"/>
      <c r="RD5463" s="106"/>
      <c r="RE5463" s="106"/>
      <c r="RF5463" s="106"/>
      <c r="RG5463" s="106"/>
      <c r="RH5463" s="106"/>
      <c r="RI5463" s="106"/>
      <c r="RJ5463" s="106"/>
      <c r="RK5463" s="106"/>
      <c r="RL5463" s="106"/>
    </row>
    <row r="5464" spans="462:480" x14ac:dyDescent="0.3">
      <c r="QT5464" s="106"/>
      <c r="QU5464" s="106"/>
      <c r="QV5464" s="106"/>
      <c r="QW5464" s="106"/>
      <c r="QX5464" s="106"/>
      <c r="QY5464" s="106"/>
      <c r="QZ5464" s="106"/>
      <c r="RA5464" s="106"/>
      <c r="RB5464" s="106"/>
      <c r="RC5464" s="106"/>
      <c r="RD5464" s="106"/>
      <c r="RE5464" s="106"/>
      <c r="RF5464" s="106"/>
      <c r="RG5464" s="106"/>
      <c r="RH5464" s="106"/>
      <c r="RI5464" s="106"/>
      <c r="RJ5464" s="106"/>
      <c r="RK5464" s="106"/>
      <c r="RL5464" s="106"/>
    </row>
    <row r="5465" spans="462:480" x14ac:dyDescent="0.3">
      <c r="QT5465" s="106"/>
      <c r="QU5465" s="106"/>
      <c r="QV5465" s="106"/>
      <c r="QW5465" s="106"/>
      <c r="QX5465" s="106"/>
      <c r="QY5465" s="106"/>
      <c r="QZ5465" s="106"/>
      <c r="RA5465" s="106"/>
      <c r="RB5465" s="106"/>
      <c r="RC5465" s="106"/>
      <c r="RD5465" s="106"/>
      <c r="RE5465" s="106"/>
      <c r="RF5465" s="106"/>
      <c r="RG5465" s="106"/>
      <c r="RH5465" s="106"/>
      <c r="RI5465" s="106"/>
      <c r="RJ5465" s="106"/>
      <c r="RK5465" s="106"/>
      <c r="RL5465" s="106"/>
    </row>
    <row r="5466" spans="462:480" x14ac:dyDescent="0.3">
      <c r="QT5466" s="106"/>
      <c r="QU5466" s="106"/>
      <c r="QV5466" s="106"/>
      <c r="QW5466" s="106"/>
      <c r="QX5466" s="106"/>
      <c r="QY5466" s="106"/>
      <c r="QZ5466" s="106"/>
      <c r="RA5466" s="106"/>
      <c r="RB5466" s="106"/>
      <c r="RC5466" s="106"/>
      <c r="RD5466" s="106"/>
      <c r="RE5466" s="106"/>
      <c r="RF5466" s="106"/>
      <c r="RG5466" s="106"/>
      <c r="RH5466" s="106"/>
      <c r="RI5466" s="106"/>
      <c r="RJ5466" s="106"/>
      <c r="RK5466" s="106"/>
      <c r="RL5466" s="106"/>
    </row>
    <row r="5467" spans="462:480" x14ac:dyDescent="0.3">
      <c r="QT5467" s="106"/>
      <c r="QU5467" s="106"/>
      <c r="QV5467" s="106"/>
      <c r="QW5467" s="106"/>
      <c r="QX5467" s="106"/>
      <c r="QY5467" s="106"/>
      <c r="QZ5467" s="106"/>
      <c r="RA5467" s="106"/>
      <c r="RB5467" s="106"/>
      <c r="RC5467" s="106"/>
      <c r="RD5467" s="106"/>
      <c r="RE5467" s="106"/>
      <c r="RF5467" s="106"/>
      <c r="RG5467" s="106"/>
      <c r="RH5467" s="106"/>
      <c r="RI5467" s="106"/>
      <c r="RJ5467" s="106"/>
      <c r="RK5467" s="106"/>
      <c r="RL5467" s="106"/>
    </row>
    <row r="5468" spans="462:480" x14ac:dyDescent="0.3">
      <c r="QT5468" s="106"/>
      <c r="QU5468" s="106"/>
      <c r="QV5468" s="106"/>
      <c r="QW5468" s="106"/>
      <c r="QX5468" s="106"/>
      <c r="QY5468" s="106"/>
      <c r="QZ5468" s="106"/>
      <c r="RA5468" s="106"/>
      <c r="RB5468" s="106"/>
      <c r="RC5468" s="106"/>
      <c r="RD5468" s="106"/>
      <c r="RE5468" s="106"/>
      <c r="RF5468" s="106"/>
      <c r="RG5468" s="106"/>
      <c r="RH5468" s="106"/>
      <c r="RI5468" s="106"/>
      <c r="RJ5468" s="106"/>
      <c r="RK5468" s="106"/>
      <c r="RL5468" s="106"/>
    </row>
    <row r="5469" spans="462:480" x14ac:dyDescent="0.3">
      <c r="QT5469" s="106"/>
      <c r="QU5469" s="106"/>
      <c r="QV5469" s="106"/>
      <c r="QW5469" s="106"/>
      <c r="QX5469" s="106"/>
      <c r="QY5469" s="106"/>
      <c r="QZ5469" s="106"/>
      <c r="RA5469" s="106"/>
      <c r="RB5469" s="106"/>
      <c r="RC5469" s="106"/>
      <c r="RD5469" s="106"/>
      <c r="RE5469" s="106"/>
      <c r="RF5469" s="106"/>
      <c r="RG5469" s="106"/>
      <c r="RH5469" s="106"/>
      <c r="RI5469" s="106"/>
      <c r="RJ5469" s="106"/>
      <c r="RK5469" s="106"/>
      <c r="RL5469" s="106"/>
    </row>
    <row r="5470" spans="462:480" x14ac:dyDescent="0.3">
      <c r="QT5470" s="106"/>
      <c r="QU5470" s="106"/>
      <c r="QV5470" s="106"/>
      <c r="QW5470" s="106"/>
      <c r="QX5470" s="106"/>
      <c r="QY5470" s="106"/>
      <c r="QZ5470" s="106"/>
      <c r="RA5470" s="106"/>
      <c r="RB5470" s="106"/>
      <c r="RC5470" s="106"/>
      <c r="RD5470" s="106"/>
      <c r="RE5470" s="106"/>
      <c r="RF5470" s="106"/>
      <c r="RG5470" s="106"/>
      <c r="RH5470" s="106"/>
      <c r="RI5470" s="106"/>
      <c r="RJ5470" s="106"/>
      <c r="RK5470" s="106"/>
      <c r="RL5470" s="106"/>
    </row>
    <row r="5471" spans="462:480" x14ac:dyDescent="0.3">
      <c r="QT5471" s="106"/>
      <c r="QU5471" s="106"/>
      <c r="QV5471" s="106"/>
      <c r="QW5471" s="106"/>
      <c r="QX5471" s="106"/>
      <c r="QY5471" s="106"/>
      <c r="QZ5471" s="106"/>
      <c r="RA5471" s="106"/>
      <c r="RB5471" s="106"/>
      <c r="RC5471" s="106"/>
      <c r="RD5471" s="106"/>
      <c r="RE5471" s="106"/>
      <c r="RF5471" s="106"/>
      <c r="RG5471" s="106"/>
      <c r="RH5471" s="106"/>
      <c r="RI5471" s="106"/>
      <c r="RJ5471" s="106"/>
      <c r="RK5471" s="106"/>
      <c r="RL5471" s="106"/>
    </row>
    <row r="5472" spans="462:480" x14ac:dyDescent="0.3">
      <c r="QT5472" s="106"/>
      <c r="QU5472" s="106"/>
      <c r="QV5472" s="106"/>
      <c r="QW5472" s="106"/>
      <c r="QX5472" s="106"/>
      <c r="QY5472" s="106"/>
      <c r="QZ5472" s="106"/>
      <c r="RA5472" s="106"/>
      <c r="RB5472" s="106"/>
      <c r="RC5472" s="106"/>
      <c r="RD5472" s="106"/>
      <c r="RE5472" s="106"/>
      <c r="RF5472" s="106"/>
      <c r="RG5472" s="106"/>
      <c r="RH5472" s="106"/>
      <c r="RI5472" s="106"/>
      <c r="RJ5472" s="106"/>
      <c r="RK5472" s="106"/>
      <c r="RL5472" s="106"/>
    </row>
    <row r="5473" spans="462:480" x14ac:dyDescent="0.3">
      <c r="QT5473" s="106"/>
      <c r="QU5473" s="106"/>
      <c r="QV5473" s="106"/>
      <c r="QW5473" s="106"/>
      <c r="QX5473" s="106"/>
      <c r="QY5473" s="106"/>
      <c r="QZ5473" s="106"/>
      <c r="RA5473" s="106"/>
      <c r="RB5473" s="106"/>
      <c r="RC5473" s="106"/>
      <c r="RD5473" s="106"/>
      <c r="RE5473" s="106"/>
      <c r="RF5473" s="106"/>
      <c r="RG5473" s="106"/>
      <c r="RH5473" s="106"/>
      <c r="RI5473" s="106"/>
      <c r="RJ5473" s="106"/>
      <c r="RK5473" s="106"/>
      <c r="RL5473" s="106"/>
    </row>
    <row r="5474" spans="462:480" x14ac:dyDescent="0.3">
      <c r="QT5474" s="106"/>
      <c r="QU5474" s="106"/>
      <c r="QV5474" s="106"/>
      <c r="QW5474" s="106"/>
      <c r="QX5474" s="106"/>
      <c r="QY5474" s="106"/>
      <c r="QZ5474" s="106"/>
      <c r="RA5474" s="106"/>
      <c r="RB5474" s="106"/>
      <c r="RC5474" s="106"/>
      <c r="RD5474" s="106"/>
      <c r="RE5474" s="106"/>
      <c r="RF5474" s="106"/>
      <c r="RG5474" s="106"/>
      <c r="RH5474" s="106"/>
      <c r="RI5474" s="106"/>
      <c r="RJ5474" s="106"/>
      <c r="RK5474" s="106"/>
      <c r="RL5474" s="106"/>
    </row>
    <row r="5475" spans="462:480" x14ac:dyDescent="0.3">
      <c r="QT5475" s="106"/>
      <c r="QU5475" s="106"/>
      <c r="QV5475" s="106"/>
      <c r="QW5475" s="106"/>
      <c r="QX5475" s="106"/>
      <c r="QY5475" s="106"/>
      <c r="QZ5475" s="106"/>
      <c r="RA5475" s="106"/>
      <c r="RB5475" s="106"/>
      <c r="RC5475" s="106"/>
      <c r="RD5475" s="106"/>
      <c r="RE5475" s="106"/>
      <c r="RF5475" s="106"/>
      <c r="RG5475" s="106"/>
      <c r="RH5475" s="106"/>
      <c r="RI5475" s="106"/>
      <c r="RJ5475" s="106"/>
      <c r="RK5475" s="106"/>
      <c r="RL5475" s="106"/>
    </row>
    <row r="5476" spans="462:480" x14ac:dyDescent="0.3">
      <c r="QT5476" s="106"/>
      <c r="QU5476" s="106"/>
      <c r="QV5476" s="106"/>
      <c r="QW5476" s="106"/>
      <c r="QX5476" s="106"/>
      <c r="QY5476" s="106"/>
      <c r="QZ5476" s="106"/>
      <c r="RA5476" s="106"/>
      <c r="RB5476" s="106"/>
      <c r="RC5476" s="106"/>
      <c r="RD5476" s="106"/>
      <c r="RE5476" s="106"/>
      <c r="RF5476" s="106"/>
      <c r="RG5476" s="106"/>
      <c r="RH5476" s="106"/>
      <c r="RI5476" s="106"/>
      <c r="RJ5476" s="106"/>
      <c r="RK5476" s="106"/>
      <c r="RL5476" s="106"/>
    </row>
    <row r="5477" spans="462:480" x14ac:dyDescent="0.3">
      <c r="QT5477" s="106"/>
      <c r="QU5477" s="106"/>
      <c r="QV5477" s="106"/>
      <c r="QW5477" s="106"/>
      <c r="QX5477" s="106"/>
      <c r="QY5477" s="106"/>
      <c r="QZ5477" s="106"/>
      <c r="RA5477" s="106"/>
      <c r="RB5477" s="106"/>
      <c r="RC5477" s="106"/>
      <c r="RD5477" s="106"/>
      <c r="RE5477" s="106"/>
      <c r="RF5477" s="106"/>
      <c r="RG5477" s="106"/>
      <c r="RH5477" s="106"/>
      <c r="RI5477" s="106"/>
      <c r="RJ5477" s="106"/>
      <c r="RK5477" s="106"/>
      <c r="RL5477" s="106"/>
    </row>
    <row r="5478" spans="462:480" x14ac:dyDescent="0.3">
      <c r="QT5478" s="106"/>
      <c r="QU5478" s="106"/>
      <c r="QV5478" s="106"/>
      <c r="QW5478" s="106"/>
      <c r="QX5478" s="106"/>
      <c r="QY5478" s="106"/>
      <c r="QZ5478" s="106"/>
      <c r="RA5478" s="106"/>
      <c r="RB5478" s="106"/>
      <c r="RC5478" s="106"/>
      <c r="RD5478" s="106"/>
      <c r="RE5478" s="106"/>
      <c r="RF5478" s="106"/>
      <c r="RG5478" s="106"/>
      <c r="RH5478" s="106"/>
      <c r="RI5478" s="106"/>
      <c r="RJ5478" s="106"/>
      <c r="RK5478" s="106"/>
      <c r="RL5478" s="106"/>
    </row>
    <row r="5479" spans="462:480" x14ac:dyDescent="0.3">
      <c r="QT5479" s="106"/>
      <c r="QU5479" s="106"/>
      <c r="QV5479" s="106"/>
      <c r="QW5479" s="106"/>
      <c r="QX5479" s="106"/>
      <c r="QY5479" s="106"/>
      <c r="QZ5479" s="106"/>
      <c r="RA5479" s="106"/>
      <c r="RB5479" s="106"/>
      <c r="RC5479" s="106"/>
      <c r="RD5479" s="106"/>
      <c r="RE5479" s="106"/>
      <c r="RF5479" s="106"/>
      <c r="RG5479" s="106"/>
      <c r="RH5479" s="106"/>
      <c r="RI5479" s="106"/>
      <c r="RJ5479" s="106"/>
      <c r="RK5479" s="106"/>
      <c r="RL5479" s="106"/>
    </row>
    <row r="5480" spans="462:480" x14ac:dyDescent="0.3">
      <c r="QT5480" s="106"/>
      <c r="QU5480" s="106"/>
      <c r="QV5480" s="106"/>
      <c r="QW5480" s="106"/>
      <c r="QX5480" s="106"/>
      <c r="QY5480" s="106"/>
      <c r="QZ5480" s="106"/>
      <c r="RA5480" s="106"/>
      <c r="RB5480" s="106"/>
      <c r="RC5480" s="106"/>
      <c r="RD5480" s="106"/>
      <c r="RE5480" s="106"/>
      <c r="RF5480" s="106"/>
      <c r="RG5480" s="106"/>
      <c r="RH5480" s="106"/>
      <c r="RI5480" s="106"/>
      <c r="RJ5480" s="106"/>
      <c r="RK5480" s="106"/>
      <c r="RL5480" s="106"/>
    </row>
    <row r="5481" spans="462:480" x14ac:dyDescent="0.3">
      <c r="QT5481" s="106"/>
      <c r="QU5481" s="106"/>
      <c r="QV5481" s="106"/>
      <c r="QW5481" s="106"/>
      <c r="QX5481" s="106"/>
      <c r="QY5481" s="106"/>
      <c r="QZ5481" s="106"/>
      <c r="RA5481" s="106"/>
      <c r="RB5481" s="106"/>
      <c r="RC5481" s="106"/>
      <c r="RD5481" s="106"/>
      <c r="RE5481" s="106"/>
      <c r="RF5481" s="106"/>
      <c r="RG5481" s="106"/>
      <c r="RH5481" s="106"/>
      <c r="RI5481" s="106"/>
      <c r="RJ5481" s="106"/>
      <c r="RK5481" s="106"/>
      <c r="RL5481" s="106"/>
    </row>
    <row r="5482" spans="462:480" x14ac:dyDescent="0.3">
      <c r="QT5482" s="106"/>
      <c r="QU5482" s="106"/>
      <c r="QV5482" s="106"/>
      <c r="QW5482" s="106"/>
      <c r="QX5482" s="106"/>
      <c r="QY5482" s="106"/>
      <c r="QZ5482" s="106"/>
      <c r="RA5482" s="106"/>
      <c r="RB5482" s="106"/>
      <c r="RC5482" s="106"/>
      <c r="RD5482" s="106"/>
      <c r="RE5482" s="106"/>
      <c r="RF5482" s="106"/>
      <c r="RG5482" s="106"/>
      <c r="RH5482" s="106"/>
      <c r="RI5482" s="106"/>
      <c r="RJ5482" s="106"/>
      <c r="RK5482" s="106"/>
      <c r="RL5482" s="106"/>
    </row>
    <row r="5483" spans="462:480" x14ac:dyDescent="0.3">
      <c r="QT5483" s="106"/>
      <c r="QU5483" s="106"/>
      <c r="QV5483" s="106"/>
      <c r="QW5483" s="106"/>
      <c r="QX5483" s="106"/>
      <c r="QY5483" s="106"/>
      <c r="QZ5483" s="106"/>
      <c r="RA5483" s="106"/>
      <c r="RB5483" s="106"/>
      <c r="RC5483" s="106"/>
      <c r="RD5483" s="106"/>
      <c r="RE5483" s="106"/>
      <c r="RF5483" s="106"/>
      <c r="RG5483" s="106"/>
      <c r="RH5483" s="106"/>
      <c r="RI5483" s="106"/>
      <c r="RJ5483" s="106"/>
      <c r="RK5483" s="106"/>
      <c r="RL5483" s="106"/>
    </row>
    <row r="5484" spans="462:480" x14ac:dyDescent="0.3">
      <c r="QT5484" s="106"/>
      <c r="QU5484" s="106"/>
      <c r="QV5484" s="106"/>
      <c r="QW5484" s="106"/>
      <c r="QX5484" s="106"/>
      <c r="QY5484" s="106"/>
      <c r="QZ5484" s="106"/>
      <c r="RA5484" s="106"/>
      <c r="RB5484" s="106"/>
      <c r="RC5484" s="106"/>
      <c r="RD5484" s="106"/>
      <c r="RE5484" s="106"/>
      <c r="RF5484" s="106"/>
      <c r="RG5484" s="106"/>
      <c r="RH5484" s="106"/>
      <c r="RI5484" s="106"/>
      <c r="RJ5484" s="106"/>
      <c r="RK5484" s="106"/>
      <c r="RL5484" s="106"/>
    </row>
    <row r="5485" spans="462:480" x14ac:dyDescent="0.3">
      <c r="QT5485" s="106"/>
      <c r="QU5485" s="106"/>
      <c r="QV5485" s="106"/>
      <c r="QW5485" s="106"/>
      <c r="QX5485" s="106"/>
      <c r="QY5485" s="106"/>
      <c r="QZ5485" s="106"/>
      <c r="RA5485" s="106"/>
      <c r="RB5485" s="106"/>
      <c r="RC5485" s="106"/>
      <c r="RD5485" s="106"/>
      <c r="RE5485" s="106"/>
      <c r="RF5485" s="106"/>
      <c r="RG5485" s="106"/>
      <c r="RH5485" s="106"/>
      <c r="RI5485" s="106"/>
      <c r="RJ5485" s="106"/>
      <c r="RK5485" s="106"/>
      <c r="RL5485" s="106"/>
    </row>
    <row r="5486" spans="462:480" x14ac:dyDescent="0.3">
      <c r="QT5486" s="106"/>
      <c r="QU5486" s="106"/>
      <c r="QV5486" s="106"/>
      <c r="QW5486" s="106"/>
      <c r="QX5486" s="106"/>
      <c r="QY5486" s="106"/>
      <c r="QZ5486" s="106"/>
      <c r="RA5486" s="106"/>
      <c r="RB5486" s="106"/>
      <c r="RC5486" s="106"/>
      <c r="RD5486" s="106"/>
      <c r="RE5486" s="106"/>
      <c r="RF5486" s="106"/>
      <c r="RG5486" s="106"/>
      <c r="RH5486" s="106"/>
      <c r="RI5486" s="106"/>
      <c r="RJ5486" s="106"/>
      <c r="RK5486" s="106"/>
      <c r="RL5486" s="106"/>
    </row>
    <row r="5487" spans="462:480" x14ac:dyDescent="0.3">
      <c r="QT5487" s="106"/>
      <c r="QU5487" s="106"/>
      <c r="QV5487" s="106"/>
      <c r="QW5487" s="106"/>
      <c r="QX5487" s="106"/>
      <c r="QY5487" s="106"/>
      <c r="QZ5487" s="106"/>
      <c r="RA5487" s="106"/>
      <c r="RB5487" s="106"/>
      <c r="RC5487" s="106"/>
      <c r="RD5487" s="106"/>
      <c r="RE5487" s="106"/>
      <c r="RF5487" s="106"/>
      <c r="RG5487" s="106"/>
      <c r="RH5487" s="106"/>
      <c r="RI5487" s="106"/>
      <c r="RJ5487" s="106"/>
      <c r="RK5487" s="106"/>
      <c r="RL5487" s="106"/>
    </row>
    <row r="5488" spans="462:480" x14ac:dyDescent="0.3">
      <c r="QT5488" s="106"/>
      <c r="QU5488" s="106"/>
      <c r="QV5488" s="106"/>
      <c r="QW5488" s="106"/>
      <c r="QX5488" s="106"/>
      <c r="QY5488" s="106"/>
      <c r="QZ5488" s="106"/>
      <c r="RA5488" s="106"/>
      <c r="RB5488" s="106"/>
      <c r="RC5488" s="106"/>
      <c r="RD5488" s="106"/>
      <c r="RE5488" s="106"/>
      <c r="RF5488" s="106"/>
      <c r="RG5488" s="106"/>
      <c r="RH5488" s="106"/>
      <c r="RI5488" s="106"/>
      <c r="RJ5488" s="106"/>
      <c r="RK5488" s="106"/>
      <c r="RL5488" s="106"/>
    </row>
    <row r="5489" spans="462:480" x14ac:dyDescent="0.3">
      <c r="QT5489" s="106"/>
      <c r="QU5489" s="106"/>
      <c r="QV5489" s="106"/>
      <c r="QW5489" s="106"/>
      <c r="QX5489" s="106"/>
      <c r="QY5489" s="106"/>
      <c r="QZ5489" s="106"/>
      <c r="RA5489" s="106"/>
      <c r="RB5489" s="106"/>
      <c r="RC5489" s="106"/>
      <c r="RD5489" s="106"/>
      <c r="RE5489" s="106"/>
      <c r="RF5489" s="106"/>
      <c r="RG5489" s="106"/>
      <c r="RH5489" s="106"/>
      <c r="RI5489" s="106"/>
      <c r="RJ5489" s="106"/>
      <c r="RK5489" s="106"/>
      <c r="RL5489" s="106"/>
    </row>
    <row r="5490" spans="462:480" x14ac:dyDescent="0.3">
      <c r="QT5490" s="106"/>
      <c r="QU5490" s="106"/>
      <c r="QV5490" s="106"/>
      <c r="QW5490" s="106"/>
      <c r="QX5490" s="106"/>
      <c r="QY5490" s="106"/>
      <c r="QZ5490" s="106"/>
      <c r="RA5490" s="106"/>
      <c r="RB5490" s="106"/>
      <c r="RC5490" s="106"/>
      <c r="RD5490" s="106"/>
      <c r="RE5490" s="106"/>
      <c r="RF5490" s="106"/>
      <c r="RG5490" s="106"/>
      <c r="RH5490" s="106"/>
      <c r="RI5490" s="106"/>
      <c r="RJ5490" s="106"/>
      <c r="RK5490" s="106"/>
      <c r="RL5490" s="106"/>
    </row>
    <row r="5491" spans="462:480" x14ac:dyDescent="0.3">
      <c r="QT5491" s="106"/>
      <c r="QU5491" s="106"/>
      <c r="QV5491" s="106"/>
      <c r="QW5491" s="106"/>
      <c r="QX5491" s="106"/>
      <c r="QY5491" s="106"/>
      <c r="QZ5491" s="106"/>
      <c r="RA5491" s="106"/>
      <c r="RB5491" s="106"/>
      <c r="RC5491" s="106"/>
      <c r="RD5491" s="106"/>
      <c r="RE5491" s="106"/>
      <c r="RF5491" s="106"/>
      <c r="RG5491" s="106"/>
      <c r="RH5491" s="106"/>
      <c r="RI5491" s="106"/>
      <c r="RJ5491" s="106"/>
      <c r="RK5491" s="106"/>
      <c r="RL5491" s="106"/>
    </row>
    <row r="5492" spans="462:480" x14ac:dyDescent="0.3">
      <c r="QT5492" s="106"/>
      <c r="QU5492" s="106"/>
      <c r="QV5492" s="106"/>
      <c r="QW5492" s="106"/>
      <c r="QX5492" s="106"/>
      <c r="QY5492" s="106"/>
      <c r="QZ5492" s="106"/>
      <c r="RA5492" s="106"/>
      <c r="RB5492" s="106"/>
      <c r="RC5492" s="106"/>
      <c r="RD5492" s="106"/>
      <c r="RE5492" s="106"/>
      <c r="RF5492" s="106"/>
      <c r="RG5492" s="106"/>
      <c r="RH5492" s="106"/>
      <c r="RI5492" s="106"/>
      <c r="RJ5492" s="106"/>
      <c r="RK5492" s="106"/>
      <c r="RL5492" s="106"/>
    </row>
    <row r="5493" spans="462:480" x14ac:dyDescent="0.3">
      <c r="QT5493" s="106"/>
      <c r="QU5493" s="106"/>
      <c r="QV5493" s="106"/>
      <c r="QW5493" s="106"/>
      <c r="QX5493" s="106"/>
      <c r="QY5493" s="106"/>
      <c r="QZ5493" s="106"/>
      <c r="RA5493" s="106"/>
      <c r="RB5493" s="106"/>
      <c r="RC5493" s="106"/>
      <c r="RD5493" s="106"/>
      <c r="RE5493" s="106"/>
      <c r="RF5493" s="106"/>
      <c r="RG5493" s="106"/>
      <c r="RH5493" s="106"/>
      <c r="RI5493" s="106"/>
      <c r="RJ5493" s="106"/>
      <c r="RK5493" s="106"/>
      <c r="RL5493" s="106"/>
    </row>
    <row r="5494" spans="462:480" x14ac:dyDescent="0.3">
      <c r="QT5494" s="106"/>
      <c r="QU5494" s="106"/>
      <c r="QV5494" s="106"/>
      <c r="QW5494" s="106"/>
      <c r="QX5494" s="106"/>
      <c r="QY5494" s="106"/>
      <c r="QZ5494" s="106"/>
      <c r="RA5494" s="106"/>
      <c r="RB5494" s="106"/>
      <c r="RC5494" s="106"/>
      <c r="RD5494" s="106"/>
      <c r="RE5494" s="106"/>
      <c r="RF5494" s="106"/>
      <c r="RG5494" s="106"/>
      <c r="RH5494" s="106"/>
      <c r="RI5494" s="106"/>
      <c r="RJ5494" s="106"/>
      <c r="RK5494" s="106"/>
      <c r="RL5494" s="106"/>
    </row>
    <row r="5495" spans="462:480" x14ac:dyDescent="0.3">
      <c r="QT5495" s="106"/>
      <c r="QU5495" s="106"/>
      <c r="QV5495" s="106"/>
      <c r="QW5495" s="106"/>
      <c r="QX5495" s="106"/>
      <c r="QY5495" s="106"/>
      <c r="QZ5495" s="106"/>
      <c r="RA5495" s="106"/>
      <c r="RB5495" s="106"/>
      <c r="RC5495" s="106"/>
      <c r="RD5495" s="106"/>
      <c r="RE5495" s="106"/>
      <c r="RF5495" s="106"/>
      <c r="RG5495" s="106"/>
      <c r="RH5495" s="106"/>
      <c r="RI5495" s="106"/>
      <c r="RJ5495" s="106"/>
      <c r="RK5495" s="106"/>
      <c r="RL5495" s="106"/>
    </row>
    <row r="5496" spans="462:480" x14ac:dyDescent="0.3">
      <c r="QT5496" s="106"/>
      <c r="QU5496" s="106"/>
      <c r="QV5496" s="106"/>
      <c r="QW5496" s="106"/>
      <c r="QX5496" s="106"/>
      <c r="QY5496" s="106"/>
      <c r="QZ5496" s="106"/>
      <c r="RA5496" s="106"/>
      <c r="RB5496" s="106"/>
      <c r="RC5496" s="106"/>
      <c r="RD5496" s="106"/>
      <c r="RE5496" s="106"/>
      <c r="RF5496" s="106"/>
      <c r="RG5496" s="106"/>
      <c r="RH5496" s="106"/>
      <c r="RI5496" s="106"/>
      <c r="RJ5496" s="106"/>
      <c r="RK5496" s="106"/>
      <c r="RL5496" s="106"/>
    </row>
    <row r="5497" spans="462:480" x14ac:dyDescent="0.3">
      <c r="QT5497" s="106"/>
      <c r="QU5497" s="106"/>
      <c r="QV5497" s="106"/>
      <c r="QW5497" s="106"/>
      <c r="QX5497" s="106"/>
      <c r="QY5497" s="106"/>
      <c r="QZ5497" s="106"/>
      <c r="RA5497" s="106"/>
      <c r="RB5497" s="106"/>
      <c r="RC5497" s="106"/>
      <c r="RD5497" s="106"/>
      <c r="RE5497" s="106"/>
      <c r="RF5497" s="106"/>
      <c r="RG5497" s="106"/>
      <c r="RH5497" s="106"/>
      <c r="RI5497" s="106"/>
      <c r="RJ5497" s="106"/>
      <c r="RK5497" s="106"/>
      <c r="RL5497" s="106"/>
    </row>
    <row r="5498" spans="462:480" x14ac:dyDescent="0.3">
      <c r="QT5498" s="106"/>
      <c r="QU5498" s="106"/>
      <c r="QV5498" s="106"/>
      <c r="QW5498" s="106"/>
      <c r="QX5498" s="106"/>
      <c r="QY5498" s="106"/>
      <c r="QZ5498" s="106"/>
      <c r="RA5498" s="106"/>
      <c r="RB5498" s="106"/>
      <c r="RC5498" s="106"/>
      <c r="RD5498" s="106"/>
      <c r="RE5498" s="106"/>
      <c r="RF5498" s="106"/>
      <c r="RG5498" s="106"/>
      <c r="RH5498" s="106"/>
      <c r="RI5498" s="106"/>
      <c r="RJ5498" s="106"/>
      <c r="RK5498" s="106"/>
      <c r="RL5498" s="106"/>
    </row>
    <row r="5499" spans="462:480" x14ac:dyDescent="0.3">
      <c r="QT5499" s="106"/>
      <c r="QU5499" s="106"/>
      <c r="QV5499" s="106"/>
      <c r="QW5499" s="106"/>
      <c r="QX5499" s="106"/>
      <c r="QY5499" s="106"/>
      <c r="QZ5499" s="106"/>
      <c r="RA5499" s="106"/>
      <c r="RB5499" s="106"/>
      <c r="RC5499" s="106"/>
      <c r="RD5499" s="106"/>
      <c r="RE5499" s="106"/>
      <c r="RF5499" s="106"/>
      <c r="RG5499" s="106"/>
      <c r="RH5499" s="106"/>
      <c r="RI5499" s="106"/>
      <c r="RJ5499" s="106"/>
      <c r="RK5499" s="106"/>
      <c r="RL5499" s="106"/>
    </row>
    <row r="5500" spans="462:480" x14ac:dyDescent="0.3">
      <c r="QT5500" s="106"/>
      <c r="QU5500" s="106"/>
      <c r="QV5500" s="106"/>
      <c r="QW5500" s="106"/>
      <c r="QX5500" s="106"/>
      <c r="QY5500" s="106"/>
      <c r="QZ5500" s="106"/>
      <c r="RA5500" s="106"/>
      <c r="RB5500" s="106"/>
      <c r="RC5500" s="106"/>
      <c r="RD5500" s="106"/>
      <c r="RE5500" s="106"/>
      <c r="RF5500" s="106"/>
      <c r="RG5500" s="106"/>
      <c r="RH5500" s="106"/>
      <c r="RI5500" s="106"/>
      <c r="RJ5500" s="106"/>
      <c r="RK5500" s="106"/>
      <c r="RL5500" s="106"/>
    </row>
    <row r="5501" spans="462:480" x14ac:dyDescent="0.3">
      <c r="QT5501" s="106"/>
      <c r="QU5501" s="106"/>
      <c r="QV5501" s="106"/>
      <c r="QW5501" s="106"/>
      <c r="QX5501" s="106"/>
      <c r="QY5501" s="106"/>
      <c r="QZ5501" s="106"/>
      <c r="RA5501" s="106"/>
      <c r="RB5501" s="106"/>
      <c r="RC5501" s="106"/>
      <c r="RD5501" s="106"/>
      <c r="RE5501" s="106"/>
      <c r="RF5501" s="106"/>
      <c r="RG5501" s="106"/>
      <c r="RH5501" s="106"/>
      <c r="RI5501" s="106"/>
      <c r="RJ5501" s="106"/>
      <c r="RK5501" s="106"/>
      <c r="RL5501" s="106"/>
    </row>
    <row r="5502" spans="462:480" x14ac:dyDescent="0.3">
      <c r="QT5502" s="106"/>
      <c r="QU5502" s="106"/>
      <c r="QV5502" s="106"/>
      <c r="QW5502" s="106"/>
      <c r="QX5502" s="106"/>
      <c r="QY5502" s="106"/>
      <c r="QZ5502" s="106"/>
      <c r="RA5502" s="106"/>
      <c r="RB5502" s="106"/>
      <c r="RC5502" s="106"/>
      <c r="RD5502" s="106"/>
      <c r="RE5502" s="106"/>
      <c r="RF5502" s="106"/>
      <c r="RG5502" s="106"/>
      <c r="RH5502" s="106"/>
      <c r="RI5502" s="106"/>
      <c r="RJ5502" s="106"/>
      <c r="RK5502" s="106"/>
      <c r="RL5502" s="106"/>
    </row>
    <row r="5503" spans="462:480" x14ac:dyDescent="0.3">
      <c r="QT5503" s="106"/>
      <c r="QU5503" s="106"/>
      <c r="QV5503" s="106"/>
      <c r="QW5503" s="106"/>
      <c r="QX5503" s="106"/>
      <c r="QY5503" s="106"/>
      <c r="QZ5503" s="106"/>
      <c r="RA5503" s="106"/>
      <c r="RB5503" s="106"/>
      <c r="RC5503" s="106"/>
      <c r="RD5503" s="106"/>
      <c r="RE5503" s="106"/>
      <c r="RF5503" s="106"/>
      <c r="RG5503" s="106"/>
      <c r="RH5503" s="106"/>
      <c r="RI5503" s="106"/>
      <c r="RJ5503" s="106"/>
      <c r="RK5503" s="106"/>
      <c r="RL5503" s="106"/>
    </row>
    <row r="5504" spans="462:480" x14ac:dyDescent="0.3">
      <c r="QT5504" s="106"/>
      <c r="QU5504" s="106"/>
      <c r="QV5504" s="106"/>
      <c r="QW5504" s="106"/>
      <c r="QX5504" s="106"/>
      <c r="QY5504" s="106"/>
      <c r="QZ5504" s="106"/>
      <c r="RA5504" s="106"/>
      <c r="RB5504" s="106"/>
      <c r="RC5504" s="106"/>
      <c r="RD5504" s="106"/>
      <c r="RE5504" s="106"/>
      <c r="RF5504" s="106"/>
      <c r="RG5504" s="106"/>
      <c r="RH5504" s="106"/>
      <c r="RI5504" s="106"/>
      <c r="RJ5504" s="106"/>
      <c r="RK5504" s="106"/>
      <c r="RL5504" s="106"/>
    </row>
    <row r="5505" spans="462:480" x14ac:dyDescent="0.3">
      <c r="QT5505" s="106"/>
      <c r="QU5505" s="106"/>
      <c r="QV5505" s="106"/>
      <c r="QW5505" s="106"/>
      <c r="QX5505" s="106"/>
      <c r="QY5505" s="106"/>
      <c r="QZ5505" s="106"/>
      <c r="RA5505" s="106"/>
      <c r="RB5505" s="106"/>
      <c r="RC5505" s="106"/>
      <c r="RD5505" s="106"/>
      <c r="RE5505" s="106"/>
      <c r="RF5505" s="106"/>
      <c r="RG5505" s="106"/>
      <c r="RH5505" s="106"/>
      <c r="RI5505" s="106"/>
      <c r="RJ5505" s="106"/>
      <c r="RK5505" s="106"/>
      <c r="RL5505" s="106"/>
    </row>
    <row r="5506" spans="462:480" x14ac:dyDescent="0.3">
      <c r="QT5506" s="106"/>
      <c r="QU5506" s="106"/>
      <c r="QV5506" s="106"/>
      <c r="QW5506" s="106"/>
      <c r="QX5506" s="106"/>
      <c r="QY5506" s="106"/>
      <c r="QZ5506" s="106"/>
      <c r="RA5506" s="106"/>
      <c r="RB5506" s="106"/>
      <c r="RC5506" s="106"/>
      <c r="RD5506" s="106"/>
      <c r="RE5506" s="106"/>
      <c r="RF5506" s="106"/>
      <c r="RG5506" s="106"/>
      <c r="RH5506" s="106"/>
      <c r="RI5506" s="106"/>
      <c r="RJ5506" s="106"/>
      <c r="RK5506" s="106"/>
      <c r="RL5506" s="106"/>
    </row>
    <row r="5507" spans="462:480" x14ac:dyDescent="0.3">
      <c r="QT5507" s="106"/>
      <c r="QU5507" s="106"/>
      <c r="QV5507" s="106"/>
      <c r="QW5507" s="106"/>
      <c r="QX5507" s="106"/>
      <c r="QY5507" s="106"/>
      <c r="QZ5507" s="106"/>
      <c r="RA5507" s="106"/>
      <c r="RB5507" s="106"/>
      <c r="RC5507" s="106"/>
      <c r="RD5507" s="106"/>
      <c r="RE5507" s="106"/>
      <c r="RF5507" s="106"/>
      <c r="RG5507" s="106"/>
      <c r="RH5507" s="106"/>
      <c r="RI5507" s="106"/>
      <c r="RJ5507" s="106"/>
      <c r="RK5507" s="106"/>
      <c r="RL5507" s="106"/>
    </row>
    <row r="5508" spans="462:480" x14ac:dyDescent="0.3">
      <c r="QT5508" s="106"/>
      <c r="QU5508" s="106"/>
      <c r="QV5508" s="106"/>
      <c r="QW5508" s="106"/>
      <c r="QX5508" s="106"/>
      <c r="QY5508" s="106"/>
      <c r="QZ5508" s="106"/>
      <c r="RA5508" s="106"/>
      <c r="RB5508" s="106"/>
      <c r="RC5508" s="106"/>
      <c r="RD5508" s="106"/>
      <c r="RE5508" s="106"/>
      <c r="RF5508" s="106"/>
      <c r="RG5508" s="106"/>
      <c r="RH5508" s="106"/>
      <c r="RI5508" s="106"/>
      <c r="RJ5508" s="106"/>
      <c r="RK5508" s="106"/>
      <c r="RL5508" s="106"/>
    </row>
    <row r="5509" spans="462:480" x14ac:dyDescent="0.3">
      <c r="QT5509" s="106"/>
      <c r="QU5509" s="106"/>
      <c r="QV5509" s="106"/>
      <c r="QW5509" s="106"/>
      <c r="QX5509" s="106"/>
      <c r="QY5509" s="106"/>
      <c r="QZ5509" s="106"/>
      <c r="RA5509" s="106"/>
      <c r="RB5509" s="106"/>
      <c r="RC5509" s="106"/>
      <c r="RD5509" s="106"/>
      <c r="RE5509" s="106"/>
      <c r="RF5509" s="106"/>
      <c r="RG5509" s="106"/>
      <c r="RH5509" s="106"/>
      <c r="RI5509" s="106"/>
      <c r="RJ5509" s="106"/>
      <c r="RK5509" s="106"/>
      <c r="RL5509" s="106"/>
    </row>
    <row r="5510" spans="462:480" x14ac:dyDescent="0.3">
      <c r="QT5510" s="106"/>
      <c r="QU5510" s="106"/>
      <c r="QV5510" s="106"/>
      <c r="QW5510" s="106"/>
      <c r="QX5510" s="106"/>
      <c r="QY5510" s="106"/>
      <c r="QZ5510" s="106"/>
      <c r="RA5510" s="106"/>
      <c r="RB5510" s="106"/>
      <c r="RC5510" s="106"/>
      <c r="RD5510" s="106"/>
      <c r="RE5510" s="106"/>
      <c r="RF5510" s="106"/>
      <c r="RG5510" s="106"/>
      <c r="RH5510" s="106"/>
      <c r="RI5510" s="106"/>
      <c r="RJ5510" s="106"/>
      <c r="RK5510" s="106"/>
      <c r="RL5510" s="106"/>
    </row>
    <row r="5511" spans="462:480" x14ac:dyDescent="0.3">
      <c r="QT5511" s="106"/>
      <c r="QU5511" s="106"/>
      <c r="QV5511" s="106"/>
      <c r="QW5511" s="106"/>
      <c r="QX5511" s="106"/>
      <c r="QY5511" s="106"/>
      <c r="QZ5511" s="106"/>
      <c r="RA5511" s="106"/>
      <c r="RB5511" s="106"/>
      <c r="RC5511" s="106"/>
      <c r="RD5511" s="106"/>
      <c r="RE5511" s="106"/>
      <c r="RF5511" s="106"/>
      <c r="RG5511" s="106"/>
      <c r="RH5511" s="106"/>
      <c r="RI5511" s="106"/>
      <c r="RJ5511" s="106"/>
      <c r="RK5511" s="106"/>
      <c r="RL5511" s="106"/>
    </row>
    <row r="5512" spans="462:480" x14ac:dyDescent="0.3">
      <c r="QT5512" s="106"/>
      <c r="QU5512" s="106"/>
      <c r="QV5512" s="106"/>
      <c r="QW5512" s="106"/>
      <c r="QX5512" s="106"/>
      <c r="QY5512" s="106"/>
      <c r="QZ5512" s="106"/>
      <c r="RA5512" s="106"/>
      <c r="RB5512" s="106"/>
      <c r="RC5512" s="106"/>
      <c r="RD5512" s="106"/>
      <c r="RE5512" s="106"/>
      <c r="RF5512" s="106"/>
      <c r="RG5512" s="106"/>
      <c r="RH5512" s="106"/>
      <c r="RI5512" s="106"/>
      <c r="RJ5512" s="106"/>
      <c r="RK5512" s="106"/>
      <c r="RL5512" s="106"/>
    </row>
    <row r="5513" spans="462:480" x14ac:dyDescent="0.3">
      <c r="QT5513" s="106"/>
      <c r="QU5513" s="106"/>
      <c r="QV5513" s="106"/>
      <c r="QW5513" s="106"/>
      <c r="QX5513" s="106"/>
      <c r="QY5513" s="106"/>
      <c r="QZ5513" s="106"/>
      <c r="RA5513" s="106"/>
      <c r="RB5513" s="106"/>
      <c r="RC5513" s="106"/>
      <c r="RD5513" s="106"/>
      <c r="RE5513" s="106"/>
      <c r="RF5513" s="106"/>
      <c r="RG5513" s="106"/>
      <c r="RH5513" s="106"/>
      <c r="RI5513" s="106"/>
      <c r="RJ5513" s="106"/>
      <c r="RK5513" s="106"/>
      <c r="RL5513" s="106"/>
    </row>
    <row r="5514" spans="462:480" x14ac:dyDescent="0.3">
      <c r="QT5514" s="106"/>
      <c r="QU5514" s="106"/>
      <c r="QV5514" s="106"/>
      <c r="QW5514" s="106"/>
      <c r="QX5514" s="106"/>
      <c r="QY5514" s="106"/>
      <c r="QZ5514" s="106"/>
      <c r="RA5514" s="106"/>
      <c r="RB5514" s="106"/>
      <c r="RC5514" s="106"/>
      <c r="RD5514" s="106"/>
      <c r="RE5514" s="106"/>
      <c r="RF5514" s="106"/>
      <c r="RG5514" s="106"/>
      <c r="RH5514" s="106"/>
      <c r="RI5514" s="106"/>
      <c r="RJ5514" s="106"/>
      <c r="RK5514" s="106"/>
      <c r="RL5514" s="106"/>
    </row>
    <row r="5515" spans="462:480" x14ac:dyDescent="0.3">
      <c r="QT5515" s="106"/>
      <c r="QU5515" s="106"/>
      <c r="QV5515" s="106"/>
      <c r="QW5515" s="106"/>
      <c r="QX5515" s="106"/>
      <c r="QY5515" s="106"/>
      <c r="QZ5515" s="106"/>
      <c r="RA5515" s="106"/>
      <c r="RB5515" s="106"/>
      <c r="RC5515" s="106"/>
      <c r="RD5515" s="106"/>
      <c r="RE5515" s="106"/>
      <c r="RF5515" s="106"/>
      <c r="RG5515" s="106"/>
      <c r="RH5515" s="106"/>
      <c r="RI5515" s="106"/>
      <c r="RJ5515" s="106"/>
      <c r="RK5515" s="106"/>
      <c r="RL5515" s="106"/>
    </row>
    <row r="5516" spans="462:480" x14ac:dyDescent="0.3">
      <c r="QT5516" s="106"/>
      <c r="QU5516" s="106"/>
      <c r="QV5516" s="106"/>
      <c r="QW5516" s="106"/>
      <c r="QX5516" s="106"/>
      <c r="QY5516" s="106"/>
      <c r="QZ5516" s="106"/>
      <c r="RA5516" s="106"/>
      <c r="RB5516" s="106"/>
      <c r="RC5516" s="106"/>
      <c r="RD5516" s="106"/>
      <c r="RE5516" s="106"/>
      <c r="RF5516" s="106"/>
      <c r="RG5516" s="106"/>
      <c r="RH5516" s="106"/>
      <c r="RI5516" s="106"/>
      <c r="RJ5516" s="106"/>
      <c r="RK5516" s="106"/>
      <c r="RL5516" s="106"/>
    </row>
    <row r="5517" spans="462:480" x14ac:dyDescent="0.3">
      <c r="QT5517" s="106"/>
      <c r="QU5517" s="106"/>
      <c r="QV5517" s="106"/>
      <c r="QW5517" s="106"/>
      <c r="QX5517" s="106"/>
      <c r="QY5517" s="106"/>
      <c r="QZ5517" s="106"/>
      <c r="RA5517" s="106"/>
      <c r="RB5517" s="106"/>
      <c r="RC5517" s="106"/>
      <c r="RD5517" s="106"/>
      <c r="RE5517" s="106"/>
      <c r="RF5517" s="106"/>
      <c r="RG5517" s="106"/>
      <c r="RH5517" s="106"/>
      <c r="RI5517" s="106"/>
      <c r="RJ5517" s="106"/>
      <c r="RK5517" s="106"/>
      <c r="RL5517" s="106"/>
    </row>
    <row r="5518" spans="462:480" x14ac:dyDescent="0.3">
      <c r="QT5518" s="106"/>
      <c r="QU5518" s="106"/>
      <c r="QV5518" s="106"/>
      <c r="QW5518" s="106"/>
      <c r="QX5518" s="106"/>
      <c r="QY5518" s="106"/>
      <c r="QZ5518" s="106"/>
      <c r="RA5518" s="106"/>
      <c r="RB5518" s="106"/>
      <c r="RC5518" s="106"/>
      <c r="RD5518" s="106"/>
      <c r="RE5518" s="106"/>
      <c r="RF5518" s="106"/>
      <c r="RG5518" s="106"/>
      <c r="RH5518" s="106"/>
      <c r="RI5518" s="106"/>
      <c r="RJ5518" s="106"/>
      <c r="RK5518" s="106"/>
      <c r="RL5518" s="106"/>
    </row>
    <row r="5519" spans="462:480" x14ac:dyDescent="0.3">
      <c r="QT5519" s="106"/>
      <c r="QU5519" s="106"/>
      <c r="QV5519" s="106"/>
      <c r="QW5519" s="106"/>
      <c r="QX5519" s="106"/>
      <c r="QY5519" s="106"/>
      <c r="QZ5519" s="106"/>
      <c r="RA5519" s="106"/>
      <c r="RB5519" s="106"/>
      <c r="RC5519" s="106"/>
      <c r="RD5519" s="106"/>
      <c r="RE5519" s="106"/>
      <c r="RF5519" s="106"/>
      <c r="RG5519" s="106"/>
      <c r="RH5519" s="106"/>
      <c r="RI5519" s="106"/>
      <c r="RJ5519" s="106"/>
      <c r="RK5519" s="106"/>
      <c r="RL5519" s="106"/>
    </row>
    <row r="5520" spans="462:480" x14ac:dyDescent="0.3">
      <c r="QT5520" s="106"/>
      <c r="QU5520" s="106"/>
      <c r="QV5520" s="106"/>
      <c r="QW5520" s="106"/>
      <c r="QX5520" s="106"/>
      <c r="QY5520" s="106"/>
      <c r="QZ5520" s="106"/>
      <c r="RA5520" s="106"/>
      <c r="RB5520" s="106"/>
      <c r="RC5520" s="106"/>
      <c r="RD5520" s="106"/>
      <c r="RE5520" s="106"/>
      <c r="RF5520" s="106"/>
      <c r="RG5520" s="106"/>
      <c r="RH5520" s="106"/>
      <c r="RI5520" s="106"/>
      <c r="RJ5520" s="106"/>
      <c r="RK5520" s="106"/>
      <c r="RL5520" s="106"/>
    </row>
    <row r="5521" spans="462:480" x14ac:dyDescent="0.3">
      <c r="QT5521" s="106"/>
      <c r="QU5521" s="106"/>
      <c r="QV5521" s="106"/>
      <c r="QW5521" s="106"/>
      <c r="QX5521" s="106"/>
      <c r="QY5521" s="106"/>
      <c r="QZ5521" s="106"/>
      <c r="RA5521" s="106"/>
      <c r="RB5521" s="106"/>
      <c r="RC5521" s="106"/>
      <c r="RD5521" s="106"/>
      <c r="RE5521" s="106"/>
      <c r="RF5521" s="106"/>
      <c r="RG5521" s="106"/>
      <c r="RH5521" s="106"/>
      <c r="RI5521" s="106"/>
      <c r="RJ5521" s="106"/>
      <c r="RK5521" s="106"/>
      <c r="RL5521" s="106"/>
    </row>
    <row r="5522" spans="462:480" x14ac:dyDescent="0.3">
      <c r="QT5522" s="106"/>
      <c r="QU5522" s="106"/>
      <c r="QV5522" s="106"/>
      <c r="QW5522" s="106"/>
      <c r="QX5522" s="106"/>
      <c r="QY5522" s="106"/>
      <c r="QZ5522" s="106"/>
      <c r="RA5522" s="106"/>
      <c r="RB5522" s="106"/>
      <c r="RC5522" s="106"/>
      <c r="RD5522" s="106"/>
      <c r="RE5522" s="106"/>
      <c r="RF5522" s="106"/>
      <c r="RG5522" s="106"/>
      <c r="RH5522" s="106"/>
      <c r="RI5522" s="106"/>
      <c r="RJ5522" s="106"/>
      <c r="RK5522" s="106"/>
      <c r="RL5522" s="106"/>
    </row>
    <row r="5523" spans="462:480" x14ac:dyDescent="0.3">
      <c r="QT5523" s="106"/>
      <c r="QU5523" s="106"/>
      <c r="QV5523" s="106"/>
      <c r="QW5523" s="106"/>
      <c r="QX5523" s="106"/>
      <c r="QY5523" s="106"/>
      <c r="QZ5523" s="106"/>
      <c r="RA5523" s="106"/>
      <c r="RB5523" s="106"/>
      <c r="RC5523" s="106"/>
      <c r="RD5523" s="106"/>
      <c r="RE5523" s="106"/>
      <c r="RF5523" s="106"/>
      <c r="RG5523" s="106"/>
      <c r="RH5523" s="106"/>
      <c r="RI5523" s="106"/>
      <c r="RJ5523" s="106"/>
      <c r="RK5523" s="106"/>
      <c r="RL5523" s="106"/>
    </row>
    <row r="5524" spans="462:480" x14ac:dyDescent="0.3">
      <c r="QT5524" s="106"/>
      <c r="QU5524" s="106"/>
      <c r="QV5524" s="106"/>
      <c r="QW5524" s="106"/>
      <c r="QX5524" s="106"/>
      <c r="QY5524" s="106"/>
      <c r="QZ5524" s="106"/>
      <c r="RA5524" s="106"/>
      <c r="RB5524" s="106"/>
      <c r="RC5524" s="106"/>
      <c r="RD5524" s="106"/>
      <c r="RE5524" s="106"/>
      <c r="RF5524" s="106"/>
      <c r="RG5524" s="106"/>
      <c r="RH5524" s="106"/>
      <c r="RI5524" s="106"/>
      <c r="RJ5524" s="106"/>
      <c r="RK5524" s="106"/>
      <c r="RL5524" s="106"/>
    </row>
    <row r="5525" spans="462:480" x14ac:dyDescent="0.3">
      <c r="QT5525" s="106"/>
      <c r="QU5525" s="106"/>
      <c r="QV5525" s="106"/>
      <c r="QW5525" s="106"/>
      <c r="QX5525" s="106"/>
      <c r="QY5525" s="106"/>
      <c r="QZ5525" s="106"/>
      <c r="RA5525" s="106"/>
      <c r="RB5525" s="106"/>
      <c r="RC5525" s="106"/>
      <c r="RD5525" s="106"/>
      <c r="RE5525" s="106"/>
      <c r="RF5525" s="106"/>
      <c r="RG5525" s="106"/>
      <c r="RH5525" s="106"/>
      <c r="RI5525" s="106"/>
      <c r="RJ5525" s="106"/>
      <c r="RK5525" s="106"/>
      <c r="RL5525" s="106"/>
    </row>
    <row r="5526" spans="462:480" x14ac:dyDescent="0.3">
      <c r="QT5526" s="106"/>
      <c r="QU5526" s="106"/>
      <c r="QV5526" s="106"/>
      <c r="QW5526" s="106"/>
      <c r="QX5526" s="106"/>
      <c r="QY5526" s="106"/>
      <c r="QZ5526" s="106"/>
      <c r="RA5526" s="106"/>
      <c r="RB5526" s="106"/>
      <c r="RC5526" s="106"/>
      <c r="RD5526" s="106"/>
      <c r="RE5526" s="106"/>
      <c r="RF5526" s="106"/>
      <c r="RG5526" s="106"/>
      <c r="RH5526" s="106"/>
      <c r="RI5526" s="106"/>
      <c r="RJ5526" s="106"/>
      <c r="RK5526" s="106"/>
      <c r="RL5526" s="106"/>
    </row>
    <row r="5527" spans="462:480" x14ac:dyDescent="0.3">
      <c r="QT5527" s="106"/>
      <c r="QU5527" s="106"/>
      <c r="QV5527" s="106"/>
      <c r="QW5527" s="106"/>
      <c r="QX5527" s="106"/>
      <c r="QY5527" s="106"/>
      <c r="QZ5527" s="106"/>
      <c r="RA5527" s="106"/>
      <c r="RB5527" s="106"/>
      <c r="RC5527" s="106"/>
      <c r="RD5527" s="106"/>
      <c r="RE5527" s="106"/>
      <c r="RF5527" s="106"/>
      <c r="RG5527" s="106"/>
      <c r="RH5527" s="106"/>
      <c r="RI5527" s="106"/>
      <c r="RJ5527" s="106"/>
      <c r="RK5527" s="106"/>
      <c r="RL5527" s="106"/>
    </row>
    <row r="5528" spans="462:480" x14ac:dyDescent="0.3">
      <c r="QT5528" s="106"/>
      <c r="QU5528" s="106"/>
      <c r="QV5528" s="106"/>
      <c r="QW5528" s="106"/>
      <c r="QX5528" s="106"/>
      <c r="QY5528" s="106"/>
      <c r="QZ5528" s="106"/>
      <c r="RA5528" s="106"/>
      <c r="RB5528" s="106"/>
      <c r="RC5528" s="106"/>
      <c r="RD5528" s="106"/>
      <c r="RE5528" s="106"/>
      <c r="RF5528" s="106"/>
      <c r="RG5528" s="106"/>
      <c r="RH5528" s="106"/>
      <c r="RI5528" s="106"/>
      <c r="RJ5528" s="106"/>
      <c r="RK5528" s="106"/>
      <c r="RL5528" s="106"/>
    </row>
    <row r="5529" spans="462:480" x14ac:dyDescent="0.3">
      <c r="QT5529" s="106"/>
      <c r="QU5529" s="106"/>
      <c r="QV5529" s="106"/>
      <c r="QW5529" s="106"/>
      <c r="QX5529" s="106"/>
      <c r="QY5529" s="106"/>
      <c r="QZ5529" s="106"/>
      <c r="RA5529" s="106"/>
      <c r="RB5529" s="106"/>
      <c r="RC5529" s="106"/>
      <c r="RD5529" s="106"/>
      <c r="RE5529" s="106"/>
      <c r="RF5529" s="106"/>
      <c r="RG5529" s="106"/>
      <c r="RH5529" s="106"/>
      <c r="RI5529" s="106"/>
      <c r="RJ5529" s="106"/>
      <c r="RK5529" s="106"/>
      <c r="RL5529" s="106"/>
    </row>
    <row r="5530" spans="462:480" x14ac:dyDescent="0.3">
      <c r="QT5530" s="106"/>
      <c r="QU5530" s="106"/>
      <c r="QV5530" s="106"/>
      <c r="QW5530" s="106"/>
      <c r="QX5530" s="106"/>
      <c r="QY5530" s="106"/>
      <c r="QZ5530" s="106"/>
      <c r="RA5530" s="106"/>
      <c r="RB5530" s="106"/>
      <c r="RC5530" s="106"/>
      <c r="RD5530" s="106"/>
      <c r="RE5530" s="106"/>
      <c r="RF5530" s="106"/>
      <c r="RG5530" s="106"/>
      <c r="RH5530" s="106"/>
      <c r="RI5530" s="106"/>
      <c r="RJ5530" s="106"/>
      <c r="RK5530" s="106"/>
      <c r="RL5530" s="106"/>
    </row>
    <row r="5531" spans="462:480" x14ac:dyDescent="0.3">
      <c r="QT5531" s="106"/>
      <c r="QU5531" s="106"/>
      <c r="QV5531" s="106"/>
      <c r="QW5531" s="106"/>
      <c r="QX5531" s="106"/>
      <c r="QY5531" s="106"/>
      <c r="QZ5531" s="106"/>
      <c r="RA5531" s="106"/>
      <c r="RB5531" s="106"/>
      <c r="RC5531" s="106"/>
      <c r="RD5531" s="106"/>
      <c r="RE5531" s="106"/>
      <c r="RF5531" s="106"/>
      <c r="RG5531" s="106"/>
      <c r="RH5531" s="106"/>
      <c r="RI5531" s="106"/>
      <c r="RJ5531" s="106"/>
      <c r="RK5531" s="106"/>
      <c r="RL5531" s="106"/>
    </row>
    <row r="5532" spans="462:480" x14ac:dyDescent="0.3">
      <c r="QT5532" s="106"/>
      <c r="QU5532" s="106"/>
      <c r="QV5532" s="106"/>
      <c r="QW5532" s="106"/>
      <c r="QX5532" s="106"/>
      <c r="QY5532" s="106"/>
      <c r="QZ5532" s="106"/>
      <c r="RA5532" s="106"/>
      <c r="RB5532" s="106"/>
      <c r="RC5532" s="106"/>
      <c r="RD5532" s="106"/>
      <c r="RE5532" s="106"/>
      <c r="RF5532" s="106"/>
      <c r="RG5532" s="106"/>
      <c r="RH5532" s="106"/>
      <c r="RI5532" s="106"/>
      <c r="RJ5532" s="106"/>
      <c r="RK5532" s="106"/>
      <c r="RL5532" s="106"/>
    </row>
    <row r="5533" spans="462:480" x14ac:dyDescent="0.3">
      <c r="QT5533" s="106"/>
      <c r="QU5533" s="106"/>
      <c r="QV5533" s="106"/>
      <c r="QW5533" s="106"/>
      <c r="QX5533" s="106"/>
      <c r="QY5533" s="106"/>
      <c r="QZ5533" s="106"/>
      <c r="RA5533" s="106"/>
      <c r="RB5533" s="106"/>
      <c r="RC5533" s="106"/>
      <c r="RD5533" s="106"/>
      <c r="RE5533" s="106"/>
      <c r="RF5533" s="106"/>
      <c r="RG5533" s="106"/>
      <c r="RH5533" s="106"/>
      <c r="RI5533" s="106"/>
      <c r="RJ5533" s="106"/>
      <c r="RK5533" s="106"/>
      <c r="RL5533" s="106"/>
    </row>
    <row r="5534" spans="462:480" x14ac:dyDescent="0.3">
      <c r="QT5534" s="106"/>
      <c r="QU5534" s="106"/>
      <c r="QV5534" s="106"/>
      <c r="QW5534" s="106"/>
      <c r="QX5534" s="106"/>
      <c r="QY5534" s="106"/>
      <c r="QZ5534" s="106"/>
      <c r="RA5534" s="106"/>
      <c r="RB5534" s="106"/>
      <c r="RC5534" s="106"/>
      <c r="RD5534" s="106"/>
      <c r="RE5534" s="106"/>
      <c r="RF5534" s="106"/>
      <c r="RG5534" s="106"/>
      <c r="RH5534" s="106"/>
      <c r="RI5534" s="106"/>
      <c r="RJ5534" s="106"/>
      <c r="RK5534" s="106"/>
      <c r="RL5534" s="106"/>
    </row>
    <row r="5535" spans="462:480" x14ac:dyDescent="0.3">
      <c r="QT5535" s="106"/>
      <c r="QU5535" s="106"/>
      <c r="QV5535" s="106"/>
      <c r="QW5535" s="106"/>
      <c r="QX5535" s="106"/>
      <c r="QY5535" s="106"/>
      <c r="QZ5535" s="106"/>
      <c r="RA5535" s="106"/>
      <c r="RB5535" s="106"/>
      <c r="RC5535" s="106"/>
      <c r="RD5535" s="106"/>
      <c r="RE5535" s="106"/>
      <c r="RF5535" s="106"/>
      <c r="RG5535" s="106"/>
      <c r="RH5535" s="106"/>
      <c r="RI5535" s="106"/>
      <c r="RJ5535" s="106"/>
      <c r="RK5535" s="106"/>
      <c r="RL5535" s="106"/>
    </row>
    <row r="5536" spans="462:480" x14ac:dyDescent="0.3">
      <c r="QT5536" s="106"/>
      <c r="QU5536" s="106"/>
      <c r="QV5536" s="106"/>
      <c r="QW5536" s="106"/>
      <c r="QX5536" s="106"/>
      <c r="QY5536" s="106"/>
      <c r="QZ5536" s="106"/>
      <c r="RA5536" s="106"/>
      <c r="RB5536" s="106"/>
      <c r="RC5536" s="106"/>
      <c r="RD5536" s="106"/>
      <c r="RE5536" s="106"/>
      <c r="RF5536" s="106"/>
      <c r="RG5536" s="106"/>
      <c r="RH5536" s="106"/>
      <c r="RI5536" s="106"/>
      <c r="RJ5536" s="106"/>
      <c r="RK5536" s="106"/>
      <c r="RL5536" s="106"/>
    </row>
    <row r="5537" spans="462:480" x14ac:dyDescent="0.3">
      <c r="QT5537" s="106"/>
      <c r="QU5537" s="106"/>
      <c r="QV5537" s="106"/>
      <c r="QW5537" s="106"/>
      <c r="QX5537" s="106"/>
      <c r="QY5537" s="106"/>
      <c r="QZ5537" s="106"/>
      <c r="RA5537" s="106"/>
      <c r="RB5537" s="106"/>
      <c r="RC5537" s="106"/>
      <c r="RD5537" s="106"/>
      <c r="RE5537" s="106"/>
      <c r="RF5537" s="106"/>
      <c r="RG5537" s="106"/>
      <c r="RH5537" s="106"/>
      <c r="RI5537" s="106"/>
      <c r="RJ5537" s="106"/>
      <c r="RK5537" s="106"/>
      <c r="RL5537" s="106"/>
    </row>
    <row r="5538" spans="462:480" x14ac:dyDescent="0.3">
      <c r="QT5538" s="106"/>
      <c r="QU5538" s="106"/>
      <c r="QV5538" s="106"/>
      <c r="QW5538" s="106"/>
      <c r="QX5538" s="106"/>
      <c r="QY5538" s="106"/>
      <c r="QZ5538" s="106"/>
      <c r="RA5538" s="106"/>
      <c r="RB5538" s="106"/>
      <c r="RC5538" s="106"/>
      <c r="RD5538" s="106"/>
      <c r="RE5538" s="106"/>
      <c r="RF5538" s="106"/>
      <c r="RG5538" s="106"/>
      <c r="RH5538" s="106"/>
      <c r="RI5538" s="106"/>
      <c r="RJ5538" s="106"/>
      <c r="RK5538" s="106"/>
      <c r="RL5538" s="106"/>
    </row>
    <row r="5539" spans="462:480" x14ac:dyDescent="0.3">
      <c r="QT5539" s="106"/>
      <c r="QU5539" s="106"/>
      <c r="QV5539" s="106"/>
      <c r="QW5539" s="106"/>
      <c r="QX5539" s="106"/>
      <c r="QY5539" s="106"/>
      <c r="QZ5539" s="106"/>
      <c r="RA5539" s="106"/>
      <c r="RB5539" s="106"/>
      <c r="RC5539" s="106"/>
      <c r="RD5539" s="106"/>
      <c r="RE5539" s="106"/>
      <c r="RF5539" s="106"/>
      <c r="RG5539" s="106"/>
      <c r="RH5539" s="106"/>
      <c r="RI5539" s="106"/>
      <c r="RJ5539" s="106"/>
      <c r="RK5539" s="106"/>
      <c r="RL5539" s="106"/>
    </row>
    <row r="5540" spans="462:480" x14ac:dyDescent="0.3">
      <c r="QT5540" s="106"/>
      <c r="QU5540" s="106"/>
      <c r="QV5540" s="106"/>
      <c r="QW5540" s="106"/>
      <c r="QX5540" s="106"/>
      <c r="QY5540" s="106"/>
      <c r="QZ5540" s="106"/>
      <c r="RA5540" s="106"/>
      <c r="RB5540" s="106"/>
      <c r="RC5540" s="106"/>
      <c r="RD5540" s="106"/>
      <c r="RE5540" s="106"/>
      <c r="RF5540" s="106"/>
      <c r="RG5540" s="106"/>
      <c r="RH5540" s="106"/>
      <c r="RI5540" s="106"/>
      <c r="RJ5540" s="106"/>
      <c r="RK5540" s="106"/>
      <c r="RL5540" s="106"/>
    </row>
    <row r="5541" spans="462:480" x14ac:dyDescent="0.3">
      <c r="QT5541" s="106"/>
      <c r="QU5541" s="106"/>
      <c r="QV5541" s="106"/>
      <c r="QW5541" s="106"/>
      <c r="QX5541" s="106"/>
      <c r="QY5541" s="106"/>
      <c r="QZ5541" s="106"/>
      <c r="RA5541" s="106"/>
      <c r="RB5541" s="106"/>
      <c r="RC5541" s="106"/>
      <c r="RD5541" s="106"/>
      <c r="RE5541" s="106"/>
      <c r="RF5541" s="106"/>
      <c r="RG5541" s="106"/>
      <c r="RH5541" s="106"/>
      <c r="RI5541" s="106"/>
      <c r="RJ5541" s="106"/>
      <c r="RK5541" s="106"/>
      <c r="RL5541" s="106"/>
    </row>
    <row r="5542" spans="462:480" x14ac:dyDescent="0.3">
      <c r="QT5542" s="106"/>
      <c r="QU5542" s="106"/>
      <c r="QV5542" s="106"/>
      <c r="QW5542" s="106"/>
      <c r="QX5542" s="106"/>
      <c r="QY5542" s="106"/>
      <c r="QZ5542" s="106"/>
      <c r="RA5542" s="106"/>
      <c r="RB5542" s="106"/>
      <c r="RC5542" s="106"/>
      <c r="RD5542" s="106"/>
      <c r="RE5542" s="106"/>
      <c r="RF5542" s="106"/>
      <c r="RG5542" s="106"/>
      <c r="RH5542" s="106"/>
      <c r="RI5542" s="106"/>
      <c r="RJ5542" s="106"/>
      <c r="RK5542" s="106"/>
      <c r="RL5542" s="106"/>
    </row>
    <row r="5543" spans="462:480" x14ac:dyDescent="0.3">
      <c r="QT5543" s="106"/>
      <c r="QU5543" s="106"/>
      <c r="QV5543" s="106"/>
      <c r="QW5543" s="106"/>
      <c r="QX5543" s="106"/>
      <c r="QY5543" s="106"/>
      <c r="QZ5543" s="106"/>
      <c r="RA5543" s="106"/>
      <c r="RB5543" s="106"/>
      <c r="RC5543" s="106"/>
      <c r="RD5543" s="106"/>
      <c r="RE5543" s="106"/>
      <c r="RF5543" s="106"/>
      <c r="RG5543" s="106"/>
      <c r="RH5543" s="106"/>
      <c r="RI5543" s="106"/>
      <c r="RJ5543" s="106"/>
      <c r="RK5543" s="106"/>
      <c r="RL5543" s="106"/>
    </row>
    <row r="5544" spans="462:480" x14ac:dyDescent="0.3">
      <c r="QT5544" s="106"/>
      <c r="QU5544" s="106"/>
      <c r="QV5544" s="106"/>
      <c r="QW5544" s="106"/>
      <c r="QX5544" s="106"/>
      <c r="QY5544" s="106"/>
      <c r="QZ5544" s="106"/>
      <c r="RA5544" s="106"/>
      <c r="RB5544" s="106"/>
      <c r="RC5544" s="106"/>
      <c r="RD5544" s="106"/>
      <c r="RE5544" s="106"/>
      <c r="RF5544" s="106"/>
      <c r="RG5544" s="106"/>
      <c r="RH5544" s="106"/>
      <c r="RI5544" s="106"/>
      <c r="RJ5544" s="106"/>
      <c r="RK5544" s="106"/>
      <c r="RL5544" s="106"/>
    </row>
    <row r="5545" spans="462:480" x14ac:dyDescent="0.3">
      <c r="QT5545" s="106"/>
      <c r="QU5545" s="106"/>
      <c r="QV5545" s="106"/>
      <c r="QW5545" s="106"/>
      <c r="QX5545" s="106"/>
      <c r="QY5545" s="106"/>
      <c r="QZ5545" s="106"/>
      <c r="RA5545" s="106"/>
      <c r="RB5545" s="106"/>
      <c r="RC5545" s="106"/>
      <c r="RD5545" s="106"/>
      <c r="RE5545" s="106"/>
      <c r="RF5545" s="106"/>
      <c r="RG5545" s="106"/>
      <c r="RH5545" s="106"/>
      <c r="RI5545" s="106"/>
      <c r="RJ5545" s="106"/>
      <c r="RK5545" s="106"/>
      <c r="RL5545" s="106"/>
    </row>
    <row r="5546" spans="462:480" x14ac:dyDescent="0.3">
      <c r="QT5546" s="106"/>
      <c r="QU5546" s="106"/>
      <c r="QV5546" s="106"/>
      <c r="QW5546" s="106"/>
      <c r="QX5546" s="106"/>
      <c r="QY5546" s="106"/>
      <c r="QZ5546" s="106"/>
      <c r="RA5546" s="106"/>
      <c r="RB5546" s="106"/>
      <c r="RC5546" s="106"/>
      <c r="RD5546" s="106"/>
      <c r="RE5546" s="106"/>
      <c r="RF5546" s="106"/>
      <c r="RG5546" s="106"/>
      <c r="RH5546" s="106"/>
      <c r="RI5546" s="106"/>
      <c r="RJ5546" s="106"/>
      <c r="RK5546" s="106"/>
      <c r="RL5546" s="106"/>
    </row>
    <row r="5547" spans="462:480" x14ac:dyDescent="0.3">
      <c r="QT5547" s="106"/>
      <c r="QU5547" s="106"/>
      <c r="QV5547" s="106"/>
      <c r="QW5547" s="106"/>
      <c r="QX5547" s="106"/>
      <c r="QY5547" s="106"/>
      <c r="QZ5547" s="106"/>
      <c r="RA5547" s="106"/>
      <c r="RB5547" s="106"/>
      <c r="RC5547" s="106"/>
      <c r="RD5547" s="106"/>
      <c r="RE5547" s="106"/>
      <c r="RF5547" s="106"/>
      <c r="RG5547" s="106"/>
      <c r="RH5547" s="106"/>
      <c r="RI5547" s="106"/>
      <c r="RJ5547" s="106"/>
      <c r="RK5547" s="106"/>
      <c r="RL5547" s="106"/>
    </row>
    <row r="5548" spans="462:480" x14ac:dyDescent="0.3">
      <c r="QT5548" s="106"/>
      <c r="QU5548" s="106"/>
      <c r="QV5548" s="106"/>
      <c r="QW5548" s="106"/>
      <c r="QX5548" s="106"/>
      <c r="QY5548" s="106"/>
      <c r="QZ5548" s="106"/>
      <c r="RA5548" s="106"/>
      <c r="RB5548" s="106"/>
      <c r="RC5548" s="106"/>
      <c r="RD5548" s="106"/>
      <c r="RE5548" s="106"/>
      <c r="RF5548" s="106"/>
      <c r="RG5548" s="106"/>
      <c r="RH5548" s="106"/>
      <c r="RI5548" s="106"/>
      <c r="RJ5548" s="106"/>
      <c r="RK5548" s="106"/>
      <c r="RL5548" s="106"/>
    </row>
    <row r="5549" spans="462:480" x14ac:dyDescent="0.3">
      <c r="QT5549" s="106"/>
      <c r="QU5549" s="106"/>
      <c r="QV5549" s="106"/>
      <c r="QW5549" s="106"/>
      <c r="QX5549" s="106"/>
      <c r="QY5549" s="106"/>
      <c r="QZ5549" s="106"/>
      <c r="RA5549" s="106"/>
      <c r="RB5549" s="106"/>
      <c r="RC5549" s="106"/>
      <c r="RD5549" s="106"/>
      <c r="RE5549" s="106"/>
      <c r="RF5549" s="106"/>
      <c r="RG5549" s="106"/>
      <c r="RH5549" s="106"/>
      <c r="RI5549" s="106"/>
      <c r="RJ5549" s="106"/>
      <c r="RK5549" s="106"/>
      <c r="RL5549" s="106"/>
    </row>
    <row r="5550" spans="462:480" x14ac:dyDescent="0.3">
      <c r="QT5550" s="106"/>
      <c r="QU5550" s="106"/>
      <c r="QV5550" s="106"/>
      <c r="QW5550" s="106"/>
      <c r="QX5550" s="106"/>
      <c r="QY5550" s="106"/>
      <c r="QZ5550" s="106"/>
      <c r="RA5550" s="106"/>
      <c r="RB5550" s="106"/>
      <c r="RC5550" s="106"/>
      <c r="RD5550" s="106"/>
      <c r="RE5550" s="106"/>
      <c r="RF5550" s="106"/>
      <c r="RG5550" s="106"/>
      <c r="RH5550" s="106"/>
      <c r="RI5550" s="106"/>
      <c r="RJ5550" s="106"/>
      <c r="RK5550" s="106"/>
      <c r="RL5550" s="106"/>
    </row>
    <row r="5551" spans="462:480" x14ac:dyDescent="0.3">
      <c r="QT5551" s="106"/>
      <c r="QU5551" s="106"/>
      <c r="QV5551" s="106"/>
      <c r="QW5551" s="106"/>
      <c r="QX5551" s="106"/>
      <c r="QY5551" s="106"/>
      <c r="QZ5551" s="106"/>
      <c r="RA5551" s="106"/>
      <c r="RB5551" s="106"/>
      <c r="RC5551" s="106"/>
      <c r="RD5551" s="106"/>
      <c r="RE5551" s="106"/>
      <c r="RF5551" s="106"/>
      <c r="RG5551" s="106"/>
      <c r="RH5551" s="106"/>
      <c r="RI5551" s="106"/>
      <c r="RJ5551" s="106"/>
      <c r="RK5551" s="106"/>
      <c r="RL5551" s="106"/>
    </row>
    <row r="5552" spans="462:480" x14ac:dyDescent="0.3">
      <c r="QT5552" s="106"/>
      <c r="QU5552" s="106"/>
      <c r="QV5552" s="106"/>
      <c r="QW5552" s="106"/>
      <c r="QX5552" s="106"/>
      <c r="QY5552" s="106"/>
      <c r="QZ5552" s="106"/>
      <c r="RA5552" s="106"/>
      <c r="RB5552" s="106"/>
      <c r="RC5552" s="106"/>
      <c r="RD5552" s="106"/>
      <c r="RE5552" s="106"/>
      <c r="RF5552" s="106"/>
      <c r="RG5552" s="106"/>
      <c r="RH5552" s="106"/>
      <c r="RI5552" s="106"/>
      <c r="RJ5552" s="106"/>
      <c r="RK5552" s="106"/>
      <c r="RL5552" s="106"/>
    </row>
    <row r="5553" spans="462:480" x14ac:dyDescent="0.3">
      <c r="QT5553" s="106"/>
      <c r="QU5553" s="106"/>
      <c r="QV5553" s="106"/>
      <c r="QW5553" s="106"/>
      <c r="QX5553" s="106"/>
      <c r="QY5553" s="106"/>
      <c r="QZ5553" s="106"/>
      <c r="RA5553" s="106"/>
      <c r="RB5553" s="106"/>
      <c r="RC5553" s="106"/>
      <c r="RD5553" s="106"/>
      <c r="RE5553" s="106"/>
      <c r="RF5553" s="106"/>
      <c r="RG5553" s="106"/>
      <c r="RH5553" s="106"/>
      <c r="RI5553" s="106"/>
      <c r="RJ5553" s="106"/>
      <c r="RK5553" s="106"/>
      <c r="RL5553" s="106"/>
    </row>
    <row r="5554" spans="462:480" x14ac:dyDescent="0.3">
      <c r="QT5554" s="106"/>
      <c r="QU5554" s="106"/>
      <c r="QV5554" s="106"/>
      <c r="QW5554" s="106"/>
      <c r="QX5554" s="106"/>
      <c r="QY5554" s="106"/>
      <c r="QZ5554" s="106"/>
      <c r="RA5554" s="106"/>
      <c r="RB5554" s="106"/>
      <c r="RC5554" s="106"/>
      <c r="RD5554" s="106"/>
      <c r="RE5554" s="106"/>
      <c r="RF5554" s="106"/>
      <c r="RG5554" s="106"/>
      <c r="RH5554" s="106"/>
      <c r="RI5554" s="106"/>
      <c r="RJ5554" s="106"/>
      <c r="RK5554" s="106"/>
      <c r="RL5554" s="106"/>
    </row>
    <row r="5555" spans="462:480" x14ac:dyDescent="0.3">
      <c r="QT5555" s="106"/>
      <c r="QU5555" s="106"/>
      <c r="QV5555" s="106"/>
      <c r="QW5555" s="106"/>
      <c r="QX5555" s="106"/>
      <c r="QY5555" s="106"/>
      <c r="QZ5555" s="106"/>
      <c r="RA5555" s="106"/>
      <c r="RB5555" s="106"/>
      <c r="RC5555" s="106"/>
      <c r="RD5555" s="106"/>
      <c r="RE5555" s="106"/>
      <c r="RF5555" s="106"/>
      <c r="RG5555" s="106"/>
      <c r="RH5555" s="106"/>
      <c r="RI5555" s="106"/>
      <c r="RJ5555" s="106"/>
      <c r="RK5555" s="106"/>
      <c r="RL5555" s="106"/>
    </row>
    <row r="5556" spans="462:480" x14ac:dyDescent="0.3">
      <c r="QT5556" s="106"/>
      <c r="QU5556" s="106"/>
      <c r="QV5556" s="106"/>
      <c r="QW5556" s="106"/>
      <c r="QX5556" s="106"/>
      <c r="QY5556" s="106"/>
      <c r="QZ5556" s="106"/>
      <c r="RA5556" s="106"/>
      <c r="RB5556" s="106"/>
      <c r="RC5556" s="106"/>
      <c r="RD5556" s="106"/>
      <c r="RE5556" s="106"/>
      <c r="RF5556" s="106"/>
      <c r="RG5556" s="106"/>
      <c r="RH5556" s="106"/>
      <c r="RI5556" s="106"/>
      <c r="RJ5556" s="106"/>
      <c r="RK5556" s="106"/>
      <c r="RL5556" s="106"/>
    </row>
    <row r="5557" spans="462:480" x14ac:dyDescent="0.3">
      <c r="QT5557" s="106"/>
      <c r="QU5557" s="106"/>
      <c r="QV5557" s="106"/>
      <c r="QW5557" s="106"/>
      <c r="QX5557" s="106"/>
      <c r="QY5557" s="106"/>
      <c r="QZ5557" s="106"/>
      <c r="RA5557" s="106"/>
      <c r="RB5557" s="106"/>
      <c r="RC5557" s="106"/>
      <c r="RD5557" s="106"/>
      <c r="RE5557" s="106"/>
      <c r="RF5557" s="106"/>
      <c r="RG5557" s="106"/>
      <c r="RH5557" s="106"/>
      <c r="RI5557" s="106"/>
      <c r="RJ5557" s="106"/>
      <c r="RK5557" s="106"/>
      <c r="RL5557" s="106"/>
    </row>
    <row r="5558" spans="462:480" x14ac:dyDescent="0.3">
      <c r="QT5558" s="106"/>
      <c r="QU5558" s="106"/>
      <c r="QV5558" s="106"/>
      <c r="QW5558" s="106"/>
      <c r="QX5558" s="106"/>
      <c r="QY5558" s="106"/>
      <c r="QZ5558" s="106"/>
      <c r="RA5558" s="106"/>
      <c r="RB5558" s="106"/>
      <c r="RC5558" s="106"/>
      <c r="RD5558" s="106"/>
      <c r="RE5558" s="106"/>
      <c r="RF5558" s="106"/>
      <c r="RG5558" s="106"/>
      <c r="RH5558" s="106"/>
      <c r="RI5558" s="106"/>
      <c r="RJ5558" s="106"/>
      <c r="RK5558" s="106"/>
      <c r="RL5558" s="106"/>
    </row>
    <row r="5559" spans="462:480" x14ac:dyDescent="0.3">
      <c r="QT5559" s="106"/>
      <c r="QU5559" s="106"/>
      <c r="QV5559" s="106"/>
      <c r="QW5559" s="106"/>
      <c r="QX5559" s="106"/>
      <c r="QY5559" s="106"/>
      <c r="QZ5559" s="106"/>
      <c r="RA5559" s="106"/>
      <c r="RB5559" s="106"/>
      <c r="RC5559" s="106"/>
      <c r="RD5559" s="106"/>
      <c r="RE5559" s="106"/>
      <c r="RF5559" s="106"/>
      <c r="RG5559" s="106"/>
      <c r="RH5559" s="106"/>
      <c r="RI5559" s="106"/>
      <c r="RJ5559" s="106"/>
      <c r="RK5559" s="106"/>
      <c r="RL5559" s="106"/>
    </row>
    <row r="5560" spans="462:480" x14ac:dyDescent="0.3">
      <c r="QT5560" s="106"/>
      <c r="QU5560" s="106"/>
      <c r="QV5560" s="106"/>
      <c r="QW5560" s="106"/>
      <c r="QX5560" s="106"/>
      <c r="QY5560" s="106"/>
      <c r="QZ5560" s="106"/>
      <c r="RA5560" s="106"/>
      <c r="RB5560" s="106"/>
      <c r="RC5560" s="106"/>
      <c r="RD5560" s="106"/>
      <c r="RE5560" s="106"/>
      <c r="RF5560" s="106"/>
      <c r="RG5560" s="106"/>
      <c r="RH5560" s="106"/>
      <c r="RI5560" s="106"/>
      <c r="RJ5560" s="106"/>
      <c r="RK5560" s="106"/>
      <c r="RL5560" s="106"/>
    </row>
    <row r="5561" spans="462:480" x14ac:dyDescent="0.3">
      <c r="QT5561" s="106"/>
      <c r="QU5561" s="106"/>
      <c r="QV5561" s="106"/>
      <c r="QW5561" s="106"/>
      <c r="QX5561" s="106"/>
      <c r="QY5561" s="106"/>
      <c r="QZ5561" s="106"/>
      <c r="RA5561" s="106"/>
      <c r="RB5561" s="106"/>
      <c r="RC5561" s="106"/>
      <c r="RD5561" s="106"/>
      <c r="RE5561" s="106"/>
      <c r="RF5561" s="106"/>
      <c r="RG5561" s="106"/>
      <c r="RH5561" s="106"/>
      <c r="RI5561" s="106"/>
      <c r="RJ5561" s="106"/>
      <c r="RK5561" s="106"/>
      <c r="RL5561" s="106"/>
    </row>
    <row r="5562" spans="462:480" x14ac:dyDescent="0.3">
      <c r="QT5562" s="106"/>
      <c r="QU5562" s="106"/>
      <c r="QV5562" s="106"/>
      <c r="QW5562" s="106"/>
      <c r="QX5562" s="106"/>
      <c r="QY5562" s="106"/>
      <c r="QZ5562" s="106"/>
      <c r="RA5562" s="106"/>
      <c r="RB5562" s="106"/>
      <c r="RC5562" s="106"/>
      <c r="RD5562" s="106"/>
      <c r="RE5562" s="106"/>
      <c r="RF5562" s="106"/>
      <c r="RG5562" s="106"/>
      <c r="RH5562" s="106"/>
      <c r="RI5562" s="106"/>
      <c r="RJ5562" s="106"/>
      <c r="RK5562" s="106"/>
      <c r="RL5562" s="106"/>
    </row>
    <row r="5563" spans="462:480" x14ac:dyDescent="0.3">
      <c r="QT5563" s="106"/>
      <c r="QU5563" s="106"/>
      <c r="QV5563" s="106"/>
      <c r="QW5563" s="106"/>
      <c r="QX5563" s="106"/>
      <c r="QY5563" s="106"/>
      <c r="QZ5563" s="106"/>
      <c r="RA5563" s="106"/>
      <c r="RB5563" s="106"/>
      <c r="RC5563" s="106"/>
      <c r="RD5563" s="106"/>
      <c r="RE5563" s="106"/>
      <c r="RF5563" s="106"/>
      <c r="RG5563" s="106"/>
      <c r="RH5563" s="106"/>
      <c r="RI5563" s="106"/>
      <c r="RJ5563" s="106"/>
      <c r="RK5563" s="106"/>
      <c r="RL5563" s="106"/>
    </row>
    <row r="5564" spans="462:480" x14ac:dyDescent="0.3">
      <c r="QT5564" s="106"/>
      <c r="QU5564" s="106"/>
      <c r="QV5564" s="106"/>
      <c r="QW5564" s="106"/>
      <c r="QX5564" s="106"/>
      <c r="QY5564" s="106"/>
      <c r="QZ5564" s="106"/>
      <c r="RA5564" s="106"/>
      <c r="RB5564" s="106"/>
      <c r="RC5564" s="106"/>
      <c r="RD5564" s="106"/>
      <c r="RE5564" s="106"/>
      <c r="RF5564" s="106"/>
      <c r="RG5564" s="106"/>
      <c r="RH5564" s="106"/>
      <c r="RI5564" s="106"/>
      <c r="RJ5564" s="106"/>
      <c r="RK5564" s="106"/>
      <c r="RL5564" s="106"/>
    </row>
    <row r="5565" spans="462:480" x14ac:dyDescent="0.3">
      <c r="QT5565" s="106"/>
      <c r="QU5565" s="106"/>
      <c r="QV5565" s="106"/>
      <c r="QW5565" s="106"/>
      <c r="QX5565" s="106"/>
      <c r="QY5565" s="106"/>
      <c r="QZ5565" s="106"/>
      <c r="RA5565" s="106"/>
      <c r="RB5565" s="106"/>
      <c r="RC5565" s="106"/>
      <c r="RD5565" s="106"/>
      <c r="RE5565" s="106"/>
      <c r="RF5565" s="106"/>
      <c r="RG5565" s="106"/>
      <c r="RH5565" s="106"/>
      <c r="RI5565" s="106"/>
      <c r="RJ5565" s="106"/>
      <c r="RK5565" s="106"/>
      <c r="RL5565" s="106"/>
    </row>
    <row r="5566" spans="462:480" x14ac:dyDescent="0.3">
      <c r="QT5566" s="106"/>
      <c r="QU5566" s="106"/>
      <c r="QV5566" s="106"/>
      <c r="QW5566" s="106"/>
      <c r="QX5566" s="106"/>
      <c r="QY5566" s="106"/>
      <c r="QZ5566" s="106"/>
      <c r="RA5566" s="106"/>
      <c r="RB5566" s="106"/>
      <c r="RC5566" s="106"/>
      <c r="RD5566" s="106"/>
      <c r="RE5566" s="106"/>
      <c r="RF5566" s="106"/>
      <c r="RG5566" s="106"/>
      <c r="RH5566" s="106"/>
      <c r="RI5566" s="106"/>
      <c r="RJ5566" s="106"/>
      <c r="RK5566" s="106"/>
      <c r="RL5566" s="106"/>
    </row>
    <row r="5567" spans="462:480" x14ac:dyDescent="0.3">
      <c r="QT5567" s="106"/>
      <c r="QU5567" s="106"/>
      <c r="QV5567" s="106"/>
      <c r="QW5567" s="106"/>
      <c r="QX5567" s="106"/>
      <c r="QY5567" s="106"/>
      <c r="QZ5567" s="106"/>
      <c r="RA5567" s="106"/>
      <c r="RB5567" s="106"/>
      <c r="RC5567" s="106"/>
      <c r="RD5567" s="106"/>
      <c r="RE5567" s="106"/>
      <c r="RF5567" s="106"/>
      <c r="RG5567" s="106"/>
      <c r="RH5567" s="106"/>
      <c r="RI5567" s="106"/>
      <c r="RJ5567" s="106"/>
      <c r="RK5567" s="106"/>
      <c r="RL5567" s="106"/>
    </row>
    <row r="5568" spans="462:480" x14ac:dyDescent="0.3">
      <c r="QT5568" s="106"/>
      <c r="QU5568" s="106"/>
      <c r="QV5568" s="106"/>
      <c r="QW5568" s="106"/>
      <c r="QX5568" s="106"/>
      <c r="QY5568" s="106"/>
      <c r="QZ5568" s="106"/>
      <c r="RA5568" s="106"/>
      <c r="RB5568" s="106"/>
      <c r="RC5568" s="106"/>
      <c r="RD5568" s="106"/>
      <c r="RE5568" s="106"/>
      <c r="RF5568" s="106"/>
      <c r="RG5568" s="106"/>
      <c r="RH5568" s="106"/>
      <c r="RI5568" s="106"/>
      <c r="RJ5568" s="106"/>
      <c r="RK5568" s="106"/>
      <c r="RL5568" s="106"/>
    </row>
    <row r="5569" spans="462:480" x14ac:dyDescent="0.3">
      <c r="QT5569" s="106"/>
      <c r="QU5569" s="106"/>
      <c r="QV5569" s="106"/>
      <c r="QW5569" s="106"/>
      <c r="QX5569" s="106"/>
      <c r="QY5569" s="106"/>
      <c r="QZ5569" s="106"/>
      <c r="RA5569" s="106"/>
      <c r="RB5569" s="106"/>
      <c r="RC5569" s="106"/>
      <c r="RD5569" s="106"/>
      <c r="RE5569" s="106"/>
      <c r="RF5569" s="106"/>
      <c r="RG5569" s="106"/>
      <c r="RH5569" s="106"/>
      <c r="RI5569" s="106"/>
      <c r="RJ5569" s="106"/>
      <c r="RK5569" s="106"/>
      <c r="RL5569" s="106"/>
    </row>
    <row r="5570" spans="462:480" x14ac:dyDescent="0.3">
      <c r="QT5570" s="106"/>
      <c r="QU5570" s="106"/>
      <c r="QV5570" s="106"/>
      <c r="QW5570" s="106"/>
      <c r="QX5570" s="106"/>
      <c r="QY5570" s="106"/>
      <c r="QZ5570" s="106"/>
      <c r="RA5570" s="106"/>
      <c r="RB5570" s="106"/>
      <c r="RC5570" s="106"/>
      <c r="RD5570" s="106"/>
      <c r="RE5570" s="106"/>
      <c r="RF5570" s="106"/>
      <c r="RG5570" s="106"/>
      <c r="RH5570" s="106"/>
      <c r="RI5570" s="106"/>
      <c r="RJ5570" s="106"/>
      <c r="RK5570" s="106"/>
      <c r="RL5570" s="106"/>
    </row>
    <row r="5571" spans="462:480" x14ac:dyDescent="0.3">
      <c r="QT5571" s="106"/>
      <c r="QU5571" s="106"/>
      <c r="QV5571" s="106"/>
      <c r="QW5571" s="106"/>
      <c r="QX5571" s="106"/>
      <c r="QY5571" s="106"/>
      <c r="QZ5571" s="106"/>
      <c r="RA5571" s="106"/>
      <c r="RB5571" s="106"/>
      <c r="RC5571" s="106"/>
      <c r="RD5571" s="106"/>
      <c r="RE5571" s="106"/>
      <c r="RF5571" s="106"/>
      <c r="RG5571" s="106"/>
      <c r="RH5571" s="106"/>
      <c r="RI5571" s="106"/>
      <c r="RJ5571" s="106"/>
      <c r="RK5571" s="106"/>
      <c r="RL5571" s="106"/>
    </row>
    <row r="5572" spans="462:480" x14ac:dyDescent="0.3">
      <c r="QT5572" s="106"/>
      <c r="QU5572" s="106"/>
      <c r="QV5572" s="106"/>
      <c r="QW5572" s="106"/>
      <c r="QX5572" s="106"/>
      <c r="QY5572" s="106"/>
      <c r="QZ5572" s="106"/>
      <c r="RA5572" s="106"/>
      <c r="RB5572" s="106"/>
      <c r="RC5572" s="106"/>
      <c r="RD5572" s="106"/>
      <c r="RE5572" s="106"/>
      <c r="RF5572" s="106"/>
      <c r="RG5572" s="106"/>
      <c r="RH5572" s="106"/>
      <c r="RI5572" s="106"/>
      <c r="RJ5572" s="106"/>
      <c r="RK5572" s="106"/>
      <c r="RL5572" s="106"/>
    </row>
    <row r="5573" spans="462:480" x14ac:dyDescent="0.3">
      <c r="QT5573" s="106"/>
      <c r="QU5573" s="106"/>
      <c r="QV5573" s="106"/>
      <c r="QW5573" s="106"/>
      <c r="QX5573" s="106"/>
      <c r="QY5573" s="106"/>
      <c r="QZ5573" s="106"/>
      <c r="RA5573" s="106"/>
      <c r="RB5573" s="106"/>
      <c r="RC5573" s="106"/>
      <c r="RD5573" s="106"/>
      <c r="RE5573" s="106"/>
      <c r="RF5573" s="106"/>
      <c r="RG5573" s="106"/>
      <c r="RH5573" s="106"/>
      <c r="RI5573" s="106"/>
      <c r="RJ5573" s="106"/>
      <c r="RK5573" s="106"/>
      <c r="RL5573" s="106"/>
    </row>
    <row r="5574" spans="462:480" x14ac:dyDescent="0.3">
      <c r="QT5574" s="106"/>
      <c r="QU5574" s="106"/>
      <c r="QV5574" s="106"/>
      <c r="QW5574" s="106"/>
      <c r="QX5574" s="106"/>
      <c r="QY5574" s="106"/>
      <c r="QZ5574" s="106"/>
      <c r="RA5574" s="106"/>
      <c r="RB5574" s="106"/>
      <c r="RC5574" s="106"/>
      <c r="RD5574" s="106"/>
      <c r="RE5574" s="106"/>
      <c r="RF5574" s="106"/>
      <c r="RG5574" s="106"/>
      <c r="RH5574" s="106"/>
      <c r="RI5574" s="106"/>
      <c r="RJ5574" s="106"/>
      <c r="RK5574" s="106"/>
      <c r="RL5574" s="106"/>
    </row>
    <row r="5575" spans="462:480" x14ac:dyDescent="0.3">
      <c r="QT5575" s="106"/>
      <c r="QU5575" s="106"/>
      <c r="QV5575" s="106"/>
      <c r="QW5575" s="106"/>
      <c r="QX5575" s="106"/>
      <c r="QY5575" s="106"/>
      <c r="QZ5575" s="106"/>
      <c r="RA5575" s="106"/>
      <c r="RB5575" s="106"/>
      <c r="RC5575" s="106"/>
      <c r="RD5575" s="106"/>
      <c r="RE5575" s="106"/>
      <c r="RF5575" s="106"/>
      <c r="RG5575" s="106"/>
      <c r="RH5575" s="106"/>
      <c r="RI5575" s="106"/>
      <c r="RJ5575" s="106"/>
      <c r="RK5575" s="106"/>
      <c r="RL5575" s="106"/>
    </row>
    <row r="5576" spans="462:480" x14ac:dyDescent="0.3">
      <c r="QT5576" s="106"/>
      <c r="QU5576" s="106"/>
      <c r="QV5576" s="106"/>
      <c r="QW5576" s="106"/>
      <c r="QX5576" s="106"/>
      <c r="QY5576" s="106"/>
      <c r="QZ5576" s="106"/>
      <c r="RA5576" s="106"/>
      <c r="RB5576" s="106"/>
      <c r="RC5576" s="106"/>
      <c r="RD5576" s="106"/>
      <c r="RE5576" s="106"/>
      <c r="RF5576" s="106"/>
      <c r="RG5576" s="106"/>
      <c r="RH5576" s="106"/>
      <c r="RI5576" s="106"/>
      <c r="RJ5576" s="106"/>
      <c r="RK5576" s="106"/>
      <c r="RL5576" s="106"/>
    </row>
    <row r="5577" spans="462:480" x14ac:dyDescent="0.3">
      <c r="QT5577" s="106"/>
      <c r="QU5577" s="106"/>
      <c r="QV5577" s="106"/>
      <c r="QW5577" s="106"/>
      <c r="QX5577" s="106"/>
      <c r="QY5577" s="106"/>
      <c r="QZ5577" s="106"/>
      <c r="RA5577" s="106"/>
      <c r="RB5577" s="106"/>
      <c r="RC5577" s="106"/>
      <c r="RD5577" s="106"/>
      <c r="RE5577" s="106"/>
      <c r="RF5577" s="106"/>
      <c r="RG5577" s="106"/>
      <c r="RH5577" s="106"/>
      <c r="RI5577" s="106"/>
      <c r="RJ5577" s="106"/>
      <c r="RK5577" s="106"/>
      <c r="RL5577" s="106"/>
    </row>
    <row r="5578" spans="462:480" x14ac:dyDescent="0.3">
      <c r="QT5578" s="106"/>
      <c r="QU5578" s="106"/>
      <c r="QV5578" s="106"/>
      <c r="QW5578" s="106"/>
      <c r="QX5578" s="106"/>
      <c r="QY5578" s="106"/>
      <c r="QZ5578" s="106"/>
      <c r="RA5578" s="106"/>
      <c r="RB5578" s="106"/>
      <c r="RC5578" s="106"/>
      <c r="RD5578" s="106"/>
      <c r="RE5578" s="106"/>
      <c r="RF5578" s="106"/>
      <c r="RG5578" s="106"/>
      <c r="RH5578" s="106"/>
      <c r="RI5578" s="106"/>
      <c r="RJ5578" s="106"/>
      <c r="RK5578" s="106"/>
      <c r="RL5578" s="106"/>
    </row>
    <row r="5579" spans="462:480" x14ac:dyDescent="0.3">
      <c r="QT5579" s="106"/>
      <c r="QU5579" s="106"/>
      <c r="QV5579" s="106"/>
      <c r="QW5579" s="106"/>
      <c r="QX5579" s="106"/>
      <c r="QY5579" s="106"/>
      <c r="QZ5579" s="106"/>
      <c r="RA5579" s="106"/>
      <c r="RB5579" s="106"/>
      <c r="RC5579" s="106"/>
      <c r="RD5579" s="106"/>
      <c r="RE5579" s="106"/>
      <c r="RF5579" s="106"/>
      <c r="RG5579" s="106"/>
      <c r="RH5579" s="106"/>
      <c r="RI5579" s="106"/>
      <c r="RJ5579" s="106"/>
      <c r="RK5579" s="106"/>
      <c r="RL5579" s="106"/>
    </row>
    <row r="5580" spans="462:480" x14ac:dyDescent="0.3">
      <c r="QT5580" s="106"/>
      <c r="QU5580" s="106"/>
      <c r="QV5580" s="106"/>
      <c r="QW5580" s="106"/>
      <c r="QX5580" s="106"/>
      <c r="QY5580" s="106"/>
      <c r="QZ5580" s="106"/>
      <c r="RA5580" s="106"/>
      <c r="RB5580" s="106"/>
      <c r="RC5580" s="106"/>
      <c r="RD5580" s="106"/>
      <c r="RE5580" s="106"/>
      <c r="RF5580" s="106"/>
      <c r="RG5580" s="106"/>
      <c r="RH5580" s="106"/>
      <c r="RI5580" s="106"/>
      <c r="RJ5580" s="106"/>
      <c r="RK5580" s="106"/>
      <c r="RL5580" s="106"/>
    </row>
    <row r="5581" spans="462:480" x14ac:dyDescent="0.3">
      <c r="QT5581" s="106"/>
      <c r="QU5581" s="106"/>
      <c r="QV5581" s="106"/>
      <c r="QW5581" s="106"/>
      <c r="QX5581" s="106"/>
      <c r="QY5581" s="106"/>
      <c r="QZ5581" s="106"/>
      <c r="RA5581" s="106"/>
      <c r="RB5581" s="106"/>
      <c r="RC5581" s="106"/>
      <c r="RD5581" s="106"/>
      <c r="RE5581" s="106"/>
      <c r="RF5581" s="106"/>
      <c r="RG5581" s="106"/>
      <c r="RH5581" s="106"/>
      <c r="RI5581" s="106"/>
      <c r="RJ5581" s="106"/>
      <c r="RK5581" s="106"/>
      <c r="RL5581" s="106"/>
    </row>
    <row r="5582" spans="462:480" x14ac:dyDescent="0.3">
      <c r="QT5582" s="106"/>
      <c r="QU5582" s="106"/>
      <c r="QV5582" s="106"/>
      <c r="QW5582" s="106"/>
      <c r="QX5582" s="106"/>
      <c r="QY5582" s="106"/>
      <c r="QZ5582" s="106"/>
      <c r="RA5582" s="106"/>
      <c r="RB5582" s="106"/>
      <c r="RC5582" s="106"/>
      <c r="RD5582" s="106"/>
      <c r="RE5582" s="106"/>
      <c r="RF5582" s="106"/>
      <c r="RG5582" s="106"/>
      <c r="RH5582" s="106"/>
      <c r="RI5582" s="106"/>
      <c r="RJ5582" s="106"/>
      <c r="RK5582" s="106"/>
      <c r="RL5582" s="106"/>
    </row>
    <row r="5583" spans="462:480" x14ac:dyDescent="0.3">
      <c r="QT5583" s="106"/>
      <c r="QU5583" s="106"/>
      <c r="QV5583" s="106"/>
      <c r="QW5583" s="106"/>
      <c r="QX5583" s="106"/>
      <c r="QY5583" s="106"/>
      <c r="QZ5583" s="106"/>
      <c r="RA5583" s="106"/>
      <c r="RB5583" s="106"/>
      <c r="RC5583" s="106"/>
      <c r="RD5583" s="106"/>
      <c r="RE5583" s="106"/>
      <c r="RF5583" s="106"/>
      <c r="RG5583" s="106"/>
      <c r="RH5583" s="106"/>
      <c r="RI5583" s="106"/>
      <c r="RJ5583" s="106"/>
      <c r="RK5583" s="106"/>
      <c r="RL5583" s="106"/>
    </row>
    <row r="5584" spans="462:480" x14ac:dyDescent="0.3">
      <c r="QT5584" s="106"/>
      <c r="QU5584" s="106"/>
      <c r="QV5584" s="106"/>
      <c r="QW5584" s="106"/>
      <c r="QX5584" s="106"/>
      <c r="QY5584" s="106"/>
      <c r="QZ5584" s="106"/>
      <c r="RA5584" s="106"/>
      <c r="RB5584" s="106"/>
      <c r="RC5584" s="106"/>
      <c r="RD5584" s="106"/>
      <c r="RE5584" s="106"/>
      <c r="RF5584" s="106"/>
      <c r="RG5584" s="106"/>
      <c r="RH5584" s="106"/>
      <c r="RI5584" s="106"/>
      <c r="RJ5584" s="106"/>
      <c r="RK5584" s="106"/>
      <c r="RL5584" s="106"/>
    </row>
    <row r="5585" spans="462:480" x14ac:dyDescent="0.3">
      <c r="QT5585" s="106"/>
      <c r="QU5585" s="106"/>
      <c r="QV5585" s="106"/>
      <c r="QW5585" s="106"/>
      <c r="QX5585" s="106"/>
      <c r="QY5585" s="106"/>
      <c r="QZ5585" s="106"/>
      <c r="RA5585" s="106"/>
      <c r="RB5585" s="106"/>
      <c r="RC5585" s="106"/>
      <c r="RD5585" s="106"/>
      <c r="RE5585" s="106"/>
      <c r="RF5585" s="106"/>
      <c r="RG5585" s="106"/>
      <c r="RH5585" s="106"/>
      <c r="RI5585" s="106"/>
      <c r="RJ5585" s="106"/>
      <c r="RK5585" s="106"/>
      <c r="RL5585" s="106"/>
    </row>
    <row r="5586" spans="462:480" x14ac:dyDescent="0.3">
      <c r="QT5586" s="106"/>
      <c r="QU5586" s="106"/>
      <c r="QV5586" s="106"/>
      <c r="QW5586" s="106"/>
      <c r="QX5586" s="106"/>
      <c r="QY5586" s="106"/>
      <c r="QZ5586" s="106"/>
      <c r="RA5586" s="106"/>
      <c r="RB5586" s="106"/>
      <c r="RC5586" s="106"/>
      <c r="RD5586" s="106"/>
      <c r="RE5586" s="106"/>
      <c r="RF5586" s="106"/>
      <c r="RG5586" s="106"/>
      <c r="RH5586" s="106"/>
      <c r="RI5586" s="106"/>
      <c r="RJ5586" s="106"/>
      <c r="RK5586" s="106"/>
      <c r="RL5586" s="106"/>
    </row>
    <row r="5587" spans="462:480" x14ac:dyDescent="0.3">
      <c r="QT5587" s="106"/>
      <c r="QU5587" s="106"/>
      <c r="QV5587" s="106"/>
      <c r="QW5587" s="106"/>
      <c r="QX5587" s="106"/>
      <c r="QY5587" s="106"/>
      <c r="QZ5587" s="106"/>
      <c r="RA5587" s="106"/>
      <c r="RB5587" s="106"/>
      <c r="RC5587" s="106"/>
      <c r="RD5587" s="106"/>
      <c r="RE5587" s="106"/>
      <c r="RF5587" s="106"/>
      <c r="RG5587" s="106"/>
      <c r="RH5587" s="106"/>
      <c r="RI5587" s="106"/>
      <c r="RJ5587" s="106"/>
      <c r="RK5587" s="106"/>
      <c r="RL5587" s="106"/>
    </row>
    <row r="5588" spans="462:480" x14ac:dyDescent="0.3">
      <c r="QT5588" s="106"/>
      <c r="QU5588" s="106"/>
      <c r="QV5588" s="106"/>
      <c r="QW5588" s="106"/>
      <c r="QX5588" s="106"/>
      <c r="QY5588" s="106"/>
      <c r="QZ5588" s="106"/>
      <c r="RA5588" s="106"/>
      <c r="RB5588" s="106"/>
      <c r="RC5588" s="106"/>
      <c r="RD5588" s="106"/>
      <c r="RE5588" s="106"/>
      <c r="RF5588" s="106"/>
      <c r="RG5588" s="106"/>
      <c r="RH5588" s="106"/>
      <c r="RI5588" s="106"/>
      <c r="RJ5588" s="106"/>
      <c r="RK5588" s="106"/>
      <c r="RL5588" s="106"/>
    </row>
    <row r="5589" spans="462:480" x14ac:dyDescent="0.3">
      <c r="QT5589" s="106"/>
      <c r="QU5589" s="106"/>
      <c r="QV5589" s="106"/>
      <c r="QW5589" s="106"/>
      <c r="QX5589" s="106"/>
      <c r="QY5589" s="106"/>
      <c r="QZ5589" s="106"/>
      <c r="RA5589" s="106"/>
      <c r="RB5589" s="106"/>
      <c r="RC5589" s="106"/>
      <c r="RD5589" s="106"/>
      <c r="RE5589" s="106"/>
      <c r="RF5589" s="106"/>
      <c r="RG5589" s="106"/>
      <c r="RH5589" s="106"/>
      <c r="RI5589" s="106"/>
      <c r="RJ5589" s="106"/>
      <c r="RK5589" s="106"/>
      <c r="RL5589" s="106"/>
    </row>
    <row r="5590" spans="462:480" x14ac:dyDescent="0.3">
      <c r="QT5590" s="106"/>
      <c r="QU5590" s="106"/>
      <c r="QV5590" s="106"/>
      <c r="QW5590" s="106"/>
      <c r="QX5590" s="106"/>
      <c r="QY5590" s="106"/>
      <c r="QZ5590" s="106"/>
      <c r="RA5590" s="106"/>
      <c r="RB5590" s="106"/>
      <c r="RC5590" s="106"/>
      <c r="RD5590" s="106"/>
      <c r="RE5590" s="106"/>
      <c r="RF5590" s="106"/>
      <c r="RG5590" s="106"/>
      <c r="RH5590" s="106"/>
      <c r="RI5590" s="106"/>
      <c r="RJ5590" s="106"/>
      <c r="RK5590" s="106"/>
      <c r="RL5590" s="106"/>
    </row>
    <row r="5591" spans="462:480" x14ac:dyDescent="0.3">
      <c r="QT5591" s="106"/>
      <c r="QU5591" s="106"/>
      <c r="QV5591" s="106"/>
      <c r="QW5591" s="106"/>
      <c r="QX5591" s="106"/>
      <c r="QY5591" s="106"/>
      <c r="QZ5591" s="106"/>
      <c r="RA5591" s="106"/>
      <c r="RB5591" s="106"/>
      <c r="RC5591" s="106"/>
      <c r="RD5591" s="106"/>
      <c r="RE5591" s="106"/>
      <c r="RF5591" s="106"/>
      <c r="RG5591" s="106"/>
      <c r="RH5591" s="106"/>
      <c r="RI5591" s="106"/>
      <c r="RJ5591" s="106"/>
      <c r="RK5591" s="106"/>
      <c r="RL5591" s="106"/>
    </row>
    <row r="5592" spans="462:480" x14ac:dyDescent="0.3">
      <c r="QT5592" s="106"/>
      <c r="QU5592" s="106"/>
      <c r="QV5592" s="106"/>
      <c r="QW5592" s="106"/>
      <c r="QX5592" s="106"/>
      <c r="QY5592" s="106"/>
      <c r="QZ5592" s="106"/>
      <c r="RA5592" s="106"/>
      <c r="RB5592" s="106"/>
      <c r="RC5592" s="106"/>
      <c r="RD5592" s="106"/>
      <c r="RE5592" s="106"/>
      <c r="RF5592" s="106"/>
      <c r="RG5592" s="106"/>
      <c r="RH5592" s="106"/>
      <c r="RI5592" s="106"/>
      <c r="RJ5592" s="106"/>
      <c r="RK5592" s="106"/>
      <c r="RL5592" s="106"/>
    </row>
    <row r="5593" spans="462:480" x14ac:dyDescent="0.3">
      <c r="QT5593" s="106"/>
      <c r="QU5593" s="106"/>
      <c r="QV5593" s="106"/>
      <c r="QW5593" s="106"/>
      <c r="QX5593" s="106"/>
      <c r="QY5593" s="106"/>
      <c r="QZ5593" s="106"/>
      <c r="RA5593" s="106"/>
      <c r="RB5593" s="106"/>
      <c r="RC5593" s="106"/>
      <c r="RD5593" s="106"/>
      <c r="RE5593" s="106"/>
      <c r="RF5593" s="106"/>
      <c r="RG5593" s="106"/>
      <c r="RH5593" s="106"/>
      <c r="RI5593" s="106"/>
      <c r="RJ5593" s="106"/>
      <c r="RK5593" s="106"/>
      <c r="RL5593" s="106"/>
    </row>
    <row r="5594" spans="462:480" x14ac:dyDescent="0.3">
      <c r="QT5594" s="106"/>
      <c r="QU5594" s="106"/>
      <c r="QV5594" s="106"/>
      <c r="QW5594" s="106"/>
      <c r="QX5594" s="106"/>
      <c r="QY5594" s="106"/>
      <c r="QZ5594" s="106"/>
      <c r="RA5594" s="106"/>
      <c r="RB5594" s="106"/>
      <c r="RC5594" s="106"/>
      <c r="RD5594" s="106"/>
      <c r="RE5594" s="106"/>
      <c r="RF5594" s="106"/>
      <c r="RG5594" s="106"/>
      <c r="RH5594" s="106"/>
      <c r="RI5594" s="106"/>
      <c r="RJ5594" s="106"/>
      <c r="RK5594" s="106"/>
      <c r="RL5594" s="106"/>
    </row>
    <row r="5595" spans="462:480" x14ac:dyDescent="0.3">
      <c r="QT5595" s="106"/>
      <c r="QU5595" s="106"/>
      <c r="QV5595" s="106"/>
      <c r="QW5595" s="106"/>
      <c r="QX5595" s="106"/>
      <c r="QY5595" s="106"/>
      <c r="QZ5595" s="106"/>
      <c r="RA5595" s="106"/>
      <c r="RB5595" s="106"/>
      <c r="RC5595" s="106"/>
      <c r="RD5595" s="106"/>
      <c r="RE5595" s="106"/>
      <c r="RF5595" s="106"/>
      <c r="RG5595" s="106"/>
      <c r="RH5595" s="106"/>
      <c r="RI5595" s="106"/>
      <c r="RJ5595" s="106"/>
      <c r="RK5595" s="106"/>
      <c r="RL5595" s="106"/>
    </row>
    <row r="5596" spans="462:480" x14ac:dyDescent="0.3">
      <c r="QT5596" s="106"/>
      <c r="QU5596" s="106"/>
      <c r="QV5596" s="106"/>
      <c r="QW5596" s="106"/>
      <c r="QX5596" s="106"/>
      <c r="QY5596" s="106"/>
      <c r="QZ5596" s="106"/>
      <c r="RA5596" s="106"/>
      <c r="RB5596" s="106"/>
      <c r="RC5596" s="106"/>
      <c r="RD5596" s="106"/>
      <c r="RE5596" s="106"/>
      <c r="RF5596" s="106"/>
      <c r="RG5596" s="106"/>
      <c r="RH5596" s="106"/>
      <c r="RI5596" s="106"/>
      <c r="RJ5596" s="106"/>
      <c r="RK5596" s="106"/>
      <c r="RL5596" s="106"/>
    </row>
    <row r="5597" spans="462:480" x14ac:dyDescent="0.3">
      <c r="QT5597" s="106"/>
      <c r="QU5597" s="106"/>
      <c r="QV5597" s="106"/>
      <c r="QW5597" s="106"/>
      <c r="QX5597" s="106"/>
      <c r="QY5597" s="106"/>
      <c r="QZ5597" s="106"/>
      <c r="RA5597" s="106"/>
      <c r="RB5597" s="106"/>
      <c r="RC5597" s="106"/>
      <c r="RD5597" s="106"/>
      <c r="RE5597" s="106"/>
      <c r="RF5597" s="106"/>
      <c r="RG5597" s="106"/>
      <c r="RH5597" s="106"/>
      <c r="RI5597" s="106"/>
      <c r="RJ5597" s="106"/>
      <c r="RK5597" s="106"/>
      <c r="RL5597" s="106"/>
    </row>
    <row r="5598" spans="462:480" x14ac:dyDescent="0.3">
      <c r="QT5598" s="106"/>
      <c r="QU5598" s="106"/>
      <c r="QV5598" s="106"/>
      <c r="QW5598" s="106"/>
      <c r="QX5598" s="106"/>
      <c r="QY5598" s="106"/>
      <c r="QZ5598" s="106"/>
      <c r="RA5598" s="106"/>
      <c r="RB5598" s="106"/>
      <c r="RC5598" s="106"/>
      <c r="RD5598" s="106"/>
      <c r="RE5598" s="106"/>
      <c r="RF5598" s="106"/>
      <c r="RG5598" s="106"/>
      <c r="RH5598" s="106"/>
      <c r="RI5598" s="106"/>
      <c r="RJ5598" s="106"/>
      <c r="RK5598" s="106"/>
      <c r="RL5598" s="106"/>
    </row>
    <row r="5599" spans="462:480" x14ac:dyDescent="0.3">
      <c r="QT5599" s="106"/>
      <c r="QU5599" s="106"/>
      <c r="QV5599" s="106"/>
      <c r="QW5599" s="106"/>
      <c r="QX5599" s="106"/>
      <c r="QY5599" s="106"/>
      <c r="QZ5599" s="106"/>
      <c r="RA5599" s="106"/>
      <c r="RB5599" s="106"/>
      <c r="RC5599" s="106"/>
      <c r="RD5599" s="106"/>
      <c r="RE5599" s="106"/>
      <c r="RF5599" s="106"/>
      <c r="RG5599" s="106"/>
      <c r="RH5599" s="106"/>
      <c r="RI5599" s="106"/>
      <c r="RJ5599" s="106"/>
      <c r="RK5599" s="106"/>
      <c r="RL5599" s="106"/>
    </row>
    <row r="5600" spans="462:480" x14ac:dyDescent="0.3">
      <c r="QT5600" s="106"/>
      <c r="QU5600" s="106"/>
      <c r="QV5600" s="106"/>
      <c r="QW5600" s="106"/>
      <c r="QX5600" s="106"/>
      <c r="QY5600" s="106"/>
      <c r="QZ5600" s="106"/>
      <c r="RA5600" s="106"/>
      <c r="RB5600" s="106"/>
      <c r="RC5600" s="106"/>
      <c r="RD5600" s="106"/>
      <c r="RE5600" s="106"/>
      <c r="RF5600" s="106"/>
      <c r="RG5600" s="106"/>
      <c r="RH5600" s="106"/>
      <c r="RI5600" s="106"/>
      <c r="RJ5600" s="106"/>
      <c r="RK5600" s="106"/>
      <c r="RL5600" s="106"/>
    </row>
    <row r="5601" spans="462:480" x14ac:dyDescent="0.3">
      <c r="QT5601" s="106"/>
      <c r="QU5601" s="106"/>
      <c r="QV5601" s="106"/>
      <c r="QW5601" s="106"/>
      <c r="QX5601" s="106"/>
      <c r="QY5601" s="106"/>
      <c r="QZ5601" s="106"/>
      <c r="RA5601" s="106"/>
      <c r="RB5601" s="106"/>
      <c r="RC5601" s="106"/>
      <c r="RD5601" s="106"/>
      <c r="RE5601" s="106"/>
      <c r="RF5601" s="106"/>
      <c r="RG5601" s="106"/>
      <c r="RH5601" s="106"/>
      <c r="RI5601" s="106"/>
      <c r="RJ5601" s="106"/>
      <c r="RK5601" s="106"/>
      <c r="RL5601" s="106"/>
    </row>
    <row r="5602" spans="462:480" x14ac:dyDescent="0.3">
      <c r="QT5602" s="106"/>
      <c r="QU5602" s="106"/>
      <c r="QV5602" s="106"/>
      <c r="QW5602" s="106"/>
      <c r="QX5602" s="106"/>
      <c r="QY5602" s="106"/>
      <c r="QZ5602" s="106"/>
      <c r="RA5602" s="106"/>
      <c r="RB5602" s="106"/>
      <c r="RC5602" s="106"/>
      <c r="RD5602" s="106"/>
      <c r="RE5602" s="106"/>
      <c r="RF5602" s="106"/>
      <c r="RG5602" s="106"/>
      <c r="RH5602" s="106"/>
      <c r="RI5602" s="106"/>
      <c r="RJ5602" s="106"/>
      <c r="RK5602" s="106"/>
      <c r="RL5602" s="106"/>
    </row>
    <row r="5603" spans="462:480" x14ac:dyDescent="0.3">
      <c r="QT5603" s="106"/>
      <c r="QU5603" s="106"/>
      <c r="QV5603" s="106"/>
      <c r="QW5603" s="106"/>
      <c r="QX5603" s="106"/>
      <c r="QY5603" s="106"/>
      <c r="QZ5603" s="106"/>
      <c r="RA5603" s="106"/>
      <c r="RB5603" s="106"/>
      <c r="RC5603" s="106"/>
      <c r="RD5603" s="106"/>
      <c r="RE5603" s="106"/>
      <c r="RF5603" s="106"/>
      <c r="RG5603" s="106"/>
      <c r="RH5603" s="106"/>
      <c r="RI5603" s="106"/>
      <c r="RJ5603" s="106"/>
      <c r="RK5603" s="106"/>
      <c r="RL5603" s="106"/>
    </row>
    <row r="5604" spans="462:480" x14ac:dyDescent="0.3">
      <c r="QT5604" s="106"/>
      <c r="QU5604" s="106"/>
      <c r="QV5604" s="106"/>
      <c r="QW5604" s="106"/>
      <c r="QX5604" s="106"/>
      <c r="QY5604" s="106"/>
      <c r="QZ5604" s="106"/>
      <c r="RA5604" s="106"/>
      <c r="RB5604" s="106"/>
      <c r="RC5604" s="106"/>
      <c r="RD5604" s="106"/>
      <c r="RE5604" s="106"/>
      <c r="RF5604" s="106"/>
      <c r="RG5604" s="106"/>
      <c r="RH5604" s="106"/>
      <c r="RI5604" s="106"/>
      <c r="RJ5604" s="106"/>
      <c r="RK5604" s="106"/>
      <c r="RL5604" s="106"/>
    </row>
    <row r="5605" spans="462:480" x14ac:dyDescent="0.3">
      <c r="QT5605" s="106"/>
      <c r="QU5605" s="106"/>
      <c r="QV5605" s="106"/>
      <c r="QW5605" s="106"/>
      <c r="QX5605" s="106"/>
      <c r="QY5605" s="106"/>
      <c r="QZ5605" s="106"/>
      <c r="RA5605" s="106"/>
      <c r="RB5605" s="106"/>
      <c r="RC5605" s="106"/>
      <c r="RD5605" s="106"/>
      <c r="RE5605" s="106"/>
      <c r="RF5605" s="106"/>
      <c r="RG5605" s="106"/>
      <c r="RH5605" s="106"/>
      <c r="RI5605" s="106"/>
      <c r="RJ5605" s="106"/>
      <c r="RK5605" s="106"/>
      <c r="RL5605" s="106"/>
    </row>
    <row r="5606" spans="462:480" x14ac:dyDescent="0.3">
      <c r="QT5606" s="106"/>
      <c r="QU5606" s="106"/>
      <c r="QV5606" s="106"/>
      <c r="QW5606" s="106"/>
      <c r="QX5606" s="106"/>
      <c r="QY5606" s="106"/>
      <c r="QZ5606" s="106"/>
      <c r="RA5606" s="106"/>
      <c r="RB5606" s="106"/>
      <c r="RC5606" s="106"/>
      <c r="RD5606" s="106"/>
      <c r="RE5606" s="106"/>
      <c r="RF5606" s="106"/>
      <c r="RG5606" s="106"/>
      <c r="RH5606" s="106"/>
      <c r="RI5606" s="106"/>
      <c r="RJ5606" s="106"/>
      <c r="RK5606" s="106"/>
      <c r="RL5606" s="106"/>
    </row>
    <row r="5607" spans="462:480" x14ac:dyDescent="0.3">
      <c r="QT5607" s="106"/>
      <c r="QU5607" s="106"/>
      <c r="QV5607" s="106"/>
      <c r="QW5607" s="106"/>
      <c r="QX5607" s="106"/>
      <c r="QY5607" s="106"/>
      <c r="QZ5607" s="106"/>
      <c r="RA5607" s="106"/>
      <c r="RB5607" s="106"/>
      <c r="RC5607" s="106"/>
      <c r="RD5607" s="106"/>
      <c r="RE5607" s="106"/>
      <c r="RF5607" s="106"/>
      <c r="RG5607" s="106"/>
      <c r="RH5607" s="106"/>
      <c r="RI5607" s="106"/>
      <c r="RJ5607" s="106"/>
      <c r="RK5607" s="106"/>
      <c r="RL5607" s="106"/>
    </row>
    <row r="5608" spans="462:480" x14ac:dyDescent="0.3">
      <c r="QT5608" s="106"/>
      <c r="QU5608" s="106"/>
      <c r="QV5608" s="106"/>
      <c r="QW5608" s="106"/>
      <c r="QX5608" s="106"/>
      <c r="QY5608" s="106"/>
      <c r="QZ5608" s="106"/>
      <c r="RA5608" s="106"/>
      <c r="RB5608" s="106"/>
      <c r="RC5608" s="106"/>
      <c r="RD5608" s="106"/>
      <c r="RE5608" s="106"/>
      <c r="RF5608" s="106"/>
      <c r="RG5608" s="106"/>
      <c r="RH5608" s="106"/>
      <c r="RI5608" s="106"/>
      <c r="RJ5608" s="106"/>
      <c r="RK5608" s="106"/>
      <c r="RL5608" s="106"/>
    </row>
    <row r="5609" spans="462:480" x14ac:dyDescent="0.3">
      <c r="QT5609" s="106"/>
      <c r="QU5609" s="106"/>
      <c r="QV5609" s="106"/>
      <c r="QW5609" s="106"/>
      <c r="QX5609" s="106"/>
      <c r="QY5609" s="106"/>
      <c r="QZ5609" s="106"/>
      <c r="RA5609" s="106"/>
      <c r="RB5609" s="106"/>
      <c r="RC5609" s="106"/>
      <c r="RD5609" s="106"/>
      <c r="RE5609" s="106"/>
      <c r="RF5609" s="106"/>
      <c r="RG5609" s="106"/>
      <c r="RH5609" s="106"/>
      <c r="RI5609" s="106"/>
      <c r="RJ5609" s="106"/>
      <c r="RK5609" s="106"/>
      <c r="RL5609" s="106"/>
    </row>
    <row r="5610" spans="462:480" x14ac:dyDescent="0.3">
      <c r="QT5610" s="106"/>
      <c r="QU5610" s="106"/>
      <c r="QV5610" s="106"/>
      <c r="QW5610" s="106"/>
      <c r="QX5610" s="106"/>
      <c r="QY5610" s="106"/>
      <c r="QZ5610" s="106"/>
      <c r="RA5610" s="106"/>
      <c r="RB5610" s="106"/>
      <c r="RC5610" s="106"/>
      <c r="RD5610" s="106"/>
      <c r="RE5610" s="106"/>
      <c r="RF5610" s="106"/>
      <c r="RG5610" s="106"/>
      <c r="RH5610" s="106"/>
      <c r="RI5610" s="106"/>
      <c r="RJ5610" s="106"/>
      <c r="RK5610" s="106"/>
      <c r="RL5610" s="106"/>
    </row>
    <row r="5611" spans="462:480" x14ac:dyDescent="0.3">
      <c r="QT5611" s="106"/>
      <c r="QU5611" s="106"/>
      <c r="QV5611" s="106"/>
      <c r="QW5611" s="106"/>
      <c r="QX5611" s="106"/>
      <c r="QY5611" s="106"/>
      <c r="QZ5611" s="106"/>
      <c r="RA5611" s="106"/>
      <c r="RB5611" s="106"/>
      <c r="RC5611" s="106"/>
      <c r="RD5611" s="106"/>
      <c r="RE5611" s="106"/>
      <c r="RF5611" s="106"/>
      <c r="RG5611" s="106"/>
      <c r="RH5611" s="106"/>
      <c r="RI5611" s="106"/>
      <c r="RJ5611" s="106"/>
      <c r="RK5611" s="106"/>
      <c r="RL5611" s="106"/>
    </row>
    <row r="5612" spans="462:480" x14ac:dyDescent="0.3">
      <c r="QT5612" s="106"/>
      <c r="QU5612" s="106"/>
      <c r="QV5612" s="106"/>
      <c r="QW5612" s="106"/>
      <c r="QX5612" s="106"/>
      <c r="QY5612" s="106"/>
      <c r="QZ5612" s="106"/>
      <c r="RA5612" s="106"/>
      <c r="RB5612" s="106"/>
      <c r="RC5612" s="106"/>
      <c r="RD5612" s="106"/>
      <c r="RE5612" s="106"/>
      <c r="RF5612" s="106"/>
      <c r="RG5612" s="106"/>
      <c r="RH5612" s="106"/>
      <c r="RI5612" s="106"/>
      <c r="RJ5612" s="106"/>
      <c r="RK5612" s="106"/>
      <c r="RL5612" s="106"/>
    </row>
    <row r="5613" spans="462:480" x14ac:dyDescent="0.3">
      <c r="QT5613" s="106"/>
      <c r="QU5613" s="106"/>
      <c r="QV5613" s="106"/>
      <c r="QW5613" s="106"/>
      <c r="QX5613" s="106"/>
      <c r="QY5613" s="106"/>
      <c r="QZ5613" s="106"/>
      <c r="RA5613" s="106"/>
      <c r="RB5613" s="106"/>
      <c r="RC5613" s="106"/>
      <c r="RD5613" s="106"/>
      <c r="RE5613" s="106"/>
      <c r="RF5613" s="106"/>
      <c r="RG5613" s="106"/>
      <c r="RH5613" s="106"/>
      <c r="RI5613" s="106"/>
      <c r="RJ5613" s="106"/>
      <c r="RK5613" s="106"/>
      <c r="RL5613" s="106"/>
    </row>
    <row r="5614" spans="462:480" x14ac:dyDescent="0.3">
      <c r="QT5614" s="106"/>
      <c r="QU5614" s="106"/>
      <c r="QV5614" s="106"/>
      <c r="QW5614" s="106"/>
      <c r="QX5614" s="106"/>
      <c r="QY5614" s="106"/>
      <c r="QZ5614" s="106"/>
      <c r="RA5614" s="106"/>
      <c r="RB5614" s="106"/>
      <c r="RC5614" s="106"/>
      <c r="RD5614" s="106"/>
      <c r="RE5614" s="106"/>
      <c r="RF5614" s="106"/>
      <c r="RG5614" s="106"/>
      <c r="RH5614" s="106"/>
      <c r="RI5614" s="106"/>
      <c r="RJ5614" s="106"/>
      <c r="RK5614" s="106"/>
      <c r="RL5614" s="106"/>
    </row>
    <row r="5615" spans="462:480" x14ac:dyDescent="0.3">
      <c r="QT5615" s="106"/>
      <c r="QU5615" s="106"/>
      <c r="QV5615" s="106"/>
      <c r="QW5615" s="106"/>
      <c r="QX5615" s="106"/>
      <c r="QY5615" s="106"/>
      <c r="QZ5615" s="106"/>
      <c r="RA5615" s="106"/>
      <c r="RB5615" s="106"/>
      <c r="RC5615" s="106"/>
      <c r="RD5615" s="106"/>
      <c r="RE5615" s="106"/>
      <c r="RF5615" s="106"/>
      <c r="RG5615" s="106"/>
      <c r="RH5615" s="106"/>
      <c r="RI5615" s="106"/>
      <c r="RJ5615" s="106"/>
      <c r="RK5615" s="106"/>
      <c r="RL5615" s="106"/>
    </row>
    <row r="5616" spans="462:480" x14ac:dyDescent="0.3">
      <c r="QT5616" s="106"/>
      <c r="QU5616" s="106"/>
      <c r="QV5616" s="106"/>
      <c r="QW5616" s="106"/>
      <c r="QX5616" s="106"/>
      <c r="QY5616" s="106"/>
      <c r="QZ5616" s="106"/>
      <c r="RA5616" s="106"/>
      <c r="RB5616" s="106"/>
      <c r="RC5616" s="106"/>
      <c r="RD5616" s="106"/>
      <c r="RE5616" s="106"/>
      <c r="RF5616" s="106"/>
      <c r="RG5616" s="106"/>
      <c r="RH5616" s="106"/>
      <c r="RI5616" s="106"/>
      <c r="RJ5616" s="106"/>
      <c r="RK5616" s="106"/>
      <c r="RL5616" s="106"/>
    </row>
    <row r="5617" spans="462:480" x14ac:dyDescent="0.3">
      <c r="QT5617" s="106"/>
      <c r="QU5617" s="106"/>
      <c r="QV5617" s="106"/>
      <c r="QW5617" s="106"/>
      <c r="QX5617" s="106"/>
      <c r="QY5617" s="106"/>
      <c r="QZ5617" s="106"/>
      <c r="RA5617" s="106"/>
      <c r="RB5617" s="106"/>
      <c r="RC5617" s="106"/>
      <c r="RD5617" s="106"/>
      <c r="RE5617" s="106"/>
      <c r="RF5617" s="106"/>
      <c r="RG5617" s="106"/>
      <c r="RH5617" s="106"/>
      <c r="RI5617" s="106"/>
      <c r="RJ5617" s="106"/>
      <c r="RK5617" s="106"/>
      <c r="RL5617" s="106"/>
    </row>
    <row r="5618" spans="462:480" x14ac:dyDescent="0.3">
      <c r="QT5618" s="106"/>
      <c r="QU5618" s="106"/>
      <c r="QV5618" s="106"/>
      <c r="QW5618" s="106"/>
      <c r="QX5618" s="106"/>
      <c r="QY5618" s="106"/>
      <c r="QZ5618" s="106"/>
      <c r="RA5618" s="106"/>
      <c r="RB5618" s="106"/>
      <c r="RC5618" s="106"/>
      <c r="RD5618" s="106"/>
      <c r="RE5618" s="106"/>
      <c r="RF5618" s="106"/>
      <c r="RG5618" s="106"/>
      <c r="RH5618" s="106"/>
      <c r="RI5618" s="106"/>
      <c r="RJ5618" s="106"/>
      <c r="RK5618" s="106"/>
      <c r="RL5618" s="106"/>
    </row>
    <row r="5619" spans="462:480" x14ac:dyDescent="0.3">
      <c r="QT5619" s="106"/>
      <c r="QU5619" s="106"/>
      <c r="QV5619" s="106"/>
      <c r="QW5619" s="106"/>
      <c r="QX5619" s="106"/>
      <c r="QY5619" s="106"/>
      <c r="QZ5619" s="106"/>
      <c r="RA5619" s="106"/>
      <c r="RB5619" s="106"/>
      <c r="RC5619" s="106"/>
      <c r="RD5619" s="106"/>
      <c r="RE5619" s="106"/>
      <c r="RF5619" s="106"/>
      <c r="RG5619" s="106"/>
      <c r="RH5619" s="106"/>
      <c r="RI5619" s="106"/>
      <c r="RJ5619" s="106"/>
      <c r="RK5619" s="106"/>
      <c r="RL5619" s="106"/>
    </row>
    <row r="5620" spans="462:480" x14ac:dyDescent="0.3">
      <c r="QT5620" s="106"/>
      <c r="QU5620" s="106"/>
      <c r="QV5620" s="106"/>
      <c r="QW5620" s="106"/>
      <c r="QX5620" s="106"/>
      <c r="QY5620" s="106"/>
      <c r="QZ5620" s="106"/>
      <c r="RA5620" s="106"/>
      <c r="RB5620" s="106"/>
      <c r="RC5620" s="106"/>
      <c r="RD5620" s="106"/>
      <c r="RE5620" s="106"/>
      <c r="RF5620" s="106"/>
      <c r="RG5620" s="106"/>
      <c r="RH5620" s="106"/>
      <c r="RI5620" s="106"/>
      <c r="RJ5620" s="106"/>
      <c r="RK5620" s="106"/>
      <c r="RL5620" s="106"/>
    </row>
    <row r="5621" spans="462:480" x14ac:dyDescent="0.3">
      <c r="QT5621" s="106"/>
      <c r="QU5621" s="106"/>
      <c r="QV5621" s="106"/>
      <c r="QW5621" s="106"/>
      <c r="QX5621" s="106"/>
      <c r="QY5621" s="106"/>
      <c r="QZ5621" s="106"/>
      <c r="RA5621" s="106"/>
      <c r="RB5621" s="106"/>
      <c r="RC5621" s="106"/>
      <c r="RD5621" s="106"/>
      <c r="RE5621" s="106"/>
      <c r="RF5621" s="106"/>
      <c r="RG5621" s="106"/>
      <c r="RH5621" s="106"/>
      <c r="RI5621" s="106"/>
      <c r="RJ5621" s="106"/>
      <c r="RK5621" s="106"/>
      <c r="RL5621" s="106"/>
    </row>
    <row r="5622" spans="462:480" x14ac:dyDescent="0.3">
      <c r="QT5622" s="106"/>
      <c r="QU5622" s="106"/>
      <c r="QV5622" s="106"/>
      <c r="QW5622" s="106"/>
      <c r="QX5622" s="106"/>
      <c r="QY5622" s="106"/>
      <c r="QZ5622" s="106"/>
      <c r="RA5622" s="106"/>
      <c r="RB5622" s="106"/>
      <c r="RC5622" s="106"/>
      <c r="RD5622" s="106"/>
      <c r="RE5622" s="106"/>
      <c r="RF5622" s="106"/>
      <c r="RG5622" s="106"/>
      <c r="RH5622" s="106"/>
      <c r="RI5622" s="106"/>
      <c r="RJ5622" s="106"/>
      <c r="RK5622" s="106"/>
      <c r="RL5622" s="106"/>
    </row>
    <row r="5623" spans="462:480" x14ac:dyDescent="0.3">
      <c r="QT5623" s="106"/>
      <c r="QU5623" s="106"/>
      <c r="QV5623" s="106"/>
      <c r="QW5623" s="106"/>
      <c r="QX5623" s="106"/>
      <c r="QY5623" s="106"/>
      <c r="QZ5623" s="106"/>
      <c r="RA5623" s="106"/>
      <c r="RB5623" s="106"/>
      <c r="RC5623" s="106"/>
      <c r="RD5623" s="106"/>
      <c r="RE5623" s="106"/>
      <c r="RF5623" s="106"/>
      <c r="RG5623" s="106"/>
      <c r="RH5623" s="106"/>
      <c r="RI5623" s="106"/>
      <c r="RJ5623" s="106"/>
      <c r="RK5623" s="106"/>
      <c r="RL5623" s="106"/>
    </row>
    <row r="5624" spans="462:480" x14ac:dyDescent="0.3">
      <c r="QT5624" s="106"/>
      <c r="QU5624" s="106"/>
      <c r="QV5624" s="106"/>
      <c r="QW5624" s="106"/>
      <c r="QX5624" s="106"/>
      <c r="QY5624" s="106"/>
      <c r="QZ5624" s="106"/>
      <c r="RA5624" s="106"/>
      <c r="RB5624" s="106"/>
      <c r="RC5624" s="106"/>
      <c r="RD5624" s="106"/>
      <c r="RE5624" s="106"/>
      <c r="RF5624" s="106"/>
      <c r="RG5624" s="106"/>
      <c r="RH5624" s="106"/>
      <c r="RI5624" s="106"/>
      <c r="RJ5624" s="106"/>
      <c r="RK5624" s="106"/>
      <c r="RL5624" s="106"/>
    </row>
    <row r="5625" spans="462:480" x14ac:dyDescent="0.3">
      <c r="QT5625" s="106"/>
      <c r="QU5625" s="106"/>
      <c r="QV5625" s="106"/>
      <c r="QW5625" s="106"/>
      <c r="QX5625" s="106"/>
      <c r="QY5625" s="106"/>
      <c r="QZ5625" s="106"/>
      <c r="RA5625" s="106"/>
      <c r="RB5625" s="106"/>
      <c r="RC5625" s="106"/>
      <c r="RD5625" s="106"/>
      <c r="RE5625" s="106"/>
      <c r="RF5625" s="106"/>
      <c r="RG5625" s="106"/>
      <c r="RH5625" s="106"/>
      <c r="RI5625" s="106"/>
      <c r="RJ5625" s="106"/>
      <c r="RK5625" s="106"/>
      <c r="RL5625" s="106"/>
    </row>
    <row r="5626" spans="462:480" x14ac:dyDescent="0.3">
      <c r="QT5626" s="106"/>
      <c r="QU5626" s="106"/>
      <c r="QV5626" s="106"/>
      <c r="QW5626" s="106"/>
      <c r="QX5626" s="106"/>
      <c r="QY5626" s="106"/>
      <c r="QZ5626" s="106"/>
      <c r="RA5626" s="106"/>
      <c r="RB5626" s="106"/>
      <c r="RC5626" s="106"/>
      <c r="RD5626" s="106"/>
      <c r="RE5626" s="106"/>
      <c r="RF5626" s="106"/>
      <c r="RG5626" s="106"/>
      <c r="RH5626" s="106"/>
      <c r="RI5626" s="106"/>
      <c r="RJ5626" s="106"/>
      <c r="RK5626" s="106"/>
      <c r="RL5626" s="106"/>
    </row>
    <row r="5627" spans="462:480" x14ac:dyDescent="0.3">
      <c r="QT5627" s="106"/>
      <c r="QU5627" s="106"/>
      <c r="QV5627" s="106"/>
      <c r="QW5627" s="106"/>
      <c r="QX5627" s="106"/>
      <c r="QY5627" s="106"/>
      <c r="QZ5627" s="106"/>
      <c r="RA5627" s="106"/>
      <c r="RB5627" s="106"/>
      <c r="RC5627" s="106"/>
      <c r="RD5627" s="106"/>
      <c r="RE5627" s="106"/>
      <c r="RF5627" s="106"/>
      <c r="RG5627" s="106"/>
      <c r="RH5627" s="106"/>
      <c r="RI5627" s="106"/>
      <c r="RJ5627" s="106"/>
      <c r="RK5627" s="106"/>
      <c r="RL5627" s="106"/>
    </row>
    <row r="5628" spans="462:480" x14ac:dyDescent="0.3">
      <c r="QT5628" s="106"/>
      <c r="QU5628" s="106"/>
      <c r="QV5628" s="106"/>
      <c r="QW5628" s="106"/>
      <c r="QX5628" s="106"/>
      <c r="QY5628" s="106"/>
      <c r="QZ5628" s="106"/>
      <c r="RA5628" s="106"/>
      <c r="RB5628" s="106"/>
      <c r="RC5628" s="106"/>
      <c r="RD5628" s="106"/>
      <c r="RE5628" s="106"/>
      <c r="RF5628" s="106"/>
      <c r="RG5628" s="106"/>
      <c r="RH5628" s="106"/>
      <c r="RI5628" s="106"/>
      <c r="RJ5628" s="106"/>
      <c r="RK5628" s="106"/>
      <c r="RL5628" s="106"/>
    </row>
    <row r="5629" spans="462:480" x14ac:dyDescent="0.3">
      <c r="QT5629" s="106"/>
      <c r="QU5629" s="106"/>
      <c r="QV5629" s="106"/>
      <c r="QW5629" s="106"/>
      <c r="QX5629" s="106"/>
      <c r="QY5629" s="106"/>
      <c r="QZ5629" s="106"/>
      <c r="RA5629" s="106"/>
      <c r="RB5629" s="106"/>
      <c r="RC5629" s="106"/>
      <c r="RD5629" s="106"/>
      <c r="RE5629" s="106"/>
      <c r="RF5629" s="106"/>
      <c r="RG5629" s="106"/>
      <c r="RH5629" s="106"/>
      <c r="RI5629" s="106"/>
      <c r="RJ5629" s="106"/>
      <c r="RK5629" s="106"/>
      <c r="RL5629" s="106"/>
    </row>
    <row r="5630" spans="462:480" x14ac:dyDescent="0.3">
      <c r="QT5630" s="106"/>
      <c r="QU5630" s="106"/>
      <c r="QV5630" s="106"/>
      <c r="QW5630" s="106"/>
      <c r="QX5630" s="106"/>
      <c r="QY5630" s="106"/>
      <c r="QZ5630" s="106"/>
      <c r="RA5630" s="106"/>
      <c r="RB5630" s="106"/>
      <c r="RC5630" s="106"/>
      <c r="RD5630" s="106"/>
      <c r="RE5630" s="106"/>
      <c r="RF5630" s="106"/>
      <c r="RG5630" s="106"/>
      <c r="RH5630" s="106"/>
      <c r="RI5630" s="106"/>
      <c r="RJ5630" s="106"/>
      <c r="RK5630" s="106"/>
      <c r="RL5630" s="106"/>
    </row>
    <row r="5631" spans="462:480" x14ac:dyDescent="0.3">
      <c r="QT5631" s="106"/>
      <c r="QU5631" s="106"/>
      <c r="QV5631" s="106"/>
      <c r="QW5631" s="106"/>
      <c r="QX5631" s="106"/>
      <c r="QY5631" s="106"/>
      <c r="QZ5631" s="106"/>
      <c r="RA5631" s="106"/>
      <c r="RB5631" s="106"/>
      <c r="RC5631" s="106"/>
      <c r="RD5631" s="106"/>
      <c r="RE5631" s="106"/>
      <c r="RF5631" s="106"/>
      <c r="RG5631" s="106"/>
      <c r="RH5631" s="106"/>
      <c r="RI5631" s="106"/>
      <c r="RJ5631" s="106"/>
      <c r="RK5631" s="106"/>
      <c r="RL5631" s="106"/>
    </row>
    <row r="5632" spans="462:480" x14ac:dyDescent="0.3">
      <c r="QT5632" s="106"/>
      <c r="QU5632" s="106"/>
      <c r="QV5632" s="106"/>
      <c r="QW5632" s="106"/>
      <c r="QX5632" s="106"/>
      <c r="QY5632" s="106"/>
      <c r="QZ5632" s="106"/>
      <c r="RA5632" s="106"/>
      <c r="RB5632" s="106"/>
      <c r="RC5632" s="106"/>
      <c r="RD5632" s="106"/>
      <c r="RE5632" s="106"/>
      <c r="RF5632" s="106"/>
      <c r="RG5632" s="106"/>
      <c r="RH5632" s="106"/>
      <c r="RI5632" s="106"/>
      <c r="RJ5632" s="106"/>
      <c r="RK5632" s="106"/>
      <c r="RL5632" s="106"/>
    </row>
    <row r="5633" spans="462:480" x14ac:dyDescent="0.3">
      <c r="QT5633" s="106"/>
      <c r="QU5633" s="106"/>
      <c r="QV5633" s="106"/>
      <c r="QW5633" s="106"/>
      <c r="QX5633" s="106"/>
      <c r="QY5633" s="106"/>
      <c r="QZ5633" s="106"/>
      <c r="RA5633" s="106"/>
      <c r="RB5633" s="106"/>
      <c r="RC5633" s="106"/>
      <c r="RD5633" s="106"/>
      <c r="RE5633" s="106"/>
      <c r="RF5633" s="106"/>
      <c r="RG5633" s="106"/>
      <c r="RH5633" s="106"/>
      <c r="RI5633" s="106"/>
      <c r="RJ5633" s="106"/>
      <c r="RK5633" s="106"/>
      <c r="RL5633" s="106"/>
    </row>
    <row r="5634" spans="462:480" x14ac:dyDescent="0.3">
      <c r="QT5634" s="106"/>
      <c r="QU5634" s="106"/>
      <c r="QV5634" s="106"/>
      <c r="QW5634" s="106"/>
      <c r="QX5634" s="106"/>
      <c r="QY5634" s="106"/>
      <c r="QZ5634" s="106"/>
      <c r="RA5634" s="106"/>
      <c r="RB5634" s="106"/>
      <c r="RC5634" s="106"/>
      <c r="RD5634" s="106"/>
      <c r="RE5634" s="106"/>
      <c r="RF5634" s="106"/>
      <c r="RG5634" s="106"/>
      <c r="RH5634" s="106"/>
      <c r="RI5634" s="106"/>
      <c r="RJ5634" s="106"/>
      <c r="RK5634" s="106"/>
      <c r="RL5634" s="106"/>
    </row>
    <row r="5635" spans="462:480" x14ac:dyDescent="0.3">
      <c r="QT5635" s="106"/>
      <c r="QU5635" s="106"/>
      <c r="QV5635" s="106"/>
      <c r="QW5635" s="106"/>
      <c r="QX5635" s="106"/>
      <c r="QY5635" s="106"/>
      <c r="QZ5635" s="106"/>
      <c r="RA5635" s="106"/>
      <c r="RB5635" s="106"/>
      <c r="RC5635" s="106"/>
      <c r="RD5635" s="106"/>
      <c r="RE5635" s="106"/>
      <c r="RF5635" s="106"/>
      <c r="RG5635" s="106"/>
      <c r="RH5635" s="106"/>
      <c r="RI5635" s="106"/>
      <c r="RJ5635" s="106"/>
      <c r="RK5635" s="106"/>
      <c r="RL5635" s="106"/>
    </row>
    <row r="5636" spans="462:480" x14ac:dyDescent="0.3">
      <c r="QT5636" s="106"/>
      <c r="QU5636" s="106"/>
      <c r="QV5636" s="106"/>
      <c r="QW5636" s="106"/>
      <c r="QX5636" s="106"/>
      <c r="QY5636" s="106"/>
      <c r="QZ5636" s="106"/>
      <c r="RA5636" s="106"/>
      <c r="RB5636" s="106"/>
      <c r="RC5636" s="106"/>
      <c r="RD5636" s="106"/>
      <c r="RE5636" s="106"/>
      <c r="RF5636" s="106"/>
      <c r="RG5636" s="106"/>
      <c r="RH5636" s="106"/>
      <c r="RI5636" s="106"/>
      <c r="RJ5636" s="106"/>
      <c r="RK5636" s="106"/>
      <c r="RL5636" s="106"/>
    </row>
    <row r="5637" spans="462:480" x14ac:dyDescent="0.3">
      <c r="QT5637" s="106"/>
      <c r="QU5637" s="106"/>
      <c r="QV5637" s="106"/>
      <c r="QW5637" s="106"/>
      <c r="QX5637" s="106"/>
      <c r="QY5637" s="106"/>
      <c r="QZ5637" s="106"/>
      <c r="RA5637" s="106"/>
      <c r="RB5637" s="106"/>
      <c r="RC5637" s="106"/>
      <c r="RD5637" s="106"/>
      <c r="RE5637" s="106"/>
      <c r="RF5637" s="106"/>
      <c r="RG5637" s="106"/>
      <c r="RH5637" s="106"/>
      <c r="RI5637" s="106"/>
      <c r="RJ5637" s="106"/>
      <c r="RK5637" s="106"/>
      <c r="RL5637" s="106"/>
    </row>
    <row r="5638" spans="462:480" x14ac:dyDescent="0.3">
      <c r="QT5638" s="106"/>
      <c r="QU5638" s="106"/>
      <c r="QV5638" s="106"/>
      <c r="QW5638" s="106"/>
      <c r="QX5638" s="106"/>
      <c r="QY5638" s="106"/>
      <c r="QZ5638" s="106"/>
      <c r="RA5638" s="106"/>
      <c r="RB5638" s="106"/>
      <c r="RC5638" s="106"/>
      <c r="RD5638" s="106"/>
      <c r="RE5638" s="106"/>
      <c r="RF5638" s="106"/>
      <c r="RG5638" s="106"/>
      <c r="RH5638" s="106"/>
      <c r="RI5638" s="106"/>
      <c r="RJ5638" s="106"/>
      <c r="RK5638" s="106"/>
      <c r="RL5638" s="106"/>
    </row>
    <row r="5639" spans="462:480" x14ac:dyDescent="0.3">
      <c r="QT5639" s="106"/>
      <c r="QU5639" s="106"/>
      <c r="QV5639" s="106"/>
      <c r="QW5639" s="106"/>
      <c r="QX5639" s="106"/>
      <c r="QY5639" s="106"/>
      <c r="QZ5639" s="106"/>
      <c r="RA5639" s="106"/>
      <c r="RB5639" s="106"/>
      <c r="RC5639" s="106"/>
      <c r="RD5639" s="106"/>
      <c r="RE5639" s="106"/>
      <c r="RF5639" s="106"/>
      <c r="RG5639" s="106"/>
      <c r="RH5639" s="106"/>
      <c r="RI5639" s="106"/>
      <c r="RJ5639" s="106"/>
      <c r="RK5639" s="106"/>
      <c r="RL5639" s="106"/>
    </row>
    <row r="5640" spans="462:480" x14ac:dyDescent="0.3">
      <c r="QT5640" s="106"/>
      <c r="QU5640" s="106"/>
      <c r="QV5640" s="106"/>
      <c r="QW5640" s="106"/>
      <c r="QX5640" s="106"/>
      <c r="QY5640" s="106"/>
      <c r="QZ5640" s="106"/>
      <c r="RA5640" s="106"/>
      <c r="RB5640" s="106"/>
      <c r="RC5640" s="106"/>
      <c r="RD5640" s="106"/>
      <c r="RE5640" s="106"/>
      <c r="RF5640" s="106"/>
      <c r="RG5640" s="106"/>
      <c r="RH5640" s="106"/>
      <c r="RI5640" s="106"/>
      <c r="RJ5640" s="106"/>
      <c r="RK5640" s="106"/>
      <c r="RL5640" s="106"/>
    </row>
    <row r="5641" spans="462:480" x14ac:dyDescent="0.3">
      <c r="QT5641" s="106"/>
      <c r="QU5641" s="106"/>
      <c r="QV5641" s="106"/>
      <c r="QW5641" s="106"/>
      <c r="QX5641" s="106"/>
      <c r="QY5641" s="106"/>
      <c r="QZ5641" s="106"/>
      <c r="RA5641" s="106"/>
      <c r="RB5641" s="106"/>
      <c r="RC5641" s="106"/>
      <c r="RD5641" s="106"/>
      <c r="RE5641" s="106"/>
      <c r="RF5641" s="106"/>
      <c r="RG5641" s="106"/>
      <c r="RH5641" s="106"/>
      <c r="RI5641" s="106"/>
      <c r="RJ5641" s="106"/>
      <c r="RK5641" s="106"/>
      <c r="RL5641" s="106"/>
    </row>
    <row r="5642" spans="462:480" x14ac:dyDescent="0.3">
      <c r="QT5642" s="106"/>
      <c r="QU5642" s="106"/>
      <c r="QV5642" s="106"/>
      <c r="QW5642" s="106"/>
      <c r="QX5642" s="106"/>
      <c r="QY5642" s="106"/>
      <c r="QZ5642" s="106"/>
      <c r="RA5642" s="106"/>
      <c r="RB5642" s="106"/>
      <c r="RC5642" s="106"/>
      <c r="RD5642" s="106"/>
      <c r="RE5642" s="106"/>
      <c r="RF5642" s="106"/>
      <c r="RG5642" s="106"/>
      <c r="RH5642" s="106"/>
      <c r="RI5642" s="106"/>
      <c r="RJ5642" s="106"/>
      <c r="RK5642" s="106"/>
      <c r="RL5642" s="106"/>
    </row>
    <row r="5643" spans="462:480" x14ac:dyDescent="0.3">
      <c r="QT5643" s="106"/>
      <c r="QU5643" s="106"/>
      <c r="QV5643" s="106"/>
      <c r="QW5643" s="106"/>
      <c r="QX5643" s="106"/>
      <c r="QY5643" s="106"/>
      <c r="QZ5643" s="106"/>
      <c r="RA5643" s="106"/>
      <c r="RB5643" s="106"/>
      <c r="RC5643" s="106"/>
      <c r="RD5643" s="106"/>
      <c r="RE5643" s="106"/>
      <c r="RF5643" s="106"/>
      <c r="RG5643" s="106"/>
      <c r="RH5643" s="106"/>
      <c r="RI5643" s="106"/>
      <c r="RJ5643" s="106"/>
      <c r="RK5643" s="106"/>
      <c r="RL5643" s="106"/>
    </row>
    <row r="5644" spans="462:480" x14ac:dyDescent="0.3">
      <c r="QT5644" s="106"/>
      <c r="QU5644" s="106"/>
      <c r="QV5644" s="106"/>
      <c r="QW5644" s="106"/>
      <c r="QX5644" s="106"/>
      <c r="QY5644" s="106"/>
      <c r="QZ5644" s="106"/>
      <c r="RA5644" s="106"/>
      <c r="RB5644" s="106"/>
      <c r="RC5644" s="106"/>
      <c r="RD5644" s="106"/>
      <c r="RE5644" s="106"/>
      <c r="RF5644" s="106"/>
      <c r="RG5644" s="106"/>
      <c r="RH5644" s="106"/>
      <c r="RI5644" s="106"/>
      <c r="RJ5644" s="106"/>
      <c r="RK5644" s="106"/>
      <c r="RL5644" s="106"/>
    </row>
    <row r="5645" spans="462:480" x14ac:dyDescent="0.3">
      <c r="QT5645" s="106"/>
      <c r="QU5645" s="106"/>
      <c r="QV5645" s="106"/>
      <c r="QW5645" s="106"/>
      <c r="QX5645" s="106"/>
      <c r="QY5645" s="106"/>
      <c r="QZ5645" s="106"/>
      <c r="RA5645" s="106"/>
      <c r="RB5645" s="106"/>
      <c r="RC5645" s="106"/>
      <c r="RD5645" s="106"/>
      <c r="RE5645" s="106"/>
      <c r="RF5645" s="106"/>
      <c r="RG5645" s="106"/>
      <c r="RH5645" s="106"/>
      <c r="RI5645" s="106"/>
      <c r="RJ5645" s="106"/>
      <c r="RK5645" s="106"/>
      <c r="RL5645" s="106"/>
    </row>
    <row r="5646" spans="462:480" x14ac:dyDescent="0.3">
      <c r="QT5646" s="106"/>
      <c r="QU5646" s="106"/>
      <c r="QV5646" s="106"/>
      <c r="QW5646" s="106"/>
      <c r="QX5646" s="106"/>
      <c r="QY5646" s="106"/>
      <c r="QZ5646" s="106"/>
      <c r="RA5646" s="106"/>
      <c r="RB5646" s="106"/>
      <c r="RC5646" s="106"/>
      <c r="RD5646" s="106"/>
      <c r="RE5646" s="106"/>
      <c r="RF5646" s="106"/>
      <c r="RG5646" s="106"/>
      <c r="RH5646" s="106"/>
      <c r="RI5646" s="106"/>
      <c r="RJ5646" s="106"/>
      <c r="RK5646" s="106"/>
      <c r="RL5646" s="106"/>
    </row>
    <row r="5647" spans="462:480" x14ac:dyDescent="0.3">
      <c r="QT5647" s="106"/>
      <c r="QU5647" s="106"/>
      <c r="QV5647" s="106"/>
      <c r="QW5647" s="106"/>
      <c r="QX5647" s="106"/>
      <c r="QY5647" s="106"/>
      <c r="QZ5647" s="106"/>
      <c r="RA5647" s="106"/>
      <c r="RB5647" s="106"/>
      <c r="RC5647" s="106"/>
      <c r="RD5647" s="106"/>
      <c r="RE5647" s="106"/>
      <c r="RF5647" s="106"/>
      <c r="RG5647" s="106"/>
      <c r="RH5647" s="106"/>
      <c r="RI5647" s="106"/>
      <c r="RJ5647" s="106"/>
      <c r="RK5647" s="106"/>
      <c r="RL5647" s="106"/>
    </row>
    <row r="5648" spans="462:480" x14ac:dyDescent="0.3">
      <c r="QT5648" s="106"/>
      <c r="QU5648" s="106"/>
      <c r="QV5648" s="106"/>
      <c r="QW5648" s="106"/>
      <c r="QX5648" s="106"/>
      <c r="QY5648" s="106"/>
      <c r="QZ5648" s="106"/>
      <c r="RA5648" s="106"/>
      <c r="RB5648" s="106"/>
      <c r="RC5648" s="106"/>
      <c r="RD5648" s="106"/>
      <c r="RE5648" s="106"/>
      <c r="RF5648" s="106"/>
      <c r="RG5648" s="106"/>
      <c r="RH5648" s="106"/>
      <c r="RI5648" s="106"/>
      <c r="RJ5648" s="106"/>
      <c r="RK5648" s="106"/>
      <c r="RL5648" s="106"/>
    </row>
    <row r="5649" spans="462:480" x14ac:dyDescent="0.3">
      <c r="QT5649" s="106"/>
      <c r="QU5649" s="106"/>
      <c r="QV5649" s="106"/>
      <c r="QW5649" s="106"/>
      <c r="QX5649" s="106"/>
      <c r="QY5649" s="106"/>
      <c r="QZ5649" s="106"/>
      <c r="RA5649" s="106"/>
      <c r="RB5649" s="106"/>
      <c r="RC5649" s="106"/>
      <c r="RD5649" s="106"/>
      <c r="RE5649" s="106"/>
      <c r="RF5649" s="106"/>
      <c r="RG5649" s="106"/>
      <c r="RH5649" s="106"/>
      <c r="RI5649" s="106"/>
      <c r="RJ5649" s="106"/>
      <c r="RK5649" s="106"/>
      <c r="RL5649" s="106"/>
    </row>
    <row r="5650" spans="462:480" x14ac:dyDescent="0.3">
      <c r="QT5650" s="106"/>
      <c r="QU5650" s="106"/>
      <c r="QV5650" s="106"/>
      <c r="QW5650" s="106"/>
      <c r="QX5650" s="106"/>
      <c r="QY5650" s="106"/>
      <c r="QZ5650" s="106"/>
      <c r="RA5650" s="106"/>
      <c r="RB5650" s="106"/>
      <c r="RC5650" s="106"/>
      <c r="RD5650" s="106"/>
      <c r="RE5650" s="106"/>
      <c r="RF5650" s="106"/>
      <c r="RG5650" s="106"/>
      <c r="RH5650" s="106"/>
      <c r="RI5650" s="106"/>
      <c r="RJ5650" s="106"/>
      <c r="RK5650" s="106"/>
      <c r="RL5650" s="106"/>
    </row>
    <row r="5651" spans="462:480" x14ac:dyDescent="0.3">
      <c r="QT5651" s="106"/>
      <c r="QU5651" s="106"/>
      <c r="QV5651" s="106"/>
      <c r="QW5651" s="106"/>
      <c r="QX5651" s="106"/>
      <c r="QY5651" s="106"/>
      <c r="QZ5651" s="106"/>
      <c r="RA5651" s="106"/>
      <c r="RB5651" s="106"/>
      <c r="RC5651" s="106"/>
      <c r="RD5651" s="106"/>
      <c r="RE5651" s="106"/>
      <c r="RF5651" s="106"/>
      <c r="RG5651" s="106"/>
      <c r="RH5651" s="106"/>
      <c r="RI5651" s="106"/>
      <c r="RJ5651" s="106"/>
      <c r="RK5651" s="106"/>
      <c r="RL5651" s="106"/>
    </row>
    <row r="5652" spans="462:480" x14ac:dyDescent="0.3">
      <c r="QT5652" s="106"/>
      <c r="QU5652" s="106"/>
      <c r="QV5652" s="106"/>
      <c r="QW5652" s="106"/>
      <c r="QX5652" s="106"/>
      <c r="QY5652" s="106"/>
      <c r="QZ5652" s="106"/>
      <c r="RA5652" s="106"/>
      <c r="RB5652" s="106"/>
      <c r="RC5652" s="106"/>
      <c r="RD5652" s="106"/>
      <c r="RE5652" s="106"/>
      <c r="RF5652" s="106"/>
      <c r="RG5652" s="106"/>
      <c r="RH5652" s="106"/>
      <c r="RI5652" s="106"/>
      <c r="RJ5652" s="106"/>
      <c r="RK5652" s="106"/>
      <c r="RL5652" s="106"/>
    </row>
    <row r="5653" spans="462:480" x14ac:dyDescent="0.3">
      <c r="QT5653" s="106"/>
      <c r="QU5653" s="106"/>
      <c r="QV5653" s="106"/>
      <c r="QW5653" s="106"/>
      <c r="QX5653" s="106"/>
      <c r="QY5653" s="106"/>
      <c r="QZ5653" s="106"/>
      <c r="RA5653" s="106"/>
      <c r="RB5653" s="106"/>
      <c r="RC5653" s="106"/>
      <c r="RD5653" s="106"/>
      <c r="RE5653" s="106"/>
      <c r="RF5653" s="106"/>
      <c r="RG5653" s="106"/>
      <c r="RH5653" s="106"/>
      <c r="RI5653" s="106"/>
      <c r="RJ5653" s="106"/>
      <c r="RK5653" s="106"/>
      <c r="RL5653" s="106"/>
    </row>
    <row r="5654" spans="462:480" x14ac:dyDescent="0.3">
      <c r="QT5654" s="106"/>
      <c r="QU5654" s="106"/>
      <c r="QV5654" s="106"/>
      <c r="QW5654" s="106"/>
      <c r="QX5654" s="106"/>
      <c r="QY5654" s="106"/>
      <c r="QZ5654" s="106"/>
      <c r="RA5654" s="106"/>
      <c r="RB5654" s="106"/>
      <c r="RC5654" s="106"/>
      <c r="RD5654" s="106"/>
      <c r="RE5654" s="106"/>
      <c r="RF5654" s="106"/>
      <c r="RG5654" s="106"/>
      <c r="RH5654" s="106"/>
      <c r="RI5654" s="106"/>
      <c r="RJ5654" s="106"/>
      <c r="RK5654" s="106"/>
      <c r="RL5654" s="106"/>
    </row>
    <row r="5655" spans="462:480" x14ac:dyDescent="0.3">
      <c r="QT5655" s="106"/>
      <c r="QU5655" s="106"/>
      <c r="QV5655" s="106"/>
      <c r="QW5655" s="106"/>
      <c r="QX5655" s="106"/>
      <c r="QY5655" s="106"/>
      <c r="QZ5655" s="106"/>
      <c r="RA5655" s="106"/>
      <c r="RB5655" s="106"/>
      <c r="RC5655" s="106"/>
      <c r="RD5655" s="106"/>
      <c r="RE5655" s="106"/>
      <c r="RF5655" s="106"/>
      <c r="RG5655" s="106"/>
      <c r="RH5655" s="106"/>
      <c r="RI5655" s="106"/>
      <c r="RJ5655" s="106"/>
      <c r="RK5655" s="106"/>
      <c r="RL5655" s="106"/>
    </row>
    <row r="5656" spans="462:480" x14ac:dyDescent="0.3">
      <c r="QT5656" s="106"/>
      <c r="QU5656" s="106"/>
      <c r="QV5656" s="106"/>
      <c r="QW5656" s="106"/>
      <c r="QX5656" s="106"/>
      <c r="QY5656" s="106"/>
      <c r="QZ5656" s="106"/>
      <c r="RA5656" s="106"/>
      <c r="RB5656" s="106"/>
      <c r="RC5656" s="106"/>
      <c r="RD5656" s="106"/>
      <c r="RE5656" s="106"/>
      <c r="RF5656" s="106"/>
      <c r="RG5656" s="106"/>
      <c r="RH5656" s="106"/>
      <c r="RI5656" s="106"/>
      <c r="RJ5656" s="106"/>
      <c r="RK5656" s="106"/>
      <c r="RL5656" s="106"/>
    </row>
    <row r="5657" spans="462:480" x14ac:dyDescent="0.3">
      <c r="QT5657" s="106"/>
      <c r="QU5657" s="106"/>
      <c r="QV5657" s="106"/>
      <c r="QW5657" s="106"/>
      <c r="QX5657" s="106"/>
      <c r="QY5657" s="106"/>
      <c r="QZ5657" s="106"/>
      <c r="RA5657" s="106"/>
      <c r="RB5657" s="106"/>
      <c r="RC5657" s="106"/>
      <c r="RD5657" s="106"/>
      <c r="RE5657" s="106"/>
      <c r="RF5657" s="106"/>
      <c r="RG5657" s="106"/>
      <c r="RH5657" s="106"/>
      <c r="RI5657" s="106"/>
      <c r="RJ5657" s="106"/>
      <c r="RK5657" s="106"/>
      <c r="RL5657" s="106"/>
    </row>
    <row r="5658" spans="462:480" x14ac:dyDescent="0.3">
      <c r="QT5658" s="106"/>
      <c r="QU5658" s="106"/>
      <c r="QV5658" s="106"/>
      <c r="QW5658" s="106"/>
      <c r="QX5658" s="106"/>
      <c r="QY5658" s="106"/>
      <c r="QZ5658" s="106"/>
      <c r="RA5658" s="106"/>
      <c r="RB5658" s="106"/>
      <c r="RC5658" s="106"/>
      <c r="RD5658" s="106"/>
      <c r="RE5658" s="106"/>
      <c r="RF5658" s="106"/>
      <c r="RG5658" s="106"/>
      <c r="RH5658" s="106"/>
      <c r="RI5658" s="106"/>
      <c r="RJ5658" s="106"/>
      <c r="RK5658" s="106"/>
      <c r="RL5658" s="106"/>
    </row>
    <row r="5659" spans="462:480" x14ac:dyDescent="0.3">
      <c r="QT5659" s="106"/>
      <c r="QU5659" s="106"/>
      <c r="QV5659" s="106"/>
      <c r="QW5659" s="106"/>
      <c r="QX5659" s="106"/>
      <c r="QY5659" s="106"/>
      <c r="QZ5659" s="106"/>
      <c r="RA5659" s="106"/>
      <c r="RB5659" s="106"/>
      <c r="RC5659" s="106"/>
      <c r="RD5659" s="106"/>
      <c r="RE5659" s="106"/>
      <c r="RF5659" s="106"/>
      <c r="RG5659" s="106"/>
      <c r="RH5659" s="106"/>
      <c r="RI5659" s="106"/>
      <c r="RJ5659" s="106"/>
      <c r="RK5659" s="106"/>
      <c r="RL5659" s="106"/>
    </row>
    <row r="5660" spans="462:480" x14ac:dyDescent="0.3">
      <c r="QT5660" s="106"/>
      <c r="QU5660" s="106"/>
      <c r="QV5660" s="106"/>
      <c r="QW5660" s="106"/>
      <c r="QX5660" s="106"/>
      <c r="QY5660" s="106"/>
      <c r="QZ5660" s="106"/>
      <c r="RA5660" s="106"/>
      <c r="RB5660" s="106"/>
      <c r="RC5660" s="106"/>
      <c r="RD5660" s="106"/>
      <c r="RE5660" s="106"/>
      <c r="RF5660" s="106"/>
      <c r="RG5660" s="106"/>
      <c r="RH5660" s="106"/>
      <c r="RI5660" s="106"/>
      <c r="RJ5660" s="106"/>
      <c r="RK5660" s="106"/>
      <c r="RL5660" s="106"/>
    </row>
    <row r="5661" spans="462:480" x14ac:dyDescent="0.3">
      <c r="QT5661" s="106"/>
      <c r="QU5661" s="106"/>
      <c r="QV5661" s="106"/>
      <c r="QW5661" s="106"/>
      <c r="QX5661" s="106"/>
      <c r="QY5661" s="106"/>
      <c r="QZ5661" s="106"/>
      <c r="RA5661" s="106"/>
      <c r="RB5661" s="106"/>
      <c r="RC5661" s="106"/>
      <c r="RD5661" s="106"/>
      <c r="RE5661" s="106"/>
      <c r="RF5661" s="106"/>
      <c r="RG5661" s="106"/>
      <c r="RH5661" s="106"/>
      <c r="RI5661" s="106"/>
      <c r="RJ5661" s="106"/>
      <c r="RK5661" s="106"/>
      <c r="RL5661" s="106"/>
    </row>
    <row r="5662" spans="462:480" x14ac:dyDescent="0.3">
      <c r="QT5662" s="106"/>
      <c r="QU5662" s="106"/>
      <c r="QV5662" s="106"/>
      <c r="QW5662" s="106"/>
      <c r="QX5662" s="106"/>
      <c r="QY5662" s="106"/>
      <c r="QZ5662" s="106"/>
      <c r="RA5662" s="106"/>
      <c r="RB5662" s="106"/>
      <c r="RC5662" s="106"/>
      <c r="RD5662" s="106"/>
      <c r="RE5662" s="106"/>
      <c r="RF5662" s="106"/>
      <c r="RG5662" s="106"/>
      <c r="RH5662" s="106"/>
      <c r="RI5662" s="106"/>
      <c r="RJ5662" s="106"/>
      <c r="RK5662" s="106"/>
      <c r="RL5662" s="106"/>
    </row>
    <row r="5663" spans="462:480" x14ac:dyDescent="0.3">
      <c r="QT5663" s="106"/>
      <c r="QU5663" s="106"/>
      <c r="QV5663" s="106"/>
      <c r="QW5663" s="106"/>
      <c r="QX5663" s="106"/>
      <c r="QY5663" s="106"/>
      <c r="QZ5663" s="106"/>
      <c r="RA5663" s="106"/>
      <c r="RB5663" s="106"/>
      <c r="RC5663" s="106"/>
      <c r="RD5663" s="106"/>
      <c r="RE5663" s="106"/>
      <c r="RF5663" s="106"/>
      <c r="RG5663" s="106"/>
      <c r="RH5663" s="106"/>
      <c r="RI5663" s="106"/>
      <c r="RJ5663" s="106"/>
      <c r="RK5663" s="106"/>
      <c r="RL5663" s="106"/>
    </row>
    <row r="5664" spans="462:480" x14ac:dyDescent="0.3">
      <c r="QT5664" s="106"/>
      <c r="QU5664" s="106"/>
      <c r="QV5664" s="106"/>
      <c r="QW5664" s="106"/>
      <c r="QX5664" s="106"/>
      <c r="QY5664" s="106"/>
      <c r="QZ5664" s="106"/>
      <c r="RA5664" s="106"/>
      <c r="RB5664" s="106"/>
      <c r="RC5664" s="106"/>
      <c r="RD5664" s="106"/>
      <c r="RE5664" s="106"/>
      <c r="RF5664" s="106"/>
      <c r="RG5664" s="106"/>
      <c r="RH5664" s="106"/>
      <c r="RI5664" s="106"/>
      <c r="RJ5664" s="106"/>
      <c r="RK5664" s="106"/>
      <c r="RL5664" s="106"/>
    </row>
    <row r="5665" spans="462:480" x14ac:dyDescent="0.3">
      <c r="QT5665" s="106"/>
      <c r="QU5665" s="106"/>
      <c r="QV5665" s="106"/>
      <c r="QW5665" s="106"/>
      <c r="QX5665" s="106"/>
      <c r="QY5665" s="106"/>
      <c r="QZ5665" s="106"/>
      <c r="RA5665" s="106"/>
      <c r="RB5665" s="106"/>
      <c r="RC5665" s="106"/>
      <c r="RD5665" s="106"/>
      <c r="RE5665" s="106"/>
      <c r="RF5665" s="106"/>
      <c r="RG5665" s="106"/>
      <c r="RH5665" s="106"/>
      <c r="RI5665" s="106"/>
      <c r="RJ5665" s="106"/>
      <c r="RK5665" s="106"/>
      <c r="RL5665" s="106"/>
    </row>
    <row r="5666" spans="462:480" x14ac:dyDescent="0.3">
      <c r="QT5666" s="106"/>
      <c r="QU5666" s="106"/>
      <c r="QV5666" s="106"/>
      <c r="QW5666" s="106"/>
      <c r="QX5666" s="106"/>
      <c r="QY5666" s="106"/>
      <c r="QZ5666" s="106"/>
      <c r="RA5666" s="106"/>
      <c r="RB5666" s="106"/>
      <c r="RC5666" s="106"/>
      <c r="RD5666" s="106"/>
      <c r="RE5666" s="106"/>
      <c r="RF5666" s="106"/>
      <c r="RG5666" s="106"/>
      <c r="RH5666" s="106"/>
      <c r="RI5666" s="106"/>
      <c r="RJ5666" s="106"/>
      <c r="RK5666" s="106"/>
      <c r="RL5666" s="106"/>
    </row>
    <row r="5667" spans="462:480" x14ac:dyDescent="0.3">
      <c r="QT5667" s="106"/>
      <c r="QU5667" s="106"/>
      <c r="QV5667" s="106"/>
      <c r="QW5667" s="106"/>
      <c r="QX5667" s="106"/>
      <c r="QY5667" s="106"/>
      <c r="QZ5667" s="106"/>
      <c r="RA5667" s="106"/>
      <c r="RB5667" s="106"/>
      <c r="RC5667" s="106"/>
      <c r="RD5667" s="106"/>
      <c r="RE5667" s="106"/>
      <c r="RF5667" s="106"/>
      <c r="RG5667" s="106"/>
      <c r="RH5667" s="106"/>
      <c r="RI5667" s="106"/>
      <c r="RJ5667" s="106"/>
      <c r="RK5667" s="106"/>
      <c r="RL5667" s="106"/>
    </row>
    <row r="5668" spans="462:480" x14ac:dyDescent="0.3">
      <c r="QT5668" s="106"/>
      <c r="QU5668" s="106"/>
      <c r="QV5668" s="106"/>
      <c r="QW5668" s="106"/>
      <c r="QX5668" s="106"/>
      <c r="QY5668" s="106"/>
      <c r="QZ5668" s="106"/>
      <c r="RA5668" s="106"/>
      <c r="RB5668" s="106"/>
      <c r="RC5668" s="106"/>
      <c r="RD5668" s="106"/>
      <c r="RE5668" s="106"/>
      <c r="RF5668" s="106"/>
      <c r="RG5668" s="106"/>
      <c r="RH5668" s="106"/>
      <c r="RI5668" s="106"/>
      <c r="RJ5668" s="106"/>
      <c r="RK5668" s="106"/>
      <c r="RL5668" s="106"/>
    </row>
    <row r="5669" spans="462:480" x14ac:dyDescent="0.3">
      <c r="QT5669" s="106"/>
      <c r="QU5669" s="106"/>
      <c r="QV5669" s="106"/>
      <c r="QW5669" s="106"/>
      <c r="QX5669" s="106"/>
      <c r="QY5669" s="106"/>
      <c r="QZ5669" s="106"/>
      <c r="RA5669" s="106"/>
      <c r="RB5669" s="106"/>
      <c r="RC5669" s="106"/>
      <c r="RD5669" s="106"/>
      <c r="RE5669" s="106"/>
      <c r="RF5669" s="106"/>
      <c r="RG5669" s="106"/>
      <c r="RH5669" s="106"/>
      <c r="RI5669" s="106"/>
      <c r="RJ5669" s="106"/>
      <c r="RK5669" s="106"/>
      <c r="RL5669" s="106"/>
    </row>
    <row r="5670" spans="462:480" x14ac:dyDescent="0.3">
      <c r="QT5670" s="106"/>
      <c r="QU5670" s="106"/>
      <c r="QV5670" s="106"/>
      <c r="QW5670" s="106"/>
      <c r="QX5670" s="106"/>
      <c r="QY5670" s="106"/>
      <c r="QZ5670" s="106"/>
      <c r="RA5670" s="106"/>
      <c r="RB5670" s="106"/>
      <c r="RC5670" s="106"/>
      <c r="RD5670" s="106"/>
      <c r="RE5670" s="106"/>
      <c r="RF5670" s="106"/>
      <c r="RG5670" s="106"/>
      <c r="RH5670" s="106"/>
      <c r="RI5670" s="106"/>
      <c r="RJ5670" s="106"/>
      <c r="RK5670" s="106"/>
      <c r="RL5670" s="106"/>
    </row>
    <row r="5671" spans="462:480" x14ac:dyDescent="0.3">
      <c r="QT5671" s="106"/>
      <c r="QU5671" s="106"/>
      <c r="QV5671" s="106"/>
      <c r="QW5671" s="106"/>
      <c r="QX5671" s="106"/>
      <c r="QY5671" s="106"/>
      <c r="QZ5671" s="106"/>
      <c r="RA5671" s="106"/>
      <c r="RB5671" s="106"/>
      <c r="RC5671" s="106"/>
      <c r="RD5671" s="106"/>
      <c r="RE5671" s="106"/>
      <c r="RF5671" s="106"/>
      <c r="RG5671" s="106"/>
      <c r="RH5671" s="106"/>
      <c r="RI5671" s="106"/>
      <c r="RJ5671" s="106"/>
      <c r="RK5671" s="106"/>
      <c r="RL5671" s="106"/>
    </row>
    <row r="5672" spans="462:480" x14ac:dyDescent="0.3">
      <c r="QT5672" s="106"/>
      <c r="QU5672" s="106"/>
      <c r="QV5672" s="106"/>
      <c r="QW5672" s="106"/>
      <c r="QX5672" s="106"/>
      <c r="QY5672" s="106"/>
      <c r="QZ5672" s="106"/>
      <c r="RA5672" s="106"/>
      <c r="RB5672" s="106"/>
      <c r="RC5672" s="106"/>
      <c r="RD5672" s="106"/>
      <c r="RE5672" s="106"/>
      <c r="RF5672" s="106"/>
      <c r="RG5672" s="106"/>
      <c r="RH5672" s="106"/>
      <c r="RI5672" s="106"/>
      <c r="RJ5672" s="106"/>
      <c r="RK5672" s="106"/>
      <c r="RL5672" s="106"/>
    </row>
    <row r="5673" spans="462:480" x14ac:dyDescent="0.3">
      <c r="QT5673" s="106"/>
      <c r="QU5673" s="106"/>
      <c r="QV5673" s="106"/>
      <c r="QW5673" s="106"/>
      <c r="QX5673" s="106"/>
      <c r="QY5673" s="106"/>
      <c r="QZ5673" s="106"/>
      <c r="RA5673" s="106"/>
      <c r="RB5673" s="106"/>
      <c r="RC5673" s="106"/>
      <c r="RD5673" s="106"/>
      <c r="RE5673" s="106"/>
      <c r="RF5673" s="106"/>
      <c r="RG5673" s="106"/>
      <c r="RH5673" s="106"/>
      <c r="RI5673" s="106"/>
      <c r="RJ5673" s="106"/>
      <c r="RK5673" s="106"/>
      <c r="RL5673" s="106"/>
    </row>
    <row r="5674" spans="462:480" x14ac:dyDescent="0.3">
      <c r="QT5674" s="106"/>
      <c r="QU5674" s="106"/>
      <c r="QV5674" s="106"/>
      <c r="QW5674" s="106"/>
      <c r="QX5674" s="106"/>
      <c r="QY5674" s="106"/>
      <c r="QZ5674" s="106"/>
      <c r="RA5674" s="106"/>
      <c r="RB5674" s="106"/>
      <c r="RC5674" s="106"/>
      <c r="RD5674" s="106"/>
      <c r="RE5674" s="106"/>
      <c r="RF5674" s="106"/>
      <c r="RG5674" s="106"/>
      <c r="RH5674" s="106"/>
      <c r="RI5674" s="106"/>
      <c r="RJ5674" s="106"/>
      <c r="RK5674" s="106"/>
      <c r="RL5674" s="106"/>
    </row>
    <row r="5675" spans="462:480" x14ac:dyDescent="0.3">
      <c r="QT5675" s="106"/>
      <c r="QU5675" s="106"/>
      <c r="QV5675" s="106"/>
      <c r="QW5675" s="106"/>
      <c r="QX5675" s="106"/>
      <c r="QY5675" s="106"/>
      <c r="QZ5675" s="106"/>
      <c r="RA5675" s="106"/>
      <c r="RB5675" s="106"/>
      <c r="RC5675" s="106"/>
      <c r="RD5675" s="106"/>
      <c r="RE5675" s="106"/>
      <c r="RF5675" s="106"/>
      <c r="RG5675" s="106"/>
      <c r="RH5675" s="106"/>
      <c r="RI5675" s="106"/>
      <c r="RJ5675" s="106"/>
      <c r="RK5675" s="106"/>
      <c r="RL5675" s="106"/>
    </row>
    <row r="5676" spans="462:480" x14ac:dyDescent="0.3">
      <c r="QT5676" s="106"/>
      <c r="QU5676" s="106"/>
      <c r="QV5676" s="106"/>
      <c r="QW5676" s="106"/>
      <c r="QX5676" s="106"/>
      <c r="QY5676" s="106"/>
      <c r="QZ5676" s="106"/>
      <c r="RA5676" s="106"/>
      <c r="RB5676" s="106"/>
      <c r="RC5676" s="106"/>
      <c r="RD5676" s="106"/>
      <c r="RE5676" s="106"/>
      <c r="RF5676" s="106"/>
      <c r="RG5676" s="106"/>
      <c r="RH5676" s="106"/>
      <c r="RI5676" s="106"/>
      <c r="RJ5676" s="106"/>
      <c r="RK5676" s="106"/>
      <c r="RL5676" s="106"/>
    </row>
    <row r="5677" spans="462:480" x14ac:dyDescent="0.3">
      <c r="QT5677" s="106"/>
      <c r="QU5677" s="106"/>
      <c r="QV5677" s="106"/>
      <c r="QW5677" s="106"/>
      <c r="QX5677" s="106"/>
      <c r="QY5677" s="106"/>
      <c r="QZ5677" s="106"/>
      <c r="RA5677" s="106"/>
      <c r="RB5677" s="106"/>
      <c r="RC5677" s="106"/>
      <c r="RD5677" s="106"/>
      <c r="RE5677" s="106"/>
      <c r="RF5677" s="106"/>
      <c r="RG5677" s="106"/>
      <c r="RH5677" s="106"/>
      <c r="RI5677" s="106"/>
      <c r="RJ5677" s="106"/>
      <c r="RK5677" s="106"/>
      <c r="RL5677" s="106"/>
    </row>
    <row r="5678" spans="462:480" x14ac:dyDescent="0.3">
      <c r="QT5678" s="106"/>
      <c r="QU5678" s="106"/>
      <c r="QV5678" s="106"/>
      <c r="QW5678" s="106"/>
      <c r="QX5678" s="106"/>
      <c r="QY5678" s="106"/>
      <c r="QZ5678" s="106"/>
      <c r="RA5678" s="106"/>
      <c r="RB5678" s="106"/>
      <c r="RC5678" s="106"/>
      <c r="RD5678" s="106"/>
      <c r="RE5678" s="106"/>
      <c r="RF5678" s="106"/>
      <c r="RG5678" s="106"/>
      <c r="RH5678" s="106"/>
      <c r="RI5678" s="106"/>
      <c r="RJ5678" s="106"/>
      <c r="RK5678" s="106"/>
      <c r="RL5678" s="106"/>
    </row>
    <row r="5679" spans="462:480" x14ac:dyDescent="0.3">
      <c r="QT5679" s="106"/>
      <c r="QU5679" s="106"/>
      <c r="QV5679" s="106"/>
      <c r="QW5679" s="106"/>
      <c r="QX5679" s="106"/>
      <c r="QY5679" s="106"/>
      <c r="QZ5679" s="106"/>
      <c r="RA5679" s="106"/>
      <c r="RB5679" s="106"/>
      <c r="RC5679" s="106"/>
      <c r="RD5679" s="106"/>
      <c r="RE5679" s="106"/>
      <c r="RF5679" s="106"/>
      <c r="RG5679" s="106"/>
      <c r="RH5679" s="106"/>
      <c r="RI5679" s="106"/>
      <c r="RJ5679" s="106"/>
      <c r="RK5679" s="106"/>
      <c r="RL5679" s="106"/>
    </row>
    <row r="5680" spans="462:480" x14ac:dyDescent="0.3">
      <c r="QT5680" s="106"/>
      <c r="QU5680" s="106"/>
      <c r="QV5680" s="106"/>
      <c r="QW5680" s="106"/>
      <c r="QX5680" s="106"/>
      <c r="QY5680" s="106"/>
      <c r="QZ5680" s="106"/>
      <c r="RA5680" s="106"/>
      <c r="RB5680" s="106"/>
      <c r="RC5680" s="106"/>
      <c r="RD5680" s="106"/>
      <c r="RE5680" s="106"/>
      <c r="RF5680" s="106"/>
      <c r="RG5680" s="106"/>
      <c r="RH5680" s="106"/>
      <c r="RI5680" s="106"/>
      <c r="RJ5680" s="106"/>
      <c r="RK5680" s="106"/>
      <c r="RL5680" s="106"/>
    </row>
    <row r="5681" spans="462:480" x14ac:dyDescent="0.3">
      <c r="QT5681" s="106"/>
      <c r="QU5681" s="106"/>
      <c r="QV5681" s="106"/>
      <c r="QW5681" s="106"/>
      <c r="QX5681" s="106"/>
      <c r="QY5681" s="106"/>
      <c r="QZ5681" s="106"/>
      <c r="RA5681" s="106"/>
      <c r="RB5681" s="106"/>
      <c r="RC5681" s="106"/>
      <c r="RD5681" s="106"/>
      <c r="RE5681" s="106"/>
      <c r="RF5681" s="106"/>
      <c r="RG5681" s="106"/>
      <c r="RH5681" s="106"/>
      <c r="RI5681" s="106"/>
      <c r="RJ5681" s="106"/>
      <c r="RK5681" s="106"/>
      <c r="RL5681" s="106"/>
    </row>
    <row r="5682" spans="462:480" x14ac:dyDescent="0.3">
      <c r="QT5682" s="106"/>
      <c r="QU5682" s="106"/>
      <c r="QV5682" s="106"/>
      <c r="QW5682" s="106"/>
      <c r="QX5682" s="106"/>
      <c r="QY5682" s="106"/>
      <c r="QZ5682" s="106"/>
      <c r="RA5682" s="106"/>
      <c r="RB5682" s="106"/>
      <c r="RC5682" s="106"/>
      <c r="RD5682" s="106"/>
      <c r="RE5682" s="106"/>
      <c r="RF5682" s="106"/>
      <c r="RG5682" s="106"/>
      <c r="RH5682" s="106"/>
      <c r="RI5682" s="106"/>
      <c r="RJ5682" s="106"/>
      <c r="RK5682" s="106"/>
      <c r="RL5682" s="106"/>
    </row>
    <row r="5683" spans="462:480" x14ac:dyDescent="0.3">
      <c r="QT5683" s="106"/>
      <c r="QU5683" s="106"/>
      <c r="QV5683" s="106"/>
      <c r="QW5683" s="106"/>
      <c r="QX5683" s="106"/>
      <c r="QY5683" s="106"/>
      <c r="QZ5683" s="106"/>
      <c r="RA5683" s="106"/>
      <c r="RB5683" s="106"/>
      <c r="RC5683" s="106"/>
      <c r="RD5683" s="106"/>
      <c r="RE5683" s="106"/>
      <c r="RF5683" s="106"/>
      <c r="RG5683" s="106"/>
      <c r="RH5683" s="106"/>
      <c r="RI5683" s="106"/>
      <c r="RJ5683" s="106"/>
      <c r="RK5683" s="106"/>
      <c r="RL5683" s="106"/>
    </row>
    <row r="5684" spans="462:480" x14ac:dyDescent="0.3">
      <c r="QT5684" s="106"/>
      <c r="QU5684" s="106"/>
      <c r="QV5684" s="106"/>
      <c r="QW5684" s="106"/>
      <c r="QX5684" s="106"/>
      <c r="QY5684" s="106"/>
      <c r="QZ5684" s="106"/>
      <c r="RA5684" s="106"/>
      <c r="RB5684" s="106"/>
      <c r="RC5684" s="106"/>
      <c r="RD5684" s="106"/>
      <c r="RE5684" s="106"/>
      <c r="RF5684" s="106"/>
      <c r="RG5684" s="106"/>
      <c r="RH5684" s="106"/>
      <c r="RI5684" s="106"/>
      <c r="RJ5684" s="106"/>
      <c r="RK5684" s="106"/>
      <c r="RL5684" s="106"/>
    </row>
    <row r="5685" spans="462:480" x14ac:dyDescent="0.3">
      <c r="QT5685" s="106"/>
      <c r="QU5685" s="106"/>
      <c r="QV5685" s="106"/>
      <c r="QW5685" s="106"/>
      <c r="QX5685" s="106"/>
      <c r="QY5685" s="106"/>
      <c r="QZ5685" s="106"/>
      <c r="RA5685" s="106"/>
      <c r="RB5685" s="106"/>
      <c r="RC5685" s="106"/>
      <c r="RD5685" s="106"/>
      <c r="RE5685" s="106"/>
      <c r="RF5685" s="106"/>
      <c r="RG5685" s="106"/>
      <c r="RH5685" s="106"/>
      <c r="RI5685" s="106"/>
      <c r="RJ5685" s="106"/>
      <c r="RK5685" s="106"/>
      <c r="RL5685" s="106"/>
    </row>
    <row r="5686" spans="462:480" x14ac:dyDescent="0.3">
      <c r="QT5686" s="106"/>
      <c r="QU5686" s="106"/>
      <c r="QV5686" s="106"/>
      <c r="QW5686" s="106"/>
      <c r="QX5686" s="106"/>
      <c r="QY5686" s="106"/>
      <c r="QZ5686" s="106"/>
      <c r="RA5686" s="106"/>
      <c r="RB5686" s="106"/>
      <c r="RC5686" s="106"/>
      <c r="RD5686" s="106"/>
      <c r="RE5686" s="106"/>
      <c r="RF5686" s="106"/>
      <c r="RG5686" s="106"/>
      <c r="RH5686" s="106"/>
      <c r="RI5686" s="106"/>
      <c r="RJ5686" s="106"/>
      <c r="RK5686" s="106"/>
      <c r="RL5686" s="106"/>
    </row>
    <row r="5687" spans="462:480" x14ac:dyDescent="0.3">
      <c r="QT5687" s="106"/>
      <c r="QU5687" s="106"/>
      <c r="QV5687" s="106"/>
      <c r="QW5687" s="106"/>
      <c r="QX5687" s="106"/>
      <c r="QY5687" s="106"/>
      <c r="QZ5687" s="106"/>
      <c r="RA5687" s="106"/>
      <c r="RB5687" s="106"/>
      <c r="RC5687" s="106"/>
      <c r="RD5687" s="106"/>
      <c r="RE5687" s="106"/>
      <c r="RF5687" s="106"/>
      <c r="RG5687" s="106"/>
      <c r="RH5687" s="106"/>
      <c r="RI5687" s="106"/>
      <c r="RJ5687" s="106"/>
      <c r="RK5687" s="106"/>
      <c r="RL5687" s="106"/>
    </row>
    <row r="5688" spans="462:480" x14ac:dyDescent="0.3">
      <c r="QT5688" s="106"/>
      <c r="QU5688" s="106"/>
      <c r="QV5688" s="106"/>
      <c r="QW5688" s="106"/>
      <c r="QX5688" s="106"/>
      <c r="QY5688" s="106"/>
      <c r="QZ5688" s="106"/>
      <c r="RA5688" s="106"/>
      <c r="RB5688" s="106"/>
      <c r="RC5688" s="106"/>
      <c r="RD5688" s="106"/>
      <c r="RE5688" s="106"/>
      <c r="RF5688" s="106"/>
      <c r="RG5688" s="106"/>
      <c r="RH5688" s="106"/>
      <c r="RI5688" s="106"/>
      <c r="RJ5688" s="106"/>
      <c r="RK5688" s="106"/>
      <c r="RL5688" s="106"/>
    </row>
    <row r="5689" spans="462:480" x14ac:dyDescent="0.3">
      <c r="QT5689" s="106"/>
      <c r="QU5689" s="106"/>
      <c r="QV5689" s="106"/>
      <c r="QW5689" s="106"/>
      <c r="QX5689" s="106"/>
      <c r="QY5689" s="106"/>
      <c r="QZ5689" s="106"/>
      <c r="RA5689" s="106"/>
      <c r="RB5689" s="106"/>
      <c r="RC5689" s="106"/>
      <c r="RD5689" s="106"/>
      <c r="RE5689" s="106"/>
      <c r="RF5689" s="106"/>
      <c r="RG5689" s="106"/>
      <c r="RH5689" s="106"/>
      <c r="RI5689" s="106"/>
      <c r="RJ5689" s="106"/>
      <c r="RK5689" s="106"/>
      <c r="RL5689" s="106"/>
    </row>
    <row r="5690" spans="462:480" x14ac:dyDescent="0.3">
      <c r="QT5690" s="106"/>
      <c r="QU5690" s="106"/>
      <c r="QV5690" s="106"/>
      <c r="QW5690" s="106"/>
      <c r="QX5690" s="106"/>
      <c r="QY5690" s="106"/>
      <c r="QZ5690" s="106"/>
      <c r="RA5690" s="106"/>
      <c r="RB5690" s="106"/>
      <c r="RC5690" s="106"/>
      <c r="RD5690" s="106"/>
      <c r="RE5690" s="106"/>
      <c r="RF5690" s="106"/>
      <c r="RG5690" s="106"/>
      <c r="RH5690" s="106"/>
      <c r="RI5690" s="106"/>
      <c r="RJ5690" s="106"/>
      <c r="RK5690" s="106"/>
      <c r="RL5690" s="106"/>
    </row>
    <row r="5691" spans="462:480" x14ac:dyDescent="0.3">
      <c r="QT5691" s="106"/>
      <c r="QU5691" s="106"/>
      <c r="QV5691" s="106"/>
      <c r="QW5691" s="106"/>
      <c r="QX5691" s="106"/>
      <c r="QY5691" s="106"/>
      <c r="QZ5691" s="106"/>
      <c r="RA5691" s="106"/>
      <c r="RB5691" s="106"/>
      <c r="RC5691" s="106"/>
      <c r="RD5691" s="106"/>
      <c r="RE5691" s="106"/>
      <c r="RF5691" s="106"/>
      <c r="RG5691" s="106"/>
      <c r="RH5691" s="106"/>
      <c r="RI5691" s="106"/>
      <c r="RJ5691" s="106"/>
      <c r="RK5691" s="106"/>
      <c r="RL5691" s="106"/>
    </row>
    <row r="5692" spans="462:480" x14ac:dyDescent="0.3">
      <c r="QT5692" s="106"/>
      <c r="QU5692" s="106"/>
      <c r="QV5692" s="106"/>
      <c r="QW5692" s="106"/>
      <c r="QX5692" s="106"/>
      <c r="QY5692" s="106"/>
      <c r="QZ5692" s="106"/>
      <c r="RA5692" s="106"/>
      <c r="RB5692" s="106"/>
      <c r="RC5692" s="106"/>
      <c r="RD5692" s="106"/>
      <c r="RE5692" s="106"/>
      <c r="RF5692" s="106"/>
      <c r="RG5692" s="106"/>
      <c r="RH5692" s="106"/>
      <c r="RI5692" s="106"/>
      <c r="RJ5692" s="106"/>
      <c r="RK5692" s="106"/>
      <c r="RL5692" s="106"/>
    </row>
    <row r="5693" spans="462:480" x14ac:dyDescent="0.3">
      <c r="QT5693" s="106"/>
      <c r="QU5693" s="106"/>
      <c r="QV5693" s="106"/>
      <c r="QW5693" s="106"/>
      <c r="QX5693" s="106"/>
      <c r="QY5693" s="106"/>
      <c r="QZ5693" s="106"/>
      <c r="RA5693" s="106"/>
      <c r="RB5693" s="106"/>
      <c r="RC5693" s="106"/>
      <c r="RD5693" s="106"/>
      <c r="RE5693" s="106"/>
      <c r="RF5693" s="106"/>
      <c r="RG5693" s="106"/>
      <c r="RH5693" s="106"/>
      <c r="RI5693" s="106"/>
      <c r="RJ5693" s="106"/>
      <c r="RK5693" s="106"/>
      <c r="RL5693" s="106"/>
    </row>
    <row r="5694" spans="462:480" x14ac:dyDescent="0.3">
      <c r="QT5694" s="106"/>
      <c r="QU5694" s="106"/>
      <c r="QV5694" s="106"/>
      <c r="QW5694" s="106"/>
      <c r="QX5694" s="106"/>
      <c r="QY5694" s="106"/>
      <c r="QZ5694" s="106"/>
      <c r="RA5694" s="106"/>
      <c r="RB5694" s="106"/>
      <c r="RC5694" s="106"/>
      <c r="RD5694" s="106"/>
      <c r="RE5694" s="106"/>
      <c r="RF5694" s="106"/>
      <c r="RG5694" s="106"/>
      <c r="RH5694" s="106"/>
      <c r="RI5694" s="106"/>
      <c r="RJ5694" s="106"/>
      <c r="RK5694" s="106"/>
      <c r="RL5694" s="106"/>
    </row>
    <row r="5695" spans="462:480" x14ac:dyDescent="0.3">
      <c r="QT5695" s="106"/>
      <c r="QU5695" s="106"/>
      <c r="QV5695" s="106"/>
      <c r="QW5695" s="106"/>
      <c r="QX5695" s="106"/>
      <c r="QY5695" s="106"/>
      <c r="QZ5695" s="106"/>
      <c r="RA5695" s="106"/>
      <c r="RB5695" s="106"/>
      <c r="RC5695" s="106"/>
      <c r="RD5695" s="106"/>
      <c r="RE5695" s="106"/>
      <c r="RF5695" s="106"/>
      <c r="RG5695" s="106"/>
      <c r="RH5695" s="106"/>
      <c r="RI5695" s="106"/>
      <c r="RJ5695" s="106"/>
      <c r="RK5695" s="106"/>
      <c r="RL5695" s="106"/>
    </row>
    <row r="5696" spans="462:480" x14ac:dyDescent="0.3">
      <c r="QT5696" s="106"/>
      <c r="QU5696" s="106"/>
      <c r="QV5696" s="106"/>
      <c r="QW5696" s="106"/>
      <c r="QX5696" s="106"/>
      <c r="QY5696" s="106"/>
      <c r="QZ5696" s="106"/>
      <c r="RA5696" s="106"/>
      <c r="RB5696" s="106"/>
      <c r="RC5696" s="106"/>
      <c r="RD5696" s="106"/>
      <c r="RE5696" s="106"/>
      <c r="RF5696" s="106"/>
      <c r="RG5696" s="106"/>
      <c r="RH5696" s="106"/>
      <c r="RI5696" s="106"/>
      <c r="RJ5696" s="106"/>
      <c r="RK5696" s="106"/>
      <c r="RL5696" s="106"/>
    </row>
    <row r="5697" spans="462:480" x14ac:dyDescent="0.3">
      <c r="QT5697" s="106"/>
      <c r="QU5697" s="106"/>
      <c r="QV5697" s="106"/>
      <c r="QW5697" s="106"/>
      <c r="QX5697" s="106"/>
      <c r="QY5697" s="106"/>
      <c r="QZ5697" s="106"/>
      <c r="RA5697" s="106"/>
      <c r="RB5697" s="106"/>
      <c r="RC5697" s="106"/>
      <c r="RD5697" s="106"/>
      <c r="RE5697" s="106"/>
      <c r="RF5697" s="106"/>
      <c r="RG5697" s="106"/>
      <c r="RH5697" s="106"/>
      <c r="RI5697" s="106"/>
      <c r="RJ5697" s="106"/>
      <c r="RK5697" s="106"/>
      <c r="RL5697" s="106"/>
    </row>
    <row r="5698" spans="462:480" x14ac:dyDescent="0.3">
      <c r="QT5698" s="106"/>
      <c r="QU5698" s="106"/>
      <c r="QV5698" s="106"/>
      <c r="QW5698" s="106"/>
      <c r="QX5698" s="106"/>
      <c r="QY5698" s="106"/>
      <c r="QZ5698" s="106"/>
      <c r="RA5698" s="106"/>
      <c r="RB5698" s="106"/>
      <c r="RC5698" s="106"/>
      <c r="RD5698" s="106"/>
      <c r="RE5698" s="106"/>
      <c r="RF5698" s="106"/>
      <c r="RG5698" s="106"/>
      <c r="RH5698" s="106"/>
      <c r="RI5698" s="106"/>
      <c r="RJ5698" s="106"/>
      <c r="RK5698" s="106"/>
      <c r="RL5698" s="106"/>
    </row>
    <row r="5699" spans="462:480" x14ac:dyDescent="0.3">
      <c r="QT5699" s="106"/>
      <c r="QU5699" s="106"/>
      <c r="QV5699" s="106"/>
      <c r="QW5699" s="106"/>
      <c r="QX5699" s="106"/>
      <c r="QY5699" s="106"/>
      <c r="QZ5699" s="106"/>
      <c r="RA5699" s="106"/>
      <c r="RB5699" s="106"/>
      <c r="RC5699" s="106"/>
      <c r="RD5699" s="106"/>
      <c r="RE5699" s="106"/>
      <c r="RF5699" s="106"/>
      <c r="RG5699" s="106"/>
      <c r="RH5699" s="106"/>
      <c r="RI5699" s="106"/>
      <c r="RJ5699" s="106"/>
      <c r="RK5699" s="106"/>
      <c r="RL5699" s="106"/>
    </row>
    <row r="5700" spans="462:480" x14ac:dyDescent="0.3">
      <c r="QT5700" s="106"/>
      <c r="QU5700" s="106"/>
      <c r="QV5700" s="106"/>
      <c r="QW5700" s="106"/>
      <c r="QX5700" s="106"/>
      <c r="QY5700" s="106"/>
      <c r="QZ5700" s="106"/>
      <c r="RA5700" s="106"/>
      <c r="RB5700" s="106"/>
      <c r="RC5700" s="106"/>
      <c r="RD5700" s="106"/>
      <c r="RE5700" s="106"/>
      <c r="RF5700" s="106"/>
      <c r="RG5700" s="106"/>
      <c r="RH5700" s="106"/>
      <c r="RI5700" s="106"/>
      <c r="RJ5700" s="106"/>
      <c r="RK5700" s="106"/>
      <c r="RL5700" s="106"/>
    </row>
    <row r="5701" spans="462:480" x14ac:dyDescent="0.3">
      <c r="QT5701" s="106"/>
      <c r="QU5701" s="106"/>
      <c r="QV5701" s="106"/>
      <c r="QW5701" s="106"/>
      <c r="QX5701" s="106"/>
      <c r="QY5701" s="106"/>
      <c r="QZ5701" s="106"/>
      <c r="RA5701" s="106"/>
      <c r="RB5701" s="106"/>
      <c r="RC5701" s="106"/>
      <c r="RD5701" s="106"/>
      <c r="RE5701" s="106"/>
      <c r="RF5701" s="106"/>
      <c r="RG5701" s="106"/>
      <c r="RH5701" s="106"/>
      <c r="RI5701" s="106"/>
      <c r="RJ5701" s="106"/>
      <c r="RK5701" s="106"/>
      <c r="RL5701" s="106"/>
    </row>
    <row r="5702" spans="462:480" x14ac:dyDescent="0.3">
      <c r="QT5702" s="106"/>
      <c r="QU5702" s="106"/>
      <c r="QV5702" s="106"/>
      <c r="QW5702" s="106"/>
      <c r="QX5702" s="106"/>
      <c r="QY5702" s="106"/>
      <c r="QZ5702" s="106"/>
      <c r="RA5702" s="106"/>
      <c r="RB5702" s="106"/>
      <c r="RC5702" s="106"/>
      <c r="RD5702" s="106"/>
      <c r="RE5702" s="106"/>
      <c r="RF5702" s="106"/>
      <c r="RG5702" s="106"/>
      <c r="RH5702" s="106"/>
      <c r="RI5702" s="106"/>
      <c r="RJ5702" s="106"/>
      <c r="RK5702" s="106"/>
      <c r="RL5702" s="106"/>
    </row>
    <row r="5703" spans="462:480" x14ac:dyDescent="0.3">
      <c r="QT5703" s="106"/>
      <c r="QU5703" s="106"/>
      <c r="QV5703" s="106"/>
      <c r="QW5703" s="106"/>
      <c r="QX5703" s="106"/>
      <c r="QY5703" s="106"/>
      <c r="QZ5703" s="106"/>
      <c r="RA5703" s="106"/>
      <c r="RB5703" s="106"/>
      <c r="RC5703" s="106"/>
      <c r="RD5703" s="106"/>
      <c r="RE5703" s="106"/>
      <c r="RF5703" s="106"/>
      <c r="RG5703" s="106"/>
      <c r="RH5703" s="106"/>
      <c r="RI5703" s="106"/>
      <c r="RJ5703" s="106"/>
      <c r="RK5703" s="106"/>
      <c r="RL5703" s="106"/>
    </row>
    <row r="5704" spans="462:480" x14ac:dyDescent="0.3">
      <c r="QT5704" s="106"/>
      <c r="QU5704" s="106"/>
      <c r="QV5704" s="106"/>
      <c r="QW5704" s="106"/>
      <c r="QX5704" s="106"/>
      <c r="QY5704" s="106"/>
      <c r="QZ5704" s="106"/>
      <c r="RA5704" s="106"/>
      <c r="RB5704" s="106"/>
      <c r="RC5704" s="106"/>
      <c r="RD5704" s="106"/>
      <c r="RE5704" s="106"/>
      <c r="RF5704" s="106"/>
      <c r="RG5704" s="106"/>
      <c r="RH5704" s="106"/>
      <c r="RI5704" s="106"/>
      <c r="RJ5704" s="106"/>
      <c r="RK5704" s="106"/>
      <c r="RL5704" s="106"/>
    </row>
    <row r="5705" spans="462:480" x14ac:dyDescent="0.3">
      <c r="QT5705" s="106"/>
      <c r="QU5705" s="106"/>
      <c r="QV5705" s="106"/>
      <c r="QW5705" s="106"/>
      <c r="QX5705" s="106"/>
      <c r="QY5705" s="106"/>
      <c r="QZ5705" s="106"/>
      <c r="RA5705" s="106"/>
      <c r="RB5705" s="106"/>
      <c r="RC5705" s="106"/>
      <c r="RD5705" s="106"/>
      <c r="RE5705" s="106"/>
      <c r="RF5705" s="106"/>
      <c r="RG5705" s="106"/>
      <c r="RH5705" s="106"/>
      <c r="RI5705" s="106"/>
      <c r="RJ5705" s="106"/>
      <c r="RK5705" s="106"/>
      <c r="RL5705" s="106"/>
    </row>
    <row r="5706" spans="462:480" x14ac:dyDescent="0.3">
      <c r="QT5706" s="106"/>
      <c r="QU5706" s="106"/>
      <c r="QV5706" s="106"/>
      <c r="QW5706" s="106"/>
      <c r="QX5706" s="106"/>
      <c r="QY5706" s="106"/>
      <c r="QZ5706" s="106"/>
      <c r="RA5706" s="106"/>
      <c r="RB5706" s="106"/>
      <c r="RC5706" s="106"/>
      <c r="RD5706" s="106"/>
      <c r="RE5706" s="106"/>
      <c r="RF5706" s="106"/>
      <c r="RG5706" s="106"/>
      <c r="RH5706" s="106"/>
      <c r="RI5706" s="106"/>
      <c r="RJ5706" s="106"/>
      <c r="RK5706" s="106"/>
      <c r="RL5706" s="106"/>
    </row>
    <row r="5707" spans="462:480" x14ac:dyDescent="0.3">
      <c r="QT5707" s="106"/>
      <c r="QU5707" s="106"/>
      <c r="QV5707" s="106"/>
      <c r="QW5707" s="106"/>
      <c r="QX5707" s="106"/>
      <c r="QY5707" s="106"/>
      <c r="QZ5707" s="106"/>
      <c r="RA5707" s="106"/>
      <c r="RB5707" s="106"/>
      <c r="RC5707" s="106"/>
      <c r="RD5707" s="106"/>
      <c r="RE5707" s="106"/>
      <c r="RF5707" s="106"/>
      <c r="RG5707" s="106"/>
      <c r="RH5707" s="106"/>
      <c r="RI5707" s="106"/>
      <c r="RJ5707" s="106"/>
      <c r="RK5707" s="106"/>
      <c r="RL5707" s="106"/>
    </row>
    <row r="5708" spans="462:480" x14ac:dyDescent="0.3">
      <c r="QT5708" s="106"/>
      <c r="QU5708" s="106"/>
      <c r="QV5708" s="106"/>
      <c r="QW5708" s="106"/>
      <c r="QX5708" s="106"/>
      <c r="QY5708" s="106"/>
      <c r="QZ5708" s="106"/>
      <c r="RA5708" s="106"/>
      <c r="RB5708" s="106"/>
      <c r="RC5708" s="106"/>
      <c r="RD5708" s="106"/>
      <c r="RE5708" s="106"/>
      <c r="RF5708" s="106"/>
      <c r="RG5708" s="106"/>
      <c r="RH5708" s="106"/>
      <c r="RI5708" s="106"/>
      <c r="RJ5708" s="106"/>
      <c r="RK5708" s="106"/>
      <c r="RL5708" s="106"/>
    </row>
    <row r="5709" spans="462:480" x14ac:dyDescent="0.3">
      <c r="QT5709" s="106"/>
      <c r="QU5709" s="106"/>
      <c r="QV5709" s="106"/>
      <c r="QW5709" s="106"/>
      <c r="QX5709" s="106"/>
      <c r="QY5709" s="106"/>
      <c r="QZ5709" s="106"/>
      <c r="RA5709" s="106"/>
      <c r="RB5709" s="106"/>
      <c r="RC5709" s="106"/>
      <c r="RD5709" s="106"/>
      <c r="RE5709" s="106"/>
      <c r="RF5709" s="106"/>
      <c r="RG5709" s="106"/>
      <c r="RH5709" s="106"/>
      <c r="RI5709" s="106"/>
      <c r="RJ5709" s="106"/>
      <c r="RK5709" s="106"/>
      <c r="RL5709" s="106"/>
    </row>
    <row r="5710" spans="462:480" x14ac:dyDescent="0.3">
      <c r="QT5710" s="106"/>
      <c r="QU5710" s="106"/>
      <c r="QV5710" s="106"/>
      <c r="QW5710" s="106"/>
      <c r="QX5710" s="106"/>
      <c r="QY5710" s="106"/>
      <c r="QZ5710" s="106"/>
      <c r="RA5710" s="106"/>
      <c r="RB5710" s="106"/>
      <c r="RC5710" s="106"/>
      <c r="RD5710" s="106"/>
      <c r="RE5710" s="106"/>
      <c r="RF5710" s="106"/>
      <c r="RG5710" s="106"/>
      <c r="RH5710" s="106"/>
      <c r="RI5710" s="106"/>
      <c r="RJ5710" s="106"/>
      <c r="RK5710" s="106"/>
      <c r="RL5710" s="106"/>
    </row>
    <row r="5711" spans="462:480" x14ac:dyDescent="0.3">
      <c r="QT5711" s="106"/>
      <c r="QU5711" s="106"/>
      <c r="QV5711" s="106"/>
      <c r="QW5711" s="106"/>
      <c r="QX5711" s="106"/>
      <c r="QY5711" s="106"/>
      <c r="QZ5711" s="106"/>
      <c r="RA5711" s="106"/>
      <c r="RB5711" s="106"/>
      <c r="RC5711" s="106"/>
      <c r="RD5711" s="106"/>
      <c r="RE5711" s="106"/>
      <c r="RF5711" s="106"/>
      <c r="RG5711" s="106"/>
      <c r="RH5711" s="106"/>
      <c r="RI5711" s="106"/>
      <c r="RJ5711" s="106"/>
      <c r="RK5711" s="106"/>
      <c r="RL5711" s="106"/>
    </row>
    <row r="5712" spans="462:480" x14ac:dyDescent="0.3">
      <c r="QT5712" s="106"/>
      <c r="QU5712" s="106"/>
      <c r="QV5712" s="106"/>
      <c r="QW5712" s="106"/>
      <c r="QX5712" s="106"/>
      <c r="QY5712" s="106"/>
      <c r="QZ5712" s="106"/>
      <c r="RA5712" s="106"/>
      <c r="RB5712" s="106"/>
      <c r="RC5712" s="106"/>
      <c r="RD5712" s="106"/>
      <c r="RE5712" s="106"/>
      <c r="RF5712" s="106"/>
      <c r="RG5712" s="106"/>
      <c r="RH5712" s="106"/>
      <c r="RI5712" s="106"/>
      <c r="RJ5712" s="106"/>
      <c r="RK5712" s="106"/>
      <c r="RL5712" s="106"/>
    </row>
    <row r="5713" spans="462:480" x14ac:dyDescent="0.3">
      <c r="QT5713" s="106"/>
      <c r="QU5713" s="106"/>
      <c r="QV5713" s="106"/>
      <c r="QW5713" s="106"/>
      <c r="QX5713" s="106"/>
      <c r="QY5713" s="106"/>
      <c r="QZ5713" s="106"/>
      <c r="RA5713" s="106"/>
      <c r="RB5713" s="106"/>
      <c r="RC5713" s="106"/>
      <c r="RD5713" s="106"/>
      <c r="RE5713" s="106"/>
      <c r="RF5713" s="106"/>
      <c r="RG5713" s="106"/>
      <c r="RH5713" s="106"/>
      <c r="RI5713" s="106"/>
      <c r="RJ5713" s="106"/>
      <c r="RK5713" s="106"/>
      <c r="RL5713" s="106"/>
    </row>
    <row r="5714" spans="462:480" x14ac:dyDescent="0.3">
      <c r="QT5714" s="106"/>
      <c r="QU5714" s="106"/>
      <c r="QV5714" s="106"/>
      <c r="QW5714" s="106"/>
      <c r="QX5714" s="106"/>
      <c r="QY5714" s="106"/>
      <c r="QZ5714" s="106"/>
      <c r="RA5714" s="106"/>
      <c r="RB5714" s="106"/>
      <c r="RC5714" s="106"/>
      <c r="RD5714" s="106"/>
      <c r="RE5714" s="106"/>
      <c r="RF5714" s="106"/>
      <c r="RG5714" s="106"/>
      <c r="RH5714" s="106"/>
      <c r="RI5714" s="106"/>
      <c r="RJ5714" s="106"/>
      <c r="RK5714" s="106"/>
      <c r="RL5714" s="106"/>
    </row>
    <row r="5715" spans="462:480" x14ac:dyDescent="0.3">
      <c r="QT5715" s="106"/>
      <c r="QU5715" s="106"/>
      <c r="QV5715" s="106"/>
      <c r="QW5715" s="106"/>
      <c r="QX5715" s="106"/>
      <c r="QY5715" s="106"/>
      <c r="QZ5715" s="106"/>
      <c r="RA5715" s="106"/>
      <c r="RB5715" s="106"/>
      <c r="RC5715" s="106"/>
      <c r="RD5715" s="106"/>
      <c r="RE5715" s="106"/>
      <c r="RF5715" s="106"/>
      <c r="RG5715" s="106"/>
      <c r="RH5715" s="106"/>
      <c r="RI5715" s="106"/>
      <c r="RJ5715" s="106"/>
      <c r="RK5715" s="106"/>
      <c r="RL5715" s="106"/>
    </row>
    <row r="5716" spans="462:480" x14ac:dyDescent="0.3">
      <c r="QT5716" s="106"/>
      <c r="QU5716" s="106"/>
      <c r="QV5716" s="106"/>
      <c r="QW5716" s="106"/>
      <c r="QX5716" s="106"/>
      <c r="QY5716" s="106"/>
      <c r="QZ5716" s="106"/>
      <c r="RA5716" s="106"/>
      <c r="RB5716" s="106"/>
      <c r="RC5716" s="106"/>
      <c r="RD5716" s="106"/>
      <c r="RE5716" s="106"/>
      <c r="RF5716" s="106"/>
      <c r="RG5716" s="106"/>
      <c r="RH5716" s="106"/>
      <c r="RI5716" s="106"/>
      <c r="RJ5716" s="106"/>
      <c r="RK5716" s="106"/>
      <c r="RL5716" s="106"/>
    </row>
    <row r="5717" spans="462:480" x14ac:dyDescent="0.3">
      <c r="QT5717" s="106"/>
      <c r="QU5717" s="106"/>
      <c r="QV5717" s="106"/>
      <c r="QW5717" s="106"/>
      <c r="QX5717" s="106"/>
      <c r="QY5717" s="106"/>
      <c r="QZ5717" s="106"/>
      <c r="RA5717" s="106"/>
      <c r="RB5717" s="106"/>
      <c r="RC5717" s="106"/>
      <c r="RD5717" s="106"/>
      <c r="RE5717" s="106"/>
      <c r="RF5717" s="106"/>
      <c r="RG5717" s="106"/>
      <c r="RH5717" s="106"/>
      <c r="RI5717" s="106"/>
      <c r="RJ5717" s="106"/>
      <c r="RK5717" s="106"/>
      <c r="RL5717" s="106"/>
    </row>
    <row r="5718" spans="462:480" x14ac:dyDescent="0.3">
      <c r="QT5718" s="106"/>
      <c r="QU5718" s="106"/>
      <c r="QV5718" s="106"/>
      <c r="QW5718" s="106"/>
      <c r="QX5718" s="106"/>
      <c r="QY5718" s="106"/>
      <c r="QZ5718" s="106"/>
      <c r="RA5718" s="106"/>
      <c r="RB5718" s="106"/>
      <c r="RC5718" s="106"/>
      <c r="RD5718" s="106"/>
      <c r="RE5718" s="106"/>
      <c r="RF5718" s="106"/>
      <c r="RG5718" s="106"/>
      <c r="RH5718" s="106"/>
      <c r="RI5718" s="106"/>
      <c r="RJ5718" s="106"/>
      <c r="RK5718" s="106"/>
      <c r="RL5718" s="106"/>
    </row>
    <row r="5719" spans="462:480" x14ac:dyDescent="0.3">
      <c r="QT5719" s="106"/>
      <c r="QU5719" s="106"/>
      <c r="QV5719" s="106"/>
      <c r="QW5719" s="106"/>
      <c r="QX5719" s="106"/>
      <c r="QY5719" s="106"/>
      <c r="QZ5719" s="106"/>
      <c r="RA5719" s="106"/>
      <c r="RB5719" s="106"/>
      <c r="RC5719" s="106"/>
      <c r="RD5719" s="106"/>
      <c r="RE5719" s="106"/>
      <c r="RF5719" s="106"/>
      <c r="RG5719" s="106"/>
      <c r="RH5719" s="106"/>
      <c r="RI5719" s="106"/>
      <c r="RJ5719" s="106"/>
      <c r="RK5719" s="106"/>
      <c r="RL5719" s="106"/>
    </row>
    <row r="5720" spans="462:480" x14ac:dyDescent="0.3">
      <c r="QT5720" s="106"/>
      <c r="QU5720" s="106"/>
      <c r="QV5720" s="106"/>
      <c r="QW5720" s="106"/>
      <c r="QX5720" s="106"/>
      <c r="QY5720" s="106"/>
      <c r="QZ5720" s="106"/>
      <c r="RA5720" s="106"/>
      <c r="RB5720" s="106"/>
      <c r="RC5720" s="106"/>
      <c r="RD5720" s="106"/>
      <c r="RE5720" s="106"/>
      <c r="RF5720" s="106"/>
      <c r="RG5720" s="106"/>
      <c r="RH5720" s="106"/>
      <c r="RI5720" s="106"/>
      <c r="RJ5720" s="106"/>
      <c r="RK5720" s="106"/>
      <c r="RL5720" s="106"/>
    </row>
    <row r="5721" spans="462:480" x14ac:dyDescent="0.3">
      <c r="QT5721" s="106"/>
      <c r="QU5721" s="106"/>
      <c r="QV5721" s="106"/>
      <c r="QW5721" s="106"/>
      <c r="QX5721" s="106"/>
      <c r="QY5721" s="106"/>
      <c r="QZ5721" s="106"/>
      <c r="RA5721" s="106"/>
      <c r="RB5721" s="106"/>
      <c r="RC5721" s="106"/>
      <c r="RD5721" s="106"/>
      <c r="RE5721" s="106"/>
      <c r="RF5721" s="106"/>
      <c r="RG5721" s="106"/>
      <c r="RH5721" s="106"/>
      <c r="RI5721" s="106"/>
      <c r="RJ5721" s="106"/>
      <c r="RK5721" s="106"/>
      <c r="RL5721" s="106"/>
    </row>
    <row r="5722" spans="462:480" x14ac:dyDescent="0.3">
      <c r="QT5722" s="106"/>
      <c r="QU5722" s="106"/>
      <c r="QV5722" s="106"/>
      <c r="QW5722" s="106"/>
      <c r="QX5722" s="106"/>
      <c r="QY5722" s="106"/>
      <c r="QZ5722" s="106"/>
      <c r="RA5722" s="106"/>
      <c r="RB5722" s="106"/>
      <c r="RC5722" s="106"/>
      <c r="RD5722" s="106"/>
      <c r="RE5722" s="106"/>
      <c r="RF5722" s="106"/>
      <c r="RG5722" s="106"/>
      <c r="RH5722" s="106"/>
      <c r="RI5722" s="106"/>
      <c r="RJ5722" s="106"/>
      <c r="RK5722" s="106"/>
      <c r="RL5722" s="106"/>
    </row>
    <row r="5723" spans="462:480" x14ac:dyDescent="0.3">
      <c r="QT5723" s="106"/>
      <c r="QU5723" s="106"/>
      <c r="QV5723" s="106"/>
      <c r="QW5723" s="106"/>
      <c r="QX5723" s="106"/>
      <c r="QY5723" s="106"/>
      <c r="QZ5723" s="106"/>
      <c r="RA5723" s="106"/>
      <c r="RB5723" s="106"/>
      <c r="RC5723" s="106"/>
      <c r="RD5723" s="106"/>
      <c r="RE5723" s="106"/>
      <c r="RF5723" s="106"/>
      <c r="RG5723" s="106"/>
      <c r="RH5723" s="106"/>
      <c r="RI5723" s="106"/>
      <c r="RJ5723" s="106"/>
      <c r="RK5723" s="106"/>
      <c r="RL5723" s="106"/>
    </row>
    <row r="5724" spans="462:480" x14ac:dyDescent="0.3">
      <c r="QT5724" s="106"/>
      <c r="QU5724" s="106"/>
      <c r="QV5724" s="106"/>
      <c r="QW5724" s="106"/>
      <c r="QX5724" s="106"/>
      <c r="QY5724" s="106"/>
      <c r="QZ5724" s="106"/>
      <c r="RA5724" s="106"/>
      <c r="RB5724" s="106"/>
      <c r="RC5724" s="106"/>
      <c r="RD5724" s="106"/>
      <c r="RE5724" s="106"/>
      <c r="RF5724" s="106"/>
      <c r="RG5724" s="106"/>
      <c r="RH5724" s="106"/>
      <c r="RI5724" s="106"/>
      <c r="RJ5724" s="106"/>
      <c r="RK5724" s="106"/>
      <c r="RL5724" s="106"/>
    </row>
    <row r="5725" spans="462:480" x14ac:dyDescent="0.3">
      <c r="QT5725" s="106"/>
      <c r="QU5725" s="106"/>
      <c r="QV5725" s="106"/>
      <c r="QW5725" s="106"/>
      <c r="QX5725" s="106"/>
      <c r="QY5725" s="106"/>
      <c r="QZ5725" s="106"/>
      <c r="RA5725" s="106"/>
      <c r="RB5725" s="106"/>
      <c r="RC5725" s="106"/>
      <c r="RD5725" s="106"/>
      <c r="RE5725" s="106"/>
      <c r="RF5725" s="106"/>
      <c r="RG5725" s="106"/>
      <c r="RH5725" s="106"/>
      <c r="RI5725" s="106"/>
      <c r="RJ5725" s="106"/>
      <c r="RK5725" s="106"/>
      <c r="RL5725" s="106"/>
    </row>
    <row r="5726" spans="462:480" x14ac:dyDescent="0.3">
      <c r="QT5726" s="106"/>
      <c r="QU5726" s="106"/>
      <c r="QV5726" s="106"/>
      <c r="QW5726" s="106"/>
      <c r="QX5726" s="106"/>
      <c r="QY5726" s="106"/>
      <c r="QZ5726" s="106"/>
      <c r="RA5726" s="106"/>
      <c r="RB5726" s="106"/>
      <c r="RC5726" s="106"/>
      <c r="RD5726" s="106"/>
      <c r="RE5726" s="106"/>
      <c r="RF5726" s="106"/>
      <c r="RG5726" s="106"/>
      <c r="RH5726" s="106"/>
      <c r="RI5726" s="106"/>
      <c r="RJ5726" s="106"/>
      <c r="RK5726" s="106"/>
      <c r="RL5726" s="106"/>
    </row>
    <row r="5727" spans="462:480" x14ac:dyDescent="0.3">
      <c r="QT5727" s="106"/>
      <c r="QU5727" s="106"/>
      <c r="QV5727" s="106"/>
      <c r="QW5727" s="106"/>
      <c r="QX5727" s="106"/>
      <c r="QY5727" s="106"/>
      <c r="QZ5727" s="106"/>
      <c r="RA5727" s="106"/>
      <c r="RB5727" s="106"/>
      <c r="RC5727" s="106"/>
      <c r="RD5727" s="106"/>
      <c r="RE5727" s="106"/>
      <c r="RF5727" s="106"/>
      <c r="RG5727" s="106"/>
      <c r="RH5727" s="106"/>
      <c r="RI5727" s="106"/>
      <c r="RJ5727" s="106"/>
      <c r="RK5727" s="106"/>
      <c r="RL5727" s="106"/>
    </row>
    <row r="5728" spans="462:480" x14ac:dyDescent="0.3">
      <c r="QT5728" s="106"/>
      <c r="QU5728" s="106"/>
      <c r="QV5728" s="106"/>
      <c r="QW5728" s="106"/>
      <c r="QX5728" s="106"/>
      <c r="QY5728" s="106"/>
      <c r="QZ5728" s="106"/>
      <c r="RA5728" s="106"/>
      <c r="RB5728" s="106"/>
      <c r="RC5728" s="106"/>
      <c r="RD5728" s="106"/>
      <c r="RE5728" s="106"/>
      <c r="RF5728" s="106"/>
      <c r="RG5728" s="106"/>
      <c r="RH5728" s="106"/>
      <c r="RI5728" s="106"/>
      <c r="RJ5728" s="106"/>
      <c r="RK5728" s="106"/>
      <c r="RL5728" s="106"/>
    </row>
    <row r="5729" spans="462:480" x14ac:dyDescent="0.3">
      <c r="QT5729" s="106"/>
      <c r="QU5729" s="106"/>
      <c r="QV5729" s="106"/>
      <c r="QW5729" s="106"/>
      <c r="QX5729" s="106"/>
      <c r="QY5729" s="106"/>
      <c r="QZ5729" s="106"/>
      <c r="RA5729" s="106"/>
      <c r="RB5729" s="106"/>
      <c r="RC5729" s="106"/>
      <c r="RD5729" s="106"/>
      <c r="RE5729" s="106"/>
      <c r="RF5729" s="106"/>
      <c r="RG5729" s="106"/>
      <c r="RH5729" s="106"/>
      <c r="RI5729" s="106"/>
      <c r="RJ5729" s="106"/>
      <c r="RK5729" s="106"/>
      <c r="RL5729" s="106"/>
    </row>
    <row r="5730" spans="462:480" x14ac:dyDescent="0.3">
      <c r="QT5730" s="106"/>
      <c r="QU5730" s="106"/>
      <c r="QV5730" s="106"/>
      <c r="QW5730" s="106"/>
      <c r="QX5730" s="106"/>
      <c r="QY5730" s="106"/>
      <c r="QZ5730" s="106"/>
      <c r="RA5730" s="106"/>
      <c r="RB5730" s="106"/>
      <c r="RC5730" s="106"/>
      <c r="RD5730" s="106"/>
      <c r="RE5730" s="106"/>
      <c r="RF5730" s="106"/>
      <c r="RG5730" s="106"/>
      <c r="RH5730" s="106"/>
      <c r="RI5730" s="106"/>
      <c r="RJ5730" s="106"/>
      <c r="RK5730" s="106"/>
      <c r="RL5730" s="106"/>
    </row>
    <row r="5731" spans="462:480" x14ac:dyDescent="0.3">
      <c r="QT5731" s="106"/>
      <c r="QU5731" s="106"/>
      <c r="QV5731" s="106"/>
      <c r="QW5731" s="106"/>
      <c r="QX5731" s="106"/>
      <c r="QY5731" s="106"/>
      <c r="QZ5731" s="106"/>
      <c r="RA5731" s="106"/>
      <c r="RB5731" s="106"/>
      <c r="RC5731" s="106"/>
      <c r="RD5731" s="106"/>
      <c r="RE5731" s="106"/>
      <c r="RF5731" s="106"/>
      <c r="RG5731" s="106"/>
      <c r="RH5731" s="106"/>
      <c r="RI5731" s="106"/>
      <c r="RJ5731" s="106"/>
      <c r="RK5731" s="106"/>
      <c r="RL5731" s="106"/>
    </row>
    <row r="5732" spans="462:480" x14ac:dyDescent="0.3">
      <c r="QT5732" s="106"/>
      <c r="QU5732" s="106"/>
      <c r="QV5732" s="106"/>
      <c r="QW5732" s="106"/>
      <c r="QX5732" s="106"/>
      <c r="QY5732" s="106"/>
      <c r="QZ5732" s="106"/>
      <c r="RA5732" s="106"/>
      <c r="RB5732" s="106"/>
      <c r="RC5732" s="106"/>
      <c r="RD5732" s="106"/>
      <c r="RE5732" s="106"/>
      <c r="RF5732" s="106"/>
      <c r="RG5732" s="106"/>
      <c r="RH5732" s="106"/>
      <c r="RI5732" s="106"/>
      <c r="RJ5732" s="106"/>
      <c r="RK5732" s="106"/>
      <c r="RL5732" s="106"/>
    </row>
    <row r="5733" spans="462:480" x14ac:dyDescent="0.3">
      <c r="QT5733" s="106"/>
      <c r="QU5733" s="106"/>
      <c r="QV5733" s="106"/>
      <c r="QW5733" s="106"/>
      <c r="QX5733" s="106"/>
      <c r="QY5733" s="106"/>
      <c r="QZ5733" s="106"/>
      <c r="RA5733" s="106"/>
      <c r="RB5733" s="106"/>
      <c r="RC5733" s="106"/>
      <c r="RD5733" s="106"/>
      <c r="RE5733" s="106"/>
      <c r="RF5733" s="106"/>
      <c r="RG5733" s="106"/>
      <c r="RH5733" s="106"/>
      <c r="RI5733" s="106"/>
      <c r="RJ5733" s="106"/>
      <c r="RK5733" s="106"/>
      <c r="RL5733" s="106"/>
    </row>
    <row r="5734" spans="462:480" x14ac:dyDescent="0.3">
      <c r="QT5734" s="106"/>
      <c r="QU5734" s="106"/>
      <c r="QV5734" s="106"/>
      <c r="QW5734" s="106"/>
      <c r="QX5734" s="106"/>
      <c r="QY5734" s="106"/>
      <c r="QZ5734" s="106"/>
      <c r="RA5734" s="106"/>
      <c r="RB5734" s="106"/>
      <c r="RC5734" s="106"/>
      <c r="RD5734" s="106"/>
      <c r="RE5734" s="106"/>
      <c r="RF5734" s="106"/>
      <c r="RG5734" s="106"/>
      <c r="RH5734" s="106"/>
      <c r="RI5734" s="106"/>
      <c r="RJ5734" s="106"/>
      <c r="RK5734" s="106"/>
      <c r="RL5734" s="106"/>
    </row>
    <row r="5735" spans="462:480" x14ac:dyDescent="0.3">
      <c r="QT5735" s="106"/>
      <c r="QU5735" s="106"/>
      <c r="QV5735" s="106"/>
      <c r="QW5735" s="106"/>
      <c r="QX5735" s="106"/>
      <c r="QY5735" s="106"/>
      <c r="QZ5735" s="106"/>
      <c r="RA5735" s="106"/>
      <c r="RB5735" s="106"/>
      <c r="RC5735" s="106"/>
      <c r="RD5735" s="106"/>
      <c r="RE5735" s="106"/>
      <c r="RF5735" s="106"/>
      <c r="RG5735" s="106"/>
      <c r="RH5735" s="106"/>
      <c r="RI5735" s="106"/>
      <c r="RJ5735" s="106"/>
      <c r="RK5735" s="106"/>
      <c r="RL5735" s="106"/>
    </row>
    <row r="5736" spans="462:480" x14ac:dyDescent="0.3">
      <c r="QT5736" s="106"/>
      <c r="QU5736" s="106"/>
      <c r="QV5736" s="106"/>
      <c r="QW5736" s="106"/>
      <c r="QX5736" s="106"/>
      <c r="QY5736" s="106"/>
      <c r="QZ5736" s="106"/>
      <c r="RA5736" s="106"/>
      <c r="RB5736" s="106"/>
      <c r="RC5736" s="106"/>
      <c r="RD5736" s="106"/>
      <c r="RE5736" s="106"/>
      <c r="RF5736" s="106"/>
      <c r="RG5736" s="106"/>
      <c r="RH5736" s="106"/>
      <c r="RI5736" s="106"/>
      <c r="RJ5736" s="106"/>
      <c r="RK5736" s="106"/>
      <c r="RL5736" s="106"/>
    </row>
    <row r="5737" spans="462:480" x14ac:dyDescent="0.3">
      <c r="QT5737" s="106"/>
      <c r="QU5737" s="106"/>
      <c r="QV5737" s="106"/>
      <c r="QW5737" s="106"/>
      <c r="QX5737" s="106"/>
      <c r="QY5737" s="106"/>
      <c r="QZ5737" s="106"/>
      <c r="RA5737" s="106"/>
      <c r="RB5737" s="106"/>
      <c r="RC5737" s="106"/>
      <c r="RD5737" s="106"/>
      <c r="RE5737" s="106"/>
      <c r="RF5737" s="106"/>
      <c r="RG5737" s="106"/>
      <c r="RH5737" s="106"/>
      <c r="RI5737" s="106"/>
      <c r="RJ5737" s="106"/>
      <c r="RK5737" s="106"/>
      <c r="RL5737" s="106"/>
    </row>
    <row r="5738" spans="462:480" x14ac:dyDescent="0.3">
      <c r="QT5738" s="106"/>
      <c r="QU5738" s="106"/>
      <c r="QV5738" s="106"/>
      <c r="QW5738" s="106"/>
      <c r="QX5738" s="106"/>
      <c r="QY5738" s="106"/>
      <c r="QZ5738" s="106"/>
      <c r="RA5738" s="106"/>
      <c r="RB5738" s="106"/>
      <c r="RC5738" s="106"/>
      <c r="RD5738" s="106"/>
      <c r="RE5738" s="106"/>
      <c r="RF5738" s="106"/>
      <c r="RG5738" s="106"/>
      <c r="RH5738" s="106"/>
      <c r="RI5738" s="106"/>
      <c r="RJ5738" s="106"/>
      <c r="RK5738" s="106"/>
      <c r="RL5738" s="106"/>
    </row>
    <row r="5739" spans="462:480" x14ac:dyDescent="0.3">
      <c r="QT5739" s="106"/>
      <c r="QU5739" s="106"/>
      <c r="QV5739" s="106"/>
      <c r="QW5739" s="106"/>
      <c r="QX5739" s="106"/>
      <c r="QY5739" s="106"/>
      <c r="QZ5739" s="106"/>
      <c r="RA5739" s="106"/>
      <c r="RB5739" s="106"/>
      <c r="RC5739" s="106"/>
      <c r="RD5739" s="106"/>
      <c r="RE5739" s="106"/>
      <c r="RF5739" s="106"/>
      <c r="RG5739" s="106"/>
      <c r="RH5739" s="106"/>
      <c r="RI5739" s="106"/>
      <c r="RJ5739" s="106"/>
      <c r="RK5739" s="106"/>
      <c r="RL5739" s="106"/>
    </row>
    <row r="5740" spans="462:480" x14ac:dyDescent="0.3">
      <c r="QT5740" s="106"/>
      <c r="QU5740" s="106"/>
      <c r="QV5740" s="106"/>
      <c r="QW5740" s="106"/>
      <c r="QX5740" s="106"/>
      <c r="QY5740" s="106"/>
      <c r="QZ5740" s="106"/>
      <c r="RA5740" s="106"/>
      <c r="RB5740" s="106"/>
      <c r="RC5740" s="106"/>
      <c r="RD5740" s="106"/>
      <c r="RE5740" s="106"/>
      <c r="RF5740" s="106"/>
      <c r="RG5740" s="106"/>
      <c r="RH5740" s="106"/>
      <c r="RI5740" s="106"/>
      <c r="RJ5740" s="106"/>
      <c r="RK5740" s="106"/>
      <c r="RL5740" s="106"/>
    </row>
    <row r="5741" spans="462:480" x14ac:dyDescent="0.3">
      <c r="QT5741" s="106"/>
      <c r="QU5741" s="106"/>
      <c r="QV5741" s="106"/>
      <c r="QW5741" s="106"/>
      <c r="QX5741" s="106"/>
      <c r="QY5741" s="106"/>
      <c r="QZ5741" s="106"/>
      <c r="RA5741" s="106"/>
      <c r="RB5741" s="106"/>
      <c r="RC5741" s="106"/>
      <c r="RD5741" s="106"/>
      <c r="RE5741" s="106"/>
      <c r="RF5741" s="106"/>
      <c r="RG5741" s="106"/>
      <c r="RH5741" s="106"/>
      <c r="RI5741" s="106"/>
      <c r="RJ5741" s="106"/>
      <c r="RK5741" s="106"/>
      <c r="RL5741" s="106"/>
    </row>
    <row r="5742" spans="462:480" x14ac:dyDescent="0.3">
      <c r="QT5742" s="106"/>
      <c r="QU5742" s="106"/>
      <c r="QV5742" s="106"/>
      <c r="QW5742" s="106"/>
      <c r="QX5742" s="106"/>
      <c r="QY5742" s="106"/>
      <c r="QZ5742" s="106"/>
      <c r="RA5742" s="106"/>
      <c r="RB5742" s="106"/>
      <c r="RC5742" s="106"/>
      <c r="RD5742" s="106"/>
      <c r="RE5742" s="106"/>
      <c r="RF5742" s="106"/>
      <c r="RG5742" s="106"/>
      <c r="RH5742" s="106"/>
      <c r="RI5742" s="106"/>
      <c r="RJ5742" s="106"/>
      <c r="RK5742" s="106"/>
      <c r="RL5742" s="106"/>
    </row>
    <row r="5743" spans="462:480" x14ac:dyDescent="0.3">
      <c r="QT5743" s="106"/>
      <c r="QU5743" s="106"/>
      <c r="QV5743" s="106"/>
      <c r="QW5743" s="106"/>
      <c r="QX5743" s="106"/>
      <c r="QY5743" s="106"/>
      <c r="QZ5743" s="106"/>
      <c r="RA5743" s="106"/>
      <c r="RB5743" s="106"/>
      <c r="RC5743" s="106"/>
      <c r="RD5743" s="106"/>
      <c r="RE5743" s="106"/>
      <c r="RF5743" s="106"/>
      <c r="RG5743" s="106"/>
      <c r="RH5743" s="106"/>
      <c r="RI5743" s="106"/>
      <c r="RJ5743" s="106"/>
      <c r="RK5743" s="106"/>
      <c r="RL5743" s="106"/>
    </row>
    <row r="5744" spans="462:480" x14ac:dyDescent="0.3">
      <c r="QT5744" s="106"/>
      <c r="QU5744" s="106"/>
      <c r="QV5744" s="106"/>
      <c r="QW5744" s="106"/>
      <c r="QX5744" s="106"/>
      <c r="QY5744" s="106"/>
      <c r="QZ5744" s="106"/>
      <c r="RA5744" s="106"/>
      <c r="RB5744" s="106"/>
      <c r="RC5744" s="106"/>
      <c r="RD5744" s="106"/>
      <c r="RE5744" s="106"/>
      <c r="RF5744" s="106"/>
      <c r="RG5744" s="106"/>
      <c r="RH5744" s="106"/>
      <c r="RI5744" s="106"/>
      <c r="RJ5744" s="106"/>
      <c r="RK5744" s="106"/>
      <c r="RL5744" s="106"/>
    </row>
    <row r="5745" spans="462:480" x14ac:dyDescent="0.3">
      <c r="QT5745" s="106"/>
      <c r="QU5745" s="106"/>
      <c r="QV5745" s="106"/>
      <c r="QW5745" s="106"/>
      <c r="QX5745" s="106"/>
      <c r="QY5745" s="106"/>
      <c r="QZ5745" s="106"/>
      <c r="RA5745" s="106"/>
      <c r="RB5745" s="106"/>
      <c r="RC5745" s="106"/>
      <c r="RD5745" s="106"/>
      <c r="RE5745" s="106"/>
      <c r="RF5745" s="106"/>
      <c r="RG5745" s="106"/>
      <c r="RH5745" s="106"/>
      <c r="RI5745" s="106"/>
      <c r="RJ5745" s="106"/>
      <c r="RK5745" s="106"/>
      <c r="RL5745" s="106"/>
    </row>
    <row r="5746" spans="462:480" x14ac:dyDescent="0.3">
      <c r="QT5746" s="106"/>
      <c r="QU5746" s="106"/>
      <c r="QV5746" s="106"/>
      <c r="QW5746" s="106"/>
      <c r="QX5746" s="106"/>
      <c r="QY5746" s="106"/>
      <c r="QZ5746" s="106"/>
      <c r="RA5746" s="106"/>
      <c r="RB5746" s="106"/>
      <c r="RC5746" s="106"/>
      <c r="RD5746" s="106"/>
      <c r="RE5746" s="106"/>
      <c r="RF5746" s="106"/>
      <c r="RG5746" s="106"/>
      <c r="RH5746" s="106"/>
      <c r="RI5746" s="106"/>
      <c r="RJ5746" s="106"/>
      <c r="RK5746" s="106"/>
      <c r="RL5746" s="106"/>
    </row>
    <row r="5747" spans="462:480" x14ac:dyDescent="0.3">
      <c r="QT5747" s="106"/>
      <c r="QU5747" s="106"/>
      <c r="QV5747" s="106"/>
      <c r="QW5747" s="106"/>
      <c r="QX5747" s="106"/>
      <c r="QY5747" s="106"/>
      <c r="QZ5747" s="106"/>
      <c r="RA5747" s="106"/>
      <c r="RB5747" s="106"/>
      <c r="RC5747" s="106"/>
      <c r="RD5747" s="106"/>
      <c r="RE5747" s="106"/>
      <c r="RF5747" s="106"/>
      <c r="RG5747" s="106"/>
      <c r="RH5747" s="106"/>
      <c r="RI5747" s="106"/>
      <c r="RJ5747" s="106"/>
      <c r="RK5747" s="106"/>
      <c r="RL5747" s="106"/>
    </row>
    <row r="5748" spans="462:480" x14ac:dyDescent="0.3">
      <c r="QT5748" s="106"/>
      <c r="QU5748" s="106"/>
      <c r="QV5748" s="106"/>
      <c r="QW5748" s="106"/>
      <c r="QX5748" s="106"/>
      <c r="QY5748" s="106"/>
      <c r="QZ5748" s="106"/>
      <c r="RA5748" s="106"/>
      <c r="RB5748" s="106"/>
      <c r="RC5748" s="106"/>
      <c r="RD5748" s="106"/>
      <c r="RE5748" s="106"/>
      <c r="RF5748" s="106"/>
      <c r="RG5748" s="106"/>
      <c r="RH5748" s="106"/>
      <c r="RI5748" s="106"/>
      <c r="RJ5748" s="106"/>
      <c r="RK5748" s="106"/>
      <c r="RL5748" s="106"/>
    </row>
    <row r="5749" spans="462:480" x14ac:dyDescent="0.3">
      <c r="QT5749" s="106"/>
      <c r="QU5749" s="106"/>
      <c r="QV5749" s="106"/>
      <c r="QW5749" s="106"/>
      <c r="QX5749" s="106"/>
      <c r="QY5749" s="106"/>
      <c r="QZ5749" s="106"/>
      <c r="RA5749" s="106"/>
      <c r="RB5749" s="106"/>
      <c r="RC5749" s="106"/>
      <c r="RD5749" s="106"/>
      <c r="RE5749" s="106"/>
      <c r="RF5749" s="106"/>
      <c r="RG5749" s="106"/>
      <c r="RH5749" s="106"/>
      <c r="RI5749" s="106"/>
      <c r="RJ5749" s="106"/>
      <c r="RK5749" s="106"/>
      <c r="RL5749" s="106"/>
    </row>
    <row r="5750" spans="462:480" x14ac:dyDescent="0.3">
      <c r="QT5750" s="106"/>
      <c r="QU5750" s="106"/>
      <c r="QV5750" s="106"/>
      <c r="QW5750" s="106"/>
      <c r="QX5750" s="106"/>
      <c r="QY5750" s="106"/>
      <c r="QZ5750" s="106"/>
      <c r="RA5750" s="106"/>
      <c r="RB5750" s="106"/>
      <c r="RC5750" s="106"/>
      <c r="RD5750" s="106"/>
      <c r="RE5750" s="106"/>
      <c r="RF5750" s="106"/>
      <c r="RG5750" s="106"/>
      <c r="RH5750" s="106"/>
      <c r="RI5750" s="106"/>
      <c r="RJ5750" s="106"/>
      <c r="RK5750" s="106"/>
      <c r="RL5750" s="106"/>
    </row>
    <row r="5751" spans="462:480" x14ac:dyDescent="0.3">
      <c r="QT5751" s="106"/>
      <c r="QU5751" s="106"/>
      <c r="QV5751" s="106"/>
      <c r="QW5751" s="106"/>
      <c r="QX5751" s="106"/>
      <c r="QY5751" s="106"/>
      <c r="QZ5751" s="106"/>
      <c r="RA5751" s="106"/>
      <c r="RB5751" s="106"/>
      <c r="RC5751" s="106"/>
      <c r="RD5751" s="106"/>
      <c r="RE5751" s="106"/>
      <c r="RF5751" s="106"/>
      <c r="RG5751" s="106"/>
      <c r="RH5751" s="106"/>
      <c r="RI5751" s="106"/>
      <c r="RJ5751" s="106"/>
      <c r="RK5751" s="106"/>
      <c r="RL5751" s="106"/>
    </row>
    <row r="5752" spans="462:480" x14ac:dyDescent="0.3">
      <c r="QT5752" s="106"/>
      <c r="QU5752" s="106"/>
      <c r="QV5752" s="106"/>
      <c r="QW5752" s="106"/>
      <c r="QX5752" s="106"/>
      <c r="QY5752" s="106"/>
      <c r="QZ5752" s="106"/>
      <c r="RA5752" s="106"/>
      <c r="RB5752" s="106"/>
      <c r="RC5752" s="106"/>
      <c r="RD5752" s="106"/>
      <c r="RE5752" s="106"/>
      <c r="RF5752" s="106"/>
      <c r="RG5752" s="106"/>
      <c r="RH5752" s="106"/>
      <c r="RI5752" s="106"/>
      <c r="RJ5752" s="106"/>
      <c r="RK5752" s="106"/>
      <c r="RL5752" s="106"/>
    </row>
    <row r="5753" spans="462:480" x14ac:dyDescent="0.3">
      <c r="QT5753" s="106"/>
      <c r="QU5753" s="106"/>
      <c r="QV5753" s="106"/>
      <c r="QW5753" s="106"/>
      <c r="QX5753" s="106"/>
      <c r="QY5753" s="106"/>
      <c r="QZ5753" s="106"/>
      <c r="RA5753" s="106"/>
      <c r="RB5753" s="106"/>
      <c r="RC5753" s="106"/>
      <c r="RD5753" s="106"/>
      <c r="RE5753" s="106"/>
      <c r="RF5753" s="106"/>
      <c r="RG5753" s="106"/>
      <c r="RH5753" s="106"/>
      <c r="RI5753" s="106"/>
      <c r="RJ5753" s="106"/>
      <c r="RK5753" s="106"/>
      <c r="RL5753" s="106"/>
    </row>
    <row r="5754" spans="462:480" x14ac:dyDescent="0.3">
      <c r="QT5754" s="106"/>
      <c r="QU5754" s="106"/>
      <c r="QV5754" s="106"/>
      <c r="QW5754" s="106"/>
      <c r="QX5754" s="106"/>
      <c r="QY5754" s="106"/>
      <c r="QZ5754" s="106"/>
      <c r="RA5754" s="106"/>
      <c r="RB5754" s="106"/>
      <c r="RC5754" s="106"/>
      <c r="RD5754" s="106"/>
      <c r="RE5754" s="106"/>
      <c r="RF5754" s="106"/>
      <c r="RG5754" s="106"/>
      <c r="RH5754" s="106"/>
      <c r="RI5754" s="106"/>
      <c r="RJ5754" s="106"/>
      <c r="RK5754" s="106"/>
      <c r="RL5754" s="106"/>
    </row>
    <row r="5755" spans="462:480" x14ac:dyDescent="0.3">
      <c r="QT5755" s="106"/>
      <c r="QU5755" s="106"/>
      <c r="QV5755" s="106"/>
      <c r="QW5755" s="106"/>
      <c r="QX5755" s="106"/>
      <c r="QY5755" s="106"/>
      <c r="QZ5755" s="106"/>
      <c r="RA5755" s="106"/>
      <c r="RB5755" s="106"/>
      <c r="RC5755" s="106"/>
      <c r="RD5755" s="106"/>
      <c r="RE5755" s="106"/>
      <c r="RF5755" s="106"/>
      <c r="RG5755" s="106"/>
      <c r="RH5755" s="106"/>
      <c r="RI5755" s="106"/>
      <c r="RJ5755" s="106"/>
      <c r="RK5755" s="106"/>
      <c r="RL5755" s="106"/>
    </row>
    <row r="5756" spans="462:480" x14ac:dyDescent="0.3">
      <c r="QT5756" s="106"/>
      <c r="QU5756" s="106"/>
      <c r="QV5756" s="106"/>
      <c r="QW5756" s="106"/>
      <c r="QX5756" s="106"/>
      <c r="QY5756" s="106"/>
      <c r="QZ5756" s="106"/>
      <c r="RA5756" s="106"/>
      <c r="RB5756" s="106"/>
      <c r="RC5756" s="106"/>
      <c r="RD5756" s="106"/>
      <c r="RE5756" s="106"/>
      <c r="RF5756" s="106"/>
      <c r="RG5756" s="106"/>
      <c r="RH5756" s="106"/>
      <c r="RI5756" s="106"/>
      <c r="RJ5756" s="106"/>
      <c r="RK5756" s="106"/>
      <c r="RL5756" s="106"/>
    </row>
    <row r="5757" spans="462:480" x14ac:dyDescent="0.3">
      <c r="QT5757" s="106"/>
      <c r="QU5757" s="106"/>
      <c r="QV5757" s="106"/>
      <c r="QW5757" s="106"/>
      <c r="QX5757" s="106"/>
      <c r="QY5757" s="106"/>
      <c r="QZ5757" s="106"/>
      <c r="RA5757" s="106"/>
      <c r="RB5757" s="106"/>
      <c r="RC5757" s="106"/>
      <c r="RD5757" s="106"/>
      <c r="RE5757" s="106"/>
      <c r="RF5757" s="106"/>
      <c r="RG5757" s="106"/>
      <c r="RH5757" s="106"/>
      <c r="RI5757" s="106"/>
      <c r="RJ5757" s="106"/>
      <c r="RK5757" s="106"/>
      <c r="RL5757" s="106"/>
    </row>
    <row r="5758" spans="462:480" x14ac:dyDescent="0.3">
      <c r="QT5758" s="106"/>
      <c r="QU5758" s="106"/>
      <c r="QV5758" s="106"/>
      <c r="QW5758" s="106"/>
      <c r="QX5758" s="106"/>
      <c r="QY5758" s="106"/>
      <c r="QZ5758" s="106"/>
      <c r="RA5758" s="106"/>
      <c r="RB5758" s="106"/>
      <c r="RC5758" s="106"/>
      <c r="RD5758" s="106"/>
      <c r="RE5758" s="106"/>
      <c r="RF5758" s="106"/>
      <c r="RG5758" s="106"/>
      <c r="RH5758" s="106"/>
      <c r="RI5758" s="106"/>
      <c r="RJ5758" s="106"/>
      <c r="RK5758" s="106"/>
      <c r="RL5758" s="106"/>
    </row>
    <row r="5759" spans="462:480" x14ac:dyDescent="0.3">
      <c r="QT5759" s="106"/>
      <c r="QU5759" s="106"/>
      <c r="QV5759" s="106"/>
      <c r="QW5759" s="106"/>
      <c r="QX5759" s="106"/>
      <c r="QY5759" s="106"/>
      <c r="QZ5759" s="106"/>
      <c r="RA5759" s="106"/>
      <c r="RB5759" s="106"/>
      <c r="RC5759" s="106"/>
      <c r="RD5759" s="106"/>
      <c r="RE5759" s="106"/>
      <c r="RF5759" s="106"/>
      <c r="RG5759" s="106"/>
      <c r="RH5759" s="106"/>
      <c r="RI5759" s="106"/>
      <c r="RJ5759" s="106"/>
      <c r="RK5759" s="106"/>
      <c r="RL5759" s="106"/>
    </row>
    <row r="5760" spans="462:480" x14ac:dyDescent="0.3">
      <c r="QT5760" s="106"/>
      <c r="QU5760" s="106"/>
      <c r="QV5760" s="106"/>
      <c r="QW5760" s="106"/>
      <c r="QX5760" s="106"/>
      <c r="QY5760" s="106"/>
      <c r="QZ5760" s="106"/>
      <c r="RA5760" s="106"/>
      <c r="RB5760" s="106"/>
      <c r="RC5760" s="106"/>
      <c r="RD5760" s="106"/>
      <c r="RE5760" s="106"/>
      <c r="RF5760" s="106"/>
      <c r="RG5760" s="106"/>
      <c r="RH5760" s="106"/>
      <c r="RI5760" s="106"/>
      <c r="RJ5760" s="106"/>
      <c r="RK5760" s="106"/>
      <c r="RL5760" s="106"/>
    </row>
    <row r="5761" spans="462:480" x14ac:dyDescent="0.3">
      <c r="QT5761" s="106"/>
      <c r="QU5761" s="106"/>
      <c r="QV5761" s="106"/>
      <c r="QW5761" s="106"/>
      <c r="QX5761" s="106"/>
      <c r="QY5761" s="106"/>
      <c r="QZ5761" s="106"/>
      <c r="RA5761" s="106"/>
      <c r="RB5761" s="106"/>
      <c r="RC5761" s="106"/>
      <c r="RD5761" s="106"/>
      <c r="RE5761" s="106"/>
      <c r="RF5761" s="106"/>
      <c r="RG5761" s="106"/>
      <c r="RH5761" s="106"/>
      <c r="RI5761" s="106"/>
      <c r="RJ5761" s="106"/>
      <c r="RK5761" s="106"/>
      <c r="RL5761" s="106"/>
    </row>
    <row r="5762" spans="462:480" x14ac:dyDescent="0.3">
      <c r="QT5762" s="106"/>
      <c r="QU5762" s="106"/>
      <c r="QV5762" s="106"/>
      <c r="QW5762" s="106"/>
      <c r="QX5762" s="106"/>
      <c r="QY5762" s="106"/>
      <c r="QZ5762" s="106"/>
      <c r="RA5762" s="106"/>
      <c r="RB5762" s="106"/>
      <c r="RC5762" s="106"/>
      <c r="RD5762" s="106"/>
      <c r="RE5762" s="106"/>
      <c r="RF5762" s="106"/>
      <c r="RG5762" s="106"/>
      <c r="RH5762" s="106"/>
      <c r="RI5762" s="106"/>
      <c r="RJ5762" s="106"/>
      <c r="RK5762" s="106"/>
      <c r="RL5762" s="106"/>
    </row>
    <row r="5763" spans="462:480" x14ac:dyDescent="0.3">
      <c r="QT5763" s="106"/>
      <c r="QU5763" s="106"/>
      <c r="QV5763" s="106"/>
      <c r="QW5763" s="106"/>
      <c r="QX5763" s="106"/>
      <c r="QY5763" s="106"/>
      <c r="QZ5763" s="106"/>
      <c r="RA5763" s="106"/>
      <c r="RB5763" s="106"/>
      <c r="RC5763" s="106"/>
      <c r="RD5763" s="106"/>
      <c r="RE5763" s="106"/>
      <c r="RF5763" s="106"/>
      <c r="RG5763" s="106"/>
      <c r="RH5763" s="106"/>
      <c r="RI5763" s="106"/>
      <c r="RJ5763" s="106"/>
      <c r="RK5763" s="106"/>
      <c r="RL5763" s="106"/>
    </row>
    <row r="5764" spans="462:480" x14ac:dyDescent="0.3">
      <c r="QT5764" s="106"/>
      <c r="QU5764" s="106"/>
      <c r="QV5764" s="106"/>
      <c r="QW5764" s="106"/>
      <c r="QX5764" s="106"/>
      <c r="QY5764" s="106"/>
      <c r="QZ5764" s="106"/>
      <c r="RA5764" s="106"/>
      <c r="RB5764" s="106"/>
      <c r="RC5764" s="106"/>
      <c r="RD5764" s="106"/>
      <c r="RE5764" s="106"/>
      <c r="RF5764" s="106"/>
      <c r="RG5764" s="106"/>
      <c r="RH5764" s="106"/>
      <c r="RI5764" s="106"/>
      <c r="RJ5764" s="106"/>
      <c r="RK5764" s="106"/>
      <c r="RL5764" s="106"/>
    </row>
    <row r="5765" spans="462:480" x14ac:dyDescent="0.3">
      <c r="QT5765" s="106"/>
      <c r="QU5765" s="106"/>
      <c r="QV5765" s="106"/>
      <c r="QW5765" s="106"/>
      <c r="QX5765" s="106"/>
      <c r="QY5765" s="106"/>
      <c r="QZ5765" s="106"/>
      <c r="RA5765" s="106"/>
      <c r="RB5765" s="106"/>
      <c r="RC5765" s="106"/>
      <c r="RD5765" s="106"/>
      <c r="RE5765" s="106"/>
      <c r="RF5765" s="106"/>
      <c r="RG5765" s="106"/>
      <c r="RH5765" s="106"/>
      <c r="RI5765" s="106"/>
      <c r="RJ5765" s="106"/>
      <c r="RK5765" s="106"/>
      <c r="RL5765" s="106"/>
    </row>
    <row r="5766" spans="462:480" x14ac:dyDescent="0.3">
      <c r="QT5766" s="106"/>
      <c r="QU5766" s="106"/>
      <c r="QV5766" s="106"/>
      <c r="QW5766" s="106"/>
      <c r="QX5766" s="106"/>
      <c r="QY5766" s="106"/>
      <c r="QZ5766" s="106"/>
      <c r="RA5766" s="106"/>
      <c r="RB5766" s="106"/>
      <c r="RC5766" s="106"/>
      <c r="RD5766" s="106"/>
      <c r="RE5766" s="106"/>
      <c r="RF5766" s="106"/>
      <c r="RG5766" s="106"/>
      <c r="RH5766" s="106"/>
      <c r="RI5766" s="106"/>
      <c r="RJ5766" s="106"/>
      <c r="RK5766" s="106"/>
      <c r="RL5766" s="106"/>
    </row>
    <row r="5767" spans="462:480" x14ac:dyDescent="0.3">
      <c r="QT5767" s="106"/>
      <c r="QU5767" s="106"/>
      <c r="QV5767" s="106"/>
      <c r="QW5767" s="106"/>
      <c r="QX5767" s="106"/>
      <c r="QY5767" s="106"/>
      <c r="QZ5767" s="106"/>
      <c r="RA5767" s="106"/>
      <c r="RB5767" s="106"/>
      <c r="RC5767" s="106"/>
      <c r="RD5767" s="106"/>
      <c r="RE5767" s="106"/>
      <c r="RF5767" s="106"/>
      <c r="RG5767" s="106"/>
      <c r="RH5767" s="106"/>
      <c r="RI5767" s="106"/>
      <c r="RJ5767" s="106"/>
      <c r="RK5767" s="106"/>
      <c r="RL5767" s="106"/>
    </row>
    <row r="5768" spans="462:480" x14ac:dyDescent="0.3">
      <c r="QT5768" s="106"/>
      <c r="QU5768" s="106"/>
      <c r="QV5768" s="106"/>
      <c r="QW5768" s="106"/>
      <c r="QX5768" s="106"/>
      <c r="QY5768" s="106"/>
      <c r="QZ5768" s="106"/>
      <c r="RA5768" s="106"/>
      <c r="RB5768" s="106"/>
      <c r="RC5768" s="106"/>
      <c r="RD5768" s="106"/>
      <c r="RE5768" s="106"/>
      <c r="RF5768" s="106"/>
      <c r="RG5768" s="106"/>
      <c r="RH5768" s="106"/>
      <c r="RI5768" s="106"/>
      <c r="RJ5768" s="106"/>
      <c r="RK5768" s="106"/>
      <c r="RL5768" s="106"/>
    </row>
    <row r="5769" spans="462:480" x14ac:dyDescent="0.3">
      <c r="QT5769" s="106"/>
      <c r="QU5769" s="106"/>
      <c r="QV5769" s="106"/>
      <c r="QW5769" s="106"/>
      <c r="QX5769" s="106"/>
      <c r="QY5769" s="106"/>
      <c r="QZ5769" s="106"/>
      <c r="RA5769" s="106"/>
      <c r="RB5769" s="106"/>
      <c r="RC5769" s="106"/>
      <c r="RD5769" s="106"/>
      <c r="RE5769" s="106"/>
      <c r="RF5769" s="106"/>
      <c r="RG5769" s="106"/>
      <c r="RH5769" s="106"/>
      <c r="RI5769" s="106"/>
      <c r="RJ5769" s="106"/>
      <c r="RK5769" s="106"/>
      <c r="RL5769" s="106"/>
    </row>
    <row r="5770" spans="462:480" x14ac:dyDescent="0.3">
      <c r="QT5770" s="106"/>
      <c r="QU5770" s="106"/>
      <c r="QV5770" s="106"/>
      <c r="QW5770" s="106"/>
      <c r="QX5770" s="106"/>
      <c r="QY5770" s="106"/>
      <c r="QZ5770" s="106"/>
      <c r="RA5770" s="106"/>
      <c r="RB5770" s="106"/>
      <c r="RC5770" s="106"/>
      <c r="RD5770" s="106"/>
      <c r="RE5770" s="106"/>
      <c r="RF5770" s="106"/>
      <c r="RG5770" s="106"/>
      <c r="RH5770" s="106"/>
      <c r="RI5770" s="106"/>
      <c r="RJ5770" s="106"/>
      <c r="RK5770" s="106"/>
      <c r="RL5770" s="106"/>
    </row>
    <row r="5771" spans="462:480" x14ac:dyDescent="0.3">
      <c r="QT5771" s="106"/>
      <c r="QU5771" s="106"/>
      <c r="QV5771" s="106"/>
      <c r="QW5771" s="106"/>
      <c r="QX5771" s="106"/>
      <c r="QY5771" s="106"/>
      <c r="QZ5771" s="106"/>
      <c r="RA5771" s="106"/>
      <c r="RB5771" s="106"/>
      <c r="RC5771" s="106"/>
      <c r="RD5771" s="106"/>
      <c r="RE5771" s="106"/>
      <c r="RF5771" s="106"/>
      <c r="RG5771" s="106"/>
      <c r="RH5771" s="106"/>
      <c r="RI5771" s="106"/>
      <c r="RJ5771" s="106"/>
      <c r="RK5771" s="106"/>
      <c r="RL5771" s="106"/>
    </row>
    <row r="5772" spans="462:480" x14ac:dyDescent="0.3">
      <c r="QT5772" s="106"/>
      <c r="QU5772" s="106"/>
      <c r="QV5772" s="106"/>
      <c r="QW5772" s="106"/>
      <c r="QX5772" s="106"/>
      <c r="QY5772" s="106"/>
      <c r="QZ5772" s="106"/>
      <c r="RA5772" s="106"/>
      <c r="RB5772" s="106"/>
      <c r="RC5772" s="106"/>
      <c r="RD5772" s="106"/>
      <c r="RE5772" s="106"/>
      <c r="RF5772" s="106"/>
      <c r="RG5772" s="106"/>
      <c r="RH5772" s="106"/>
      <c r="RI5772" s="106"/>
      <c r="RJ5772" s="106"/>
      <c r="RK5772" s="106"/>
      <c r="RL5772" s="106"/>
    </row>
    <row r="5773" spans="462:480" x14ac:dyDescent="0.3">
      <c r="QT5773" s="106"/>
      <c r="QU5773" s="106"/>
      <c r="QV5773" s="106"/>
      <c r="QW5773" s="106"/>
      <c r="QX5773" s="106"/>
      <c r="QY5773" s="106"/>
      <c r="QZ5773" s="106"/>
      <c r="RA5773" s="106"/>
      <c r="RB5773" s="106"/>
      <c r="RC5773" s="106"/>
      <c r="RD5773" s="106"/>
      <c r="RE5773" s="106"/>
      <c r="RF5773" s="106"/>
      <c r="RG5773" s="106"/>
      <c r="RH5773" s="106"/>
      <c r="RI5773" s="106"/>
      <c r="RJ5773" s="106"/>
      <c r="RK5773" s="106"/>
      <c r="RL5773" s="106"/>
    </row>
    <row r="5774" spans="462:480" x14ac:dyDescent="0.3">
      <c r="QT5774" s="106"/>
      <c r="QU5774" s="106"/>
      <c r="QV5774" s="106"/>
      <c r="QW5774" s="106"/>
      <c r="QX5774" s="106"/>
      <c r="QY5774" s="106"/>
      <c r="QZ5774" s="106"/>
      <c r="RA5774" s="106"/>
      <c r="RB5774" s="106"/>
      <c r="RC5774" s="106"/>
      <c r="RD5774" s="106"/>
      <c r="RE5774" s="106"/>
      <c r="RF5774" s="106"/>
      <c r="RG5774" s="106"/>
      <c r="RH5774" s="106"/>
      <c r="RI5774" s="106"/>
      <c r="RJ5774" s="106"/>
      <c r="RK5774" s="106"/>
      <c r="RL5774" s="106"/>
    </row>
    <row r="5775" spans="462:480" x14ac:dyDescent="0.3">
      <c r="QT5775" s="106"/>
      <c r="QU5775" s="106"/>
      <c r="QV5775" s="106"/>
      <c r="QW5775" s="106"/>
      <c r="QX5775" s="106"/>
      <c r="QY5775" s="106"/>
      <c r="QZ5775" s="106"/>
      <c r="RA5775" s="106"/>
      <c r="RB5775" s="106"/>
      <c r="RC5775" s="106"/>
      <c r="RD5775" s="106"/>
      <c r="RE5775" s="106"/>
      <c r="RF5775" s="106"/>
      <c r="RG5775" s="106"/>
      <c r="RH5775" s="106"/>
      <c r="RI5775" s="106"/>
      <c r="RJ5775" s="106"/>
      <c r="RK5775" s="106"/>
      <c r="RL5775" s="106"/>
    </row>
    <row r="5776" spans="462:480" x14ac:dyDescent="0.3">
      <c r="QT5776" s="106"/>
      <c r="QU5776" s="106"/>
      <c r="QV5776" s="106"/>
      <c r="QW5776" s="106"/>
      <c r="QX5776" s="106"/>
      <c r="QY5776" s="106"/>
      <c r="QZ5776" s="106"/>
      <c r="RA5776" s="106"/>
      <c r="RB5776" s="106"/>
      <c r="RC5776" s="106"/>
      <c r="RD5776" s="106"/>
      <c r="RE5776" s="106"/>
      <c r="RF5776" s="106"/>
      <c r="RG5776" s="106"/>
      <c r="RH5776" s="106"/>
      <c r="RI5776" s="106"/>
      <c r="RJ5776" s="106"/>
      <c r="RK5776" s="106"/>
      <c r="RL5776" s="106"/>
    </row>
    <row r="5777" spans="462:480" x14ac:dyDescent="0.3">
      <c r="QT5777" s="106"/>
      <c r="QU5777" s="106"/>
      <c r="QV5777" s="106"/>
      <c r="QW5777" s="106"/>
      <c r="QX5777" s="106"/>
      <c r="QY5777" s="106"/>
      <c r="QZ5777" s="106"/>
      <c r="RA5777" s="106"/>
      <c r="RB5777" s="106"/>
      <c r="RC5777" s="106"/>
      <c r="RD5777" s="106"/>
      <c r="RE5777" s="106"/>
      <c r="RF5777" s="106"/>
      <c r="RG5777" s="106"/>
      <c r="RH5777" s="106"/>
      <c r="RI5777" s="106"/>
      <c r="RJ5777" s="106"/>
      <c r="RK5777" s="106"/>
      <c r="RL5777" s="106"/>
    </row>
    <row r="5778" spans="462:480" x14ac:dyDescent="0.3">
      <c r="QT5778" s="106"/>
      <c r="QU5778" s="106"/>
      <c r="QV5778" s="106"/>
      <c r="QW5778" s="106"/>
      <c r="QX5778" s="106"/>
      <c r="QY5778" s="106"/>
      <c r="QZ5778" s="106"/>
      <c r="RA5778" s="106"/>
      <c r="RB5778" s="106"/>
      <c r="RC5778" s="106"/>
      <c r="RD5778" s="106"/>
      <c r="RE5778" s="106"/>
      <c r="RF5778" s="106"/>
      <c r="RG5778" s="106"/>
      <c r="RH5778" s="106"/>
      <c r="RI5778" s="106"/>
      <c r="RJ5778" s="106"/>
      <c r="RK5778" s="106"/>
      <c r="RL5778" s="106"/>
    </row>
    <row r="5779" spans="462:480" x14ac:dyDescent="0.3">
      <c r="QT5779" s="106"/>
      <c r="QU5779" s="106"/>
      <c r="QV5779" s="106"/>
      <c r="QW5779" s="106"/>
      <c r="QX5779" s="106"/>
      <c r="QY5779" s="106"/>
      <c r="QZ5779" s="106"/>
      <c r="RA5779" s="106"/>
      <c r="RB5779" s="106"/>
      <c r="RC5779" s="106"/>
      <c r="RD5779" s="106"/>
      <c r="RE5779" s="106"/>
      <c r="RF5779" s="106"/>
      <c r="RG5779" s="106"/>
      <c r="RH5779" s="106"/>
      <c r="RI5779" s="106"/>
      <c r="RJ5779" s="106"/>
      <c r="RK5779" s="106"/>
      <c r="RL5779" s="106"/>
    </row>
    <row r="5780" spans="462:480" x14ac:dyDescent="0.3">
      <c r="QT5780" s="106"/>
      <c r="QU5780" s="106"/>
      <c r="QV5780" s="106"/>
      <c r="QW5780" s="106"/>
      <c r="QX5780" s="106"/>
      <c r="QY5780" s="106"/>
      <c r="QZ5780" s="106"/>
      <c r="RA5780" s="106"/>
      <c r="RB5780" s="106"/>
      <c r="RC5780" s="106"/>
      <c r="RD5780" s="106"/>
      <c r="RE5780" s="106"/>
      <c r="RF5780" s="106"/>
      <c r="RG5780" s="106"/>
      <c r="RH5780" s="106"/>
      <c r="RI5780" s="106"/>
      <c r="RJ5780" s="106"/>
      <c r="RK5780" s="106"/>
      <c r="RL5780" s="106"/>
    </row>
    <row r="5781" spans="462:480" x14ac:dyDescent="0.3">
      <c r="QT5781" s="106"/>
      <c r="QU5781" s="106"/>
      <c r="QV5781" s="106"/>
      <c r="QW5781" s="106"/>
      <c r="QX5781" s="106"/>
      <c r="QY5781" s="106"/>
      <c r="QZ5781" s="106"/>
      <c r="RA5781" s="106"/>
      <c r="RB5781" s="106"/>
      <c r="RC5781" s="106"/>
      <c r="RD5781" s="106"/>
      <c r="RE5781" s="106"/>
      <c r="RF5781" s="106"/>
      <c r="RG5781" s="106"/>
      <c r="RH5781" s="106"/>
      <c r="RI5781" s="106"/>
      <c r="RJ5781" s="106"/>
      <c r="RK5781" s="106"/>
      <c r="RL5781" s="106"/>
    </row>
    <row r="5782" spans="462:480" x14ac:dyDescent="0.3">
      <c r="QT5782" s="106"/>
      <c r="QU5782" s="106"/>
      <c r="QV5782" s="106"/>
      <c r="QW5782" s="106"/>
      <c r="QX5782" s="106"/>
      <c r="QY5782" s="106"/>
      <c r="QZ5782" s="106"/>
      <c r="RA5782" s="106"/>
      <c r="RB5782" s="106"/>
      <c r="RC5782" s="106"/>
      <c r="RD5782" s="106"/>
      <c r="RE5782" s="106"/>
      <c r="RF5782" s="106"/>
      <c r="RG5782" s="106"/>
      <c r="RH5782" s="106"/>
      <c r="RI5782" s="106"/>
      <c r="RJ5782" s="106"/>
      <c r="RK5782" s="106"/>
      <c r="RL5782" s="106"/>
    </row>
    <row r="5783" spans="462:480" x14ac:dyDescent="0.3">
      <c r="QT5783" s="106"/>
      <c r="QU5783" s="106"/>
      <c r="QV5783" s="106"/>
      <c r="QW5783" s="106"/>
      <c r="QX5783" s="106"/>
      <c r="QY5783" s="106"/>
      <c r="QZ5783" s="106"/>
      <c r="RA5783" s="106"/>
      <c r="RB5783" s="106"/>
      <c r="RC5783" s="106"/>
      <c r="RD5783" s="106"/>
      <c r="RE5783" s="106"/>
      <c r="RF5783" s="106"/>
      <c r="RG5783" s="106"/>
      <c r="RH5783" s="106"/>
      <c r="RI5783" s="106"/>
      <c r="RJ5783" s="106"/>
      <c r="RK5783" s="106"/>
      <c r="RL5783" s="106"/>
    </row>
    <row r="5784" spans="462:480" x14ac:dyDescent="0.3">
      <c r="QT5784" s="106"/>
      <c r="QU5784" s="106"/>
      <c r="QV5784" s="106"/>
      <c r="QW5784" s="106"/>
      <c r="QX5784" s="106"/>
      <c r="QY5784" s="106"/>
      <c r="QZ5784" s="106"/>
      <c r="RA5784" s="106"/>
      <c r="RB5784" s="106"/>
      <c r="RC5784" s="106"/>
      <c r="RD5784" s="106"/>
      <c r="RE5784" s="106"/>
      <c r="RF5784" s="106"/>
      <c r="RG5784" s="106"/>
      <c r="RH5784" s="106"/>
      <c r="RI5784" s="106"/>
      <c r="RJ5784" s="106"/>
      <c r="RK5784" s="106"/>
      <c r="RL5784" s="106"/>
    </row>
    <row r="5785" spans="462:480" x14ac:dyDescent="0.3">
      <c r="QT5785" s="106"/>
      <c r="QU5785" s="106"/>
      <c r="QV5785" s="106"/>
      <c r="QW5785" s="106"/>
      <c r="QX5785" s="106"/>
      <c r="QY5785" s="106"/>
      <c r="QZ5785" s="106"/>
      <c r="RA5785" s="106"/>
      <c r="RB5785" s="106"/>
      <c r="RC5785" s="106"/>
      <c r="RD5785" s="106"/>
      <c r="RE5785" s="106"/>
      <c r="RF5785" s="106"/>
      <c r="RG5785" s="106"/>
      <c r="RH5785" s="106"/>
      <c r="RI5785" s="106"/>
      <c r="RJ5785" s="106"/>
      <c r="RK5785" s="106"/>
      <c r="RL5785" s="106"/>
    </row>
    <row r="5786" spans="462:480" x14ac:dyDescent="0.3">
      <c r="QT5786" s="106"/>
      <c r="QU5786" s="106"/>
      <c r="QV5786" s="106"/>
      <c r="QW5786" s="106"/>
      <c r="QX5786" s="106"/>
      <c r="QY5786" s="106"/>
      <c r="QZ5786" s="106"/>
      <c r="RA5786" s="106"/>
      <c r="RB5786" s="106"/>
      <c r="RC5786" s="106"/>
      <c r="RD5786" s="106"/>
      <c r="RE5786" s="106"/>
      <c r="RF5786" s="106"/>
      <c r="RG5786" s="106"/>
      <c r="RH5786" s="106"/>
      <c r="RI5786" s="106"/>
      <c r="RJ5786" s="106"/>
      <c r="RK5786" s="106"/>
      <c r="RL5786" s="106"/>
    </row>
    <row r="5787" spans="462:480" x14ac:dyDescent="0.3">
      <c r="QT5787" s="106"/>
      <c r="QU5787" s="106"/>
      <c r="QV5787" s="106"/>
      <c r="QW5787" s="106"/>
      <c r="QX5787" s="106"/>
      <c r="QY5787" s="106"/>
      <c r="QZ5787" s="106"/>
      <c r="RA5787" s="106"/>
      <c r="RB5787" s="106"/>
      <c r="RC5787" s="106"/>
      <c r="RD5787" s="106"/>
      <c r="RE5787" s="106"/>
      <c r="RF5787" s="106"/>
      <c r="RG5787" s="106"/>
      <c r="RH5787" s="106"/>
      <c r="RI5787" s="106"/>
      <c r="RJ5787" s="106"/>
      <c r="RK5787" s="106"/>
      <c r="RL5787" s="106"/>
    </row>
    <row r="5788" spans="462:480" x14ac:dyDescent="0.3">
      <c r="QT5788" s="106"/>
      <c r="QU5788" s="106"/>
      <c r="QV5788" s="106"/>
      <c r="QW5788" s="106"/>
      <c r="QX5788" s="106"/>
      <c r="QY5788" s="106"/>
      <c r="QZ5788" s="106"/>
      <c r="RA5788" s="106"/>
      <c r="RB5788" s="106"/>
      <c r="RC5788" s="106"/>
      <c r="RD5788" s="106"/>
      <c r="RE5788" s="106"/>
      <c r="RF5788" s="106"/>
      <c r="RG5788" s="106"/>
      <c r="RH5788" s="106"/>
      <c r="RI5788" s="106"/>
      <c r="RJ5788" s="106"/>
      <c r="RK5788" s="106"/>
      <c r="RL5788" s="106"/>
    </row>
    <row r="5789" spans="462:480" x14ac:dyDescent="0.3">
      <c r="QT5789" s="106"/>
      <c r="QU5789" s="106"/>
      <c r="QV5789" s="106"/>
      <c r="QW5789" s="106"/>
      <c r="QX5789" s="106"/>
      <c r="QY5789" s="106"/>
      <c r="QZ5789" s="106"/>
      <c r="RA5789" s="106"/>
      <c r="RB5789" s="106"/>
      <c r="RC5789" s="106"/>
      <c r="RD5789" s="106"/>
      <c r="RE5789" s="106"/>
      <c r="RF5789" s="106"/>
      <c r="RG5789" s="106"/>
      <c r="RH5789" s="106"/>
      <c r="RI5789" s="106"/>
      <c r="RJ5789" s="106"/>
      <c r="RK5789" s="106"/>
      <c r="RL5789" s="106"/>
    </row>
    <row r="5790" spans="462:480" x14ac:dyDescent="0.3">
      <c r="QT5790" s="106"/>
      <c r="QU5790" s="106"/>
      <c r="QV5790" s="106"/>
      <c r="QW5790" s="106"/>
      <c r="QX5790" s="106"/>
      <c r="QY5790" s="106"/>
      <c r="QZ5790" s="106"/>
      <c r="RA5790" s="106"/>
      <c r="RB5790" s="106"/>
      <c r="RC5790" s="106"/>
      <c r="RD5790" s="106"/>
      <c r="RE5790" s="106"/>
      <c r="RF5790" s="106"/>
      <c r="RG5790" s="106"/>
      <c r="RH5790" s="106"/>
      <c r="RI5790" s="106"/>
      <c r="RJ5790" s="106"/>
      <c r="RK5790" s="106"/>
      <c r="RL5790" s="106"/>
    </row>
    <row r="5791" spans="462:480" x14ac:dyDescent="0.3">
      <c r="QT5791" s="106"/>
      <c r="QU5791" s="106"/>
      <c r="QV5791" s="106"/>
      <c r="QW5791" s="106"/>
      <c r="QX5791" s="106"/>
      <c r="QY5791" s="106"/>
      <c r="QZ5791" s="106"/>
      <c r="RA5791" s="106"/>
      <c r="RB5791" s="106"/>
      <c r="RC5791" s="106"/>
      <c r="RD5791" s="106"/>
      <c r="RE5791" s="106"/>
      <c r="RF5791" s="106"/>
      <c r="RG5791" s="106"/>
      <c r="RH5791" s="106"/>
      <c r="RI5791" s="106"/>
      <c r="RJ5791" s="106"/>
      <c r="RK5791" s="106"/>
      <c r="RL5791" s="106"/>
    </row>
    <row r="5792" spans="462:480" x14ac:dyDescent="0.3">
      <c r="QT5792" s="106"/>
      <c r="QU5792" s="106"/>
      <c r="QV5792" s="106"/>
      <c r="QW5792" s="106"/>
      <c r="QX5792" s="106"/>
      <c r="QY5792" s="106"/>
      <c r="QZ5792" s="106"/>
      <c r="RA5792" s="106"/>
      <c r="RB5792" s="106"/>
      <c r="RC5792" s="106"/>
      <c r="RD5792" s="106"/>
      <c r="RE5792" s="106"/>
      <c r="RF5792" s="106"/>
      <c r="RG5792" s="106"/>
      <c r="RH5792" s="106"/>
      <c r="RI5792" s="106"/>
      <c r="RJ5792" s="106"/>
      <c r="RK5792" s="106"/>
      <c r="RL5792" s="106"/>
    </row>
    <row r="5793" spans="462:480" x14ac:dyDescent="0.3">
      <c r="QT5793" s="106"/>
      <c r="QU5793" s="106"/>
      <c r="QV5793" s="106"/>
      <c r="QW5793" s="106"/>
      <c r="QX5793" s="106"/>
      <c r="QY5793" s="106"/>
      <c r="QZ5793" s="106"/>
      <c r="RA5793" s="106"/>
      <c r="RB5793" s="106"/>
      <c r="RC5793" s="106"/>
      <c r="RD5793" s="106"/>
      <c r="RE5793" s="106"/>
      <c r="RF5793" s="106"/>
      <c r="RG5793" s="106"/>
      <c r="RH5793" s="106"/>
      <c r="RI5793" s="106"/>
      <c r="RJ5793" s="106"/>
      <c r="RK5793" s="106"/>
      <c r="RL5793" s="106"/>
    </row>
    <row r="5794" spans="462:480" x14ac:dyDescent="0.3">
      <c r="QT5794" s="106"/>
      <c r="QU5794" s="106"/>
      <c r="QV5794" s="106"/>
      <c r="QW5794" s="106"/>
      <c r="QX5794" s="106"/>
      <c r="QY5794" s="106"/>
      <c r="QZ5794" s="106"/>
      <c r="RA5794" s="106"/>
      <c r="RB5794" s="106"/>
      <c r="RC5794" s="106"/>
      <c r="RD5794" s="106"/>
      <c r="RE5794" s="106"/>
      <c r="RF5794" s="106"/>
      <c r="RG5794" s="106"/>
      <c r="RH5794" s="106"/>
      <c r="RI5794" s="106"/>
      <c r="RJ5794" s="106"/>
      <c r="RK5794" s="106"/>
      <c r="RL5794" s="106"/>
    </row>
    <row r="5795" spans="462:480" x14ac:dyDescent="0.3">
      <c r="QT5795" s="106"/>
      <c r="QU5795" s="106"/>
      <c r="QV5795" s="106"/>
      <c r="QW5795" s="106"/>
      <c r="QX5795" s="106"/>
      <c r="QY5795" s="106"/>
      <c r="QZ5795" s="106"/>
      <c r="RA5795" s="106"/>
      <c r="RB5795" s="106"/>
      <c r="RC5795" s="106"/>
      <c r="RD5795" s="106"/>
      <c r="RE5795" s="106"/>
      <c r="RF5795" s="106"/>
      <c r="RG5795" s="106"/>
      <c r="RH5795" s="106"/>
      <c r="RI5795" s="106"/>
      <c r="RJ5795" s="106"/>
      <c r="RK5795" s="106"/>
      <c r="RL5795" s="106"/>
    </row>
    <row r="5796" spans="462:480" x14ac:dyDescent="0.3">
      <c r="QT5796" s="106"/>
      <c r="QU5796" s="106"/>
      <c r="QV5796" s="106"/>
      <c r="QW5796" s="106"/>
      <c r="QX5796" s="106"/>
      <c r="QY5796" s="106"/>
      <c r="QZ5796" s="106"/>
      <c r="RA5796" s="106"/>
      <c r="RB5796" s="106"/>
      <c r="RC5796" s="106"/>
      <c r="RD5796" s="106"/>
      <c r="RE5796" s="106"/>
      <c r="RF5796" s="106"/>
      <c r="RG5796" s="106"/>
      <c r="RH5796" s="106"/>
      <c r="RI5796" s="106"/>
      <c r="RJ5796" s="106"/>
      <c r="RK5796" s="106"/>
      <c r="RL5796" s="106"/>
    </row>
    <row r="5797" spans="462:480" x14ac:dyDescent="0.3">
      <c r="QT5797" s="106"/>
      <c r="QU5797" s="106"/>
      <c r="QV5797" s="106"/>
      <c r="QW5797" s="106"/>
      <c r="QX5797" s="106"/>
      <c r="QY5797" s="106"/>
      <c r="QZ5797" s="106"/>
      <c r="RA5797" s="106"/>
      <c r="RB5797" s="106"/>
      <c r="RC5797" s="106"/>
      <c r="RD5797" s="106"/>
      <c r="RE5797" s="106"/>
      <c r="RF5797" s="106"/>
      <c r="RG5797" s="106"/>
      <c r="RH5797" s="106"/>
      <c r="RI5797" s="106"/>
      <c r="RJ5797" s="106"/>
      <c r="RK5797" s="106"/>
      <c r="RL5797" s="106"/>
    </row>
    <row r="5798" spans="462:480" x14ac:dyDescent="0.3">
      <c r="QT5798" s="106"/>
      <c r="QU5798" s="106"/>
      <c r="QV5798" s="106"/>
      <c r="QW5798" s="106"/>
      <c r="QX5798" s="106"/>
      <c r="QY5798" s="106"/>
      <c r="QZ5798" s="106"/>
      <c r="RA5798" s="106"/>
      <c r="RB5798" s="106"/>
      <c r="RC5798" s="106"/>
      <c r="RD5798" s="106"/>
      <c r="RE5798" s="106"/>
      <c r="RF5798" s="106"/>
      <c r="RG5798" s="106"/>
      <c r="RH5798" s="106"/>
      <c r="RI5798" s="106"/>
      <c r="RJ5798" s="106"/>
      <c r="RK5798" s="106"/>
      <c r="RL5798" s="106"/>
    </row>
    <row r="5799" spans="462:480" x14ac:dyDescent="0.3">
      <c r="QT5799" s="106"/>
      <c r="QU5799" s="106"/>
      <c r="QV5799" s="106"/>
      <c r="QW5799" s="106"/>
      <c r="QX5799" s="106"/>
      <c r="QY5799" s="106"/>
      <c r="QZ5799" s="106"/>
      <c r="RA5799" s="106"/>
      <c r="RB5799" s="106"/>
      <c r="RC5799" s="106"/>
      <c r="RD5799" s="106"/>
      <c r="RE5799" s="106"/>
      <c r="RF5799" s="106"/>
      <c r="RG5799" s="106"/>
      <c r="RH5799" s="106"/>
      <c r="RI5799" s="106"/>
      <c r="RJ5799" s="106"/>
      <c r="RK5799" s="106"/>
      <c r="RL5799" s="106"/>
    </row>
    <row r="5800" spans="462:480" x14ac:dyDescent="0.3">
      <c r="QT5800" s="106"/>
      <c r="QU5800" s="106"/>
      <c r="QV5800" s="106"/>
      <c r="QW5800" s="106"/>
      <c r="QX5800" s="106"/>
      <c r="QY5800" s="106"/>
      <c r="QZ5800" s="106"/>
      <c r="RA5800" s="106"/>
      <c r="RB5800" s="106"/>
      <c r="RC5800" s="106"/>
      <c r="RD5800" s="106"/>
      <c r="RE5800" s="106"/>
      <c r="RF5800" s="106"/>
      <c r="RG5800" s="106"/>
      <c r="RH5800" s="106"/>
      <c r="RI5800" s="106"/>
      <c r="RJ5800" s="106"/>
      <c r="RK5800" s="106"/>
      <c r="RL5800" s="106"/>
    </row>
    <row r="5801" spans="462:480" x14ac:dyDescent="0.3">
      <c r="QT5801" s="106"/>
      <c r="QU5801" s="106"/>
      <c r="QV5801" s="106"/>
      <c r="QW5801" s="106"/>
      <c r="QX5801" s="106"/>
      <c r="QY5801" s="106"/>
      <c r="QZ5801" s="106"/>
      <c r="RA5801" s="106"/>
      <c r="RB5801" s="106"/>
      <c r="RC5801" s="106"/>
      <c r="RD5801" s="106"/>
      <c r="RE5801" s="106"/>
      <c r="RF5801" s="106"/>
      <c r="RG5801" s="106"/>
      <c r="RH5801" s="106"/>
      <c r="RI5801" s="106"/>
      <c r="RJ5801" s="106"/>
      <c r="RK5801" s="106"/>
      <c r="RL5801" s="106"/>
    </row>
    <row r="5802" spans="462:480" x14ac:dyDescent="0.3">
      <c r="QT5802" s="106"/>
      <c r="QU5802" s="106"/>
      <c r="QV5802" s="106"/>
      <c r="QW5802" s="106"/>
      <c r="QX5802" s="106"/>
      <c r="QY5802" s="106"/>
      <c r="QZ5802" s="106"/>
      <c r="RA5802" s="106"/>
      <c r="RB5802" s="106"/>
      <c r="RC5802" s="106"/>
      <c r="RD5802" s="106"/>
      <c r="RE5802" s="106"/>
      <c r="RF5802" s="106"/>
      <c r="RG5802" s="106"/>
      <c r="RH5802" s="106"/>
      <c r="RI5802" s="106"/>
      <c r="RJ5802" s="106"/>
      <c r="RK5802" s="106"/>
      <c r="RL5802" s="106"/>
    </row>
    <row r="5803" spans="462:480" x14ac:dyDescent="0.3">
      <c r="QT5803" s="106"/>
      <c r="QU5803" s="106"/>
      <c r="QV5803" s="106"/>
      <c r="QW5803" s="106"/>
      <c r="QX5803" s="106"/>
      <c r="QY5803" s="106"/>
      <c r="QZ5803" s="106"/>
      <c r="RA5803" s="106"/>
      <c r="RB5803" s="106"/>
      <c r="RC5803" s="106"/>
      <c r="RD5803" s="106"/>
      <c r="RE5803" s="106"/>
      <c r="RF5803" s="106"/>
      <c r="RG5803" s="106"/>
      <c r="RH5803" s="106"/>
      <c r="RI5803" s="106"/>
      <c r="RJ5803" s="106"/>
      <c r="RK5803" s="106"/>
      <c r="RL5803" s="106"/>
    </row>
    <row r="5804" spans="462:480" x14ac:dyDescent="0.3">
      <c r="QT5804" s="106"/>
      <c r="QU5804" s="106"/>
      <c r="QV5804" s="106"/>
      <c r="QW5804" s="106"/>
      <c r="QX5804" s="106"/>
      <c r="QY5804" s="106"/>
      <c r="QZ5804" s="106"/>
      <c r="RA5804" s="106"/>
      <c r="RB5804" s="106"/>
      <c r="RC5804" s="106"/>
      <c r="RD5804" s="106"/>
      <c r="RE5804" s="106"/>
      <c r="RF5804" s="106"/>
      <c r="RG5804" s="106"/>
      <c r="RH5804" s="106"/>
      <c r="RI5804" s="106"/>
      <c r="RJ5804" s="106"/>
      <c r="RK5804" s="106"/>
      <c r="RL5804" s="106"/>
    </row>
    <row r="5805" spans="462:480" x14ac:dyDescent="0.3">
      <c r="QT5805" s="106"/>
      <c r="QU5805" s="106"/>
      <c r="QV5805" s="106"/>
      <c r="QW5805" s="106"/>
      <c r="QX5805" s="106"/>
      <c r="QY5805" s="106"/>
      <c r="QZ5805" s="106"/>
      <c r="RA5805" s="106"/>
      <c r="RB5805" s="106"/>
      <c r="RC5805" s="106"/>
      <c r="RD5805" s="106"/>
      <c r="RE5805" s="106"/>
      <c r="RF5805" s="106"/>
      <c r="RG5805" s="106"/>
      <c r="RH5805" s="106"/>
      <c r="RI5805" s="106"/>
      <c r="RJ5805" s="106"/>
      <c r="RK5805" s="106"/>
      <c r="RL5805" s="106"/>
    </row>
    <row r="5806" spans="462:480" x14ac:dyDescent="0.3">
      <c r="QT5806" s="106"/>
      <c r="QU5806" s="106"/>
      <c r="QV5806" s="106"/>
      <c r="QW5806" s="106"/>
      <c r="QX5806" s="106"/>
      <c r="QY5806" s="106"/>
      <c r="QZ5806" s="106"/>
      <c r="RA5806" s="106"/>
      <c r="RB5806" s="106"/>
      <c r="RC5806" s="106"/>
      <c r="RD5806" s="106"/>
      <c r="RE5806" s="106"/>
      <c r="RF5806" s="106"/>
      <c r="RG5806" s="106"/>
      <c r="RH5806" s="106"/>
      <c r="RI5806" s="106"/>
      <c r="RJ5806" s="106"/>
      <c r="RK5806" s="106"/>
      <c r="RL5806" s="106"/>
    </row>
    <row r="5807" spans="462:480" x14ac:dyDescent="0.3">
      <c r="QT5807" s="106"/>
      <c r="QU5807" s="106"/>
      <c r="QV5807" s="106"/>
      <c r="QW5807" s="106"/>
      <c r="QX5807" s="106"/>
      <c r="QY5807" s="106"/>
      <c r="QZ5807" s="106"/>
      <c r="RA5807" s="106"/>
      <c r="RB5807" s="106"/>
      <c r="RC5807" s="106"/>
      <c r="RD5807" s="106"/>
      <c r="RE5807" s="106"/>
      <c r="RF5807" s="106"/>
      <c r="RG5807" s="106"/>
      <c r="RH5807" s="106"/>
      <c r="RI5807" s="106"/>
      <c r="RJ5807" s="106"/>
      <c r="RK5807" s="106"/>
      <c r="RL5807" s="106"/>
    </row>
    <row r="5808" spans="462:480" x14ac:dyDescent="0.3">
      <c r="QT5808" s="106"/>
      <c r="QU5808" s="106"/>
      <c r="QV5808" s="106"/>
      <c r="QW5808" s="106"/>
      <c r="QX5808" s="106"/>
      <c r="QY5808" s="106"/>
      <c r="QZ5808" s="106"/>
      <c r="RA5808" s="106"/>
      <c r="RB5808" s="106"/>
      <c r="RC5808" s="106"/>
      <c r="RD5808" s="106"/>
      <c r="RE5808" s="106"/>
      <c r="RF5808" s="106"/>
      <c r="RG5808" s="106"/>
      <c r="RH5808" s="106"/>
      <c r="RI5808" s="106"/>
      <c r="RJ5808" s="106"/>
      <c r="RK5808" s="106"/>
      <c r="RL5808" s="106"/>
    </row>
    <row r="5809" spans="462:480" x14ac:dyDescent="0.3">
      <c r="QT5809" s="106"/>
      <c r="QU5809" s="106"/>
      <c r="QV5809" s="106"/>
      <c r="QW5809" s="106"/>
      <c r="QX5809" s="106"/>
      <c r="QY5809" s="106"/>
      <c r="QZ5809" s="106"/>
      <c r="RA5809" s="106"/>
      <c r="RB5809" s="106"/>
      <c r="RC5809" s="106"/>
      <c r="RD5809" s="106"/>
      <c r="RE5809" s="106"/>
      <c r="RF5809" s="106"/>
      <c r="RG5809" s="106"/>
      <c r="RH5809" s="106"/>
      <c r="RI5809" s="106"/>
      <c r="RJ5809" s="106"/>
      <c r="RK5809" s="106"/>
      <c r="RL5809" s="106"/>
    </row>
    <row r="5810" spans="462:480" x14ac:dyDescent="0.3">
      <c r="QT5810" s="106"/>
      <c r="QU5810" s="106"/>
      <c r="QV5810" s="106"/>
      <c r="QW5810" s="106"/>
      <c r="QX5810" s="106"/>
      <c r="QY5810" s="106"/>
      <c r="QZ5810" s="106"/>
      <c r="RA5810" s="106"/>
      <c r="RB5810" s="106"/>
      <c r="RC5810" s="106"/>
      <c r="RD5810" s="106"/>
      <c r="RE5810" s="106"/>
      <c r="RF5810" s="106"/>
      <c r="RG5810" s="106"/>
      <c r="RH5810" s="106"/>
      <c r="RI5810" s="106"/>
      <c r="RJ5810" s="106"/>
      <c r="RK5810" s="106"/>
      <c r="RL5810" s="106"/>
    </row>
    <row r="5811" spans="462:480" x14ac:dyDescent="0.3">
      <c r="QT5811" s="106"/>
      <c r="QU5811" s="106"/>
      <c r="QV5811" s="106"/>
      <c r="QW5811" s="106"/>
      <c r="QX5811" s="106"/>
      <c r="QY5811" s="106"/>
      <c r="QZ5811" s="106"/>
      <c r="RA5811" s="106"/>
      <c r="RB5811" s="106"/>
      <c r="RC5811" s="106"/>
      <c r="RD5811" s="106"/>
      <c r="RE5811" s="106"/>
      <c r="RF5811" s="106"/>
      <c r="RG5811" s="106"/>
      <c r="RH5811" s="106"/>
      <c r="RI5811" s="106"/>
      <c r="RJ5811" s="106"/>
      <c r="RK5811" s="106"/>
      <c r="RL5811" s="106"/>
    </row>
    <row r="5812" spans="462:480" x14ac:dyDescent="0.3">
      <c r="QT5812" s="106"/>
      <c r="QU5812" s="106"/>
      <c r="QV5812" s="106"/>
      <c r="QW5812" s="106"/>
      <c r="QX5812" s="106"/>
      <c r="QY5812" s="106"/>
      <c r="QZ5812" s="106"/>
      <c r="RA5812" s="106"/>
      <c r="RB5812" s="106"/>
      <c r="RC5812" s="106"/>
      <c r="RD5812" s="106"/>
      <c r="RE5812" s="106"/>
      <c r="RF5812" s="106"/>
      <c r="RG5812" s="106"/>
      <c r="RH5812" s="106"/>
      <c r="RI5812" s="106"/>
      <c r="RJ5812" s="106"/>
      <c r="RK5812" s="106"/>
      <c r="RL5812" s="106"/>
    </row>
    <row r="5813" spans="462:480" x14ac:dyDescent="0.3">
      <c r="QT5813" s="106"/>
      <c r="QU5813" s="106"/>
      <c r="QV5813" s="106"/>
      <c r="QW5813" s="106"/>
      <c r="QX5813" s="106"/>
      <c r="QY5813" s="106"/>
      <c r="QZ5813" s="106"/>
      <c r="RA5813" s="106"/>
      <c r="RB5813" s="106"/>
      <c r="RC5813" s="106"/>
      <c r="RD5813" s="106"/>
      <c r="RE5813" s="106"/>
      <c r="RF5813" s="106"/>
      <c r="RG5813" s="106"/>
      <c r="RH5813" s="106"/>
      <c r="RI5813" s="106"/>
      <c r="RJ5813" s="106"/>
      <c r="RK5813" s="106"/>
      <c r="RL5813" s="106"/>
    </row>
    <row r="5814" spans="462:480" x14ac:dyDescent="0.3">
      <c r="QT5814" s="106"/>
      <c r="QU5814" s="106"/>
      <c r="QV5814" s="106"/>
      <c r="QW5814" s="106"/>
      <c r="QX5814" s="106"/>
      <c r="QY5814" s="106"/>
      <c r="QZ5814" s="106"/>
      <c r="RA5814" s="106"/>
      <c r="RB5814" s="106"/>
      <c r="RC5814" s="106"/>
      <c r="RD5814" s="106"/>
      <c r="RE5814" s="106"/>
      <c r="RF5814" s="106"/>
      <c r="RG5814" s="106"/>
      <c r="RH5814" s="106"/>
      <c r="RI5814" s="106"/>
      <c r="RJ5814" s="106"/>
      <c r="RK5814" s="106"/>
      <c r="RL5814" s="106"/>
    </row>
    <row r="5815" spans="462:480" x14ac:dyDescent="0.3">
      <c r="QT5815" s="106"/>
      <c r="QU5815" s="106"/>
      <c r="QV5815" s="106"/>
      <c r="QW5815" s="106"/>
      <c r="QX5815" s="106"/>
      <c r="QY5815" s="106"/>
      <c r="QZ5815" s="106"/>
      <c r="RA5815" s="106"/>
      <c r="RB5815" s="106"/>
      <c r="RC5815" s="106"/>
      <c r="RD5815" s="106"/>
      <c r="RE5815" s="106"/>
      <c r="RF5815" s="106"/>
      <c r="RG5815" s="106"/>
      <c r="RH5815" s="106"/>
      <c r="RI5815" s="106"/>
      <c r="RJ5815" s="106"/>
      <c r="RK5815" s="106"/>
      <c r="RL5815" s="106"/>
    </row>
    <row r="5816" spans="462:480" x14ac:dyDescent="0.3">
      <c r="QT5816" s="106"/>
      <c r="QU5816" s="106"/>
      <c r="QV5816" s="106"/>
      <c r="QW5816" s="106"/>
      <c r="QX5816" s="106"/>
      <c r="QY5816" s="106"/>
      <c r="QZ5816" s="106"/>
      <c r="RA5816" s="106"/>
      <c r="RB5816" s="106"/>
      <c r="RC5816" s="106"/>
      <c r="RD5816" s="106"/>
      <c r="RE5816" s="106"/>
      <c r="RF5816" s="106"/>
      <c r="RG5816" s="106"/>
      <c r="RH5816" s="106"/>
      <c r="RI5816" s="106"/>
      <c r="RJ5816" s="106"/>
      <c r="RK5816" s="106"/>
      <c r="RL5816" s="106"/>
    </row>
    <row r="5817" spans="462:480" x14ac:dyDescent="0.3">
      <c r="QT5817" s="106"/>
      <c r="QU5817" s="106"/>
      <c r="QV5817" s="106"/>
      <c r="QW5817" s="106"/>
      <c r="QX5817" s="106"/>
      <c r="QY5817" s="106"/>
      <c r="QZ5817" s="106"/>
      <c r="RA5817" s="106"/>
      <c r="RB5817" s="106"/>
      <c r="RC5817" s="106"/>
      <c r="RD5817" s="106"/>
      <c r="RE5817" s="106"/>
      <c r="RF5817" s="106"/>
      <c r="RG5817" s="106"/>
      <c r="RH5817" s="106"/>
      <c r="RI5817" s="106"/>
      <c r="RJ5817" s="106"/>
      <c r="RK5817" s="106"/>
      <c r="RL5817" s="106"/>
    </row>
    <row r="5818" spans="462:480" x14ac:dyDescent="0.3">
      <c r="QT5818" s="106"/>
      <c r="QU5818" s="106"/>
      <c r="QV5818" s="106"/>
      <c r="QW5818" s="106"/>
      <c r="QX5818" s="106"/>
      <c r="QY5818" s="106"/>
      <c r="QZ5818" s="106"/>
      <c r="RA5818" s="106"/>
      <c r="RB5818" s="106"/>
      <c r="RC5818" s="106"/>
      <c r="RD5818" s="106"/>
      <c r="RE5818" s="106"/>
      <c r="RF5818" s="106"/>
      <c r="RG5818" s="106"/>
      <c r="RH5818" s="106"/>
      <c r="RI5818" s="106"/>
      <c r="RJ5818" s="106"/>
      <c r="RK5818" s="106"/>
      <c r="RL5818" s="106"/>
    </row>
    <row r="5819" spans="462:480" x14ac:dyDescent="0.3">
      <c r="QT5819" s="106"/>
      <c r="QU5819" s="106"/>
      <c r="QV5819" s="106"/>
      <c r="QW5819" s="106"/>
      <c r="QX5819" s="106"/>
      <c r="QY5819" s="106"/>
      <c r="QZ5819" s="106"/>
      <c r="RA5819" s="106"/>
      <c r="RB5819" s="106"/>
      <c r="RC5819" s="106"/>
      <c r="RD5819" s="106"/>
      <c r="RE5819" s="106"/>
      <c r="RF5819" s="106"/>
      <c r="RG5819" s="106"/>
      <c r="RH5819" s="106"/>
      <c r="RI5819" s="106"/>
      <c r="RJ5819" s="106"/>
      <c r="RK5819" s="106"/>
      <c r="RL5819" s="106"/>
    </row>
    <row r="5820" spans="462:480" x14ac:dyDescent="0.3">
      <c r="QT5820" s="106"/>
      <c r="QU5820" s="106"/>
      <c r="QV5820" s="106"/>
      <c r="QW5820" s="106"/>
      <c r="QX5820" s="106"/>
      <c r="QY5820" s="106"/>
      <c r="QZ5820" s="106"/>
      <c r="RA5820" s="106"/>
      <c r="RB5820" s="106"/>
      <c r="RC5820" s="106"/>
      <c r="RD5820" s="106"/>
      <c r="RE5820" s="106"/>
      <c r="RF5820" s="106"/>
      <c r="RG5820" s="106"/>
      <c r="RH5820" s="106"/>
      <c r="RI5820" s="106"/>
      <c r="RJ5820" s="106"/>
      <c r="RK5820" s="106"/>
      <c r="RL5820" s="106"/>
    </row>
    <row r="5821" spans="462:480" x14ac:dyDescent="0.3">
      <c r="QT5821" s="106"/>
      <c r="QU5821" s="106"/>
      <c r="QV5821" s="106"/>
      <c r="QW5821" s="106"/>
      <c r="QX5821" s="106"/>
      <c r="QY5821" s="106"/>
      <c r="QZ5821" s="106"/>
      <c r="RA5821" s="106"/>
      <c r="RB5821" s="106"/>
      <c r="RC5821" s="106"/>
      <c r="RD5821" s="106"/>
      <c r="RE5821" s="106"/>
      <c r="RF5821" s="106"/>
      <c r="RG5821" s="106"/>
      <c r="RH5821" s="106"/>
      <c r="RI5821" s="106"/>
      <c r="RJ5821" s="106"/>
      <c r="RK5821" s="106"/>
      <c r="RL5821" s="106"/>
    </row>
    <row r="5822" spans="462:480" x14ac:dyDescent="0.3">
      <c r="QT5822" s="106"/>
      <c r="QU5822" s="106"/>
      <c r="QV5822" s="106"/>
      <c r="QW5822" s="106"/>
      <c r="QX5822" s="106"/>
      <c r="QY5822" s="106"/>
      <c r="QZ5822" s="106"/>
      <c r="RA5822" s="106"/>
      <c r="RB5822" s="106"/>
      <c r="RC5822" s="106"/>
      <c r="RD5822" s="106"/>
      <c r="RE5822" s="106"/>
      <c r="RF5822" s="106"/>
      <c r="RG5822" s="106"/>
      <c r="RH5822" s="106"/>
      <c r="RI5822" s="106"/>
      <c r="RJ5822" s="106"/>
      <c r="RK5822" s="106"/>
      <c r="RL5822" s="106"/>
    </row>
    <row r="5823" spans="462:480" x14ac:dyDescent="0.3">
      <c r="QT5823" s="106"/>
      <c r="QU5823" s="106"/>
      <c r="QV5823" s="106"/>
      <c r="QW5823" s="106"/>
      <c r="QX5823" s="106"/>
      <c r="QY5823" s="106"/>
      <c r="QZ5823" s="106"/>
      <c r="RA5823" s="106"/>
      <c r="RB5823" s="106"/>
      <c r="RC5823" s="106"/>
      <c r="RD5823" s="106"/>
      <c r="RE5823" s="106"/>
      <c r="RF5823" s="106"/>
      <c r="RG5823" s="106"/>
      <c r="RH5823" s="106"/>
      <c r="RI5823" s="106"/>
      <c r="RJ5823" s="106"/>
      <c r="RK5823" s="106"/>
      <c r="RL5823" s="106"/>
    </row>
    <row r="5824" spans="462:480" x14ac:dyDescent="0.3">
      <c r="QT5824" s="106"/>
      <c r="QU5824" s="106"/>
      <c r="QV5824" s="106"/>
      <c r="QW5824" s="106"/>
      <c r="QX5824" s="106"/>
      <c r="QY5824" s="106"/>
      <c r="QZ5824" s="106"/>
      <c r="RA5824" s="106"/>
      <c r="RB5824" s="106"/>
      <c r="RC5824" s="106"/>
      <c r="RD5824" s="106"/>
      <c r="RE5824" s="106"/>
      <c r="RF5824" s="106"/>
      <c r="RG5824" s="106"/>
      <c r="RH5824" s="106"/>
      <c r="RI5824" s="106"/>
      <c r="RJ5824" s="106"/>
      <c r="RK5824" s="106"/>
      <c r="RL5824" s="106"/>
    </row>
    <row r="5825" spans="462:480" x14ac:dyDescent="0.3">
      <c r="QT5825" s="106"/>
      <c r="QU5825" s="106"/>
      <c r="QV5825" s="106"/>
      <c r="QW5825" s="106"/>
      <c r="QX5825" s="106"/>
      <c r="QY5825" s="106"/>
      <c r="QZ5825" s="106"/>
      <c r="RA5825" s="106"/>
      <c r="RB5825" s="106"/>
      <c r="RC5825" s="106"/>
      <c r="RD5825" s="106"/>
      <c r="RE5825" s="106"/>
      <c r="RF5825" s="106"/>
      <c r="RG5825" s="106"/>
      <c r="RH5825" s="106"/>
      <c r="RI5825" s="106"/>
      <c r="RJ5825" s="106"/>
      <c r="RK5825" s="106"/>
      <c r="RL5825" s="106"/>
    </row>
    <row r="5826" spans="462:480" x14ac:dyDescent="0.3">
      <c r="QT5826" s="106"/>
      <c r="QU5826" s="106"/>
      <c r="QV5826" s="106"/>
      <c r="QW5826" s="106"/>
      <c r="QX5826" s="106"/>
      <c r="QY5826" s="106"/>
      <c r="QZ5826" s="106"/>
      <c r="RA5826" s="106"/>
      <c r="RB5826" s="106"/>
      <c r="RC5826" s="106"/>
      <c r="RD5826" s="106"/>
      <c r="RE5826" s="106"/>
      <c r="RF5826" s="106"/>
      <c r="RG5826" s="106"/>
      <c r="RH5826" s="106"/>
      <c r="RI5826" s="106"/>
      <c r="RJ5826" s="106"/>
      <c r="RK5826" s="106"/>
      <c r="RL5826" s="106"/>
    </row>
    <row r="5827" spans="462:480" x14ac:dyDescent="0.3">
      <c r="QT5827" s="106"/>
      <c r="QU5827" s="106"/>
      <c r="QV5827" s="106"/>
      <c r="QW5827" s="106"/>
      <c r="QX5827" s="106"/>
      <c r="QY5827" s="106"/>
      <c r="QZ5827" s="106"/>
      <c r="RA5827" s="106"/>
      <c r="RB5827" s="106"/>
      <c r="RC5827" s="106"/>
      <c r="RD5827" s="106"/>
      <c r="RE5827" s="106"/>
      <c r="RF5827" s="106"/>
      <c r="RG5827" s="106"/>
      <c r="RH5827" s="106"/>
      <c r="RI5827" s="106"/>
      <c r="RJ5827" s="106"/>
      <c r="RK5827" s="106"/>
      <c r="RL5827" s="106"/>
    </row>
    <row r="5828" spans="462:480" x14ac:dyDescent="0.3">
      <c r="QT5828" s="106"/>
      <c r="QU5828" s="106"/>
      <c r="QV5828" s="106"/>
      <c r="QW5828" s="106"/>
      <c r="QX5828" s="106"/>
      <c r="QY5828" s="106"/>
      <c r="QZ5828" s="106"/>
      <c r="RA5828" s="106"/>
      <c r="RB5828" s="106"/>
      <c r="RC5828" s="106"/>
      <c r="RD5828" s="106"/>
      <c r="RE5828" s="106"/>
      <c r="RF5828" s="106"/>
      <c r="RG5828" s="106"/>
      <c r="RH5828" s="106"/>
      <c r="RI5828" s="106"/>
      <c r="RJ5828" s="106"/>
      <c r="RK5828" s="106"/>
      <c r="RL5828" s="106"/>
    </row>
    <row r="5829" spans="462:480" x14ac:dyDescent="0.3">
      <c r="QT5829" s="106"/>
      <c r="QU5829" s="106"/>
      <c r="QV5829" s="106"/>
      <c r="QW5829" s="106"/>
      <c r="QX5829" s="106"/>
      <c r="QY5829" s="106"/>
      <c r="QZ5829" s="106"/>
      <c r="RA5829" s="106"/>
      <c r="RB5829" s="106"/>
      <c r="RC5829" s="106"/>
      <c r="RD5829" s="106"/>
      <c r="RE5829" s="106"/>
      <c r="RF5829" s="106"/>
      <c r="RG5829" s="106"/>
      <c r="RH5829" s="106"/>
      <c r="RI5829" s="106"/>
      <c r="RJ5829" s="106"/>
      <c r="RK5829" s="106"/>
      <c r="RL5829" s="106"/>
    </row>
    <row r="5830" spans="462:480" x14ac:dyDescent="0.3">
      <c r="QT5830" s="106"/>
      <c r="QU5830" s="106"/>
      <c r="QV5830" s="106"/>
      <c r="QW5830" s="106"/>
      <c r="QX5830" s="106"/>
      <c r="QY5830" s="106"/>
      <c r="QZ5830" s="106"/>
      <c r="RA5830" s="106"/>
      <c r="RB5830" s="106"/>
      <c r="RC5830" s="106"/>
      <c r="RD5830" s="106"/>
      <c r="RE5830" s="106"/>
      <c r="RF5830" s="106"/>
      <c r="RG5830" s="106"/>
      <c r="RH5830" s="106"/>
      <c r="RI5830" s="106"/>
      <c r="RJ5830" s="106"/>
      <c r="RK5830" s="106"/>
      <c r="RL5830" s="106"/>
    </row>
    <row r="5831" spans="462:480" x14ac:dyDescent="0.3">
      <c r="QT5831" s="106"/>
      <c r="QU5831" s="106"/>
      <c r="QV5831" s="106"/>
      <c r="QW5831" s="106"/>
      <c r="QX5831" s="106"/>
      <c r="QY5831" s="106"/>
      <c r="QZ5831" s="106"/>
      <c r="RA5831" s="106"/>
      <c r="RB5831" s="106"/>
      <c r="RC5831" s="106"/>
      <c r="RD5831" s="106"/>
      <c r="RE5831" s="106"/>
      <c r="RF5831" s="106"/>
      <c r="RG5831" s="106"/>
      <c r="RH5831" s="106"/>
      <c r="RI5831" s="106"/>
      <c r="RJ5831" s="106"/>
      <c r="RK5831" s="106"/>
      <c r="RL5831" s="106"/>
    </row>
    <row r="5832" spans="462:480" x14ac:dyDescent="0.3">
      <c r="QT5832" s="106"/>
      <c r="QU5832" s="106"/>
      <c r="QV5832" s="106"/>
      <c r="QW5832" s="106"/>
      <c r="QX5832" s="106"/>
      <c r="QY5832" s="106"/>
      <c r="QZ5832" s="106"/>
      <c r="RA5832" s="106"/>
      <c r="RB5832" s="106"/>
      <c r="RC5832" s="106"/>
      <c r="RD5832" s="106"/>
      <c r="RE5832" s="106"/>
      <c r="RF5832" s="106"/>
      <c r="RG5832" s="106"/>
      <c r="RH5832" s="106"/>
      <c r="RI5832" s="106"/>
      <c r="RJ5832" s="106"/>
      <c r="RK5832" s="106"/>
      <c r="RL5832" s="106"/>
    </row>
    <row r="5833" spans="462:480" x14ac:dyDescent="0.3">
      <c r="QT5833" s="106"/>
      <c r="QU5833" s="106"/>
      <c r="QV5833" s="106"/>
      <c r="QW5833" s="106"/>
      <c r="QX5833" s="106"/>
      <c r="QY5833" s="106"/>
      <c r="QZ5833" s="106"/>
      <c r="RA5833" s="106"/>
      <c r="RB5833" s="106"/>
      <c r="RC5833" s="106"/>
      <c r="RD5833" s="106"/>
      <c r="RE5833" s="106"/>
      <c r="RF5833" s="106"/>
      <c r="RG5833" s="106"/>
      <c r="RH5833" s="106"/>
      <c r="RI5833" s="106"/>
      <c r="RJ5833" s="106"/>
      <c r="RK5833" s="106"/>
      <c r="RL5833" s="106"/>
    </row>
    <row r="5834" spans="462:480" x14ac:dyDescent="0.3">
      <c r="QT5834" s="106"/>
      <c r="QU5834" s="106"/>
      <c r="QV5834" s="106"/>
      <c r="QW5834" s="106"/>
      <c r="QX5834" s="106"/>
      <c r="QY5834" s="106"/>
      <c r="QZ5834" s="106"/>
      <c r="RA5834" s="106"/>
      <c r="RB5834" s="106"/>
      <c r="RC5834" s="106"/>
      <c r="RD5834" s="106"/>
      <c r="RE5834" s="106"/>
      <c r="RF5834" s="106"/>
      <c r="RG5834" s="106"/>
      <c r="RH5834" s="106"/>
      <c r="RI5834" s="106"/>
      <c r="RJ5834" s="106"/>
      <c r="RK5834" s="106"/>
      <c r="RL5834" s="106"/>
    </row>
    <row r="5835" spans="462:480" x14ac:dyDescent="0.3">
      <c r="QT5835" s="106"/>
      <c r="QU5835" s="106"/>
      <c r="QV5835" s="106"/>
      <c r="QW5835" s="106"/>
      <c r="QX5835" s="106"/>
      <c r="QY5835" s="106"/>
      <c r="QZ5835" s="106"/>
      <c r="RA5835" s="106"/>
      <c r="RB5835" s="106"/>
      <c r="RC5835" s="106"/>
      <c r="RD5835" s="106"/>
      <c r="RE5835" s="106"/>
      <c r="RF5835" s="106"/>
      <c r="RG5835" s="106"/>
      <c r="RH5835" s="106"/>
      <c r="RI5835" s="106"/>
      <c r="RJ5835" s="106"/>
      <c r="RK5835" s="106"/>
      <c r="RL5835" s="106"/>
    </row>
    <row r="5836" spans="462:480" x14ac:dyDescent="0.3">
      <c r="QT5836" s="106"/>
      <c r="QU5836" s="106"/>
      <c r="QV5836" s="106"/>
      <c r="QW5836" s="106"/>
      <c r="QX5836" s="106"/>
      <c r="QY5836" s="106"/>
      <c r="QZ5836" s="106"/>
      <c r="RA5836" s="106"/>
      <c r="RB5836" s="106"/>
      <c r="RC5836" s="106"/>
      <c r="RD5836" s="106"/>
      <c r="RE5836" s="106"/>
      <c r="RF5836" s="106"/>
      <c r="RG5836" s="106"/>
      <c r="RH5836" s="106"/>
      <c r="RI5836" s="106"/>
      <c r="RJ5836" s="106"/>
      <c r="RK5836" s="106"/>
      <c r="RL5836" s="106"/>
    </row>
    <row r="5837" spans="462:480" x14ac:dyDescent="0.3">
      <c r="QT5837" s="106"/>
      <c r="QU5837" s="106"/>
      <c r="QV5837" s="106"/>
      <c r="QW5837" s="106"/>
      <c r="QX5837" s="106"/>
      <c r="QY5837" s="106"/>
      <c r="QZ5837" s="106"/>
      <c r="RA5837" s="106"/>
      <c r="RB5837" s="106"/>
      <c r="RC5837" s="106"/>
      <c r="RD5837" s="106"/>
      <c r="RE5837" s="106"/>
      <c r="RF5837" s="106"/>
      <c r="RG5837" s="106"/>
      <c r="RH5837" s="106"/>
      <c r="RI5837" s="106"/>
      <c r="RJ5837" s="106"/>
      <c r="RK5837" s="106"/>
      <c r="RL5837" s="106"/>
    </row>
    <row r="5838" spans="462:480" x14ac:dyDescent="0.3">
      <c r="QT5838" s="106"/>
      <c r="QU5838" s="106"/>
      <c r="QV5838" s="106"/>
      <c r="QW5838" s="106"/>
      <c r="QX5838" s="106"/>
      <c r="QY5838" s="106"/>
      <c r="QZ5838" s="106"/>
      <c r="RA5838" s="106"/>
      <c r="RB5838" s="106"/>
      <c r="RC5838" s="106"/>
      <c r="RD5838" s="106"/>
      <c r="RE5838" s="106"/>
      <c r="RF5838" s="106"/>
      <c r="RG5838" s="106"/>
      <c r="RH5838" s="106"/>
      <c r="RI5838" s="106"/>
      <c r="RJ5838" s="106"/>
      <c r="RK5838" s="106"/>
      <c r="RL5838" s="106"/>
    </row>
    <row r="5839" spans="462:480" x14ac:dyDescent="0.3">
      <c r="QT5839" s="106"/>
      <c r="QU5839" s="106"/>
      <c r="QV5839" s="106"/>
      <c r="QW5839" s="106"/>
      <c r="QX5839" s="106"/>
      <c r="QY5839" s="106"/>
      <c r="QZ5839" s="106"/>
      <c r="RA5839" s="106"/>
      <c r="RB5839" s="106"/>
      <c r="RC5839" s="106"/>
      <c r="RD5839" s="106"/>
      <c r="RE5839" s="106"/>
      <c r="RF5839" s="106"/>
      <c r="RG5839" s="106"/>
      <c r="RH5839" s="106"/>
      <c r="RI5839" s="106"/>
      <c r="RJ5839" s="106"/>
      <c r="RK5839" s="106"/>
      <c r="RL5839" s="106"/>
    </row>
    <row r="5840" spans="462:480" x14ac:dyDescent="0.3">
      <c r="QT5840" s="106"/>
      <c r="QU5840" s="106"/>
      <c r="QV5840" s="106"/>
      <c r="QW5840" s="106"/>
      <c r="QX5840" s="106"/>
      <c r="QY5840" s="106"/>
      <c r="QZ5840" s="106"/>
      <c r="RA5840" s="106"/>
      <c r="RB5840" s="106"/>
      <c r="RC5840" s="106"/>
      <c r="RD5840" s="106"/>
      <c r="RE5840" s="106"/>
      <c r="RF5840" s="106"/>
      <c r="RG5840" s="106"/>
      <c r="RH5840" s="106"/>
      <c r="RI5840" s="106"/>
      <c r="RJ5840" s="106"/>
      <c r="RK5840" s="106"/>
      <c r="RL5840" s="106"/>
    </row>
    <row r="5841" spans="462:480" x14ac:dyDescent="0.3">
      <c r="QT5841" s="106"/>
      <c r="QU5841" s="106"/>
      <c r="QV5841" s="106"/>
      <c r="QW5841" s="106"/>
      <c r="QX5841" s="106"/>
      <c r="QY5841" s="106"/>
      <c r="QZ5841" s="106"/>
      <c r="RA5841" s="106"/>
      <c r="RB5841" s="106"/>
      <c r="RC5841" s="106"/>
      <c r="RD5841" s="106"/>
      <c r="RE5841" s="106"/>
      <c r="RF5841" s="106"/>
      <c r="RG5841" s="106"/>
      <c r="RH5841" s="106"/>
      <c r="RI5841" s="106"/>
      <c r="RJ5841" s="106"/>
      <c r="RK5841" s="106"/>
      <c r="RL5841" s="106"/>
    </row>
    <row r="5842" spans="462:480" x14ac:dyDescent="0.3">
      <c r="QT5842" s="106"/>
      <c r="QU5842" s="106"/>
      <c r="QV5842" s="106"/>
      <c r="QW5842" s="106"/>
      <c r="QX5842" s="106"/>
      <c r="QY5842" s="106"/>
      <c r="QZ5842" s="106"/>
      <c r="RA5842" s="106"/>
      <c r="RB5842" s="106"/>
      <c r="RC5842" s="106"/>
      <c r="RD5842" s="106"/>
      <c r="RE5842" s="106"/>
      <c r="RF5842" s="106"/>
      <c r="RG5842" s="106"/>
      <c r="RH5842" s="106"/>
      <c r="RI5842" s="106"/>
      <c r="RJ5842" s="106"/>
      <c r="RK5842" s="106"/>
      <c r="RL5842" s="106"/>
    </row>
    <row r="5843" spans="462:480" x14ac:dyDescent="0.3">
      <c r="QT5843" s="106"/>
      <c r="QU5843" s="106"/>
      <c r="QV5843" s="106"/>
      <c r="QW5843" s="106"/>
      <c r="QX5843" s="106"/>
      <c r="QY5843" s="106"/>
      <c r="QZ5843" s="106"/>
      <c r="RA5843" s="106"/>
      <c r="RB5843" s="106"/>
      <c r="RC5843" s="106"/>
      <c r="RD5843" s="106"/>
      <c r="RE5843" s="106"/>
      <c r="RF5843" s="106"/>
      <c r="RG5843" s="106"/>
      <c r="RH5843" s="106"/>
      <c r="RI5843" s="106"/>
      <c r="RJ5843" s="106"/>
      <c r="RK5843" s="106"/>
      <c r="RL5843" s="106"/>
    </row>
    <row r="5844" spans="462:480" x14ac:dyDescent="0.3">
      <c r="QT5844" s="106"/>
      <c r="QU5844" s="106"/>
      <c r="QV5844" s="106"/>
      <c r="QW5844" s="106"/>
      <c r="QX5844" s="106"/>
      <c r="QY5844" s="106"/>
      <c r="QZ5844" s="106"/>
      <c r="RA5844" s="106"/>
      <c r="RB5844" s="106"/>
      <c r="RC5844" s="106"/>
      <c r="RD5844" s="106"/>
      <c r="RE5844" s="106"/>
      <c r="RF5844" s="106"/>
      <c r="RG5844" s="106"/>
      <c r="RH5844" s="106"/>
      <c r="RI5844" s="106"/>
      <c r="RJ5844" s="106"/>
      <c r="RK5844" s="106"/>
      <c r="RL5844" s="106"/>
    </row>
    <row r="5845" spans="462:480" x14ac:dyDescent="0.3">
      <c r="QT5845" s="106"/>
      <c r="QU5845" s="106"/>
      <c r="QV5845" s="106"/>
      <c r="QW5845" s="106"/>
      <c r="QX5845" s="106"/>
      <c r="QY5845" s="106"/>
      <c r="QZ5845" s="106"/>
      <c r="RA5845" s="106"/>
      <c r="RB5845" s="106"/>
      <c r="RC5845" s="106"/>
      <c r="RD5845" s="106"/>
      <c r="RE5845" s="106"/>
      <c r="RF5845" s="106"/>
      <c r="RG5845" s="106"/>
      <c r="RH5845" s="106"/>
      <c r="RI5845" s="106"/>
      <c r="RJ5845" s="106"/>
      <c r="RK5845" s="106"/>
      <c r="RL5845" s="106"/>
    </row>
    <row r="5846" spans="462:480" x14ac:dyDescent="0.3">
      <c r="QT5846" s="106"/>
      <c r="QU5846" s="106"/>
      <c r="QV5846" s="106"/>
      <c r="QW5846" s="106"/>
      <c r="QX5846" s="106"/>
      <c r="QY5846" s="106"/>
      <c r="QZ5846" s="106"/>
      <c r="RA5846" s="106"/>
      <c r="RB5846" s="106"/>
      <c r="RC5846" s="106"/>
      <c r="RD5846" s="106"/>
      <c r="RE5846" s="106"/>
      <c r="RF5846" s="106"/>
      <c r="RG5846" s="106"/>
      <c r="RH5846" s="106"/>
      <c r="RI5846" s="106"/>
      <c r="RJ5846" s="106"/>
      <c r="RK5846" s="106"/>
      <c r="RL5846" s="106"/>
    </row>
    <row r="5847" spans="462:480" x14ac:dyDescent="0.3">
      <c r="QT5847" s="106"/>
      <c r="QU5847" s="106"/>
      <c r="QV5847" s="106"/>
      <c r="QW5847" s="106"/>
      <c r="QX5847" s="106"/>
      <c r="QY5847" s="106"/>
      <c r="QZ5847" s="106"/>
      <c r="RA5847" s="106"/>
      <c r="RB5847" s="106"/>
      <c r="RC5847" s="106"/>
      <c r="RD5847" s="106"/>
      <c r="RE5847" s="106"/>
      <c r="RF5847" s="106"/>
      <c r="RG5847" s="106"/>
      <c r="RH5847" s="106"/>
      <c r="RI5847" s="106"/>
      <c r="RJ5847" s="106"/>
      <c r="RK5847" s="106"/>
      <c r="RL5847" s="106"/>
    </row>
    <row r="5848" spans="462:480" x14ac:dyDescent="0.3">
      <c r="QT5848" s="106"/>
      <c r="QU5848" s="106"/>
      <c r="QV5848" s="106"/>
      <c r="QW5848" s="106"/>
      <c r="QX5848" s="106"/>
      <c r="QY5848" s="106"/>
      <c r="QZ5848" s="106"/>
      <c r="RA5848" s="106"/>
      <c r="RB5848" s="106"/>
      <c r="RC5848" s="106"/>
      <c r="RD5848" s="106"/>
      <c r="RE5848" s="106"/>
      <c r="RF5848" s="106"/>
      <c r="RG5848" s="106"/>
      <c r="RH5848" s="106"/>
      <c r="RI5848" s="106"/>
      <c r="RJ5848" s="106"/>
      <c r="RK5848" s="106"/>
      <c r="RL5848" s="106"/>
    </row>
    <row r="5849" spans="462:480" x14ac:dyDescent="0.3">
      <c r="QT5849" s="106"/>
      <c r="QU5849" s="106"/>
      <c r="QV5849" s="106"/>
      <c r="QW5849" s="106"/>
      <c r="QX5849" s="106"/>
      <c r="QY5849" s="106"/>
      <c r="QZ5849" s="106"/>
      <c r="RA5849" s="106"/>
      <c r="RB5849" s="106"/>
      <c r="RC5849" s="106"/>
      <c r="RD5849" s="106"/>
      <c r="RE5849" s="106"/>
      <c r="RF5849" s="106"/>
      <c r="RG5849" s="106"/>
      <c r="RH5849" s="106"/>
      <c r="RI5849" s="106"/>
      <c r="RJ5849" s="106"/>
      <c r="RK5849" s="106"/>
      <c r="RL5849" s="106"/>
    </row>
    <row r="5850" spans="462:480" x14ac:dyDescent="0.3">
      <c r="QT5850" s="106"/>
      <c r="QU5850" s="106"/>
      <c r="QV5850" s="106"/>
      <c r="QW5850" s="106"/>
      <c r="QX5850" s="106"/>
      <c r="QY5850" s="106"/>
      <c r="QZ5850" s="106"/>
      <c r="RA5850" s="106"/>
      <c r="RB5850" s="106"/>
      <c r="RC5850" s="106"/>
      <c r="RD5850" s="106"/>
      <c r="RE5850" s="106"/>
      <c r="RF5850" s="106"/>
      <c r="RG5850" s="106"/>
      <c r="RH5850" s="106"/>
      <c r="RI5850" s="106"/>
      <c r="RJ5850" s="106"/>
      <c r="RK5850" s="106"/>
      <c r="RL5850" s="106"/>
    </row>
    <row r="5851" spans="462:480" x14ac:dyDescent="0.3">
      <c r="QT5851" s="106"/>
      <c r="QU5851" s="106"/>
      <c r="QV5851" s="106"/>
      <c r="QW5851" s="106"/>
      <c r="QX5851" s="106"/>
      <c r="QY5851" s="106"/>
      <c r="QZ5851" s="106"/>
      <c r="RA5851" s="106"/>
      <c r="RB5851" s="106"/>
      <c r="RC5851" s="106"/>
      <c r="RD5851" s="106"/>
      <c r="RE5851" s="106"/>
      <c r="RF5851" s="106"/>
      <c r="RG5851" s="106"/>
      <c r="RH5851" s="106"/>
      <c r="RI5851" s="106"/>
      <c r="RJ5851" s="106"/>
      <c r="RK5851" s="106"/>
      <c r="RL5851" s="106"/>
    </row>
    <row r="5852" spans="462:480" x14ac:dyDescent="0.3">
      <c r="QT5852" s="106"/>
      <c r="QU5852" s="106"/>
      <c r="QV5852" s="106"/>
      <c r="QW5852" s="106"/>
      <c r="QX5852" s="106"/>
      <c r="QY5852" s="106"/>
      <c r="QZ5852" s="106"/>
      <c r="RA5852" s="106"/>
      <c r="RB5852" s="106"/>
      <c r="RC5852" s="106"/>
      <c r="RD5852" s="106"/>
      <c r="RE5852" s="106"/>
      <c r="RF5852" s="106"/>
      <c r="RG5852" s="106"/>
      <c r="RH5852" s="106"/>
      <c r="RI5852" s="106"/>
      <c r="RJ5852" s="106"/>
      <c r="RK5852" s="106"/>
      <c r="RL5852" s="106"/>
    </row>
    <row r="5853" spans="462:480" x14ac:dyDescent="0.3">
      <c r="QT5853" s="106"/>
      <c r="QU5853" s="106"/>
      <c r="QV5853" s="106"/>
      <c r="QW5853" s="106"/>
      <c r="QX5853" s="106"/>
      <c r="QY5853" s="106"/>
      <c r="QZ5853" s="106"/>
      <c r="RA5853" s="106"/>
      <c r="RB5853" s="106"/>
      <c r="RC5853" s="106"/>
      <c r="RD5853" s="106"/>
      <c r="RE5853" s="106"/>
      <c r="RF5853" s="106"/>
      <c r="RG5853" s="106"/>
      <c r="RH5853" s="106"/>
      <c r="RI5853" s="106"/>
      <c r="RJ5853" s="106"/>
      <c r="RK5853" s="106"/>
      <c r="RL5853" s="106"/>
    </row>
    <row r="5854" spans="462:480" x14ac:dyDescent="0.3">
      <c r="QT5854" s="106"/>
      <c r="QU5854" s="106"/>
      <c r="QV5854" s="106"/>
      <c r="QW5854" s="106"/>
      <c r="QX5854" s="106"/>
      <c r="QY5854" s="106"/>
      <c r="QZ5854" s="106"/>
      <c r="RA5854" s="106"/>
      <c r="RB5854" s="106"/>
      <c r="RC5854" s="106"/>
      <c r="RD5854" s="106"/>
      <c r="RE5854" s="106"/>
      <c r="RF5854" s="106"/>
      <c r="RG5854" s="106"/>
      <c r="RH5854" s="106"/>
      <c r="RI5854" s="106"/>
      <c r="RJ5854" s="106"/>
      <c r="RK5854" s="106"/>
      <c r="RL5854" s="106"/>
    </row>
    <row r="5855" spans="462:480" x14ac:dyDescent="0.3">
      <c r="QT5855" s="106"/>
      <c r="QU5855" s="106"/>
      <c r="QV5855" s="106"/>
      <c r="QW5855" s="106"/>
      <c r="QX5855" s="106"/>
      <c r="QY5855" s="106"/>
      <c r="QZ5855" s="106"/>
      <c r="RA5855" s="106"/>
      <c r="RB5855" s="106"/>
      <c r="RC5855" s="106"/>
      <c r="RD5855" s="106"/>
      <c r="RE5855" s="106"/>
      <c r="RF5855" s="106"/>
      <c r="RG5855" s="106"/>
      <c r="RH5855" s="106"/>
      <c r="RI5855" s="106"/>
      <c r="RJ5855" s="106"/>
      <c r="RK5855" s="106"/>
      <c r="RL5855" s="106"/>
    </row>
    <row r="5856" spans="462:480" x14ac:dyDescent="0.3">
      <c r="QT5856" s="106"/>
      <c r="QU5856" s="106"/>
      <c r="QV5856" s="106"/>
      <c r="QW5856" s="106"/>
      <c r="QX5856" s="106"/>
      <c r="QY5856" s="106"/>
      <c r="QZ5856" s="106"/>
      <c r="RA5856" s="106"/>
      <c r="RB5856" s="106"/>
      <c r="RC5856" s="106"/>
      <c r="RD5856" s="106"/>
      <c r="RE5856" s="106"/>
      <c r="RF5856" s="106"/>
      <c r="RG5856" s="106"/>
      <c r="RH5856" s="106"/>
      <c r="RI5856" s="106"/>
      <c r="RJ5856" s="106"/>
      <c r="RK5856" s="106"/>
      <c r="RL5856" s="106"/>
    </row>
    <row r="5857" spans="462:480" x14ac:dyDescent="0.3">
      <c r="QT5857" s="106"/>
      <c r="QU5857" s="106"/>
      <c r="QV5857" s="106"/>
      <c r="QW5857" s="106"/>
      <c r="QX5857" s="106"/>
      <c r="QY5857" s="106"/>
      <c r="QZ5857" s="106"/>
      <c r="RA5857" s="106"/>
      <c r="RB5857" s="106"/>
      <c r="RC5857" s="106"/>
      <c r="RD5857" s="106"/>
      <c r="RE5857" s="106"/>
      <c r="RF5857" s="106"/>
      <c r="RG5857" s="106"/>
      <c r="RH5857" s="106"/>
      <c r="RI5857" s="106"/>
      <c r="RJ5857" s="106"/>
      <c r="RK5857" s="106"/>
      <c r="RL5857" s="106"/>
    </row>
    <row r="5858" spans="462:480" x14ac:dyDescent="0.3">
      <c r="QT5858" s="106"/>
      <c r="QU5858" s="106"/>
      <c r="QV5858" s="106"/>
      <c r="QW5858" s="106"/>
      <c r="QX5858" s="106"/>
      <c r="QY5858" s="106"/>
      <c r="QZ5858" s="106"/>
      <c r="RA5858" s="106"/>
      <c r="RB5858" s="106"/>
      <c r="RC5858" s="106"/>
      <c r="RD5858" s="106"/>
      <c r="RE5858" s="106"/>
      <c r="RF5858" s="106"/>
      <c r="RG5858" s="106"/>
      <c r="RH5858" s="106"/>
      <c r="RI5858" s="106"/>
      <c r="RJ5858" s="106"/>
      <c r="RK5858" s="106"/>
      <c r="RL5858" s="106"/>
    </row>
    <row r="5859" spans="462:480" x14ac:dyDescent="0.3">
      <c r="QT5859" s="106"/>
      <c r="QU5859" s="106"/>
      <c r="QV5859" s="106"/>
      <c r="QW5859" s="106"/>
      <c r="QX5859" s="106"/>
      <c r="QY5859" s="106"/>
      <c r="QZ5859" s="106"/>
      <c r="RA5859" s="106"/>
      <c r="RB5859" s="106"/>
      <c r="RC5859" s="106"/>
      <c r="RD5859" s="106"/>
      <c r="RE5859" s="106"/>
      <c r="RF5859" s="106"/>
      <c r="RG5859" s="106"/>
      <c r="RH5859" s="106"/>
      <c r="RI5859" s="106"/>
      <c r="RJ5859" s="106"/>
      <c r="RK5859" s="106"/>
      <c r="RL5859" s="106"/>
    </row>
    <row r="5860" spans="462:480" x14ac:dyDescent="0.3">
      <c r="QT5860" s="106"/>
      <c r="QU5860" s="106"/>
      <c r="QV5860" s="106"/>
      <c r="QW5860" s="106"/>
      <c r="QX5860" s="106"/>
      <c r="QY5860" s="106"/>
      <c r="QZ5860" s="106"/>
      <c r="RA5860" s="106"/>
      <c r="RB5860" s="106"/>
      <c r="RC5860" s="106"/>
      <c r="RD5860" s="106"/>
      <c r="RE5860" s="106"/>
      <c r="RF5860" s="106"/>
      <c r="RG5860" s="106"/>
      <c r="RH5860" s="106"/>
      <c r="RI5860" s="106"/>
      <c r="RJ5860" s="106"/>
      <c r="RK5860" s="106"/>
      <c r="RL5860" s="106"/>
    </row>
    <row r="5861" spans="462:480" x14ac:dyDescent="0.3">
      <c r="QT5861" s="106"/>
      <c r="QU5861" s="106"/>
      <c r="QV5861" s="106"/>
      <c r="QW5861" s="106"/>
      <c r="QX5861" s="106"/>
      <c r="QY5861" s="106"/>
      <c r="QZ5861" s="106"/>
      <c r="RA5861" s="106"/>
      <c r="RB5861" s="106"/>
      <c r="RC5861" s="106"/>
      <c r="RD5861" s="106"/>
      <c r="RE5861" s="106"/>
      <c r="RF5861" s="106"/>
      <c r="RG5861" s="106"/>
      <c r="RH5861" s="106"/>
      <c r="RI5861" s="106"/>
      <c r="RJ5861" s="106"/>
      <c r="RK5861" s="106"/>
      <c r="RL5861" s="106"/>
    </row>
    <row r="5862" spans="462:480" x14ac:dyDescent="0.3">
      <c r="QT5862" s="106"/>
      <c r="QU5862" s="106"/>
      <c r="QV5862" s="106"/>
      <c r="QW5862" s="106"/>
      <c r="QX5862" s="106"/>
      <c r="QY5862" s="106"/>
      <c r="QZ5862" s="106"/>
      <c r="RA5862" s="106"/>
      <c r="RB5862" s="106"/>
      <c r="RC5862" s="106"/>
      <c r="RD5862" s="106"/>
      <c r="RE5862" s="106"/>
      <c r="RF5862" s="106"/>
      <c r="RG5862" s="106"/>
      <c r="RH5862" s="106"/>
      <c r="RI5862" s="106"/>
      <c r="RJ5862" s="106"/>
      <c r="RK5862" s="106"/>
      <c r="RL5862" s="106"/>
    </row>
    <row r="5863" spans="462:480" x14ac:dyDescent="0.3">
      <c r="QT5863" s="106"/>
      <c r="QU5863" s="106"/>
      <c r="QV5863" s="106"/>
      <c r="QW5863" s="106"/>
      <c r="QX5863" s="106"/>
      <c r="QY5863" s="106"/>
      <c r="QZ5863" s="106"/>
      <c r="RA5863" s="106"/>
      <c r="RB5863" s="106"/>
      <c r="RC5863" s="106"/>
      <c r="RD5863" s="106"/>
      <c r="RE5863" s="106"/>
      <c r="RF5863" s="106"/>
      <c r="RG5863" s="106"/>
      <c r="RH5863" s="106"/>
      <c r="RI5863" s="106"/>
      <c r="RJ5863" s="106"/>
      <c r="RK5863" s="106"/>
      <c r="RL5863" s="106"/>
    </row>
    <row r="5864" spans="462:480" x14ac:dyDescent="0.3">
      <c r="QT5864" s="106"/>
      <c r="QU5864" s="106"/>
      <c r="QV5864" s="106"/>
      <c r="QW5864" s="106"/>
      <c r="QX5864" s="106"/>
      <c r="QY5864" s="106"/>
      <c r="QZ5864" s="106"/>
      <c r="RA5864" s="106"/>
      <c r="RB5864" s="106"/>
      <c r="RC5864" s="106"/>
      <c r="RD5864" s="106"/>
      <c r="RE5864" s="106"/>
      <c r="RF5864" s="106"/>
      <c r="RG5864" s="106"/>
      <c r="RH5864" s="106"/>
      <c r="RI5864" s="106"/>
      <c r="RJ5864" s="106"/>
      <c r="RK5864" s="106"/>
      <c r="RL5864" s="106"/>
    </row>
    <row r="5865" spans="462:480" x14ac:dyDescent="0.3">
      <c r="QT5865" s="106"/>
      <c r="QU5865" s="106"/>
      <c r="QV5865" s="106"/>
      <c r="QW5865" s="106"/>
      <c r="QX5865" s="106"/>
      <c r="QY5865" s="106"/>
      <c r="QZ5865" s="106"/>
      <c r="RA5865" s="106"/>
      <c r="RB5865" s="106"/>
      <c r="RC5865" s="106"/>
      <c r="RD5865" s="106"/>
      <c r="RE5865" s="106"/>
      <c r="RF5865" s="106"/>
      <c r="RG5865" s="106"/>
      <c r="RH5865" s="106"/>
      <c r="RI5865" s="106"/>
      <c r="RJ5865" s="106"/>
      <c r="RK5865" s="106"/>
      <c r="RL5865" s="106"/>
    </row>
    <row r="5866" spans="462:480" x14ac:dyDescent="0.3">
      <c r="QT5866" s="106"/>
      <c r="QU5866" s="106"/>
      <c r="QV5866" s="106"/>
      <c r="QW5866" s="106"/>
      <c r="QX5866" s="106"/>
      <c r="QY5866" s="106"/>
      <c r="QZ5866" s="106"/>
      <c r="RA5866" s="106"/>
      <c r="RB5866" s="106"/>
      <c r="RC5866" s="106"/>
      <c r="RD5866" s="106"/>
      <c r="RE5866" s="106"/>
      <c r="RF5866" s="106"/>
      <c r="RG5866" s="106"/>
      <c r="RH5866" s="106"/>
      <c r="RI5866" s="106"/>
      <c r="RJ5866" s="106"/>
      <c r="RK5866" s="106"/>
      <c r="RL5866" s="106"/>
    </row>
    <row r="5867" spans="462:480" x14ac:dyDescent="0.3">
      <c r="QT5867" s="106"/>
      <c r="QU5867" s="106"/>
      <c r="QV5867" s="106"/>
      <c r="QW5867" s="106"/>
      <c r="QX5867" s="106"/>
      <c r="QY5867" s="106"/>
      <c r="QZ5867" s="106"/>
      <c r="RA5867" s="106"/>
      <c r="RB5867" s="106"/>
      <c r="RC5867" s="106"/>
      <c r="RD5867" s="106"/>
      <c r="RE5867" s="106"/>
      <c r="RF5867" s="106"/>
      <c r="RG5867" s="106"/>
      <c r="RH5867" s="106"/>
      <c r="RI5867" s="106"/>
      <c r="RJ5867" s="106"/>
      <c r="RK5867" s="106"/>
      <c r="RL5867" s="106"/>
    </row>
    <row r="5868" spans="462:480" x14ac:dyDescent="0.3">
      <c r="QT5868" s="106"/>
      <c r="QU5868" s="106"/>
      <c r="QV5868" s="106"/>
      <c r="QW5868" s="106"/>
      <c r="QX5868" s="106"/>
      <c r="QY5868" s="106"/>
      <c r="QZ5868" s="106"/>
      <c r="RA5868" s="106"/>
      <c r="RB5868" s="106"/>
      <c r="RC5868" s="106"/>
      <c r="RD5868" s="106"/>
      <c r="RE5868" s="106"/>
      <c r="RF5868" s="106"/>
      <c r="RG5868" s="106"/>
      <c r="RH5868" s="106"/>
      <c r="RI5868" s="106"/>
      <c r="RJ5868" s="106"/>
      <c r="RK5868" s="106"/>
      <c r="RL5868" s="106"/>
    </row>
    <row r="5869" spans="462:480" x14ac:dyDescent="0.3">
      <c r="QT5869" s="106"/>
      <c r="QU5869" s="106"/>
      <c r="QV5869" s="106"/>
      <c r="QW5869" s="106"/>
      <c r="QX5869" s="106"/>
      <c r="QY5869" s="106"/>
      <c r="QZ5869" s="106"/>
      <c r="RA5869" s="106"/>
      <c r="RB5869" s="106"/>
      <c r="RC5869" s="106"/>
      <c r="RD5869" s="106"/>
      <c r="RE5869" s="106"/>
      <c r="RF5869" s="106"/>
      <c r="RG5869" s="106"/>
      <c r="RH5869" s="106"/>
      <c r="RI5869" s="106"/>
      <c r="RJ5869" s="106"/>
      <c r="RK5869" s="106"/>
      <c r="RL5869" s="106"/>
    </row>
    <row r="5870" spans="462:480" x14ac:dyDescent="0.3">
      <c r="QT5870" s="106"/>
      <c r="QU5870" s="106"/>
      <c r="QV5870" s="106"/>
      <c r="QW5870" s="106"/>
      <c r="QX5870" s="106"/>
      <c r="QY5870" s="106"/>
      <c r="QZ5870" s="106"/>
      <c r="RA5870" s="106"/>
      <c r="RB5870" s="106"/>
      <c r="RC5870" s="106"/>
      <c r="RD5870" s="106"/>
      <c r="RE5870" s="106"/>
      <c r="RF5870" s="106"/>
      <c r="RG5870" s="106"/>
      <c r="RH5870" s="106"/>
      <c r="RI5870" s="106"/>
      <c r="RJ5870" s="106"/>
      <c r="RK5870" s="106"/>
      <c r="RL5870" s="106"/>
    </row>
    <row r="5871" spans="462:480" x14ac:dyDescent="0.3">
      <c r="QT5871" s="106"/>
      <c r="QU5871" s="106"/>
      <c r="QV5871" s="106"/>
      <c r="QW5871" s="106"/>
      <c r="QX5871" s="106"/>
      <c r="QY5871" s="106"/>
      <c r="QZ5871" s="106"/>
      <c r="RA5871" s="106"/>
      <c r="RB5871" s="106"/>
      <c r="RC5871" s="106"/>
      <c r="RD5871" s="106"/>
      <c r="RE5871" s="106"/>
      <c r="RF5871" s="106"/>
      <c r="RG5871" s="106"/>
      <c r="RH5871" s="106"/>
      <c r="RI5871" s="106"/>
      <c r="RJ5871" s="106"/>
      <c r="RK5871" s="106"/>
      <c r="RL5871" s="106"/>
    </row>
    <row r="5872" spans="462:480" x14ac:dyDescent="0.3">
      <c r="QT5872" s="106"/>
      <c r="QU5872" s="106"/>
      <c r="QV5872" s="106"/>
      <c r="QW5872" s="106"/>
      <c r="QX5872" s="106"/>
      <c r="QY5872" s="106"/>
      <c r="QZ5872" s="106"/>
      <c r="RA5872" s="106"/>
      <c r="RB5872" s="106"/>
      <c r="RC5872" s="106"/>
      <c r="RD5872" s="106"/>
      <c r="RE5872" s="106"/>
      <c r="RF5872" s="106"/>
      <c r="RG5872" s="106"/>
      <c r="RH5872" s="106"/>
      <c r="RI5872" s="106"/>
      <c r="RJ5872" s="106"/>
      <c r="RK5872" s="106"/>
      <c r="RL5872" s="106"/>
    </row>
    <row r="5873" spans="462:480" x14ac:dyDescent="0.3">
      <c r="QT5873" s="106"/>
      <c r="QU5873" s="106"/>
      <c r="QV5873" s="106"/>
      <c r="QW5873" s="106"/>
      <c r="QX5873" s="106"/>
      <c r="QY5873" s="106"/>
      <c r="QZ5873" s="106"/>
      <c r="RA5873" s="106"/>
      <c r="RB5873" s="106"/>
      <c r="RC5873" s="106"/>
      <c r="RD5873" s="106"/>
      <c r="RE5873" s="106"/>
      <c r="RF5873" s="106"/>
      <c r="RG5873" s="106"/>
      <c r="RH5873" s="106"/>
      <c r="RI5873" s="106"/>
      <c r="RJ5873" s="106"/>
      <c r="RK5873" s="106"/>
      <c r="RL5873" s="106"/>
    </row>
    <row r="5874" spans="462:480" x14ac:dyDescent="0.3">
      <c r="QT5874" s="106"/>
      <c r="QU5874" s="106"/>
      <c r="QV5874" s="106"/>
      <c r="QW5874" s="106"/>
      <c r="QX5874" s="106"/>
      <c r="QY5874" s="106"/>
      <c r="QZ5874" s="106"/>
      <c r="RA5874" s="106"/>
      <c r="RB5874" s="106"/>
      <c r="RC5874" s="106"/>
      <c r="RD5874" s="106"/>
      <c r="RE5874" s="106"/>
      <c r="RF5874" s="106"/>
      <c r="RG5874" s="106"/>
      <c r="RH5874" s="106"/>
      <c r="RI5874" s="106"/>
      <c r="RJ5874" s="106"/>
      <c r="RK5874" s="106"/>
      <c r="RL5874" s="106"/>
    </row>
    <row r="5875" spans="462:480" x14ac:dyDescent="0.3">
      <c r="QT5875" s="106"/>
      <c r="QU5875" s="106"/>
      <c r="QV5875" s="106"/>
      <c r="QW5875" s="106"/>
      <c r="QX5875" s="106"/>
      <c r="QY5875" s="106"/>
      <c r="QZ5875" s="106"/>
      <c r="RA5875" s="106"/>
      <c r="RB5875" s="106"/>
      <c r="RC5875" s="106"/>
      <c r="RD5875" s="106"/>
      <c r="RE5875" s="106"/>
      <c r="RF5875" s="106"/>
      <c r="RG5875" s="106"/>
      <c r="RH5875" s="106"/>
      <c r="RI5875" s="106"/>
      <c r="RJ5875" s="106"/>
      <c r="RK5875" s="106"/>
      <c r="RL5875" s="106"/>
    </row>
    <row r="5876" spans="462:480" x14ac:dyDescent="0.3">
      <c r="QT5876" s="106"/>
      <c r="QU5876" s="106"/>
      <c r="QV5876" s="106"/>
      <c r="QW5876" s="106"/>
      <c r="QX5876" s="106"/>
      <c r="QY5876" s="106"/>
      <c r="QZ5876" s="106"/>
      <c r="RA5876" s="106"/>
      <c r="RB5876" s="106"/>
      <c r="RC5876" s="106"/>
      <c r="RD5876" s="106"/>
      <c r="RE5876" s="106"/>
      <c r="RF5876" s="106"/>
      <c r="RG5876" s="106"/>
      <c r="RH5876" s="106"/>
      <c r="RI5876" s="106"/>
      <c r="RJ5876" s="106"/>
      <c r="RK5876" s="106"/>
      <c r="RL5876" s="106"/>
    </row>
    <row r="5877" spans="462:480" x14ac:dyDescent="0.3">
      <c r="QT5877" s="106"/>
      <c r="QU5877" s="106"/>
      <c r="QV5877" s="106"/>
      <c r="QW5877" s="106"/>
      <c r="QX5877" s="106"/>
      <c r="QY5877" s="106"/>
      <c r="QZ5877" s="106"/>
      <c r="RA5877" s="106"/>
      <c r="RB5877" s="106"/>
      <c r="RC5877" s="106"/>
      <c r="RD5877" s="106"/>
      <c r="RE5877" s="106"/>
      <c r="RF5877" s="106"/>
      <c r="RG5877" s="106"/>
      <c r="RH5877" s="106"/>
      <c r="RI5877" s="106"/>
      <c r="RJ5877" s="106"/>
      <c r="RK5877" s="106"/>
      <c r="RL5877" s="106"/>
    </row>
    <row r="5878" spans="462:480" x14ac:dyDescent="0.3">
      <c r="QT5878" s="106"/>
      <c r="QU5878" s="106"/>
      <c r="QV5878" s="106"/>
      <c r="QW5878" s="106"/>
      <c r="QX5878" s="106"/>
      <c r="QY5878" s="106"/>
      <c r="QZ5878" s="106"/>
      <c r="RA5878" s="106"/>
      <c r="RB5878" s="106"/>
      <c r="RC5878" s="106"/>
      <c r="RD5878" s="106"/>
      <c r="RE5878" s="106"/>
      <c r="RF5878" s="106"/>
      <c r="RG5878" s="106"/>
      <c r="RH5878" s="106"/>
      <c r="RI5878" s="106"/>
      <c r="RJ5878" s="106"/>
      <c r="RK5878" s="106"/>
      <c r="RL5878" s="106"/>
    </row>
    <row r="5879" spans="462:480" x14ac:dyDescent="0.3">
      <c r="QT5879" s="106"/>
      <c r="QU5879" s="106"/>
      <c r="QV5879" s="106"/>
      <c r="QW5879" s="106"/>
      <c r="QX5879" s="106"/>
      <c r="QY5879" s="106"/>
      <c r="QZ5879" s="106"/>
      <c r="RA5879" s="106"/>
      <c r="RB5879" s="106"/>
      <c r="RC5879" s="106"/>
      <c r="RD5879" s="106"/>
      <c r="RE5879" s="106"/>
      <c r="RF5879" s="106"/>
      <c r="RG5879" s="106"/>
      <c r="RH5879" s="106"/>
      <c r="RI5879" s="106"/>
      <c r="RJ5879" s="106"/>
      <c r="RK5879" s="106"/>
      <c r="RL5879" s="106"/>
    </row>
    <row r="5880" spans="462:480" x14ac:dyDescent="0.3">
      <c r="QT5880" s="106"/>
      <c r="QU5880" s="106"/>
      <c r="QV5880" s="106"/>
      <c r="QW5880" s="106"/>
      <c r="QX5880" s="106"/>
      <c r="QY5880" s="106"/>
      <c r="QZ5880" s="106"/>
      <c r="RA5880" s="106"/>
      <c r="RB5880" s="106"/>
      <c r="RC5880" s="106"/>
      <c r="RD5880" s="106"/>
      <c r="RE5880" s="106"/>
      <c r="RF5880" s="106"/>
      <c r="RG5880" s="106"/>
      <c r="RH5880" s="106"/>
      <c r="RI5880" s="106"/>
      <c r="RJ5880" s="106"/>
      <c r="RK5880" s="106"/>
      <c r="RL5880" s="106"/>
    </row>
    <row r="5881" spans="462:480" x14ac:dyDescent="0.3">
      <c r="QT5881" s="106"/>
      <c r="QU5881" s="106"/>
      <c r="QV5881" s="106"/>
      <c r="QW5881" s="106"/>
      <c r="QX5881" s="106"/>
      <c r="QY5881" s="106"/>
      <c r="QZ5881" s="106"/>
      <c r="RA5881" s="106"/>
      <c r="RB5881" s="106"/>
      <c r="RC5881" s="106"/>
      <c r="RD5881" s="106"/>
      <c r="RE5881" s="106"/>
      <c r="RF5881" s="106"/>
      <c r="RG5881" s="106"/>
      <c r="RH5881" s="106"/>
      <c r="RI5881" s="106"/>
      <c r="RJ5881" s="106"/>
      <c r="RK5881" s="106"/>
      <c r="RL5881" s="106"/>
    </row>
    <row r="5882" spans="462:480" x14ac:dyDescent="0.3">
      <c r="QT5882" s="106"/>
      <c r="QU5882" s="106"/>
      <c r="QV5882" s="106"/>
      <c r="QW5882" s="106"/>
      <c r="QX5882" s="106"/>
      <c r="QY5882" s="106"/>
      <c r="QZ5882" s="106"/>
      <c r="RA5882" s="106"/>
      <c r="RB5882" s="106"/>
      <c r="RC5882" s="106"/>
      <c r="RD5882" s="106"/>
      <c r="RE5882" s="106"/>
      <c r="RF5882" s="106"/>
      <c r="RG5882" s="106"/>
      <c r="RH5882" s="106"/>
      <c r="RI5882" s="106"/>
      <c r="RJ5882" s="106"/>
      <c r="RK5882" s="106"/>
      <c r="RL5882" s="106"/>
    </row>
    <row r="5883" spans="462:480" x14ac:dyDescent="0.3">
      <c r="QT5883" s="106"/>
      <c r="QU5883" s="106"/>
      <c r="QV5883" s="106"/>
      <c r="QW5883" s="106"/>
      <c r="QX5883" s="106"/>
      <c r="QY5883" s="106"/>
      <c r="QZ5883" s="106"/>
      <c r="RA5883" s="106"/>
      <c r="RB5883" s="106"/>
      <c r="RC5883" s="106"/>
      <c r="RD5883" s="106"/>
      <c r="RE5883" s="106"/>
      <c r="RF5883" s="106"/>
      <c r="RG5883" s="106"/>
      <c r="RH5883" s="106"/>
      <c r="RI5883" s="106"/>
      <c r="RJ5883" s="106"/>
      <c r="RK5883" s="106"/>
      <c r="RL5883" s="106"/>
    </row>
    <row r="5884" spans="462:480" x14ac:dyDescent="0.3">
      <c r="QT5884" s="106"/>
      <c r="QU5884" s="106"/>
      <c r="QV5884" s="106"/>
      <c r="QW5884" s="106"/>
      <c r="QX5884" s="106"/>
      <c r="QY5884" s="106"/>
      <c r="QZ5884" s="106"/>
      <c r="RA5884" s="106"/>
      <c r="RB5884" s="106"/>
      <c r="RC5884" s="106"/>
      <c r="RD5884" s="106"/>
      <c r="RE5884" s="106"/>
      <c r="RF5884" s="106"/>
      <c r="RG5884" s="106"/>
      <c r="RH5884" s="106"/>
      <c r="RI5884" s="106"/>
      <c r="RJ5884" s="106"/>
      <c r="RK5884" s="106"/>
      <c r="RL5884" s="106"/>
    </row>
    <row r="5885" spans="462:480" x14ac:dyDescent="0.3">
      <c r="QT5885" s="106"/>
      <c r="QU5885" s="106"/>
      <c r="QV5885" s="106"/>
      <c r="QW5885" s="106"/>
      <c r="QX5885" s="106"/>
      <c r="QY5885" s="106"/>
      <c r="QZ5885" s="106"/>
      <c r="RA5885" s="106"/>
      <c r="RB5885" s="106"/>
      <c r="RC5885" s="106"/>
      <c r="RD5885" s="106"/>
      <c r="RE5885" s="106"/>
      <c r="RF5885" s="106"/>
      <c r="RG5885" s="106"/>
      <c r="RH5885" s="106"/>
      <c r="RI5885" s="106"/>
      <c r="RJ5885" s="106"/>
      <c r="RK5885" s="106"/>
      <c r="RL5885" s="106"/>
    </row>
    <row r="5886" spans="462:480" x14ac:dyDescent="0.3">
      <c r="QT5886" s="106"/>
      <c r="QU5886" s="106"/>
      <c r="QV5886" s="106"/>
      <c r="QW5886" s="106"/>
      <c r="QX5886" s="106"/>
      <c r="QY5886" s="106"/>
      <c r="QZ5886" s="106"/>
      <c r="RA5886" s="106"/>
      <c r="RB5886" s="106"/>
      <c r="RC5886" s="106"/>
      <c r="RD5886" s="106"/>
      <c r="RE5886" s="106"/>
      <c r="RF5886" s="106"/>
      <c r="RG5886" s="106"/>
      <c r="RH5886" s="106"/>
      <c r="RI5886" s="106"/>
      <c r="RJ5886" s="106"/>
      <c r="RK5886" s="106"/>
      <c r="RL5886" s="106"/>
    </row>
    <row r="5887" spans="462:480" x14ac:dyDescent="0.3">
      <c r="QT5887" s="106"/>
      <c r="QU5887" s="106"/>
      <c r="QV5887" s="106"/>
      <c r="QW5887" s="106"/>
      <c r="QX5887" s="106"/>
      <c r="QY5887" s="106"/>
      <c r="QZ5887" s="106"/>
      <c r="RA5887" s="106"/>
      <c r="RB5887" s="106"/>
      <c r="RC5887" s="106"/>
      <c r="RD5887" s="106"/>
      <c r="RE5887" s="106"/>
      <c r="RF5887" s="106"/>
      <c r="RG5887" s="106"/>
      <c r="RH5887" s="106"/>
      <c r="RI5887" s="106"/>
      <c r="RJ5887" s="106"/>
      <c r="RK5887" s="106"/>
      <c r="RL5887" s="106"/>
    </row>
    <row r="5888" spans="462:480" x14ac:dyDescent="0.3">
      <c r="QT5888" s="106"/>
      <c r="QU5888" s="106"/>
      <c r="QV5888" s="106"/>
      <c r="QW5888" s="106"/>
      <c r="QX5888" s="106"/>
      <c r="QY5888" s="106"/>
      <c r="QZ5888" s="106"/>
      <c r="RA5888" s="106"/>
      <c r="RB5888" s="106"/>
      <c r="RC5888" s="106"/>
      <c r="RD5888" s="106"/>
      <c r="RE5888" s="106"/>
      <c r="RF5888" s="106"/>
      <c r="RG5888" s="106"/>
      <c r="RH5888" s="106"/>
      <c r="RI5888" s="106"/>
      <c r="RJ5888" s="106"/>
      <c r="RK5888" s="106"/>
      <c r="RL5888" s="106"/>
    </row>
    <row r="5889" spans="462:480" x14ac:dyDescent="0.3">
      <c r="QT5889" s="106"/>
      <c r="QU5889" s="106"/>
      <c r="QV5889" s="106"/>
      <c r="QW5889" s="106"/>
      <c r="QX5889" s="106"/>
      <c r="QY5889" s="106"/>
      <c r="QZ5889" s="106"/>
      <c r="RA5889" s="106"/>
      <c r="RB5889" s="106"/>
      <c r="RC5889" s="106"/>
      <c r="RD5889" s="106"/>
      <c r="RE5889" s="106"/>
      <c r="RF5889" s="106"/>
      <c r="RG5889" s="106"/>
      <c r="RH5889" s="106"/>
      <c r="RI5889" s="106"/>
      <c r="RJ5889" s="106"/>
      <c r="RK5889" s="106"/>
      <c r="RL5889" s="106"/>
    </row>
    <row r="5890" spans="462:480" x14ac:dyDescent="0.3">
      <c r="QT5890" s="106"/>
      <c r="QU5890" s="106"/>
      <c r="QV5890" s="106"/>
      <c r="QW5890" s="106"/>
      <c r="QX5890" s="106"/>
      <c r="QY5890" s="106"/>
      <c r="QZ5890" s="106"/>
      <c r="RA5890" s="106"/>
      <c r="RB5890" s="106"/>
      <c r="RC5890" s="106"/>
      <c r="RD5890" s="106"/>
      <c r="RE5890" s="106"/>
      <c r="RF5890" s="106"/>
      <c r="RG5890" s="106"/>
      <c r="RH5890" s="106"/>
      <c r="RI5890" s="106"/>
      <c r="RJ5890" s="106"/>
      <c r="RK5890" s="106"/>
      <c r="RL5890" s="106"/>
    </row>
    <row r="5891" spans="462:480" x14ac:dyDescent="0.3">
      <c r="QT5891" s="106"/>
      <c r="QU5891" s="106"/>
      <c r="QV5891" s="106"/>
      <c r="QW5891" s="106"/>
      <c r="QX5891" s="106"/>
      <c r="QY5891" s="106"/>
      <c r="QZ5891" s="106"/>
      <c r="RA5891" s="106"/>
      <c r="RB5891" s="106"/>
      <c r="RC5891" s="106"/>
      <c r="RD5891" s="106"/>
      <c r="RE5891" s="106"/>
      <c r="RF5891" s="106"/>
      <c r="RG5891" s="106"/>
      <c r="RH5891" s="106"/>
      <c r="RI5891" s="106"/>
      <c r="RJ5891" s="106"/>
      <c r="RK5891" s="106"/>
      <c r="RL5891" s="106"/>
    </row>
    <row r="5892" spans="462:480" x14ac:dyDescent="0.3">
      <c r="QT5892" s="106"/>
      <c r="QU5892" s="106"/>
      <c r="QV5892" s="106"/>
      <c r="QW5892" s="106"/>
      <c r="QX5892" s="106"/>
      <c r="QY5892" s="106"/>
      <c r="QZ5892" s="106"/>
      <c r="RA5892" s="106"/>
      <c r="RB5892" s="106"/>
      <c r="RC5892" s="106"/>
      <c r="RD5892" s="106"/>
      <c r="RE5892" s="106"/>
      <c r="RF5892" s="106"/>
      <c r="RG5892" s="106"/>
      <c r="RH5892" s="106"/>
      <c r="RI5892" s="106"/>
      <c r="RJ5892" s="106"/>
      <c r="RK5892" s="106"/>
      <c r="RL5892" s="106"/>
    </row>
    <row r="5893" spans="462:480" x14ac:dyDescent="0.3">
      <c r="QT5893" s="106"/>
      <c r="QU5893" s="106"/>
      <c r="QV5893" s="106"/>
      <c r="QW5893" s="106"/>
      <c r="QX5893" s="106"/>
      <c r="QY5893" s="106"/>
      <c r="QZ5893" s="106"/>
      <c r="RA5893" s="106"/>
      <c r="RB5893" s="106"/>
      <c r="RC5893" s="106"/>
      <c r="RD5893" s="106"/>
      <c r="RE5893" s="106"/>
      <c r="RF5893" s="106"/>
      <c r="RG5893" s="106"/>
      <c r="RH5893" s="106"/>
      <c r="RI5893" s="106"/>
      <c r="RJ5893" s="106"/>
      <c r="RK5893" s="106"/>
      <c r="RL5893" s="106"/>
    </row>
    <row r="5894" spans="462:480" x14ac:dyDescent="0.3">
      <c r="QT5894" s="106"/>
      <c r="QU5894" s="106"/>
      <c r="QV5894" s="106"/>
      <c r="QW5894" s="106"/>
      <c r="QX5894" s="106"/>
      <c r="QY5894" s="106"/>
      <c r="QZ5894" s="106"/>
      <c r="RA5894" s="106"/>
      <c r="RB5894" s="106"/>
      <c r="RC5894" s="106"/>
      <c r="RD5894" s="106"/>
      <c r="RE5894" s="106"/>
      <c r="RF5894" s="106"/>
      <c r="RG5894" s="106"/>
      <c r="RH5894" s="106"/>
      <c r="RI5894" s="106"/>
      <c r="RJ5894" s="106"/>
      <c r="RK5894" s="106"/>
      <c r="RL5894" s="106"/>
    </row>
    <row r="5895" spans="462:480" x14ac:dyDescent="0.3">
      <c r="QT5895" s="106"/>
      <c r="QU5895" s="106"/>
      <c r="QV5895" s="106"/>
      <c r="QW5895" s="106"/>
      <c r="QX5895" s="106"/>
      <c r="QY5895" s="106"/>
      <c r="QZ5895" s="106"/>
      <c r="RA5895" s="106"/>
      <c r="RB5895" s="106"/>
      <c r="RC5895" s="106"/>
      <c r="RD5895" s="106"/>
      <c r="RE5895" s="106"/>
      <c r="RF5895" s="106"/>
      <c r="RG5895" s="106"/>
      <c r="RH5895" s="106"/>
      <c r="RI5895" s="106"/>
      <c r="RJ5895" s="106"/>
      <c r="RK5895" s="106"/>
      <c r="RL5895" s="106"/>
    </row>
    <row r="5896" spans="462:480" x14ac:dyDescent="0.3">
      <c r="QT5896" s="106"/>
      <c r="QU5896" s="106"/>
      <c r="QV5896" s="106"/>
      <c r="QW5896" s="106"/>
      <c r="QX5896" s="106"/>
      <c r="QY5896" s="106"/>
      <c r="QZ5896" s="106"/>
      <c r="RA5896" s="106"/>
      <c r="RB5896" s="106"/>
      <c r="RC5896" s="106"/>
      <c r="RD5896" s="106"/>
      <c r="RE5896" s="106"/>
      <c r="RF5896" s="106"/>
      <c r="RG5896" s="106"/>
      <c r="RH5896" s="106"/>
      <c r="RI5896" s="106"/>
      <c r="RJ5896" s="106"/>
      <c r="RK5896" s="106"/>
      <c r="RL5896" s="106"/>
    </row>
    <row r="5897" spans="462:480" x14ac:dyDescent="0.3">
      <c r="QT5897" s="106"/>
      <c r="QU5897" s="106"/>
      <c r="QV5897" s="106"/>
      <c r="QW5897" s="106"/>
      <c r="QX5897" s="106"/>
      <c r="QY5897" s="106"/>
      <c r="QZ5897" s="106"/>
      <c r="RA5897" s="106"/>
      <c r="RB5897" s="106"/>
      <c r="RC5897" s="106"/>
      <c r="RD5897" s="106"/>
      <c r="RE5897" s="106"/>
      <c r="RF5897" s="106"/>
      <c r="RG5897" s="106"/>
      <c r="RH5897" s="106"/>
      <c r="RI5897" s="106"/>
      <c r="RJ5897" s="106"/>
      <c r="RK5897" s="106"/>
      <c r="RL5897" s="106"/>
    </row>
    <row r="5898" spans="462:480" x14ac:dyDescent="0.3">
      <c r="QT5898" s="106"/>
      <c r="QU5898" s="106"/>
      <c r="QV5898" s="106"/>
      <c r="QW5898" s="106"/>
      <c r="QX5898" s="106"/>
      <c r="QY5898" s="106"/>
      <c r="QZ5898" s="106"/>
      <c r="RA5898" s="106"/>
      <c r="RB5898" s="106"/>
      <c r="RC5898" s="106"/>
      <c r="RD5898" s="106"/>
      <c r="RE5898" s="106"/>
      <c r="RF5898" s="106"/>
      <c r="RG5898" s="106"/>
      <c r="RH5898" s="106"/>
      <c r="RI5898" s="106"/>
      <c r="RJ5898" s="106"/>
      <c r="RK5898" s="106"/>
      <c r="RL5898" s="106"/>
    </row>
    <row r="5899" spans="462:480" x14ac:dyDescent="0.3">
      <c r="QT5899" s="106"/>
      <c r="QU5899" s="106"/>
      <c r="QV5899" s="106"/>
      <c r="QW5899" s="106"/>
      <c r="QX5899" s="106"/>
      <c r="QY5899" s="106"/>
      <c r="QZ5899" s="106"/>
      <c r="RA5899" s="106"/>
      <c r="RB5899" s="106"/>
      <c r="RC5899" s="106"/>
      <c r="RD5899" s="106"/>
      <c r="RE5899" s="106"/>
      <c r="RF5899" s="106"/>
      <c r="RG5899" s="106"/>
      <c r="RH5899" s="106"/>
      <c r="RI5899" s="106"/>
      <c r="RJ5899" s="106"/>
      <c r="RK5899" s="106"/>
      <c r="RL5899" s="106"/>
    </row>
    <row r="5900" spans="462:480" x14ac:dyDescent="0.3">
      <c r="QT5900" s="106"/>
      <c r="QU5900" s="106"/>
      <c r="QV5900" s="106"/>
      <c r="QW5900" s="106"/>
      <c r="QX5900" s="106"/>
      <c r="QY5900" s="106"/>
      <c r="QZ5900" s="106"/>
      <c r="RA5900" s="106"/>
      <c r="RB5900" s="106"/>
      <c r="RC5900" s="106"/>
      <c r="RD5900" s="106"/>
      <c r="RE5900" s="106"/>
      <c r="RF5900" s="106"/>
      <c r="RG5900" s="106"/>
      <c r="RH5900" s="106"/>
      <c r="RI5900" s="106"/>
      <c r="RJ5900" s="106"/>
      <c r="RK5900" s="106"/>
      <c r="RL5900" s="106"/>
    </row>
    <row r="5901" spans="462:480" x14ac:dyDescent="0.3">
      <c r="QT5901" s="106"/>
      <c r="QU5901" s="106"/>
      <c r="QV5901" s="106"/>
      <c r="QW5901" s="106"/>
      <c r="QX5901" s="106"/>
      <c r="QY5901" s="106"/>
      <c r="QZ5901" s="106"/>
      <c r="RA5901" s="106"/>
      <c r="RB5901" s="106"/>
      <c r="RC5901" s="106"/>
      <c r="RD5901" s="106"/>
      <c r="RE5901" s="106"/>
      <c r="RF5901" s="106"/>
      <c r="RG5901" s="106"/>
      <c r="RH5901" s="106"/>
      <c r="RI5901" s="106"/>
      <c r="RJ5901" s="106"/>
      <c r="RK5901" s="106"/>
      <c r="RL5901" s="106"/>
    </row>
    <row r="5902" spans="462:480" x14ac:dyDescent="0.3">
      <c r="QT5902" s="106"/>
      <c r="QU5902" s="106"/>
      <c r="QV5902" s="106"/>
      <c r="QW5902" s="106"/>
      <c r="QX5902" s="106"/>
      <c r="QY5902" s="106"/>
      <c r="QZ5902" s="106"/>
      <c r="RA5902" s="106"/>
      <c r="RB5902" s="106"/>
      <c r="RC5902" s="106"/>
      <c r="RD5902" s="106"/>
      <c r="RE5902" s="106"/>
      <c r="RF5902" s="106"/>
      <c r="RG5902" s="106"/>
      <c r="RH5902" s="106"/>
      <c r="RI5902" s="106"/>
      <c r="RJ5902" s="106"/>
      <c r="RK5902" s="106"/>
      <c r="RL5902" s="106"/>
    </row>
    <row r="5903" spans="462:480" x14ac:dyDescent="0.3">
      <c r="QT5903" s="106"/>
      <c r="QU5903" s="106"/>
      <c r="QV5903" s="106"/>
      <c r="QW5903" s="106"/>
      <c r="QX5903" s="106"/>
      <c r="QY5903" s="106"/>
      <c r="QZ5903" s="106"/>
      <c r="RA5903" s="106"/>
      <c r="RB5903" s="106"/>
      <c r="RC5903" s="106"/>
      <c r="RD5903" s="106"/>
      <c r="RE5903" s="106"/>
      <c r="RF5903" s="106"/>
      <c r="RG5903" s="106"/>
      <c r="RH5903" s="106"/>
      <c r="RI5903" s="106"/>
      <c r="RJ5903" s="106"/>
      <c r="RK5903" s="106"/>
      <c r="RL5903" s="106"/>
    </row>
    <row r="5904" spans="462:480" x14ac:dyDescent="0.3">
      <c r="QT5904" s="106"/>
      <c r="QU5904" s="106"/>
      <c r="QV5904" s="106"/>
      <c r="QW5904" s="106"/>
      <c r="QX5904" s="106"/>
      <c r="QY5904" s="106"/>
      <c r="QZ5904" s="106"/>
      <c r="RA5904" s="106"/>
      <c r="RB5904" s="106"/>
      <c r="RC5904" s="106"/>
      <c r="RD5904" s="106"/>
      <c r="RE5904" s="106"/>
      <c r="RF5904" s="106"/>
      <c r="RG5904" s="106"/>
      <c r="RH5904" s="106"/>
      <c r="RI5904" s="106"/>
      <c r="RJ5904" s="106"/>
      <c r="RK5904" s="106"/>
      <c r="RL5904" s="106"/>
    </row>
    <row r="5905" spans="462:480" x14ac:dyDescent="0.3">
      <c r="QT5905" s="106"/>
      <c r="QU5905" s="106"/>
      <c r="QV5905" s="106"/>
      <c r="QW5905" s="106"/>
      <c r="QX5905" s="106"/>
      <c r="QY5905" s="106"/>
      <c r="QZ5905" s="106"/>
      <c r="RA5905" s="106"/>
      <c r="RB5905" s="106"/>
      <c r="RC5905" s="106"/>
      <c r="RD5905" s="106"/>
      <c r="RE5905" s="106"/>
      <c r="RF5905" s="106"/>
      <c r="RG5905" s="106"/>
      <c r="RH5905" s="106"/>
      <c r="RI5905" s="106"/>
      <c r="RJ5905" s="106"/>
      <c r="RK5905" s="106"/>
      <c r="RL5905" s="106"/>
    </row>
    <row r="5906" spans="462:480" x14ac:dyDescent="0.3">
      <c r="QT5906" s="106"/>
      <c r="QU5906" s="106"/>
      <c r="QV5906" s="106"/>
      <c r="QW5906" s="106"/>
      <c r="QX5906" s="106"/>
      <c r="QY5906" s="106"/>
      <c r="QZ5906" s="106"/>
      <c r="RA5906" s="106"/>
      <c r="RB5906" s="106"/>
      <c r="RC5906" s="106"/>
      <c r="RD5906" s="106"/>
      <c r="RE5906" s="106"/>
      <c r="RF5906" s="106"/>
      <c r="RG5906" s="106"/>
      <c r="RH5906" s="106"/>
      <c r="RI5906" s="106"/>
      <c r="RJ5906" s="106"/>
      <c r="RK5906" s="106"/>
      <c r="RL5906" s="106"/>
    </row>
    <row r="5907" spans="462:480" x14ac:dyDescent="0.3">
      <c r="QT5907" s="106"/>
      <c r="QU5907" s="106"/>
      <c r="QV5907" s="106"/>
      <c r="QW5907" s="106"/>
      <c r="QX5907" s="106"/>
      <c r="QY5907" s="106"/>
      <c r="QZ5907" s="106"/>
      <c r="RA5907" s="106"/>
      <c r="RB5907" s="106"/>
      <c r="RC5907" s="106"/>
      <c r="RD5907" s="106"/>
      <c r="RE5907" s="106"/>
      <c r="RF5907" s="106"/>
      <c r="RG5907" s="106"/>
      <c r="RH5907" s="106"/>
      <c r="RI5907" s="106"/>
      <c r="RJ5907" s="106"/>
      <c r="RK5907" s="106"/>
      <c r="RL5907" s="106"/>
    </row>
    <row r="5908" spans="462:480" x14ac:dyDescent="0.3">
      <c r="QT5908" s="106"/>
      <c r="QU5908" s="106"/>
      <c r="QV5908" s="106"/>
      <c r="QW5908" s="106"/>
      <c r="QX5908" s="106"/>
      <c r="QY5908" s="106"/>
      <c r="QZ5908" s="106"/>
      <c r="RA5908" s="106"/>
      <c r="RB5908" s="106"/>
      <c r="RC5908" s="106"/>
      <c r="RD5908" s="106"/>
      <c r="RE5908" s="106"/>
      <c r="RF5908" s="106"/>
      <c r="RG5908" s="106"/>
      <c r="RH5908" s="106"/>
      <c r="RI5908" s="106"/>
      <c r="RJ5908" s="106"/>
      <c r="RK5908" s="106"/>
      <c r="RL5908" s="106"/>
    </row>
    <row r="5909" spans="462:480" x14ac:dyDescent="0.3">
      <c r="QT5909" s="106"/>
      <c r="QU5909" s="106"/>
      <c r="QV5909" s="106"/>
      <c r="QW5909" s="106"/>
      <c r="QX5909" s="106"/>
      <c r="QY5909" s="106"/>
      <c r="QZ5909" s="106"/>
      <c r="RA5909" s="106"/>
      <c r="RB5909" s="106"/>
      <c r="RC5909" s="106"/>
      <c r="RD5909" s="106"/>
      <c r="RE5909" s="106"/>
      <c r="RF5909" s="106"/>
      <c r="RG5909" s="106"/>
      <c r="RH5909" s="106"/>
      <c r="RI5909" s="106"/>
      <c r="RJ5909" s="106"/>
      <c r="RK5909" s="106"/>
      <c r="RL5909" s="106"/>
    </row>
    <row r="5910" spans="462:480" x14ac:dyDescent="0.3">
      <c r="QT5910" s="106"/>
      <c r="QU5910" s="106"/>
      <c r="QV5910" s="106"/>
      <c r="QW5910" s="106"/>
      <c r="QX5910" s="106"/>
      <c r="QY5910" s="106"/>
      <c r="QZ5910" s="106"/>
      <c r="RA5910" s="106"/>
      <c r="RB5910" s="106"/>
      <c r="RC5910" s="106"/>
      <c r="RD5910" s="106"/>
      <c r="RE5910" s="106"/>
      <c r="RF5910" s="106"/>
      <c r="RG5910" s="106"/>
      <c r="RH5910" s="106"/>
      <c r="RI5910" s="106"/>
      <c r="RJ5910" s="106"/>
      <c r="RK5910" s="106"/>
      <c r="RL5910" s="106"/>
    </row>
    <row r="5911" spans="462:480" x14ac:dyDescent="0.3">
      <c r="QT5911" s="106"/>
      <c r="QU5911" s="106"/>
      <c r="QV5911" s="106"/>
      <c r="QW5911" s="106"/>
      <c r="QX5911" s="106"/>
      <c r="QY5911" s="106"/>
      <c r="QZ5911" s="106"/>
      <c r="RA5911" s="106"/>
      <c r="RB5911" s="106"/>
      <c r="RC5911" s="106"/>
      <c r="RD5911" s="106"/>
      <c r="RE5911" s="106"/>
      <c r="RF5911" s="106"/>
      <c r="RG5911" s="106"/>
      <c r="RH5911" s="106"/>
      <c r="RI5911" s="106"/>
      <c r="RJ5911" s="106"/>
      <c r="RK5911" s="106"/>
      <c r="RL5911" s="106"/>
    </row>
    <row r="5912" spans="462:480" x14ac:dyDescent="0.3">
      <c r="QT5912" s="106"/>
      <c r="QU5912" s="106"/>
      <c r="QV5912" s="106"/>
      <c r="QW5912" s="106"/>
      <c r="QX5912" s="106"/>
      <c r="QY5912" s="106"/>
      <c r="QZ5912" s="106"/>
      <c r="RA5912" s="106"/>
      <c r="RB5912" s="106"/>
      <c r="RC5912" s="106"/>
      <c r="RD5912" s="106"/>
      <c r="RE5912" s="106"/>
      <c r="RF5912" s="106"/>
      <c r="RG5912" s="106"/>
      <c r="RH5912" s="106"/>
      <c r="RI5912" s="106"/>
      <c r="RJ5912" s="106"/>
      <c r="RK5912" s="106"/>
      <c r="RL5912" s="106"/>
    </row>
    <row r="5913" spans="462:480" x14ac:dyDescent="0.3">
      <c r="QT5913" s="106"/>
      <c r="QU5913" s="106"/>
      <c r="QV5913" s="106"/>
      <c r="QW5913" s="106"/>
      <c r="QX5913" s="106"/>
      <c r="QY5913" s="106"/>
      <c r="QZ5913" s="106"/>
      <c r="RA5913" s="106"/>
      <c r="RB5913" s="106"/>
      <c r="RC5913" s="106"/>
      <c r="RD5913" s="106"/>
      <c r="RE5913" s="106"/>
      <c r="RF5913" s="106"/>
      <c r="RG5913" s="106"/>
      <c r="RH5913" s="106"/>
      <c r="RI5913" s="106"/>
      <c r="RJ5913" s="106"/>
      <c r="RK5913" s="106"/>
      <c r="RL5913" s="106"/>
    </row>
    <row r="5914" spans="462:480" x14ac:dyDescent="0.3">
      <c r="QT5914" s="106"/>
      <c r="QU5914" s="106"/>
      <c r="QV5914" s="106"/>
      <c r="QW5914" s="106"/>
      <c r="QX5914" s="106"/>
      <c r="QY5914" s="106"/>
      <c r="QZ5914" s="106"/>
      <c r="RA5914" s="106"/>
      <c r="RB5914" s="106"/>
      <c r="RC5914" s="106"/>
      <c r="RD5914" s="106"/>
      <c r="RE5914" s="106"/>
      <c r="RF5914" s="106"/>
      <c r="RG5914" s="106"/>
      <c r="RH5914" s="106"/>
      <c r="RI5914" s="106"/>
      <c r="RJ5914" s="106"/>
      <c r="RK5914" s="106"/>
      <c r="RL5914" s="106"/>
    </row>
    <row r="5915" spans="462:480" x14ac:dyDescent="0.3">
      <c r="QT5915" s="106"/>
      <c r="QU5915" s="106"/>
      <c r="QV5915" s="106"/>
      <c r="QW5915" s="106"/>
      <c r="QX5915" s="106"/>
      <c r="QY5915" s="106"/>
      <c r="QZ5915" s="106"/>
      <c r="RA5915" s="106"/>
      <c r="RB5915" s="106"/>
      <c r="RC5915" s="106"/>
      <c r="RD5915" s="106"/>
      <c r="RE5915" s="106"/>
      <c r="RF5915" s="106"/>
      <c r="RG5915" s="106"/>
      <c r="RH5915" s="106"/>
      <c r="RI5915" s="106"/>
      <c r="RJ5915" s="106"/>
      <c r="RK5915" s="106"/>
      <c r="RL5915" s="106"/>
    </row>
    <row r="5916" spans="462:480" x14ac:dyDescent="0.3">
      <c r="QT5916" s="106"/>
      <c r="QU5916" s="106"/>
      <c r="QV5916" s="106"/>
      <c r="QW5916" s="106"/>
      <c r="QX5916" s="106"/>
      <c r="QY5916" s="106"/>
      <c r="QZ5916" s="106"/>
      <c r="RA5916" s="106"/>
      <c r="RB5916" s="106"/>
      <c r="RC5916" s="106"/>
      <c r="RD5916" s="106"/>
      <c r="RE5916" s="106"/>
      <c r="RF5916" s="106"/>
      <c r="RG5916" s="106"/>
      <c r="RH5916" s="106"/>
      <c r="RI5916" s="106"/>
      <c r="RJ5916" s="106"/>
      <c r="RK5916" s="106"/>
      <c r="RL5916" s="106"/>
    </row>
    <row r="5917" spans="462:480" x14ac:dyDescent="0.3">
      <c r="QT5917" s="106"/>
      <c r="QU5917" s="106"/>
      <c r="QV5917" s="106"/>
      <c r="QW5917" s="106"/>
      <c r="QX5917" s="106"/>
      <c r="QY5917" s="106"/>
      <c r="QZ5917" s="106"/>
      <c r="RA5917" s="106"/>
      <c r="RB5917" s="106"/>
      <c r="RC5917" s="106"/>
      <c r="RD5917" s="106"/>
      <c r="RE5917" s="106"/>
      <c r="RF5917" s="106"/>
      <c r="RG5917" s="106"/>
      <c r="RH5917" s="106"/>
      <c r="RI5917" s="106"/>
      <c r="RJ5917" s="106"/>
      <c r="RK5917" s="106"/>
      <c r="RL5917" s="106"/>
    </row>
    <row r="5918" spans="462:480" x14ac:dyDescent="0.3">
      <c r="QT5918" s="106"/>
      <c r="QU5918" s="106"/>
      <c r="QV5918" s="106"/>
      <c r="QW5918" s="106"/>
      <c r="QX5918" s="106"/>
      <c r="QY5918" s="106"/>
      <c r="QZ5918" s="106"/>
      <c r="RA5918" s="106"/>
      <c r="RB5918" s="106"/>
      <c r="RC5918" s="106"/>
      <c r="RD5918" s="106"/>
      <c r="RE5918" s="106"/>
      <c r="RF5918" s="106"/>
      <c r="RG5918" s="106"/>
      <c r="RH5918" s="106"/>
      <c r="RI5918" s="106"/>
      <c r="RJ5918" s="106"/>
      <c r="RK5918" s="106"/>
      <c r="RL5918" s="106"/>
    </row>
    <row r="5919" spans="462:480" x14ac:dyDescent="0.3">
      <c r="QT5919" s="106"/>
      <c r="QU5919" s="106"/>
      <c r="QV5919" s="106"/>
      <c r="QW5919" s="106"/>
      <c r="QX5919" s="106"/>
      <c r="QY5919" s="106"/>
      <c r="QZ5919" s="106"/>
      <c r="RA5919" s="106"/>
      <c r="RB5919" s="106"/>
      <c r="RC5919" s="106"/>
      <c r="RD5919" s="106"/>
      <c r="RE5919" s="106"/>
      <c r="RF5919" s="106"/>
      <c r="RG5919" s="106"/>
      <c r="RH5919" s="106"/>
      <c r="RI5919" s="106"/>
      <c r="RJ5919" s="106"/>
      <c r="RK5919" s="106"/>
      <c r="RL5919" s="106"/>
    </row>
    <row r="5920" spans="462:480" x14ac:dyDescent="0.3">
      <c r="QT5920" s="106"/>
      <c r="QU5920" s="106"/>
      <c r="QV5920" s="106"/>
      <c r="QW5920" s="106"/>
      <c r="QX5920" s="106"/>
      <c r="QY5920" s="106"/>
      <c r="QZ5920" s="106"/>
      <c r="RA5920" s="106"/>
      <c r="RB5920" s="106"/>
      <c r="RC5920" s="106"/>
      <c r="RD5920" s="106"/>
      <c r="RE5920" s="106"/>
      <c r="RF5920" s="106"/>
      <c r="RG5920" s="106"/>
      <c r="RH5920" s="106"/>
      <c r="RI5920" s="106"/>
      <c r="RJ5920" s="106"/>
      <c r="RK5920" s="106"/>
      <c r="RL5920" s="106"/>
    </row>
    <row r="5921" spans="462:480" x14ac:dyDescent="0.3">
      <c r="QT5921" s="106"/>
      <c r="QU5921" s="106"/>
      <c r="QV5921" s="106"/>
      <c r="QW5921" s="106"/>
      <c r="QX5921" s="106"/>
      <c r="QY5921" s="106"/>
      <c r="QZ5921" s="106"/>
      <c r="RA5921" s="106"/>
      <c r="RB5921" s="106"/>
      <c r="RC5921" s="106"/>
      <c r="RD5921" s="106"/>
      <c r="RE5921" s="106"/>
      <c r="RF5921" s="106"/>
      <c r="RG5921" s="106"/>
      <c r="RH5921" s="106"/>
      <c r="RI5921" s="106"/>
      <c r="RJ5921" s="106"/>
      <c r="RK5921" s="106"/>
      <c r="RL5921" s="106"/>
    </row>
    <row r="5922" spans="462:480" x14ac:dyDescent="0.3">
      <c r="QT5922" s="106"/>
      <c r="QU5922" s="106"/>
      <c r="QV5922" s="106"/>
      <c r="QW5922" s="106"/>
      <c r="QX5922" s="106"/>
      <c r="QY5922" s="106"/>
      <c r="QZ5922" s="106"/>
      <c r="RA5922" s="106"/>
      <c r="RB5922" s="106"/>
      <c r="RC5922" s="106"/>
      <c r="RD5922" s="106"/>
      <c r="RE5922" s="106"/>
      <c r="RF5922" s="106"/>
      <c r="RG5922" s="106"/>
      <c r="RH5922" s="106"/>
      <c r="RI5922" s="106"/>
      <c r="RJ5922" s="106"/>
      <c r="RK5922" s="106"/>
      <c r="RL5922" s="106"/>
    </row>
    <row r="5923" spans="462:480" x14ac:dyDescent="0.3">
      <c r="QT5923" s="106"/>
      <c r="QU5923" s="106"/>
      <c r="QV5923" s="106"/>
      <c r="QW5923" s="106"/>
      <c r="QX5923" s="106"/>
      <c r="QY5923" s="106"/>
      <c r="QZ5923" s="106"/>
      <c r="RA5923" s="106"/>
      <c r="RB5923" s="106"/>
      <c r="RC5923" s="106"/>
      <c r="RD5923" s="106"/>
      <c r="RE5923" s="106"/>
      <c r="RF5923" s="106"/>
      <c r="RG5923" s="106"/>
      <c r="RH5923" s="106"/>
      <c r="RI5923" s="106"/>
      <c r="RJ5923" s="106"/>
      <c r="RK5923" s="106"/>
      <c r="RL5923" s="106"/>
    </row>
    <row r="5924" spans="462:480" x14ac:dyDescent="0.3">
      <c r="QT5924" s="106"/>
      <c r="QU5924" s="106"/>
      <c r="QV5924" s="106"/>
      <c r="QW5924" s="106"/>
      <c r="QX5924" s="106"/>
      <c r="QY5924" s="106"/>
      <c r="QZ5924" s="106"/>
      <c r="RA5924" s="106"/>
      <c r="RB5924" s="106"/>
      <c r="RC5924" s="106"/>
      <c r="RD5924" s="106"/>
      <c r="RE5924" s="106"/>
      <c r="RF5924" s="106"/>
      <c r="RG5924" s="106"/>
      <c r="RH5924" s="106"/>
      <c r="RI5924" s="106"/>
      <c r="RJ5924" s="106"/>
      <c r="RK5924" s="106"/>
      <c r="RL5924" s="106"/>
    </row>
    <row r="5925" spans="462:480" x14ac:dyDescent="0.3">
      <c r="QT5925" s="106"/>
      <c r="QU5925" s="106"/>
      <c r="QV5925" s="106"/>
      <c r="QW5925" s="106"/>
      <c r="QX5925" s="106"/>
      <c r="QY5925" s="106"/>
      <c r="QZ5925" s="106"/>
      <c r="RA5925" s="106"/>
      <c r="RB5925" s="106"/>
      <c r="RC5925" s="106"/>
      <c r="RD5925" s="106"/>
      <c r="RE5925" s="106"/>
      <c r="RF5925" s="106"/>
      <c r="RG5925" s="106"/>
      <c r="RH5925" s="106"/>
      <c r="RI5925" s="106"/>
      <c r="RJ5925" s="106"/>
      <c r="RK5925" s="106"/>
      <c r="RL5925" s="106"/>
    </row>
    <row r="5926" spans="462:480" x14ac:dyDescent="0.3">
      <c r="QT5926" s="106"/>
      <c r="QU5926" s="106"/>
      <c r="QV5926" s="106"/>
      <c r="QW5926" s="106"/>
      <c r="QX5926" s="106"/>
      <c r="QY5926" s="106"/>
      <c r="QZ5926" s="106"/>
      <c r="RA5926" s="106"/>
      <c r="RB5926" s="106"/>
      <c r="RC5926" s="106"/>
      <c r="RD5926" s="106"/>
      <c r="RE5926" s="106"/>
      <c r="RF5926" s="106"/>
      <c r="RG5926" s="106"/>
      <c r="RH5926" s="106"/>
      <c r="RI5926" s="106"/>
      <c r="RJ5926" s="106"/>
      <c r="RK5926" s="106"/>
      <c r="RL5926" s="106"/>
    </row>
    <row r="5927" spans="462:480" x14ac:dyDescent="0.3">
      <c r="QT5927" s="106"/>
      <c r="QU5927" s="106"/>
      <c r="QV5927" s="106"/>
      <c r="QW5927" s="106"/>
      <c r="QX5927" s="106"/>
      <c r="QY5927" s="106"/>
      <c r="QZ5927" s="106"/>
      <c r="RA5927" s="106"/>
      <c r="RB5927" s="106"/>
      <c r="RC5927" s="106"/>
      <c r="RD5927" s="106"/>
      <c r="RE5927" s="106"/>
      <c r="RF5927" s="106"/>
      <c r="RG5927" s="106"/>
      <c r="RH5927" s="106"/>
      <c r="RI5927" s="106"/>
      <c r="RJ5927" s="106"/>
      <c r="RK5927" s="106"/>
      <c r="RL5927" s="106"/>
    </row>
    <row r="5928" spans="462:480" x14ac:dyDescent="0.3">
      <c r="QT5928" s="106"/>
      <c r="QU5928" s="106"/>
      <c r="QV5928" s="106"/>
      <c r="QW5928" s="106"/>
      <c r="QX5928" s="106"/>
      <c r="QY5928" s="106"/>
      <c r="QZ5928" s="106"/>
      <c r="RA5928" s="106"/>
      <c r="RB5928" s="106"/>
      <c r="RC5928" s="106"/>
      <c r="RD5928" s="106"/>
      <c r="RE5928" s="106"/>
      <c r="RF5928" s="106"/>
      <c r="RG5928" s="106"/>
      <c r="RH5928" s="106"/>
      <c r="RI5928" s="106"/>
      <c r="RJ5928" s="106"/>
      <c r="RK5928" s="106"/>
      <c r="RL5928" s="106"/>
    </row>
    <row r="5929" spans="462:480" x14ac:dyDescent="0.3">
      <c r="QT5929" s="106"/>
      <c r="QU5929" s="106"/>
      <c r="QV5929" s="106"/>
      <c r="QW5929" s="106"/>
      <c r="QX5929" s="106"/>
      <c r="QY5929" s="106"/>
      <c r="QZ5929" s="106"/>
      <c r="RA5929" s="106"/>
      <c r="RB5929" s="106"/>
      <c r="RC5929" s="106"/>
      <c r="RD5929" s="106"/>
      <c r="RE5929" s="106"/>
      <c r="RF5929" s="106"/>
      <c r="RG5929" s="106"/>
      <c r="RH5929" s="106"/>
      <c r="RI5929" s="106"/>
      <c r="RJ5929" s="106"/>
      <c r="RK5929" s="106"/>
      <c r="RL5929" s="106"/>
    </row>
    <row r="5930" spans="462:480" x14ac:dyDescent="0.3">
      <c r="QT5930" s="106"/>
      <c r="QU5930" s="106"/>
      <c r="QV5930" s="106"/>
      <c r="QW5930" s="106"/>
      <c r="QX5930" s="106"/>
      <c r="QY5930" s="106"/>
      <c r="QZ5930" s="106"/>
      <c r="RA5930" s="106"/>
      <c r="RB5930" s="106"/>
      <c r="RC5930" s="106"/>
      <c r="RD5930" s="106"/>
      <c r="RE5930" s="106"/>
      <c r="RF5930" s="106"/>
      <c r="RG5930" s="106"/>
      <c r="RH5930" s="106"/>
      <c r="RI5930" s="106"/>
      <c r="RJ5930" s="106"/>
      <c r="RK5930" s="106"/>
      <c r="RL5930" s="106"/>
    </row>
    <row r="5931" spans="462:480" x14ac:dyDescent="0.3">
      <c r="QT5931" s="106"/>
      <c r="QU5931" s="106"/>
      <c r="QV5931" s="106"/>
      <c r="QW5931" s="106"/>
      <c r="QX5931" s="106"/>
      <c r="QY5931" s="106"/>
      <c r="QZ5931" s="106"/>
      <c r="RA5931" s="106"/>
      <c r="RB5931" s="106"/>
      <c r="RC5931" s="106"/>
      <c r="RD5931" s="106"/>
      <c r="RE5931" s="106"/>
      <c r="RF5931" s="106"/>
      <c r="RG5931" s="106"/>
      <c r="RH5931" s="106"/>
      <c r="RI5931" s="106"/>
      <c r="RJ5931" s="106"/>
      <c r="RK5931" s="106"/>
      <c r="RL5931" s="106"/>
    </row>
    <row r="5932" spans="462:480" x14ac:dyDescent="0.3">
      <c r="QT5932" s="106"/>
      <c r="QU5932" s="106"/>
      <c r="QV5932" s="106"/>
      <c r="QW5932" s="106"/>
      <c r="QX5932" s="106"/>
      <c r="QY5932" s="106"/>
      <c r="QZ5932" s="106"/>
      <c r="RA5932" s="106"/>
      <c r="RB5932" s="106"/>
      <c r="RC5932" s="106"/>
      <c r="RD5932" s="106"/>
      <c r="RE5932" s="106"/>
      <c r="RF5932" s="106"/>
      <c r="RG5932" s="106"/>
      <c r="RH5932" s="106"/>
      <c r="RI5932" s="106"/>
      <c r="RJ5932" s="106"/>
      <c r="RK5932" s="106"/>
      <c r="RL5932" s="106"/>
    </row>
    <row r="5933" spans="462:480" x14ac:dyDescent="0.3">
      <c r="QT5933" s="106"/>
      <c r="QU5933" s="106"/>
      <c r="QV5933" s="106"/>
      <c r="QW5933" s="106"/>
      <c r="QX5933" s="106"/>
      <c r="QY5933" s="106"/>
      <c r="QZ5933" s="106"/>
      <c r="RA5933" s="106"/>
      <c r="RB5933" s="106"/>
      <c r="RC5933" s="106"/>
      <c r="RD5933" s="106"/>
      <c r="RE5933" s="106"/>
      <c r="RF5933" s="106"/>
      <c r="RG5933" s="106"/>
      <c r="RH5933" s="106"/>
      <c r="RI5933" s="106"/>
      <c r="RJ5933" s="106"/>
      <c r="RK5933" s="106"/>
      <c r="RL5933" s="106"/>
    </row>
    <row r="5934" spans="462:480" x14ac:dyDescent="0.3">
      <c r="QT5934" s="106"/>
      <c r="QU5934" s="106"/>
      <c r="QV5934" s="106"/>
      <c r="QW5934" s="106"/>
      <c r="QX5934" s="106"/>
      <c r="QY5934" s="106"/>
      <c r="QZ5934" s="106"/>
      <c r="RA5934" s="106"/>
      <c r="RB5934" s="106"/>
      <c r="RC5934" s="106"/>
      <c r="RD5934" s="106"/>
      <c r="RE5934" s="106"/>
      <c r="RF5934" s="106"/>
      <c r="RG5934" s="106"/>
      <c r="RH5934" s="106"/>
      <c r="RI5934" s="106"/>
      <c r="RJ5934" s="106"/>
      <c r="RK5934" s="106"/>
      <c r="RL5934" s="106"/>
    </row>
    <row r="5935" spans="462:480" x14ac:dyDescent="0.3">
      <c r="QT5935" s="106"/>
      <c r="QU5935" s="106"/>
      <c r="QV5935" s="106"/>
      <c r="QW5935" s="106"/>
      <c r="QX5935" s="106"/>
      <c r="QY5935" s="106"/>
      <c r="QZ5935" s="106"/>
      <c r="RA5935" s="106"/>
      <c r="RB5935" s="106"/>
      <c r="RC5935" s="106"/>
      <c r="RD5935" s="106"/>
      <c r="RE5935" s="106"/>
      <c r="RF5935" s="106"/>
      <c r="RG5935" s="106"/>
      <c r="RH5935" s="106"/>
      <c r="RI5935" s="106"/>
      <c r="RJ5935" s="106"/>
      <c r="RK5935" s="106"/>
      <c r="RL5935" s="106"/>
    </row>
    <row r="5936" spans="462:480" x14ac:dyDescent="0.3">
      <c r="QT5936" s="106"/>
      <c r="QU5936" s="106"/>
      <c r="QV5936" s="106"/>
      <c r="QW5936" s="106"/>
      <c r="QX5936" s="106"/>
      <c r="QY5936" s="106"/>
      <c r="QZ5936" s="106"/>
      <c r="RA5936" s="106"/>
      <c r="RB5936" s="106"/>
      <c r="RC5936" s="106"/>
      <c r="RD5936" s="106"/>
      <c r="RE5936" s="106"/>
      <c r="RF5936" s="106"/>
      <c r="RG5936" s="106"/>
      <c r="RH5936" s="106"/>
      <c r="RI5936" s="106"/>
      <c r="RJ5936" s="106"/>
      <c r="RK5936" s="106"/>
      <c r="RL5936" s="106"/>
    </row>
    <row r="5937" spans="462:480" x14ac:dyDescent="0.3">
      <c r="QT5937" s="106"/>
      <c r="QU5937" s="106"/>
      <c r="QV5937" s="106"/>
      <c r="QW5937" s="106"/>
      <c r="QX5937" s="106"/>
      <c r="QY5937" s="106"/>
      <c r="QZ5937" s="106"/>
      <c r="RA5937" s="106"/>
      <c r="RB5937" s="106"/>
      <c r="RC5937" s="106"/>
      <c r="RD5937" s="106"/>
      <c r="RE5937" s="106"/>
      <c r="RF5937" s="106"/>
      <c r="RG5937" s="106"/>
      <c r="RH5937" s="106"/>
      <c r="RI5937" s="106"/>
      <c r="RJ5937" s="106"/>
      <c r="RK5937" s="106"/>
      <c r="RL5937" s="106"/>
    </row>
    <row r="5938" spans="462:480" x14ac:dyDescent="0.3">
      <c r="QT5938" s="106"/>
      <c r="QU5938" s="106"/>
      <c r="QV5938" s="106"/>
      <c r="QW5938" s="106"/>
      <c r="QX5938" s="106"/>
      <c r="QY5938" s="106"/>
      <c r="QZ5938" s="106"/>
      <c r="RA5938" s="106"/>
      <c r="RB5938" s="106"/>
      <c r="RC5938" s="106"/>
      <c r="RD5938" s="106"/>
      <c r="RE5938" s="106"/>
      <c r="RF5938" s="106"/>
      <c r="RG5938" s="106"/>
      <c r="RH5938" s="106"/>
      <c r="RI5938" s="106"/>
      <c r="RJ5938" s="106"/>
      <c r="RK5938" s="106"/>
      <c r="RL5938" s="106"/>
    </row>
    <row r="5939" spans="462:480" x14ac:dyDescent="0.3">
      <c r="QT5939" s="106"/>
      <c r="QU5939" s="106"/>
      <c r="QV5939" s="106"/>
      <c r="QW5939" s="106"/>
      <c r="QX5939" s="106"/>
      <c r="QY5939" s="106"/>
      <c r="QZ5939" s="106"/>
      <c r="RA5939" s="106"/>
      <c r="RB5939" s="106"/>
      <c r="RC5939" s="106"/>
      <c r="RD5939" s="106"/>
      <c r="RE5939" s="106"/>
      <c r="RF5939" s="106"/>
      <c r="RG5939" s="106"/>
      <c r="RH5939" s="106"/>
      <c r="RI5939" s="106"/>
      <c r="RJ5939" s="106"/>
      <c r="RK5939" s="106"/>
      <c r="RL5939" s="106"/>
    </row>
    <row r="5940" spans="462:480" x14ac:dyDescent="0.3">
      <c r="QT5940" s="106"/>
      <c r="QU5940" s="106"/>
      <c r="QV5940" s="106"/>
      <c r="QW5940" s="106"/>
      <c r="QX5940" s="106"/>
      <c r="QY5940" s="106"/>
      <c r="QZ5940" s="106"/>
      <c r="RA5940" s="106"/>
      <c r="RB5940" s="106"/>
      <c r="RC5940" s="106"/>
      <c r="RD5940" s="106"/>
      <c r="RE5940" s="106"/>
      <c r="RF5940" s="106"/>
      <c r="RG5940" s="106"/>
      <c r="RH5940" s="106"/>
      <c r="RI5940" s="106"/>
      <c r="RJ5940" s="106"/>
      <c r="RK5940" s="106"/>
      <c r="RL5940" s="106"/>
    </row>
    <row r="5941" spans="462:480" x14ac:dyDescent="0.3">
      <c r="QT5941" s="106"/>
      <c r="QU5941" s="106"/>
      <c r="QV5941" s="106"/>
      <c r="QW5941" s="106"/>
      <c r="QX5941" s="106"/>
      <c r="QY5941" s="106"/>
      <c r="QZ5941" s="106"/>
      <c r="RA5941" s="106"/>
      <c r="RB5941" s="106"/>
      <c r="RC5941" s="106"/>
      <c r="RD5941" s="106"/>
      <c r="RE5941" s="106"/>
      <c r="RF5941" s="106"/>
      <c r="RG5941" s="106"/>
      <c r="RH5941" s="106"/>
      <c r="RI5941" s="106"/>
      <c r="RJ5941" s="106"/>
      <c r="RK5941" s="106"/>
      <c r="RL5941" s="106"/>
    </row>
    <row r="5942" spans="462:480" x14ac:dyDescent="0.3">
      <c r="QT5942" s="106"/>
      <c r="QU5942" s="106"/>
      <c r="QV5942" s="106"/>
      <c r="QW5942" s="106"/>
      <c r="QX5942" s="106"/>
      <c r="QY5942" s="106"/>
      <c r="QZ5942" s="106"/>
      <c r="RA5942" s="106"/>
      <c r="RB5942" s="106"/>
      <c r="RC5942" s="106"/>
      <c r="RD5942" s="106"/>
      <c r="RE5942" s="106"/>
      <c r="RF5942" s="106"/>
      <c r="RG5942" s="106"/>
      <c r="RH5942" s="106"/>
      <c r="RI5942" s="106"/>
      <c r="RJ5942" s="106"/>
      <c r="RK5942" s="106"/>
      <c r="RL5942" s="106"/>
    </row>
    <row r="5943" spans="462:480" x14ac:dyDescent="0.3">
      <c r="QT5943" s="106"/>
      <c r="QU5943" s="106"/>
      <c r="QV5943" s="106"/>
      <c r="QW5943" s="106"/>
      <c r="QX5943" s="106"/>
      <c r="QY5943" s="106"/>
      <c r="QZ5943" s="106"/>
      <c r="RA5943" s="106"/>
      <c r="RB5943" s="106"/>
      <c r="RC5943" s="106"/>
      <c r="RD5943" s="106"/>
      <c r="RE5943" s="106"/>
      <c r="RF5943" s="106"/>
      <c r="RG5943" s="106"/>
      <c r="RH5943" s="106"/>
      <c r="RI5943" s="106"/>
      <c r="RJ5943" s="106"/>
      <c r="RK5943" s="106"/>
      <c r="RL5943" s="106"/>
    </row>
    <row r="5944" spans="462:480" x14ac:dyDescent="0.3">
      <c r="QT5944" s="106"/>
      <c r="QU5944" s="106"/>
      <c r="QV5944" s="106"/>
      <c r="QW5944" s="106"/>
      <c r="QX5944" s="106"/>
      <c r="QY5944" s="106"/>
      <c r="QZ5944" s="106"/>
      <c r="RA5944" s="106"/>
      <c r="RB5944" s="106"/>
      <c r="RC5944" s="106"/>
      <c r="RD5944" s="106"/>
      <c r="RE5944" s="106"/>
      <c r="RF5944" s="106"/>
      <c r="RG5944" s="106"/>
      <c r="RH5944" s="106"/>
      <c r="RI5944" s="106"/>
      <c r="RJ5944" s="106"/>
      <c r="RK5944" s="106"/>
      <c r="RL5944" s="106"/>
    </row>
    <row r="5945" spans="462:480" x14ac:dyDescent="0.3">
      <c r="QT5945" s="106"/>
      <c r="QU5945" s="106"/>
      <c r="QV5945" s="106"/>
      <c r="QW5945" s="106"/>
      <c r="QX5945" s="106"/>
      <c r="QY5945" s="106"/>
      <c r="QZ5945" s="106"/>
      <c r="RA5945" s="106"/>
      <c r="RB5945" s="106"/>
      <c r="RC5945" s="106"/>
      <c r="RD5945" s="106"/>
      <c r="RE5945" s="106"/>
      <c r="RF5945" s="106"/>
      <c r="RG5945" s="106"/>
      <c r="RH5945" s="106"/>
      <c r="RI5945" s="106"/>
      <c r="RJ5945" s="106"/>
      <c r="RK5945" s="106"/>
      <c r="RL5945" s="106"/>
    </row>
    <row r="5946" spans="462:480" x14ac:dyDescent="0.3">
      <c r="QT5946" s="106"/>
      <c r="QU5946" s="106"/>
      <c r="QV5946" s="106"/>
      <c r="QW5946" s="106"/>
      <c r="QX5946" s="106"/>
      <c r="QY5946" s="106"/>
      <c r="QZ5946" s="106"/>
      <c r="RA5946" s="106"/>
      <c r="RB5946" s="106"/>
      <c r="RC5946" s="106"/>
      <c r="RD5946" s="106"/>
      <c r="RE5946" s="106"/>
      <c r="RF5946" s="106"/>
      <c r="RG5946" s="106"/>
      <c r="RH5946" s="106"/>
      <c r="RI5946" s="106"/>
      <c r="RJ5946" s="106"/>
      <c r="RK5946" s="106"/>
      <c r="RL5946" s="106"/>
    </row>
    <row r="5947" spans="462:480" x14ac:dyDescent="0.3">
      <c r="QT5947" s="106"/>
      <c r="QU5947" s="106"/>
      <c r="QV5947" s="106"/>
      <c r="QW5947" s="106"/>
      <c r="QX5947" s="106"/>
      <c r="QY5947" s="106"/>
      <c r="QZ5947" s="106"/>
      <c r="RA5947" s="106"/>
      <c r="RB5947" s="106"/>
      <c r="RC5947" s="106"/>
      <c r="RD5947" s="106"/>
      <c r="RE5947" s="106"/>
      <c r="RF5947" s="106"/>
      <c r="RG5947" s="106"/>
      <c r="RH5947" s="106"/>
      <c r="RI5947" s="106"/>
      <c r="RJ5947" s="106"/>
      <c r="RK5947" s="106"/>
      <c r="RL5947" s="106"/>
    </row>
    <row r="5948" spans="462:480" x14ac:dyDescent="0.3">
      <c r="QT5948" s="106"/>
      <c r="QU5948" s="106"/>
      <c r="QV5948" s="106"/>
      <c r="QW5948" s="106"/>
      <c r="QX5948" s="106"/>
      <c r="QY5948" s="106"/>
      <c r="QZ5948" s="106"/>
      <c r="RA5948" s="106"/>
      <c r="RB5948" s="106"/>
      <c r="RC5948" s="106"/>
      <c r="RD5948" s="106"/>
      <c r="RE5948" s="106"/>
      <c r="RF5948" s="106"/>
      <c r="RG5948" s="106"/>
      <c r="RH5948" s="106"/>
      <c r="RI5948" s="106"/>
      <c r="RJ5948" s="106"/>
      <c r="RK5948" s="106"/>
      <c r="RL5948" s="106"/>
    </row>
    <row r="5949" spans="462:480" x14ac:dyDescent="0.3">
      <c r="QT5949" s="106"/>
      <c r="QU5949" s="106"/>
      <c r="QV5949" s="106"/>
      <c r="QW5949" s="106"/>
      <c r="QX5949" s="106"/>
      <c r="QY5949" s="106"/>
      <c r="QZ5949" s="106"/>
      <c r="RA5949" s="106"/>
      <c r="RB5949" s="106"/>
      <c r="RC5949" s="106"/>
      <c r="RD5949" s="106"/>
      <c r="RE5949" s="106"/>
      <c r="RF5949" s="106"/>
      <c r="RG5949" s="106"/>
      <c r="RH5949" s="106"/>
      <c r="RI5949" s="106"/>
      <c r="RJ5949" s="106"/>
      <c r="RK5949" s="106"/>
      <c r="RL5949" s="106"/>
    </row>
    <row r="5950" spans="462:480" x14ac:dyDescent="0.3">
      <c r="QT5950" s="106"/>
      <c r="QU5950" s="106"/>
      <c r="QV5950" s="106"/>
      <c r="QW5950" s="106"/>
      <c r="QX5950" s="106"/>
      <c r="QY5950" s="106"/>
      <c r="QZ5950" s="106"/>
      <c r="RA5950" s="106"/>
      <c r="RB5950" s="106"/>
      <c r="RC5950" s="106"/>
      <c r="RD5950" s="106"/>
      <c r="RE5950" s="106"/>
      <c r="RF5950" s="106"/>
      <c r="RG5950" s="106"/>
      <c r="RH5950" s="106"/>
      <c r="RI5950" s="106"/>
      <c r="RJ5950" s="106"/>
      <c r="RK5950" s="106"/>
      <c r="RL5950" s="106"/>
    </row>
    <row r="5951" spans="462:480" x14ac:dyDescent="0.3">
      <c r="QT5951" s="106"/>
      <c r="QU5951" s="106"/>
      <c r="QV5951" s="106"/>
      <c r="QW5951" s="106"/>
      <c r="QX5951" s="106"/>
      <c r="QY5951" s="106"/>
      <c r="QZ5951" s="106"/>
      <c r="RA5951" s="106"/>
      <c r="RB5951" s="106"/>
      <c r="RC5951" s="106"/>
      <c r="RD5951" s="106"/>
      <c r="RE5951" s="106"/>
      <c r="RF5951" s="106"/>
      <c r="RG5951" s="106"/>
      <c r="RH5951" s="106"/>
      <c r="RI5951" s="106"/>
      <c r="RJ5951" s="106"/>
      <c r="RK5951" s="106"/>
      <c r="RL5951" s="106"/>
    </row>
    <row r="5952" spans="462:480" x14ac:dyDescent="0.3">
      <c r="QT5952" s="106"/>
      <c r="QU5952" s="106"/>
      <c r="QV5952" s="106"/>
      <c r="QW5952" s="106"/>
      <c r="QX5952" s="106"/>
      <c r="QY5952" s="106"/>
      <c r="QZ5952" s="106"/>
      <c r="RA5952" s="106"/>
      <c r="RB5952" s="106"/>
      <c r="RC5952" s="106"/>
      <c r="RD5952" s="106"/>
      <c r="RE5952" s="106"/>
      <c r="RF5952" s="106"/>
      <c r="RG5952" s="106"/>
      <c r="RH5952" s="106"/>
      <c r="RI5952" s="106"/>
      <c r="RJ5952" s="106"/>
      <c r="RK5952" s="106"/>
      <c r="RL5952" s="106"/>
    </row>
    <row r="5953" spans="462:480" x14ac:dyDescent="0.3">
      <c r="QT5953" s="106"/>
      <c r="QU5953" s="106"/>
      <c r="QV5953" s="106"/>
      <c r="QW5953" s="106"/>
      <c r="QX5953" s="106"/>
      <c r="QY5953" s="106"/>
      <c r="QZ5953" s="106"/>
      <c r="RA5953" s="106"/>
      <c r="RB5953" s="106"/>
      <c r="RC5953" s="106"/>
      <c r="RD5953" s="106"/>
      <c r="RE5953" s="106"/>
      <c r="RF5953" s="106"/>
      <c r="RG5953" s="106"/>
      <c r="RH5953" s="106"/>
      <c r="RI5953" s="106"/>
      <c r="RJ5953" s="106"/>
      <c r="RK5953" s="106"/>
      <c r="RL5953" s="106"/>
    </row>
    <row r="5954" spans="462:480" x14ac:dyDescent="0.3">
      <c r="QT5954" s="106"/>
      <c r="QU5954" s="106"/>
      <c r="QV5954" s="106"/>
      <c r="QW5954" s="106"/>
      <c r="QX5954" s="106"/>
      <c r="QY5954" s="106"/>
      <c r="QZ5954" s="106"/>
      <c r="RA5954" s="106"/>
      <c r="RB5954" s="106"/>
      <c r="RC5954" s="106"/>
      <c r="RD5954" s="106"/>
      <c r="RE5954" s="106"/>
      <c r="RF5954" s="106"/>
      <c r="RG5954" s="106"/>
      <c r="RH5954" s="106"/>
      <c r="RI5954" s="106"/>
      <c r="RJ5954" s="106"/>
      <c r="RK5954" s="106"/>
      <c r="RL5954" s="106"/>
    </row>
    <row r="5955" spans="462:480" x14ac:dyDescent="0.3">
      <c r="QT5955" s="106"/>
      <c r="QU5955" s="106"/>
      <c r="QV5955" s="106"/>
      <c r="QW5955" s="106"/>
      <c r="QX5955" s="106"/>
      <c r="QY5955" s="106"/>
      <c r="QZ5955" s="106"/>
      <c r="RA5955" s="106"/>
      <c r="RB5955" s="106"/>
      <c r="RC5955" s="106"/>
      <c r="RD5955" s="106"/>
      <c r="RE5955" s="106"/>
      <c r="RF5955" s="106"/>
      <c r="RG5955" s="106"/>
      <c r="RH5955" s="106"/>
      <c r="RI5955" s="106"/>
      <c r="RJ5955" s="106"/>
      <c r="RK5955" s="106"/>
      <c r="RL5955" s="106"/>
    </row>
    <row r="5956" spans="462:480" x14ac:dyDescent="0.3">
      <c r="QT5956" s="106"/>
      <c r="QU5956" s="106"/>
      <c r="QV5956" s="106"/>
      <c r="QW5956" s="106"/>
      <c r="QX5956" s="106"/>
      <c r="QY5956" s="106"/>
      <c r="QZ5956" s="106"/>
      <c r="RA5956" s="106"/>
      <c r="RB5956" s="106"/>
      <c r="RC5956" s="106"/>
      <c r="RD5956" s="106"/>
      <c r="RE5956" s="106"/>
      <c r="RF5956" s="106"/>
      <c r="RG5956" s="106"/>
      <c r="RH5956" s="106"/>
      <c r="RI5956" s="106"/>
      <c r="RJ5956" s="106"/>
      <c r="RK5956" s="106"/>
      <c r="RL5956" s="106"/>
    </row>
    <row r="5957" spans="462:480" x14ac:dyDescent="0.3">
      <c r="QT5957" s="106"/>
      <c r="QU5957" s="106"/>
      <c r="QV5957" s="106"/>
      <c r="QW5957" s="106"/>
      <c r="QX5957" s="106"/>
      <c r="QY5957" s="106"/>
      <c r="QZ5957" s="106"/>
      <c r="RA5957" s="106"/>
      <c r="RB5957" s="106"/>
      <c r="RC5957" s="106"/>
      <c r="RD5957" s="106"/>
      <c r="RE5957" s="106"/>
      <c r="RF5957" s="106"/>
      <c r="RG5957" s="106"/>
      <c r="RH5957" s="106"/>
      <c r="RI5957" s="106"/>
      <c r="RJ5957" s="106"/>
      <c r="RK5957" s="106"/>
      <c r="RL5957" s="106"/>
    </row>
    <row r="5958" spans="462:480" x14ac:dyDescent="0.3">
      <c r="QT5958" s="106"/>
      <c r="QU5958" s="106"/>
      <c r="QV5958" s="106"/>
      <c r="QW5958" s="106"/>
      <c r="QX5958" s="106"/>
      <c r="QY5958" s="106"/>
      <c r="QZ5958" s="106"/>
      <c r="RA5958" s="106"/>
      <c r="RB5958" s="106"/>
      <c r="RC5958" s="106"/>
      <c r="RD5958" s="106"/>
      <c r="RE5958" s="106"/>
      <c r="RF5958" s="106"/>
      <c r="RG5958" s="106"/>
      <c r="RH5958" s="106"/>
      <c r="RI5958" s="106"/>
      <c r="RJ5958" s="106"/>
      <c r="RK5958" s="106"/>
      <c r="RL5958" s="106"/>
    </row>
    <row r="5959" spans="462:480" x14ac:dyDescent="0.3">
      <c r="QT5959" s="106"/>
      <c r="QU5959" s="106"/>
      <c r="QV5959" s="106"/>
      <c r="QW5959" s="106"/>
      <c r="QX5959" s="106"/>
      <c r="QY5959" s="106"/>
      <c r="QZ5959" s="106"/>
      <c r="RA5959" s="106"/>
      <c r="RB5959" s="106"/>
      <c r="RC5959" s="106"/>
      <c r="RD5959" s="106"/>
      <c r="RE5959" s="106"/>
      <c r="RF5959" s="106"/>
      <c r="RG5959" s="106"/>
      <c r="RH5959" s="106"/>
      <c r="RI5959" s="106"/>
      <c r="RJ5959" s="106"/>
      <c r="RK5959" s="106"/>
      <c r="RL5959" s="106"/>
    </row>
    <row r="5960" spans="462:480" x14ac:dyDescent="0.3">
      <c r="QT5960" s="106"/>
      <c r="QU5960" s="106"/>
      <c r="QV5960" s="106"/>
      <c r="QW5960" s="106"/>
      <c r="QX5960" s="106"/>
      <c r="QY5960" s="106"/>
      <c r="QZ5960" s="106"/>
      <c r="RA5960" s="106"/>
      <c r="RB5960" s="106"/>
      <c r="RC5960" s="106"/>
      <c r="RD5960" s="106"/>
      <c r="RE5960" s="106"/>
      <c r="RF5960" s="106"/>
      <c r="RG5960" s="106"/>
      <c r="RH5960" s="106"/>
      <c r="RI5960" s="106"/>
      <c r="RJ5960" s="106"/>
      <c r="RK5960" s="106"/>
      <c r="RL5960" s="106"/>
    </row>
    <row r="5961" spans="462:480" x14ac:dyDescent="0.3">
      <c r="QT5961" s="106"/>
      <c r="QU5961" s="106"/>
      <c r="QV5961" s="106"/>
      <c r="QW5961" s="106"/>
      <c r="QX5961" s="106"/>
      <c r="QY5961" s="106"/>
      <c r="QZ5961" s="106"/>
      <c r="RA5961" s="106"/>
      <c r="RB5961" s="106"/>
      <c r="RC5961" s="106"/>
      <c r="RD5961" s="106"/>
      <c r="RE5961" s="106"/>
      <c r="RF5961" s="106"/>
      <c r="RG5961" s="106"/>
      <c r="RH5961" s="106"/>
      <c r="RI5961" s="106"/>
      <c r="RJ5961" s="106"/>
      <c r="RK5961" s="106"/>
      <c r="RL5961" s="106"/>
    </row>
    <row r="5962" spans="462:480" x14ac:dyDescent="0.3">
      <c r="QT5962" s="106"/>
      <c r="QU5962" s="106"/>
      <c r="QV5962" s="106"/>
      <c r="QW5962" s="106"/>
      <c r="QX5962" s="106"/>
      <c r="QY5962" s="106"/>
      <c r="QZ5962" s="106"/>
      <c r="RA5962" s="106"/>
      <c r="RB5962" s="106"/>
      <c r="RC5962" s="106"/>
      <c r="RD5962" s="106"/>
      <c r="RE5962" s="106"/>
      <c r="RF5962" s="106"/>
      <c r="RG5962" s="106"/>
      <c r="RH5962" s="106"/>
      <c r="RI5962" s="106"/>
      <c r="RJ5962" s="106"/>
      <c r="RK5962" s="106"/>
      <c r="RL5962" s="106"/>
    </row>
    <row r="5963" spans="462:480" x14ac:dyDescent="0.3">
      <c r="QT5963" s="106"/>
      <c r="QU5963" s="106"/>
      <c r="QV5963" s="106"/>
      <c r="QW5963" s="106"/>
      <c r="QX5963" s="106"/>
      <c r="QY5963" s="106"/>
      <c r="QZ5963" s="106"/>
      <c r="RA5963" s="106"/>
      <c r="RB5963" s="106"/>
      <c r="RC5963" s="106"/>
      <c r="RD5963" s="106"/>
      <c r="RE5963" s="106"/>
      <c r="RF5963" s="106"/>
      <c r="RG5963" s="106"/>
      <c r="RH5963" s="106"/>
      <c r="RI5963" s="106"/>
      <c r="RJ5963" s="106"/>
      <c r="RK5963" s="106"/>
      <c r="RL5963" s="106"/>
    </row>
    <row r="5964" spans="462:480" x14ac:dyDescent="0.3">
      <c r="QT5964" s="106"/>
      <c r="QU5964" s="106"/>
      <c r="QV5964" s="106"/>
      <c r="QW5964" s="106"/>
      <c r="QX5964" s="106"/>
      <c r="QY5964" s="106"/>
      <c r="QZ5964" s="106"/>
      <c r="RA5964" s="106"/>
      <c r="RB5964" s="106"/>
      <c r="RC5964" s="106"/>
      <c r="RD5964" s="106"/>
      <c r="RE5964" s="106"/>
      <c r="RF5964" s="106"/>
      <c r="RG5964" s="106"/>
      <c r="RH5964" s="106"/>
      <c r="RI5964" s="106"/>
      <c r="RJ5964" s="106"/>
      <c r="RK5964" s="106"/>
      <c r="RL5964" s="106"/>
    </row>
    <row r="5965" spans="462:480" x14ac:dyDescent="0.3">
      <c r="QT5965" s="106"/>
      <c r="QU5965" s="106"/>
      <c r="QV5965" s="106"/>
      <c r="QW5965" s="106"/>
      <c r="QX5965" s="106"/>
      <c r="QY5965" s="106"/>
      <c r="QZ5965" s="106"/>
      <c r="RA5965" s="106"/>
      <c r="RB5965" s="106"/>
      <c r="RC5965" s="106"/>
      <c r="RD5965" s="106"/>
      <c r="RE5965" s="106"/>
      <c r="RF5965" s="106"/>
      <c r="RG5965" s="106"/>
      <c r="RH5965" s="106"/>
      <c r="RI5965" s="106"/>
      <c r="RJ5965" s="106"/>
      <c r="RK5965" s="106"/>
      <c r="RL5965" s="106"/>
    </row>
    <row r="5966" spans="462:480" x14ac:dyDescent="0.3">
      <c r="QT5966" s="106"/>
      <c r="QU5966" s="106"/>
      <c r="QV5966" s="106"/>
      <c r="QW5966" s="106"/>
      <c r="QX5966" s="106"/>
      <c r="QY5966" s="106"/>
      <c r="QZ5966" s="106"/>
      <c r="RA5966" s="106"/>
      <c r="RB5966" s="106"/>
      <c r="RC5966" s="106"/>
      <c r="RD5966" s="106"/>
      <c r="RE5966" s="106"/>
      <c r="RF5966" s="106"/>
      <c r="RG5966" s="106"/>
      <c r="RH5966" s="106"/>
      <c r="RI5966" s="106"/>
      <c r="RJ5966" s="106"/>
      <c r="RK5966" s="106"/>
      <c r="RL5966" s="106"/>
    </row>
    <row r="5967" spans="462:480" x14ac:dyDescent="0.3">
      <c r="QT5967" s="106"/>
      <c r="QU5967" s="106"/>
      <c r="QV5967" s="106"/>
      <c r="QW5967" s="106"/>
      <c r="QX5967" s="106"/>
      <c r="QY5967" s="106"/>
      <c r="QZ5967" s="106"/>
      <c r="RA5967" s="106"/>
      <c r="RB5967" s="106"/>
      <c r="RC5967" s="106"/>
      <c r="RD5967" s="106"/>
      <c r="RE5967" s="106"/>
      <c r="RF5967" s="106"/>
      <c r="RG5967" s="106"/>
      <c r="RH5967" s="106"/>
      <c r="RI5967" s="106"/>
      <c r="RJ5967" s="106"/>
      <c r="RK5967" s="106"/>
      <c r="RL5967" s="106"/>
    </row>
    <row r="5968" spans="462:480" x14ac:dyDescent="0.3">
      <c r="QT5968" s="106"/>
      <c r="QU5968" s="106"/>
      <c r="QV5968" s="106"/>
      <c r="QW5968" s="106"/>
      <c r="QX5968" s="106"/>
      <c r="QY5968" s="106"/>
      <c r="QZ5968" s="106"/>
      <c r="RA5968" s="106"/>
      <c r="RB5968" s="106"/>
      <c r="RC5968" s="106"/>
      <c r="RD5968" s="106"/>
      <c r="RE5968" s="106"/>
      <c r="RF5968" s="106"/>
      <c r="RG5968" s="106"/>
      <c r="RH5968" s="106"/>
      <c r="RI5968" s="106"/>
      <c r="RJ5968" s="106"/>
      <c r="RK5968" s="106"/>
      <c r="RL5968" s="106"/>
    </row>
    <row r="5969" spans="462:480" x14ac:dyDescent="0.3">
      <c r="QT5969" s="106"/>
      <c r="QU5969" s="106"/>
      <c r="QV5969" s="106"/>
      <c r="QW5969" s="106"/>
      <c r="QX5969" s="106"/>
      <c r="QY5969" s="106"/>
      <c r="QZ5969" s="106"/>
      <c r="RA5969" s="106"/>
      <c r="RB5969" s="106"/>
      <c r="RC5969" s="106"/>
      <c r="RD5969" s="106"/>
      <c r="RE5969" s="106"/>
      <c r="RF5969" s="106"/>
      <c r="RG5969" s="106"/>
      <c r="RH5969" s="106"/>
      <c r="RI5969" s="106"/>
      <c r="RJ5969" s="106"/>
      <c r="RK5969" s="106"/>
      <c r="RL5969" s="106"/>
    </row>
    <row r="5970" spans="462:480" x14ac:dyDescent="0.3">
      <c r="QT5970" s="106"/>
      <c r="QU5970" s="106"/>
      <c r="QV5970" s="106"/>
      <c r="QW5970" s="106"/>
      <c r="QX5970" s="106"/>
      <c r="QY5970" s="106"/>
      <c r="QZ5970" s="106"/>
      <c r="RA5970" s="106"/>
      <c r="RB5970" s="106"/>
      <c r="RC5970" s="106"/>
      <c r="RD5970" s="106"/>
      <c r="RE5970" s="106"/>
      <c r="RF5970" s="106"/>
      <c r="RG5970" s="106"/>
      <c r="RH5970" s="106"/>
      <c r="RI5970" s="106"/>
      <c r="RJ5970" s="106"/>
      <c r="RK5970" s="106"/>
      <c r="RL5970" s="106"/>
    </row>
    <row r="5971" spans="462:480" x14ac:dyDescent="0.3">
      <c r="QT5971" s="106"/>
      <c r="QU5971" s="106"/>
      <c r="QV5971" s="106"/>
      <c r="QW5971" s="106"/>
      <c r="QX5971" s="106"/>
      <c r="QY5971" s="106"/>
      <c r="QZ5971" s="106"/>
      <c r="RA5971" s="106"/>
      <c r="RB5971" s="106"/>
      <c r="RC5971" s="106"/>
      <c r="RD5971" s="106"/>
      <c r="RE5971" s="106"/>
      <c r="RF5971" s="106"/>
      <c r="RG5971" s="106"/>
      <c r="RH5971" s="106"/>
      <c r="RI5971" s="106"/>
      <c r="RJ5971" s="106"/>
      <c r="RK5971" s="106"/>
      <c r="RL5971" s="106"/>
    </row>
    <row r="5972" spans="462:480" x14ac:dyDescent="0.3">
      <c r="QT5972" s="106"/>
      <c r="QU5972" s="106"/>
      <c r="QV5972" s="106"/>
      <c r="QW5972" s="106"/>
      <c r="QX5972" s="106"/>
      <c r="QY5972" s="106"/>
      <c r="QZ5972" s="106"/>
      <c r="RA5972" s="106"/>
      <c r="RB5972" s="106"/>
      <c r="RC5972" s="106"/>
      <c r="RD5972" s="106"/>
      <c r="RE5972" s="106"/>
      <c r="RF5972" s="106"/>
      <c r="RG5972" s="106"/>
      <c r="RH5972" s="106"/>
      <c r="RI5972" s="106"/>
      <c r="RJ5972" s="106"/>
      <c r="RK5972" s="106"/>
      <c r="RL5972" s="106"/>
    </row>
    <row r="5973" spans="462:480" x14ac:dyDescent="0.3">
      <c r="QT5973" s="106"/>
      <c r="QU5973" s="106"/>
      <c r="QV5973" s="106"/>
      <c r="QW5973" s="106"/>
      <c r="QX5973" s="106"/>
      <c r="QY5973" s="106"/>
      <c r="QZ5973" s="106"/>
      <c r="RA5973" s="106"/>
      <c r="RB5973" s="106"/>
      <c r="RC5973" s="106"/>
      <c r="RD5973" s="106"/>
      <c r="RE5973" s="106"/>
      <c r="RF5973" s="106"/>
      <c r="RG5973" s="106"/>
      <c r="RH5973" s="106"/>
      <c r="RI5973" s="106"/>
      <c r="RJ5973" s="106"/>
      <c r="RK5973" s="106"/>
      <c r="RL5973" s="106"/>
    </row>
    <row r="5974" spans="462:480" x14ac:dyDescent="0.3">
      <c r="QT5974" s="106"/>
      <c r="QU5974" s="106"/>
      <c r="QV5974" s="106"/>
      <c r="QW5974" s="106"/>
      <c r="QX5974" s="106"/>
      <c r="QY5974" s="106"/>
      <c r="QZ5974" s="106"/>
      <c r="RA5974" s="106"/>
      <c r="RB5974" s="106"/>
      <c r="RC5974" s="106"/>
      <c r="RD5974" s="106"/>
      <c r="RE5974" s="106"/>
      <c r="RF5974" s="106"/>
      <c r="RG5974" s="106"/>
      <c r="RH5974" s="106"/>
      <c r="RI5974" s="106"/>
      <c r="RJ5974" s="106"/>
      <c r="RK5974" s="106"/>
      <c r="RL5974" s="106"/>
    </row>
    <row r="5975" spans="462:480" x14ac:dyDescent="0.3">
      <c r="QT5975" s="106"/>
      <c r="QU5975" s="106"/>
      <c r="QV5975" s="106"/>
      <c r="QW5975" s="106"/>
      <c r="QX5975" s="106"/>
      <c r="QY5975" s="106"/>
      <c r="QZ5975" s="106"/>
      <c r="RA5975" s="106"/>
      <c r="RB5975" s="106"/>
      <c r="RC5975" s="106"/>
      <c r="RD5975" s="106"/>
      <c r="RE5975" s="106"/>
      <c r="RF5975" s="106"/>
      <c r="RG5975" s="106"/>
      <c r="RH5975" s="106"/>
      <c r="RI5975" s="106"/>
      <c r="RJ5975" s="106"/>
      <c r="RK5975" s="106"/>
      <c r="RL5975" s="106"/>
    </row>
    <row r="5976" spans="462:480" x14ac:dyDescent="0.3">
      <c r="QT5976" s="106"/>
      <c r="QU5976" s="106"/>
      <c r="QV5976" s="106"/>
      <c r="QW5976" s="106"/>
      <c r="QX5976" s="106"/>
      <c r="QY5976" s="106"/>
      <c r="QZ5976" s="106"/>
      <c r="RA5976" s="106"/>
      <c r="RB5976" s="106"/>
      <c r="RC5976" s="106"/>
      <c r="RD5976" s="106"/>
      <c r="RE5976" s="106"/>
      <c r="RF5976" s="106"/>
      <c r="RG5976" s="106"/>
      <c r="RH5976" s="106"/>
      <c r="RI5976" s="106"/>
      <c r="RJ5976" s="106"/>
      <c r="RK5976" s="106"/>
      <c r="RL5976" s="106"/>
    </row>
    <row r="5977" spans="462:480" x14ac:dyDescent="0.3">
      <c r="QT5977" s="106"/>
      <c r="QU5977" s="106"/>
      <c r="QV5977" s="106"/>
      <c r="QW5977" s="106"/>
      <c r="QX5977" s="106"/>
      <c r="QY5977" s="106"/>
      <c r="QZ5977" s="106"/>
      <c r="RA5977" s="106"/>
      <c r="RB5977" s="106"/>
      <c r="RC5977" s="106"/>
      <c r="RD5977" s="106"/>
      <c r="RE5977" s="106"/>
      <c r="RF5977" s="106"/>
      <c r="RG5977" s="106"/>
      <c r="RH5977" s="106"/>
      <c r="RI5977" s="106"/>
      <c r="RJ5977" s="106"/>
      <c r="RK5977" s="106"/>
      <c r="RL5977" s="106"/>
    </row>
    <row r="5978" spans="462:480" x14ac:dyDescent="0.3">
      <c r="QT5978" s="106"/>
      <c r="QU5978" s="106"/>
      <c r="QV5978" s="106"/>
      <c r="QW5978" s="106"/>
      <c r="QX5978" s="106"/>
      <c r="QY5978" s="106"/>
      <c r="QZ5978" s="106"/>
      <c r="RA5978" s="106"/>
      <c r="RB5978" s="106"/>
      <c r="RC5978" s="106"/>
      <c r="RD5978" s="106"/>
      <c r="RE5978" s="106"/>
      <c r="RF5978" s="106"/>
      <c r="RG5978" s="106"/>
      <c r="RH5978" s="106"/>
      <c r="RI5978" s="106"/>
      <c r="RJ5978" s="106"/>
      <c r="RK5978" s="106"/>
      <c r="RL5978" s="106"/>
    </row>
    <row r="5979" spans="462:480" x14ac:dyDescent="0.3">
      <c r="QT5979" s="106"/>
      <c r="QU5979" s="106"/>
      <c r="QV5979" s="106"/>
      <c r="QW5979" s="106"/>
      <c r="QX5979" s="106"/>
      <c r="QY5979" s="106"/>
      <c r="QZ5979" s="106"/>
      <c r="RA5979" s="106"/>
      <c r="RB5979" s="106"/>
      <c r="RC5979" s="106"/>
      <c r="RD5979" s="106"/>
      <c r="RE5979" s="106"/>
      <c r="RF5979" s="106"/>
      <c r="RG5979" s="106"/>
      <c r="RH5979" s="106"/>
      <c r="RI5979" s="106"/>
      <c r="RJ5979" s="106"/>
      <c r="RK5979" s="106"/>
      <c r="RL5979" s="106"/>
    </row>
    <row r="5980" spans="462:480" x14ac:dyDescent="0.3">
      <c r="QT5980" s="106"/>
      <c r="QU5980" s="106"/>
      <c r="QV5980" s="106"/>
      <c r="QW5980" s="106"/>
      <c r="QX5980" s="106"/>
      <c r="QY5980" s="106"/>
      <c r="QZ5980" s="106"/>
      <c r="RA5980" s="106"/>
      <c r="RB5980" s="106"/>
      <c r="RC5980" s="106"/>
      <c r="RD5980" s="106"/>
      <c r="RE5980" s="106"/>
      <c r="RF5980" s="106"/>
      <c r="RG5980" s="106"/>
      <c r="RH5980" s="106"/>
      <c r="RI5980" s="106"/>
      <c r="RJ5980" s="106"/>
      <c r="RK5980" s="106"/>
      <c r="RL5980" s="106"/>
    </row>
    <row r="5981" spans="462:480" x14ac:dyDescent="0.3">
      <c r="QT5981" s="106"/>
      <c r="QU5981" s="106"/>
      <c r="QV5981" s="106"/>
      <c r="QW5981" s="106"/>
      <c r="QX5981" s="106"/>
      <c r="QY5981" s="106"/>
      <c r="QZ5981" s="106"/>
      <c r="RA5981" s="106"/>
      <c r="RB5981" s="106"/>
      <c r="RC5981" s="106"/>
      <c r="RD5981" s="106"/>
      <c r="RE5981" s="106"/>
      <c r="RF5981" s="106"/>
      <c r="RG5981" s="106"/>
      <c r="RH5981" s="106"/>
      <c r="RI5981" s="106"/>
      <c r="RJ5981" s="106"/>
      <c r="RK5981" s="106"/>
      <c r="RL5981" s="106"/>
    </row>
    <row r="5982" spans="462:480" x14ac:dyDescent="0.3">
      <c r="QT5982" s="106"/>
      <c r="QU5982" s="106"/>
      <c r="QV5982" s="106"/>
      <c r="QW5982" s="106"/>
      <c r="QX5982" s="106"/>
      <c r="QY5982" s="106"/>
      <c r="QZ5982" s="106"/>
      <c r="RA5982" s="106"/>
      <c r="RB5982" s="106"/>
      <c r="RC5982" s="106"/>
      <c r="RD5982" s="106"/>
      <c r="RE5982" s="106"/>
      <c r="RF5982" s="106"/>
      <c r="RG5982" s="106"/>
      <c r="RH5982" s="106"/>
      <c r="RI5982" s="106"/>
      <c r="RJ5982" s="106"/>
      <c r="RK5982" s="106"/>
      <c r="RL5982" s="106"/>
    </row>
    <row r="5983" spans="462:480" x14ac:dyDescent="0.3">
      <c r="QT5983" s="106"/>
      <c r="QU5983" s="106"/>
      <c r="QV5983" s="106"/>
      <c r="QW5983" s="106"/>
      <c r="QX5983" s="106"/>
      <c r="QY5983" s="106"/>
      <c r="QZ5983" s="106"/>
      <c r="RA5983" s="106"/>
      <c r="RB5983" s="106"/>
      <c r="RC5983" s="106"/>
      <c r="RD5983" s="106"/>
      <c r="RE5983" s="106"/>
      <c r="RF5983" s="106"/>
      <c r="RG5983" s="106"/>
      <c r="RH5983" s="106"/>
      <c r="RI5983" s="106"/>
      <c r="RJ5983" s="106"/>
      <c r="RK5983" s="106"/>
      <c r="RL5983" s="106"/>
    </row>
    <row r="5984" spans="462:480" x14ac:dyDescent="0.3">
      <c r="QT5984" s="106"/>
      <c r="QU5984" s="106"/>
      <c r="QV5984" s="106"/>
      <c r="QW5984" s="106"/>
      <c r="QX5984" s="106"/>
      <c r="QY5984" s="106"/>
      <c r="QZ5984" s="106"/>
      <c r="RA5984" s="106"/>
      <c r="RB5984" s="106"/>
      <c r="RC5984" s="106"/>
      <c r="RD5984" s="106"/>
      <c r="RE5984" s="106"/>
      <c r="RF5984" s="106"/>
      <c r="RG5984" s="106"/>
      <c r="RH5984" s="106"/>
      <c r="RI5984" s="106"/>
      <c r="RJ5984" s="106"/>
      <c r="RK5984" s="106"/>
      <c r="RL5984" s="106"/>
    </row>
    <row r="5985" spans="462:480" x14ac:dyDescent="0.3">
      <c r="QT5985" s="106"/>
      <c r="QU5985" s="106"/>
      <c r="QV5985" s="106"/>
      <c r="QW5985" s="106"/>
      <c r="QX5985" s="106"/>
      <c r="QY5985" s="106"/>
      <c r="QZ5985" s="106"/>
      <c r="RA5985" s="106"/>
      <c r="RB5985" s="106"/>
      <c r="RC5985" s="106"/>
      <c r="RD5985" s="106"/>
      <c r="RE5985" s="106"/>
      <c r="RF5985" s="106"/>
      <c r="RG5985" s="106"/>
      <c r="RH5985" s="106"/>
      <c r="RI5985" s="106"/>
      <c r="RJ5985" s="106"/>
      <c r="RK5985" s="106"/>
      <c r="RL5985" s="106"/>
    </row>
    <row r="5986" spans="462:480" x14ac:dyDescent="0.3">
      <c r="QT5986" s="106"/>
      <c r="QU5986" s="106"/>
      <c r="QV5986" s="106"/>
      <c r="QW5986" s="106"/>
      <c r="QX5986" s="106"/>
      <c r="QY5986" s="106"/>
      <c r="QZ5986" s="106"/>
      <c r="RA5986" s="106"/>
      <c r="RB5986" s="106"/>
      <c r="RC5986" s="106"/>
      <c r="RD5986" s="106"/>
      <c r="RE5986" s="106"/>
      <c r="RF5986" s="106"/>
      <c r="RG5986" s="106"/>
      <c r="RH5986" s="106"/>
      <c r="RI5986" s="106"/>
      <c r="RJ5986" s="106"/>
      <c r="RK5986" s="106"/>
      <c r="RL5986" s="106"/>
    </row>
    <row r="5987" spans="462:480" x14ac:dyDescent="0.3">
      <c r="QT5987" s="106"/>
      <c r="QU5987" s="106"/>
      <c r="QV5987" s="106"/>
      <c r="QW5987" s="106"/>
      <c r="QX5987" s="106"/>
      <c r="QY5987" s="106"/>
      <c r="QZ5987" s="106"/>
      <c r="RA5987" s="106"/>
      <c r="RB5987" s="106"/>
      <c r="RC5987" s="106"/>
      <c r="RD5987" s="106"/>
      <c r="RE5987" s="106"/>
      <c r="RF5987" s="106"/>
      <c r="RG5987" s="106"/>
      <c r="RH5987" s="106"/>
      <c r="RI5987" s="106"/>
      <c r="RJ5987" s="106"/>
      <c r="RK5987" s="106"/>
      <c r="RL5987" s="106"/>
    </row>
    <row r="5988" spans="462:480" x14ac:dyDescent="0.3">
      <c r="QT5988" s="106"/>
      <c r="QU5988" s="106"/>
      <c r="QV5988" s="106"/>
      <c r="QW5988" s="106"/>
      <c r="QX5988" s="106"/>
      <c r="QY5988" s="106"/>
      <c r="QZ5988" s="106"/>
      <c r="RA5988" s="106"/>
      <c r="RB5988" s="106"/>
      <c r="RC5988" s="106"/>
      <c r="RD5988" s="106"/>
      <c r="RE5988" s="106"/>
      <c r="RF5988" s="106"/>
      <c r="RG5988" s="106"/>
      <c r="RH5988" s="106"/>
      <c r="RI5988" s="106"/>
      <c r="RJ5988" s="106"/>
      <c r="RK5988" s="106"/>
      <c r="RL5988" s="106"/>
    </row>
    <row r="5989" spans="462:480" x14ac:dyDescent="0.3">
      <c r="QT5989" s="106"/>
      <c r="QU5989" s="106"/>
      <c r="QV5989" s="106"/>
      <c r="QW5989" s="106"/>
      <c r="QX5989" s="106"/>
      <c r="QY5989" s="106"/>
      <c r="QZ5989" s="106"/>
      <c r="RA5989" s="106"/>
      <c r="RB5989" s="106"/>
      <c r="RC5989" s="106"/>
      <c r="RD5989" s="106"/>
      <c r="RE5989" s="106"/>
      <c r="RF5989" s="106"/>
      <c r="RG5989" s="106"/>
      <c r="RH5989" s="106"/>
      <c r="RI5989" s="106"/>
      <c r="RJ5989" s="106"/>
      <c r="RK5989" s="106"/>
      <c r="RL5989" s="106"/>
    </row>
    <row r="5990" spans="462:480" x14ac:dyDescent="0.3">
      <c r="QT5990" s="106"/>
      <c r="QU5990" s="106"/>
      <c r="QV5990" s="106"/>
      <c r="QW5990" s="106"/>
      <c r="QX5990" s="106"/>
      <c r="QY5990" s="106"/>
      <c r="QZ5990" s="106"/>
      <c r="RA5990" s="106"/>
      <c r="RB5990" s="106"/>
      <c r="RC5990" s="106"/>
      <c r="RD5990" s="106"/>
      <c r="RE5990" s="106"/>
      <c r="RF5990" s="106"/>
      <c r="RG5990" s="106"/>
      <c r="RH5990" s="106"/>
      <c r="RI5990" s="106"/>
      <c r="RJ5990" s="106"/>
      <c r="RK5990" s="106"/>
      <c r="RL5990" s="106"/>
    </row>
    <row r="5991" spans="462:480" x14ac:dyDescent="0.3">
      <c r="QT5991" s="106"/>
      <c r="QU5991" s="106"/>
      <c r="QV5991" s="106"/>
      <c r="QW5991" s="106"/>
      <c r="QX5991" s="106"/>
      <c r="QY5991" s="106"/>
      <c r="QZ5991" s="106"/>
      <c r="RA5991" s="106"/>
      <c r="RB5991" s="106"/>
      <c r="RC5991" s="106"/>
      <c r="RD5991" s="106"/>
      <c r="RE5991" s="106"/>
      <c r="RF5991" s="106"/>
      <c r="RG5991" s="106"/>
      <c r="RH5991" s="106"/>
      <c r="RI5991" s="106"/>
      <c r="RJ5991" s="106"/>
      <c r="RK5991" s="106"/>
      <c r="RL5991" s="106"/>
    </row>
    <row r="5992" spans="462:480" x14ac:dyDescent="0.3">
      <c r="QT5992" s="106"/>
      <c r="QU5992" s="106"/>
      <c r="QV5992" s="106"/>
      <c r="QW5992" s="106"/>
      <c r="QX5992" s="106"/>
      <c r="QY5992" s="106"/>
      <c r="QZ5992" s="106"/>
      <c r="RA5992" s="106"/>
      <c r="RB5992" s="106"/>
      <c r="RC5992" s="106"/>
      <c r="RD5992" s="106"/>
      <c r="RE5992" s="106"/>
      <c r="RF5992" s="106"/>
      <c r="RG5992" s="106"/>
      <c r="RH5992" s="106"/>
      <c r="RI5992" s="106"/>
      <c r="RJ5992" s="106"/>
      <c r="RK5992" s="106"/>
      <c r="RL5992" s="106"/>
    </row>
    <row r="5993" spans="462:480" x14ac:dyDescent="0.3">
      <c r="QT5993" s="106"/>
      <c r="QU5993" s="106"/>
      <c r="QV5993" s="106"/>
      <c r="QW5993" s="106"/>
      <c r="QX5993" s="106"/>
      <c r="QY5993" s="106"/>
      <c r="QZ5993" s="106"/>
      <c r="RA5993" s="106"/>
      <c r="RB5993" s="106"/>
      <c r="RC5993" s="106"/>
      <c r="RD5993" s="106"/>
      <c r="RE5993" s="106"/>
      <c r="RF5993" s="106"/>
      <c r="RG5993" s="106"/>
      <c r="RH5993" s="106"/>
      <c r="RI5993" s="106"/>
      <c r="RJ5993" s="106"/>
      <c r="RK5993" s="106"/>
      <c r="RL5993" s="106"/>
    </row>
    <row r="5994" spans="462:480" x14ac:dyDescent="0.3">
      <c r="QT5994" s="106"/>
      <c r="QU5994" s="106"/>
      <c r="QV5994" s="106"/>
      <c r="QW5994" s="106"/>
      <c r="QX5994" s="106"/>
      <c r="QY5994" s="106"/>
      <c r="QZ5994" s="106"/>
      <c r="RA5994" s="106"/>
      <c r="RB5994" s="106"/>
      <c r="RC5994" s="106"/>
      <c r="RD5994" s="106"/>
      <c r="RE5994" s="106"/>
      <c r="RF5994" s="106"/>
      <c r="RG5994" s="106"/>
      <c r="RH5994" s="106"/>
      <c r="RI5994" s="106"/>
      <c r="RJ5994" s="106"/>
      <c r="RK5994" s="106"/>
      <c r="RL5994" s="106"/>
    </row>
    <row r="5995" spans="462:480" x14ac:dyDescent="0.3">
      <c r="QT5995" s="106"/>
      <c r="QU5995" s="106"/>
      <c r="QV5995" s="106"/>
      <c r="QW5995" s="106"/>
      <c r="QX5995" s="106"/>
      <c r="QY5995" s="106"/>
      <c r="QZ5995" s="106"/>
      <c r="RA5995" s="106"/>
      <c r="RB5995" s="106"/>
      <c r="RC5995" s="106"/>
      <c r="RD5995" s="106"/>
      <c r="RE5995" s="106"/>
      <c r="RF5995" s="106"/>
      <c r="RG5995" s="106"/>
      <c r="RH5995" s="106"/>
      <c r="RI5995" s="106"/>
      <c r="RJ5995" s="106"/>
      <c r="RK5995" s="106"/>
      <c r="RL5995" s="106"/>
    </row>
    <row r="5996" spans="462:480" x14ac:dyDescent="0.3">
      <c r="QT5996" s="106"/>
      <c r="QU5996" s="106"/>
      <c r="QV5996" s="106"/>
      <c r="QW5996" s="106"/>
      <c r="QX5996" s="106"/>
      <c r="QY5996" s="106"/>
      <c r="QZ5996" s="106"/>
      <c r="RA5996" s="106"/>
      <c r="RB5996" s="106"/>
      <c r="RC5996" s="106"/>
      <c r="RD5996" s="106"/>
      <c r="RE5996" s="106"/>
      <c r="RF5996" s="106"/>
      <c r="RG5996" s="106"/>
      <c r="RH5996" s="106"/>
      <c r="RI5996" s="106"/>
      <c r="RJ5996" s="106"/>
      <c r="RK5996" s="106"/>
      <c r="RL5996" s="106"/>
    </row>
    <row r="5997" spans="462:480" x14ac:dyDescent="0.3">
      <c r="QT5997" s="106"/>
      <c r="QU5997" s="106"/>
      <c r="QV5997" s="106"/>
      <c r="QW5997" s="106"/>
      <c r="QX5997" s="106"/>
      <c r="QY5997" s="106"/>
      <c r="QZ5997" s="106"/>
      <c r="RA5997" s="106"/>
      <c r="RB5997" s="106"/>
      <c r="RC5997" s="106"/>
      <c r="RD5997" s="106"/>
      <c r="RE5997" s="106"/>
      <c r="RF5997" s="106"/>
      <c r="RG5997" s="106"/>
      <c r="RH5997" s="106"/>
      <c r="RI5997" s="106"/>
      <c r="RJ5997" s="106"/>
      <c r="RK5997" s="106"/>
      <c r="RL5997" s="106"/>
    </row>
    <row r="5998" spans="462:480" x14ac:dyDescent="0.3">
      <c r="QT5998" s="106"/>
      <c r="QU5998" s="106"/>
      <c r="QV5998" s="106"/>
      <c r="QW5998" s="106"/>
      <c r="QX5998" s="106"/>
      <c r="QY5998" s="106"/>
      <c r="QZ5998" s="106"/>
      <c r="RA5998" s="106"/>
      <c r="RB5998" s="106"/>
      <c r="RC5998" s="106"/>
      <c r="RD5998" s="106"/>
      <c r="RE5998" s="106"/>
      <c r="RF5998" s="106"/>
      <c r="RG5998" s="106"/>
      <c r="RH5998" s="106"/>
      <c r="RI5998" s="106"/>
      <c r="RJ5998" s="106"/>
      <c r="RK5998" s="106"/>
      <c r="RL5998" s="106"/>
    </row>
    <row r="5999" spans="462:480" x14ac:dyDescent="0.3">
      <c r="QT5999" s="106"/>
      <c r="QU5999" s="106"/>
      <c r="QV5999" s="106"/>
      <c r="QW5999" s="106"/>
      <c r="QX5999" s="106"/>
      <c r="QY5999" s="106"/>
      <c r="QZ5999" s="106"/>
      <c r="RA5999" s="106"/>
      <c r="RB5999" s="106"/>
      <c r="RC5999" s="106"/>
      <c r="RD5999" s="106"/>
      <c r="RE5999" s="106"/>
      <c r="RF5999" s="106"/>
      <c r="RG5999" s="106"/>
      <c r="RH5999" s="106"/>
      <c r="RI5999" s="106"/>
      <c r="RJ5999" s="106"/>
      <c r="RK5999" s="106"/>
      <c r="RL5999" s="106"/>
    </row>
    <row r="6000" spans="462:480" x14ac:dyDescent="0.3">
      <c r="QT6000" s="106"/>
      <c r="QU6000" s="106"/>
      <c r="QV6000" s="106"/>
      <c r="QW6000" s="106"/>
      <c r="QX6000" s="106"/>
      <c r="QY6000" s="106"/>
      <c r="QZ6000" s="106"/>
      <c r="RA6000" s="106"/>
      <c r="RB6000" s="106"/>
      <c r="RC6000" s="106"/>
      <c r="RD6000" s="106"/>
      <c r="RE6000" s="106"/>
      <c r="RF6000" s="106"/>
      <c r="RG6000" s="106"/>
      <c r="RH6000" s="106"/>
      <c r="RI6000" s="106"/>
      <c r="RJ6000" s="106"/>
      <c r="RK6000" s="106"/>
      <c r="RL6000" s="106"/>
    </row>
    <row r="6001" spans="462:480" x14ac:dyDescent="0.3">
      <c r="QT6001" s="106"/>
      <c r="QU6001" s="106"/>
      <c r="QV6001" s="106"/>
      <c r="QW6001" s="106"/>
      <c r="QX6001" s="106"/>
      <c r="QY6001" s="106"/>
      <c r="QZ6001" s="106"/>
      <c r="RA6001" s="106"/>
      <c r="RB6001" s="106"/>
      <c r="RC6001" s="106"/>
      <c r="RD6001" s="106"/>
      <c r="RE6001" s="106"/>
      <c r="RF6001" s="106"/>
      <c r="RG6001" s="106"/>
      <c r="RH6001" s="106"/>
      <c r="RI6001" s="106"/>
      <c r="RJ6001" s="106"/>
      <c r="RK6001" s="106"/>
      <c r="RL6001" s="106"/>
    </row>
    <row r="6002" spans="462:480" x14ac:dyDescent="0.3">
      <c r="QT6002" s="106"/>
      <c r="QU6002" s="106"/>
      <c r="QV6002" s="106"/>
      <c r="QW6002" s="106"/>
      <c r="QX6002" s="106"/>
      <c r="QY6002" s="106"/>
      <c r="QZ6002" s="106"/>
      <c r="RA6002" s="106"/>
      <c r="RB6002" s="106"/>
      <c r="RC6002" s="106"/>
      <c r="RD6002" s="106"/>
      <c r="RE6002" s="106"/>
      <c r="RF6002" s="106"/>
      <c r="RG6002" s="106"/>
      <c r="RH6002" s="106"/>
      <c r="RI6002" s="106"/>
      <c r="RJ6002" s="106"/>
      <c r="RK6002" s="106"/>
      <c r="RL6002" s="106"/>
    </row>
    <row r="6003" spans="462:480" x14ac:dyDescent="0.3">
      <c r="QT6003" s="106"/>
      <c r="QU6003" s="106"/>
      <c r="QV6003" s="106"/>
      <c r="QW6003" s="106"/>
      <c r="QX6003" s="106"/>
      <c r="QY6003" s="106"/>
      <c r="QZ6003" s="106"/>
      <c r="RA6003" s="106"/>
      <c r="RB6003" s="106"/>
      <c r="RC6003" s="106"/>
      <c r="RD6003" s="106"/>
      <c r="RE6003" s="106"/>
      <c r="RF6003" s="106"/>
      <c r="RG6003" s="106"/>
      <c r="RH6003" s="106"/>
      <c r="RI6003" s="106"/>
      <c r="RJ6003" s="106"/>
      <c r="RK6003" s="106"/>
      <c r="RL6003" s="106"/>
    </row>
    <row r="6004" spans="462:480" x14ac:dyDescent="0.3">
      <c r="QT6004" s="106"/>
      <c r="QU6004" s="106"/>
      <c r="QV6004" s="106"/>
      <c r="QW6004" s="106"/>
      <c r="QX6004" s="106"/>
      <c r="QY6004" s="106"/>
      <c r="QZ6004" s="106"/>
      <c r="RA6004" s="106"/>
      <c r="RB6004" s="106"/>
      <c r="RC6004" s="106"/>
      <c r="RD6004" s="106"/>
      <c r="RE6004" s="106"/>
      <c r="RF6004" s="106"/>
      <c r="RG6004" s="106"/>
      <c r="RH6004" s="106"/>
      <c r="RI6004" s="106"/>
      <c r="RJ6004" s="106"/>
      <c r="RK6004" s="106"/>
      <c r="RL6004" s="106"/>
    </row>
    <row r="6005" spans="462:480" x14ac:dyDescent="0.3">
      <c r="QT6005" s="106"/>
      <c r="QU6005" s="106"/>
      <c r="QV6005" s="106"/>
      <c r="QW6005" s="106"/>
      <c r="QX6005" s="106"/>
      <c r="QY6005" s="106"/>
      <c r="QZ6005" s="106"/>
      <c r="RA6005" s="106"/>
      <c r="RB6005" s="106"/>
      <c r="RC6005" s="106"/>
      <c r="RD6005" s="106"/>
      <c r="RE6005" s="106"/>
      <c r="RF6005" s="106"/>
      <c r="RG6005" s="106"/>
      <c r="RH6005" s="106"/>
      <c r="RI6005" s="106"/>
      <c r="RJ6005" s="106"/>
      <c r="RK6005" s="106"/>
      <c r="RL6005" s="106"/>
    </row>
    <row r="6006" spans="462:480" x14ac:dyDescent="0.3">
      <c r="QT6006" s="106"/>
      <c r="QU6006" s="106"/>
      <c r="QV6006" s="106"/>
      <c r="QW6006" s="106"/>
      <c r="QX6006" s="106"/>
      <c r="QY6006" s="106"/>
      <c r="QZ6006" s="106"/>
      <c r="RA6006" s="106"/>
      <c r="RB6006" s="106"/>
      <c r="RC6006" s="106"/>
      <c r="RD6006" s="106"/>
      <c r="RE6006" s="106"/>
      <c r="RF6006" s="106"/>
      <c r="RG6006" s="106"/>
      <c r="RH6006" s="106"/>
      <c r="RI6006" s="106"/>
      <c r="RJ6006" s="106"/>
      <c r="RK6006" s="106"/>
      <c r="RL6006" s="106"/>
    </row>
    <row r="6007" spans="462:480" x14ac:dyDescent="0.3">
      <c r="QT6007" s="106"/>
      <c r="QU6007" s="106"/>
      <c r="QV6007" s="106"/>
      <c r="QW6007" s="106"/>
      <c r="QX6007" s="106"/>
      <c r="QY6007" s="106"/>
      <c r="QZ6007" s="106"/>
      <c r="RA6007" s="106"/>
      <c r="RB6007" s="106"/>
      <c r="RC6007" s="106"/>
      <c r="RD6007" s="106"/>
      <c r="RE6007" s="106"/>
      <c r="RF6007" s="106"/>
      <c r="RG6007" s="106"/>
      <c r="RH6007" s="106"/>
      <c r="RI6007" s="106"/>
      <c r="RJ6007" s="106"/>
      <c r="RK6007" s="106"/>
      <c r="RL6007" s="106"/>
    </row>
    <row r="6008" spans="462:480" x14ac:dyDescent="0.3">
      <c r="QT6008" s="106"/>
      <c r="QU6008" s="106"/>
      <c r="QV6008" s="106"/>
      <c r="QW6008" s="106"/>
      <c r="QX6008" s="106"/>
      <c r="QY6008" s="106"/>
      <c r="QZ6008" s="106"/>
      <c r="RA6008" s="106"/>
      <c r="RB6008" s="106"/>
      <c r="RC6008" s="106"/>
      <c r="RD6008" s="106"/>
      <c r="RE6008" s="106"/>
      <c r="RF6008" s="106"/>
      <c r="RG6008" s="106"/>
      <c r="RH6008" s="106"/>
      <c r="RI6008" s="106"/>
      <c r="RJ6008" s="106"/>
      <c r="RK6008" s="106"/>
      <c r="RL6008" s="106"/>
    </row>
    <row r="6009" spans="462:480" x14ac:dyDescent="0.3">
      <c r="QT6009" s="106"/>
      <c r="QU6009" s="106"/>
      <c r="QV6009" s="106"/>
      <c r="QW6009" s="106"/>
      <c r="QX6009" s="106"/>
      <c r="QY6009" s="106"/>
      <c r="QZ6009" s="106"/>
      <c r="RA6009" s="106"/>
      <c r="RB6009" s="106"/>
      <c r="RC6009" s="106"/>
      <c r="RD6009" s="106"/>
      <c r="RE6009" s="106"/>
      <c r="RF6009" s="106"/>
      <c r="RG6009" s="106"/>
      <c r="RH6009" s="106"/>
      <c r="RI6009" s="106"/>
      <c r="RJ6009" s="106"/>
      <c r="RK6009" s="106"/>
      <c r="RL6009" s="106"/>
    </row>
    <row r="6010" spans="462:480" x14ac:dyDescent="0.3">
      <c r="QT6010" s="106"/>
      <c r="QU6010" s="106"/>
      <c r="QV6010" s="106"/>
      <c r="QW6010" s="106"/>
      <c r="QX6010" s="106"/>
      <c r="QY6010" s="106"/>
      <c r="QZ6010" s="106"/>
      <c r="RA6010" s="106"/>
      <c r="RB6010" s="106"/>
      <c r="RC6010" s="106"/>
      <c r="RD6010" s="106"/>
      <c r="RE6010" s="106"/>
      <c r="RF6010" s="106"/>
      <c r="RG6010" s="106"/>
      <c r="RH6010" s="106"/>
      <c r="RI6010" s="106"/>
      <c r="RJ6010" s="106"/>
      <c r="RK6010" s="106"/>
      <c r="RL6010" s="106"/>
    </row>
    <row r="6011" spans="462:480" x14ac:dyDescent="0.3">
      <c r="QT6011" s="106"/>
      <c r="QU6011" s="106"/>
      <c r="QV6011" s="106"/>
      <c r="QW6011" s="106"/>
      <c r="QX6011" s="106"/>
      <c r="QY6011" s="106"/>
      <c r="QZ6011" s="106"/>
      <c r="RA6011" s="106"/>
      <c r="RB6011" s="106"/>
      <c r="RC6011" s="106"/>
      <c r="RD6011" s="106"/>
      <c r="RE6011" s="106"/>
      <c r="RF6011" s="106"/>
      <c r="RG6011" s="106"/>
      <c r="RH6011" s="106"/>
      <c r="RI6011" s="106"/>
      <c r="RJ6011" s="106"/>
      <c r="RK6011" s="106"/>
      <c r="RL6011" s="106"/>
    </row>
    <row r="6012" spans="462:480" x14ac:dyDescent="0.3">
      <c r="QT6012" s="106"/>
      <c r="QU6012" s="106"/>
      <c r="QV6012" s="106"/>
      <c r="QW6012" s="106"/>
      <c r="QX6012" s="106"/>
      <c r="QY6012" s="106"/>
      <c r="QZ6012" s="106"/>
      <c r="RA6012" s="106"/>
      <c r="RB6012" s="106"/>
      <c r="RC6012" s="106"/>
      <c r="RD6012" s="106"/>
      <c r="RE6012" s="106"/>
      <c r="RF6012" s="106"/>
      <c r="RG6012" s="106"/>
      <c r="RH6012" s="106"/>
      <c r="RI6012" s="106"/>
      <c r="RJ6012" s="106"/>
      <c r="RK6012" s="106"/>
      <c r="RL6012" s="106"/>
    </row>
    <row r="6013" spans="462:480" x14ac:dyDescent="0.3">
      <c r="QT6013" s="106"/>
      <c r="QU6013" s="106"/>
      <c r="QV6013" s="106"/>
      <c r="QW6013" s="106"/>
      <c r="QX6013" s="106"/>
      <c r="QY6013" s="106"/>
      <c r="QZ6013" s="106"/>
      <c r="RA6013" s="106"/>
      <c r="RB6013" s="106"/>
      <c r="RC6013" s="106"/>
      <c r="RD6013" s="106"/>
      <c r="RE6013" s="106"/>
      <c r="RF6013" s="106"/>
      <c r="RG6013" s="106"/>
      <c r="RH6013" s="106"/>
      <c r="RI6013" s="106"/>
      <c r="RJ6013" s="106"/>
      <c r="RK6013" s="106"/>
      <c r="RL6013" s="106"/>
    </row>
    <row r="6014" spans="462:480" x14ac:dyDescent="0.3">
      <c r="QT6014" s="106"/>
      <c r="QU6014" s="106"/>
      <c r="QV6014" s="106"/>
      <c r="QW6014" s="106"/>
      <c r="QX6014" s="106"/>
      <c r="QY6014" s="106"/>
      <c r="QZ6014" s="106"/>
      <c r="RA6014" s="106"/>
      <c r="RB6014" s="106"/>
      <c r="RC6014" s="106"/>
      <c r="RD6014" s="106"/>
      <c r="RE6014" s="106"/>
      <c r="RF6014" s="106"/>
      <c r="RG6014" s="106"/>
      <c r="RH6014" s="106"/>
      <c r="RI6014" s="106"/>
      <c r="RJ6014" s="106"/>
      <c r="RK6014" s="106"/>
      <c r="RL6014" s="106"/>
    </row>
    <row r="6015" spans="462:480" x14ac:dyDescent="0.3">
      <c r="QT6015" s="106"/>
      <c r="QU6015" s="106"/>
      <c r="QV6015" s="106"/>
      <c r="QW6015" s="106"/>
      <c r="QX6015" s="106"/>
      <c r="QY6015" s="106"/>
      <c r="QZ6015" s="106"/>
      <c r="RA6015" s="106"/>
      <c r="RB6015" s="106"/>
      <c r="RC6015" s="106"/>
      <c r="RD6015" s="106"/>
      <c r="RE6015" s="106"/>
      <c r="RF6015" s="106"/>
      <c r="RG6015" s="106"/>
      <c r="RH6015" s="106"/>
      <c r="RI6015" s="106"/>
      <c r="RJ6015" s="106"/>
      <c r="RK6015" s="106"/>
      <c r="RL6015" s="106"/>
    </row>
    <row r="6016" spans="462:480" x14ac:dyDescent="0.3">
      <c r="QT6016" s="106"/>
      <c r="QU6016" s="106"/>
      <c r="QV6016" s="106"/>
      <c r="QW6016" s="106"/>
      <c r="QX6016" s="106"/>
      <c r="QY6016" s="106"/>
      <c r="QZ6016" s="106"/>
      <c r="RA6016" s="106"/>
      <c r="RB6016" s="106"/>
      <c r="RC6016" s="106"/>
      <c r="RD6016" s="106"/>
      <c r="RE6016" s="106"/>
      <c r="RF6016" s="106"/>
      <c r="RG6016" s="106"/>
      <c r="RH6016" s="106"/>
      <c r="RI6016" s="106"/>
      <c r="RJ6016" s="106"/>
      <c r="RK6016" s="106"/>
      <c r="RL6016" s="106"/>
    </row>
    <row r="6017" spans="462:480" x14ac:dyDescent="0.3">
      <c r="QT6017" s="106"/>
      <c r="QU6017" s="106"/>
      <c r="QV6017" s="106"/>
      <c r="QW6017" s="106"/>
      <c r="QX6017" s="106"/>
      <c r="QY6017" s="106"/>
      <c r="QZ6017" s="106"/>
      <c r="RA6017" s="106"/>
      <c r="RB6017" s="106"/>
      <c r="RC6017" s="106"/>
      <c r="RD6017" s="106"/>
      <c r="RE6017" s="106"/>
      <c r="RF6017" s="106"/>
      <c r="RG6017" s="106"/>
      <c r="RH6017" s="106"/>
      <c r="RI6017" s="106"/>
      <c r="RJ6017" s="106"/>
      <c r="RK6017" s="106"/>
      <c r="RL6017" s="106"/>
    </row>
    <row r="6018" spans="462:480" x14ac:dyDescent="0.3">
      <c r="QT6018" s="106"/>
      <c r="QU6018" s="106"/>
      <c r="QV6018" s="106"/>
      <c r="QW6018" s="106"/>
      <c r="QX6018" s="106"/>
      <c r="QY6018" s="106"/>
      <c r="QZ6018" s="106"/>
      <c r="RA6018" s="106"/>
      <c r="RB6018" s="106"/>
      <c r="RC6018" s="106"/>
      <c r="RD6018" s="106"/>
      <c r="RE6018" s="106"/>
      <c r="RF6018" s="106"/>
      <c r="RG6018" s="106"/>
      <c r="RH6018" s="106"/>
      <c r="RI6018" s="106"/>
      <c r="RJ6018" s="106"/>
      <c r="RK6018" s="106"/>
      <c r="RL6018" s="106"/>
    </row>
    <row r="6019" spans="462:480" x14ac:dyDescent="0.3">
      <c r="QT6019" s="106"/>
      <c r="QU6019" s="106"/>
      <c r="QV6019" s="106"/>
      <c r="QW6019" s="106"/>
      <c r="QX6019" s="106"/>
      <c r="QY6019" s="106"/>
      <c r="QZ6019" s="106"/>
      <c r="RA6019" s="106"/>
      <c r="RB6019" s="106"/>
      <c r="RC6019" s="106"/>
      <c r="RD6019" s="106"/>
      <c r="RE6019" s="106"/>
      <c r="RF6019" s="106"/>
      <c r="RG6019" s="106"/>
      <c r="RH6019" s="106"/>
      <c r="RI6019" s="106"/>
      <c r="RJ6019" s="106"/>
      <c r="RK6019" s="106"/>
      <c r="RL6019" s="106"/>
    </row>
    <row r="6020" spans="462:480" x14ac:dyDescent="0.3">
      <c r="QT6020" s="106"/>
      <c r="QU6020" s="106"/>
      <c r="QV6020" s="106"/>
      <c r="QW6020" s="106"/>
      <c r="QX6020" s="106"/>
      <c r="QY6020" s="106"/>
      <c r="QZ6020" s="106"/>
      <c r="RA6020" s="106"/>
      <c r="RB6020" s="106"/>
      <c r="RC6020" s="106"/>
      <c r="RD6020" s="106"/>
      <c r="RE6020" s="106"/>
      <c r="RF6020" s="106"/>
      <c r="RG6020" s="106"/>
      <c r="RH6020" s="106"/>
      <c r="RI6020" s="106"/>
      <c r="RJ6020" s="106"/>
      <c r="RK6020" s="106"/>
      <c r="RL6020" s="106"/>
    </row>
    <row r="6021" spans="462:480" x14ac:dyDescent="0.3">
      <c r="QT6021" s="106"/>
      <c r="QU6021" s="106"/>
      <c r="QV6021" s="106"/>
      <c r="QW6021" s="106"/>
      <c r="QX6021" s="106"/>
      <c r="QY6021" s="106"/>
      <c r="QZ6021" s="106"/>
      <c r="RA6021" s="106"/>
      <c r="RB6021" s="106"/>
      <c r="RC6021" s="106"/>
      <c r="RD6021" s="106"/>
      <c r="RE6021" s="106"/>
      <c r="RF6021" s="106"/>
      <c r="RG6021" s="106"/>
      <c r="RH6021" s="106"/>
      <c r="RI6021" s="106"/>
      <c r="RJ6021" s="106"/>
      <c r="RK6021" s="106"/>
      <c r="RL6021" s="106"/>
    </row>
    <row r="6022" spans="462:480" x14ac:dyDescent="0.3">
      <c r="QT6022" s="106"/>
      <c r="QU6022" s="106"/>
      <c r="QV6022" s="106"/>
      <c r="QW6022" s="106"/>
      <c r="QX6022" s="106"/>
      <c r="QY6022" s="106"/>
      <c r="QZ6022" s="106"/>
      <c r="RA6022" s="106"/>
      <c r="RB6022" s="106"/>
      <c r="RC6022" s="106"/>
      <c r="RD6022" s="106"/>
      <c r="RE6022" s="106"/>
      <c r="RF6022" s="106"/>
      <c r="RG6022" s="106"/>
      <c r="RH6022" s="106"/>
      <c r="RI6022" s="106"/>
      <c r="RJ6022" s="106"/>
      <c r="RK6022" s="106"/>
      <c r="RL6022" s="106"/>
    </row>
    <row r="6023" spans="462:480" x14ac:dyDescent="0.3">
      <c r="QT6023" s="106"/>
      <c r="QU6023" s="106"/>
      <c r="QV6023" s="106"/>
      <c r="QW6023" s="106"/>
      <c r="QX6023" s="106"/>
      <c r="QY6023" s="106"/>
      <c r="QZ6023" s="106"/>
      <c r="RA6023" s="106"/>
      <c r="RB6023" s="106"/>
      <c r="RC6023" s="106"/>
      <c r="RD6023" s="106"/>
      <c r="RE6023" s="106"/>
      <c r="RF6023" s="106"/>
      <c r="RG6023" s="106"/>
      <c r="RH6023" s="106"/>
      <c r="RI6023" s="106"/>
      <c r="RJ6023" s="106"/>
      <c r="RK6023" s="106"/>
      <c r="RL6023" s="106"/>
    </row>
    <row r="6024" spans="462:480" x14ac:dyDescent="0.3">
      <c r="QT6024" s="106"/>
      <c r="QU6024" s="106"/>
      <c r="QV6024" s="106"/>
      <c r="QW6024" s="106"/>
      <c r="QX6024" s="106"/>
      <c r="QY6024" s="106"/>
      <c r="QZ6024" s="106"/>
      <c r="RA6024" s="106"/>
      <c r="RB6024" s="106"/>
      <c r="RC6024" s="106"/>
      <c r="RD6024" s="106"/>
      <c r="RE6024" s="106"/>
      <c r="RF6024" s="106"/>
      <c r="RG6024" s="106"/>
      <c r="RH6024" s="106"/>
      <c r="RI6024" s="106"/>
      <c r="RJ6024" s="106"/>
      <c r="RK6024" s="106"/>
      <c r="RL6024" s="106"/>
    </row>
    <row r="6025" spans="462:480" x14ac:dyDescent="0.3">
      <c r="QT6025" s="106"/>
      <c r="QU6025" s="106"/>
      <c r="QV6025" s="106"/>
      <c r="QW6025" s="106"/>
      <c r="QX6025" s="106"/>
      <c r="QY6025" s="106"/>
      <c r="QZ6025" s="106"/>
      <c r="RA6025" s="106"/>
      <c r="RB6025" s="106"/>
      <c r="RC6025" s="106"/>
      <c r="RD6025" s="106"/>
      <c r="RE6025" s="106"/>
      <c r="RF6025" s="106"/>
      <c r="RG6025" s="106"/>
      <c r="RH6025" s="106"/>
      <c r="RI6025" s="106"/>
      <c r="RJ6025" s="106"/>
      <c r="RK6025" s="106"/>
      <c r="RL6025" s="106"/>
    </row>
    <row r="6026" spans="462:480" x14ac:dyDescent="0.3">
      <c r="QT6026" s="106"/>
      <c r="QU6026" s="106"/>
      <c r="QV6026" s="106"/>
      <c r="QW6026" s="106"/>
      <c r="QX6026" s="106"/>
      <c r="QY6026" s="106"/>
      <c r="QZ6026" s="106"/>
      <c r="RA6026" s="106"/>
      <c r="RB6026" s="106"/>
      <c r="RC6026" s="106"/>
      <c r="RD6026" s="106"/>
      <c r="RE6026" s="106"/>
      <c r="RF6026" s="106"/>
      <c r="RG6026" s="106"/>
      <c r="RH6026" s="106"/>
      <c r="RI6026" s="106"/>
      <c r="RJ6026" s="106"/>
      <c r="RK6026" s="106"/>
      <c r="RL6026" s="106"/>
    </row>
    <row r="6027" spans="462:480" x14ac:dyDescent="0.3">
      <c r="QT6027" s="106"/>
      <c r="QU6027" s="106"/>
      <c r="QV6027" s="106"/>
      <c r="QW6027" s="106"/>
      <c r="QX6027" s="106"/>
      <c r="QY6027" s="106"/>
      <c r="QZ6027" s="106"/>
      <c r="RA6027" s="106"/>
      <c r="RB6027" s="106"/>
      <c r="RC6027" s="106"/>
      <c r="RD6027" s="106"/>
      <c r="RE6027" s="106"/>
      <c r="RF6027" s="106"/>
      <c r="RG6027" s="106"/>
      <c r="RH6027" s="106"/>
      <c r="RI6027" s="106"/>
      <c r="RJ6027" s="106"/>
      <c r="RK6027" s="106"/>
      <c r="RL6027" s="106"/>
    </row>
    <row r="6028" spans="462:480" x14ac:dyDescent="0.3">
      <c r="QT6028" s="106"/>
      <c r="QU6028" s="106"/>
      <c r="QV6028" s="106"/>
      <c r="QW6028" s="106"/>
      <c r="QX6028" s="106"/>
      <c r="QY6028" s="106"/>
      <c r="QZ6028" s="106"/>
      <c r="RA6028" s="106"/>
      <c r="RB6028" s="106"/>
      <c r="RC6028" s="106"/>
      <c r="RD6028" s="106"/>
      <c r="RE6028" s="106"/>
      <c r="RF6028" s="106"/>
      <c r="RG6028" s="106"/>
      <c r="RH6028" s="106"/>
      <c r="RI6028" s="106"/>
      <c r="RJ6028" s="106"/>
      <c r="RK6028" s="106"/>
      <c r="RL6028" s="106"/>
    </row>
    <row r="6029" spans="462:480" x14ac:dyDescent="0.3">
      <c r="QT6029" s="106"/>
      <c r="QU6029" s="106"/>
      <c r="QV6029" s="106"/>
      <c r="QW6029" s="106"/>
      <c r="QX6029" s="106"/>
      <c r="QY6029" s="106"/>
      <c r="QZ6029" s="106"/>
      <c r="RA6029" s="106"/>
      <c r="RB6029" s="106"/>
      <c r="RC6029" s="106"/>
      <c r="RD6029" s="106"/>
      <c r="RE6029" s="106"/>
      <c r="RF6029" s="106"/>
      <c r="RG6029" s="106"/>
      <c r="RH6029" s="106"/>
      <c r="RI6029" s="106"/>
      <c r="RJ6029" s="106"/>
      <c r="RK6029" s="106"/>
      <c r="RL6029" s="106"/>
    </row>
    <row r="6030" spans="462:480" x14ac:dyDescent="0.3">
      <c r="QT6030" s="106"/>
      <c r="QU6030" s="106"/>
      <c r="QV6030" s="106"/>
      <c r="QW6030" s="106"/>
      <c r="QX6030" s="106"/>
      <c r="QY6030" s="106"/>
      <c r="QZ6030" s="106"/>
      <c r="RA6030" s="106"/>
      <c r="RB6030" s="106"/>
      <c r="RC6030" s="106"/>
      <c r="RD6030" s="106"/>
      <c r="RE6030" s="106"/>
      <c r="RF6030" s="106"/>
      <c r="RG6030" s="106"/>
      <c r="RH6030" s="106"/>
      <c r="RI6030" s="106"/>
      <c r="RJ6030" s="106"/>
      <c r="RK6030" s="106"/>
      <c r="RL6030" s="106"/>
    </row>
    <row r="6031" spans="462:480" x14ac:dyDescent="0.3">
      <c r="QT6031" s="106"/>
      <c r="QU6031" s="106"/>
      <c r="QV6031" s="106"/>
      <c r="QW6031" s="106"/>
      <c r="QX6031" s="106"/>
      <c r="QY6031" s="106"/>
      <c r="QZ6031" s="106"/>
      <c r="RA6031" s="106"/>
      <c r="RB6031" s="106"/>
      <c r="RC6031" s="106"/>
      <c r="RD6031" s="106"/>
      <c r="RE6031" s="106"/>
      <c r="RF6031" s="106"/>
      <c r="RG6031" s="106"/>
      <c r="RH6031" s="106"/>
      <c r="RI6031" s="106"/>
      <c r="RJ6031" s="106"/>
      <c r="RK6031" s="106"/>
      <c r="RL6031" s="106"/>
    </row>
    <row r="6032" spans="462:480" x14ac:dyDescent="0.3">
      <c r="QT6032" s="106"/>
      <c r="QU6032" s="106"/>
      <c r="QV6032" s="106"/>
      <c r="QW6032" s="106"/>
      <c r="QX6032" s="106"/>
      <c r="QY6032" s="106"/>
      <c r="QZ6032" s="106"/>
      <c r="RA6032" s="106"/>
      <c r="RB6032" s="106"/>
      <c r="RC6032" s="106"/>
      <c r="RD6032" s="106"/>
      <c r="RE6032" s="106"/>
      <c r="RF6032" s="106"/>
      <c r="RG6032" s="106"/>
      <c r="RH6032" s="106"/>
      <c r="RI6032" s="106"/>
      <c r="RJ6032" s="106"/>
      <c r="RK6032" s="106"/>
      <c r="RL6032" s="106"/>
    </row>
    <row r="6033" spans="462:480" x14ac:dyDescent="0.3">
      <c r="QT6033" s="106"/>
      <c r="QU6033" s="106"/>
      <c r="QV6033" s="106"/>
      <c r="QW6033" s="106"/>
      <c r="QX6033" s="106"/>
      <c r="QY6033" s="106"/>
      <c r="QZ6033" s="106"/>
      <c r="RA6033" s="106"/>
      <c r="RB6033" s="106"/>
      <c r="RC6033" s="106"/>
      <c r="RD6033" s="106"/>
      <c r="RE6033" s="106"/>
      <c r="RF6033" s="106"/>
      <c r="RG6033" s="106"/>
      <c r="RH6033" s="106"/>
      <c r="RI6033" s="106"/>
      <c r="RJ6033" s="106"/>
      <c r="RK6033" s="106"/>
      <c r="RL6033" s="106"/>
    </row>
    <row r="6034" spans="462:480" x14ac:dyDescent="0.3">
      <c r="QT6034" s="106"/>
      <c r="QU6034" s="106"/>
      <c r="QV6034" s="106"/>
      <c r="QW6034" s="106"/>
      <c r="QX6034" s="106"/>
      <c r="QY6034" s="106"/>
      <c r="QZ6034" s="106"/>
      <c r="RA6034" s="106"/>
      <c r="RB6034" s="106"/>
      <c r="RC6034" s="106"/>
      <c r="RD6034" s="106"/>
      <c r="RE6034" s="106"/>
      <c r="RF6034" s="106"/>
      <c r="RG6034" s="106"/>
      <c r="RH6034" s="106"/>
      <c r="RI6034" s="106"/>
      <c r="RJ6034" s="106"/>
      <c r="RK6034" s="106"/>
      <c r="RL6034" s="106"/>
    </row>
    <row r="6035" spans="462:480" x14ac:dyDescent="0.3">
      <c r="QT6035" s="106"/>
      <c r="QU6035" s="106"/>
      <c r="QV6035" s="106"/>
      <c r="QW6035" s="106"/>
      <c r="QX6035" s="106"/>
      <c r="QY6035" s="106"/>
      <c r="QZ6035" s="106"/>
      <c r="RA6035" s="106"/>
      <c r="RB6035" s="106"/>
      <c r="RC6035" s="106"/>
      <c r="RD6035" s="106"/>
      <c r="RE6035" s="106"/>
      <c r="RF6035" s="106"/>
      <c r="RG6035" s="106"/>
      <c r="RH6035" s="106"/>
      <c r="RI6035" s="106"/>
      <c r="RJ6035" s="106"/>
      <c r="RK6035" s="106"/>
      <c r="RL6035" s="106"/>
    </row>
    <row r="6036" spans="462:480" x14ac:dyDescent="0.3">
      <c r="QT6036" s="106"/>
      <c r="QU6036" s="106"/>
      <c r="QV6036" s="106"/>
      <c r="QW6036" s="106"/>
      <c r="QX6036" s="106"/>
      <c r="QY6036" s="106"/>
      <c r="QZ6036" s="106"/>
      <c r="RA6036" s="106"/>
      <c r="RB6036" s="106"/>
      <c r="RC6036" s="106"/>
      <c r="RD6036" s="106"/>
      <c r="RE6036" s="106"/>
      <c r="RF6036" s="106"/>
      <c r="RG6036" s="106"/>
      <c r="RH6036" s="106"/>
      <c r="RI6036" s="106"/>
      <c r="RJ6036" s="106"/>
      <c r="RK6036" s="106"/>
      <c r="RL6036" s="106"/>
    </row>
    <row r="6037" spans="462:480" x14ac:dyDescent="0.3">
      <c r="QT6037" s="106"/>
      <c r="QU6037" s="106"/>
      <c r="QV6037" s="106"/>
      <c r="QW6037" s="106"/>
      <c r="QX6037" s="106"/>
      <c r="QY6037" s="106"/>
      <c r="QZ6037" s="106"/>
      <c r="RA6037" s="106"/>
      <c r="RB6037" s="106"/>
      <c r="RC6037" s="106"/>
      <c r="RD6037" s="106"/>
      <c r="RE6037" s="106"/>
      <c r="RF6037" s="106"/>
      <c r="RG6037" s="106"/>
      <c r="RH6037" s="106"/>
      <c r="RI6037" s="106"/>
      <c r="RJ6037" s="106"/>
      <c r="RK6037" s="106"/>
      <c r="RL6037" s="106"/>
    </row>
    <row r="6038" spans="462:480" x14ac:dyDescent="0.3">
      <c r="QT6038" s="106"/>
      <c r="QU6038" s="106"/>
      <c r="QV6038" s="106"/>
      <c r="QW6038" s="106"/>
      <c r="QX6038" s="106"/>
      <c r="QY6038" s="106"/>
      <c r="QZ6038" s="106"/>
      <c r="RA6038" s="106"/>
      <c r="RB6038" s="106"/>
      <c r="RC6038" s="106"/>
      <c r="RD6038" s="106"/>
      <c r="RE6038" s="106"/>
      <c r="RF6038" s="106"/>
      <c r="RG6038" s="106"/>
      <c r="RH6038" s="106"/>
      <c r="RI6038" s="106"/>
      <c r="RJ6038" s="106"/>
      <c r="RK6038" s="106"/>
      <c r="RL6038" s="106"/>
    </row>
    <row r="6039" spans="462:480" x14ac:dyDescent="0.3">
      <c r="QT6039" s="106"/>
      <c r="QU6039" s="106"/>
      <c r="QV6039" s="106"/>
      <c r="QW6039" s="106"/>
      <c r="QX6039" s="106"/>
      <c r="QY6039" s="106"/>
      <c r="QZ6039" s="106"/>
      <c r="RA6039" s="106"/>
      <c r="RB6039" s="106"/>
      <c r="RC6039" s="106"/>
      <c r="RD6039" s="106"/>
      <c r="RE6039" s="106"/>
      <c r="RF6039" s="106"/>
      <c r="RG6039" s="106"/>
      <c r="RH6039" s="106"/>
      <c r="RI6039" s="106"/>
      <c r="RJ6039" s="106"/>
      <c r="RK6039" s="106"/>
      <c r="RL6039" s="106"/>
    </row>
    <row r="6040" spans="462:480" x14ac:dyDescent="0.3">
      <c r="QT6040" s="106"/>
      <c r="QU6040" s="106"/>
      <c r="QV6040" s="106"/>
      <c r="QW6040" s="106"/>
      <c r="QX6040" s="106"/>
      <c r="QY6040" s="106"/>
      <c r="QZ6040" s="106"/>
      <c r="RA6040" s="106"/>
      <c r="RB6040" s="106"/>
      <c r="RC6040" s="106"/>
      <c r="RD6040" s="106"/>
      <c r="RE6040" s="106"/>
      <c r="RF6040" s="106"/>
      <c r="RG6040" s="106"/>
      <c r="RH6040" s="106"/>
      <c r="RI6040" s="106"/>
      <c r="RJ6040" s="106"/>
      <c r="RK6040" s="106"/>
      <c r="RL6040" s="106"/>
    </row>
    <row r="6041" spans="462:480" x14ac:dyDescent="0.3">
      <c r="QT6041" s="106"/>
      <c r="QU6041" s="106"/>
      <c r="QV6041" s="106"/>
      <c r="QW6041" s="106"/>
      <c r="QX6041" s="106"/>
      <c r="QY6041" s="106"/>
      <c r="QZ6041" s="106"/>
      <c r="RA6041" s="106"/>
      <c r="RB6041" s="106"/>
      <c r="RC6041" s="106"/>
      <c r="RD6041" s="106"/>
      <c r="RE6041" s="106"/>
      <c r="RF6041" s="106"/>
      <c r="RG6041" s="106"/>
      <c r="RH6041" s="106"/>
      <c r="RI6041" s="106"/>
      <c r="RJ6041" s="106"/>
      <c r="RK6041" s="106"/>
      <c r="RL6041" s="106"/>
    </row>
    <row r="6042" spans="462:480" x14ac:dyDescent="0.3">
      <c r="QT6042" s="106"/>
      <c r="QU6042" s="106"/>
      <c r="QV6042" s="106"/>
      <c r="QW6042" s="106"/>
      <c r="QX6042" s="106"/>
      <c r="QY6042" s="106"/>
      <c r="QZ6042" s="106"/>
      <c r="RA6042" s="106"/>
      <c r="RB6042" s="106"/>
      <c r="RC6042" s="106"/>
      <c r="RD6042" s="106"/>
      <c r="RE6042" s="106"/>
      <c r="RF6042" s="106"/>
      <c r="RG6042" s="106"/>
      <c r="RH6042" s="106"/>
      <c r="RI6042" s="106"/>
      <c r="RJ6042" s="106"/>
      <c r="RK6042" s="106"/>
      <c r="RL6042" s="106"/>
    </row>
    <row r="6043" spans="462:480" x14ac:dyDescent="0.3">
      <c r="QT6043" s="106"/>
      <c r="QU6043" s="106"/>
      <c r="QV6043" s="106"/>
      <c r="QW6043" s="106"/>
      <c r="QX6043" s="106"/>
      <c r="QY6043" s="106"/>
      <c r="QZ6043" s="106"/>
      <c r="RA6043" s="106"/>
      <c r="RB6043" s="106"/>
      <c r="RC6043" s="106"/>
      <c r="RD6043" s="106"/>
      <c r="RE6043" s="106"/>
      <c r="RF6043" s="106"/>
      <c r="RG6043" s="106"/>
      <c r="RH6043" s="106"/>
      <c r="RI6043" s="106"/>
      <c r="RJ6043" s="106"/>
      <c r="RK6043" s="106"/>
      <c r="RL6043" s="106"/>
    </row>
    <row r="6044" spans="462:480" x14ac:dyDescent="0.3">
      <c r="QT6044" s="106"/>
      <c r="QU6044" s="106"/>
      <c r="QV6044" s="106"/>
      <c r="QW6044" s="106"/>
      <c r="QX6044" s="106"/>
      <c r="QY6044" s="106"/>
      <c r="QZ6044" s="106"/>
      <c r="RA6044" s="106"/>
      <c r="RB6044" s="106"/>
      <c r="RC6044" s="106"/>
      <c r="RD6044" s="106"/>
      <c r="RE6044" s="106"/>
      <c r="RF6044" s="106"/>
      <c r="RG6044" s="106"/>
      <c r="RH6044" s="106"/>
      <c r="RI6044" s="106"/>
      <c r="RJ6044" s="106"/>
      <c r="RK6044" s="106"/>
      <c r="RL6044" s="106"/>
    </row>
    <row r="6045" spans="462:480" x14ac:dyDescent="0.3">
      <c r="QT6045" s="106"/>
      <c r="QU6045" s="106"/>
      <c r="QV6045" s="106"/>
      <c r="QW6045" s="106"/>
      <c r="QX6045" s="106"/>
      <c r="QY6045" s="106"/>
      <c r="QZ6045" s="106"/>
      <c r="RA6045" s="106"/>
      <c r="RB6045" s="106"/>
      <c r="RC6045" s="106"/>
      <c r="RD6045" s="106"/>
      <c r="RE6045" s="106"/>
      <c r="RF6045" s="106"/>
      <c r="RG6045" s="106"/>
      <c r="RH6045" s="106"/>
      <c r="RI6045" s="106"/>
      <c r="RJ6045" s="106"/>
      <c r="RK6045" s="106"/>
      <c r="RL6045" s="106"/>
    </row>
    <row r="6046" spans="462:480" x14ac:dyDescent="0.3">
      <c r="QT6046" s="106"/>
      <c r="QU6046" s="106"/>
      <c r="QV6046" s="106"/>
      <c r="QW6046" s="106"/>
      <c r="QX6046" s="106"/>
      <c r="QY6046" s="106"/>
      <c r="QZ6046" s="106"/>
      <c r="RA6046" s="106"/>
      <c r="RB6046" s="106"/>
      <c r="RC6046" s="106"/>
      <c r="RD6046" s="106"/>
      <c r="RE6046" s="106"/>
      <c r="RF6046" s="106"/>
      <c r="RG6046" s="106"/>
      <c r="RH6046" s="106"/>
      <c r="RI6046" s="106"/>
      <c r="RJ6046" s="106"/>
      <c r="RK6046" s="106"/>
      <c r="RL6046" s="106"/>
    </row>
    <row r="6047" spans="462:480" x14ac:dyDescent="0.3">
      <c r="QT6047" s="106"/>
      <c r="QU6047" s="106"/>
      <c r="QV6047" s="106"/>
      <c r="QW6047" s="106"/>
      <c r="QX6047" s="106"/>
      <c r="QY6047" s="106"/>
      <c r="QZ6047" s="106"/>
      <c r="RA6047" s="106"/>
      <c r="RB6047" s="106"/>
      <c r="RC6047" s="106"/>
      <c r="RD6047" s="106"/>
      <c r="RE6047" s="106"/>
      <c r="RF6047" s="106"/>
      <c r="RG6047" s="106"/>
      <c r="RH6047" s="106"/>
      <c r="RI6047" s="106"/>
      <c r="RJ6047" s="106"/>
      <c r="RK6047" s="106"/>
      <c r="RL6047" s="106"/>
    </row>
    <row r="6048" spans="462:480" x14ac:dyDescent="0.3">
      <c r="QT6048" s="106"/>
      <c r="QU6048" s="106"/>
      <c r="QV6048" s="106"/>
      <c r="QW6048" s="106"/>
      <c r="QX6048" s="106"/>
      <c r="QY6048" s="106"/>
      <c r="QZ6048" s="106"/>
      <c r="RA6048" s="106"/>
      <c r="RB6048" s="106"/>
      <c r="RC6048" s="106"/>
      <c r="RD6048" s="106"/>
      <c r="RE6048" s="106"/>
      <c r="RF6048" s="106"/>
      <c r="RG6048" s="106"/>
      <c r="RH6048" s="106"/>
      <c r="RI6048" s="106"/>
      <c r="RJ6048" s="106"/>
      <c r="RK6048" s="106"/>
      <c r="RL6048" s="106"/>
    </row>
    <row r="6049" spans="462:480" x14ac:dyDescent="0.3">
      <c r="QT6049" s="106"/>
      <c r="QU6049" s="106"/>
      <c r="QV6049" s="106"/>
      <c r="QW6049" s="106"/>
      <c r="QX6049" s="106"/>
      <c r="QY6049" s="106"/>
      <c r="QZ6049" s="106"/>
      <c r="RA6049" s="106"/>
      <c r="RB6049" s="106"/>
      <c r="RC6049" s="106"/>
      <c r="RD6049" s="106"/>
      <c r="RE6049" s="106"/>
      <c r="RF6049" s="106"/>
      <c r="RG6049" s="106"/>
      <c r="RH6049" s="106"/>
      <c r="RI6049" s="106"/>
      <c r="RJ6049" s="106"/>
      <c r="RK6049" s="106"/>
      <c r="RL6049" s="106"/>
    </row>
    <row r="6050" spans="462:480" x14ac:dyDescent="0.3">
      <c r="QT6050" s="106"/>
      <c r="QU6050" s="106"/>
      <c r="QV6050" s="106"/>
      <c r="QW6050" s="106"/>
      <c r="QX6050" s="106"/>
      <c r="QY6050" s="106"/>
      <c r="QZ6050" s="106"/>
      <c r="RA6050" s="106"/>
      <c r="RB6050" s="106"/>
      <c r="RC6050" s="106"/>
      <c r="RD6050" s="106"/>
      <c r="RE6050" s="106"/>
      <c r="RF6050" s="106"/>
      <c r="RG6050" s="106"/>
      <c r="RH6050" s="106"/>
      <c r="RI6050" s="106"/>
      <c r="RJ6050" s="106"/>
      <c r="RK6050" s="106"/>
      <c r="RL6050" s="106"/>
    </row>
    <row r="6051" spans="462:480" x14ac:dyDescent="0.3">
      <c r="QT6051" s="106"/>
      <c r="QU6051" s="106"/>
      <c r="QV6051" s="106"/>
      <c r="QW6051" s="106"/>
      <c r="QX6051" s="106"/>
      <c r="QY6051" s="106"/>
      <c r="QZ6051" s="106"/>
      <c r="RA6051" s="106"/>
      <c r="RB6051" s="106"/>
      <c r="RC6051" s="106"/>
      <c r="RD6051" s="106"/>
      <c r="RE6051" s="106"/>
      <c r="RF6051" s="106"/>
      <c r="RG6051" s="106"/>
      <c r="RH6051" s="106"/>
      <c r="RI6051" s="106"/>
      <c r="RJ6051" s="106"/>
      <c r="RK6051" s="106"/>
      <c r="RL6051" s="106"/>
    </row>
    <row r="6052" spans="462:480" x14ac:dyDescent="0.3">
      <c r="QT6052" s="106"/>
      <c r="QU6052" s="106"/>
      <c r="QV6052" s="106"/>
      <c r="QW6052" s="106"/>
      <c r="QX6052" s="106"/>
      <c r="QY6052" s="106"/>
      <c r="QZ6052" s="106"/>
      <c r="RA6052" s="106"/>
      <c r="RB6052" s="106"/>
      <c r="RC6052" s="106"/>
      <c r="RD6052" s="106"/>
      <c r="RE6052" s="106"/>
      <c r="RF6052" s="106"/>
      <c r="RG6052" s="106"/>
      <c r="RH6052" s="106"/>
      <c r="RI6052" s="106"/>
      <c r="RJ6052" s="106"/>
      <c r="RK6052" s="106"/>
      <c r="RL6052" s="106"/>
    </row>
    <row r="6053" spans="462:480" x14ac:dyDescent="0.3">
      <c r="QT6053" s="106"/>
      <c r="QU6053" s="106"/>
      <c r="QV6053" s="106"/>
      <c r="QW6053" s="106"/>
      <c r="QX6053" s="106"/>
      <c r="QY6053" s="106"/>
      <c r="QZ6053" s="106"/>
      <c r="RA6053" s="106"/>
      <c r="RB6053" s="106"/>
      <c r="RC6053" s="106"/>
      <c r="RD6053" s="106"/>
      <c r="RE6053" s="106"/>
      <c r="RF6053" s="106"/>
      <c r="RG6053" s="106"/>
      <c r="RH6053" s="106"/>
      <c r="RI6053" s="106"/>
      <c r="RJ6053" s="106"/>
      <c r="RK6053" s="106"/>
      <c r="RL6053" s="106"/>
    </row>
    <row r="6054" spans="462:480" x14ac:dyDescent="0.3">
      <c r="QT6054" s="106"/>
      <c r="QU6054" s="106"/>
      <c r="QV6054" s="106"/>
      <c r="QW6054" s="106"/>
      <c r="QX6054" s="106"/>
      <c r="QY6054" s="106"/>
      <c r="QZ6054" s="106"/>
      <c r="RA6054" s="106"/>
      <c r="RB6054" s="106"/>
      <c r="RC6054" s="106"/>
      <c r="RD6054" s="106"/>
      <c r="RE6054" s="106"/>
      <c r="RF6054" s="106"/>
      <c r="RG6054" s="106"/>
      <c r="RH6054" s="106"/>
      <c r="RI6054" s="106"/>
      <c r="RJ6054" s="106"/>
      <c r="RK6054" s="106"/>
      <c r="RL6054" s="106"/>
    </row>
    <row r="6055" spans="462:480" x14ac:dyDescent="0.3">
      <c r="QT6055" s="106"/>
      <c r="QU6055" s="106"/>
      <c r="QV6055" s="106"/>
      <c r="QW6055" s="106"/>
      <c r="QX6055" s="106"/>
      <c r="QY6055" s="106"/>
      <c r="QZ6055" s="106"/>
      <c r="RA6055" s="106"/>
      <c r="RB6055" s="106"/>
      <c r="RC6055" s="106"/>
      <c r="RD6055" s="106"/>
      <c r="RE6055" s="106"/>
      <c r="RF6055" s="106"/>
      <c r="RG6055" s="106"/>
      <c r="RH6055" s="106"/>
      <c r="RI6055" s="106"/>
      <c r="RJ6055" s="106"/>
      <c r="RK6055" s="106"/>
      <c r="RL6055" s="106"/>
    </row>
    <row r="6056" spans="462:480" x14ac:dyDescent="0.3">
      <c r="QT6056" s="106"/>
      <c r="QU6056" s="106"/>
      <c r="QV6056" s="106"/>
      <c r="QW6056" s="106"/>
      <c r="QX6056" s="106"/>
      <c r="QY6056" s="106"/>
      <c r="QZ6056" s="106"/>
      <c r="RA6056" s="106"/>
      <c r="RB6056" s="106"/>
      <c r="RC6056" s="106"/>
      <c r="RD6056" s="106"/>
      <c r="RE6056" s="106"/>
      <c r="RF6056" s="106"/>
      <c r="RG6056" s="106"/>
      <c r="RH6056" s="106"/>
      <c r="RI6056" s="106"/>
      <c r="RJ6056" s="106"/>
      <c r="RK6056" s="106"/>
      <c r="RL6056" s="106"/>
    </row>
    <row r="6057" spans="462:480" x14ac:dyDescent="0.3">
      <c r="QT6057" s="106"/>
      <c r="QU6057" s="106"/>
      <c r="QV6057" s="106"/>
      <c r="QW6057" s="106"/>
      <c r="QX6057" s="106"/>
      <c r="QY6057" s="106"/>
      <c r="QZ6057" s="106"/>
      <c r="RA6057" s="106"/>
      <c r="RB6057" s="106"/>
      <c r="RC6057" s="106"/>
      <c r="RD6057" s="106"/>
      <c r="RE6057" s="106"/>
      <c r="RF6057" s="106"/>
      <c r="RG6057" s="106"/>
      <c r="RH6057" s="106"/>
      <c r="RI6057" s="106"/>
      <c r="RJ6057" s="106"/>
      <c r="RK6057" s="106"/>
      <c r="RL6057" s="106"/>
    </row>
    <row r="6058" spans="462:480" x14ac:dyDescent="0.3">
      <c r="QT6058" s="106"/>
      <c r="QU6058" s="106"/>
      <c r="QV6058" s="106"/>
      <c r="QW6058" s="106"/>
      <c r="QX6058" s="106"/>
      <c r="QY6058" s="106"/>
      <c r="QZ6058" s="106"/>
      <c r="RA6058" s="106"/>
      <c r="RB6058" s="106"/>
      <c r="RC6058" s="106"/>
      <c r="RD6058" s="106"/>
      <c r="RE6058" s="106"/>
      <c r="RF6058" s="106"/>
      <c r="RG6058" s="106"/>
      <c r="RH6058" s="106"/>
      <c r="RI6058" s="106"/>
      <c r="RJ6058" s="106"/>
      <c r="RK6058" s="106"/>
      <c r="RL6058" s="106"/>
    </row>
    <row r="6059" spans="462:480" x14ac:dyDescent="0.3">
      <c r="QT6059" s="106"/>
      <c r="QU6059" s="106"/>
      <c r="QV6059" s="106"/>
      <c r="QW6059" s="106"/>
      <c r="QX6059" s="106"/>
      <c r="QY6059" s="106"/>
      <c r="QZ6059" s="106"/>
      <c r="RA6059" s="106"/>
      <c r="RB6059" s="106"/>
      <c r="RC6059" s="106"/>
      <c r="RD6059" s="106"/>
      <c r="RE6059" s="106"/>
      <c r="RF6059" s="106"/>
      <c r="RG6059" s="106"/>
      <c r="RH6059" s="106"/>
      <c r="RI6059" s="106"/>
      <c r="RJ6059" s="106"/>
      <c r="RK6059" s="106"/>
      <c r="RL6059" s="106"/>
    </row>
    <row r="6060" spans="462:480" x14ac:dyDescent="0.3">
      <c r="QT6060" s="106"/>
      <c r="QU6060" s="106"/>
      <c r="QV6060" s="106"/>
      <c r="QW6060" s="106"/>
      <c r="QX6060" s="106"/>
      <c r="QY6060" s="106"/>
      <c r="QZ6060" s="106"/>
      <c r="RA6060" s="106"/>
      <c r="RB6060" s="106"/>
      <c r="RC6060" s="106"/>
      <c r="RD6060" s="106"/>
      <c r="RE6060" s="106"/>
      <c r="RF6060" s="106"/>
      <c r="RG6060" s="106"/>
      <c r="RH6060" s="106"/>
      <c r="RI6060" s="106"/>
      <c r="RJ6060" s="106"/>
      <c r="RK6060" s="106"/>
      <c r="RL6060" s="106"/>
    </row>
    <row r="6061" spans="462:480" x14ac:dyDescent="0.3">
      <c r="QT6061" s="106"/>
      <c r="QU6061" s="106"/>
      <c r="QV6061" s="106"/>
      <c r="QW6061" s="106"/>
      <c r="QX6061" s="106"/>
      <c r="QY6061" s="106"/>
      <c r="QZ6061" s="106"/>
      <c r="RA6061" s="106"/>
      <c r="RB6061" s="106"/>
      <c r="RC6061" s="106"/>
      <c r="RD6061" s="106"/>
      <c r="RE6061" s="106"/>
      <c r="RF6061" s="106"/>
      <c r="RG6061" s="106"/>
      <c r="RH6061" s="106"/>
      <c r="RI6061" s="106"/>
      <c r="RJ6061" s="106"/>
      <c r="RK6061" s="106"/>
      <c r="RL6061" s="106"/>
    </row>
    <row r="6062" spans="462:480" x14ac:dyDescent="0.3">
      <c r="QT6062" s="106"/>
      <c r="QU6062" s="106"/>
      <c r="QV6062" s="106"/>
      <c r="QW6062" s="106"/>
      <c r="QX6062" s="106"/>
      <c r="QY6062" s="106"/>
      <c r="QZ6062" s="106"/>
      <c r="RA6062" s="106"/>
      <c r="RB6062" s="106"/>
      <c r="RC6062" s="106"/>
      <c r="RD6062" s="106"/>
      <c r="RE6062" s="106"/>
      <c r="RF6062" s="106"/>
      <c r="RG6062" s="106"/>
      <c r="RH6062" s="106"/>
      <c r="RI6062" s="106"/>
      <c r="RJ6062" s="106"/>
      <c r="RK6062" s="106"/>
      <c r="RL6062" s="106"/>
    </row>
    <row r="6063" spans="462:480" x14ac:dyDescent="0.3">
      <c r="QT6063" s="106"/>
      <c r="QU6063" s="106"/>
      <c r="QV6063" s="106"/>
      <c r="QW6063" s="106"/>
      <c r="QX6063" s="106"/>
      <c r="QY6063" s="106"/>
      <c r="QZ6063" s="106"/>
      <c r="RA6063" s="106"/>
      <c r="RB6063" s="106"/>
      <c r="RC6063" s="106"/>
      <c r="RD6063" s="106"/>
      <c r="RE6063" s="106"/>
      <c r="RF6063" s="106"/>
      <c r="RG6063" s="106"/>
      <c r="RH6063" s="106"/>
      <c r="RI6063" s="106"/>
      <c r="RJ6063" s="106"/>
      <c r="RK6063" s="106"/>
      <c r="RL6063" s="106"/>
    </row>
    <row r="6064" spans="462:480" x14ac:dyDescent="0.3">
      <c r="QT6064" s="106"/>
      <c r="QU6064" s="106"/>
      <c r="QV6064" s="106"/>
      <c r="QW6064" s="106"/>
      <c r="QX6064" s="106"/>
      <c r="QY6064" s="106"/>
      <c r="QZ6064" s="106"/>
      <c r="RA6064" s="106"/>
      <c r="RB6064" s="106"/>
      <c r="RC6064" s="106"/>
      <c r="RD6064" s="106"/>
      <c r="RE6064" s="106"/>
      <c r="RF6064" s="106"/>
      <c r="RG6064" s="106"/>
      <c r="RH6064" s="106"/>
      <c r="RI6064" s="106"/>
      <c r="RJ6064" s="106"/>
      <c r="RK6064" s="106"/>
      <c r="RL6064" s="106"/>
    </row>
    <row r="6065" spans="462:480" x14ac:dyDescent="0.3">
      <c r="QT6065" s="106"/>
      <c r="QU6065" s="106"/>
      <c r="QV6065" s="106"/>
      <c r="QW6065" s="106"/>
      <c r="QX6065" s="106"/>
      <c r="QY6065" s="106"/>
      <c r="QZ6065" s="106"/>
      <c r="RA6065" s="106"/>
      <c r="RB6065" s="106"/>
      <c r="RC6065" s="106"/>
      <c r="RD6065" s="106"/>
      <c r="RE6065" s="106"/>
      <c r="RF6065" s="106"/>
      <c r="RG6065" s="106"/>
      <c r="RH6065" s="106"/>
      <c r="RI6065" s="106"/>
      <c r="RJ6065" s="106"/>
      <c r="RK6065" s="106"/>
      <c r="RL6065" s="106"/>
    </row>
    <row r="6066" spans="462:480" x14ac:dyDescent="0.3">
      <c r="QT6066" s="106"/>
      <c r="QU6066" s="106"/>
      <c r="QV6066" s="106"/>
      <c r="QW6066" s="106"/>
      <c r="QX6066" s="106"/>
      <c r="QY6066" s="106"/>
      <c r="QZ6066" s="106"/>
      <c r="RA6066" s="106"/>
      <c r="RB6066" s="106"/>
      <c r="RC6066" s="106"/>
      <c r="RD6066" s="106"/>
      <c r="RE6066" s="106"/>
      <c r="RF6066" s="106"/>
      <c r="RG6066" s="106"/>
      <c r="RH6066" s="106"/>
      <c r="RI6066" s="106"/>
      <c r="RJ6066" s="106"/>
      <c r="RK6066" s="106"/>
      <c r="RL6066" s="106"/>
    </row>
    <row r="6067" spans="462:480" x14ac:dyDescent="0.3">
      <c r="QT6067" s="106"/>
      <c r="QU6067" s="106"/>
      <c r="QV6067" s="106"/>
      <c r="QW6067" s="106"/>
      <c r="QX6067" s="106"/>
      <c r="QY6067" s="106"/>
      <c r="QZ6067" s="106"/>
      <c r="RA6067" s="106"/>
      <c r="RB6067" s="106"/>
      <c r="RC6067" s="106"/>
      <c r="RD6067" s="106"/>
      <c r="RE6067" s="106"/>
      <c r="RF6067" s="106"/>
      <c r="RG6067" s="106"/>
      <c r="RH6067" s="106"/>
      <c r="RI6067" s="106"/>
      <c r="RJ6067" s="106"/>
      <c r="RK6067" s="106"/>
      <c r="RL6067" s="106"/>
    </row>
    <row r="6068" spans="462:480" x14ac:dyDescent="0.3">
      <c r="QT6068" s="106"/>
      <c r="QU6068" s="106"/>
      <c r="QV6068" s="106"/>
      <c r="QW6068" s="106"/>
      <c r="QX6068" s="106"/>
      <c r="QY6068" s="106"/>
      <c r="QZ6068" s="106"/>
      <c r="RA6068" s="106"/>
      <c r="RB6068" s="106"/>
      <c r="RC6068" s="106"/>
      <c r="RD6068" s="106"/>
      <c r="RE6068" s="106"/>
      <c r="RF6068" s="106"/>
      <c r="RG6068" s="106"/>
      <c r="RH6068" s="106"/>
      <c r="RI6068" s="106"/>
      <c r="RJ6068" s="106"/>
      <c r="RK6068" s="106"/>
      <c r="RL6068" s="106"/>
    </row>
    <row r="6069" spans="462:480" x14ac:dyDescent="0.3">
      <c r="QT6069" s="106"/>
      <c r="QU6069" s="106"/>
      <c r="QV6069" s="106"/>
      <c r="QW6069" s="106"/>
      <c r="QX6069" s="106"/>
      <c r="QY6069" s="106"/>
      <c r="QZ6069" s="106"/>
      <c r="RA6069" s="106"/>
      <c r="RB6069" s="106"/>
      <c r="RC6069" s="106"/>
      <c r="RD6069" s="106"/>
      <c r="RE6069" s="106"/>
      <c r="RF6069" s="106"/>
      <c r="RG6069" s="106"/>
      <c r="RH6069" s="106"/>
      <c r="RI6069" s="106"/>
      <c r="RJ6069" s="106"/>
      <c r="RK6069" s="106"/>
      <c r="RL6069" s="106"/>
    </row>
    <row r="6070" spans="462:480" x14ac:dyDescent="0.3">
      <c r="QT6070" s="106"/>
      <c r="QU6070" s="106"/>
      <c r="QV6070" s="106"/>
      <c r="QW6070" s="106"/>
      <c r="QX6070" s="106"/>
      <c r="QY6070" s="106"/>
      <c r="QZ6070" s="106"/>
      <c r="RA6070" s="106"/>
      <c r="RB6070" s="106"/>
      <c r="RC6070" s="106"/>
      <c r="RD6070" s="106"/>
      <c r="RE6070" s="106"/>
      <c r="RF6070" s="106"/>
      <c r="RG6070" s="106"/>
      <c r="RH6070" s="106"/>
      <c r="RI6070" s="106"/>
      <c r="RJ6070" s="106"/>
      <c r="RK6070" s="106"/>
      <c r="RL6070" s="106"/>
    </row>
    <row r="6071" spans="462:480" x14ac:dyDescent="0.3">
      <c r="QT6071" s="106"/>
      <c r="QU6071" s="106"/>
      <c r="QV6071" s="106"/>
      <c r="QW6071" s="106"/>
      <c r="QX6071" s="106"/>
      <c r="QY6071" s="106"/>
      <c r="QZ6071" s="106"/>
      <c r="RA6071" s="106"/>
      <c r="RB6071" s="106"/>
      <c r="RC6071" s="106"/>
      <c r="RD6071" s="106"/>
      <c r="RE6071" s="106"/>
      <c r="RF6071" s="106"/>
      <c r="RG6071" s="106"/>
      <c r="RH6071" s="106"/>
      <c r="RI6071" s="106"/>
      <c r="RJ6071" s="106"/>
      <c r="RK6071" s="106"/>
      <c r="RL6071" s="106"/>
    </row>
    <row r="6072" spans="462:480" x14ac:dyDescent="0.3">
      <c r="QT6072" s="106"/>
      <c r="QU6072" s="106"/>
      <c r="QV6072" s="106"/>
      <c r="QW6072" s="106"/>
      <c r="QX6072" s="106"/>
      <c r="QY6072" s="106"/>
      <c r="QZ6072" s="106"/>
      <c r="RA6072" s="106"/>
      <c r="RB6072" s="106"/>
      <c r="RC6072" s="106"/>
      <c r="RD6072" s="106"/>
      <c r="RE6072" s="106"/>
      <c r="RF6072" s="106"/>
      <c r="RG6072" s="106"/>
      <c r="RH6072" s="106"/>
      <c r="RI6072" s="106"/>
      <c r="RJ6072" s="106"/>
      <c r="RK6072" s="106"/>
      <c r="RL6072" s="106"/>
    </row>
    <row r="6073" spans="462:480" x14ac:dyDescent="0.3">
      <c r="QT6073" s="106"/>
      <c r="QU6073" s="106"/>
      <c r="QV6073" s="106"/>
      <c r="QW6073" s="106"/>
      <c r="QX6073" s="106"/>
      <c r="QY6073" s="106"/>
      <c r="QZ6073" s="106"/>
      <c r="RA6073" s="106"/>
      <c r="RB6073" s="106"/>
      <c r="RC6073" s="106"/>
      <c r="RD6073" s="106"/>
      <c r="RE6073" s="106"/>
      <c r="RF6073" s="106"/>
      <c r="RG6073" s="106"/>
      <c r="RH6073" s="106"/>
      <c r="RI6073" s="106"/>
      <c r="RJ6073" s="106"/>
      <c r="RK6073" s="106"/>
      <c r="RL6073" s="106"/>
    </row>
    <row r="6074" spans="462:480" x14ac:dyDescent="0.3">
      <c r="QT6074" s="106"/>
      <c r="QU6074" s="106"/>
      <c r="QV6074" s="106"/>
      <c r="QW6074" s="106"/>
      <c r="QX6074" s="106"/>
      <c r="QY6074" s="106"/>
      <c r="QZ6074" s="106"/>
      <c r="RA6074" s="106"/>
      <c r="RB6074" s="106"/>
      <c r="RC6074" s="106"/>
      <c r="RD6074" s="106"/>
      <c r="RE6074" s="106"/>
      <c r="RF6074" s="106"/>
      <c r="RG6074" s="106"/>
      <c r="RH6074" s="106"/>
      <c r="RI6074" s="106"/>
      <c r="RJ6074" s="106"/>
      <c r="RK6074" s="106"/>
      <c r="RL6074" s="106"/>
    </row>
    <row r="6075" spans="462:480" x14ac:dyDescent="0.3">
      <c r="QT6075" s="106"/>
      <c r="QU6075" s="106"/>
      <c r="QV6075" s="106"/>
      <c r="QW6075" s="106"/>
      <c r="QX6075" s="106"/>
      <c r="QY6075" s="106"/>
      <c r="QZ6075" s="106"/>
      <c r="RA6075" s="106"/>
      <c r="RB6075" s="106"/>
      <c r="RC6075" s="106"/>
      <c r="RD6075" s="106"/>
      <c r="RE6075" s="106"/>
      <c r="RF6075" s="106"/>
      <c r="RG6075" s="106"/>
      <c r="RH6075" s="106"/>
      <c r="RI6075" s="106"/>
      <c r="RJ6075" s="106"/>
      <c r="RK6075" s="106"/>
      <c r="RL6075" s="106"/>
    </row>
    <row r="6076" spans="462:480" x14ac:dyDescent="0.3">
      <c r="QT6076" s="106"/>
      <c r="QU6076" s="106"/>
      <c r="QV6076" s="106"/>
      <c r="QW6076" s="106"/>
      <c r="QX6076" s="106"/>
      <c r="QY6076" s="106"/>
      <c r="QZ6076" s="106"/>
      <c r="RA6076" s="106"/>
      <c r="RB6076" s="106"/>
      <c r="RC6076" s="106"/>
      <c r="RD6076" s="106"/>
      <c r="RE6076" s="106"/>
      <c r="RF6076" s="106"/>
      <c r="RG6076" s="106"/>
      <c r="RH6076" s="106"/>
      <c r="RI6076" s="106"/>
      <c r="RJ6076" s="106"/>
      <c r="RK6076" s="106"/>
      <c r="RL6076" s="106"/>
    </row>
    <row r="6077" spans="462:480" x14ac:dyDescent="0.3">
      <c r="QT6077" s="106"/>
      <c r="QU6077" s="106"/>
      <c r="QV6077" s="106"/>
      <c r="QW6077" s="106"/>
      <c r="QX6077" s="106"/>
      <c r="QY6077" s="106"/>
      <c r="QZ6077" s="106"/>
      <c r="RA6077" s="106"/>
      <c r="RB6077" s="106"/>
      <c r="RC6077" s="106"/>
      <c r="RD6077" s="106"/>
      <c r="RE6077" s="106"/>
      <c r="RF6077" s="106"/>
      <c r="RG6077" s="106"/>
      <c r="RH6077" s="106"/>
      <c r="RI6077" s="106"/>
      <c r="RJ6077" s="106"/>
      <c r="RK6077" s="106"/>
      <c r="RL6077" s="106"/>
    </row>
    <row r="6078" spans="462:480" x14ac:dyDescent="0.3">
      <c r="QT6078" s="106"/>
      <c r="QU6078" s="106"/>
      <c r="QV6078" s="106"/>
      <c r="QW6078" s="106"/>
      <c r="QX6078" s="106"/>
      <c r="QY6078" s="106"/>
      <c r="QZ6078" s="106"/>
      <c r="RA6078" s="106"/>
      <c r="RB6078" s="106"/>
      <c r="RC6078" s="106"/>
      <c r="RD6078" s="106"/>
      <c r="RE6078" s="106"/>
      <c r="RF6078" s="106"/>
      <c r="RG6078" s="106"/>
      <c r="RH6078" s="106"/>
      <c r="RI6078" s="106"/>
      <c r="RJ6078" s="106"/>
      <c r="RK6078" s="106"/>
      <c r="RL6078" s="106"/>
    </row>
    <row r="6079" spans="462:480" x14ac:dyDescent="0.3">
      <c r="QT6079" s="106"/>
      <c r="QU6079" s="106"/>
      <c r="QV6079" s="106"/>
      <c r="QW6079" s="106"/>
      <c r="QX6079" s="106"/>
      <c r="QY6079" s="106"/>
      <c r="QZ6079" s="106"/>
      <c r="RA6079" s="106"/>
      <c r="RB6079" s="106"/>
      <c r="RC6079" s="106"/>
      <c r="RD6079" s="106"/>
      <c r="RE6079" s="106"/>
      <c r="RF6079" s="106"/>
      <c r="RG6079" s="106"/>
      <c r="RH6079" s="106"/>
      <c r="RI6079" s="106"/>
      <c r="RJ6079" s="106"/>
      <c r="RK6079" s="106"/>
      <c r="RL6079" s="106"/>
    </row>
    <row r="6080" spans="462:480" x14ac:dyDescent="0.3">
      <c r="QT6080" s="106"/>
      <c r="QU6080" s="106"/>
      <c r="QV6080" s="106"/>
      <c r="QW6080" s="106"/>
      <c r="QX6080" s="106"/>
      <c r="QY6080" s="106"/>
      <c r="QZ6080" s="106"/>
      <c r="RA6080" s="106"/>
      <c r="RB6080" s="106"/>
      <c r="RC6080" s="106"/>
      <c r="RD6080" s="106"/>
      <c r="RE6080" s="106"/>
      <c r="RF6080" s="106"/>
      <c r="RG6080" s="106"/>
      <c r="RH6080" s="106"/>
      <c r="RI6080" s="106"/>
      <c r="RJ6080" s="106"/>
      <c r="RK6080" s="106"/>
      <c r="RL6080" s="106"/>
    </row>
    <row r="6081" spans="462:480" x14ac:dyDescent="0.3">
      <c r="QT6081" s="106"/>
      <c r="QU6081" s="106"/>
      <c r="QV6081" s="106"/>
      <c r="QW6081" s="106"/>
      <c r="QX6081" s="106"/>
      <c r="QY6081" s="106"/>
      <c r="QZ6081" s="106"/>
      <c r="RA6081" s="106"/>
      <c r="RB6081" s="106"/>
      <c r="RC6081" s="106"/>
      <c r="RD6081" s="106"/>
      <c r="RE6081" s="106"/>
      <c r="RF6081" s="106"/>
      <c r="RG6081" s="106"/>
      <c r="RH6081" s="106"/>
      <c r="RI6081" s="106"/>
      <c r="RJ6081" s="106"/>
      <c r="RK6081" s="106"/>
      <c r="RL6081" s="106"/>
    </row>
    <row r="6082" spans="462:480" x14ac:dyDescent="0.3">
      <c r="QT6082" s="106"/>
      <c r="QU6082" s="106"/>
      <c r="QV6082" s="106"/>
      <c r="QW6082" s="106"/>
      <c r="QX6082" s="106"/>
      <c r="QY6082" s="106"/>
      <c r="QZ6082" s="106"/>
      <c r="RA6082" s="106"/>
      <c r="RB6082" s="106"/>
      <c r="RC6082" s="106"/>
      <c r="RD6082" s="106"/>
      <c r="RE6082" s="106"/>
      <c r="RF6082" s="106"/>
      <c r="RG6082" s="106"/>
      <c r="RH6082" s="106"/>
      <c r="RI6082" s="106"/>
      <c r="RJ6082" s="106"/>
      <c r="RK6082" s="106"/>
      <c r="RL6082" s="106"/>
    </row>
    <row r="6083" spans="462:480" x14ac:dyDescent="0.3">
      <c r="QT6083" s="106"/>
      <c r="QU6083" s="106"/>
      <c r="QV6083" s="106"/>
      <c r="QW6083" s="106"/>
      <c r="QX6083" s="106"/>
      <c r="QY6083" s="106"/>
      <c r="QZ6083" s="106"/>
      <c r="RA6083" s="106"/>
      <c r="RB6083" s="106"/>
      <c r="RC6083" s="106"/>
      <c r="RD6083" s="106"/>
      <c r="RE6083" s="106"/>
      <c r="RF6083" s="106"/>
      <c r="RG6083" s="106"/>
      <c r="RH6083" s="106"/>
      <c r="RI6083" s="106"/>
      <c r="RJ6083" s="106"/>
      <c r="RK6083" s="106"/>
      <c r="RL6083" s="106"/>
    </row>
    <row r="6084" spans="462:480" x14ac:dyDescent="0.3">
      <c r="QT6084" s="106"/>
      <c r="QU6084" s="106"/>
      <c r="QV6084" s="106"/>
      <c r="QW6084" s="106"/>
      <c r="QX6084" s="106"/>
      <c r="QY6084" s="106"/>
      <c r="QZ6084" s="106"/>
      <c r="RA6084" s="106"/>
      <c r="RB6084" s="106"/>
      <c r="RC6084" s="106"/>
      <c r="RD6084" s="106"/>
      <c r="RE6084" s="106"/>
      <c r="RF6084" s="106"/>
      <c r="RG6084" s="106"/>
      <c r="RH6084" s="106"/>
      <c r="RI6084" s="106"/>
      <c r="RJ6084" s="106"/>
      <c r="RK6084" s="106"/>
      <c r="RL6084" s="106"/>
    </row>
    <row r="6085" spans="462:480" x14ac:dyDescent="0.3">
      <c r="QT6085" s="106"/>
      <c r="QU6085" s="106"/>
      <c r="QV6085" s="106"/>
      <c r="QW6085" s="106"/>
      <c r="QX6085" s="106"/>
      <c r="QY6085" s="106"/>
      <c r="QZ6085" s="106"/>
      <c r="RA6085" s="106"/>
      <c r="RB6085" s="106"/>
      <c r="RC6085" s="106"/>
      <c r="RD6085" s="106"/>
      <c r="RE6085" s="106"/>
      <c r="RF6085" s="106"/>
      <c r="RG6085" s="106"/>
      <c r="RH6085" s="106"/>
      <c r="RI6085" s="106"/>
      <c r="RJ6085" s="106"/>
      <c r="RK6085" s="106"/>
      <c r="RL6085" s="106"/>
    </row>
    <row r="6086" spans="462:480" x14ac:dyDescent="0.3">
      <c r="QT6086" s="106"/>
      <c r="QU6086" s="106"/>
      <c r="QV6086" s="106"/>
      <c r="QW6086" s="106"/>
      <c r="QX6086" s="106"/>
      <c r="QY6086" s="106"/>
      <c r="QZ6086" s="106"/>
      <c r="RA6086" s="106"/>
      <c r="RB6086" s="106"/>
      <c r="RC6086" s="106"/>
      <c r="RD6086" s="106"/>
      <c r="RE6086" s="106"/>
      <c r="RF6086" s="106"/>
      <c r="RG6086" s="106"/>
      <c r="RH6086" s="106"/>
      <c r="RI6086" s="106"/>
      <c r="RJ6086" s="106"/>
      <c r="RK6086" s="106"/>
      <c r="RL6086" s="106"/>
    </row>
    <row r="6087" spans="462:480" x14ac:dyDescent="0.3">
      <c r="QT6087" s="106"/>
      <c r="QU6087" s="106"/>
      <c r="QV6087" s="106"/>
      <c r="QW6087" s="106"/>
      <c r="QX6087" s="106"/>
      <c r="QY6087" s="106"/>
      <c r="QZ6087" s="106"/>
      <c r="RA6087" s="106"/>
      <c r="RB6087" s="106"/>
      <c r="RC6087" s="106"/>
      <c r="RD6087" s="106"/>
      <c r="RE6087" s="106"/>
      <c r="RF6087" s="106"/>
      <c r="RG6087" s="106"/>
      <c r="RH6087" s="106"/>
      <c r="RI6087" s="106"/>
      <c r="RJ6087" s="106"/>
      <c r="RK6087" s="106"/>
      <c r="RL6087" s="106"/>
    </row>
    <row r="6088" spans="462:480" x14ac:dyDescent="0.3">
      <c r="QT6088" s="106"/>
      <c r="QU6088" s="106"/>
      <c r="QV6088" s="106"/>
      <c r="QW6088" s="106"/>
      <c r="QX6088" s="106"/>
      <c r="QY6088" s="106"/>
      <c r="QZ6088" s="106"/>
      <c r="RA6088" s="106"/>
      <c r="RB6088" s="106"/>
      <c r="RC6088" s="106"/>
      <c r="RD6088" s="106"/>
      <c r="RE6088" s="106"/>
      <c r="RF6088" s="106"/>
      <c r="RG6088" s="106"/>
      <c r="RH6088" s="106"/>
      <c r="RI6088" s="106"/>
      <c r="RJ6088" s="106"/>
      <c r="RK6088" s="106"/>
      <c r="RL6088" s="106"/>
    </row>
    <row r="6089" spans="462:480" x14ac:dyDescent="0.3">
      <c r="QT6089" s="106"/>
      <c r="QU6089" s="106"/>
      <c r="QV6089" s="106"/>
      <c r="QW6089" s="106"/>
      <c r="QX6089" s="106"/>
      <c r="QY6089" s="106"/>
      <c r="QZ6089" s="106"/>
      <c r="RA6089" s="106"/>
      <c r="RB6089" s="106"/>
      <c r="RC6089" s="106"/>
      <c r="RD6089" s="106"/>
      <c r="RE6089" s="106"/>
      <c r="RF6089" s="106"/>
      <c r="RG6089" s="106"/>
      <c r="RH6089" s="106"/>
      <c r="RI6089" s="106"/>
      <c r="RJ6089" s="106"/>
      <c r="RK6089" s="106"/>
      <c r="RL6089" s="106"/>
    </row>
    <row r="6090" spans="462:480" x14ac:dyDescent="0.3">
      <c r="QT6090" s="106"/>
      <c r="QU6090" s="106"/>
      <c r="QV6090" s="106"/>
      <c r="QW6090" s="106"/>
      <c r="QX6090" s="106"/>
      <c r="QY6090" s="106"/>
      <c r="QZ6090" s="106"/>
      <c r="RA6090" s="106"/>
      <c r="RB6090" s="106"/>
      <c r="RC6090" s="106"/>
      <c r="RD6090" s="106"/>
      <c r="RE6090" s="106"/>
      <c r="RF6090" s="106"/>
      <c r="RG6090" s="106"/>
      <c r="RH6090" s="106"/>
      <c r="RI6090" s="106"/>
      <c r="RJ6090" s="106"/>
      <c r="RK6090" s="106"/>
      <c r="RL6090" s="106"/>
    </row>
    <row r="6091" spans="462:480" x14ac:dyDescent="0.3">
      <c r="QT6091" s="106"/>
      <c r="QU6091" s="106"/>
      <c r="QV6091" s="106"/>
      <c r="QW6091" s="106"/>
      <c r="QX6091" s="106"/>
      <c r="QY6091" s="106"/>
      <c r="QZ6091" s="106"/>
      <c r="RA6091" s="106"/>
      <c r="RB6091" s="106"/>
      <c r="RC6091" s="106"/>
      <c r="RD6091" s="106"/>
      <c r="RE6091" s="106"/>
      <c r="RF6091" s="106"/>
      <c r="RG6091" s="106"/>
      <c r="RH6091" s="106"/>
      <c r="RI6091" s="106"/>
      <c r="RJ6091" s="106"/>
      <c r="RK6091" s="106"/>
      <c r="RL6091" s="106"/>
    </row>
    <row r="6092" spans="462:480" x14ac:dyDescent="0.3">
      <c r="QT6092" s="106"/>
      <c r="QU6092" s="106"/>
      <c r="QV6092" s="106"/>
      <c r="QW6092" s="106"/>
      <c r="QX6092" s="106"/>
      <c r="QY6092" s="106"/>
      <c r="QZ6092" s="106"/>
      <c r="RA6092" s="106"/>
      <c r="RB6092" s="106"/>
      <c r="RC6092" s="106"/>
      <c r="RD6092" s="106"/>
      <c r="RE6092" s="106"/>
      <c r="RF6092" s="106"/>
      <c r="RG6092" s="106"/>
      <c r="RH6092" s="106"/>
      <c r="RI6092" s="106"/>
      <c r="RJ6092" s="106"/>
      <c r="RK6092" s="106"/>
      <c r="RL6092" s="106"/>
    </row>
    <row r="6093" spans="462:480" x14ac:dyDescent="0.3">
      <c r="QT6093" s="106"/>
      <c r="QU6093" s="106"/>
      <c r="QV6093" s="106"/>
      <c r="QW6093" s="106"/>
      <c r="QX6093" s="106"/>
      <c r="QY6093" s="106"/>
      <c r="QZ6093" s="106"/>
      <c r="RA6093" s="106"/>
      <c r="RB6093" s="106"/>
      <c r="RC6093" s="106"/>
      <c r="RD6093" s="106"/>
      <c r="RE6093" s="106"/>
      <c r="RF6093" s="106"/>
      <c r="RG6093" s="106"/>
      <c r="RH6093" s="106"/>
      <c r="RI6093" s="106"/>
      <c r="RJ6093" s="106"/>
      <c r="RK6093" s="106"/>
      <c r="RL6093" s="106"/>
    </row>
    <row r="6094" spans="462:480" x14ac:dyDescent="0.3">
      <c r="QT6094" s="106"/>
      <c r="QU6094" s="106"/>
      <c r="QV6094" s="106"/>
      <c r="QW6094" s="106"/>
      <c r="QX6094" s="106"/>
      <c r="QY6094" s="106"/>
      <c r="QZ6094" s="106"/>
      <c r="RA6094" s="106"/>
      <c r="RB6094" s="106"/>
      <c r="RC6094" s="106"/>
      <c r="RD6094" s="106"/>
      <c r="RE6094" s="106"/>
      <c r="RF6094" s="106"/>
      <c r="RG6094" s="106"/>
      <c r="RH6094" s="106"/>
      <c r="RI6094" s="106"/>
      <c r="RJ6094" s="106"/>
      <c r="RK6094" s="106"/>
      <c r="RL6094" s="106"/>
    </row>
    <row r="6095" spans="462:480" x14ac:dyDescent="0.3">
      <c r="QT6095" s="106"/>
      <c r="QU6095" s="106"/>
      <c r="QV6095" s="106"/>
      <c r="QW6095" s="106"/>
      <c r="QX6095" s="106"/>
      <c r="QY6095" s="106"/>
      <c r="QZ6095" s="106"/>
      <c r="RA6095" s="106"/>
      <c r="RB6095" s="106"/>
      <c r="RC6095" s="106"/>
      <c r="RD6095" s="106"/>
      <c r="RE6095" s="106"/>
      <c r="RF6095" s="106"/>
      <c r="RG6095" s="106"/>
      <c r="RH6095" s="106"/>
      <c r="RI6095" s="106"/>
      <c r="RJ6095" s="106"/>
      <c r="RK6095" s="106"/>
      <c r="RL6095" s="106"/>
    </row>
    <row r="6096" spans="462:480" x14ac:dyDescent="0.3">
      <c r="QT6096" s="106"/>
      <c r="QU6096" s="106"/>
      <c r="QV6096" s="106"/>
      <c r="QW6096" s="106"/>
      <c r="QX6096" s="106"/>
      <c r="QY6096" s="106"/>
      <c r="QZ6096" s="106"/>
      <c r="RA6096" s="106"/>
      <c r="RB6096" s="106"/>
      <c r="RC6096" s="106"/>
      <c r="RD6096" s="106"/>
      <c r="RE6096" s="106"/>
      <c r="RF6096" s="106"/>
      <c r="RG6096" s="106"/>
      <c r="RH6096" s="106"/>
      <c r="RI6096" s="106"/>
      <c r="RJ6096" s="106"/>
      <c r="RK6096" s="106"/>
      <c r="RL6096" s="106"/>
    </row>
    <row r="6097" spans="462:480" x14ac:dyDescent="0.3">
      <c r="QT6097" s="106"/>
      <c r="QU6097" s="106"/>
      <c r="QV6097" s="106"/>
      <c r="QW6097" s="106"/>
      <c r="QX6097" s="106"/>
      <c r="QY6097" s="106"/>
      <c r="QZ6097" s="106"/>
      <c r="RA6097" s="106"/>
      <c r="RB6097" s="106"/>
      <c r="RC6097" s="106"/>
      <c r="RD6097" s="106"/>
      <c r="RE6097" s="106"/>
      <c r="RF6097" s="106"/>
      <c r="RG6097" s="106"/>
      <c r="RH6097" s="106"/>
      <c r="RI6097" s="106"/>
      <c r="RJ6097" s="106"/>
      <c r="RK6097" s="106"/>
      <c r="RL6097" s="106"/>
    </row>
    <row r="6098" spans="462:480" x14ac:dyDescent="0.3">
      <c r="QT6098" s="106"/>
      <c r="QU6098" s="106"/>
      <c r="QV6098" s="106"/>
      <c r="QW6098" s="106"/>
      <c r="QX6098" s="106"/>
      <c r="QY6098" s="106"/>
      <c r="QZ6098" s="106"/>
      <c r="RA6098" s="106"/>
      <c r="RB6098" s="106"/>
      <c r="RC6098" s="106"/>
      <c r="RD6098" s="106"/>
      <c r="RE6098" s="106"/>
      <c r="RF6098" s="106"/>
      <c r="RG6098" s="106"/>
      <c r="RH6098" s="106"/>
      <c r="RI6098" s="106"/>
      <c r="RJ6098" s="106"/>
      <c r="RK6098" s="106"/>
      <c r="RL6098" s="106"/>
    </row>
    <row r="6099" spans="462:480" x14ac:dyDescent="0.3">
      <c r="QT6099" s="106"/>
      <c r="QU6099" s="106"/>
      <c r="QV6099" s="106"/>
      <c r="QW6099" s="106"/>
      <c r="QX6099" s="106"/>
      <c r="QY6099" s="106"/>
      <c r="QZ6099" s="106"/>
      <c r="RA6099" s="106"/>
      <c r="RB6099" s="106"/>
      <c r="RC6099" s="106"/>
      <c r="RD6099" s="106"/>
      <c r="RE6099" s="106"/>
      <c r="RF6099" s="106"/>
      <c r="RG6099" s="106"/>
      <c r="RH6099" s="106"/>
      <c r="RI6099" s="106"/>
      <c r="RJ6099" s="106"/>
      <c r="RK6099" s="106"/>
      <c r="RL6099" s="106"/>
    </row>
    <row r="6100" spans="462:480" x14ac:dyDescent="0.3">
      <c r="QT6100" s="106"/>
      <c r="QU6100" s="106"/>
      <c r="QV6100" s="106"/>
      <c r="QW6100" s="106"/>
      <c r="QX6100" s="106"/>
      <c r="QY6100" s="106"/>
      <c r="QZ6100" s="106"/>
      <c r="RA6100" s="106"/>
      <c r="RB6100" s="106"/>
      <c r="RC6100" s="106"/>
      <c r="RD6100" s="106"/>
      <c r="RE6100" s="106"/>
      <c r="RF6100" s="106"/>
      <c r="RG6100" s="106"/>
      <c r="RH6100" s="106"/>
      <c r="RI6100" s="106"/>
      <c r="RJ6100" s="106"/>
      <c r="RK6100" s="106"/>
      <c r="RL6100" s="106"/>
    </row>
    <row r="6101" spans="462:480" x14ac:dyDescent="0.3">
      <c r="QT6101" s="106"/>
      <c r="QU6101" s="106"/>
      <c r="QV6101" s="106"/>
      <c r="QW6101" s="106"/>
      <c r="QX6101" s="106"/>
      <c r="QY6101" s="106"/>
      <c r="QZ6101" s="106"/>
      <c r="RA6101" s="106"/>
      <c r="RB6101" s="106"/>
      <c r="RC6101" s="106"/>
      <c r="RD6101" s="106"/>
      <c r="RE6101" s="106"/>
      <c r="RF6101" s="106"/>
      <c r="RG6101" s="106"/>
      <c r="RH6101" s="106"/>
      <c r="RI6101" s="106"/>
      <c r="RJ6101" s="106"/>
      <c r="RK6101" s="106"/>
      <c r="RL6101" s="106"/>
    </row>
    <row r="6102" spans="462:480" x14ac:dyDescent="0.3">
      <c r="QT6102" s="106"/>
      <c r="QU6102" s="106"/>
      <c r="QV6102" s="106"/>
      <c r="QW6102" s="106"/>
      <c r="QX6102" s="106"/>
      <c r="QY6102" s="106"/>
      <c r="QZ6102" s="106"/>
      <c r="RA6102" s="106"/>
      <c r="RB6102" s="106"/>
      <c r="RC6102" s="106"/>
      <c r="RD6102" s="106"/>
      <c r="RE6102" s="106"/>
      <c r="RF6102" s="106"/>
      <c r="RG6102" s="106"/>
      <c r="RH6102" s="106"/>
      <c r="RI6102" s="106"/>
      <c r="RJ6102" s="106"/>
      <c r="RK6102" s="106"/>
      <c r="RL6102" s="106"/>
    </row>
    <row r="6103" spans="462:480" x14ac:dyDescent="0.3">
      <c r="QT6103" s="106"/>
      <c r="QU6103" s="106"/>
      <c r="QV6103" s="106"/>
      <c r="QW6103" s="106"/>
      <c r="QX6103" s="106"/>
      <c r="QY6103" s="106"/>
      <c r="QZ6103" s="106"/>
      <c r="RA6103" s="106"/>
      <c r="RB6103" s="106"/>
      <c r="RC6103" s="106"/>
      <c r="RD6103" s="106"/>
      <c r="RE6103" s="106"/>
      <c r="RF6103" s="106"/>
      <c r="RG6103" s="106"/>
      <c r="RH6103" s="106"/>
      <c r="RI6103" s="106"/>
      <c r="RJ6103" s="106"/>
      <c r="RK6103" s="106"/>
      <c r="RL6103" s="106"/>
    </row>
    <row r="6104" spans="462:480" x14ac:dyDescent="0.3">
      <c r="QT6104" s="106"/>
      <c r="QU6104" s="106"/>
      <c r="QV6104" s="106"/>
      <c r="QW6104" s="106"/>
      <c r="QX6104" s="106"/>
      <c r="QY6104" s="106"/>
      <c r="QZ6104" s="106"/>
      <c r="RA6104" s="106"/>
      <c r="RB6104" s="106"/>
      <c r="RC6104" s="106"/>
      <c r="RD6104" s="106"/>
      <c r="RE6104" s="106"/>
      <c r="RF6104" s="106"/>
      <c r="RG6104" s="106"/>
      <c r="RH6104" s="106"/>
      <c r="RI6104" s="106"/>
      <c r="RJ6104" s="106"/>
      <c r="RK6104" s="106"/>
      <c r="RL6104" s="106"/>
    </row>
    <row r="6105" spans="462:480" x14ac:dyDescent="0.3">
      <c r="QT6105" s="106"/>
      <c r="QU6105" s="106"/>
      <c r="QV6105" s="106"/>
      <c r="QW6105" s="106"/>
      <c r="QX6105" s="106"/>
      <c r="QY6105" s="106"/>
      <c r="QZ6105" s="106"/>
      <c r="RA6105" s="106"/>
      <c r="RB6105" s="106"/>
      <c r="RC6105" s="106"/>
      <c r="RD6105" s="106"/>
      <c r="RE6105" s="106"/>
      <c r="RF6105" s="106"/>
      <c r="RG6105" s="106"/>
      <c r="RH6105" s="106"/>
      <c r="RI6105" s="106"/>
      <c r="RJ6105" s="106"/>
      <c r="RK6105" s="106"/>
      <c r="RL6105" s="106"/>
    </row>
    <row r="6106" spans="462:480" x14ac:dyDescent="0.3">
      <c r="QT6106" s="106"/>
      <c r="QU6106" s="106"/>
      <c r="QV6106" s="106"/>
      <c r="QW6106" s="106"/>
      <c r="QX6106" s="106"/>
      <c r="QY6106" s="106"/>
      <c r="QZ6106" s="106"/>
      <c r="RA6106" s="106"/>
      <c r="RB6106" s="106"/>
      <c r="RC6106" s="106"/>
      <c r="RD6106" s="106"/>
      <c r="RE6106" s="106"/>
      <c r="RF6106" s="106"/>
      <c r="RG6106" s="106"/>
      <c r="RH6106" s="106"/>
      <c r="RI6106" s="106"/>
      <c r="RJ6106" s="106"/>
      <c r="RK6106" s="106"/>
      <c r="RL6106" s="106"/>
    </row>
    <row r="6107" spans="462:480" x14ac:dyDescent="0.3">
      <c r="QT6107" s="106"/>
      <c r="QU6107" s="106"/>
      <c r="QV6107" s="106"/>
      <c r="QW6107" s="106"/>
      <c r="QX6107" s="106"/>
      <c r="QY6107" s="106"/>
      <c r="QZ6107" s="106"/>
      <c r="RA6107" s="106"/>
      <c r="RB6107" s="106"/>
      <c r="RC6107" s="106"/>
      <c r="RD6107" s="106"/>
      <c r="RE6107" s="106"/>
      <c r="RF6107" s="106"/>
      <c r="RG6107" s="106"/>
      <c r="RH6107" s="106"/>
      <c r="RI6107" s="106"/>
      <c r="RJ6107" s="106"/>
      <c r="RK6107" s="106"/>
      <c r="RL6107" s="106"/>
    </row>
    <row r="6108" spans="462:480" x14ac:dyDescent="0.3">
      <c r="QT6108" s="106"/>
      <c r="QU6108" s="106"/>
      <c r="QV6108" s="106"/>
      <c r="QW6108" s="106"/>
      <c r="QX6108" s="106"/>
      <c r="QY6108" s="106"/>
      <c r="QZ6108" s="106"/>
      <c r="RA6108" s="106"/>
      <c r="RB6108" s="106"/>
      <c r="RC6108" s="106"/>
      <c r="RD6108" s="106"/>
      <c r="RE6108" s="106"/>
      <c r="RF6108" s="106"/>
      <c r="RG6108" s="106"/>
      <c r="RH6108" s="106"/>
      <c r="RI6108" s="106"/>
      <c r="RJ6108" s="106"/>
      <c r="RK6108" s="106"/>
      <c r="RL6108" s="106"/>
    </row>
    <row r="6109" spans="462:480" x14ac:dyDescent="0.3">
      <c r="QT6109" s="106"/>
      <c r="QU6109" s="106"/>
      <c r="QV6109" s="106"/>
      <c r="QW6109" s="106"/>
      <c r="QX6109" s="106"/>
      <c r="QY6109" s="106"/>
      <c r="QZ6109" s="106"/>
      <c r="RA6109" s="106"/>
      <c r="RB6109" s="106"/>
      <c r="RC6109" s="106"/>
      <c r="RD6109" s="106"/>
      <c r="RE6109" s="106"/>
      <c r="RF6109" s="106"/>
      <c r="RG6109" s="106"/>
      <c r="RH6109" s="106"/>
      <c r="RI6109" s="106"/>
      <c r="RJ6109" s="106"/>
      <c r="RK6109" s="106"/>
      <c r="RL6109" s="106"/>
    </row>
    <row r="6110" spans="462:480" x14ac:dyDescent="0.3">
      <c r="QT6110" s="106"/>
      <c r="QU6110" s="106"/>
      <c r="QV6110" s="106"/>
      <c r="QW6110" s="106"/>
      <c r="QX6110" s="106"/>
      <c r="QY6110" s="106"/>
      <c r="QZ6110" s="106"/>
      <c r="RA6110" s="106"/>
      <c r="RB6110" s="106"/>
      <c r="RC6110" s="106"/>
      <c r="RD6110" s="106"/>
      <c r="RE6110" s="106"/>
      <c r="RF6110" s="106"/>
      <c r="RG6110" s="106"/>
      <c r="RH6110" s="106"/>
      <c r="RI6110" s="106"/>
      <c r="RJ6110" s="106"/>
      <c r="RK6110" s="106"/>
      <c r="RL6110" s="106"/>
    </row>
    <row r="6111" spans="462:480" x14ac:dyDescent="0.3">
      <c r="QT6111" s="106"/>
      <c r="QU6111" s="106"/>
      <c r="QV6111" s="106"/>
      <c r="QW6111" s="106"/>
      <c r="QX6111" s="106"/>
      <c r="QY6111" s="106"/>
      <c r="QZ6111" s="106"/>
      <c r="RA6111" s="106"/>
      <c r="RB6111" s="106"/>
      <c r="RC6111" s="106"/>
      <c r="RD6111" s="106"/>
      <c r="RE6111" s="106"/>
      <c r="RF6111" s="106"/>
      <c r="RG6111" s="106"/>
      <c r="RH6111" s="106"/>
      <c r="RI6111" s="106"/>
      <c r="RJ6111" s="106"/>
      <c r="RK6111" s="106"/>
      <c r="RL6111" s="106"/>
    </row>
    <row r="6112" spans="462:480" x14ac:dyDescent="0.3">
      <c r="QT6112" s="106"/>
      <c r="QU6112" s="106"/>
      <c r="QV6112" s="106"/>
      <c r="QW6112" s="106"/>
      <c r="QX6112" s="106"/>
      <c r="QY6112" s="106"/>
      <c r="QZ6112" s="106"/>
      <c r="RA6112" s="106"/>
      <c r="RB6112" s="106"/>
      <c r="RC6112" s="106"/>
      <c r="RD6112" s="106"/>
      <c r="RE6112" s="106"/>
      <c r="RF6112" s="106"/>
      <c r="RG6112" s="106"/>
      <c r="RH6112" s="106"/>
      <c r="RI6112" s="106"/>
      <c r="RJ6112" s="106"/>
      <c r="RK6112" s="106"/>
      <c r="RL6112" s="106"/>
    </row>
    <row r="6113" spans="462:480" x14ac:dyDescent="0.3">
      <c r="QT6113" s="106"/>
      <c r="QU6113" s="106"/>
      <c r="QV6113" s="106"/>
      <c r="QW6113" s="106"/>
      <c r="QX6113" s="106"/>
      <c r="QY6113" s="106"/>
      <c r="QZ6113" s="106"/>
      <c r="RA6113" s="106"/>
      <c r="RB6113" s="106"/>
      <c r="RC6113" s="106"/>
      <c r="RD6113" s="106"/>
      <c r="RE6113" s="106"/>
      <c r="RF6113" s="106"/>
      <c r="RG6113" s="106"/>
      <c r="RH6113" s="106"/>
      <c r="RI6113" s="106"/>
      <c r="RJ6113" s="106"/>
      <c r="RK6113" s="106"/>
      <c r="RL6113" s="106"/>
    </row>
    <row r="6114" spans="462:480" x14ac:dyDescent="0.3">
      <c r="QT6114" s="106"/>
      <c r="QU6114" s="106"/>
      <c r="QV6114" s="106"/>
      <c r="QW6114" s="106"/>
      <c r="QX6114" s="106"/>
      <c r="QY6114" s="106"/>
      <c r="QZ6114" s="106"/>
      <c r="RA6114" s="106"/>
      <c r="RB6114" s="106"/>
      <c r="RC6114" s="106"/>
      <c r="RD6114" s="106"/>
      <c r="RE6114" s="106"/>
      <c r="RF6114" s="106"/>
      <c r="RG6114" s="106"/>
      <c r="RH6114" s="106"/>
      <c r="RI6114" s="106"/>
      <c r="RJ6114" s="106"/>
      <c r="RK6114" s="106"/>
      <c r="RL6114" s="106"/>
    </row>
    <row r="6115" spans="462:480" x14ac:dyDescent="0.3">
      <c r="QT6115" s="106"/>
      <c r="QU6115" s="106"/>
      <c r="QV6115" s="106"/>
      <c r="QW6115" s="106"/>
      <c r="QX6115" s="106"/>
      <c r="QY6115" s="106"/>
      <c r="QZ6115" s="106"/>
      <c r="RA6115" s="106"/>
      <c r="RB6115" s="106"/>
      <c r="RC6115" s="106"/>
      <c r="RD6115" s="106"/>
      <c r="RE6115" s="106"/>
      <c r="RF6115" s="106"/>
      <c r="RG6115" s="106"/>
      <c r="RH6115" s="106"/>
      <c r="RI6115" s="106"/>
      <c r="RJ6115" s="106"/>
      <c r="RK6115" s="106"/>
      <c r="RL6115" s="106"/>
    </row>
    <row r="6116" spans="462:480" x14ac:dyDescent="0.3">
      <c r="QT6116" s="106"/>
      <c r="QU6116" s="106"/>
      <c r="QV6116" s="106"/>
      <c r="QW6116" s="106"/>
      <c r="QX6116" s="106"/>
      <c r="QY6116" s="106"/>
      <c r="QZ6116" s="106"/>
      <c r="RA6116" s="106"/>
      <c r="RB6116" s="106"/>
      <c r="RC6116" s="106"/>
      <c r="RD6116" s="106"/>
      <c r="RE6116" s="106"/>
      <c r="RF6116" s="106"/>
      <c r="RG6116" s="106"/>
      <c r="RH6116" s="106"/>
      <c r="RI6116" s="106"/>
      <c r="RJ6116" s="106"/>
      <c r="RK6116" s="106"/>
      <c r="RL6116" s="106"/>
    </row>
    <row r="6117" spans="462:480" x14ac:dyDescent="0.3">
      <c r="QT6117" s="106"/>
      <c r="QU6117" s="106"/>
      <c r="QV6117" s="106"/>
      <c r="QW6117" s="106"/>
      <c r="QX6117" s="106"/>
      <c r="QY6117" s="106"/>
      <c r="QZ6117" s="106"/>
      <c r="RA6117" s="106"/>
      <c r="RB6117" s="106"/>
      <c r="RC6117" s="106"/>
      <c r="RD6117" s="106"/>
      <c r="RE6117" s="106"/>
      <c r="RF6117" s="106"/>
      <c r="RG6117" s="106"/>
      <c r="RH6117" s="106"/>
      <c r="RI6117" s="106"/>
      <c r="RJ6117" s="106"/>
      <c r="RK6117" s="106"/>
      <c r="RL6117" s="106"/>
    </row>
    <row r="6118" spans="462:480" x14ac:dyDescent="0.3">
      <c r="QT6118" s="106"/>
      <c r="QU6118" s="106"/>
      <c r="QV6118" s="106"/>
      <c r="QW6118" s="106"/>
      <c r="QX6118" s="106"/>
      <c r="QY6118" s="106"/>
      <c r="QZ6118" s="106"/>
      <c r="RA6118" s="106"/>
      <c r="RB6118" s="106"/>
      <c r="RC6118" s="106"/>
      <c r="RD6118" s="106"/>
      <c r="RE6118" s="106"/>
      <c r="RF6118" s="106"/>
      <c r="RG6118" s="106"/>
      <c r="RH6118" s="106"/>
      <c r="RI6118" s="106"/>
      <c r="RJ6118" s="106"/>
      <c r="RK6118" s="106"/>
      <c r="RL6118" s="106"/>
    </row>
    <row r="6119" spans="462:480" x14ac:dyDescent="0.3">
      <c r="QT6119" s="106"/>
      <c r="QU6119" s="106"/>
      <c r="QV6119" s="106"/>
      <c r="QW6119" s="106"/>
      <c r="QX6119" s="106"/>
      <c r="QY6119" s="106"/>
      <c r="QZ6119" s="106"/>
      <c r="RA6119" s="106"/>
      <c r="RB6119" s="106"/>
      <c r="RC6119" s="106"/>
      <c r="RD6119" s="106"/>
      <c r="RE6119" s="106"/>
      <c r="RF6119" s="106"/>
      <c r="RG6119" s="106"/>
      <c r="RH6119" s="106"/>
      <c r="RI6119" s="106"/>
      <c r="RJ6119" s="106"/>
      <c r="RK6119" s="106"/>
      <c r="RL6119" s="106"/>
    </row>
    <row r="6120" spans="462:480" x14ac:dyDescent="0.3">
      <c r="QT6120" s="106"/>
      <c r="QU6120" s="106"/>
      <c r="QV6120" s="106"/>
      <c r="QW6120" s="106"/>
      <c r="QX6120" s="106"/>
      <c r="QY6120" s="106"/>
      <c r="QZ6120" s="106"/>
      <c r="RA6120" s="106"/>
      <c r="RB6120" s="106"/>
      <c r="RC6120" s="106"/>
      <c r="RD6120" s="106"/>
      <c r="RE6120" s="106"/>
      <c r="RF6120" s="106"/>
      <c r="RG6120" s="106"/>
      <c r="RH6120" s="106"/>
      <c r="RI6120" s="106"/>
      <c r="RJ6120" s="106"/>
      <c r="RK6120" s="106"/>
      <c r="RL6120" s="106"/>
    </row>
    <row r="6121" spans="462:480" x14ac:dyDescent="0.3">
      <c r="QT6121" s="106"/>
      <c r="QU6121" s="106"/>
      <c r="QV6121" s="106"/>
      <c r="QW6121" s="106"/>
      <c r="QX6121" s="106"/>
      <c r="QY6121" s="106"/>
      <c r="QZ6121" s="106"/>
      <c r="RA6121" s="106"/>
      <c r="RB6121" s="106"/>
      <c r="RC6121" s="106"/>
      <c r="RD6121" s="106"/>
      <c r="RE6121" s="106"/>
      <c r="RF6121" s="106"/>
      <c r="RG6121" s="106"/>
      <c r="RH6121" s="106"/>
      <c r="RI6121" s="106"/>
      <c r="RJ6121" s="106"/>
      <c r="RK6121" s="106"/>
      <c r="RL6121" s="106"/>
    </row>
    <row r="6122" spans="462:480" x14ac:dyDescent="0.3">
      <c r="QT6122" s="106"/>
      <c r="QU6122" s="106"/>
      <c r="QV6122" s="106"/>
      <c r="QW6122" s="106"/>
      <c r="QX6122" s="106"/>
      <c r="QY6122" s="106"/>
      <c r="QZ6122" s="106"/>
      <c r="RA6122" s="106"/>
      <c r="RB6122" s="106"/>
      <c r="RC6122" s="106"/>
      <c r="RD6122" s="106"/>
      <c r="RE6122" s="106"/>
      <c r="RF6122" s="106"/>
      <c r="RG6122" s="106"/>
      <c r="RH6122" s="106"/>
      <c r="RI6122" s="106"/>
      <c r="RJ6122" s="106"/>
      <c r="RK6122" s="106"/>
      <c r="RL6122" s="106"/>
    </row>
    <row r="6123" spans="462:480" x14ac:dyDescent="0.3">
      <c r="QT6123" s="106"/>
      <c r="QU6123" s="106"/>
      <c r="QV6123" s="106"/>
      <c r="QW6123" s="106"/>
      <c r="QX6123" s="106"/>
      <c r="QY6123" s="106"/>
      <c r="QZ6123" s="106"/>
      <c r="RA6123" s="106"/>
      <c r="RB6123" s="106"/>
      <c r="RC6123" s="106"/>
      <c r="RD6123" s="106"/>
      <c r="RE6123" s="106"/>
      <c r="RF6123" s="106"/>
      <c r="RG6123" s="106"/>
      <c r="RH6123" s="106"/>
      <c r="RI6123" s="106"/>
      <c r="RJ6123" s="106"/>
      <c r="RK6123" s="106"/>
      <c r="RL6123" s="106"/>
    </row>
    <row r="6124" spans="462:480" x14ac:dyDescent="0.3">
      <c r="QT6124" s="106"/>
      <c r="QU6124" s="106"/>
      <c r="QV6124" s="106"/>
      <c r="QW6124" s="106"/>
      <c r="QX6124" s="106"/>
      <c r="QY6124" s="106"/>
      <c r="QZ6124" s="106"/>
      <c r="RA6124" s="106"/>
      <c r="RB6124" s="106"/>
      <c r="RC6124" s="106"/>
      <c r="RD6124" s="106"/>
      <c r="RE6124" s="106"/>
      <c r="RF6124" s="106"/>
      <c r="RG6124" s="106"/>
      <c r="RH6124" s="106"/>
      <c r="RI6124" s="106"/>
      <c r="RJ6124" s="106"/>
      <c r="RK6124" s="106"/>
      <c r="RL6124" s="106"/>
    </row>
    <row r="6125" spans="462:480" x14ac:dyDescent="0.3">
      <c r="QT6125" s="106"/>
      <c r="QU6125" s="106"/>
      <c r="QV6125" s="106"/>
      <c r="QW6125" s="106"/>
      <c r="QX6125" s="106"/>
      <c r="QY6125" s="106"/>
      <c r="QZ6125" s="106"/>
      <c r="RA6125" s="106"/>
      <c r="RB6125" s="106"/>
      <c r="RC6125" s="106"/>
      <c r="RD6125" s="106"/>
      <c r="RE6125" s="106"/>
      <c r="RF6125" s="106"/>
      <c r="RG6125" s="106"/>
      <c r="RH6125" s="106"/>
      <c r="RI6125" s="106"/>
      <c r="RJ6125" s="106"/>
      <c r="RK6125" s="106"/>
      <c r="RL6125" s="106"/>
    </row>
    <row r="6126" spans="462:480" x14ac:dyDescent="0.3">
      <c r="QT6126" s="106"/>
      <c r="QU6126" s="106"/>
      <c r="QV6126" s="106"/>
      <c r="QW6126" s="106"/>
      <c r="QX6126" s="106"/>
      <c r="QY6126" s="106"/>
      <c r="QZ6126" s="106"/>
      <c r="RA6126" s="106"/>
      <c r="RB6126" s="106"/>
      <c r="RC6126" s="106"/>
      <c r="RD6126" s="106"/>
      <c r="RE6126" s="106"/>
      <c r="RF6126" s="106"/>
      <c r="RG6126" s="106"/>
      <c r="RH6126" s="106"/>
      <c r="RI6126" s="106"/>
      <c r="RJ6126" s="106"/>
      <c r="RK6126" s="106"/>
      <c r="RL6126" s="106"/>
    </row>
    <row r="6127" spans="462:480" x14ac:dyDescent="0.3">
      <c r="QT6127" s="106"/>
      <c r="QU6127" s="106"/>
      <c r="QV6127" s="106"/>
      <c r="QW6127" s="106"/>
      <c r="QX6127" s="106"/>
      <c r="QY6127" s="106"/>
      <c r="QZ6127" s="106"/>
      <c r="RA6127" s="106"/>
      <c r="RB6127" s="106"/>
      <c r="RC6127" s="106"/>
      <c r="RD6127" s="106"/>
      <c r="RE6127" s="106"/>
      <c r="RF6127" s="106"/>
      <c r="RG6127" s="106"/>
      <c r="RH6127" s="106"/>
      <c r="RI6127" s="106"/>
      <c r="RJ6127" s="106"/>
      <c r="RK6127" s="106"/>
      <c r="RL6127" s="106"/>
    </row>
    <row r="6128" spans="462:480" x14ac:dyDescent="0.3">
      <c r="QT6128" s="106"/>
      <c r="QU6128" s="106"/>
      <c r="QV6128" s="106"/>
      <c r="QW6128" s="106"/>
      <c r="QX6128" s="106"/>
      <c r="QY6128" s="106"/>
      <c r="QZ6128" s="106"/>
      <c r="RA6128" s="106"/>
      <c r="RB6128" s="106"/>
      <c r="RC6128" s="106"/>
      <c r="RD6128" s="106"/>
      <c r="RE6128" s="106"/>
      <c r="RF6128" s="106"/>
      <c r="RG6128" s="106"/>
      <c r="RH6128" s="106"/>
      <c r="RI6128" s="106"/>
      <c r="RJ6128" s="106"/>
      <c r="RK6128" s="106"/>
      <c r="RL6128" s="106"/>
    </row>
    <row r="6129" spans="462:480" x14ac:dyDescent="0.3">
      <c r="QT6129" s="106"/>
      <c r="QU6129" s="106"/>
      <c r="QV6129" s="106"/>
      <c r="QW6129" s="106"/>
      <c r="QX6129" s="106"/>
      <c r="QY6129" s="106"/>
      <c r="QZ6129" s="106"/>
      <c r="RA6129" s="106"/>
      <c r="RB6129" s="106"/>
      <c r="RC6129" s="106"/>
      <c r="RD6129" s="106"/>
      <c r="RE6129" s="106"/>
      <c r="RF6129" s="106"/>
      <c r="RG6129" s="106"/>
      <c r="RH6129" s="106"/>
      <c r="RI6129" s="106"/>
      <c r="RJ6129" s="106"/>
      <c r="RK6129" s="106"/>
      <c r="RL6129" s="106"/>
    </row>
    <row r="6130" spans="462:480" x14ac:dyDescent="0.3">
      <c r="QT6130" s="106"/>
      <c r="QU6130" s="106"/>
      <c r="QV6130" s="106"/>
      <c r="QW6130" s="106"/>
      <c r="QX6130" s="106"/>
      <c r="QY6130" s="106"/>
      <c r="QZ6130" s="106"/>
      <c r="RA6130" s="106"/>
      <c r="RB6130" s="106"/>
      <c r="RC6130" s="106"/>
      <c r="RD6130" s="106"/>
      <c r="RE6130" s="106"/>
      <c r="RF6130" s="106"/>
      <c r="RG6130" s="106"/>
      <c r="RH6130" s="106"/>
      <c r="RI6130" s="106"/>
      <c r="RJ6130" s="106"/>
      <c r="RK6130" s="106"/>
      <c r="RL6130" s="106"/>
    </row>
    <row r="6131" spans="462:480" x14ac:dyDescent="0.3">
      <c r="QT6131" s="106"/>
      <c r="QU6131" s="106"/>
      <c r="QV6131" s="106"/>
      <c r="QW6131" s="106"/>
      <c r="QX6131" s="106"/>
      <c r="QY6131" s="106"/>
      <c r="QZ6131" s="106"/>
      <c r="RA6131" s="106"/>
      <c r="RB6131" s="106"/>
      <c r="RC6131" s="106"/>
      <c r="RD6131" s="106"/>
      <c r="RE6131" s="106"/>
      <c r="RF6131" s="106"/>
      <c r="RG6131" s="106"/>
      <c r="RH6131" s="106"/>
      <c r="RI6131" s="106"/>
      <c r="RJ6131" s="106"/>
      <c r="RK6131" s="106"/>
      <c r="RL6131" s="106"/>
    </row>
    <row r="6132" spans="462:480" x14ac:dyDescent="0.3">
      <c r="QT6132" s="106"/>
      <c r="QU6132" s="106"/>
      <c r="QV6132" s="106"/>
      <c r="QW6132" s="106"/>
      <c r="QX6132" s="106"/>
      <c r="QY6132" s="106"/>
      <c r="QZ6132" s="106"/>
      <c r="RA6132" s="106"/>
      <c r="RB6132" s="106"/>
      <c r="RC6132" s="106"/>
      <c r="RD6132" s="106"/>
      <c r="RE6132" s="106"/>
      <c r="RF6132" s="106"/>
      <c r="RG6132" s="106"/>
      <c r="RH6132" s="106"/>
      <c r="RI6132" s="106"/>
      <c r="RJ6132" s="106"/>
      <c r="RK6132" s="106"/>
      <c r="RL6132" s="106"/>
    </row>
    <row r="6133" spans="462:480" x14ac:dyDescent="0.3">
      <c r="QT6133" s="106"/>
      <c r="QU6133" s="106"/>
      <c r="QV6133" s="106"/>
      <c r="QW6133" s="106"/>
      <c r="QX6133" s="106"/>
      <c r="QY6133" s="106"/>
      <c r="QZ6133" s="106"/>
      <c r="RA6133" s="106"/>
      <c r="RB6133" s="106"/>
      <c r="RC6133" s="106"/>
      <c r="RD6133" s="106"/>
      <c r="RE6133" s="106"/>
      <c r="RF6133" s="106"/>
      <c r="RG6133" s="106"/>
      <c r="RH6133" s="106"/>
      <c r="RI6133" s="106"/>
      <c r="RJ6133" s="106"/>
      <c r="RK6133" s="106"/>
      <c r="RL6133" s="106"/>
    </row>
    <row r="6134" spans="462:480" x14ac:dyDescent="0.3">
      <c r="QT6134" s="106"/>
      <c r="QU6134" s="106"/>
      <c r="QV6134" s="106"/>
      <c r="QW6134" s="106"/>
      <c r="QX6134" s="106"/>
      <c r="QY6134" s="106"/>
      <c r="QZ6134" s="106"/>
      <c r="RA6134" s="106"/>
      <c r="RB6134" s="106"/>
      <c r="RC6134" s="106"/>
      <c r="RD6134" s="106"/>
      <c r="RE6134" s="106"/>
      <c r="RF6134" s="106"/>
      <c r="RG6134" s="106"/>
      <c r="RH6134" s="106"/>
      <c r="RI6134" s="106"/>
      <c r="RJ6134" s="106"/>
      <c r="RK6134" s="106"/>
      <c r="RL6134" s="106"/>
    </row>
    <row r="6135" spans="462:480" x14ac:dyDescent="0.3">
      <c r="QT6135" s="106"/>
      <c r="QU6135" s="106"/>
      <c r="QV6135" s="106"/>
      <c r="QW6135" s="106"/>
      <c r="QX6135" s="106"/>
      <c r="QY6135" s="106"/>
      <c r="QZ6135" s="106"/>
      <c r="RA6135" s="106"/>
      <c r="RB6135" s="106"/>
      <c r="RC6135" s="106"/>
      <c r="RD6135" s="106"/>
      <c r="RE6135" s="106"/>
      <c r="RF6135" s="106"/>
      <c r="RG6135" s="106"/>
      <c r="RH6135" s="106"/>
      <c r="RI6135" s="106"/>
      <c r="RJ6135" s="106"/>
      <c r="RK6135" s="106"/>
      <c r="RL6135" s="106"/>
    </row>
    <row r="6136" spans="462:480" x14ac:dyDescent="0.3">
      <c r="QT6136" s="106"/>
      <c r="QU6136" s="106"/>
      <c r="QV6136" s="106"/>
      <c r="QW6136" s="106"/>
      <c r="QX6136" s="106"/>
      <c r="QY6136" s="106"/>
      <c r="QZ6136" s="106"/>
      <c r="RA6136" s="106"/>
      <c r="RB6136" s="106"/>
      <c r="RC6136" s="106"/>
      <c r="RD6136" s="106"/>
      <c r="RE6136" s="106"/>
      <c r="RF6136" s="106"/>
      <c r="RG6136" s="106"/>
      <c r="RH6136" s="106"/>
      <c r="RI6136" s="106"/>
      <c r="RJ6136" s="106"/>
      <c r="RK6136" s="106"/>
      <c r="RL6136" s="106"/>
    </row>
    <row r="6137" spans="462:480" x14ac:dyDescent="0.3">
      <c r="QT6137" s="106"/>
      <c r="QU6137" s="106"/>
      <c r="QV6137" s="106"/>
      <c r="QW6137" s="106"/>
      <c r="QX6137" s="106"/>
      <c r="QY6137" s="106"/>
      <c r="QZ6137" s="106"/>
      <c r="RA6137" s="106"/>
      <c r="RB6137" s="106"/>
      <c r="RC6137" s="106"/>
      <c r="RD6137" s="106"/>
      <c r="RE6137" s="106"/>
      <c r="RF6137" s="106"/>
      <c r="RG6137" s="106"/>
      <c r="RH6137" s="106"/>
      <c r="RI6137" s="106"/>
      <c r="RJ6137" s="106"/>
      <c r="RK6137" s="106"/>
      <c r="RL6137" s="106"/>
    </row>
    <row r="6138" spans="462:480" x14ac:dyDescent="0.3">
      <c r="QT6138" s="106"/>
      <c r="QU6138" s="106"/>
      <c r="QV6138" s="106"/>
      <c r="QW6138" s="106"/>
      <c r="QX6138" s="106"/>
      <c r="QY6138" s="106"/>
      <c r="QZ6138" s="106"/>
      <c r="RA6138" s="106"/>
      <c r="RB6138" s="106"/>
      <c r="RC6138" s="106"/>
      <c r="RD6138" s="106"/>
      <c r="RE6138" s="106"/>
      <c r="RF6138" s="106"/>
      <c r="RG6138" s="106"/>
      <c r="RH6138" s="106"/>
      <c r="RI6138" s="106"/>
      <c r="RJ6138" s="106"/>
      <c r="RK6138" s="106"/>
      <c r="RL6138" s="106"/>
    </row>
    <row r="6139" spans="462:480" x14ac:dyDescent="0.3">
      <c r="QT6139" s="106"/>
      <c r="QU6139" s="106"/>
      <c r="QV6139" s="106"/>
      <c r="QW6139" s="106"/>
      <c r="QX6139" s="106"/>
      <c r="QY6139" s="106"/>
      <c r="QZ6139" s="106"/>
      <c r="RA6139" s="106"/>
      <c r="RB6139" s="106"/>
      <c r="RC6139" s="106"/>
      <c r="RD6139" s="106"/>
      <c r="RE6139" s="106"/>
      <c r="RF6139" s="106"/>
      <c r="RG6139" s="106"/>
      <c r="RH6139" s="106"/>
      <c r="RI6139" s="106"/>
      <c r="RJ6139" s="106"/>
      <c r="RK6139" s="106"/>
      <c r="RL6139" s="106"/>
    </row>
    <row r="6140" spans="462:480" x14ac:dyDescent="0.3">
      <c r="QT6140" s="106"/>
      <c r="QU6140" s="106"/>
      <c r="QV6140" s="106"/>
      <c r="QW6140" s="106"/>
      <c r="QX6140" s="106"/>
      <c r="QY6140" s="106"/>
      <c r="QZ6140" s="106"/>
      <c r="RA6140" s="106"/>
      <c r="RB6140" s="106"/>
      <c r="RC6140" s="106"/>
      <c r="RD6140" s="106"/>
      <c r="RE6140" s="106"/>
      <c r="RF6140" s="106"/>
      <c r="RG6140" s="106"/>
      <c r="RH6140" s="106"/>
      <c r="RI6140" s="106"/>
      <c r="RJ6140" s="106"/>
      <c r="RK6140" s="106"/>
      <c r="RL6140" s="106"/>
    </row>
    <row r="6141" spans="462:480" x14ac:dyDescent="0.3">
      <c r="QT6141" s="106"/>
      <c r="QU6141" s="106"/>
      <c r="QV6141" s="106"/>
      <c r="QW6141" s="106"/>
      <c r="QX6141" s="106"/>
      <c r="QY6141" s="106"/>
      <c r="QZ6141" s="106"/>
      <c r="RA6141" s="106"/>
      <c r="RB6141" s="106"/>
      <c r="RC6141" s="106"/>
      <c r="RD6141" s="106"/>
      <c r="RE6141" s="106"/>
      <c r="RF6141" s="106"/>
      <c r="RG6141" s="106"/>
      <c r="RH6141" s="106"/>
      <c r="RI6141" s="106"/>
      <c r="RJ6141" s="106"/>
      <c r="RK6141" s="106"/>
      <c r="RL6141" s="106"/>
    </row>
    <row r="6142" spans="462:480" x14ac:dyDescent="0.3">
      <c r="QT6142" s="106"/>
      <c r="QU6142" s="106"/>
      <c r="QV6142" s="106"/>
      <c r="QW6142" s="106"/>
      <c r="QX6142" s="106"/>
      <c r="QY6142" s="106"/>
      <c r="QZ6142" s="106"/>
      <c r="RA6142" s="106"/>
      <c r="RB6142" s="106"/>
      <c r="RC6142" s="106"/>
      <c r="RD6142" s="106"/>
      <c r="RE6142" s="106"/>
      <c r="RF6142" s="106"/>
      <c r="RG6142" s="106"/>
      <c r="RH6142" s="106"/>
      <c r="RI6142" s="106"/>
      <c r="RJ6142" s="106"/>
      <c r="RK6142" s="106"/>
      <c r="RL6142" s="106"/>
    </row>
    <row r="6143" spans="462:480" x14ac:dyDescent="0.3">
      <c r="QT6143" s="106"/>
      <c r="QU6143" s="106"/>
      <c r="QV6143" s="106"/>
      <c r="QW6143" s="106"/>
      <c r="QX6143" s="106"/>
      <c r="QY6143" s="106"/>
      <c r="QZ6143" s="106"/>
      <c r="RA6143" s="106"/>
      <c r="RB6143" s="106"/>
      <c r="RC6143" s="106"/>
      <c r="RD6143" s="106"/>
      <c r="RE6143" s="106"/>
      <c r="RF6143" s="106"/>
      <c r="RG6143" s="106"/>
      <c r="RH6143" s="106"/>
      <c r="RI6143" s="106"/>
      <c r="RJ6143" s="106"/>
      <c r="RK6143" s="106"/>
      <c r="RL6143" s="106"/>
    </row>
    <row r="6144" spans="462:480" x14ac:dyDescent="0.3">
      <c r="QT6144" s="106"/>
      <c r="QU6144" s="106"/>
      <c r="QV6144" s="106"/>
      <c r="QW6144" s="106"/>
      <c r="QX6144" s="106"/>
      <c r="QY6144" s="106"/>
      <c r="QZ6144" s="106"/>
      <c r="RA6144" s="106"/>
      <c r="RB6144" s="106"/>
      <c r="RC6144" s="106"/>
      <c r="RD6144" s="106"/>
      <c r="RE6144" s="106"/>
      <c r="RF6144" s="106"/>
      <c r="RG6144" s="106"/>
      <c r="RH6144" s="106"/>
      <c r="RI6144" s="106"/>
      <c r="RJ6144" s="106"/>
      <c r="RK6144" s="106"/>
      <c r="RL6144" s="106"/>
    </row>
    <row r="6145" spans="462:480" x14ac:dyDescent="0.3">
      <c r="QT6145" s="106"/>
      <c r="QU6145" s="106"/>
      <c r="QV6145" s="106"/>
      <c r="QW6145" s="106"/>
      <c r="QX6145" s="106"/>
      <c r="QY6145" s="106"/>
      <c r="QZ6145" s="106"/>
      <c r="RA6145" s="106"/>
      <c r="RB6145" s="106"/>
      <c r="RC6145" s="106"/>
      <c r="RD6145" s="106"/>
      <c r="RE6145" s="106"/>
      <c r="RF6145" s="106"/>
      <c r="RG6145" s="106"/>
      <c r="RH6145" s="106"/>
      <c r="RI6145" s="106"/>
      <c r="RJ6145" s="106"/>
      <c r="RK6145" s="106"/>
      <c r="RL6145" s="106"/>
    </row>
    <row r="6146" spans="462:480" x14ac:dyDescent="0.3">
      <c r="QT6146" s="106"/>
      <c r="QU6146" s="106"/>
      <c r="QV6146" s="106"/>
      <c r="QW6146" s="106"/>
      <c r="QX6146" s="106"/>
      <c r="QY6146" s="106"/>
      <c r="QZ6146" s="106"/>
      <c r="RA6146" s="106"/>
      <c r="RB6146" s="106"/>
      <c r="RC6146" s="106"/>
      <c r="RD6146" s="106"/>
      <c r="RE6146" s="106"/>
      <c r="RF6146" s="106"/>
      <c r="RG6146" s="106"/>
      <c r="RH6146" s="106"/>
      <c r="RI6146" s="106"/>
      <c r="RJ6146" s="106"/>
      <c r="RK6146" s="106"/>
      <c r="RL6146" s="106"/>
    </row>
    <row r="6147" spans="462:480" x14ac:dyDescent="0.3">
      <c r="QT6147" s="106"/>
      <c r="QU6147" s="106"/>
      <c r="QV6147" s="106"/>
      <c r="QW6147" s="106"/>
      <c r="QX6147" s="106"/>
      <c r="QY6147" s="106"/>
      <c r="QZ6147" s="106"/>
      <c r="RA6147" s="106"/>
      <c r="RB6147" s="106"/>
      <c r="RC6147" s="106"/>
      <c r="RD6147" s="106"/>
      <c r="RE6147" s="106"/>
      <c r="RF6147" s="106"/>
      <c r="RG6147" s="106"/>
      <c r="RH6147" s="106"/>
      <c r="RI6147" s="106"/>
      <c r="RJ6147" s="106"/>
      <c r="RK6147" s="106"/>
      <c r="RL6147" s="106"/>
    </row>
    <row r="6148" spans="462:480" x14ac:dyDescent="0.3">
      <c r="QT6148" s="106"/>
      <c r="QU6148" s="106"/>
      <c r="QV6148" s="106"/>
      <c r="QW6148" s="106"/>
      <c r="QX6148" s="106"/>
      <c r="QY6148" s="106"/>
      <c r="QZ6148" s="106"/>
      <c r="RA6148" s="106"/>
      <c r="RB6148" s="106"/>
      <c r="RC6148" s="106"/>
      <c r="RD6148" s="106"/>
      <c r="RE6148" s="106"/>
      <c r="RF6148" s="106"/>
      <c r="RG6148" s="106"/>
      <c r="RH6148" s="106"/>
      <c r="RI6148" s="106"/>
      <c r="RJ6148" s="106"/>
      <c r="RK6148" s="106"/>
      <c r="RL6148" s="106"/>
    </row>
    <row r="6149" spans="462:480" x14ac:dyDescent="0.3">
      <c r="QT6149" s="106"/>
      <c r="QU6149" s="106"/>
      <c r="QV6149" s="106"/>
      <c r="QW6149" s="106"/>
      <c r="QX6149" s="106"/>
      <c r="QY6149" s="106"/>
      <c r="QZ6149" s="106"/>
      <c r="RA6149" s="106"/>
      <c r="RB6149" s="106"/>
      <c r="RC6149" s="106"/>
      <c r="RD6149" s="106"/>
      <c r="RE6149" s="106"/>
      <c r="RF6149" s="106"/>
      <c r="RG6149" s="106"/>
      <c r="RH6149" s="106"/>
      <c r="RI6149" s="106"/>
      <c r="RJ6149" s="106"/>
      <c r="RK6149" s="106"/>
      <c r="RL6149" s="106"/>
    </row>
    <row r="6150" spans="462:480" x14ac:dyDescent="0.3">
      <c r="QT6150" s="106"/>
      <c r="QU6150" s="106"/>
      <c r="QV6150" s="106"/>
      <c r="QW6150" s="106"/>
      <c r="QX6150" s="106"/>
      <c r="QY6150" s="106"/>
      <c r="QZ6150" s="106"/>
      <c r="RA6150" s="106"/>
      <c r="RB6150" s="106"/>
      <c r="RC6150" s="106"/>
      <c r="RD6150" s="106"/>
      <c r="RE6150" s="106"/>
      <c r="RF6150" s="106"/>
      <c r="RG6150" s="106"/>
      <c r="RH6150" s="106"/>
      <c r="RI6150" s="106"/>
      <c r="RJ6150" s="106"/>
      <c r="RK6150" s="106"/>
      <c r="RL6150" s="106"/>
    </row>
    <row r="6151" spans="462:480" x14ac:dyDescent="0.3">
      <c r="QT6151" s="106"/>
      <c r="QU6151" s="106"/>
      <c r="QV6151" s="106"/>
      <c r="QW6151" s="106"/>
      <c r="QX6151" s="106"/>
      <c r="QY6151" s="106"/>
      <c r="QZ6151" s="106"/>
      <c r="RA6151" s="106"/>
      <c r="RB6151" s="106"/>
      <c r="RC6151" s="106"/>
      <c r="RD6151" s="106"/>
      <c r="RE6151" s="106"/>
      <c r="RF6151" s="106"/>
      <c r="RG6151" s="106"/>
      <c r="RH6151" s="106"/>
      <c r="RI6151" s="106"/>
      <c r="RJ6151" s="106"/>
      <c r="RK6151" s="106"/>
      <c r="RL6151" s="106"/>
    </row>
    <row r="6152" spans="462:480" x14ac:dyDescent="0.3">
      <c r="QT6152" s="106"/>
      <c r="QU6152" s="106"/>
      <c r="QV6152" s="106"/>
      <c r="QW6152" s="106"/>
      <c r="QX6152" s="106"/>
      <c r="QY6152" s="106"/>
      <c r="QZ6152" s="106"/>
      <c r="RA6152" s="106"/>
      <c r="RB6152" s="106"/>
      <c r="RC6152" s="106"/>
      <c r="RD6152" s="106"/>
      <c r="RE6152" s="106"/>
      <c r="RF6152" s="106"/>
      <c r="RG6152" s="106"/>
      <c r="RH6152" s="106"/>
      <c r="RI6152" s="106"/>
      <c r="RJ6152" s="106"/>
      <c r="RK6152" s="106"/>
      <c r="RL6152" s="106"/>
    </row>
    <row r="6153" spans="462:480" x14ac:dyDescent="0.3">
      <c r="QT6153" s="106"/>
      <c r="QU6153" s="106"/>
      <c r="QV6153" s="106"/>
      <c r="QW6153" s="106"/>
      <c r="QX6153" s="106"/>
      <c r="QY6153" s="106"/>
      <c r="QZ6153" s="106"/>
      <c r="RA6153" s="106"/>
      <c r="RB6153" s="106"/>
      <c r="RC6153" s="106"/>
      <c r="RD6153" s="106"/>
      <c r="RE6153" s="106"/>
      <c r="RF6153" s="106"/>
      <c r="RG6153" s="106"/>
      <c r="RH6153" s="106"/>
      <c r="RI6153" s="106"/>
      <c r="RJ6153" s="106"/>
      <c r="RK6153" s="106"/>
      <c r="RL6153" s="106"/>
    </row>
    <row r="6154" spans="462:480" x14ac:dyDescent="0.3">
      <c r="QT6154" s="106"/>
      <c r="QU6154" s="106"/>
      <c r="QV6154" s="106"/>
      <c r="QW6154" s="106"/>
      <c r="QX6154" s="106"/>
      <c r="QY6154" s="106"/>
      <c r="QZ6154" s="106"/>
      <c r="RA6154" s="106"/>
      <c r="RB6154" s="106"/>
      <c r="RC6154" s="106"/>
      <c r="RD6154" s="106"/>
      <c r="RE6154" s="106"/>
      <c r="RF6154" s="106"/>
      <c r="RG6154" s="106"/>
      <c r="RH6154" s="106"/>
      <c r="RI6154" s="106"/>
      <c r="RJ6154" s="106"/>
      <c r="RK6154" s="106"/>
      <c r="RL6154" s="106"/>
    </row>
    <row r="6155" spans="462:480" x14ac:dyDescent="0.3">
      <c r="QT6155" s="106"/>
      <c r="QU6155" s="106"/>
      <c r="QV6155" s="106"/>
      <c r="QW6155" s="106"/>
      <c r="QX6155" s="106"/>
      <c r="QY6155" s="106"/>
      <c r="QZ6155" s="106"/>
      <c r="RA6155" s="106"/>
      <c r="RB6155" s="106"/>
      <c r="RC6155" s="106"/>
      <c r="RD6155" s="106"/>
      <c r="RE6155" s="106"/>
      <c r="RF6155" s="106"/>
      <c r="RG6155" s="106"/>
      <c r="RH6155" s="106"/>
      <c r="RI6155" s="106"/>
      <c r="RJ6155" s="106"/>
      <c r="RK6155" s="106"/>
      <c r="RL6155" s="106"/>
    </row>
    <row r="6156" spans="462:480" x14ac:dyDescent="0.3">
      <c r="QT6156" s="106"/>
      <c r="QU6156" s="106"/>
      <c r="QV6156" s="106"/>
      <c r="QW6156" s="106"/>
      <c r="QX6156" s="106"/>
      <c r="QY6156" s="106"/>
      <c r="QZ6156" s="106"/>
      <c r="RA6156" s="106"/>
      <c r="RB6156" s="106"/>
      <c r="RC6156" s="106"/>
      <c r="RD6156" s="106"/>
      <c r="RE6156" s="106"/>
      <c r="RF6156" s="106"/>
      <c r="RG6156" s="106"/>
      <c r="RH6156" s="106"/>
      <c r="RI6156" s="106"/>
      <c r="RJ6156" s="106"/>
      <c r="RK6156" s="106"/>
      <c r="RL6156" s="106"/>
    </row>
    <row r="6157" spans="462:480" x14ac:dyDescent="0.3">
      <c r="QT6157" s="106"/>
      <c r="QU6157" s="106"/>
      <c r="QV6157" s="106"/>
      <c r="QW6157" s="106"/>
      <c r="QX6157" s="106"/>
      <c r="QY6157" s="106"/>
      <c r="QZ6157" s="106"/>
      <c r="RA6157" s="106"/>
      <c r="RB6157" s="106"/>
      <c r="RC6157" s="106"/>
      <c r="RD6157" s="106"/>
      <c r="RE6157" s="106"/>
      <c r="RF6157" s="106"/>
      <c r="RG6157" s="106"/>
      <c r="RH6157" s="106"/>
      <c r="RI6157" s="106"/>
      <c r="RJ6157" s="106"/>
      <c r="RK6157" s="106"/>
      <c r="RL6157" s="106"/>
    </row>
    <row r="6158" spans="462:480" x14ac:dyDescent="0.3">
      <c r="QT6158" s="106"/>
      <c r="QU6158" s="106"/>
      <c r="QV6158" s="106"/>
      <c r="QW6158" s="106"/>
      <c r="QX6158" s="106"/>
      <c r="QY6158" s="106"/>
      <c r="QZ6158" s="106"/>
      <c r="RA6158" s="106"/>
      <c r="RB6158" s="106"/>
      <c r="RC6158" s="106"/>
      <c r="RD6158" s="106"/>
      <c r="RE6158" s="106"/>
      <c r="RF6158" s="106"/>
      <c r="RG6158" s="106"/>
      <c r="RH6158" s="106"/>
      <c r="RI6158" s="106"/>
      <c r="RJ6158" s="106"/>
      <c r="RK6158" s="106"/>
      <c r="RL6158" s="106"/>
    </row>
    <row r="6159" spans="462:480" x14ac:dyDescent="0.3">
      <c r="QT6159" s="106"/>
      <c r="QU6159" s="106"/>
      <c r="QV6159" s="106"/>
      <c r="QW6159" s="106"/>
      <c r="QX6159" s="106"/>
      <c r="QY6159" s="106"/>
      <c r="QZ6159" s="106"/>
      <c r="RA6159" s="106"/>
      <c r="RB6159" s="106"/>
      <c r="RC6159" s="106"/>
      <c r="RD6159" s="106"/>
      <c r="RE6159" s="106"/>
      <c r="RF6159" s="106"/>
      <c r="RG6159" s="106"/>
      <c r="RH6159" s="106"/>
      <c r="RI6159" s="106"/>
      <c r="RJ6159" s="106"/>
      <c r="RK6159" s="106"/>
      <c r="RL6159" s="106"/>
    </row>
    <row r="6160" spans="462:480" x14ac:dyDescent="0.3">
      <c r="QT6160" s="106"/>
      <c r="QU6160" s="106"/>
      <c r="QV6160" s="106"/>
      <c r="QW6160" s="106"/>
      <c r="QX6160" s="106"/>
      <c r="QY6160" s="106"/>
      <c r="QZ6160" s="106"/>
      <c r="RA6160" s="106"/>
      <c r="RB6160" s="106"/>
      <c r="RC6160" s="106"/>
      <c r="RD6160" s="106"/>
      <c r="RE6160" s="106"/>
      <c r="RF6160" s="106"/>
      <c r="RG6160" s="106"/>
      <c r="RH6160" s="106"/>
      <c r="RI6160" s="106"/>
      <c r="RJ6160" s="106"/>
      <c r="RK6160" s="106"/>
      <c r="RL6160" s="106"/>
    </row>
    <row r="6161" spans="462:480" x14ac:dyDescent="0.3">
      <c r="QT6161" s="106"/>
      <c r="QU6161" s="106"/>
      <c r="QV6161" s="106"/>
      <c r="QW6161" s="106"/>
      <c r="QX6161" s="106"/>
      <c r="QY6161" s="106"/>
      <c r="QZ6161" s="106"/>
      <c r="RA6161" s="106"/>
      <c r="RB6161" s="106"/>
      <c r="RC6161" s="106"/>
      <c r="RD6161" s="106"/>
      <c r="RE6161" s="106"/>
      <c r="RF6161" s="106"/>
      <c r="RG6161" s="106"/>
      <c r="RH6161" s="106"/>
      <c r="RI6161" s="106"/>
      <c r="RJ6161" s="106"/>
      <c r="RK6161" s="106"/>
      <c r="RL6161" s="106"/>
    </row>
    <row r="6162" spans="462:480" x14ac:dyDescent="0.3">
      <c r="QT6162" s="106"/>
      <c r="QU6162" s="106"/>
      <c r="QV6162" s="106"/>
      <c r="QW6162" s="106"/>
      <c r="QX6162" s="106"/>
      <c r="QY6162" s="106"/>
      <c r="QZ6162" s="106"/>
      <c r="RA6162" s="106"/>
      <c r="RB6162" s="106"/>
      <c r="RC6162" s="106"/>
      <c r="RD6162" s="106"/>
      <c r="RE6162" s="106"/>
      <c r="RF6162" s="106"/>
      <c r="RG6162" s="106"/>
      <c r="RH6162" s="106"/>
      <c r="RI6162" s="106"/>
      <c r="RJ6162" s="106"/>
      <c r="RK6162" s="106"/>
      <c r="RL6162" s="106"/>
    </row>
    <row r="6163" spans="462:480" x14ac:dyDescent="0.3">
      <c r="QT6163" s="106"/>
      <c r="QU6163" s="106"/>
      <c r="QV6163" s="106"/>
      <c r="QW6163" s="106"/>
      <c r="QX6163" s="106"/>
      <c r="QY6163" s="106"/>
      <c r="QZ6163" s="106"/>
      <c r="RA6163" s="106"/>
      <c r="RB6163" s="106"/>
      <c r="RC6163" s="106"/>
      <c r="RD6163" s="106"/>
      <c r="RE6163" s="106"/>
      <c r="RF6163" s="106"/>
      <c r="RG6163" s="106"/>
      <c r="RH6163" s="106"/>
      <c r="RI6163" s="106"/>
      <c r="RJ6163" s="106"/>
      <c r="RK6163" s="106"/>
      <c r="RL6163" s="106"/>
    </row>
    <row r="6164" spans="462:480" x14ac:dyDescent="0.3">
      <c r="QT6164" s="106"/>
      <c r="QU6164" s="106"/>
      <c r="QV6164" s="106"/>
      <c r="QW6164" s="106"/>
      <c r="QX6164" s="106"/>
      <c r="QY6164" s="106"/>
      <c r="QZ6164" s="106"/>
      <c r="RA6164" s="106"/>
      <c r="RB6164" s="106"/>
      <c r="RC6164" s="106"/>
      <c r="RD6164" s="106"/>
      <c r="RE6164" s="106"/>
      <c r="RF6164" s="106"/>
      <c r="RG6164" s="106"/>
      <c r="RH6164" s="106"/>
      <c r="RI6164" s="106"/>
      <c r="RJ6164" s="106"/>
      <c r="RK6164" s="106"/>
      <c r="RL6164" s="106"/>
    </row>
    <row r="6165" spans="462:480" x14ac:dyDescent="0.3">
      <c r="QT6165" s="106"/>
      <c r="QU6165" s="106"/>
      <c r="QV6165" s="106"/>
      <c r="QW6165" s="106"/>
      <c r="QX6165" s="106"/>
      <c r="QY6165" s="106"/>
      <c r="QZ6165" s="106"/>
      <c r="RA6165" s="106"/>
      <c r="RB6165" s="106"/>
      <c r="RC6165" s="106"/>
      <c r="RD6165" s="106"/>
      <c r="RE6165" s="106"/>
      <c r="RF6165" s="106"/>
      <c r="RG6165" s="106"/>
      <c r="RH6165" s="106"/>
      <c r="RI6165" s="106"/>
      <c r="RJ6165" s="106"/>
      <c r="RK6165" s="106"/>
      <c r="RL6165" s="106"/>
    </row>
    <row r="6166" spans="462:480" x14ac:dyDescent="0.3">
      <c r="QT6166" s="106"/>
      <c r="QU6166" s="106"/>
      <c r="QV6166" s="106"/>
      <c r="QW6166" s="106"/>
      <c r="QX6166" s="106"/>
      <c r="QY6166" s="106"/>
      <c r="QZ6166" s="106"/>
      <c r="RA6166" s="106"/>
      <c r="RB6166" s="106"/>
      <c r="RC6166" s="106"/>
      <c r="RD6166" s="106"/>
      <c r="RE6166" s="106"/>
      <c r="RF6166" s="106"/>
      <c r="RG6166" s="106"/>
      <c r="RH6166" s="106"/>
      <c r="RI6166" s="106"/>
      <c r="RJ6166" s="106"/>
      <c r="RK6166" s="106"/>
      <c r="RL6166" s="106"/>
    </row>
    <row r="6167" spans="462:480" x14ac:dyDescent="0.3">
      <c r="QT6167" s="106"/>
      <c r="QU6167" s="106"/>
      <c r="QV6167" s="106"/>
      <c r="QW6167" s="106"/>
      <c r="QX6167" s="106"/>
      <c r="QY6167" s="106"/>
      <c r="QZ6167" s="106"/>
      <c r="RA6167" s="106"/>
      <c r="RB6167" s="106"/>
      <c r="RC6167" s="106"/>
      <c r="RD6167" s="106"/>
      <c r="RE6167" s="106"/>
      <c r="RF6167" s="106"/>
      <c r="RG6167" s="106"/>
      <c r="RH6167" s="106"/>
      <c r="RI6167" s="106"/>
      <c r="RJ6167" s="106"/>
      <c r="RK6167" s="106"/>
      <c r="RL6167" s="106"/>
    </row>
    <row r="6168" spans="462:480" x14ac:dyDescent="0.3">
      <c r="QT6168" s="106"/>
      <c r="QU6168" s="106"/>
      <c r="QV6168" s="106"/>
      <c r="QW6168" s="106"/>
      <c r="QX6168" s="106"/>
      <c r="QY6168" s="106"/>
      <c r="QZ6168" s="106"/>
      <c r="RA6168" s="106"/>
      <c r="RB6168" s="106"/>
      <c r="RC6168" s="106"/>
      <c r="RD6168" s="106"/>
      <c r="RE6168" s="106"/>
      <c r="RF6168" s="106"/>
      <c r="RG6168" s="106"/>
      <c r="RH6168" s="106"/>
      <c r="RI6168" s="106"/>
      <c r="RJ6168" s="106"/>
      <c r="RK6168" s="106"/>
      <c r="RL6168" s="106"/>
    </row>
    <row r="6169" spans="462:480" x14ac:dyDescent="0.3">
      <c r="QT6169" s="106"/>
      <c r="QU6169" s="106"/>
      <c r="QV6169" s="106"/>
      <c r="QW6169" s="106"/>
      <c r="QX6169" s="106"/>
      <c r="QY6169" s="106"/>
      <c r="QZ6169" s="106"/>
      <c r="RA6169" s="106"/>
      <c r="RB6169" s="106"/>
      <c r="RC6169" s="106"/>
      <c r="RD6169" s="106"/>
      <c r="RE6169" s="106"/>
      <c r="RF6169" s="106"/>
      <c r="RG6169" s="106"/>
      <c r="RH6169" s="106"/>
      <c r="RI6169" s="106"/>
      <c r="RJ6169" s="106"/>
      <c r="RK6169" s="106"/>
      <c r="RL6169" s="106"/>
    </row>
    <row r="6170" spans="462:480" x14ac:dyDescent="0.3">
      <c r="QT6170" s="106"/>
      <c r="QU6170" s="106"/>
      <c r="QV6170" s="106"/>
      <c r="QW6170" s="106"/>
      <c r="QX6170" s="106"/>
      <c r="QY6170" s="106"/>
      <c r="QZ6170" s="106"/>
      <c r="RA6170" s="106"/>
      <c r="RB6170" s="106"/>
      <c r="RC6170" s="106"/>
      <c r="RD6170" s="106"/>
      <c r="RE6170" s="106"/>
      <c r="RF6170" s="106"/>
      <c r="RG6170" s="106"/>
      <c r="RH6170" s="106"/>
      <c r="RI6170" s="106"/>
      <c r="RJ6170" s="106"/>
      <c r="RK6170" s="106"/>
      <c r="RL6170" s="106"/>
    </row>
    <row r="6171" spans="462:480" x14ac:dyDescent="0.3">
      <c r="QT6171" s="106"/>
      <c r="QU6171" s="106"/>
      <c r="QV6171" s="106"/>
      <c r="QW6171" s="106"/>
      <c r="QX6171" s="106"/>
      <c r="QY6171" s="106"/>
      <c r="QZ6171" s="106"/>
      <c r="RA6171" s="106"/>
      <c r="RB6171" s="106"/>
      <c r="RC6171" s="106"/>
      <c r="RD6171" s="106"/>
      <c r="RE6171" s="106"/>
      <c r="RF6171" s="106"/>
      <c r="RG6171" s="106"/>
      <c r="RH6171" s="106"/>
      <c r="RI6171" s="106"/>
      <c r="RJ6171" s="106"/>
      <c r="RK6171" s="106"/>
      <c r="RL6171" s="106"/>
    </row>
    <row r="6172" spans="462:480" x14ac:dyDescent="0.3">
      <c r="QT6172" s="106"/>
      <c r="QU6172" s="106"/>
      <c r="QV6172" s="106"/>
      <c r="QW6172" s="106"/>
      <c r="QX6172" s="106"/>
      <c r="QY6172" s="106"/>
      <c r="QZ6172" s="106"/>
      <c r="RA6172" s="106"/>
      <c r="RB6172" s="106"/>
      <c r="RC6172" s="106"/>
      <c r="RD6172" s="106"/>
      <c r="RE6172" s="106"/>
      <c r="RF6172" s="106"/>
      <c r="RG6172" s="106"/>
      <c r="RH6172" s="106"/>
      <c r="RI6172" s="106"/>
      <c r="RJ6172" s="106"/>
      <c r="RK6172" s="106"/>
      <c r="RL6172" s="106"/>
    </row>
    <row r="6173" spans="462:480" x14ac:dyDescent="0.3">
      <c r="QT6173" s="106"/>
      <c r="QU6173" s="106"/>
      <c r="QV6173" s="106"/>
      <c r="QW6173" s="106"/>
      <c r="QX6173" s="106"/>
      <c r="QY6173" s="106"/>
      <c r="QZ6173" s="106"/>
      <c r="RA6173" s="106"/>
      <c r="RB6173" s="106"/>
      <c r="RC6173" s="106"/>
      <c r="RD6173" s="106"/>
      <c r="RE6173" s="106"/>
      <c r="RF6173" s="106"/>
      <c r="RG6173" s="106"/>
      <c r="RH6173" s="106"/>
      <c r="RI6173" s="106"/>
      <c r="RJ6173" s="106"/>
      <c r="RK6173" s="106"/>
      <c r="RL6173" s="106"/>
    </row>
    <row r="6174" spans="462:480" x14ac:dyDescent="0.3">
      <c r="QT6174" s="106"/>
      <c r="QU6174" s="106"/>
      <c r="QV6174" s="106"/>
      <c r="QW6174" s="106"/>
      <c r="QX6174" s="106"/>
      <c r="QY6174" s="106"/>
      <c r="QZ6174" s="106"/>
      <c r="RA6174" s="106"/>
      <c r="RB6174" s="106"/>
      <c r="RC6174" s="106"/>
      <c r="RD6174" s="106"/>
      <c r="RE6174" s="106"/>
      <c r="RF6174" s="106"/>
      <c r="RG6174" s="106"/>
      <c r="RH6174" s="106"/>
      <c r="RI6174" s="106"/>
      <c r="RJ6174" s="106"/>
      <c r="RK6174" s="106"/>
      <c r="RL6174" s="106"/>
    </row>
    <row r="6175" spans="462:480" x14ac:dyDescent="0.3">
      <c r="QT6175" s="106"/>
      <c r="QU6175" s="106"/>
      <c r="QV6175" s="106"/>
      <c r="QW6175" s="106"/>
      <c r="QX6175" s="106"/>
      <c r="QY6175" s="106"/>
      <c r="QZ6175" s="106"/>
      <c r="RA6175" s="106"/>
      <c r="RB6175" s="106"/>
      <c r="RC6175" s="106"/>
      <c r="RD6175" s="106"/>
      <c r="RE6175" s="106"/>
      <c r="RF6175" s="106"/>
      <c r="RG6175" s="106"/>
      <c r="RH6175" s="106"/>
      <c r="RI6175" s="106"/>
      <c r="RJ6175" s="106"/>
      <c r="RK6175" s="106"/>
      <c r="RL6175" s="106"/>
    </row>
    <row r="6176" spans="462:480" x14ac:dyDescent="0.3">
      <c r="QT6176" s="106"/>
      <c r="QU6176" s="106"/>
      <c r="QV6176" s="106"/>
      <c r="QW6176" s="106"/>
      <c r="QX6176" s="106"/>
      <c r="QY6176" s="106"/>
      <c r="QZ6176" s="106"/>
      <c r="RA6176" s="106"/>
      <c r="RB6176" s="106"/>
      <c r="RC6176" s="106"/>
      <c r="RD6176" s="106"/>
      <c r="RE6176" s="106"/>
      <c r="RF6176" s="106"/>
      <c r="RG6176" s="106"/>
      <c r="RH6176" s="106"/>
      <c r="RI6176" s="106"/>
      <c r="RJ6176" s="106"/>
      <c r="RK6176" s="106"/>
      <c r="RL6176" s="106"/>
    </row>
    <row r="6177" spans="462:480" x14ac:dyDescent="0.3">
      <c r="QT6177" s="106"/>
      <c r="QU6177" s="106"/>
      <c r="QV6177" s="106"/>
      <c r="QW6177" s="106"/>
      <c r="QX6177" s="106"/>
      <c r="QY6177" s="106"/>
      <c r="QZ6177" s="106"/>
      <c r="RA6177" s="106"/>
      <c r="RB6177" s="106"/>
      <c r="RC6177" s="106"/>
      <c r="RD6177" s="106"/>
      <c r="RE6177" s="106"/>
      <c r="RF6177" s="106"/>
      <c r="RG6177" s="106"/>
      <c r="RH6177" s="106"/>
      <c r="RI6177" s="106"/>
      <c r="RJ6177" s="106"/>
      <c r="RK6177" s="106"/>
      <c r="RL6177" s="106"/>
    </row>
    <row r="6178" spans="462:480" x14ac:dyDescent="0.3">
      <c r="QT6178" s="106"/>
      <c r="QU6178" s="106"/>
      <c r="QV6178" s="106"/>
      <c r="QW6178" s="106"/>
      <c r="QX6178" s="106"/>
      <c r="QY6178" s="106"/>
      <c r="QZ6178" s="106"/>
      <c r="RA6178" s="106"/>
      <c r="RB6178" s="106"/>
      <c r="RC6178" s="106"/>
      <c r="RD6178" s="106"/>
      <c r="RE6178" s="106"/>
      <c r="RF6178" s="106"/>
      <c r="RG6178" s="106"/>
      <c r="RH6178" s="106"/>
      <c r="RI6178" s="106"/>
      <c r="RJ6178" s="106"/>
      <c r="RK6178" s="106"/>
      <c r="RL6178" s="106"/>
    </row>
    <row r="6179" spans="462:480" x14ac:dyDescent="0.3">
      <c r="QT6179" s="106"/>
      <c r="QU6179" s="106"/>
      <c r="QV6179" s="106"/>
      <c r="QW6179" s="106"/>
      <c r="QX6179" s="106"/>
      <c r="QY6179" s="106"/>
      <c r="QZ6179" s="106"/>
      <c r="RA6179" s="106"/>
      <c r="RB6179" s="106"/>
      <c r="RC6179" s="106"/>
      <c r="RD6179" s="106"/>
      <c r="RE6179" s="106"/>
      <c r="RF6179" s="106"/>
      <c r="RG6179" s="106"/>
      <c r="RH6179" s="106"/>
      <c r="RI6179" s="106"/>
      <c r="RJ6179" s="106"/>
      <c r="RK6179" s="106"/>
      <c r="RL6179" s="106"/>
    </row>
    <row r="6180" spans="462:480" x14ac:dyDescent="0.3">
      <c r="QT6180" s="106"/>
      <c r="QU6180" s="106"/>
      <c r="QV6180" s="106"/>
      <c r="QW6180" s="106"/>
      <c r="QX6180" s="106"/>
      <c r="QY6180" s="106"/>
      <c r="QZ6180" s="106"/>
      <c r="RA6180" s="106"/>
      <c r="RB6180" s="106"/>
      <c r="RC6180" s="106"/>
      <c r="RD6180" s="106"/>
      <c r="RE6180" s="106"/>
      <c r="RF6180" s="106"/>
      <c r="RG6180" s="106"/>
      <c r="RH6180" s="106"/>
      <c r="RI6180" s="106"/>
      <c r="RJ6180" s="106"/>
      <c r="RK6180" s="106"/>
      <c r="RL6180" s="106"/>
    </row>
    <row r="6181" spans="462:480" x14ac:dyDescent="0.3">
      <c r="QT6181" s="106"/>
      <c r="QU6181" s="106"/>
      <c r="QV6181" s="106"/>
      <c r="QW6181" s="106"/>
      <c r="QX6181" s="106"/>
      <c r="QY6181" s="106"/>
      <c r="QZ6181" s="106"/>
      <c r="RA6181" s="106"/>
      <c r="RB6181" s="106"/>
      <c r="RC6181" s="106"/>
      <c r="RD6181" s="106"/>
      <c r="RE6181" s="106"/>
      <c r="RF6181" s="106"/>
      <c r="RG6181" s="106"/>
      <c r="RH6181" s="106"/>
      <c r="RI6181" s="106"/>
      <c r="RJ6181" s="106"/>
      <c r="RK6181" s="106"/>
      <c r="RL6181" s="106"/>
    </row>
    <row r="6182" spans="462:480" x14ac:dyDescent="0.3">
      <c r="QT6182" s="106"/>
      <c r="QU6182" s="106"/>
      <c r="QV6182" s="106"/>
      <c r="QW6182" s="106"/>
      <c r="QX6182" s="106"/>
      <c r="QY6182" s="106"/>
      <c r="QZ6182" s="106"/>
      <c r="RA6182" s="106"/>
      <c r="RB6182" s="106"/>
      <c r="RC6182" s="106"/>
      <c r="RD6182" s="106"/>
      <c r="RE6182" s="106"/>
      <c r="RF6182" s="106"/>
      <c r="RG6182" s="106"/>
      <c r="RH6182" s="106"/>
      <c r="RI6182" s="106"/>
      <c r="RJ6182" s="106"/>
      <c r="RK6182" s="106"/>
      <c r="RL6182" s="106"/>
    </row>
    <row r="6183" spans="462:480" x14ac:dyDescent="0.3">
      <c r="QT6183" s="106"/>
      <c r="QU6183" s="106"/>
      <c r="QV6183" s="106"/>
      <c r="QW6183" s="106"/>
      <c r="QX6183" s="106"/>
      <c r="QY6183" s="106"/>
      <c r="QZ6183" s="106"/>
      <c r="RA6183" s="106"/>
      <c r="RB6183" s="106"/>
      <c r="RC6183" s="106"/>
      <c r="RD6183" s="106"/>
      <c r="RE6183" s="106"/>
      <c r="RF6183" s="106"/>
      <c r="RG6183" s="106"/>
      <c r="RH6183" s="106"/>
      <c r="RI6183" s="106"/>
      <c r="RJ6183" s="106"/>
      <c r="RK6183" s="106"/>
      <c r="RL6183" s="106"/>
    </row>
    <row r="6184" spans="462:480" x14ac:dyDescent="0.3">
      <c r="QT6184" s="106"/>
      <c r="QU6184" s="106"/>
      <c r="QV6184" s="106"/>
      <c r="QW6184" s="106"/>
      <c r="QX6184" s="106"/>
      <c r="QY6184" s="106"/>
      <c r="QZ6184" s="106"/>
      <c r="RA6184" s="106"/>
      <c r="RB6184" s="106"/>
      <c r="RC6184" s="106"/>
      <c r="RD6184" s="106"/>
      <c r="RE6184" s="106"/>
      <c r="RF6184" s="106"/>
      <c r="RG6184" s="106"/>
      <c r="RH6184" s="106"/>
      <c r="RI6184" s="106"/>
      <c r="RJ6184" s="106"/>
      <c r="RK6184" s="106"/>
      <c r="RL6184" s="106"/>
    </row>
    <row r="6185" spans="462:480" x14ac:dyDescent="0.3">
      <c r="QT6185" s="106"/>
      <c r="QU6185" s="106"/>
      <c r="QV6185" s="106"/>
      <c r="QW6185" s="106"/>
      <c r="QX6185" s="106"/>
      <c r="QY6185" s="106"/>
      <c r="QZ6185" s="106"/>
      <c r="RA6185" s="106"/>
      <c r="RB6185" s="106"/>
      <c r="RC6185" s="106"/>
      <c r="RD6185" s="106"/>
      <c r="RE6185" s="106"/>
      <c r="RF6185" s="106"/>
      <c r="RG6185" s="106"/>
      <c r="RH6185" s="106"/>
      <c r="RI6185" s="106"/>
      <c r="RJ6185" s="106"/>
      <c r="RK6185" s="106"/>
      <c r="RL6185" s="106"/>
    </row>
    <row r="6186" spans="462:480" x14ac:dyDescent="0.3">
      <c r="QT6186" s="106"/>
      <c r="QU6186" s="106"/>
      <c r="QV6186" s="106"/>
      <c r="QW6186" s="106"/>
      <c r="QX6186" s="106"/>
      <c r="QY6186" s="106"/>
      <c r="QZ6186" s="106"/>
      <c r="RA6186" s="106"/>
      <c r="RB6186" s="106"/>
      <c r="RC6186" s="106"/>
      <c r="RD6186" s="106"/>
      <c r="RE6186" s="106"/>
      <c r="RF6186" s="106"/>
      <c r="RG6186" s="106"/>
      <c r="RH6186" s="106"/>
      <c r="RI6186" s="106"/>
      <c r="RJ6186" s="106"/>
      <c r="RK6186" s="106"/>
      <c r="RL6186" s="106"/>
    </row>
    <row r="6187" spans="462:480" x14ac:dyDescent="0.3">
      <c r="QT6187" s="106"/>
      <c r="QU6187" s="106"/>
      <c r="QV6187" s="106"/>
      <c r="QW6187" s="106"/>
      <c r="QX6187" s="106"/>
      <c r="QY6187" s="106"/>
      <c r="QZ6187" s="106"/>
      <c r="RA6187" s="106"/>
      <c r="RB6187" s="106"/>
      <c r="RC6187" s="106"/>
      <c r="RD6187" s="106"/>
      <c r="RE6187" s="106"/>
      <c r="RF6187" s="106"/>
      <c r="RG6187" s="106"/>
      <c r="RH6187" s="106"/>
      <c r="RI6187" s="106"/>
      <c r="RJ6187" s="106"/>
      <c r="RK6187" s="106"/>
      <c r="RL6187" s="106"/>
    </row>
    <row r="6188" spans="462:480" x14ac:dyDescent="0.3">
      <c r="QT6188" s="106"/>
      <c r="QU6188" s="106"/>
      <c r="QV6188" s="106"/>
      <c r="QW6188" s="106"/>
      <c r="QX6188" s="106"/>
      <c r="QY6188" s="106"/>
      <c r="QZ6188" s="106"/>
      <c r="RA6188" s="106"/>
      <c r="RB6188" s="106"/>
      <c r="RC6188" s="106"/>
      <c r="RD6188" s="106"/>
      <c r="RE6188" s="106"/>
      <c r="RF6188" s="106"/>
      <c r="RG6188" s="106"/>
      <c r="RH6188" s="106"/>
      <c r="RI6188" s="106"/>
      <c r="RJ6188" s="106"/>
      <c r="RK6188" s="106"/>
      <c r="RL6188" s="106"/>
    </row>
    <row r="6189" spans="462:480" x14ac:dyDescent="0.3">
      <c r="QT6189" s="106"/>
      <c r="QU6189" s="106"/>
      <c r="QV6189" s="106"/>
      <c r="QW6189" s="106"/>
      <c r="QX6189" s="106"/>
      <c r="QY6189" s="106"/>
      <c r="QZ6189" s="106"/>
      <c r="RA6189" s="106"/>
      <c r="RB6189" s="106"/>
      <c r="RC6189" s="106"/>
      <c r="RD6189" s="106"/>
      <c r="RE6189" s="106"/>
      <c r="RF6189" s="106"/>
      <c r="RG6189" s="106"/>
      <c r="RH6189" s="106"/>
      <c r="RI6189" s="106"/>
      <c r="RJ6189" s="106"/>
      <c r="RK6189" s="106"/>
      <c r="RL6189" s="106"/>
    </row>
    <row r="6190" spans="462:480" x14ac:dyDescent="0.3">
      <c r="QT6190" s="106"/>
      <c r="QU6190" s="106"/>
      <c r="QV6190" s="106"/>
      <c r="QW6190" s="106"/>
      <c r="QX6190" s="106"/>
      <c r="QY6190" s="106"/>
      <c r="QZ6190" s="106"/>
      <c r="RA6190" s="106"/>
      <c r="RB6190" s="106"/>
      <c r="RC6190" s="106"/>
      <c r="RD6190" s="106"/>
      <c r="RE6190" s="106"/>
      <c r="RF6190" s="106"/>
      <c r="RG6190" s="106"/>
      <c r="RH6190" s="106"/>
      <c r="RI6190" s="106"/>
      <c r="RJ6190" s="106"/>
      <c r="RK6190" s="106"/>
      <c r="RL6190" s="106"/>
    </row>
    <row r="6191" spans="462:480" x14ac:dyDescent="0.3">
      <c r="QT6191" s="106"/>
      <c r="QU6191" s="106"/>
      <c r="QV6191" s="106"/>
      <c r="QW6191" s="106"/>
      <c r="QX6191" s="106"/>
      <c r="QY6191" s="106"/>
      <c r="QZ6191" s="106"/>
      <c r="RA6191" s="106"/>
      <c r="RB6191" s="106"/>
      <c r="RC6191" s="106"/>
      <c r="RD6191" s="106"/>
      <c r="RE6191" s="106"/>
      <c r="RF6191" s="106"/>
      <c r="RG6191" s="106"/>
      <c r="RH6191" s="106"/>
      <c r="RI6191" s="106"/>
      <c r="RJ6191" s="106"/>
      <c r="RK6191" s="106"/>
      <c r="RL6191" s="106"/>
    </row>
    <row r="6192" spans="462:480" x14ac:dyDescent="0.3">
      <c r="QT6192" s="106"/>
      <c r="QU6192" s="106"/>
      <c r="QV6192" s="106"/>
      <c r="QW6192" s="106"/>
      <c r="QX6192" s="106"/>
      <c r="QY6192" s="106"/>
      <c r="QZ6192" s="106"/>
      <c r="RA6192" s="106"/>
      <c r="RB6192" s="106"/>
      <c r="RC6192" s="106"/>
      <c r="RD6192" s="106"/>
      <c r="RE6192" s="106"/>
      <c r="RF6192" s="106"/>
      <c r="RG6192" s="106"/>
      <c r="RH6192" s="106"/>
      <c r="RI6192" s="106"/>
      <c r="RJ6192" s="106"/>
      <c r="RK6192" s="106"/>
      <c r="RL6192" s="106"/>
    </row>
    <row r="6193" spans="462:480" x14ac:dyDescent="0.3">
      <c r="QT6193" s="106"/>
      <c r="QU6193" s="106"/>
      <c r="QV6193" s="106"/>
      <c r="QW6193" s="106"/>
      <c r="QX6193" s="106"/>
      <c r="QY6193" s="106"/>
      <c r="QZ6193" s="106"/>
      <c r="RA6193" s="106"/>
      <c r="RB6193" s="106"/>
      <c r="RC6193" s="106"/>
      <c r="RD6193" s="106"/>
      <c r="RE6193" s="106"/>
      <c r="RF6193" s="106"/>
      <c r="RG6193" s="106"/>
      <c r="RH6193" s="106"/>
      <c r="RI6193" s="106"/>
      <c r="RJ6193" s="106"/>
      <c r="RK6193" s="106"/>
      <c r="RL6193" s="106"/>
    </row>
    <row r="6194" spans="462:480" x14ac:dyDescent="0.3">
      <c r="QT6194" s="106"/>
      <c r="QU6194" s="106"/>
      <c r="QV6194" s="106"/>
      <c r="QW6194" s="106"/>
      <c r="QX6194" s="106"/>
      <c r="QY6194" s="106"/>
      <c r="QZ6194" s="106"/>
      <c r="RA6194" s="106"/>
      <c r="RB6194" s="106"/>
      <c r="RC6194" s="106"/>
      <c r="RD6194" s="106"/>
      <c r="RE6194" s="106"/>
      <c r="RF6194" s="106"/>
      <c r="RG6194" s="106"/>
      <c r="RH6194" s="106"/>
      <c r="RI6194" s="106"/>
      <c r="RJ6194" s="106"/>
      <c r="RK6194" s="106"/>
      <c r="RL6194" s="106"/>
    </row>
    <row r="6195" spans="462:480" x14ac:dyDescent="0.3">
      <c r="QT6195" s="106"/>
      <c r="QU6195" s="106"/>
      <c r="QV6195" s="106"/>
      <c r="QW6195" s="106"/>
      <c r="QX6195" s="106"/>
      <c r="QY6195" s="106"/>
      <c r="QZ6195" s="106"/>
      <c r="RA6195" s="106"/>
      <c r="RB6195" s="106"/>
      <c r="RC6195" s="106"/>
      <c r="RD6195" s="106"/>
      <c r="RE6195" s="106"/>
      <c r="RF6195" s="106"/>
      <c r="RG6195" s="106"/>
      <c r="RH6195" s="106"/>
      <c r="RI6195" s="106"/>
      <c r="RJ6195" s="106"/>
      <c r="RK6195" s="106"/>
      <c r="RL6195" s="106"/>
    </row>
    <row r="6196" spans="462:480" x14ac:dyDescent="0.3">
      <c r="QT6196" s="106"/>
      <c r="QU6196" s="106"/>
      <c r="QV6196" s="106"/>
      <c r="QW6196" s="106"/>
      <c r="QX6196" s="106"/>
      <c r="QY6196" s="106"/>
      <c r="QZ6196" s="106"/>
      <c r="RA6196" s="106"/>
      <c r="RB6196" s="106"/>
      <c r="RC6196" s="106"/>
      <c r="RD6196" s="106"/>
      <c r="RE6196" s="106"/>
      <c r="RF6196" s="106"/>
      <c r="RG6196" s="106"/>
      <c r="RH6196" s="106"/>
      <c r="RI6196" s="106"/>
      <c r="RJ6196" s="106"/>
      <c r="RK6196" s="106"/>
      <c r="RL6196" s="106"/>
    </row>
    <row r="6197" spans="462:480" x14ac:dyDescent="0.3">
      <c r="QT6197" s="106"/>
      <c r="QU6197" s="106"/>
      <c r="QV6197" s="106"/>
      <c r="QW6197" s="106"/>
      <c r="QX6197" s="106"/>
      <c r="QY6197" s="106"/>
      <c r="QZ6197" s="106"/>
      <c r="RA6197" s="106"/>
      <c r="RB6197" s="106"/>
      <c r="RC6197" s="106"/>
      <c r="RD6197" s="106"/>
      <c r="RE6197" s="106"/>
      <c r="RF6197" s="106"/>
      <c r="RG6197" s="106"/>
      <c r="RH6197" s="106"/>
      <c r="RI6197" s="106"/>
      <c r="RJ6197" s="106"/>
      <c r="RK6197" s="106"/>
      <c r="RL6197" s="106"/>
    </row>
    <row r="6198" spans="462:480" x14ac:dyDescent="0.3">
      <c r="QT6198" s="106"/>
      <c r="QU6198" s="106"/>
      <c r="QV6198" s="106"/>
      <c r="QW6198" s="106"/>
      <c r="QX6198" s="106"/>
      <c r="QY6198" s="106"/>
      <c r="QZ6198" s="106"/>
      <c r="RA6198" s="106"/>
      <c r="RB6198" s="106"/>
      <c r="RC6198" s="106"/>
      <c r="RD6198" s="106"/>
      <c r="RE6198" s="106"/>
      <c r="RF6198" s="106"/>
      <c r="RG6198" s="106"/>
      <c r="RH6198" s="106"/>
      <c r="RI6198" s="106"/>
      <c r="RJ6198" s="106"/>
      <c r="RK6198" s="106"/>
      <c r="RL6198" s="106"/>
    </row>
    <row r="6199" spans="462:480" x14ac:dyDescent="0.3">
      <c r="QT6199" s="106"/>
      <c r="QU6199" s="106"/>
      <c r="QV6199" s="106"/>
      <c r="QW6199" s="106"/>
      <c r="QX6199" s="106"/>
      <c r="QY6199" s="106"/>
      <c r="QZ6199" s="106"/>
      <c r="RA6199" s="106"/>
      <c r="RB6199" s="106"/>
      <c r="RC6199" s="106"/>
      <c r="RD6199" s="106"/>
      <c r="RE6199" s="106"/>
      <c r="RF6199" s="106"/>
      <c r="RG6199" s="106"/>
      <c r="RH6199" s="106"/>
      <c r="RI6199" s="106"/>
      <c r="RJ6199" s="106"/>
      <c r="RK6199" s="106"/>
      <c r="RL6199" s="106"/>
    </row>
    <row r="6200" spans="462:480" x14ac:dyDescent="0.3">
      <c r="QT6200" s="106"/>
      <c r="QU6200" s="106"/>
      <c r="QV6200" s="106"/>
      <c r="QW6200" s="106"/>
      <c r="QX6200" s="106"/>
      <c r="QY6200" s="106"/>
      <c r="QZ6200" s="106"/>
      <c r="RA6200" s="106"/>
      <c r="RB6200" s="106"/>
      <c r="RC6200" s="106"/>
      <c r="RD6200" s="106"/>
      <c r="RE6200" s="106"/>
      <c r="RF6200" s="106"/>
      <c r="RG6200" s="106"/>
      <c r="RH6200" s="106"/>
      <c r="RI6200" s="106"/>
      <c r="RJ6200" s="106"/>
      <c r="RK6200" s="106"/>
      <c r="RL6200" s="106"/>
    </row>
    <row r="6201" spans="462:480" x14ac:dyDescent="0.3">
      <c r="QT6201" s="106"/>
      <c r="QU6201" s="106"/>
      <c r="QV6201" s="106"/>
      <c r="QW6201" s="106"/>
      <c r="QX6201" s="106"/>
      <c r="QY6201" s="106"/>
      <c r="QZ6201" s="106"/>
      <c r="RA6201" s="106"/>
      <c r="RB6201" s="106"/>
      <c r="RC6201" s="106"/>
      <c r="RD6201" s="106"/>
      <c r="RE6201" s="106"/>
      <c r="RF6201" s="106"/>
      <c r="RG6201" s="106"/>
      <c r="RH6201" s="106"/>
      <c r="RI6201" s="106"/>
      <c r="RJ6201" s="106"/>
      <c r="RK6201" s="106"/>
      <c r="RL6201" s="106"/>
    </row>
    <row r="6202" spans="462:480" x14ac:dyDescent="0.3">
      <c r="QT6202" s="106"/>
      <c r="QU6202" s="106"/>
      <c r="QV6202" s="106"/>
      <c r="QW6202" s="106"/>
      <c r="QX6202" s="106"/>
      <c r="QY6202" s="106"/>
      <c r="QZ6202" s="106"/>
      <c r="RA6202" s="106"/>
      <c r="RB6202" s="106"/>
      <c r="RC6202" s="106"/>
      <c r="RD6202" s="106"/>
      <c r="RE6202" s="106"/>
      <c r="RF6202" s="106"/>
      <c r="RG6202" s="106"/>
      <c r="RH6202" s="106"/>
      <c r="RI6202" s="106"/>
      <c r="RJ6202" s="106"/>
      <c r="RK6202" s="106"/>
      <c r="RL6202" s="106"/>
    </row>
    <row r="6203" spans="462:480" x14ac:dyDescent="0.3">
      <c r="QT6203" s="106"/>
      <c r="QU6203" s="106"/>
      <c r="QV6203" s="106"/>
      <c r="QW6203" s="106"/>
      <c r="QX6203" s="106"/>
      <c r="QY6203" s="106"/>
      <c r="QZ6203" s="106"/>
      <c r="RA6203" s="106"/>
      <c r="RB6203" s="106"/>
      <c r="RC6203" s="106"/>
      <c r="RD6203" s="106"/>
      <c r="RE6203" s="106"/>
      <c r="RF6203" s="106"/>
      <c r="RG6203" s="106"/>
      <c r="RH6203" s="106"/>
      <c r="RI6203" s="106"/>
      <c r="RJ6203" s="106"/>
      <c r="RK6203" s="106"/>
      <c r="RL6203" s="106"/>
    </row>
    <row r="6204" spans="462:480" x14ac:dyDescent="0.3">
      <c r="QT6204" s="106"/>
      <c r="QU6204" s="106"/>
      <c r="QV6204" s="106"/>
      <c r="QW6204" s="106"/>
      <c r="QX6204" s="106"/>
      <c r="QY6204" s="106"/>
      <c r="QZ6204" s="106"/>
      <c r="RA6204" s="106"/>
      <c r="RB6204" s="106"/>
      <c r="RC6204" s="106"/>
      <c r="RD6204" s="106"/>
      <c r="RE6204" s="106"/>
      <c r="RF6204" s="106"/>
      <c r="RG6204" s="106"/>
      <c r="RH6204" s="106"/>
      <c r="RI6204" s="106"/>
      <c r="RJ6204" s="106"/>
      <c r="RK6204" s="106"/>
      <c r="RL6204" s="106"/>
    </row>
    <row r="6205" spans="462:480" x14ac:dyDescent="0.3">
      <c r="QT6205" s="106"/>
      <c r="QU6205" s="106"/>
      <c r="QV6205" s="106"/>
      <c r="QW6205" s="106"/>
      <c r="QX6205" s="106"/>
      <c r="QY6205" s="106"/>
      <c r="QZ6205" s="106"/>
      <c r="RA6205" s="106"/>
      <c r="RB6205" s="106"/>
      <c r="RC6205" s="106"/>
      <c r="RD6205" s="106"/>
      <c r="RE6205" s="106"/>
      <c r="RF6205" s="106"/>
      <c r="RG6205" s="106"/>
      <c r="RH6205" s="106"/>
      <c r="RI6205" s="106"/>
      <c r="RJ6205" s="106"/>
      <c r="RK6205" s="106"/>
      <c r="RL6205" s="106"/>
    </row>
    <row r="6206" spans="462:480" x14ac:dyDescent="0.3">
      <c r="QT6206" s="106"/>
      <c r="QU6206" s="106"/>
      <c r="QV6206" s="106"/>
      <c r="QW6206" s="106"/>
      <c r="QX6206" s="106"/>
      <c r="QY6206" s="106"/>
      <c r="QZ6206" s="106"/>
      <c r="RA6206" s="106"/>
      <c r="RB6206" s="106"/>
      <c r="RC6206" s="106"/>
      <c r="RD6206" s="106"/>
      <c r="RE6206" s="106"/>
      <c r="RF6206" s="106"/>
      <c r="RG6206" s="106"/>
      <c r="RH6206" s="106"/>
      <c r="RI6206" s="106"/>
      <c r="RJ6206" s="106"/>
      <c r="RK6206" s="106"/>
      <c r="RL6206" s="106"/>
    </row>
    <row r="6207" spans="462:480" x14ac:dyDescent="0.3">
      <c r="QT6207" s="106"/>
      <c r="QU6207" s="106"/>
      <c r="QV6207" s="106"/>
      <c r="QW6207" s="106"/>
      <c r="QX6207" s="106"/>
      <c r="QY6207" s="106"/>
      <c r="QZ6207" s="106"/>
      <c r="RA6207" s="106"/>
      <c r="RB6207" s="106"/>
      <c r="RC6207" s="106"/>
      <c r="RD6207" s="106"/>
      <c r="RE6207" s="106"/>
      <c r="RF6207" s="106"/>
      <c r="RG6207" s="106"/>
      <c r="RH6207" s="106"/>
      <c r="RI6207" s="106"/>
      <c r="RJ6207" s="106"/>
      <c r="RK6207" s="106"/>
      <c r="RL6207" s="106"/>
    </row>
    <row r="6208" spans="462:480" x14ac:dyDescent="0.3">
      <c r="QT6208" s="106"/>
      <c r="QU6208" s="106"/>
      <c r="QV6208" s="106"/>
      <c r="QW6208" s="106"/>
      <c r="QX6208" s="106"/>
      <c r="QY6208" s="106"/>
      <c r="QZ6208" s="106"/>
      <c r="RA6208" s="106"/>
      <c r="RB6208" s="106"/>
      <c r="RC6208" s="106"/>
      <c r="RD6208" s="106"/>
      <c r="RE6208" s="106"/>
      <c r="RF6208" s="106"/>
      <c r="RG6208" s="106"/>
      <c r="RH6208" s="106"/>
      <c r="RI6208" s="106"/>
      <c r="RJ6208" s="106"/>
      <c r="RK6208" s="106"/>
      <c r="RL6208" s="106"/>
    </row>
    <row r="6209" spans="462:480" x14ac:dyDescent="0.3">
      <c r="QT6209" s="106"/>
      <c r="QU6209" s="106"/>
      <c r="QV6209" s="106"/>
      <c r="QW6209" s="106"/>
      <c r="QX6209" s="106"/>
      <c r="QY6209" s="106"/>
      <c r="QZ6209" s="106"/>
      <c r="RA6209" s="106"/>
      <c r="RB6209" s="106"/>
      <c r="RC6209" s="106"/>
      <c r="RD6209" s="106"/>
      <c r="RE6209" s="106"/>
      <c r="RF6209" s="106"/>
      <c r="RG6209" s="106"/>
      <c r="RH6209" s="106"/>
      <c r="RI6209" s="106"/>
      <c r="RJ6209" s="106"/>
      <c r="RK6209" s="106"/>
      <c r="RL6209" s="106"/>
    </row>
    <row r="6210" spans="462:480" x14ac:dyDescent="0.3">
      <c r="QT6210" s="106"/>
      <c r="QU6210" s="106"/>
      <c r="QV6210" s="106"/>
      <c r="QW6210" s="106"/>
      <c r="QX6210" s="106"/>
      <c r="QY6210" s="106"/>
      <c r="QZ6210" s="106"/>
      <c r="RA6210" s="106"/>
      <c r="RB6210" s="106"/>
      <c r="RC6210" s="106"/>
      <c r="RD6210" s="106"/>
      <c r="RE6210" s="106"/>
      <c r="RF6210" s="106"/>
      <c r="RG6210" s="106"/>
      <c r="RH6210" s="106"/>
      <c r="RI6210" s="106"/>
      <c r="RJ6210" s="106"/>
      <c r="RK6210" s="106"/>
      <c r="RL6210" s="106"/>
    </row>
    <row r="6211" spans="462:480" x14ac:dyDescent="0.3">
      <c r="QT6211" s="106"/>
      <c r="QU6211" s="106"/>
      <c r="QV6211" s="106"/>
      <c r="QW6211" s="106"/>
      <c r="QX6211" s="106"/>
      <c r="QY6211" s="106"/>
      <c r="QZ6211" s="106"/>
      <c r="RA6211" s="106"/>
      <c r="RB6211" s="106"/>
      <c r="RC6211" s="106"/>
      <c r="RD6211" s="106"/>
      <c r="RE6211" s="106"/>
      <c r="RF6211" s="106"/>
      <c r="RG6211" s="106"/>
      <c r="RH6211" s="106"/>
      <c r="RI6211" s="106"/>
      <c r="RJ6211" s="106"/>
      <c r="RK6211" s="106"/>
      <c r="RL6211" s="106"/>
    </row>
    <row r="6212" spans="462:480" x14ac:dyDescent="0.3">
      <c r="QT6212" s="106"/>
      <c r="QU6212" s="106"/>
      <c r="QV6212" s="106"/>
      <c r="QW6212" s="106"/>
      <c r="QX6212" s="106"/>
      <c r="QY6212" s="106"/>
      <c r="QZ6212" s="106"/>
      <c r="RA6212" s="106"/>
      <c r="RB6212" s="106"/>
      <c r="RC6212" s="106"/>
      <c r="RD6212" s="106"/>
      <c r="RE6212" s="106"/>
      <c r="RF6212" s="106"/>
      <c r="RG6212" s="106"/>
      <c r="RH6212" s="106"/>
      <c r="RI6212" s="106"/>
      <c r="RJ6212" s="106"/>
      <c r="RK6212" s="106"/>
      <c r="RL6212" s="106"/>
    </row>
    <row r="6213" spans="462:480" x14ac:dyDescent="0.3">
      <c r="QT6213" s="106"/>
      <c r="QU6213" s="106"/>
      <c r="QV6213" s="106"/>
      <c r="QW6213" s="106"/>
      <c r="QX6213" s="106"/>
      <c r="QY6213" s="106"/>
      <c r="QZ6213" s="106"/>
      <c r="RA6213" s="106"/>
      <c r="RB6213" s="106"/>
      <c r="RC6213" s="106"/>
      <c r="RD6213" s="106"/>
      <c r="RE6213" s="106"/>
      <c r="RF6213" s="106"/>
      <c r="RG6213" s="106"/>
      <c r="RH6213" s="106"/>
      <c r="RI6213" s="106"/>
      <c r="RJ6213" s="106"/>
      <c r="RK6213" s="106"/>
      <c r="RL6213" s="106"/>
    </row>
    <row r="6214" spans="462:480" x14ac:dyDescent="0.3">
      <c r="QT6214" s="106"/>
      <c r="QU6214" s="106"/>
      <c r="QV6214" s="106"/>
      <c r="QW6214" s="106"/>
      <c r="QX6214" s="106"/>
      <c r="QY6214" s="106"/>
      <c r="QZ6214" s="106"/>
      <c r="RA6214" s="106"/>
      <c r="RB6214" s="106"/>
      <c r="RC6214" s="106"/>
      <c r="RD6214" s="106"/>
      <c r="RE6214" s="106"/>
      <c r="RF6214" s="106"/>
      <c r="RG6214" s="106"/>
      <c r="RH6214" s="106"/>
      <c r="RI6214" s="106"/>
      <c r="RJ6214" s="106"/>
      <c r="RK6214" s="106"/>
      <c r="RL6214" s="106"/>
    </row>
    <row r="6215" spans="462:480" x14ac:dyDescent="0.3">
      <c r="QT6215" s="106"/>
      <c r="QU6215" s="106"/>
      <c r="QV6215" s="106"/>
      <c r="QW6215" s="106"/>
      <c r="QX6215" s="106"/>
      <c r="QY6215" s="106"/>
      <c r="QZ6215" s="106"/>
      <c r="RA6215" s="106"/>
      <c r="RB6215" s="106"/>
      <c r="RC6215" s="106"/>
      <c r="RD6215" s="106"/>
      <c r="RE6215" s="106"/>
      <c r="RF6215" s="106"/>
      <c r="RG6215" s="106"/>
      <c r="RH6215" s="106"/>
      <c r="RI6215" s="106"/>
      <c r="RJ6215" s="106"/>
      <c r="RK6215" s="106"/>
      <c r="RL6215" s="106"/>
    </row>
    <row r="6216" spans="462:480" x14ac:dyDescent="0.3">
      <c r="QT6216" s="106"/>
      <c r="QU6216" s="106"/>
      <c r="QV6216" s="106"/>
      <c r="QW6216" s="106"/>
      <c r="QX6216" s="106"/>
      <c r="QY6216" s="106"/>
      <c r="QZ6216" s="106"/>
      <c r="RA6216" s="106"/>
      <c r="RB6216" s="106"/>
      <c r="RC6216" s="106"/>
      <c r="RD6216" s="106"/>
      <c r="RE6216" s="106"/>
      <c r="RF6216" s="106"/>
      <c r="RG6216" s="106"/>
      <c r="RH6216" s="106"/>
      <c r="RI6216" s="106"/>
      <c r="RJ6216" s="106"/>
      <c r="RK6216" s="106"/>
      <c r="RL6216" s="106"/>
    </row>
    <row r="6217" spans="462:480" x14ac:dyDescent="0.3">
      <c r="QT6217" s="106"/>
      <c r="QU6217" s="106"/>
      <c r="QV6217" s="106"/>
      <c r="QW6217" s="106"/>
      <c r="QX6217" s="106"/>
      <c r="QY6217" s="106"/>
      <c r="QZ6217" s="106"/>
      <c r="RA6217" s="106"/>
      <c r="RB6217" s="106"/>
      <c r="RC6217" s="106"/>
      <c r="RD6217" s="106"/>
      <c r="RE6217" s="106"/>
      <c r="RF6217" s="106"/>
      <c r="RG6217" s="106"/>
      <c r="RH6217" s="106"/>
      <c r="RI6217" s="106"/>
      <c r="RJ6217" s="106"/>
      <c r="RK6217" s="106"/>
      <c r="RL6217" s="106"/>
    </row>
    <row r="6218" spans="462:480" x14ac:dyDescent="0.3">
      <c r="QT6218" s="106"/>
      <c r="QU6218" s="106"/>
      <c r="QV6218" s="106"/>
      <c r="QW6218" s="106"/>
      <c r="QX6218" s="106"/>
      <c r="QY6218" s="106"/>
      <c r="QZ6218" s="106"/>
      <c r="RA6218" s="106"/>
      <c r="RB6218" s="106"/>
      <c r="RC6218" s="106"/>
      <c r="RD6218" s="106"/>
      <c r="RE6218" s="106"/>
      <c r="RF6218" s="106"/>
      <c r="RG6218" s="106"/>
      <c r="RH6218" s="106"/>
      <c r="RI6218" s="106"/>
      <c r="RJ6218" s="106"/>
      <c r="RK6218" s="106"/>
      <c r="RL6218" s="106"/>
    </row>
    <row r="6219" spans="462:480" x14ac:dyDescent="0.3">
      <c r="QT6219" s="106"/>
      <c r="QU6219" s="106"/>
      <c r="QV6219" s="106"/>
      <c r="QW6219" s="106"/>
      <c r="QX6219" s="106"/>
      <c r="QY6219" s="106"/>
      <c r="QZ6219" s="106"/>
      <c r="RA6219" s="106"/>
      <c r="RB6219" s="106"/>
      <c r="RC6219" s="106"/>
      <c r="RD6219" s="106"/>
      <c r="RE6219" s="106"/>
      <c r="RF6219" s="106"/>
      <c r="RG6219" s="106"/>
      <c r="RH6219" s="106"/>
      <c r="RI6219" s="106"/>
      <c r="RJ6219" s="106"/>
      <c r="RK6219" s="106"/>
      <c r="RL6219" s="106"/>
    </row>
    <row r="6220" spans="462:480" x14ac:dyDescent="0.3">
      <c r="QT6220" s="106"/>
      <c r="QU6220" s="106"/>
      <c r="QV6220" s="106"/>
      <c r="QW6220" s="106"/>
      <c r="QX6220" s="106"/>
      <c r="QY6220" s="106"/>
      <c r="QZ6220" s="106"/>
      <c r="RA6220" s="106"/>
      <c r="RB6220" s="106"/>
      <c r="RC6220" s="106"/>
      <c r="RD6220" s="106"/>
      <c r="RE6220" s="106"/>
      <c r="RF6220" s="106"/>
      <c r="RG6220" s="106"/>
      <c r="RH6220" s="106"/>
      <c r="RI6220" s="106"/>
      <c r="RJ6220" s="106"/>
      <c r="RK6220" s="106"/>
      <c r="RL6220" s="106"/>
    </row>
    <row r="6221" spans="462:480" x14ac:dyDescent="0.3">
      <c r="QT6221" s="106"/>
      <c r="QU6221" s="106"/>
      <c r="QV6221" s="106"/>
      <c r="QW6221" s="106"/>
      <c r="QX6221" s="106"/>
      <c r="QY6221" s="106"/>
      <c r="QZ6221" s="106"/>
      <c r="RA6221" s="106"/>
      <c r="RB6221" s="106"/>
      <c r="RC6221" s="106"/>
      <c r="RD6221" s="106"/>
      <c r="RE6221" s="106"/>
      <c r="RF6221" s="106"/>
      <c r="RG6221" s="106"/>
      <c r="RH6221" s="106"/>
      <c r="RI6221" s="106"/>
      <c r="RJ6221" s="106"/>
      <c r="RK6221" s="106"/>
      <c r="RL6221" s="106"/>
    </row>
    <row r="6222" spans="462:480" x14ac:dyDescent="0.3">
      <c r="QT6222" s="106"/>
      <c r="QU6222" s="106"/>
      <c r="QV6222" s="106"/>
      <c r="QW6222" s="106"/>
      <c r="QX6222" s="106"/>
      <c r="QY6222" s="106"/>
      <c r="QZ6222" s="106"/>
      <c r="RA6222" s="106"/>
      <c r="RB6222" s="106"/>
      <c r="RC6222" s="106"/>
      <c r="RD6222" s="106"/>
      <c r="RE6222" s="106"/>
      <c r="RF6222" s="106"/>
      <c r="RG6222" s="106"/>
      <c r="RH6222" s="106"/>
      <c r="RI6222" s="106"/>
      <c r="RJ6222" s="106"/>
      <c r="RK6222" s="106"/>
      <c r="RL6222" s="106"/>
    </row>
    <row r="6223" spans="462:480" x14ac:dyDescent="0.3">
      <c r="QT6223" s="106"/>
      <c r="QU6223" s="106"/>
      <c r="QV6223" s="106"/>
      <c r="QW6223" s="106"/>
      <c r="QX6223" s="106"/>
      <c r="QY6223" s="106"/>
      <c r="QZ6223" s="106"/>
      <c r="RA6223" s="106"/>
      <c r="RB6223" s="106"/>
      <c r="RC6223" s="106"/>
      <c r="RD6223" s="106"/>
      <c r="RE6223" s="106"/>
      <c r="RF6223" s="106"/>
      <c r="RG6223" s="106"/>
      <c r="RH6223" s="106"/>
      <c r="RI6223" s="106"/>
      <c r="RJ6223" s="106"/>
      <c r="RK6223" s="106"/>
      <c r="RL6223" s="106"/>
    </row>
    <row r="6224" spans="462:480" x14ac:dyDescent="0.3">
      <c r="QT6224" s="106"/>
      <c r="QU6224" s="106"/>
      <c r="QV6224" s="106"/>
      <c r="QW6224" s="106"/>
      <c r="QX6224" s="106"/>
      <c r="QY6224" s="106"/>
      <c r="QZ6224" s="106"/>
      <c r="RA6224" s="106"/>
      <c r="RB6224" s="106"/>
      <c r="RC6224" s="106"/>
      <c r="RD6224" s="106"/>
      <c r="RE6224" s="106"/>
      <c r="RF6224" s="106"/>
      <c r="RG6224" s="106"/>
      <c r="RH6224" s="106"/>
      <c r="RI6224" s="106"/>
      <c r="RJ6224" s="106"/>
      <c r="RK6224" s="106"/>
      <c r="RL6224" s="106"/>
    </row>
    <row r="6225" spans="462:480" x14ac:dyDescent="0.3">
      <c r="QT6225" s="106"/>
      <c r="QU6225" s="106"/>
      <c r="QV6225" s="106"/>
      <c r="QW6225" s="106"/>
      <c r="QX6225" s="106"/>
      <c r="QY6225" s="106"/>
      <c r="QZ6225" s="106"/>
      <c r="RA6225" s="106"/>
      <c r="RB6225" s="106"/>
      <c r="RC6225" s="106"/>
      <c r="RD6225" s="106"/>
      <c r="RE6225" s="106"/>
      <c r="RF6225" s="106"/>
      <c r="RG6225" s="106"/>
      <c r="RH6225" s="106"/>
      <c r="RI6225" s="106"/>
      <c r="RJ6225" s="106"/>
      <c r="RK6225" s="106"/>
      <c r="RL6225" s="106"/>
    </row>
    <row r="6226" spans="462:480" x14ac:dyDescent="0.3">
      <c r="QT6226" s="106"/>
      <c r="QU6226" s="106"/>
      <c r="QV6226" s="106"/>
      <c r="QW6226" s="106"/>
      <c r="QX6226" s="106"/>
      <c r="QY6226" s="106"/>
      <c r="QZ6226" s="106"/>
      <c r="RA6226" s="106"/>
      <c r="RB6226" s="106"/>
      <c r="RC6226" s="106"/>
      <c r="RD6226" s="106"/>
      <c r="RE6226" s="106"/>
      <c r="RF6226" s="106"/>
      <c r="RG6226" s="106"/>
      <c r="RH6226" s="106"/>
      <c r="RI6226" s="106"/>
      <c r="RJ6226" s="106"/>
      <c r="RK6226" s="106"/>
      <c r="RL6226" s="106"/>
    </row>
    <row r="6227" spans="462:480" x14ac:dyDescent="0.3">
      <c r="QT6227" s="106"/>
      <c r="QU6227" s="106"/>
      <c r="QV6227" s="106"/>
      <c r="QW6227" s="106"/>
      <c r="QX6227" s="106"/>
      <c r="QY6227" s="106"/>
      <c r="QZ6227" s="106"/>
      <c r="RA6227" s="106"/>
      <c r="RB6227" s="106"/>
      <c r="RC6227" s="106"/>
      <c r="RD6227" s="106"/>
      <c r="RE6227" s="106"/>
      <c r="RF6227" s="106"/>
      <c r="RG6227" s="106"/>
      <c r="RH6227" s="106"/>
      <c r="RI6227" s="106"/>
      <c r="RJ6227" s="106"/>
      <c r="RK6227" s="106"/>
      <c r="RL6227" s="106"/>
    </row>
    <row r="6228" spans="462:480" x14ac:dyDescent="0.3">
      <c r="QT6228" s="106"/>
      <c r="QU6228" s="106"/>
      <c r="QV6228" s="106"/>
      <c r="QW6228" s="106"/>
      <c r="QX6228" s="106"/>
      <c r="QY6228" s="106"/>
      <c r="QZ6228" s="106"/>
      <c r="RA6228" s="106"/>
      <c r="RB6228" s="106"/>
      <c r="RC6228" s="106"/>
      <c r="RD6228" s="106"/>
      <c r="RE6228" s="106"/>
      <c r="RF6228" s="106"/>
      <c r="RG6228" s="106"/>
      <c r="RH6228" s="106"/>
      <c r="RI6228" s="106"/>
      <c r="RJ6228" s="106"/>
      <c r="RK6228" s="106"/>
      <c r="RL6228" s="106"/>
    </row>
    <row r="6229" spans="462:480" x14ac:dyDescent="0.3">
      <c r="QT6229" s="106"/>
      <c r="QU6229" s="106"/>
      <c r="QV6229" s="106"/>
      <c r="QW6229" s="106"/>
      <c r="QX6229" s="106"/>
      <c r="QY6229" s="106"/>
      <c r="QZ6229" s="106"/>
      <c r="RA6229" s="106"/>
      <c r="RB6229" s="106"/>
      <c r="RC6229" s="106"/>
      <c r="RD6229" s="106"/>
      <c r="RE6229" s="106"/>
      <c r="RF6229" s="106"/>
      <c r="RG6229" s="106"/>
      <c r="RH6229" s="106"/>
      <c r="RI6229" s="106"/>
      <c r="RJ6229" s="106"/>
      <c r="RK6229" s="106"/>
      <c r="RL6229" s="106"/>
    </row>
    <row r="6230" spans="462:480" x14ac:dyDescent="0.3">
      <c r="QT6230" s="106"/>
      <c r="QU6230" s="106"/>
      <c r="QV6230" s="106"/>
      <c r="QW6230" s="106"/>
      <c r="QX6230" s="106"/>
      <c r="QY6230" s="106"/>
      <c r="QZ6230" s="106"/>
      <c r="RA6230" s="106"/>
      <c r="RB6230" s="106"/>
      <c r="RC6230" s="106"/>
      <c r="RD6230" s="106"/>
      <c r="RE6230" s="106"/>
      <c r="RF6230" s="106"/>
      <c r="RG6230" s="106"/>
      <c r="RH6230" s="106"/>
      <c r="RI6230" s="106"/>
      <c r="RJ6230" s="106"/>
      <c r="RK6230" s="106"/>
      <c r="RL6230" s="106"/>
    </row>
    <row r="6231" spans="462:480" x14ac:dyDescent="0.3">
      <c r="QT6231" s="106"/>
      <c r="QU6231" s="106"/>
      <c r="QV6231" s="106"/>
      <c r="QW6231" s="106"/>
      <c r="QX6231" s="106"/>
      <c r="QY6231" s="106"/>
      <c r="QZ6231" s="106"/>
      <c r="RA6231" s="106"/>
      <c r="RB6231" s="106"/>
      <c r="RC6231" s="106"/>
      <c r="RD6231" s="106"/>
      <c r="RE6231" s="106"/>
      <c r="RF6231" s="106"/>
      <c r="RG6231" s="106"/>
      <c r="RH6231" s="106"/>
      <c r="RI6231" s="106"/>
      <c r="RJ6231" s="106"/>
      <c r="RK6231" s="106"/>
      <c r="RL6231" s="106"/>
    </row>
    <row r="6232" spans="462:480" x14ac:dyDescent="0.3">
      <c r="QT6232" s="106"/>
      <c r="QU6232" s="106"/>
      <c r="QV6232" s="106"/>
      <c r="QW6232" s="106"/>
      <c r="QX6232" s="106"/>
      <c r="QY6232" s="106"/>
      <c r="QZ6232" s="106"/>
      <c r="RA6232" s="106"/>
      <c r="RB6232" s="106"/>
      <c r="RC6232" s="106"/>
      <c r="RD6232" s="106"/>
      <c r="RE6232" s="106"/>
      <c r="RF6232" s="106"/>
      <c r="RG6232" s="106"/>
      <c r="RH6232" s="106"/>
      <c r="RI6232" s="106"/>
      <c r="RJ6232" s="106"/>
      <c r="RK6232" s="106"/>
      <c r="RL6232" s="106"/>
    </row>
    <row r="6233" spans="462:480" x14ac:dyDescent="0.3">
      <c r="QT6233" s="106"/>
      <c r="QU6233" s="106"/>
      <c r="QV6233" s="106"/>
      <c r="QW6233" s="106"/>
      <c r="QX6233" s="106"/>
      <c r="QY6233" s="106"/>
      <c r="QZ6233" s="106"/>
      <c r="RA6233" s="106"/>
      <c r="RB6233" s="106"/>
      <c r="RC6233" s="106"/>
      <c r="RD6233" s="106"/>
      <c r="RE6233" s="106"/>
      <c r="RF6233" s="106"/>
      <c r="RG6233" s="106"/>
      <c r="RH6233" s="106"/>
      <c r="RI6233" s="106"/>
      <c r="RJ6233" s="106"/>
      <c r="RK6233" s="106"/>
      <c r="RL6233" s="106"/>
    </row>
    <row r="6234" spans="462:480" x14ac:dyDescent="0.3">
      <c r="QT6234" s="106"/>
      <c r="QU6234" s="106"/>
      <c r="QV6234" s="106"/>
      <c r="QW6234" s="106"/>
      <c r="QX6234" s="106"/>
      <c r="QY6234" s="106"/>
      <c r="QZ6234" s="106"/>
      <c r="RA6234" s="106"/>
      <c r="RB6234" s="106"/>
      <c r="RC6234" s="106"/>
      <c r="RD6234" s="106"/>
      <c r="RE6234" s="106"/>
      <c r="RF6234" s="106"/>
      <c r="RG6234" s="106"/>
      <c r="RH6234" s="106"/>
      <c r="RI6234" s="106"/>
      <c r="RJ6234" s="106"/>
      <c r="RK6234" s="106"/>
      <c r="RL6234" s="106"/>
    </row>
    <row r="6235" spans="462:480" x14ac:dyDescent="0.3">
      <c r="QT6235" s="106"/>
      <c r="QU6235" s="106"/>
      <c r="QV6235" s="106"/>
      <c r="QW6235" s="106"/>
      <c r="QX6235" s="106"/>
      <c r="QY6235" s="106"/>
      <c r="QZ6235" s="106"/>
      <c r="RA6235" s="106"/>
      <c r="RB6235" s="106"/>
      <c r="RC6235" s="106"/>
      <c r="RD6235" s="106"/>
      <c r="RE6235" s="106"/>
      <c r="RF6235" s="106"/>
      <c r="RG6235" s="106"/>
      <c r="RH6235" s="106"/>
      <c r="RI6235" s="106"/>
      <c r="RJ6235" s="106"/>
      <c r="RK6235" s="106"/>
      <c r="RL6235" s="106"/>
    </row>
    <row r="6236" spans="462:480" x14ac:dyDescent="0.3">
      <c r="QT6236" s="106"/>
      <c r="QU6236" s="106"/>
      <c r="QV6236" s="106"/>
      <c r="QW6236" s="106"/>
      <c r="QX6236" s="106"/>
      <c r="QY6236" s="106"/>
      <c r="QZ6236" s="106"/>
      <c r="RA6236" s="106"/>
      <c r="RB6236" s="106"/>
      <c r="RC6236" s="106"/>
      <c r="RD6236" s="106"/>
      <c r="RE6236" s="106"/>
      <c r="RF6236" s="106"/>
      <c r="RG6236" s="106"/>
      <c r="RH6236" s="106"/>
      <c r="RI6236" s="106"/>
      <c r="RJ6236" s="106"/>
      <c r="RK6236" s="106"/>
      <c r="RL6236" s="106"/>
    </row>
    <row r="6237" spans="462:480" x14ac:dyDescent="0.3">
      <c r="QT6237" s="106"/>
      <c r="QU6237" s="106"/>
      <c r="QV6237" s="106"/>
      <c r="QW6237" s="106"/>
      <c r="QX6237" s="106"/>
      <c r="QY6237" s="106"/>
      <c r="QZ6237" s="106"/>
      <c r="RA6237" s="106"/>
      <c r="RB6237" s="106"/>
      <c r="RC6237" s="106"/>
      <c r="RD6237" s="106"/>
      <c r="RE6237" s="106"/>
      <c r="RF6237" s="106"/>
      <c r="RG6237" s="106"/>
      <c r="RH6237" s="106"/>
      <c r="RI6237" s="106"/>
      <c r="RJ6237" s="106"/>
      <c r="RK6237" s="106"/>
      <c r="RL6237" s="106"/>
    </row>
    <row r="6238" spans="462:480" x14ac:dyDescent="0.3">
      <c r="QT6238" s="106"/>
      <c r="QU6238" s="106"/>
      <c r="QV6238" s="106"/>
      <c r="QW6238" s="106"/>
      <c r="QX6238" s="106"/>
      <c r="QY6238" s="106"/>
      <c r="QZ6238" s="106"/>
      <c r="RA6238" s="106"/>
      <c r="RB6238" s="106"/>
      <c r="RC6238" s="106"/>
      <c r="RD6238" s="106"/>
      <c r="RE6238" s="106"/>
      <c r="RF6238" s="106"/>
      <c r="RG6238" s="106"/>
      <c r="RH6238" s="106"/>
      <c r="RI6238" s="106"/>
      <c r="RJ6238" s="106"/>
      <c r="RK6238" s="106"/>
      <c r="RL6238" s="106"/>
    </row>
    <row r="6239" spans="462:480" x14ac:dyDescent="0.3">
      <c r="QT6239" s="106"/>
      <c r="QU6239" s="106"/>
      <c r="QV6239" s="106"/>
      <c r="QW6239" s="106"/>
      <c r="QX6239" s="106"/>
      <c r="QY6239" s="106"/>
      <c r="QZ6239" s="106"/>
      <c r="RA6239" s="106"/>
      <c r="RB6239" s="106"/>
      <c r="RC6239" s="106"/>
      <c r="RD6239" s="106"/>
      <c r="RE6239" s="106"/>
      <c r="RF6239" s="106"/>
      <c r="RG6239" s="106"/>
      <c r="RH6239" s="106"/>
      <c r="RI6239" s="106"/>
      <c r="RJ6239" s="106"/>
      <c r="RK6239" s="106"/>
      <c r="RL6239" s="106"/>
    </row>
    <row r="6240" spans="462:480" x14ac:dyDescent="0.3">
      <c r="QT6240" s="106"/>
      <c r="QU6240" s="106"/>
      <c r="QV6240" s="106"/>
      <c r="QW6240" s="106"/>
      <c r="QX6240" s="106"/>
      <c r="QY6240" s="106"/>
      <c r="QZ6240" s="106"/>
      <c r="RA6240" s="106"/>
      <c r="RB6240" s="106"/>
      <c r="RC6240" s="106"/>
      <c r="RD6240" s="106"/>
      <c r="RE6240" s="106"/>
      <c r="RF6240" s="106"/>
      <c r="RG6240" s="106"/>
      <c r="RH6240" s="106"/>
      <c r="RI6240" s="106"/>
      <c r="RJ6240" s="106"/>
      <c r="RK6240" s="106"/>
      <c r="RL6240" s="106"/>
    </row>
    <row r="6241" spans="462:480" x14ac:dyDescent="0.3">
      <c r="QT6241" s="106"/>
      <c r="QU6241" s="106"/>
      <c r="QV6241" s="106"/>
      <c r="QW6241" s="106"/>
      <c r="QX6241" s="106"/>
      <c r="QY6241" s="106"/>
      <c r="QZ6241" s="106"/>
      <c r="RA6241" s="106"/>
      <c r="RB6241" s="106"/>
      <c r="RC6241" s="106"/>
      <c r="RD6241" s="106"/>
      <c r="RE6241" s="106"/>
      <c r="RF6241" s="106"/>
      <c r="RG6241" s="106"/>
      <c r="RH6241" s="106"/>
      <c r="RI6241" s="106"/>
      <c r="RJ6241" s="106"/>
      <c r="RK6241" s="106"/>
      <c r="RL6241" s="106"/>
    </row>
    <row r="6242" spans="462:480" x14ac:dyDescent="0.3">
      <c r="QT6242" s="106"/>
      <c r="QU6242" s="106"/>
      <c r="QV6242" s="106"/>
      <c r="QW6242" s="106"/>
      <c r="QX6242" s="106"/>
      <c r="QY6242" s="106"/>
      <c r="QZ6242" s="106"/>
      <c r="RA6242" s="106"/>
      <c r="RB6242" s="106"/>
      <c r="RC6242" s="106"/>
      <c r="RD6242" s="106"/>
      <c r="RE6242" s="106"/>
      <c r="RF6242" s="106"/>
      <c r="RG6242" s="106"/>
      <c r="RH6242" s="106"/>
      <c r="RI6242" s="106"/>
      <c r="RJ6242" s="106"/>
      <c r="RK6242" s="106"/>
      <c r="RL6242" s="106"/>
    </row>
    <row r="6243" spans="462:480" x14ac:dyDescent="0.3">
      <c r="QT6243" s="106"/>
      <c r="QU6243" s="106"/>
      <c r="QV6243" s="106"/>
      <c r="QW6243" s="106"/>
      <c r="QX6243" s="106"/>
      <c r="QY6243" s="106"/>
      <c r="QZ6243" s="106"/>
      <c r="RA6243" s="106"/>
      <c r="RB6243" s="106"/>
      <c r="RC6243" s="106"/>
      <c r="RD6243" s="106"/>
      <c r="RE6243" s="106"/>
      <c r="RF6243" s="106"/>
      <c r="RG6243" s="106"/>
      <c r="RH6243" s="106"/>
      <c r="RI6243" s="106"/>
      <c r="RJ6243" s="106"/>
      <c r="RK6243" s="106"/>
      <c r="RL6243" s="106"/>
    </row>
    <row r="6244" spans="462:480" x14ac:dyDescent="0.3">
      <c r="QT6244" s="106"/>
      <c r="QU6244" s="106"/>
      <c r="QV6244" s="106"/>
      <c r="QW6244" s="106"/>
      <c r="QX6244" s="106"/>
      <c r="QY6244" s="106"/>
      <c r="QZ6244" s="106"/>
      <c r="RA6244" s="106"/>
      <c r="RB6244" s="106"/>
      <c r="RC6244" s="106"/>
      <c r="RD6244" s="106"/>
      <c r="RE6244" s="106"/>
      <c r="RF6244" s="106"/>
      <c r="RG6244" s="106"/>
      <c r="RH6244" s="106"/>
      <c r="RI6244" s="106"/>
      <c r="RJ6244" s="106"/>
      <c r="RK6244" s="106"/>
      <c r="RL6244" s="106"/>
    </row>
    <row r="6245" spans="462:480" x14ac:dyDescent="0.3">
      <c r="QT6245" s="106"/>
      <c r="QU6245" s="106"/>
      <c r="QV6245" s="106"/>
      <c r="QW6245" s="106"/>
      <c r="QX6245" s="106"/>
      <c r="QY6245" s="106"/>
      <c r="QZ6245" s="106"/>
      <c r="RA6245" s="106"/>
      <c r="RB6245" s="106"/>
      <c r="RC6245" s="106"/>
      <c r="RD6245" s="106"/>
      <c r="RE6245" s="106"/>
      <c r="RF6245" s="106"/>
      <c r="RG6245" s="106"/>
      <c r="RH6245" s="106"/>
      <c r="RI6245" s="106"/>
      <c r="RJ6245" s="106"/>
      <c r="RK6245" s="106"/>
      <c r="RL6245" s="106"/>
    </row>
    <row r="6246" spans="462:480" x14ac:dyDescent="0.3">
      <c r="QT6246" s="106"/>
      <c r="QU6246" s="106"/>
      <c r="QV6246" s="106"/>
      <c r="QW6246" s="106"/>
      <c r="QX6246" s="106"/>
      <c r="QY6246" s="106"/>
      <c r="QZ6246" s="106"/>
      <c r="RA6246" s="106"/>
      <c r="RB6246" s="106"/>
      <c r="RC6246" s="106"/>
      <c r="RD6246" s="106"/>
      <c r="RE6246" s="106"/>
      <c r="RF6246" s="106"/>
      <c r="RG6246" s="106"/>
      <c r="RH6246" s="106"/>
      <c r="RI6246" s="106"/>
      <c r="RJ6246" s="106"/>
      <c r="RK6246" s="106"/>
      <c r="RL6246" s="106"/>
    </row>
    <row r="6247" spans="462:480" x14ac:dyDescent="0.3">
      <c r="QT6247" s="106"/>
      <c r="QU6247" s="106"/>
      <c r="QV6247" s="106"/>
      <c r="QW6247" s="106"/>
      <c r="QX6247" s="106"/>
      <c r="QY6247" s="106"/>
      <c r="QZ6247" s="106"/>
      <c r="RA6247" s="106"/>
      <c r="RB6247" s="106"/>
      <c r="RC6247" s="106"/>
      <c r="RD6247" s="106"/>
      <c r="RE6247" s="106"/>
      <c r="RF6247" s="106"/>
      <c r="RG6247" s="106"/>
      <c r="RH6247" s="106"/>
      <c r="RI6247" s="106"/>
      <c r="RJ6247" s="106"/>
      <c r="RK6247" s="106"/>
      <c r="RL6247" s="106"/>
    </row>
    <row r="6248" spans="462:480" x14ac:dyDescent="0.3">
      <c r="QT6248" s="106"/>
      <c r="QU6248" s="106"/>
      <c r="QV6248" s="106"/>
      <c r="QW6248" s="106"/>
      <c r="QX6248" s="106"/>
      <c r="QY6248" s="106"/>
      <c r="QZ6248" s="106"/>
      <c r="RA6248" s="106"/>
      <c r="RB6248" s="106"/>
      <c r="RC6248" s="106"/>
      <c r="RD6248" s="106"/>
      <c r="RE6248" s="106"/>
      <c r="RF6248" s="106"/>
      <c r="RG6248" s="106"/>
      <c r="RH6248" s="106"/>
      <c r="RI6248" s="106"/>
      <c r="RJ6248" s="106"/>
      <c r="RK6248" s="106"/>
      <c r="RL6248" s="106"/>
    </row>
    <row r="6249" spans="462:480" x14ac:dyDescent="0.3">
      <c r="QT6249" s="106"/>
      <c r="QU6249" s="106"/>
      <c r="QV6249" s="106"/>
      <c r="QW6249" s="106"/>
      <c r="QX6249" s="106"/>
      <c r="QY6249" s="106"/>
      <c r="QZ6249" s="106"/>
      <c r="RA6249" s="106"/>
      <c r="RB6249" s="106"/>
      <c r="RC6249" s="106"/>
      <c r="RD6249" s="106"/>
      <c r="RE6249" s="106"/>
      <c r="RF6249" s="106"/>
      <c r="RG6249" s="106"/>
      <c r="RH6249" s="106"/>
      <c r="RI6249" s="106"/>
      <c r="RJ6249" s="106"/>
      <c r="RK6249" s="106"/>
      <c r="RL6249" s="106"/>
    </row>
    <row r="6250" spans="462:480" x14ac:dyDescent="0.3">
      <c r="QT6250" s="106"/>
      <c r="QU6250" s="106"/>
      <c r="QV6250" s="106"/>
      <c r="QW6250" s="106"/>
      <c r="QX6250" s="106"/>
      <c r="QY6250" s="106"/>
      <c r="QZ6250" s="106"/>
      <c r="RA6250" s="106"/>
      <c r="RB6250" s="106"/>
      <c r="RC6250" s="106"/>
      <c r="RD6250" s="106"/>
      <c r="RE6250" s="106"/>
      <c r="RF6250" s="106"/>
      <c r="RG6250" s="106"/>
      <c r="RH6250" s="106"/>
      <c r="RI6250" s="106"/>
      <c r="RJ6250" s="106"/>
      <c r="RK6250" s="106"/>
      <c r="RL6250" s="106"/>
    </row>
    <row r="6251" spans="462:480" x14ac:dyDescent="0.3">
      <c r="QT6251" s="106"/>
      <c r="QU6251" s="106"/>
      <c r="QV6251" s="106"/>
      <c r="QW6251" s="106"/>
      <c r="QX6251" s="106"/>
      <c r="QY6251" s="106"/>
      <c r="QZ6251" s="106"/>
      <c r="RA6251" s="106"/>
      <c r="RB6251" s="106"/>
      <c r="RC6251" s="106"/>
      <c r="RD6251" s="106"/>
      <c r="RE6251" s="106"/>
      <c r="RF6251" s="106"/>
      <c r="RG6251" s="106"/>
      <c r="RH6251" s="106"/>
      <c r="RI6251" s="106"/>
      <c r="RJ6251" s="106"/>
      <c r="RK6251" s="106"/>
      <c r="RL6251" s="106"/>
    </row>
    <row r="6252" spans="462:480" x14ac:dyDescent="0.3">
      <c r="QT6252" s="106"/>
      <c r="QU6252" s="106"/>
      <c r="QV6252" s="106"/>
      <c r="QW6252" s="106"/>
      <c r="QX6252" s="106"/>
      <c r="QY6252" s="106"/>
      <c r="QZ6252" s="106"/>
      <c r="RA6252" s="106"/>
      <c r="RB6252" s="106"/>
      <c r="RC6252" s="106"/>
      <c r="RD6252" s="106"/>
      <c r="RE6252" s="106"/>
      <c r="RF6252" s="106"/>
      <c r="RG6252" s="106"/>
      <c r="RH6252" s="106"/>
      <c r="RI6252" s="106"/>
      <c r="RJ6252" s="106"/>
      <c r="RK6252" s="106"/>
      <c r="RL6252" s="106"/>
    </row>
    <row r="6253" spans="462:480" x14ac:dyDescent="0.3">
      <c r="QT6253" s="106"/>
      <c r="QU6253" s="106"/>
      <c r="QV6253" s="106"/>
      <c r="QW6253" s="106"/>
      <c r="QX6253" s="106"/>
      <c r="QY6253" s="106"/>
      <c r="QZ6253" s="106"/>
      <c r="RA6253" s="106"/>
      <c r="RB6253" s="106"/>
      <c r="RC6253" s="106"/>
      <c r="RD6253" s="106"/>
      <c r="RE6253" s="106"/>
      <c r="RF6253" s="106"/>
      <c r="RG6253" s="106"/>
      <c r="RH6253" s="106"/>
      <c r="RI6253" s="106"/>
      <c r="RJ6253" s="106"/>
      <c r="RK6253" s="106"/>
      <c r="RL6253" s="106"/>
    </row>
    <row r="6254" spans="462:480" x14ac:dyDescent="0.3">
      <c r="QT6254" s="106"/>
      <c r="QU6254" s="106"/>
      <c r="QV6254" s="106"/>
      <c r="QW6254" s="106"/>
      <c r="QX6254" s="106"/>
      <c r="QY6254" s="106"/>
      <c r="QZ6254" s="106"/>
      <c r="RA6254" s="106"/>
      <c r="RB6254" s="106"/>
      <c r="RC6254" s="106"/>
      <c r="RD6254" s="106"/>
      <c r="RE6254" s="106"/>
      <c r="RF6254" s="106"/>
      <c r="RG6254" s="106"/>
      <c r="RH6254" s="106"/>
      <c r="RI6254" s="106"/>
      <c r="RJ6254" s="106"/>
      <c r="RK6254" s="106"/>
      <c r="RL6254" s="106"/>
    </row>
    <row r="6255" spans="462:480" x14ac:dyDescent="0.3">
      <c r="QT6255" s="106"/>
      <c r="QU6255" s="106"/>
      <c r="QV6255" s="106"/>
      <c r="QW6255" s="106"/>
      <c r="QX6255" s="106"/>
      <c r="QY6255" s="106"/>
      <c r="QZ6255" s="106"/>
      <c r="RA6255" s="106"/>
      <c r="RB6255" s="106"/>
      <c r="RC6255" s="106"/>
      <c r="RD6255" s="106"/>
      <c r="RE6255" s="106"/>
      <c r="RF6255" s="106"/>
      <c r="RG6255" s="106"/>
      <c r="RH6255" s="106"/>
      <c r="RI6255" s="106"/>
      <c r="RJ6255" s="106"/>
      <c r="RK6255" s="106"/>
      <c r="RL6255" s="106"/>
    </row>
    <row r="6256" spans="462:480" x14ac:dyDescent="0.3">
      <c r="QT6256" s="106"/>
      <c r="QU6256" s="106"/>
      <c r="QV6256" s="106"/>
      <c r="QW6256" s="106"/>
      <c r="QX6256" s="106"/>
      <c r="QY6256" s="106"/>
      <c r="QZ6256" s="106"/>
      <c r="RA6256" s="106"/>
      <c r="RB6256" s="106"/>
      <c r="RC6256" s="106"/>
      <c r="RD6256" s="106"/>
      <c r="RE6256" s="106"/>
      <c r="RF6256" s="106"/>
      <c r="RG6256" s="106"/>
      <c r="RH6256" s="106"/>
      <c r="RI6256" s="106"/>
      <c r="RJ6256" s="106"/>
      <c r="RK6256" s="106"/>
      <c r="RL6256" s="106"/>
    </row>
    <row r="6257" spans="462:480" x14ac:dyDescent="0.3">
      <c r="QT6257" s="106"/>
      <c r="QU6257" s="106"/>
      <c r="QV6257" s="106"/>
      <c r="QW6257" s="106"/>
      <c r="QX6257" s="106"/>
      <c r="QY6257" s="106"/>
      <c r="QZ6257" s="106"/>
      <c r="RA6257" s="106"/>
      <c r="RB6257" s="106"/>
      <c r="RC6257" s="106"/>
      <c r="RD6257" s="106"/>
      <c r="RE6257" s="106"/>
      <c r="RF6257" s="106"/>
      <c r="RG6257" s="106"/>
      <c r="RH6257" s="106"/>
      <c r="RI6257" s="106"/>
      <c r="RJ6257" s="106"/>
      <c r="RK6257" s="106"/>
      <c r="RL6257" s="106"/>
    </row>
    <row r="6258" spans="462:480" x14ac:dyDescent="0.3">
      <c r="QT6258" s="106"/>
      <c r="QU6258" s="106"/>
      <c r="QV6258" s="106"/>
      <c r="QW6258" s="106"/>
      <c r="QX6258" s="106"/>
      <c r="QY6258" s="106"/>
      <c r="QZ6258" s="106"/>
      <c r="RA6258" s="106"/>
      <c r="RB6258" s="106"/>
      <c r="RC6258" s="106"/>
      <c r="RD6258" s="106"/>
      <c r="RE6258" s="106"/>
      <c r="RF6258" s="106"/>
      <c r="RG6258" s="106"/>
      <c r="RH6258" s="106"/>
      <c r="RI6258" s="106"/>
      <c r="RJ6258" s="106"/>
      <c r="RK6258" s="106"/>
      <c r="RL6258" s="106"/>
    </row>
    <row r="6259" spans="462:480" x14ac:dyDescent="0.3">
      <c r="QT6259" s="106"/>
      <c r="QU6259" s="106"/>
      <c r="QV6259" s="106"/>
      <c r="QW6259" s="106"/>
      <c r="QX6259" s="106"/>
      <c r="QY6259" s="106"/>
      <c r="QZ6259" s="106"/>
      <c r="RA6259" s="106"/>
      <c r="RB6259" s="106"/>
      <c r="RC6259" s="106"/>
      <c r="RD6259" s="106"/>
      <c r="RE6259" s="106"/>
      <c r="RF6259" s="106"/>
      <c r="RG6259" s="106"/>
      <c r="RH6259" s="106"/>
      <c r="RI6259" s="106"/>
      <c r="RJ6259" s="106"/>
      <c r="RK6259" s="106"/>
      <c r="RL6259" s="106"/>
    </row>
    <row r="6260" spans="462:480" x14ac:dyDescent="0.3">
      <c r="QT6260" s="106"/>
      <c r="QU6260" s="106"/>
      <c r="QV6260" s="106"/>
      <c r="QW6260" s="106"/>
      <c r="QX6260" s="106"/>
      <c r="QY6260" s="106"/>
      <c r="QZ6260" s="106"/>
      <c r="RA6260" s="106"/>
      <c r="RB6260" s="106"/>
      <c r="RC6260" s="106"/>
      <c r="RD6260" s="106"/>
      <c r="RE6260" s="106"/>
      <c r="RF6260" s="106"/>
      <c r="RG6260" s="106"/>
      <c r="RH6260" s="106"/>
      <c r="RI6260" s="106"/>
      <c r="RJ6260" s="106"/>
      <c r="RK6260" s="106"/>
      <c r="RL6260" s="106"/>
    </row>
    <row r="6261" spans="462:480" x14ac:dyDescent="0.3">
      <c r="QT6261" s="106"/>
      <c r="QU6261" s="106"/>
      <c r="QV6261" s="106"/>
      <c r="QW6261" s="106"/>
      <c r="QX6261" s="106"/>
      <c r="QY6261" s="106"/>
      <c r="QZ6261" s="106"/>
      <c r="RA6261" s="106"/>
      <c r="RB6261" s="106"/>
      <c r="RC6261" s="106"/>
      <c r="RD6261" s="106"/>
      <c r="RE6261" s="106"/>
      <c r="RF6261" s="106"/>
      <c r="RG6261" s="106"/>
      <c r="RH6261" s="106"/>
      <c r="RI6261" s="106"/>
      <c r="RJ6261" s="106"/>
      <c r="RK6261" s="106"/>
      <c r="RL6261" s="106"/>
    </row>
    <row r="6262" spans="462:480" x14ac:dyDescent="0.3">
      <c r="QT6262" s="106"/>
      <c r="QU6262" s="106"/>
      <c r="QV6262" s="106"/>
      <c r="QW6262" s="106"/>
      <c r="QX6262" s="106"/>
      <c r="QY6262" s="106"/>
      <c r="QZ6262" s="106"/>
      <c r="RA6262" s="106"/>
      <c r="RB6262" s="106"/>
      <c r="RC6262" s="106"/>
      <c r="RD6262" s="106"/>
      <c r="RE6262" s="106"/>
      <c r="RF6262" s="106"/>
      <c r="RG6262" s="106"/>
      <c r="RH6262" s="106"/>
      <c r="RI6262" s="106"/>
      <c r="RJ6262" s="106"/>
      <c r="RK6262" s="106"/>
      <c r="RL6262" s="106"/>
    </row>
    <row r="6263" spans="462:480" x14ac:dyDescent="0.3">
      <c r="QT6263" s="106"/>
      <c r="QU6263" s="106"/>
      <c r="QV6263" s="106"/>
      <c r="QW6263" s="106"/>
      <c r="QX6263" s="106"/>
      <c r="QY6263" s="106"/>
      <c r="QZ6263" s="106"/>
      <c r="RA6263" s="106"/>
      <c r="RB6263" s="106"/>
      <c r="RC6263" s="106"/>
      <c r="RD6263" s="106"/>
      <c r="RE6263" s="106"/>
      <c r="RF6263" s="106"/>
      <c r="RG6263" s="106"/>
      <c r="RH6263" s="106"/>
      <c r="RI6263" s="106"/>
      <c r="RJ6263" s="106"/>
      <c r="RK6263" s="106"/>
      <c r="RL6263" s="106"/>
    </row>
    <row r="6264" spans="462:480" x14ac:dyDescent="0.3">
      <c r="QT6264" s="106"/>
      <c r="QU6264" s="106"/>
      <c r="QV6264" s="106"/>
      <c r="QW6264" s="106"/>
      <c r="QX6264" s="106"/>
      <c r="QY6264" s="106"/>
      <c r="QZ6264" s="106"/>
      <c r="RA6264" s="106"/>
      <c r="RB6264" s="106"/>
      <c r="RC6264" s="106"/>
      <c r="RD6264" s="106"/>
      <c r="RE6264" s="106"/>
      <c r="RF6264" s="106"/>
      <c r="RG6264" s="106"/>
      <c r="RH6264" s="106"/>
      <c r="RI6264" s="106"/>
      <c r="RJ6264" s="106"/>
      <c r="RK6264" s="106"/>
      <c r="RL6264" s="106"/>
    </row>
    <row r="6265" spans="462:480" x14ac:dyDescent="0.3">
      <c r="QT6265" s="106"/>
      <c r="QU6265" s="106"/>
      <c r="QV6265" s="106"/>
      <c r="QW6265" s="106"/>
      <c r="QX6265" s="106"/>
      <c r="QY6265" s="106"/>
      <c r="QZ6265" s="106"/>
      <c r="RA6265" s="106"/>
      <c r="RB6265" s="106"/>
      <c r="RC6265" s="106"/>
      <c r="RD6265" s="106"/>
      <c r="RE6265" s="106"/>
      <c r="RF6265" s="106"/>
      <c r="RG6265" s="106"/>
      <c r="RH6265" s="106"/>
      <c r="RI6265" s="106"/>
      <c r="RJ6265" s="106"/>
      <c r="RK6265" s="106"/>
      <c r="RL6265" s="106"/>
    </row>
    <row r="6266" spans="462:480" x14ac:dyDescent="0.3">
      <c r="QT6266" s="106"/>
      <c r="QU6266" s="106"/>
      <c r="QV6266" s="106"/>
      <c r="QW6266" s="106"/>
      <c r="QX6266" s="106"/>
      <c r="QY6266" s="106"/>
      <c r="QZ6266" s="106"/>
      <c r="RA6266" s="106"/>
      <c r="RB6266" s="106"/>
      <c r="RC6266" s="106"/>
      <c r="RD6266" s="106"/>
      <c r="RE6266" s="106"/>
      <c r="RF6266" s="106"/>
      <c r="RG6266" s="106"/>
      <c r="RH6266" s="106"/>
      <c r="RI6266" s="106"/>
      <c r="RJ6266" s="106"/>
      <c r="RK6266" s="106"/>
      <c r="RL6266" s="106"/>
    </row>
    <row r="6267" spans="462:480" x14ac:dyDescent="0.3">
      <c r="QT6267" s="106"/>
      <c r="QU6267" s="106"/>
      <c r="QV6267" s="106"/>
      <c r="QW6267" s="106"/>
      <c r="QX6267" s="106"/>
      <c r="QY6267" s="106"/>
      <c r="QZ6267" s="106"/>
      <c r="RA6267" s="106"/>
      <c r="RB6267" s="106"/>
      <c r="RC6267" s="106"/>
      <c r="RD6267" s="106"/>
      <c r="RE6267" s="106"/>
      <c r="RF6267" s="106"/>
      <c r="RG6267" s="106"/>
      <c r="RH6267" s="106"/>
      <c r="RI6267" s="106"/>
      <c r="RJ6267" s="106"/>
      <c r="RK6267" s="106"/>
      <c r="RL6267" s="106"/>
    </row>
    <row r="6268" spans="462:480" x14ac:dyDescent="0.3">
      <c r="QT6268" s="106"/>
      <c r="QU6268" s="106"/>
      <c r="QV6268" s="106"/>
      <c r="QW6268" s="106"/>
      <c r="QX6268" s="106"/>
      <c r="QY6268" s="106"/>
      <c r="QZ6268" s="106"/>
      <c r="RA6268" s="106"/>
      <c r="RB6268" s="106"/>
      <c r="RC6268" s="106"/>
      <c r="RD6268" s="106"/>
      <c r="RE6268" s="106"/>
      <c r="RF6268" s="106"/>
      <c r="RG6268" s="106"/>
      <c r="RH6268" s="106"/>
      <c r="RI6268" s="106"/>
      <c r="RJ6268" s="106"/>
      <c r="RK6268" s="106"/>
      <c r="RL6268" s="106"/>
    </row>
    <row r="6269" spans="462:480" x14ac:dyDescent="0.3">
      <c r="QT6269" s="106"/>
      <c r="QU6269" s="106"/>
      <c r="QV6269" s="106"/>
      <c r="QW6269" s="106"/>
      <c r="QX6269" s="106"/>
      <c r="QY6269" s="106"/>
      <c r="QZ6269" s="106"/>
      <c r="RA6269" s="106"/>
      <c r="RB6269" s="106"/>
      <c r="RC6269" s="106"/>
      <c r="RD6269" s="106"/>
      <c r="RE6269" s="106"/>
      <c r="RF6269" s="106"/>
      <c r="RG6269" s="106"/>
      <c r="RH6269" s="106"/>
      <c r="RI6269" s="106"/>
      <c r="RJ6269" s="106"/>
      <c r="RK6269" s="106"/>
      <c r="RL6269" s="106"/>
    </row>
    <row r="6270" spans="462:480" x14ac:dyDescent="0.3">
      <c r="QT6270" s="106"/>
      <c r="QU6270" s="106"/>
      <c r="QV6270" s="106"/>
      <c r="QW6270" s="106"/>
      <c r="QX6270" s="106"/>
      <c r="QY6270" s="106"/>
      <c r="QZ6270" s="106"/>
      <c r="RA6270" s="106"/>
      <c r="RB6270" s="106"/>
      <c r="RC6270" s="106"/>
      <c r="RD6270" s="106"/>
      <c r="RE6270" s="106"/>
      <c r="RF6270" s="106"/>
      <c r="RG6270" s="106"/>
      <c r="RH6270" s="106"/>
      <c r="RI6270" s="106"/>
      <c r="RJ6270" s="106"/>
      <c r="RK6270" s="106"/>
      <c r="RL6270" s="106"/>
    </row>
    <row r="6271" spans="462:480" x14ac:dyDescent="0.3">
      <c r="QT6271" s="106"/>
      <c r="QU6271" s="106"/>
      <c r="QV6271" s="106"/>
      <c r="QW6271" s="106"/>
      <c r="QX6271" s="106"/>
      <c r="QY6271" s="106"/>
      <c r="QZ6271" s="106"/>
      <c r="RA6271" s="106"/>
      <c r="RB6271" s="106"/>
      <c r="RC6271" s="106"/>
      <c r="RD6271" s="106"/>
      <c r="RE6271" s="106"/>
      <c r="RF6271" s="106"/>
      <c r="RG6271" s="106"/>
      <c r="RH6271" s="106"/>
      <c r="RI6271" s="106"/>
      <c r="RJ6271" s="106"/>
      <c r="RK6271" s="106"/>
      <c r="RL6271" s="106"/>
    </row>
    <row r="6272" spans="462:480" x14ac:dyDescent="0.3">
      <c r="QT6272" s="106"/>
      <c r="QU6272" s="106"/>
      <c r="QV6272" s="106"/>
      <c r="QW6272" s="106"/>
      <c r="QX6272" s="106"/>
      <c r="QY6272" s="106"/>
      <c r="QZ6272" s="106"/>
      <c r="RA6272" s="106"/>
      <c r="RB6272" s="106"/>
      <c r="RC6272" s="106"/>
      <c r="RD6272" s="106"/>
      <c r="RE6272" s="106"/>
      <c r="RF6272" s="106"/>
      <c r="RG6272" s="106"/>
      <c r="RH6272" s="106"/>
      <c r="RI6272" s="106"/>
      <c r="RJ6272" s="106"/>
      <c r="RK6272" s="106"/>
      <c r="RL6272" s="106"/>
    </row>
    <row r="6273" spans="462:480" x14ac:dyDescent="0.3">
      <c r="QT6273" s="106"/>
      <c r="QU6273" s="106"/>
      <c r="QV6273" s="106"/>
      <c r="QW6273" s="106"/>
      <c r="QX6273" s="106"/>
      <c r="QY6273" s="106"/>
      <c r="QZ6273" s="106"/>
      <c r="RA6273" s="106"/>
      <c r="RB6273" s="106"/>
      <c r="RC6273" s="106"/>
      <c r="RD6273" s="106"/>
      <c r="RE6273" s="106"/>
      <c r="RF6273" s="106"/>
      <c r="RG6273" s="106"/>
      <c r="RH6273" s="106"/>
      <c r="RI6273" s="106"/>
      <c r="RJ6273" s="106"/>
      <c r="RK6273" s="106"/>
      <c r="RL6273" s="106"/>
    </row>
    <row r="6274" spans="462:480" x14ac:dyDescent="0.3">
      <c r="QT6274" s="106"/>
      <c r="QU6274" s="106"/>
      <c r="QV6274" s="106"/>
      <c r="QW6274" s="106"/>
      <c r="QX6274" s="106"/>
      <c r="QY6274" s="106"/>
      <c r="QZ6274" s="106"/>
      <c r="RA6274" s="106"/>
      <c r="RB6274" s="106"/>
      <c r="RC6274" s="106"/>
      <c r="RD6274" s="106"/>
      <c r="RE6274" s="106"/>
      <c r="RF6274" s="106"/>
      <c r="RG6274" s="106"/>
      <c r="RH6274" s="106"/>
      <c r="RI6274" s="106"/>
      <c r="RJ6274" s="106"/>
      <c r="RK6274" s="106"/>
      <c r="RL6274" s="106"/>
    </row>
    <row r="6275" spans="462:480" x14ac:dyDescent="0.3">
      <c r="QT6275" s="106"/>
      <c r="QU6275" s="106"/>
      <c r="QV6275" s="106"/>
      <c r="QW6275" s="106"/>
      <c r="QX6275" s="106"/>
      <c r="QY6275" s="106"/>
      <c r="QZ6275" s="106"/>
      <c r="RA6275" s="106"/>
      <c r="RB6275" s="106"/>
      <c r="RC6275" s="106"/>
      <c r="RD6275" s="106"/>
      <c r="RE6275" s="106"/>
      <c r="RF6275" s="106"/>
      <c r="RG6275" s="106"/>
      <c r="RH6275" s="106"/>
      <c r="RI6275" s="106"/>
      <c r="RJ6275" s="106"/>
      <c r="RK6275" s="106"/>
      <c r="RL6275" s="106"/>
    </row>
    <row r="6276" spans="462:480" x14ac:dyDescent="0.3">
      <c r="QT6276" s="106"/>
      <c r="QU6276" s="106"/>
      <c r="QV6276" s="106"/>
      <c r="QW6276" s="106"/>
      <c r="QX6276" s="106"/>
      <c r="QY6276" s="106"/>
      <c r="QZ6276" s="106"/>
      <c r="RA6276" s="106"/>
      <c r="RB6276" s="106"/>
      <c r="RC6276" s="106"/>
      <c r="RD6276" s="106"/>
      <c r="RE6276" s="106"/>
      <c r="RF6276" s="106"/>
      <c r="RG6276" s="106"/>
      <c r="RH6276" s="106"/>
      <c r="RI6276" s="106"/>
      <c r="RJ6276" s="106"/>
      <c r="RK6276" s="106"/>
      <c r="RL6276" s="106"/>
    </row>
    <row r="6277" spans="462:480" x14ac:dyDescent="0.3">
      <c r="QT6277" s="106"/>
      <c r="QU6277" s="106"/>
      <c r="QV6277" s="106"/>
      <c r="QW6277" s="106"/>
      <c r="QX6277" s="106"/>
      <c r="QY6277" s="106"/>
      <c r="QZ6277" s="106"/>
      <c r="RA6277" s="106"/>
      <c r="RB6277" s="106"/>
      <c r="RC6277" s="106"/>
      <c r="RD6277" s="106"/>
      <c r="RE6277" s="106"/>
      <c r="RF6277" s="106"/>
      <c r="RG6277" s="106"/>
      <c r="RH6277" s="106"/>
      <c r="RI6277" s="106"/>
      <c r="RJ6277" s="106"/>
      <c r="RK6277" s="106"/>
      <c r="RL6277" s="106"/>
    </row>
    <row r="6278" spans="462:480" x14ac:dyDescent="0.3">
      <c r="QT6278" s="106"/>
      <c r="QU6278" s="106"/>
      <c r="QV6278" s="106"/>
      <c r="QW6278" s="106"/>
      <c r="QX6278" s="106"/>
      <c r="QY6278" s="106"/>
      <c r="QZ6278" s="106"/>
      <c r="RA6278" s="106"/>
      <c r="RB6278" s="106"/>
      <c r="RC6278" s="106"/>
      <c r="RD6278" s="106"/>
      <c r="RE6278" s="106"/>
      <c r="RF6278" s="106"/>
      <c r="RG6278" s="106"/>
      <c r="RH6278" s="106"/>
      <c r="RI6278" s="106"/>
      <c r="RJ6278" s="106"/>
      <c r="RK6278" s="106"/>
      <c r="RL6278" s="106"/>
    </row>
    <row r="6279" spans="462:480" x14ac:dyDescent="0.3">
      <c r="QT6279" s="106"/>
      <c r="QU6279" s="106"/>
      <c r="QV6279" s="106"/>
      <c r="QW6279" s="106"/>
      <c r="QX6279" s="106"/>
      <c r="QY6279" s="106"/>
      <c r="QZ6279" s="106"/>
      <c r="RA6279" s="106"/>
      <c r="RB6279" s="106"/>
      <c r="RC6279" s="106"/>
      <c r="RD6279" s="106"/>
      <c r="RE6279" s="106"/>
      <c r="RF6279" s="106"/>
      <c r="RG6279" s="106"/>
      <c r="RH6279" s="106"/>
      <c r="RI6279" s="106"/>
      <c r="RJ6279" s="106"/>
      <c r="RK6279" s="106"/>
      <c r="RL6279" s="106"/>
    </row>
    <row r="6280" spans="462:480" x14ac:dyDescent="0.3">
      <c r="QT6280" s="106"/>
      <c r="QU6280" s="106"/>
      <c r="QV6280" s="106"/>
      <c r="QW6280" s="106"/>
      <c r="QX6280" s="106"/>
      <c r="QY6280" s="106"/>
      <c r="QZ6280" s="106"/>
      <c r="RA6280" s="106"/>
      <c r="RB6280" s="106"/>
      <c r="RC6280" s="106"/>
      <c r="RD6280" s="106"/>
      <c r="RE6280" s="106"/>
      <c r="RF6280" s="106"/>
      <c r="RG6280" s="106"/>
      <c r="RH6280" s="106"/>
      <c r="RI6280" s="106"/>
      <c r="RJ6280" s="106"/>
      <c r="RK6280" s="106"/>
      <c r="RL6280" s="106"/>
    </row>
    <row r="6281" spans="462:480" x14ac:dyDescent="0.3">
      <c r="QT6281" s="106"/>
      <c r="QU6281" s="106"/>
      <c r="QV6281" s="106"/>
      <c r="QW6281" s="106"/>
      <c r="QX6281" s="106"/>
      <c r="QY6281" s="106"/>
      <c r="QZ6281" s="106"/>
      <c r="RA6281" s="106"/>
      <c r="RB6281" s="106"/>
      <c r="RC6281" s="106"/>
      <c r="RD6281" s="106"/>
      <c r="RE6281" s="106"/>
      <c r="RF6281" s="106"/>
      <c r="RG6281" s="106"/>
      <c r="RH6281" s="106"/>
      <c r="RI6281" s="106"/>
      <c r="RJ6281" s="106"/>
      <c r="RK6281" s="106"/>
      <c r="RL6281" s="106"/>
    </row>
    <row r="6282" spans="462:480" x14ac:dyDescent="0.3">
      <c r="QT6282" s="106"/>
      <c r="QU6282" s="106"/>
      <c r="QV6282" s="106"/>
      <c r="QW6282" s="106"/>
      <c r="QX6282" s="106"/>
      <c r="QY6282" s="106"/>
      <c r="QZ6282" s="106"/>
      <c r="RA6282" s="106"/>
      <c r="RB6282" s="106"/>
      <c r="RC6282" s="106"/>
      <c r="RD6282" s="106"/>
      <c r="RE6282" s="106"/>
      <c r="RF6282" s="106"/>
      <c r="RG6282" s="106"/>
      <c r="RH6282" s="106"/>
      <c r="RI6282" s="106"/>
      <c r="RJ6282" s="106"/>
      <c r="RK6282" s="106"/>
      <c r="RL6282" s="106"/>
    </row>
    <row r="6283" spans="462:480" x14ac:dyDescent="0.3">
      <c r="QT6283" s="106"/>
      <c r="QU6283" s="106"/>
      <c r="QV6283" s="106"/>
      <c r="QW6283" s="106"/>
      <c r="QX6283" s="106"/>
      <c r="QY6283" s="106"/>
      <c r="QZ6283" s="106"/>
      <c r="RA6283" s="106"/>
      <c r="RB6283" s="106"/>
      <c r="RC6283" s="106"/>
      <c r="RD6283" s="106"/>
      <c r="RE6283" s="106"/>
      <c r="RF6283" s="106"/>
      <c r="RG6283" s="106"/>
      <c r="RH6283" s="106"/>
      <c r="RI6283" s="106"/>
      <c r="RJ6283" s="106"/>
      <c r="RK6283" s="106"/>
      <c r="RL6283" s="106"/>
    </row>
    <row r="6284" spans="462:480" x14ac:dyDescent="0.3">
      <c r="QT6284" s="106"/>
      <c r="QU6284" s="106"/>
      <c r="QV6284" s="106"/>
      <c r="QW6284" s="106"/>
      <c r="QX6284" s="106"/>
      <c r="QY6284" s="106"/>
      <c r="QZ6284" s="106"/>
      <c r="RA6284" s="106"/>
      <c r="RB6284" s="106"/>
      <c r="RC6284" s="106"/>
      <c r="RD6284" s="106"/>
      <c r="RE6284" s="106"/>
      <c r="RF6284" s="106"/>
      <c r="RG6284" s="106"/>
      <c r="RH6284" s="106"/>
      <c r="RI6284" s="106"/>
      <c r="RJ6284" s="106"/>
      <c r="RK6284" s="106"/>
      <c r="RL6284" s="106"/>
    </row>
    <row r="6285" spans="462:480" x14ac:dyDescent="0.3">
      <c r="QT6285" s="106"/>
      <c r="QU6285" s="106"/>
      <c r="QV6285" s="106"/>
      <c r="QW6285" s="106"/>
      <c r="QX6285" s="106"/>
      <c r="QY6285" s="106"/>
      <c r="QZ6285" s="106"/>
      <c r="RA6285" s="106"/>
      <c r="RB6285" s="106"/>
      <c r="RC6285" s="106"/>
      <c r="RD6285" s="106"/>
      <c r="RE6285" s="106"/>
      <c r="RF6285" s="106"/>
      <c r="RG6285" s="106"/>
      <c r="RH6285" s="106"/>
      <c r="RI6285" s="106"/>
      <c r="RJ6285" s="106"/>
      <c r="RK6285" s="106"/>
      <c r="RL6285" s="106"/>
    </row>
    <row r="6286" spans="462:480" x14ac:dyDescent="0.3">
      <c r="QT6286" s="106"/>
      <c r="QU6286" s="106"/>
      <c r="QV6286" s="106"/>
      <c r="QW6286" s="106"/>
      <c r="QX6286" s="106"/>
      <c r="QY6286" s="106"/>
      <c r="QZ6286" s="106"/>
      <c r="RA6286" s="106"/>
      <c r="RB6286" s="106"/>
      <c r="RC6286" s="106"/>
      <c r="RD6286" s="106"/>
      <c r="RE6286" s="106"/>
      <c r="RF6286" s="106"/>
      <c r="RG6286" s="106"/>
      <c r="RH6286" s="106"/>
      <c r="RI6286" s="106"/>
      <c r="RJ6286" s="106"/>
      <c r="RK6286" s="106"/>
      <c r="RL6286" s="106"/>
    </row>
    <row r="6287" spans="462:480" x14ac:dyDescent="0.3">
      <c r="QT6287" s="106"/>
      <c r="QU6287" s="106"/>
      <c r="QV6287" s="106"/>
      <c r="QW6287" s="106"/>
      <c r="QX6287" s="106"/>
      <c r="QY6287" s="106"/>
      <c r="QZ6287" s="106"/>
      <c r="RA6287" s="106"/>
      <c r="RB6287" s="106"/>
      <c r="RC6287" s="106"/>
      <c r="RD6287" s="106"/>
      <c r="RE6287" s="106"/>
      <c r="RF6287" s="106"/>
      <c r="RG6287" s="106"/>
      <c r="RH6287" s="106"/>
      <c r="RI6287" s="106"/>
      <c r="RJ6287" s="106"/>
      <c r="RK6287" s="106"/>
      <c r="RL6287" s="106"/>
    </row>
    <row r="6288" spans="462:480" x14ac:dyDescent="0.3">
      <c r="QT6288" s="106"/>
      <c r="QU6288" s="106"/>
      <c r="QV6288" s="106"/>
      <c r="QW6288" s="106"/>
      <c r="QX6288" s="106"/>
      <c r="QY6288" s="106"/>
      <c r="QZ6288" s="106"/>
      <c r="RA6288" s="106"/>
      <c r="RB6288" s="106"/>
      <c r="RC6288" s="106"/>
      <c r="RD6288" s="106"/>
      <c r="RE6288" s="106"/>
      <c r="RF6288" s="106"/>
      <c r="RG6288" s="106"/>
      <c r="RH6288" s="106"/>
      <c r="RI6288" s="106"/>
      <c r="RJ6288" s="106"/>
      <c r="RK6288" s="106"/>
      <c r="RL6288" s="106"/>
    </row>
    <row r="6289" spans="462:480" x14ac:dyDescent="0.3">
      <c r="QT6289" s="106"/>
      <c r="QU6289" s="106"/>
      <c r="QV6289" s="106"/>
      <c r="QW6289" s="106"/>
      <c r="QX6289" s="106"/>
      <c r="QY6289" s="106"/>
      <c r="QZ6289" s="106"/>
      <c r="RA6289" s="106"/>
      <c r="RB6289" s="106"/>
      <c r="RC6289" s="106"/>
      <c r="RD6289" s="106"/>
      <c r="RE6289" s="106"/>
      <c r="RF6289" s="106"/>
      <c r="RG6289" s="106"/>
      <c r="RH6289" s="106"/>
      <c r="RI6289" s="106"/>
      <c r="RJ6289" s="106"/>
      <c r="RK6289" s="106"/>
      <c r="RL6289" s="106"/>
    </row>
    <row r="6290" spans="462:480" x14ac:dyDescent="0.3">
      <c r="QT6290" s="106"/>
      <c r="QU6290" s="106"/>
      <c r="QV6290" s="106"/>
      <c r="QW6290" s="106"/>
      <c r="QX6290" s="106"/>
      <c r="QY6290" s="106"/>
      <c r="QZ6290" s="106"/>
      <c r="RA6290" s="106"/>
      <c r="RB6290" s="106"/>
      <c r="RC6290" s="106"/>
      <c r="RD6290" s="106"/>
      <c r="RE6290" s="106"/>
      <c r="RF6290" s="106"/>
      <c r="RG6290" s="106"/>
      <c r="RH6290" s="106"/>
      <c r="RI6290" s="106"/>
      <c r="RJ6290" s="106"/>
      <c r="RK6290" s="106"/>
      <c r="RL6290" s="106"/>
    </row>
    <row r="6291" spans="462:480" x14ac:dyDescent="0.3">
      <c r="QT6291" s="106"/>
      <c r="QU6291" s="106"/>
      <c r="QV6291" s="106"/>
      <c r="QW6291" s="106"/>
      <c r="QX6291" s="106"/>
      <c r="QY6291" s="106"/>
      <c r="QZ6291" s="106"/>
      <c r="RA6291" s="106"/>
      <c r="RB6291" s="106"/>
      <c r="RC6291" s="106"/>
      <c r="RD6291" s="106"/>
      <c r="RE6291" s="106"/>
      <c r="RF6291" s="106"/>
      <c r="RG6291" s="106"/>
      <c r="RH6291" s="106"/>
      <c r="RI6291" s="106"/>
      <c r="RJ6291" s="106"/>
      <c r="RK6291" s="106"/>
      <c r="RL6291" s="106"/>
    </row>
    <row r="6292" spans="462:480" x14ac:dyDescent="0.3">
      <c r="QT6292" s="106"/>
      <c r="QU6292" s="106"/>
      <c r="QV6292" s="106"/>
      <c r="QW6292" s="106"/>
      <c r="QX6292" s="106"/>
      <c r="QY6292" s="106"/>
      <c r="QZ6292" s="106"/>
      <c r="RA6292" s="106"/>
      <c r="RB6292" s="106"/>
      <c r="RC6292" s="106"/>
      <c r="RD6292" s="106"/>
      <c r="RE6292" s="106"/>
      <c r="RF6292" s="106"/>
      <c r="RG6292" s="106"/>
      <c r="RH6292" s="106"/>
      <c r="RI6292" s="106"/>
      <c r="RJ6292" s="106"/>
      <c r="RK6292" s="106"/>
      <c r="RL6292" s="106"/>
    </row>
    <row r="6293" spans="462:480" x14ac:dyDescent="0.3">
      <c r="QT6293" s="106"/>
      <c r="QU6293" s="106"/>
      <c r="QV6293" s="106"/>
      <c r="QW6293" s="106"/>
      <c r="QX6293" s="106"/>
      <c r="QY6293" s="106"/>
      <c r="QZ6293" s="106"/>
      <c r="RA6293" s="106"/>
      <c r="RB6293" s="106"/>
      <c r="RC6293" s="106"/>
      <c r="RD6293" s="106"/>
      <c r="RE6293" s="106"/>
      <c r="RF6293" s="106"/>
      <c r="RG6293" s="106"/>
      <c r="RH6293" s="106"/>
      <c r="RI6293" s="106"/>
      <c r="RJ6293" s="106"/>
      <c r="RK6293" s="106"/>
      <c r="RL6293" s="106"/>
    </row>
    <row r="6294" spans="462:480" x14ac:dyDescent="0.3">
      <c r="QT6294" s="106"/>
      <c r="QU6294" s="106"/>
      <c r="QV6294" s="106"/>
      <c r="QW6294" s="106"/>
      <c r="QX6294" s="106"/>
      <c r="QY6294" s="106"/>
      <c r="QZ6294" s="106"/>
      <c r="RA6294" s="106"/>
      <c r="RB6294" s="106"/>
      <c r="RC6294" s="106"/>
      <c r="RD6294" s="106"/>
      <c r="RE6294" s="106"/>
      <c r="RF6294" s="106"/>
      <c r="RG6294" s="106"/>
      <c r="RH6294" s="106"/>
      <c r="RI6294" s="106"/>
      <c r="RJ6294" s="106"/>
      <c r="RK6294" s="106"/>
      <c r="RL6294" s="106"/>
    </row>
    <row r="6295" spans="462:480" x14ac:dyDescent="0.3">
      <c r="QT6295" s="106"/>
      <c r="QU6295" s="106"/>
      <c r="QV6295" s="106"/>
      <c r="QW6295" s="106"/>
      <c r="QX6295" s="106"/>
      <c r="QY6295" s="106"/>
      <c r="QZ6295" s="106"/>
      <c r="RA6295" s="106"/>
      <c r="RB6295" s="106"/>
      <c r="RC6295" s="106"/>
      <c r="RD6295" s="106"/>
      <c r="RE6295" s="106"/>
      <c r="RF6295" s="106"/>
      <c r="RG6295" s="106"/>
      <c r="RH6295" s="106"/>
      <c r="RI6295" s="106"/>
      <c r="RJ6295" s="106"/>
      <c r="RK6295" s="106"/>
      <c r="RL6295" s="106"/>
    </row>
    <row r="6296" spans="462:480" x14ac:dyDescent="0.3">
      <c r="QT6296" s="106"/>
      <c r="QU6296" s="106"/>
      <c r="QV6296" s="106"/>
      <c r="QW6296" s="106"/>
      <c r="QX6296" s="106"/>
      <c r="QY6296" s="106"/>
      <c r="QZ6296" s="106"/>
      <c r="RA6296" s="106"/>
      <c r="RB6296" s="106"/>
      <c r="RC6296" s="106"/>
      <c r="RD6296" s="106"/>
      <c r="RE6296" s="106"/>
      <c r="RF6296" s="106"/>
      <c r="RG6296" s="106"/>
      <c r="RH6296" s="106"/>
      <c r="RI6296" s="106"/>
      <c r="RJ6296" s="106"/>
      <c r="RK6296" s="106"/>
      <c r="RL6296" s="106"/>
    </row>
    <row r="6297" spans="462:480" x14ac:dyDescent="0.3">
      <c r="QT6297" s="106"/>
      <c r="QU6297" s="106"/>
      <c r="QV6297" s="106"/>
      <c r="QW6297" s="106"/>
      <c r="QX6297" s="106"/>
      <c r="QY6297" s="106"/>
      <c r="QZ6297" s="106"/>
      <c r="RA6297" s="106"/>
      <c r="RB6297" s="106"/>
      <c r="RC6297" s="106"/>
      <c r="RD6297" s="106"/>
      <c r="RE6297" s="106"/>
      <c r="RF6297" s="106"/>
      <c r="RG6297" s="106"/>
      <c r="RH6297" s="106"/>
      <c r="RI6297" s="106"/>
      <c r="RJ6297" s="106"/>
      <c r="RK6297" s="106"/>
      <c r="RL6297" s="106"/>
    </row>
    <row r="6298" spans="462:480" x14ac:dyDescent="0.3">
      <c r="QT6298" s="106"/>
      <c r="QU6298" s="106"/>
      <c r="QV6298" s="106"/>
      <c r="QW6298" s="106"/>
      <c r="QX6298" s="106"/>
      <c r="QY6298" s="106"/>
      <c r="QZ6298" s="106"/>
      <c r="RA6298" s="106"/>
      <c r="RB6298" s="106"/>
      <c r="RC6298" s="106"/>
      <c r="RD6298" s="106"/>
      <c r="RE6298" s="106"/>
      <c r="RF6298" s="106"/>
      <c r="RG6298" s="106"/>
      <c r="RH6298" s="106"/>
      <c r="RI6298" s="106"/>
      <c r="RJ6298" s="106"/>
      <c r="RK6298" s="106"/>
      <c r="RL6298" s="106"/>
    </row>
    <row r="6299" spans="462:480" x14ac:dyDescent="0.3">
      <c r="QT6299" s="106"/>
      <c r="QU6299" s="106"/>
      <c r="QV6299" s="106"/>
      <c r="QW6299" s="106"/>
      <c r="QX6299" s="106"/>
      <c r="QY6299" s="106"/>
      <c r="QZ6299" s="106"/>
      <c r="RA6299" s="106"/>
      <c r="RB6299" s="106"/>
      <c r="RC6299" s="106"/>
      <c r="RD6299" s="106"/>
      <c r="RE6299" s="106"/>
      <c r="RF6299" s="106"/>
      <c r="RG6299" s="106"/>
      <c r="RH6299" s="106"/>
      <c r="RI6299" s="106"/>
      <c r="RJ6299" s="106"/>
      <c r="RK6299" s="106"/>
      <c r="RL6299" s="106"/>
    </row>
    <row r="6300" spans="462:480" x14ac:dyDescent="0.3">
      <c r="QT6300" s="106"/>
      <c r="QU6300" s="106"/>
      <c r="QV6300" s="106"/>
      <c r="QW6300" s="106"/>
      <c r="QX6300" s="106"/>
      <c r="QY6300" s="106"/>
      <c r="QZ6300" s="106"/>
      <c r="RA6300" s="106"/>
      <c r="RB6300" s="106"/>
      <c r="RC6300" s="106"/>
      <c r="RD6300" s="106"/>
      <c r="RE6300" s="106"/>
      <c r="RF6300" s="106"/>
      <c r="RG6300" s="106"/>
      <c r="RH6300" s="106"/>
      <c r="RI6300" s="106"/>
      <c r="RJ6300" s="106"/>
      <c r="RK6300" s="106"/>
      <c r="RL6300" s="106"/>
    </row>
    <row r="6301" spans="462:480" x14ac:dyDescent="0.3">
      <c r="QT6301" s="106"/>
      <c r="QU6301" s="106"/>
      <c r="QV6301" s="106"/>
      <c r="QW6301" s="106"/>
      <c r="QX6301" s="106"/>
      <c r="QY6301" s="106"/>
      <c r="QZ6301" s="106"/>
      <c r="RA6301" s="106"/>
      <c r="RB6301" s="106"/>
      <c r="RC6301" s="106"/>
      <c r="RD6301" s="106"/>
      <c r="RE6301" s="106"/>
      <c r="RF6301" s="106"/>
      <c r="RG6301" s="106"/>
      <c r="RH6301" s="106"/>
      <c r="RI6301" s="106"/>
      <c r="RJ6301" s="106"/>
      <c r="RK6301" s="106"/>
      <c r="RL6301" s="106"/>
    </row>
    <row r="6302" spans="462:480" x14ac:dyDescent="0.3">
      <c r="QT6302" s="106"/>
      <c r="QU6302" s="106"/>
      <c r="QV6302" s="106"/>
      <c r="QW6302" s="106"/>
      <c r="QX6302" s="106"/>
      <c r="QY6302" s="106"/>
      <c r="QZ6302" s="106"/>
      <c r="RA6302" s="106"/>
      <c r="RB6302" s="106"/>
      <c r="RC6302" s="106"/>
      <c r="RD6302" s="106"/>
      <c r="RE6302" s="106"/>
      <c r="RF6302" s="106"/>
      <c r="RG6302" s="106"/>
      <c r="RH6302" s="106"/>
      <c r="RI6302" s="106"/>
      <c r="RJ6302" s="106"/>
      <c r="RK6302" s="106"/>
      <c r="RL6302" s="106"/>
    </row>
    <row r="6303" spans="462:480" x14ac:dyDescent="0.3">
      <c r="QT6303" s="106"/>
      <c r="QU6303" s="106"/>
      <c r="QV6303" s="106"/>
      <c r="QW6303" s="106"/>
      <c r="QX6303" s="106"/>
      <c r="QY6303" s="106"/>
      <c r="QZ6303" s="106"/>
      <c r="RA6303" s="106"/>
      <c r="RB6303" s="106"/>
      <c r="RC6303" s="106"/>
      <c r="RD6303" s="106"/>
      <c r="RE6303" s="106"/>
      <c r="RF6303" s="106"/>
      <c r="RG6303" s="106"/>
      <c r="RH6303" s="106"/>
      <c r="RI6303" s="106"/>
      <c r="RJ6303" s="106"/>
      <c r="RK6303" s="106"/>
      <c r="RL6303" s="106"/>
    </row>
    <row r="6304" spans="462:480" x14ac:dyDescent="0.3">
      <c r="QT6304" s="106"/>
      <c r="QU6304" s="106"/>
      <c r="QV6304" s="106"/>
      <c r="QW6304" s="106"/>
      <c r="QX6304" s="106"/>
      <c r="QY6304" s="106"/>
      <c r="QZ6304" s="106"/>
      <c r="RA6304" s="106"/>
      <c r="RB6304" s="106"/>
      <c r="RC6304" s="106"/>
      <c r="RD6304" s="106"/>
      <c r="RE6304" s="106"/>
      <c r="RF6304" s="106"/>
      <c r="RG6304" s="106"/>
      <c r="RH6304" s="106"/>
      <c r="RI6304" s="106"/>
      <c r="RJ6304" s="106"/>
      <c r="RK6304" s="106"/>
      <c r="RL6304" s="106"/>
    </row>
    <row r="6305" spans="462:480" x14ac:dyDescent="0.3">
      <c r="QT6305" s="106"/>
      <c r="QU6305" s="106"/>
      <c r="QV6305" s="106"/>
      <c r="QW6305" s="106"/>
      <c r="QX6305" s="106"/>
      <c r="QY6305" s="106"/>
      <c r="QZ6305" s="106"/>
      <c r="RA6305" s="106"/>
      <c r="RB6305" s="106"/>
      <c r="RC6305" s="106"/>
      <c r="RD6305" s="106"/>
      <c r="RE6305" s="106"/>
      <c r="RF6305" s="106"/>
      <c r="RG6305" s="106"/>
      <c r="RH6305" s="106"/>
      <c r="RI6305" s="106"/>
      <c r="RJ6305" s="106"/>
      <c r="RK6305" s="106"/>
      <c r="RL6305" s="106"/>
    </row>
    <row r="6306" spans="462:480" x14ac:dyDescent="0.3">
      <c r="QT6306" s="106"/>
      <c r="QU6306" s="106"/>
      <c r="QV6306" s="106"/>
      <c r="QW6306" s="106"/>
      <c r="QX6306" s="106"/>
      <c r="QY6306" s="106"/>
      <c r="QZ6306" s="106"/>
      <c r="RA6306" s="106"/>
      <c r="RB6306" s="106"/>
      <c r="RC6306" s="106"/>
      <c r="RD6306" s="106"/>
      <c r="RE6306" s="106"/>
      <c r="RF6306" s="106"/>
      <c r="RG6306" s="106"/>
      <c r="RH6306" s="106"/>
      <c r="RI6306" s="106"/>
      <c r="RJ6306" s="106"/>
      <c r="RK6306" s="106"/>
      <c r="RL6306" s="106"/>
    </row>
    <row r="6307" spans="462:480" x14ac:dyDescent="0.3">
      <c r="QT6307" s="106"/>
      <c r="QU6307" s="106"/>
      <c r="QV6307" s="106"/>
      <c r="QW6307" s="106"/>
      <c r="QX6307" s="106"/>
      <c r="QY6307" s="106"/>
      <c r="QZ6307" s="106"/>
      <c r="RA6307" s="106"/>
      <c r="RB6307" s="106"/>
      <c r="RC6307" s="106"/>
      <c r="RD6307" s="106"/>
      <c r="RE6307" s="106"/>
      <c r="RF6307" s="106"/>
      <c r="RG6307" s="106"/>
      <c r="RH6307" s="106"/>
      <c r="RI6307" s="106"/>
      <c r="RJ6307" s="106"/>
      <c r="RK6307" s="106"/>
      <c r="RL6307" s="106"/>
    </row>
    <row r="6308" spans="462:480" x14ac:dyDescent="0.3">
      <c r="QT6308" s="106"/>
      <c r="QU6308" s="106"/>
      <c r="QV6308" s="106"/>
      <c r="QW6308" s="106"/>
      <c r="QX6308" s="106"/>
      <c r="QY6308" s="106"/>
      <c r="QZ6308" s="106"/>
      <c r="RA6308" s="106"/>
      <c r="RB6308" s="106"/>
      <c r="RC6308" s="106"/>
      <c r="RD6308" s="106"/>
      <c r="RE6308" s="106"/>
      <c r="RF6308" s="106"/>
      <c r="RG6308" s="106"/>
      <c r="RH6308" s="106"/>
      <c r="RI6308" s="106"/>
      <c r="RJ6308" s="106"/>
      <c r="RK6308" s="106"/>
      <c r="RL6308" s="106"/>
    </row>
    <row r="6309" spans="462:480" x14ac:dyDescent="0.3">
      <c r="QT6309" s="106"/>
      <c r="QU6309" s="106"/>
      <c r="QV6309" s="106"/>
      <c r="QW6309" s="106"/>
      <c r="QX6309" s="106"/>
      <c r="QY6309" s="106"/>
      <c r="QZ6309" s="106"/>
      <c r="RA6309" s="106"/>
      <c r="RB6309" s="106"/>
      <c r="RC6309" s="106"/>
      <c r="RD6309" s="106"/>
      <c r="RE6309" s="106"/>
      <c r="RF6309" s="106"/>
      <c r="RG6309" s="106"/>
      <c r="RH6309" s="106"/>
      <c r="RI6309" s="106"/>
      <c r="RJ6309" s="106"/>
      <c r="RK6309" s="106"/>
      <c r="RL6309" s="106"/>
    </row>
    <row r="6310" spans="462:480" x14ac:dyDescent="0.3">
      <c r="QT6310" s="106"/>
      <c r="QU6310" s="106"/>
      <c r="QV6310" s="106"/>
      <c r="QW6310" s="106"/>
      <c r="QX6310" s="106"/>
      <c r="QY6310" s="106"/>
      <c r="QZ6310" s="106"/>
      <c r="RA6310" s="106"/>
      <c r="RB6310" s="106"/>
      <c r="RC6310" s="106"/>
      <c r="RD6310" s="106"/>
      <c r="RE6310" s="106"/>
      <c r="RF6310" s="106"/>
      <c r="RG6310" s="106"/>
      <c r="RH6310" s="106"/>
      <c r="RI6310" s="106"/>
      <c r="RJ6310" s="106"/>
      <c r="RK6310" s="106"/>
      <c r="RL6310" s="106"/>
    </row>
    <row r="6311" spans="462:480" x14ac:dyDescent="0.3">
      <c r="QT6311" s="106"/>
      <c r="QU6311" s="106"/>
      <c r="QV6311" s="106"/>
      <c r="QW6311" s="106"/>
      <c r="QX6311" s="106"/>
      <c r="QY6311" s="106"/>
      <c r="QZ6311" s="106"/>
      <c r="RA6311" s="106"/>
      <c r="RB6311" s="106"/>
      <c r="RC6311" s="106"/>
      <c r="RD6311" s="106"/>
      <c r="RE6311" s="106"/>
      <c r="RF6311" s="106"/>
      <c r="RG6311" s="106"/>
      <c r="RH6311" s="106"/>
      <c r="RI6311" s="106"/>
      <c r="RJ6311" s="106"/>
      <c r="RK6311" s="106"/>
      <c r="RL6311" s="106"/>
    </row>
    <row r="6312" spans="462:480" x14ac:dyDescent="0.3">
      <c r="QT6312" s="106"/>
      <c r="QU6312" s="106"/>
      <c r="QV6312" s="106"/>
      <c r="QW6312" s="106"/>
      <c r="QX6312" s="106"/>
      <c r="QY6312" s="106"/>
      <c r="QZ6312" s="106"/>
      <c r="RA6312" s="106"/>
      <c r="RB6312" s="106"/>
      <c r="RC6312" s="106"/>
      <c r="RD6312" s="106"/>
      <c r="RE6312" s="106"/>
      <c r="RF6312" s="106"/>
      <c r="RG6312" s="106"/>
      <c r="RH6312" s="106"/>
      <c r="RI6312" s="106"/>
      <c r="RJ6312" s="106"/>
      <c r="RK6312" s="106"/>
      <c r="RL6312" s="106"/>
    </row>
    <row r="6313" spans="462:480" x14ac:dyDescent="0.3">
      <c r="QT6313" s="106"/>
      <c r="QU6313" s="106"/>
      <c r="QV6313" s="106"/>
      <c r="QW6313" s="106"/>
      <c r="QX6313" s="106"/>
      <c r="QY6313" s="106"/>
      <c r="QZ6313" s="106"/>
      <c r="RA6313" s="106"/>
      <c r="RB6313" s="106"/>
      <c r="RC6313" s="106"/>
      <c r="RD6313" s="106"/>
      <c r="RE6313" s="106"/>
      <c r="RF6313" s="106"/>
      <c r="RG6313" s="106"/>
      <c r="RH6313" s="106"/>
      <c r="RI6313" s="106"/>
      <c r="RJ6313" s="106"/>
      <c r="RK6313" s="106"/>
      <c r="RL6313" s="106"/>
    </row>
    <row r="6314" spans="462:480" x14ac:dyDescent="0.3">
      <c r="QT6314" s="106"/>
      <c r="QU6314" s="106"/>
      <c r="QV6314" s="106"/>
      <c r="QW6314" s="106"/>
      <c r="QX6314" s="106"/>
      <c r="QY6314" s="106"/>
      <c r="QZ6314" s="106"/>
      <c r="RA6314" s="106"/>
      <c r="RB6314" s="106"/>
      <c r="RC6314" s="106"/>
      <c r="RD6314" s="106"/>
      <c r="RE6314" s="106"/>
      <c r="RF6314" s="106"/>
      <c r="RG6314" s="106"/>
      <c r="RH6314" s="106"/>
      <c r="RI6314" s="106"/>
      <c r="RJ6314" s="106"/>
      <c r="RK6314" s="106"/>
      <c r="RL6314" s="106"/>
    </row>
    <row r="6315" spans="462:480" x14ac:dyDescent="0.3">
      <c r="QT6315" s="106"/>
      <c r="QU6315" s="106"/>
      <c r="QV6315" s="106"/>
      <c r="QW6315" s="106"/>
      <c r="QX6315" s="106"/>
      <c r="QY6315" s="106"/>
      <c r="QZ6315" s="106"/>
      <c r="RA6315" s="106"/>
      <c r="RB6315" s="106"/>
      <c r="RC6315" s="106"/>
      <c r="RD6315" s="106"/>
      <c r="RE6315" s="106"/>
      <c r="RF6315" s="106"/>
      <c r="RG6315" s="106"/>
      <c r="RH6315" s="106"/>
      <c r="RI6315" s="106"/>
      <c r="RJ6315" s="106"/>
      <c r="RK6315" s="106"/>
      <c r="RL6315" s="106"/>
    </row>
    <row r="6316" spans="462:480" x14ac:dyDescent="0.3">
      <c r="QT6316" s="106"/>
      <c r="QU6316" s="106"/>
      <c r="QV6316" s="106"/>
      <c r="QW6316" s="106"/>
      <c r="QX6316" s="106"/>
      <c r="QY6316" s="106"/>
      <c r="QZ6316" s="106"/>
      <c r="RA6316" s="106"/>
      <c r="RB6316" s="106"/>
      <c r="RC6316" s="106"/>
      <c r="RD6316" s="106"/>
      <c r="RE6316" s="106"/>
      <c r="RF6316" s="106"/>
      <c r="RG6316" s="106"/>
      <c r="RH6316" s="106"/>
      <c r="RI6316" s="106"/>
      <c r="RJ6316" s="106"/>
      <c r="RK6316" s="106"/>
      <c r="RL6316" s="106"/>
    </row>
    <row r="6317" spans="462:480" x14ac:dyDescent="0.3">
      <c r="QT6317" s="106"/>
      <c r="QU6317" s="106"/>
      <c r="QV6317" s="106"/>
      <c r="QW6317" s="106"/>
      <c r="QX6317" s="106"/>
      <c r="QY6317" s="106"/>
      <c r="QZ6317" s="106"/>
      <c r="RA6317" s="106"/>
      <c r="RB6317" s="106"/>
      <c r="RC6317" s="106"/>
      <c r="RD6317" s="106"/>
      <c r="RE6317" s="106"/>
      <c r="RF6317" s="106"/>
      <c r="RG6317" s="106"/>
      <c r="RH6317" s="106"/>
      <c r="RI6317" s="106"/>
      <c r="RJ6317" s="106"/>
      <c r="RK6317" s="106"/>
      <c r="RL6317" s="106"/>
    </row>
    <row r="6318" spans="462:480" x14ac:dyDescent="0.3">
      <c r="QT6318" s="106"/>
      <c r="QU6318" s="106"/>
      <c r="QV6318" s="106"/>
      <c r="QW6318" s="106"/>
      <c r="QX6318" s="106"/>
      <c r="QY6318" s="106"/>
      <c r="QZ6318" s="106"/>
      <c r="RA6318" s="106"/>
      <c r="RB6318" s="106"/>
      <c r="RC6318" s="106"/>
      <c r="RD6318" s="106"/>
      <c r="RE6318" s="106"/>
      <c r="RF6318" s="106"/>
      <c r="RG6318" s="106"/>
      <c r="RH6318" s="106"/>
      <c r="RI6318" s="106"/>
      <c r="RJ6318" s="106"/>
      <c r="RK6318" s="106"/>
      <c r="RL6318" s="106"/>
    </row>
    <row r="6319" spans="462:480" x14ac:dyDescent="0.3">
      <c r="QT6319" s="106"/>
      <c r="QU6319" s="106"/>
      <c r="QV6319" s="106"/>
      <c r="QW6319" s="106"/>
      <c r="QX6319" s="106"/>
      <c r="QY6319" s="106"/>
      <c r="QZ6319" s="106"/>
      <c r="RA6319" s="106"/>
      <c r="RB6319" s="106"/>
      <c r="RC6319" s="106"/>
      <c r="RD6319" s="106"/>
      <c r="RE6319" s="106"/>
      <c r="RF6319" s="106"/>
      <c r="RG6319" s="106"/>
      <c r="RH6319" s="106"/>
      <c r="RI6319" s="106"/>
      <c r="RJ6319" s="106"/>
      <c r="RK6319" s="106"/>
      <c r="RL6319" s="106"/>
    </row>
    <row r="6320" spans="462:480" x14ac:dyDescent="0.3">
      <c r="QT6320" s="106"/>
      <c r="QU6320" s="106"/>
      <c r="QV6320" s="106"/>
      <c r="QW6320" s="106"/>
      <c r="QX6320" s="106"/>
      <c r="QY6320" s="106"/>
      <c r="QZ6320" s="106"/>
      <c r="RA6320" s="106"/>
      <c r="RB6320" s="106"/>
      <c r="RC6320" s="106"/>
      <c r="RD6320" s="106"/>
      <c r="RE6320" s="106"/>
      <c r="RF6320" s="106"/>
      <c r="RG6320" s="106"/>
      <c r="RH6320" s="106"/>
      <c r="RI6320" s="106"/>
      <c r="RJ6320" s="106"/>
      <c r="RK6320" s="106"/>
      <c r="RL6320" s="106"/>
    </row>
    <row r="6321" spans="462:480" x14ac:dyDescent="0.3">
      <c r="QT6321" s="106"/>
      <c r="QU6321" s="106"/>
      <c r="QV6321" s="106"/>
      <c r="QW6321" s="106"/>
      <c r="QX6321" s="106"/>
      <c r="QY6321" s="106"/>
      <c r="QZ6321" s="106"/>
      <c r="RA6321" s="106"/>
      <c r="RB6321" s="106"/>
      <c r="RC6321" s="106"/>
      <c r="RD6321" s="106"/>
      <c r="RE6321" s="106"/>
      <c r="RF6321" s="106"/>
      <c r="RG6321" s="106"/>
      <c r="RH6321" s="106"/>
      <c r="RI6321" s="106"/>
      <c r="RJ6321" s="106"/>
      <c r="RK6321" s="106"/>
      <c r="RL6321" s="106"/>
    </row>
    <row r="6322" spans="462:480" x14ac:dyDescent="0.3">
      <c r="QT6322" s="106"/>
      <c r="QU6322" s="106"/>
      <c r="QV6322" s="106"/>
      <c r="QW6322" s="106"/>
      <c r="QX6322" s="106"/>
      <c r="QY6322" s="106"/>
      <c r="QZ6322" s="106"/>
      <c r="RA6322" s="106"/>
      <c r="RB6322" s="106"/>
      <c r="RC6322" s="106"/>
      <c r="RD6322" s="106"/>
      <c r="RE6322" s="106"/>
      <c r="RF6322" s="106"/>
      <c r="RG6322" s="106"/>
      <c r="RH6322" s="106"/>
      <c r="RI6322" s="106"/>
      <c r="RJ6322" s="106"/>
      <c r="RK6322" s="106"/>
      <c r="RL6322" s="106"/>
    </row>
    <row r="6323" spans="462:480" x14ac:dyDescent="0.3">
      <c r="QT6323" s="106"/>
      <c r="QU6323" s="106"/>
      <c r="QV6323" s="106"/>
      <c r="QW6323" s="106"/>
      <c r="QX6323" s="106"/>
      <c r="QY6323" s="106"/>
      <c r="QZ6323" s="106"/>
      <c r="RA6323" s="106"/>
      <c r="RB6323" s="106"/>
      <c r="RC6323" s="106"/>
      <c r="RD6323" s="106"/>
      <c r="RE6323" s="106"/>
      <c r="RF6323" s="106"/>
      <c r="RG6323" s="106"/>
      <c r="RH6323" s="106"/>
      <c r="RI6323" s="106"/>
      <c r="RJ6323" s="106"/>
      <c r="RK6323" s="106"/>
      <c r="RL6323" s="106"/>
    </row>
    <row r="6324" spans="462:480" x14ac:dyDescent="0.3">
      <c r="QT6324" s="106"/>
      <c r="QU6324" s="106"/>
      <c r="QV6324" s="106"/>
      <c r="QW6324" s="106"/>
      <c r="QX6324" s="106"/>
      <c r="QY6324" s="106"/>
      <c r="QZ6324" s="106"/>
      <c r="RA6324" s="106"/>
      <c r="RB6324" s="106"/>
      <c r="RC6324" s="106"/>
      <c r="RD6324" s="106"/>
      <c r="RE6324" s="106"/>
      <c r="RF6324" s="106"/>
      <c r="RG6324" s="106"/>
      <c r="RH6324" s="106"/>
      <c r="RI6324" s="106"/>
      <c r="RJ6324" s="106"/>
      <c r="RK6324" s="106"/>
      <c r="RL6324" s="106"/>
    </row>
    <row r="6325" spans="462:480" x14ac:dyDescent="0.3">
      <c r="QT6325" s="106"/>
      <c r="QU6325" s="106"/>
      <c r="QV6325" s="106"/>
      <c r="QW6325" s="106"/>
      <c r="QX6325" s="106"/>
      <c r="QY6325" s="106"/>
      <c r="QZ6325" s="106"/>
      <c r="RA6325" s="106"/>
      <c r="RB6325" s="106"/>
      <c r="RC6325" s="106"/>
      <c r="RD6325" s="106"/>
      <c r="RE6325" s="106"/>
      <c r="RF6325" s="106"/>
      <c r="RG6325" s="106"/>
      <c r="RH6325" s="106"/>
      <c r="RI6325" s="106"/>
      <c r="RJ6325" s="106"/>
      <c r="RK6325" s="106"/>
      <c r="RL6325" s="106"/>
    </row>
    <row r="6326" spans="462:480" x14ac:dyDescent="0.3">
      <c r="QT6326" s="106"/>
      <c r="QU6326" s="106"/>
      <c r="QV6326" s="106"/>
      <c r="QW6326" s="106"/>
      <c r="QX6326" s="106"/>
      <c r="QY6326" s="106"/>
      <c r="QZ6326" s="106"/>
      <c r="RA6326" s="106"/>
      <c r="RB6326" s="106"/>
      <c r="RC6326" s="106"/>
      <c r="RD6326" s="106"/>
      <c r="RE6326" s="106"/>
      <c r="RF6326" s="106"/>
      <c r="RG6326" s="106"/>
      <c r="RH6326" s="106"/>
      <c r="RI6326" s="106"/>
      <c r="RJ6326" s="106"/>
      <c r="RK6326" s="106"/>
      <c r="RL6326" s="106"/>
    </row>
    <row r="6327" spans="462:480" x14ac:dyDescent="0.3">
      <c r="QT6327" s="106"/>
      <c r="QU6327" s="106"/>
      <c r="QV6327" s="106"/>
      <c r="QW6327" s="106"/>
      <c r="QX6327" s="106"/>
      <c r="QY6327" s="106"/>
      <c r="QZ6327" s="106"/>
      <c r="RA6327" s="106"/>
      <c r="RB6327" s="106"/>
      <c r="RC6327" s="106"/>
      <c r="RD6327" s="106"/>
      <c r="RE6327" s="106"/>
      <c r="RF6327" s="106"/>
      <c r="RG6327" s="106"/>
      <c r="RH6327" s="106"/>
      <c r="RI6327" s="106"/>
      <c r="RJ6327" s="106"/>
      <c r="RK6327" s="106"/>
      <c r="RL6327" s="106"/>
    </row>
    <row r="6328" spans="462:480" x14ac:dyDescent="0.3">
      <c r="QT6328" s="106"/>
      <c r="QU6328" s="106"/>
      <c r="QV6328" s="106"/>
      <c r="QW6328" s="106"/>
      <c r="QX6328" s="106"/>
      <c r="QY6328" s="106"/>
      <c r="QZ6328" s="106"/>
      <c r="RA6328" s="106"/>
      <c r="RB6328" s="106"/>
      <c r="RC6328" s="106"/>
      <c r="RD6328" s="106"/>
      <c r="RE6328" s="106"/>
      <c r="RF6328" s="106"/>
      <c r="RG6328" s="106"/>
      <c r="RH6328" s="106"/>
      <c r="RI6328" s="106"/>
      <c r="RJ6328" s="106"/>
      <c r="RK6328" s="106"/>
      <c r="RL6328" s="106"/>
    </row>
    <row r="6329" spans="462:480" x14ac:dyDescent="0.3">
      <c r="QT6329" s="106"/>
      <c r="QU6329" s="106"/>
      <c r="QV6329" s="106"/>
      <c r="QW6329" s="106"/>
      <c r="QX6329" s="106"/>
      <c r="QY6329" s="106"/>
      <c r="QZ6329" s="106"/>
      <c r="RA6329" s="106"/>
      <c r="RB6329" s="106"/>
      <c r="RC6329" s="106"/>
      <c r="RD6329" s="106"/>
      <c r="RE6329" s="106"/>
      <c r="RF6329" s="106"/>
      <c r="RG6329" s="106"/>
      <c r="RH6329" s="106"/>
      <c r="RI6329" s="106"/>
      <c r="RJ6329" s="106"/>
      <c r="RK6329" s="106"/>
      <c r="RL6329" s="106"/>
    </row>
    <row r="6330" spans="462:480" x14ac:dyDescent="0.3">
      <c r="QT6330" s="106"/>
      <c r="QU6330" s="106"/>
      <c r="QV6330" s="106"/>
      <c r="QW6330" s="106"/>
      <c r="QX6330" s="106"/>
      <c r="QY6330" s="106"/>
      <c r="QZ6330" s="106"/>
      <c r="RA6330" s="106"/>
      <c r="RB6330" s="106"/>
      <c r="RC6330" s="106"/>
      <c r="RD6330" s="106"/>
      <c r="RE6330" s="106"/>
      <c r="RF6330" s="106"/>
      <c r="RG6330" s="106"/>
      <c r="RH6330" s="106"/>
      <c r="RI6330" s="106"/>
      <c r="RJ6330" s="106"/>
      <c r="RK6330" s="106"/>
      <c r="RL6330" s="106"/>
    </row>
    <row r="6331" spans="462:480" x14ac:dyDescent="0.3">
      <c r="QT6331" s="106"/>
      <c r="QU6331" s="106"/>
      <c r="QV6331" s="106"/>
      <c r="QW6331" s="106"/>
      <c r="QX6331" s="106"/>
      <c r="QY6331" s="106"/>
      <c r="QZ6331" s="106"/>
      <c r="RA6331" s="106"/>
      <c r="RB6331" s="106"/>
      <c r="RC6331" s="106"/>
      <c r="RD6331" s="106"/>
      <c r="RE6331" s="106"/>
      <c r="RF6331" s="106"/>
      <c r="RG6331" s="106"/>
      <c r="RH6331" s="106"/>
      <c r="RI6331" s="106"/>
      <c r="RJ6331" s="106"/>
      <c r="RK6331" s="106"/>
      <c r="RL6331" s="106"/>
    </row>
    <row r="6332" spans="462:480" x14ac:dyDescent="0.3">
      <c r="QT6332" s="106"/>
      <c r="QU6332" s="106"/>
      <c r="QV6332" s="106"/>
      <c r="QW6332" s="106"/>
      <c r="QX6332" s="106"/>
      <c r="QY6332" s="106"/>
      <c r="QZ6332" s="106"/>
      <c r="RA6332" s="106"/>
      <c r="RB6332" s="106"/>
      <c r="RC6332" s="106"/>
      <c r="RD6332" s="106"/>
      <c r="RE6332" s="106"/>
      <c r="RF6332" s="106"/>
      <c r="RG6332" s="106"/>
      <c r="RH6332" s="106"/>
      <c r="RI6332" s="106"/>
      <c r="RJ6332" s="106"/>
      <c r="RK6332" s="106"/>
      <c r="RL6332" s="106"/>
    </row>
    <row r="6333" spans="462:480" x14ac:dyDescent="0.3">
      <c r="QT6333" s="106"/>
      <c r="QU6333" s="106"/>
      <c r="QV6333" s="106"/>
      <c r="QW6333" s="106"/>
      <c r="QX6333" s="106"/>
      <c r="QY6333" s="106"/>
      <c r="QZ6333" s="106"/>
      <c r="RA6333" s="106"/>
      <c r="RB6333" s="106"/>
      <c r="RC6333" s="106"/>
      <c r="RD6333" s="106"/>
      <c r="RE6333" s="106"/>
      <c r="RF6333" s="106"/>
      <c r="RG6333" s="106"/>
      <c r="RH6333" s="106"/>
      <c r="RI6333" s="106"/>
      <c r="RJ6333" s="106"/>
      <c r="RK6333" s="106"/>
      <c r="RL6333" s="106"/>
    </row>
    <row r="6334" spans="462:480" x14ac:dyDescent="0.3">
      <c r="QT6334" s="106"/>
      <c r="QU6334" s="106"/>
      <c r="QV6334" s="106"/>
      <c r="QW6334" s="106"/>
      <c r="QX6334" s="106"/>
      <c r="QY6334" s="106"/>
      <c r="QZ6334" s="106"/>
      <c r="RA6334" s="106"/>
      <c r="RB6334" s="106"/>
      <c r="RC6334" s="106"/>
      <c r="RD6334" s="106"/>
      <c r="RE6334" s="106"/>
      <c r="RF6334" s="106"/>
      <c r="RG6334" s="106"/>
      <c r="RH6334" s="106"/>
      <c r="RI6334" s="106"/>
      <c r="RJ6334" s="106"/>
      <c r="RK6334" s="106"/>
      <c r="RL6334" s="106"/>
    </row>
    <row r="6335" spans="462:480" x14ac:dyDescent="0.3">
      <c r="QT6335" s="106"/>
      <c r="QU6335" s="106"/>
      <c r="QV6335" s="106"/>
      <c r="QW6335" s="106"/>
      <c r="QX6335" s="106"/>
      <c r="QY6335" s="106"/>
      <c r="QZ6335" s="106"/>
      <c r="RA6335" s="106"/>
      <c r="RB6335" s="106"/>
      <c r="RC6335" s="106"/>
      <c r="RD6335" s="106"/>
      <c r="RE6335" s="106"/>
      <c r="RF6335" s="106"/>
      <c r="RG6335" s="106"/>
      <c r="RH6335" s="106"/>
      <c r="RI6335" s="106"/>
      <c r="RJ6335" s="106"/>
      <c r="RK6335" s="106"/>
      <c r="RL6335" s="106"/>
    </row>
    <row r="6336" spans="462:480" x14ac:dyDescent="0.3">
      <c r="QT6336" s="106"/>
      <c r="QU6336" s="106"/>
      <c r="QV6336" s="106"/>
      <c r="QW6336" s="106"/>
      <c r="QX6336" s="106"/>
      <c r="QY6336" s="106"/>
      <c r="QZ6336" s="106"/>
      <c r="RA6336" s="106"/>
      <c r="RB6336" s="106"/>
      <c r="RC6336" s="106"/>
      <c r="RD6336" s="106"/>
      <c r="RE6336" s="106"/>
      <c r="RF6336" s="106"/>
      <c r="RG6336" s="106"/>
      <c r="RH6336" s="106"/>
      <c r="RI6336" s="106"/>
      <c r="RJ6336" s="106"/>
      <c r="RK6336" s="106"/>
      <c r="RL6336" s="106"/>
    </row>
    <row r="6337" spans="462:480" x14ac:dyDescent="0.3">
      <c r="QT6337" s="106"/>
      <c r="QU6337" s="106"/>
      <c r="QV6337" s="106"/>
      <c r="QW6337" s="106"/>
      <c r="QX6337" s="106"/>
      <c r="QY6337" s="106"/>
      <c r="QZ6337" s="106"/>
      <c r="RA6337" s="106"/>
      <c r="RB6337" s="106"/>
      <c r="RC6337" s="106"/>
      <c r="RD6337" s="106"/>
      <c r="RE6337" s="106"/>
      <c r="RF6337" s="106"/>
      <c r="RG6337" s="106"/>
      <c r="RH6337" s="106"/>
      <c r="RI6337" s="106"/>
      <c r="RJ6337" s="106"/>
      <c r="RK6337" s="106"/>
      <c r="RL6337" s="106"/>
    </row>
    <row r="6338" spans="462:480" x14ac:dyDescent="0.3">
      <c r="QT6338" s="106"/>
      <c r="QU6338" s="106"/>
      <c r="QV6338" s="106"/>
      <c r="QW6338" s="106"/>
      <c r="QX6338" s="106"/>
      <c r="QY6338" s="106"/>
      <c r="QZ6338" s="106"/>
      <c r="RA6338" s="106"/>
      <c r="RB6338" s="106"/>
      <c r="RC6338" s="106"/>
      <c r="RD6338" s="106"/>
      <c r="RE6338" s="106"/>
      <c r="RF6338" s="106"/>
      <c r="RG6338" s="106"/>
      <c r="RH6338" s="106"/>
      <c r="RI6338" s="106"/>
      <c r="RJ6338" s="106"/>
      <c r="RK6338" s="106"/>
      <c r="RL6338" s="106"/>
    </row>
    <row r="6339" spans="462:480" x14ac:dyDescent="0.3">
      <c r="QT6339" s="106"/>
      <c r="QU6339" s="106"/>
      <c r="QV6339" s="106"/>
      <c r="QW6339" s="106"/>
      <c r="QX6339" s="106"/>
      <c r="QY6339" s="106"/>
      <c r="QZ6339" s="106"/>
      <c r="RA6339" s="106"/>
      <c r="RB6339" s="106"/>
      <c r="RC6339" s="106"/>
      <c r="RD6339" s="106"/>
      <c r="RE6339" s="106"/>
      <c r="RF6339" s="106"/>
      <c r="RG6339" s="106"/>
      <c r="RH6339" s="106"/>
      <c r="RI6339" s="106"/>
      <c r="RJ6339" s="106"/>
      <c r="RK6339" s="106"/>
      <c r="RL6339" s="106"/>
    </row>
    <row r="6340" spans="462:480" x14ac:dyDescent="0.3">
      <c r="QT6340" s="106"/>
      <c r="QU6340" s="106"/>
      <c r="QV6340" s="106"/>
      <c r="QW6340" s="106"/>
      <c r="QX6340" s="106"/>
      <c r="QY6340" s="106"/>
      <c r="QZ6340" s="106"/>
      <c r="RA6340" s="106"/>
      <c r="RB6340" s="106"/>
      <c r="RC6340" s="106"/>
      <c r="RD6340" s="106"/>
      <c r="RE6340" s="106"/>
      <c r="RF6340" s="106"/>
      <c r="RG6340" s="106"/>
      <c r="RH6340" s="106"/>
      <c r="RI6340" s="106"/>
      <c r="RJ6340" s="106"/>
      <c r="RK6340" s="106"/>
      <c r="RL6340" s="106"/>
    </row>
    <row r="6341" spans="462:480" x14ac:dyDescent="0.3">
      <c r="QT6341" s="106"/>
      <c r="QU6341" s="106"/>
      <c r="QV6341" s="106"/>
      <c r="QW6341" s="106"/>
      <c r="QX6341" s="106"/>
      <c r="QY6341" s="106"/>
      <c r="QZ6341" s="106"/>
      <c r="RA6341" s="106"/>
      <c r="RB6341" s="106"/>
      <c r="RC6341" s="106"/>
      <c r="RD6341" s="106"/>
      <c r="RE6341" s="106"/>
      <c r="RF6341" s="106"/>
      <c r="RG6341" s="106"/>
      <c r="RH6341" s="106"/>
      <c r="RI6341" s="106"/>
      <c r="RJ6341" s="106"/>
      <c r="RK6341" s="106"/>
      <c r="RL6341" s="106"/>
    </row>
    <row r="6342" spans="462:480" x14ac:dyDescent="0.3">
      <c r="QT6342" s="106"/>
      <c r="QU6342" s="106"/>
      <c r="QV6342" s="106"/>
      <c r="QW6342" s="106"/>
      <c r="QX6342" s="106"/>
      <c r="QY6342" s="106"/>
      <c r="QZ6342" s="106"/>
      <c r="RA6342" s="106"/>
      <c r="RB6342" s="106"/>
      <c r="RC6342" s="106"/>
      <c r="RD6342" s="106"/>
      <c r="RE6342" s="106"/>
      <c r="RF6342" s="106"/>
      <c r="RG6342" s="106"/>
      <c r="RH6342" s="106"/>
      <c r="RI6342" s="106"/>
      <c r="RJ6342" s="106"/>
      <c r="RK6342" s="106"/>
      <c r="RL6342" s="106"/>
    </row>
    <row r="6343" spans="462:480" x14ac:dyDescent="0.3">
      <c r="QT6343" s="106"/>
      <c r="QU6343" s="106"/>
      <c r="QV6343" s="106"/>
      <c r="QW6343" s="106"/>
      <c r="QX6343" s="106"/>
      <c r="QY6343" s="106"/>
      <c r="QZ6343" s="106"/>
      <c r="RA6343" s="106"/>
      <c r="RB6343" s="106"/>
      <c r="RC6343" s="106"/>
      <c r="RD6343" s="106"/>
      <c r="RE6343" s="106"/>
      <c r="RF6343" s="106"/>
      <c r="RG6343" s="106"/>
      <c r="RH6343" s="106"/>
      <c r="RI6343" s="106"/>
      <c r="RJ6343" s="106"/>
      <c r="RK6343" s="106"/>
      <c r="RL6343" s="106"/>
    </row>
    <row r="6344" spans="462:480" x14ac:dyDescent="0.3">
      <c r="QT6344" s="106"/>
      <c r="QU6344" s="106"/>
      <c r="QV6344" s="106"/>
      <c r="QW6344" s="106"/>
      <c r="QX6344" s="106"/>
      <c r="QY6344" s="106"/>
      <c r="QZ6344" s="106"/>
      <c r="RA6344" s="106"/>
      <c r="RB6344" s="106"/>
      <c r="RC6344" s="106"/>
      <c r="RD6344" s="106"/>
      <c r="RE6344" s="106"/>
      <c r="RF6344" s="106"/>
      <c r="RG6344" s="106"/>
      <c r="RH6344" s="106"/>
      <c r="RI6344" s="106"/>
      <c r="RJ6344" s="106"/>
      <c r="RK6344" s="106"/>
      <c r="RL6344" s="106"/>
    </row>
    <row r="6345" spans="462:480" x14ac:dyDescent="0.3">
      <c r="QT6345" s="106"/>
      <c r="QU6345" s="106"/>
      <c r="QV6345" s="106"/>
      <c r="QW6345" s="106"/>
      <c r="QX6345" s="106"/>
      <c r="QY6345" s="106"/>
      <c r="QZ6345" s="106"/>
      <c r="RA6345" s="106"/>
      <c r="RB6345" s="106"/>
      <c r="RC6345" s="106"/>
      <c r="RD6345" s="106"/>
      <c r="RE6345" s="106"/>
      <c r="RF6345" s="106"/>
      <c r="RG6345" s="106"/>
      <c r="RH6345" s="106"/>
      <c r="RI6345" s="106"/>
      <c r="RJ6345" s="106"/>
      <c r="RK6345" s="106"/>
      <c r="RL6345" s="106"/>
    </row>
    <row r="6346" spans="462:480" x14ac:dyDescent="0.3">
      <c r="QT6346" s="106"/>
      <c r="QU6346" s="106"/>
      <c r="QV6346" s="106"/>
      <c r="QW6346" s="106"/>
      <c r="QX6346" s="106"/>
      <c r="QY6346" s="106"/>
      <c r="QZ6346" s="106"/>
      <c r="RA6346" s="106"/>
      <c r="RB6346" s="106"/>
      <c r="RC6346" s="106"/>
      <c r="RD6346" s="106"/>
      <c r="RE6346" s="106"/>
      <c r="RF6346" s="106"/>
      <c r="RG6346" s="106"/>
      <c r="RH6346" s="106"/>
      <c r="RI6346" s="106"/>
      <c r="RJ6346" s="106"/>
      <c r="RK6346" s="106"/>
      <c r="RL6346" s="106"/>
    </row>
    <row r="6347" spans="462:480" x14ac:dyDescent="0.3">
      <c r="QT6347" s="106"/>
      <c r="QU6347" s="106"/>
      <c r="QV6347" s="106"/>
      <c r="QW6347" s="106"/>
      <c r="QX6347" s="106"/>
      <c r="QY6347" s="106"/>
      <c r="QZ6347" s="106"/>
      <c r="RA6347" s="106"/>
      <c r="RB6347" s="106"/>
      <c r="RC6347" s="106"/>
      <c r="RD6347" s="106"/>
      <c r="RE6347" s="106"/>
      <c r="RF6347" s="106"/>
      <c r="RG6347" s="106"/>
      <c r="RH6347" s="106"/>
      <c r="RI6347" s="106"/>
      <c r="RJ6347" s="106"/>
      <c r="RK6347" s="106"/>
      <c r="RL6347" s="106"/>
    </row>
    <row r="6348" spans="462:480" x14ac:dyDescent="0.3">
      <c r="QT6348" s="106"/>
      <c r="QU6348" s="106"/>
      <c r="QV6348" s="106"/>
      <c r="QW6348" s="106"/>
      <c r="QX6348" s="106"/>
      <c r="QY6348" s="106"/>
      <c r="QZ6348" s="106"/>
      <c r="RA6348" s="106"/>
      <c r="RB6348" s="106"/>
      <c r="RC6348" s="106"/>
      <c r="RD6348" s="106"/>
      <c r="RE6348" s="106"/>
      <c r="RF6348" s="106"/>
      <c r="RG6348" s="106"/>
      <c r="RH6348" s="106"/>
      <c r="RI6348" s="106"/>
      <c r="RJ6348" s="106"/>
      <c r="RK6348" s="106"/>
      <c r="RL6348" s="106"/>
    </row>
    <row r="6349" spans="462:480" x14ac:dyDescent="0.3">
      <c r="QT6349" s="106"/>
      <c r="QU6349" s="106"/>
      <c r="QV6349" s="106"/>
      <c r="QW6349" s="106"/>
      <c r="QX6349" s="106"/>
      <c r="QY6349" s="106"/>
      <c r="QZ6349" s="106"/>
      <c r="RA6349" s="106"/>
      <c r="RB6349" s="106"/>
      <c r="RC6349" s="106"/>
      <c r="RD6349" s="106"/>
      <c r="RE6349" s="106"/>
      <c r="RF6349" s="106"/>
      <c r="RG6349" s="106"/>
      <c r="RH6349" s="106"/>
      <c r="RI6349" s="106"/>
      <c r="RJ6349" s="106"/>
      <c r="RK6349" s="106"/>
      <c r="RL6349" s="106"/>
    </row>
    <row r="6350" spans="462:480" x14ac:dyDescent="0.3">
      <c r="QT6350" s="106"/>
      <c r="QU6350" s="106"/>
      <c r="QV6350" s="106"/>
      <c r="QW6350" s="106"/>
      <c r="QX6350" s="106"/>
      <c r="QY6350" s="106"/>
      <c r="QZ6350" s="106"/>
      <c r="RA6350" s="106"/>
      <c r="RB6350" s="106"/>
      <c r="RC6350" s="106"/>
      <c r="RD6350" s="106"/>
      <c r="RE6350" s="106"/>
      <c r="RF6350" s="106"/>
      <c r="RG6350" s="106"/>
      <c r="RH6350" s="106"/>
      <c r="RI6350" s="106"/>
      <c r="RJ6350" s="106"/>
      <c r="RK6350" s="106"/>
      <c r="RL6350" s="106"/>
    </row>
    <row r="6351" spans="462:480" x14ac:dyDescent="0.3">
      <c r="QT6351" s="106"/>
      <c r="QU6351" s="106"/>
      <c r="QV6351" s="106"/>
      <c r="QW6351" s="106"/>
      <c r="QX6351" s="106"/>
      <c r="QY6351" s="106"/>
      <c r="QZ6351" s="106"/>
      <c r="RA6351" s="106"/>
      <c r="RB6351" s="106"/>
      <c r="RC6351" s="106"/>
      <c r="RD6351" s="106"/>
      <c r="RE6351" s="106"/>
      <c r="RF6351" s="106"/>
      <c r="RG6351" s="106"/>
      <c r="RH6351" s="106"/>
      <c r="RI6351" s="106"/>
      <c r="RJ6351" s="106"/>
      <c r="RK6351" s="106"/>
      <c r="RL6351" s="106"/>
    </row>
    <row r="6352" spans="462:480" x14ac:dyDescent="0.3">
      <c r="QT6352" s="106"/>
      <c r="QU6352" s="106"/>
      <c r="QV6352" s="106"/>
      <c r="QW6352" s="106"/>
      <c r="QX6352" s="106"/>
      <c r="QY6352" s="106"/>
      <c r="QZ6352" s="106"/>
      <c r="RA6352" s="106"/>
      <c r="RB6352" s="106"/>
      <c r="RC6352" s="106"/>
      <c r="RD6352" s="106"/>
      <c r="RE6352" s="106"/>
      <c r="RF6352" s="106"/>
      <c r="RG6352" s="106"/>
      <c r="RH6352" s="106"/>
      <c r="RI6352" s="106"/>
      <c r="RJ6352" s="106"/>
      <c r="RK6352" s="106"/>
      <c r="RL6352" s="106"/>
    </row>
    <row r="6353" spans="462:480" x14ac:dyDescent="0.3">
      <c r="QT6353" s="106"/>
      <c r="QU6353" s="106"/>
      <c r="QV6353" s="106"/>
      <c r="QW6353" s="106"/>
      <c r="QX6353" s="106"/>
      <c r="QY6353" s="106"/>
      <c r="QZ6353" s="106"/>
      <c r="RA6353" s="106"/>
      <c r="RB6353" s="106"/>
      <c r="RC6353" s="106"/>
      <c r="RD6353" s="106"/>
      <c r="RE6353" s="106"/>
      <c r="RF6353" s="106"/>
      <c r="RG6353" s="106"/>
      <c r="RH6353" s="106"/>
      <c r="RI6353" s="106"/>
      <c r="RJ6353" s="106"/>
      <c r="RK6353" s="106"/>
      <c r="RL6353" s="106"/>
    </row>
    <row r="6354" spans="462:480" x14ac:dyDescent="0.3">
      <c r="QT6354" s="106"/>
      <c r="QU6354" s="106"/>
      <c r="QV6354" s="106"/>
      <c r="QW6354" s="106"/>
      <c r="QX6354" s="106"/>
      <c r="QY6354" s="106"/>
      <c r="QZ6354" s="106"/>
      <c r="RA6354" s="106"/>
      <c r="RB6354" s="106"/>
      <c r="RC6354" s="106"/>
      <c r="RD6354" s="106"/>
      <c r="RE6354" s="106"/>
      <c r="RF6354" s="106"/>
      <c r="RG6354" s="106"/>
      <c r="RH6354" s="106"/>
      <c r="RI6354" s="106"/>
      <c r="RJ6354" s="106"/>
      <c r="RK6354" s="106"/>
      <c r="RL6354" s="106"/>
    </row>
    <row r="6355" spans="462:480" x14ac:dyDescent="0.3">
      <c r="QT6355" s="106"/>
      <c r="QU6355" s="106"/>
      <c r="QV6355" s="106"/>
      <c r="QW6355" s="106"/>
      <c r="QX6355" s="106"/>
      <c r="QY6355" s="106"/>
      <c r="QZ6355" s="106"/>
      <c r="RA6355" s="106"/>
      <c r="RB6355" s="106"/>
      <c r="RC6355" s="106"/>
      <c r="RD6355" s="106"/>
      <c r="RE6355" s="106"/>
      <c r="RF6355" s="106"/>
      <c r="RG6355" s="106"/>
      <c r="RH6355" s="106"/>
      <c r="RI6355" s="106"/>
      <c r="RJ6355" s="106"/>
      <c r="RK6355" s="106"/>
      <c r="RL6355" s="106"/>
    </row>
    <row r="6356" spans="462:480" x14ac:dyDescent="0.3">
      <c r="QT6356" s="106"/>
      <c r="QU6356" s="106"/>
      <c r="QV6356" s="106"/>
      <c r="QW6356" s="106"/>
      <c r="QX6356" s="106"/>
      <c r="QY6356" s="106"/>
      <c r="QZ6356" s="106"/>
      <c r="RA6356" s="106"/>
      <c r="RB6356" s="106"/>
      <c r="RC6356" s="106"/>
      <c r="RD6356" s="106"/>
      <c r="RE6356" s="106"/>
      <c r="RF6356" s="106"/>
      <c r="RG6356" s="106"/>
      <c r="RH6356" s="106"/>
      <c r="RI6356" s="106"/>
      <c r="RJ6356" s="106"/>
      <c r="RK6356" s="106"/>
      <c r="RL6356" s="106"/>
    </row>
    <row r="6357" spans="462:480" x14ac:dyDescent="0.3">
      <c r="QT6357" s="106"/>
      <c r="QU6357" s="106"/>
      <c r="QV6357" s="106"/>
      <c r="QW6357" s="106"/>
      <c r="QX6357" s="106"/>
      <c r="QY6357" s="106"/>
      <c r="QZ6357" s="106"/>
      <c r="RA6357" s="106"/>
      <c r="RB6357" s="106"/>
      <c r="RC6357" s="106"/>
      <c r="RD6357" s="106"/>
      <c r="RE6357" s="106"/>
      <c r="RF6357" s="106"/>
      <c r="RG6357" s="106"/>
      <c r="RH6357" s="106"/>
      <c r="RI6357" s="106"/>
      <c r="RJ6357" s="106"/>
      <c r="RK6357" s="106"/>
      <c r="RL6357" s="106"/>
    </row>
    <row r="6358" spans="462:480" x14ac:dyDescent="0.3">
      <c r="QT6358" s="106"/>
      <c r="QU6358" s="106"/>
      <c r="QV6358" s="106"/>
      <c r="QW6358" s="106"/>
      <c r="QX6358" s="106"/>
      <c r="QY6358" s="106"/>
      <c r="QZ6358" s="106"/>
      <c r="RA6358" s="106"/>
      <c r="RB6358" s="106"/>
      <c r="RC6358" s="106"/>
      <c r="RD6358" s="106"/>
      <c r="RE6358" s="106"/>
      <c r="RF6358" s="106"/>
      <c r="RG6358" s="106"/>
      <c r="RH6358" s="106"/>
      <c r="RI6358" s="106"/>
      <c r="RJ6358" s="106"/>
      <c r="RK6358" s="106"/>
      <c r="RL6358" s="106"/>
    </row>
    <row r="6359" spans="462:480" x14ac:dyDescent="0.3">
      <c r="QT6359" s="106"/>
      <c r="QU6359" s="106"/>
      <c r="QV6359" s="106"/>
      <c r="QW6359" s="106"/>
      <c r="QX6359" s="106"/>
      <c r="QY6359" s="106"/>
      <c r="QZ6359" s="106"/>
      <c r="RA6359" s="106"/>
      <c r="RB6359" s="106"/>
      <c r="RC6359" s="106"/>
      <c r="RD6359" s="106"/>
      <c r="RE6359" s="106"/>
      <c r="RF6359" s="106"/>
      <c r="RG6359" s="106"/>
      <c r="RH6359" s="106"/>
      <c r="RI6359" s="106"/>
      <c r="RJ6359" s="106"/>
      <c r="RK6359" s="106"/>
      <c r="RL6359" s="106"/>
    </row>
    <row r="6360" spans="462:480" x14ac:dyDescent="0.3">
      <c r="QT6360" s="106"/>
      <c r="QU6360" s="106"/>
      <c r="QV6360" s="106"/>
      <c r="QW6360" s="106"/>
      <c r="QX6360" s="106"/>
      <c r="QY6360" s="106"/>
      <c r="QZ6360" s="106"/>
      <c r="RA6360" s="106"/>
      <c r="RB6360" s="106"/>
      <c r="RC6360" s="106"/>
      <c r="RD6360" s="106"/>
      <c r="RE6360" s="106"/>
      <c r="RF6360" s="106"/>
      <c r="RG6360" s="106"/>
      <c r="RH6360" s="106"/>
      <c r="RI6360" s="106"/>
      <c r="RJ6360" s="106"/>
      <c r="RK6360" s="106"/>
      <c r="RL6360" s="106"/>
    </row>
    <row r="6361" spans="462:480" x14ac:dyDescent="0.3">
      <c r="QT6361" s="106"/>
      <c r="QU6361" s="106"/>
      <c r="QV6361" s="106"/>
      <c r="QW6361" s="106"/>
      <c r="QX6361" s="106"/>
      <c r="QY6361" s="106"/>
      <c r="QZ6361" s="106"/>
      <c r="RA6361" s="106"/>
      <c r="RB6361" s="106"/>
      <c r="RC6361" s="106"/>
      <c r="RD6361" s="106"/>
      <c r="RE6361" s="106"/>
      <c r="RF6361" s="106"/>
      <c r="RG6361" s="106"/>
      <c r="RH6361" s="106"/>
      <c r="RI6361" s="106"/>
      <c r="RJ6361" s="106"/>
      <c r="RK6361" s="106"/>
      <c r="RL6361" s="106"/>
    </row>
    <row r="6362" spans="462:480" x14ac:dyDescent="0.3">
      <c r="QT6362" s="106"/>
      <c r="QU6362" s="106"/>
      <c r="QV6362" s="106"/>
      <c r="QW6362" s="106"/>
      <c r="QX6362" s="106"/>
      <c r="QY6362" s="106"/>
      <c r="QZ6362" s="106"/>
      <c r="RA6362" s="106"/>
      <c r="RB6362" s="106"/>
      <c r="RC6362" s="106"/>
      <c r="RD6362" s="106"/>
      <c r="RE6362" s="106"/>
      <c r="RF6362" s="106"/>
      <c r="RG6362" s="106"/>
      <c r="RH6362" s="106"/>
      <c r="RI6362" s="106"/>
      <c r="RJ6362" s="106"/>
      <c r="RK6362" s="106"/>
      <c r="RL6362" s="106"/>
    </row>
    <row r="6363" spans="462:480" x14ac:dyDescent="0.3">
      <c r="QT6363" s="106"/>
      <c r="QU6363" s="106"/>
      <c r="QV6363" s="106"/>
      <c r="QW6363" s="106"/>
      <c r="QX6363" s="106"/>
      <c r="QY6363" s="106"/>
      <c r="QZ6363" s="106"/>
      <c r="RA6363" s="106"/>
      <c r="RB6363" s="106"/>
      <c r="RC6363" s="106"/>
      <c r="RD6363" s="106"/>
      <c r="RE6363" s="106"/>
      <c r="RF6363" s="106"/>
      <c r="RG6363" s="106"/>
      <c r="RH6363" s="106"/>
      <c r="RI6363" s="106"/>
      <c r="RJ6363" s="106"/>
      <c r="RK6363" s="106"/>
      <c r="RL6363" s="106"/>
    </row>
    <row r="6364" spans="462:480" x14ac:dyDescent="0.3">
      <c r="QT6364" s="106"/>
      <c r="QU6364" s="106"/>
      <c r="QV6364" s="106"/>
      <c r="QW6364" s="106"/>
      <c r="QX6364" s="106"/>
      <c r="QY6364" s="106"/>
      <c r="QZ6364" s="106"/>
      <c r="RA6364" s="106"/>
      <c r="RB6364" s="106"/>
      <c r="RC6364" s="106"/>
      <c r="RD6364" s="106"/>
      <c r="RE6364" s="106"/>
      <c r="RF6364" s="106"/>
      <c r="RG6364" s="106"/>
      <c r="RH6364" s="106"/>
      <c r="RI6364" s="106"/>
      <c r="RJ6364" s="106"/>
      <c r="RK6364" s="106"/>
      <c r="RL6364" s="106"/>
    </row>
    <row r="6365" spans="462:480" x14ac:dyDescent="0.3">
      <c r="QT6365" s="106"/>
      <c r="QU6365" s="106"/>
      <c r="QV6365" s="106"/>
      <c r="QW6365" s="106"/>
      <c r="QX6365" s="106"/>
      <c r="QY6365" s="106"/>
      <c r="QZ6365" s="106"/>
      <c r="RA6365" s="106"/>
      <c r="RB6365" s="106"/>
      <c r="RC6365" s="106"/>
      <c r="RD6365" s="106"/>
      <c r="RE6365" s="106"/>
      <c r="RF6365" s="106"/>
      <c r="RG6365" s="106"/>
      <c r="RH6365" s="106"/>
      <c r="RI6365" s="106"/>
      <c r="RJ6365" s="106"/>
      <c r="RK6365" s="106"/>
      <c r="RL6365" s="106"/>
    </row>
    <row r="6366" spans="462:480" x14ac:dyDescent="0.3">
      <c r="QT6366" s="106"/>
      <c r="QU6366" s="106"/>
      <c r="QV6366" s="106"/>
      <c r="QW6366" s="106"/>
      <c r="QX6366" s="106"/>
      <c r="QY6366" s="106"/>
      <c r="QZ6366" s="106"/>
      <c r="RA6366" s="106"/>
      <c r="RB6366" s="106"/>
      <c r="RC6366" s="106"/>
      <c r="RD6366" s="106"/>
      <c r="RE6366" s="106"/>
      <c r="RF6366" s="106"/>
      <c r="RG6366" s="106"/>
      <c r="RH6366" s="106"/>
      <c r="RI6366" s="106"/>
      <c r="RJ6366" s="106"/>
      <c r="RK6366" s="106"/>
      <c r="RL6366" s="106"/>
    </row>
    <row r="6367" spans="462:480" x14ac:dyDescent="0.3">
      <c r="QT6367" s="106"/>
      <c r="QU6367" s="106"/>
      <c r="QV6367" s="106"/>
      <c r="QW6367" s="106"/>
      <c r="QX6367" s="106"/>
      <c r="QY6367" s="106"/>
      <c r="QZ6367" s="106"/>
      <c r="RA6367" s="106"/>
      <c r="RB6367" s="106"/>
      <c r="RC6367" s="106"/>
      <c r="RD6367" s="106"/>
      <c r="RE6367" s="106"/>
      <c r="RF6367" s="106"/>
      <c r="RG6367" s="106"/>
      <c r="RH6367" s="106"/>
      <c r="RI6367" s="106"/>
      <c r="RJ6367" s="106"/>
      <c r="RK6367" s="106"/>
      <c r="RL6367" s="106"/>
    </row>
    <row r="6368" spans="462:480" x14ac:dyDescent="0.3">
      <c r="QT6368" s="106"/>
      <c r="QU6368" s="106"/>
      <c r="QV6368" s="106"/>
      <c r="QW6368" s="106"/>
      <c r="QX6368" s="106"/>
      <c r="QY6368" s="106"/>
      <c r="QZ6368" s="106"/>
      <c r="RA6368" s="106"/>
      <c r="RB6368" s="106"/>
      <c r="RC6368" s="106"/>
      <c r="RD6368" s="106"/>
      <c r="RE6368" s="106"/>
      <c r="RF6368" s="106"/>
      <c r="RG6368" s="106"/>
      <c r="RH6368" s="106"/>
      <c r="RI6368" s="106"/>
      <c r="RJ6368" s="106"/>
      <c r="RK6368" s="106"/>
      <c r="RL6368" s="106"/>
    </row>
    <row r="6369" spans="462:480" x14ac:dyDescent="0.3">
      <c r="QT6369" s="106"/>
      <c r="QU6369" s="106"/>
      <c r="QV6369" s="106"/>
      <c r="QW6369" s="106"/>
      <c r="QX6369" s="106"/>
      <c r="QY6369" s="106"/>
      <c r="QZ6369" s="106"/>
      <c r="RA6369" s="106"/>
      <c r="RB6369" s="106"/>
      <c r="RC6369" s="106"/>
      <c r="RD6369" s="106"/>
      <c r="RE6369" s="106"/>
      <c r="RF6369" s="106"/>
      <c r="RG6369" s="106"/>
      <c r="RH6369" s="106"/>
      <c r="RI6369" s="106"/>
      <c r="RJ6369" s="106"/>
      <c r="RK6369" s="106"/>
      <c r="RL6369" s="106"/>
    </row>
    <row r="6370" spans="462:480" x14ac:dyDescent="0.3">
      <c r="QT6370" s="106"/>
      <c r="QU6370" s="106"/>
      <c r="QV6370" s="106"/>
      <c r="QW6370" s="106"/>
      <c r="QX6370" s="106"/>
      <c r="QY6370" s="106"/>
      <c r="QZ6370" s="106"/>
      <c r="RA6370" s="106"/>
      <c r="RB6370" s="106"/>
      <c r="RC6370" s="106"/>
      <c r="RD6370" s="106"/>
      <c r="RE6370" s="106"/>
      <c r="RF6370" s="106"/>
      <c r="RG6370" s="106"/>
      <c r="RH6370" s="106"/>
      <c r="RI6370" s="106"/>
      <c r="RJ6370" s="106"/>
      <c r="RK6370" s="106"/>
      <c r="RL6370" s="106"/>
    </row>
    <row r="6371" spans="462:480" x14ac:dyDescent="0.3">
      <c r="QT6371" s="106"/>
      <c r="QU6371" s="106"/>
      <c r="QV6371" s="106"/>
      <c r="QW6371" s="106"/>
      <c r="QX6371" s="106"/>
      <c r="QY6371" s="106"/>
      <c r="QZ6371" s="106"/>
      <c r="RA6371" s="106"/>
      <c r="RB6371" s="106"/>
      <c r="RC6371" s="106"/>
      <c r="RD6371" s="106"/>
      <c r="RE6371" s="106"/>
      <c r="RF6371" s="106"/>
      <c r="RG6371" s="106"/>
      <c r="RH6371" s="106"/>
      <c r="RI6371" s="106"/>
      <c r="RJ6371" s="106"/>
      <c r="RK6371" s="106"/>
      <c r="RL6371" s="106"/>
    </row>
    <row r="6372" spans="462:480" x14ac:dyDescent="0.3">
      <c r="QT6372" s="106"/>
      <c r="QU6372" s="106"/>
      <c r="QV6372" s="106"/>
      <c r="QW6372" s="106"/>
      <c r="QX6372" s="106"/>
      <c r="QY6372" s="106"/>
      <c r="QZ6372" s="106"/>
      <c r="RA6372" s="106"/>
      <c r="RB6372" s="106"/>
      <c r="RC6372" s="106"/>
      <c r="RD6372" s="106"/>
      <c r="RE6372" s="106"/>
      <c r="RF6372" s="106"/>
      <c r="RG6372" s="106"/>
      <c r="RH6372" s="106"/>
      <c r="RI6372" s="106"/>
      <c r="RJ6372" s="106"/>
      <c r="RK6372" s="106"/>
      <c r="RL6372" s="106"/>
    </row>
    <row r="6373" spans="462:480" x14ac:dyDescent="0.3">
      <c r="QT6373" s="106"/>
      <c r="QU6373" s="106"/>
      <c r="QV6373" s="106"/>
      <c r="QW6373" s="106"/>
      <c r="QX6373" s="106"/>
      <c r="QY6373" s="106"/>
      <c r="QZ6373" s="106"/>
      <c r="RA6373" s="106"/>
      <c r="RB6373" s="106"/>
      <c r="RC6373" s="106"/>
      <c r="RD6373" s="106"/>
      <c r="RE6373" s="106"/>
      <c r="RF6373" s="106"/>
      <c r="RG6373" s="106"/>
      <c r="RH6373" s="106"/>
      <c r="RI6373" s="106"/>
      <c r="RJ6373" s="106"/>
      <c r="RK6373" s="106"/>
      <c r="RL6373" s="106"/>
    </row>
    <row r="6374" spans="462:480" x14ac:dyDescent="0.3">
      <c r="QT6374" s="106"/>
      <c r="QU6374" s="106"/>
      <c r="QV6374" s="106"/>
      <c r="QW6374" s="106"/>
      <c r="QX6374" s="106"/>
      <c r="QY6374" s="106"/>
      <c r="QZ6374" s="106"/>
      <c r="RA6374" s="106"/>
      <c r="RB6374" s="106"/>
      <c r="RC6374" s="106"/>
      <c r="RD6374" s="106"/>
      <c r="RE6374" s="106"/>
      <c r="RF6374" s="106"/>
      <c r="RG6374" s="106"/>
      <c r="RH6374" s="106"/>
      <c r="RI6374" s="106"/>
      <c r="RJ6374" s="106"/>
      <c r="RK6374" s="106"/>
      <c r="RL6374" s="106"/>
    </row>
    <row r="6375" spans="462:480" x14ac:dyDescent="0.3">
      <c r="QT6375" s="106"/>
      <c r="QU6375" s="106"/>
      <c r="QV6375" s="106"/>
      <c r="QW6375" s="106"/>
      <c r="QX6375" s="106"/>
      <c r="QY6375" s="106"/>
      <c r="QZ6375" s="106"/>
      <c r="RA6375" s="106"/>
      <c r="RB6375" s="106"/>
      <c r="RC6375" s="106"/>
      <c r="RD6375" s="106"/>
      <c r="RE6375" s="106"/>
      <c r="RF6375" s="106"/>
      <c r="RG6375" s="106"/>
      <c r="RH6375" s="106"/>
      <c r="RI6375" s="106"/>
      <c r="RJ6375" s="106"/>
      <c r="RK6375" s="106"/>
      <c r="RL6375" s="106"/>
    </row>
    <row r="6376" spans="462:480" x14ac:dyDescent="0.3">
      <c r="QT6376" s="106"/>
      <c r="QU6376" s="106"/>
      <c r="QV6376" s="106"/>
      <c r="QW6376" s="106"/>
      <c r="QX6376" s="106"/>
      <c r="QY6376" s="106"/>
      <c r="QZ6376" s="106"/>
      <c r="RA6376" s="106"/>
      <c r="RB6376" s="106"/>
      <c r="RC6376" s="106"/>
      <c r="RD6376" s="106"/>
      <c r="RE6376" s="106"/>
      <c r="RF6376" s="106"/>
      <c r="RG6376" s="106"/>
      <c r="RH6376" s="106"/>
      <c r="RI6376" s="106"/>
      <c r="RJ6376" s="106"/>
      <c r="RK6376" s="106"/>
      <c r="RL6376" s="106"/>
    </row>
    <row r="6377" spans="462:480" x14ac:dyDescent="0.3">
      <c r="QT6377" s="106"/>
      <c r="QU6377" s="106"/>
      <c r="QV6377" s="106"/>
      <c r="QW6377" s="106"/>
      <c r="QX6377" s="106"/>
      <c r="QY6377" s="106"/>
      <c r="QZ6377" s="106"/>
      <c r="RA6377" s="106"/>
      <c r="RB6377" s="106"/>
      <c r="RC6377" s="106"/>
      <c r="RD6377" s="106"/>
      <c r="RE6377" s="106"/>
      <c r="RF6377" s="106"/>
      <c r="RG6377" s="106"/>
      <c r="RH6377" s="106"/>
      <c r="RI6377" s="106"/>
      <c r="RJ6377" s="106"/>
      <c r="RK6377" s="106"/>
      <c r="RL6377" s="106"/>
    </row>
    <row r="6378" spans="462:480" x14ac:dyDescent="0.3">
      <c r="QT6378" s="106"/>
      <c r="QU6378" s="106"/>
      <c r="QV6378" s="106"/>
      <c r="QW6378" s="106"/>
      <c r="QX6378" s="106"/>
      <c r="QY6378" s="106"/>
      <c r="QZ6378" s="106"/>
      <c r="RA6378" s="106"/>
      <c r="RB6378" s="106"/>
      <c r="RC6378" s="106"/>
      <c r="RD6378" s="106"/>
      <c r="RE6378" s="106"/>
      <c r="RF6378" s="106"/>
      <c r="RG6378" s="106"/>
      <c r="RH6378" s="106"/>
      <c r="RI6378" s="106"/>
      <c r="RJ6378" s="106"/>
      <c r="RK6378" s="106"/>
      <c r="RL6378" s="106"/>
    </row>
    <row r="6379" spans="462:480" x14ac:dyDescent="0.3">
      <c r="QT6379" s="106"/>
      <c r="QU6379" s="106"/>
      <c r="QV6379" s="106"/>
      <c r="QW6379" s="106"/>
      <c r="QX6379" s="106"/>
      <c r="QY6379" s="106"/>
      <c r="QZ6379" s="106"/>
      <c r="RA6379" s="106"/>
      <c r="RB6379" s="106"/>
      <c r="RC6379" s="106"/>
      <c r="RD6379" s="106"/>
      <c r="RE6379" s="106"/>
      <c r="RF6379" s="106"/>
      <c r="RG6379" s="106"/>
      <c r="RH6379" s="106"/>
      <c r="RI6379" s="106"/>
      <c r="RJ6379" s="106"/>
      <c r="RK6379" s="106"/>
      <c r="RL6379" s="106"/>
    </row>
    <row r="6380" spans="462:480" x14ac:dyDescent="0.3">
      <c r="QT6380" s="106"/>
      <c r="QU6380" s="106"/>
      <c r="QV6380" s="106"/>
      <c r="QW6380" s="106"/>
      <c r="QX6380" s="106"/>
      <c r="QY6380" s="106"/>
      <c r="QZ6380" s="106"/>
      <c r="RA6380" s="106"/>
      <c r="RB6380" s="106"/>
      <c r="RC6380" s="106"/>
      <c r="RD6380" s="106"/>
      <c r="RE6380" s="106"/>
      <c r="RF6380" s="106"/>
      <c r="RG6380" s="106"/>
      <c r="RH6380" s="106"/>
      <c r="RI6380" s="106"/>
      <c r="RJ6380" s="106"/>
      <c r="RK6380" s="106"/>
      <c r="RL6380" s="106"/>
    </row>
    <row r="6381" spans="462:480" x14ac:dyDescent="0.3">
      <c r="QT6381" s="106"/>
      <c r="QU6381" s="106"/>
      <c r="QV6381" s="106"/>
      <c r="QW6381" s="106"/>
      <c r="QX6381" s="106"/>
      <c r="QY6381" s="106"/>
      <c r="QZ6381" s="106"/>
      <c r="RA6381" s="106"/>
      <c r="RB6381" s="106"/>
      <c r="RC6381" s="106"/>
      <c r="RD6381" s="106"/>
      <c r="RE6381" s="106"/>
      <c r="RF6381" s="106"/>
      <c r="RG6381" s="106"/>
      <c r="RH6381" s="106"/>
      <c r="RI6381" s="106"/>
      <c r="RJ6381" s="106"/>
      <c r="RK6381" s="106"/>
      <c r="RL6381" s="106"/>
    </row>
    <row r="6382" spans="462:480" x14ac:dyDescent="0.3">
      <c r="QT6382" s="106"/>
      <c r="QU6382" s="106"/>
      <c r="QV6382" s="106"/>
      <c r="QW6382" s="106"/>
      <c r="QX6382" s="106"/>
      <c r="QY6382" s="106"/>
      <c r="QZ6382" s="106"/>
      <c r="RA6382" s="106"/>
      <c r="RB6382" s="106"/>
      <c r="RC6382" s="106"/>
      <c r="RD6382" s="106"/>
      <c r="RE6382" s="106"/>
      <c r="RF6382" s="106"/>
      <c r="RG6382" s="106"/>
      <c r="RH6382" s="106"/>
      <c r="RI6382" s="106"/>
      <c r="RJ6382" s="106"/>
      <c r="RK6382" s="106"/>
      <c r="RL6382" s="106"/>
    </row>
    <row r="6383" spans="462:480" x14ac:dyDescent="0.3">
      <c r="QT6383" s="106"/>
      <c r="QU6383" s="106"/>
      <c r="QV6383" s="106"/>
      <c r="QW6383" s="106"/>
      <c r="QX6383" s="106"/>
      <c r="QY6383" s="106"/>
      <c r="QZ6383" s="106"/>
      <c r="RA6383" s="106"/>
      <c r="RB6383" s="106"/>
      <c r="RC6383" s="106"/>
      <c r="RD6383" s="106"/>
      <c r="RE6383" s="106"/>
      <c r="RF6383" s="106"/>
      <c r="RG6383" s="106"/>
      <c r="RH6383" s="106"/>
      <c r="RI6383" s="106"/>
      <c r="RJ6383" s="106"/>
      <c r="RK6383" s="106"/>
      <c r="RL6383" s="106"/>
    </row>
    <row r="6384" spans="462:480" x14ac:dyDescent="0.3">
      <c r="QT6384" s="106"/>
      <c r="QU6384" s="106"/>
      <c r="QV6384" s="106"/>
      <c r="QW6384" s="106"/>
      <c r="QX6384" s="106"/>
      <c r="QY6384" s="106"/>
      <c r="QZ6384" s="106"/>
      <c r="RA6384" s="106"/>
      <c r="RB6384" s="106"/>
      <c r="RC6384" s="106"/>
      <c r="RD6384" s="106"/>
      <c r="RE6384" s="106"/>
      <c r="RF6384" s="106"/>
      <c r="RG6384" s="106"/>
      <c r="RH6384" s="106"/>
      <c r="RI6384" s="106"/>
      <c r="RJ6384" s="106"/>
      <c r="RK6384" s="106"/>
      <c r="RL6384" s="106"/>
    </row>
    <row r="6385" spans="462:480" x14ac:dyDescent="0.3">
      <c r="QT6385" s="106"/>
      <c r="QU6385" s="106"/>
      <c r="QV6385" s="106"/>
      <c r="QW6385" s="106"/>
      <c r="QX6385" s="106"/>
      <c r="QY6385" s="106"/>
      <c r="QZ6385" s="106"/>
      <c r="RA6385" s="106"/>
      <c r="RB6385" s="106"/>
      <c r="RC6385" s="106"/>
      <c r="RD6385" s="106"/>
      <c r="RE6385" s="106"/>
      <c r="RF6385" s="106"/>
      <c r="RG6385" s="106"/>
      <c r="RH6385" s="106"/>
      <c r="RI6385" s="106"/>
      <c r="RJ6385" s="106"/>
      <c r="RK6385" s="106"/>
      <c r="RL6385" s="106"/>
    </row>
    <row r="6386" spans="462:480" x14ac:dyDescent="0.3">
      <c r="QT6386" s="106"/>
      <c r="QU6386" s="106"/>
      <c r="QV6386" s="106"/>
      <c r="QW6386" s="106"/>
      <c r="QX6386" s="106"/>
      <c r="QY6386" s="106"/>
      <c r="QZ6386" s="106"/>
      <c r="RA6386" s="106"/>
      <c r="RB6386" s="106"/>
      <c r="RC6386" s="106"/>
      <c r="RD6386" s="106"/>
      <c r="RE6386" s="106"/>
      <c r="RF6386" s="106"/>
      <c r="RG6386" s="106"/>
      <c r="RH6386" s="106"/>
      <c r="RI6386" s="106"/>
      <c r="RJ6386" s="106"/>
      <c r="RK6386" s="106"/>
      <c r="RL6386" s="106"/>
    </row>
    <row r="6387" spans="462:480" x14ac:dyDescent="0.3">
      <c r="QT6387" s="106"/>
      <c r="QU6387" s="106"/>
      <c r="QV6387" s="106"/>
      <c r="QW6387" s="106"/>
      <c r="QX6387" s="106"/>
      <c r="QY6387" s="106"/>
      <c r="QZ6387" s="106"/>
      <c r="RA6387" s="106"/>
      <c r="RB6387" s="106"/>
      <c r="RC6387" s="106"/>
      <c r="RD6387" s="106"/>
      <c r="RE6387" s="106"/>
      <c r="RF6387" s="106"/>
      <c r="RG6387" s="106"/>
      <c r="RH6387" s="106"/>
      <c r="RI6387" s="106"/>
      <c r="RJ6387" s="106"/>
      <c r="RK6387" s="106"/>
      <c r="RL6387" s="106"/>
    </row>
    <row r="6388" spans="462:480" x14ac:dyDescent="0.3">
      <c r="QT6388" s="106"/>
      <c r="QU6388" s="106"/>
      <c r="QV6388" s="106"/>
      <c r="QW6388" s="106"/>
      <c r="QX6388" s="106"/>
      <c r="QY6388" s="106"/>
      <c r="QZ6388" s="106"/>
      <c r="RA6388" s="106"/>
      <c r="RB6388" s="106"/>
      <c r="RC6388" s="106"/>
      <c r="RD6388" s="106"/>
      <c r="RE6388" s="106"/>
      <c r="RF6388" s="106"/>
      <c r="RG6388" s="106"/>
      <c r="RH6388" s="106"/>
      <c r="RI6388" s="106"/>
      <c r="RJ6388" s="106"/>
      <c r="RK6388" s="106"/>
      <c r="RL6388" s="106"/>
    </row>
    <row r="6389" spans="462:480" x14ac:dyDescent="0.3">
      <c r="QT6389" s="106"/>
      <c r="QU6389" s="106"/>
      <c r="QV6389" s="106"/>
      <c r="QW6389" s="106"/>
      <c r="QX6389" s="106"/>
      <c r="QY6389" s="106"/>
      <c r="QZ6389" s="106"/>
      <c r="RA6389" s="106"/>
      <c r="RB6389" s="106"/>
      <c r="RC6389" s="106"/>
      <c r="RD6389" s="106"/>
      <c r="RE6389" s="106"/>
      <c r="RF6389" s="106"/>
      <c r="RG6389" s="106"/>
      <c r="RH6389" s="106"/>
      <c r="RI6389" s="106"/>
      <c r="RJ6389" s="106"/>
      <c r="RK6389" s="106"/>
      <c r="RL6389" s="106"/>
    </row>
    <row r="6390" spans="462:480" x14ac:dyDescent="0.3">
      <c r="QT6390" s="106"/>
      <c r="QU6390" s="106"/>
      <c r="QV6390" s="106"/>
      <c r="QW6390" s="106"/>
      <c r="QX6390" s="106"/>
      <c r="QY6390" s="106"/>
      <c r="QZ6390" s="106"/>
      <c r="RA6390" s="106"/>
      <c r="RB6390" s="106"/>
      <c r="RC6390" s="106"/>
      <c r="RD6390" s="106"/>
      <c r="RE6390" s="106"/>
      <c r="RF6390" s="106"/>
      <c r="RG6390" s="106"/>
      <c r="RH6390" s="106"/>
      <c r="RI6390" s="106"/>
      <c r="RJ6390" s="106"/>
      <c r="RK6390" s="106"/>
      <c r="RL6390" s="106"/>
    </row>
    <row r="6391" spans="462:480" x14ac:dyDescent="0.3">
      <c r="QT6391" s="106"/>
      <c r="QU6391" s="106"/>
      <c r="QV6391" s="106"/>
      <c r="QW6391" s="106"/>
      <c r="QX6391" s="106"/>
      <c r="QY6391" s="106"/>
      <c r="QZ6391" s="106"/>
      <c r="RA6391" s="106"/>
      <c r="RB6391" s="106"/>
      <c r="RC6391" s="106"/>
      <c r="RD6391" s="106"/>
      <c r="RE6391" s="106"/>
      <c r="RF6391" s="106"/>
      <c r="RG6391" s="106"/>
      <c r="RH6391" s="106"/>
      <c r="RI6391" s="106"/>
      <c r="RJ6391" s="106"/>
      <c r="RK6391" s="106"/>
      <c r="RL6391" s="106"/>
    </row>
    <row r="6392" spans="462:480" x14ac:dyDescent="0.3">
      <c r="QT6392" s="106"/>
      <c r="QU6392" s="106"/>
      <c r="QV6392" s="106"/>
      <c r="QW6392" s="106"/>
      <c r="QX6392" s="106"/>
      <c r="QY6392" s="106"/>
      <c r="QZ6392" s="106"/>
      <c r="RA6392" s="106"/>
      <c r="RB6392" s="106"/>
      <c r="RC6392" s="106"/>
      <c r="RD6392" s="106"/>
      <c r="RE6392" s="106"/>
      <c r="RF6392" s="106"/>
      <c r="RG6392" s="106"/>
      <c r="RH6392" s="106"/>
      <c r="RI6392" s="106"/>
      <c r="RJ6392" s="106"/>
      <c r="RK6392" s="106"/>
      <c r="RL6392" s="106"/>
    </row>
    <row r="6393" spans="462:480" x14ac:dyDescent="0.3">
      <c r="QT6393" s="106"/>
      <c r="QU6393" s="106"/>
      <c r="QV6393" s="106"/>
      <c r="QW6393" s="106"/>
      <c r="QX6393" s="106"/>
      <c r="QY6393" s="106"/>
      <c r="QZ6393" s="106"/>
      <c r="RA6393" s="106"/>
      <c r="RB6393" s="106"/>
      <c r="RC6393" s="106"/>
      <c r="RD6393" s="106"/>
      <c r="RE6393" s="106"/>
      <c r="RF6393" s="106"/>
      <c r="RG6393" s="106"/>
      <c r="RH6393" s="106"/>
      <c r="RI6393" s="106"/>
      <c r="RJ6393" s="106"/>
      <c r="RK6393" s="106"/>
      <c r="RL6393" s="106"/>
    </row>
    <row r="6394" spans="462:480" x14ac:dyDescent="0.3">
      <c r="QT6394" s="106"/>
      <c r="QU6394" s="106"/>
      <c r="QV6394" s="106"/>
      <c r="QW6394" s="106"/>
      <c r="QX6394" s="106"/>
      <c r="QY6394" s="106"/>
      <c r="QZ6394" s="106"/>
      <c r="RA6394" s="106"/>
      <c r="RB6394" s="106"/>
      <c r="RC6394" s="106"/>
      <c r="RD6394" s="106"/>
      <c r="RE6394" s="106"/>
      <c r="RF6394" s="106"/>
      <c r="RG6394" s="106"/>
      <c r="RH6394" s="106"/>
      <c r="RI6394" s="106"/>
      <c r="RJ6394" s="106"/>
      <c r="RK6394" s="106"/>
      <c r="RL6394" s="106"/>
    </row>
    <row r="6395" spans="462:480" x14ac:dyDescent="0.3">
      <c r="QT6395" s="106"/>
      <c r="QU6395" s="106"/>
      <c r="QV6395" s="106"/>
      <c r="QW6395" s="106"/>
      <c r="QX6395" s="106"/>
      <c r="QY6395" s="106"/>
      <c r="QZ6395" s="106"/>
      <c r="RA6395" s="106"/>
      <c r="RB6395" s="106"/>
      <c r="RC6395" s="106"/>
      <c r="RD6395" s="106"/>
      <c r="RE6395" s="106"/>
      <c r="RF6395" s="106"/>
      <c r="RG6395" s="106"/>
      <c r="RH6395" s="106"/>
      <c r="RI6395" s="106"/>
      <c r="RJ6395" s="106"/>
      <c r="RK6395" s="106"/>
      <c r="RL6395" s="106"/>
    </row>
    <row r="6396" spans="462:480" x14ac:dyDescent="0.3">
      <c r="QT6396" s="106"/>
      <c r="QU6396" s="106"/>
      <c r="QV6396" s="106"/>
      <c r="QW6396" s="106"/>
      <c r="QX6396" s="106"/>
      <c r="QY6396" s="106"/>
      <c r="QZ6396" s="106"/>
      <c r="RA6396" s="106"/>
      <c r="RB6396" s="106"/>
      <c r="RC6396" s="106"/>
      <c r="RD6396" s="106"/>
      <c r="RE6396" s="106"/>
      <c r="RF6396" s="106"/>
      <c r="RG6396" s="106"/>
      <c r="RH6396" s="106"/>
      <c r="RI6396" s="106"/>
      <c r="RJ6396" s="106"/>
      <c r="RK6396" s="106"/>
      <c r="RL6396" s="106"/>
    </row>
    <row r="6397" spans="462:480" x14ac:dyDescent="0.3">
      <c r="QT6397" s="106"/>
      <c r="QU6397" s="106"/>
      <c r="QV6397" s="106"/>
      <c r="QW6397" s="106"/>
      <c r="QX6397" s="106"/>
      <c r="QY6397" s="106"/>
      <c r="QZ6397" s="106"/>
      <c r="RA6397" s="106"/>
      <c r="RB6397" s="106"/>
      <c r="RC6397" s="106"/>
      <c r="RD6397" s="106"/>
      <c r="RE6397" s="106"/>
      <c r="RF6397" s="106"/>
      <c r="RG6397" s="106"/>
      <c r="RH6397" s="106"/>
      <c r="RI6397" s="106"/>
      <c r="RJ6397" s="106"/>
      <c r="RK6397" s="106"/>
      <c r="RL6397" s="106"/>
    </row>
    <row r="6398" spans="462:480" x14ac:dyDescent="0.3">
      <c r="QT6398" s="106"/>
      <c r="QU6398" s="106"/>
      <c r="QV6398" s="106"/>
      <c r="QW6398" s="106"/>
      <c r="QX6398" s="106"/>
      <c r="QY6398" s="106"/>
      <c r="QZ6398" s="106"/>
      <c r="RA6398" s="106"/>
      <c r="RB6398" s="106"/>
      <c r="RC6398" s="106"/>
      <c r="RD6398" s="106"/>
      <c r="RE6398" s="106"/>
      <c r="RF6398" s="106"/>
      <c r="RG6398" s="106"/>
      <c r="RH6398" s="106"/>
      <c r="RI6398" s="106"/>
      <c r="RJ6398" s="106"/>
      <c r="RK6398" s="106"/>
      <c r="RL6398" s="106"/>
    </row>
    <row r="6399" spans="462:480" x14ac:dyDescent="0.3">
      <c r="QT6399" s="106"/>
      <c r="QU6399" s="106"/>
      <c r="QV6399" s="106"/>
      <c r="QW6399" s="106"/>
      <c r="QX6399" s="106"/>
      <c r="QY6399" s="106"/>
      <c r="QZ6399" s="106"/>
      <c r="RA6399" s="106"/>
      <c r="RB6399" s="106"/>
      <c r="RC6399" s="106"/>
      <c r="RD6399" s="106"/>
      <c r="RE6399" s="106"/>
      <c r="RF6399" s="106"/>
      <c r="RG6399" s="106"/>
      <c r="RH6399" s="106"/>
      <c r="RI6399" s="106"/>
      <c r="RJ6399" s="106"/>
      <c r="RK6399" s="106"/>
      <c r="RL6399" s="106"/>
    </row>
    <row r="6400" spans="462:480" x14ac:dyDescent="0.3">
      <c r="QT6400" s="106"/>
      <c r="QU6400" s="106"/>
      <c r="QV6400" s="106"/>
      <c r="QW6400" s="106"/>
      <c r="QX6400" s="106"/>
      <c r="QY6400" s="106"/>
      <c r="QZ6400" s="106"/>
      <c r="RA6400" s="106"/>
      <c r="RB6400" s="106"/>
      <c r="RC6400" s="106"/>
      <c r="RD6400" s="106"/>
      <c r="RE6400" s="106"/>
      <c r="RF6400" s="106"/>
      <c r="RG6400" s="106"/>
      <c r="RH6400" s="106"/>
      <c r="RI6400" s="106"/>
      <c r="RJ6400" s="106"/>
      <c r="RK6400" s="106"/>
      <c r="RL6400" s="106"/>
    </row>
    <row r="6401" spans="462:480" x14ac:dyDescent="0.3">
      <c r="QT6401" s="106"/>
      <c r="QU6401" s="106"/>
      <c r="QV6401" s="106"/>
      <c r="QW6401" s="106"/>
      <c r="QX6401" s="106"/>
      <c r="QY6401" s="106"/>
      <c r="QZ6401" s="106"/>
      <c r="RA6401" s="106"/>
      <c r="RB6401" s="106"/>
      <c r="RC6401" s="106"/>
      <c r="RD6401" s="106"/>
      <c r="RE6401" s="106"/>
      <c r="RF6401" s="106"/>
      <c r="RG6401" s="106"/>
      <c r="RH6401" s="106"/>
      <c r="RI6401" s="106"/>
      <c r="RJ6401" s="106"/>
      <c r="RK6401" s="106"/>
      <c r="RL6401" s="106"/>
    </row>
    <row r="6402" spans="462:480" x14ac:dyDescent="0.3">
      <c r="QT6402" s="106"/>
      <c r="QU6402" s="106"/>
      <c r="QV6402" s="106"/>
      <c r="QW6402" s="106"/>
      <c r="QX6402" s="106"/>
      <c r="QY6402" s="106"/>
      <c r="QZ6402" s="106"/>
      <c r="RA6402" s="106"/>
      <c r="RB6402" s="106"/>
      <c r="RC6402" s="106"/>
      <c r="RD6402" s="106"/>
      <c r="RE6402" s="106"/>
      <c r="RF6402" s="106"/>
      <c r="RG6402" s="106"/>
      <c r="RH6402" s="106"/>
      <c r="RI6402" s="106"/>
      <c r="RJ6402" s="106"/>
      <c r="RK6402" s="106"/>
      <c r="RL6402" s="106"/>
    </row>
    <row r="6403" spans="462:480" x14ac:dyDescent="0.3">
      <c r="QT6403" s="106"/>
      <c r="QU6403" s="106"/>
      <c r="QV6403" s="106"/>
      <c r="QW6403" s="106"/>
      <c r="QX6403" s="106"/>
      <c r="QY6403" s="106"/>
      <c r="QZ6403" s="106"/>
      <c r="RA6403" s="106"/>
      <c r="RB6403" s="106"/>
      <c r="RC6403" s="106"/>
      <c r="RD6403" s="106"/>
      <c r="RE6403" s="106"/>
      <c r="RF6403" s="106"/>
      <c r="RG6403" s="106"/>
      <c r="RH6403" s="106"/>
      <c r="RI6403" s="106"/>
      <c r="RJ6403" s="106"/>
      <c r="RK6403" s="106"/>
      <c r="RL6403" s="106"/>
    </row>
    <row r="6404" spans="462:480" x14ac:dyDescent="0.3">
      <c r="QT6404" s="106"/>
      <c r="QU6404" s="106"/>
      <c r="QV6404" s="106"/>
      <c r="QW6404" s="106"/>
      <c r="QX6404" s="106"/>
      <c r="QY6404" s="106"/>
      <c r="QZ6404" s="106"/>
      <c r="RA6404" s="106"/>
      <c r="RB6404" s="106"/>
      <c r="RC6404" s="106"/>
      <c r="RD6404" s="106"/>
      <c r="RE6404" s="106"/>
      <c r="RF6404" s="106"/>
      <c r="RG6404" s="106"/>
      <c r="RH6404" s="106"/>
      <c r="RI6404" s="106"/>
      <c r="RJ6404" s="106"/>
      <c r="RK6404" s="106"/>
      <c r="RL6404" s="106"/>
    </row>
    <row r="6405" spans="462:480" x14ac:dyDescent="0.3">
      <c r="QT6405" s="106"/>
      <c r="QU6405" s="106"/>
      <c r="QV6405" s="106"/>
      <c r="QW6405" s="106"/>
      <c r="QX6405" s="106"/>
      <c r="QY6405" s="106"/>
      <c r="QZ6405" s="106"/>
      <c r="RA6405" s="106"/>
      <c r="RB6405" s="106"/>
      <c r="RC6405" s="106"/>
      <c r="RD6405" s="106"/>
      <c r="RE6405" s="106"/>
      <c r="RF6405" s="106"/>
      <c r="RG6405" s="106"/>
      <c r="RH6405" s="106"/>
      <c r="RI6405" s="106"/>
      <c r="RJ6405" s="106"/>
      <c r="RK6405" s="106"/>
      <c r="RL6405" s="106"/>
    </row>
    <row r="6406" spans="462:480" x14ac:dyDescent="0.3">
      <c r="QT6406" s="106"/>
      <c r="QU6406" s="106"/>
      <c r="QV6406" s="106"/>
      <c r="QW6406" s="106"/>
      <c r="QX6406" s="106"/>
      <c r="QY6406" s="106"/>
      <c r="QZ6406" s="106"/>
      <c r="RA6406" s="106"/>
      <c r="RB6406" s="106"/>
      <c r="RC6406" s="106"/>
      <c r="RD6406" s="106"/>
      <c r="RE6406" s="106"/>
      <c r="RF6406" s="106"/>
      <c r="RG6406" s="106"/>
      <c r="RH6406" s="106"/>
      <c r="RI6406" s="106"/>
      <c r="RJ6406" s="106"/>
      <c r="RK6406" s="106"/>
      <c r="RL6406" s="106"/>
    </row>
    <row r="6407" spans="462:480" x14ac:dyDescent="0.3">
      <c r="QT6407" s="106"/>
      <c r="QU6407" s="106"/>
      <c r="QV6407" s="106"/>
      <c r="QW6407" s="106"/>
      <c r="QX6407" s="106"/>
      <c r="QY6407" s="106"/>
      <c r="QZ6407" s="106"/>
      <c r="RA6407" s="106"/>
      <c r="RB6407" s="106"/>
      <c r="RC6407" s="106"/>
      <c r="RD6407" s="106"/>
      <c r="RE6407" s="106"/>
      <c r="RF6407" s="106"/>
      <c r="RG6407" s="106"/>
      <c r="RH6407" s="106"/>
      <c r="RI6407" s="106"/>
      <c r="RJ6407" s="106"/>
      <c r="RK6407" s="106"/>
      <c r="RL6407" s="106"/>
    </row>
    <row r="6408" spans="462:480" x14ac:dyDescent="0.3">
      <c r="QT6408" s="106"/>
      <c r="QU6408" s="106"/>
      <c r="QV6408" s="106"/>
      <c r="QW6408" s="106"/>
      <c r="QX6408" s="106"/>
      <c r="QY6408" s="106"/>
      <c r="QZ6408" s="106"/>
      <c r="RA6408" s="106"/>
      <c r="RB6408" s="106"/>
      <c r="RC6408" s="106"/>
      <c r="RD6408" s="106"/>
      <c r="RE6408" s="106"/>
      <c r="RF6408" s="106"/>
      <c r="RG6408" s="106"/>
      <c r="RH6408" s="106"/>
      <c r="RI6408" s="106"/>
      <c r="RJ6408" s="106"/>
      <c r="RK6408" s="106"/>
      <c r="RL6408" s="106"/>
    </row>
    <row r="6409" spans="462:480" x14ac:dyDescent="0.3">
      <c r="QT6409" s="106"/>
      <c r="QU6409" s="106"/>
      <c r="QV6409" s="106"/>
      <c r="QW6409" s="106"/>
      <c r="QX6409" s="106"/>
      <c r="QY6409" s="106"/>
      <c r="QZ6409" s="106"/>
      <c r="RA6409" s="106"/>
      <c r="RB6409" s="106"/>
      <c r="RC6409" s="106"/>
      <c r="RD6409" s="106"/>
      <c r="RE6409" s="106"/>
      <c r="RF6409" s="106"/>
      <c r="RG6409" s="106"/>
      <c r="RH6409" s="106"/>
      <c r="RI6409" s="106"/>
      <c r="RJ6409" s="106"/>
      <c r="RK6409" s="106"/>
      <c r="RL6409" s="106"/>
    </row>
    <row r="6410" spans="462:480" x14ac:dyDescent="0.3">
      <c r="QT6410" s="106"/>
      <c r="QU6410" s="106"/>
      <c r="QV6410" s="106"/>
      <c r="QW6410" s="106"/>
      <c r="QX6410" s="106"/>
      <c r="QY6410" s="106"/>
      <c r="QZ6410" s="106"/>
      <c r="RA6410" s="106"/>
      <c r="RB6410" s="106"/>
      <c r="RC6410" s="106"/>
      <c r="RD6410" s="106"/>
      <c r="RE6410" s="106"/>
      <c r="RF6410" s="106"/>
      <c r="RG6410" s="106"/>
      <c r="RH6410" s="106"/>
      <c r="RI6410" s="106"/>
      <c r="RJ6410" s="106"/>
      <c r="RK6410" s="106"/>
      <c r="RL6410" s="106"/>
    </row>
    <row r="6411" spans="462:480" x14ac:dyDescent="0.3">
      <c r="QT6411" s="106"/>
      <c r="QU6411" s="106"/>
      <c r="QV6411" s="106"/>
      <c r="QW6411" s="106"/>
      <c r="QX6411" s="106"/>
      <c r="QY6411" s="106"/>
      <c r="QZ6411" s="106"/>
      <c r="RA6411" s="106"/>
      <c r="RB6411" s="106"/>
      <c r="RC6411" s="106"/>
      <c r="RD6411" s="106"/>
      <c r="RE6411" s="106"/>
      <c r="RF6411" s="106"/>
      <c r="RG6411" s="106"/>
      <c r="RH6411" s="106"/>
      <c r="RI6411" s="106"/>
      <c r="RJ6411" s="106"/>
      <c r="RK6411" s="106"/>
      <c r="RL6411" s="106"/>
    </row>
    <row r="6412" spans="462:480" x14ac:dyDescent="0.3">
      <c r="QT6412" s="106"/>
      <c r="QU6412" s="106"/>
      <c r="QV6412" s="106"/>
      <c r="QW6412" s="106"/>
      <c r="QX6412" s="106"/>
      <c r="QY6412" s="106"/>
      <c r="QZ6412" s="106"/>
      <c r="RA6412" s="106"/>
      <c r="RB6412" s="106"/>
      <c r="RC6412" s="106"/>
      <c r="RD6412" s="106"/>
      <c r="RE6412" s="106"/>
      <c r="RF6412" s="106"/>
      <c r="RG6412" s="106"/>
      <c r="RH6412" s="106"/>
      <c r="RI6412" s="106"/>
      <c r="RJ6412" s="106"/>
      <c r="RK6412" s="106"/>
      <c r="RL6412" s="106"/>
    </row>
    <row r="6413" spans="462:480" x14ac:dyDescent="0.3">
      <c r="QT6413" s="106"/>
      <c r="QU6413" s="106"/>
      <c r="QV6413" s="106"/>
      <c r="QW6413" s="106"/>
      <c r="QX6413" s="106"/>
      <c r="QY6413" s="106"/>
      <c r="QZ6413" s="106"/>
      <c r="RA6413" s="106"/>
      <c r="RB6413" s="106"/>
      <c r="RC6413" s="106"/>
      <c r="RD6413" s="106"/>
      <c r="RE6413" s="106"/>
      <c r="RF6413" s="106"/>
      <c r="RG6413" s="106"/>
      <c r="RH6413" s="106"/>
      <c r="RI6413" s="106"/>
      <c r="RJ6413" s="106"/>
      <c r="RK6413" s="106"/>
      <c r="RL6413" s="106"/>
    </row>
    <row r="6414" spans="462:480" x14ac:dyDescent="0.3">
      <c r="QT6414" s="106"/>
      <c r="QU6414" s="106"/>
      <c r="QV6414" s="106"/>
      <c r="QW6414" s="106"/>
      <c r="QX6414" s="106"/>
      <c r="QY6414" s="106"/>
      <c r="QZ6414" s="106"/>
      <c r="RA6414" s="106"/>
      <c r="RB6414" s="106"/>
      <c r="RC6414" s="106"/>
      <c r="RD6414" s="106"/>
      <c r="RE6414" s="106"/>
      <c r="RF6414" s="106"/>
      <c r="RG6414" s="106"/>
      <c r="RH6414" s="106"/>
      <c r="RI6414" s="106"/>
      <c r="RJ6414" s="106"/>
      <c r="RK6414" s="106"/>
      <c r="RL6414" s="106"/>
    </row>
    <row r="6415" spans="462:480" x14ac:dyDescent="0.3">
      <c r="QT6415" s="106"/>
      <c r="QU6415" s="106"/>
      <c r="QV6415" s="106"/>
      <c r="QW6415" s="106"/>
      <c r="QX6415" s="106"/>
      <c r="QY6415" s="106"/>
      <c r="QZ6415" s="106"/>
      <c r="RA6415" s="106"/>
      <c r="RB6415" s="106"/>
      <c r="RC6415" s="106"/>
      <c r="RD6415" s="106"/>
      <c r="RE6415" s="106"/>
      <c r="RF6415" s="106"/>
      <c r="RG6415" s="106"/>
      <c r="RH6415" s="106"/>
      <c r="RI6415" s="106"/>
      <c r="RJ6415" s="106"/>
      <c r="RK6415" s="106"/>
      <c r="RL6415" s="106"/>
    </row>
    <row r="6416" spans="462:480" x14ac:dyDescent="0.3">
      <c r="QT6416" s="106"/>
      <c r="QU6416" s="106"/>
      <c r="QV6416" s="106"/>
      <c r="QW6416" s="106"/>
      <c r="QX6416" s="106"/>
      <c r="QY6416" s="106"/>
      <c r="QZ6416" s="106"/>
      <c r="RA6416" s="106"/>
      <c r="RB6416" s="106"/>
      <c r="RC6416" s="106"/>
      <c r="RD6416" s="106"/>
      <c r="RE6416" s="106"/>
      <c r="RF6416" s="106"/>
      <c r="RG6416" s="106"/>
      <c r="RH6416" s="106"/>
      <c r="RI6416" s="106"/>
      <c r="RJ6416" s="106"/>
      <c r="RK6416" s="106"/>
      <c r="RL6416" s="106"/>
    </row>
    <row r="6417" spans="462:480" x14ac:dyDescent="0.3">
      <c r="QT6417" s="106"/>
      <c r="QU6417" s="106"/>
      <c r="QV6417" s="106"/>
      <c r="QW6417" s="106"/>
      <c r="QX6417" s="106"/>
      <c r="QY6417" s="106"/>
      <c r="QZ6417" s="106"/>
      <c r="RA6417" s="106"/>
      <c r="RB6417" s="106"/>
      <c r="RC6417" s="106"/>
      <c r="RD6417" s="106"/>
      <c r="RE6417" s="106"/>
      <c r="RF6417" s="106"/>
      <c r="RG6417" s="106"/>
      <c r="RH6417" s="106"/>
      <c r="RI6417" s="106"/>
      <c r="RJ6417" s="106"/>
      <c r="RK6417" s="106"/>
      <c r="RL6417" s="106"/>
    </row>
    <row r="6418" spans="462:480" x14ac:dyDescent="0.3">
      <c r="QT6418" s="106"/>
      <c r="QU6418" s="106"/>
      <c r="QV6418" s="106"/>
      <c r="QW6418" s="106"/>
      <c r="QX6418" s="106"/>
      <c r="QY6418" s="106"/>
      <c r="QZ6418" s="106"/>
      <c r="RA6418" s="106"/>
      <c r="RB6418" s="106"/>
      <c r="RC6418" s="106"/>
      <c r="RD6418" s="106"/>
      <c r="RE6418" s="106"/>
      <c r="RF6418" s="106"/>
      <c r="RG6418" s="106"/>
      <c r="RH6418" s="106"/>
      <c r="RI6418" s="106"/>
      <c r="RJ6418" s="106"/>
      <c r="RK6418" s="106"/>
      <c r="RL6418" s="106"/>
    </row>
    <row r="6419" spans="462:480" x14ac:dyDescent="0.3">
      <c r="QT6419" s="106"/>
      <c r="QU6419" s="106"/>
      <c r="QV6419" s="106"/>
      <c r="QW6419" s="106"/>
      <c r="QX6419" s="106"/>
      <c r="QY6419" s="106"/>
      <c r="QZ6419" s="106"/>
      <c r="RA6419" s="106"/>
      <c r="RB6419" s="106"/>
      <c r="RC6419" s="106"/>
      <c r="RD6419" s="106"/>
      <c r="RE6419" s="106"/>
      <c r="RF6419" s="106"/>
      <c r="RG6419" s="106"/>
      <c r="RH6419" s="106"/>
      <c r="RI6419" s="106"/>
      <c r="RJ6419" s="106"/>
      <c r="RK6419" s="106"/>
      <c r="RL6419" s="106"/>
    </row>
    <row r="6420" spans="462:480" x14ac:dyDescent="0.3">
      <c r="QT6420" s="106"/>
      <c r="QU6420" s="106"/>
      <c r="QV6420" s="106"/>
      <c r="QW6420" s="106"/>
      <c r="QX6420" s="106"/>
      <c r="QY6420" s="106"/>
      <c r="QZ6420" s="106"/>
      <c r="RA6420" s="106"/>
      <c r="RB6420" s="106"/>
      <c r="RC6420" s="106"/>
      <c r="RD6420" s="106"/>
      <c r="RE6420" s="106"/>
      <c r="RF6420" s="106"/>
      <c r="RG6420" s="106"/>
      <c r="RH6420" s="106"/>
      <c r="RI6420" s="106"/>
      <c r="RJ6420" s="106"/>
      <c r="RK6420" s="106"/>
      <c r="RL6420" s="106"/>
    </row>
    <row r="6421" spans="462:480" x14ac:dyDescent="0.3">
      <c r="QT6421" s="106"/>
      <c r="QU6421" s="106"/>
      <c r="QV6421" s="106"/>
      <c r="QW6421" s="106"/>
      <c r="QX6421" s="106"/>
      <c r="QY6421" s="106"/>
      <c r="QZ6421" s="106"/>
      <c r="RA6421" s="106"/>
      <c r="RB6421" s="106"/>
      <c r="RC6421" s="106"/>
      <c r="RD6421" s="106"/>
      <c r="RE6421" s="106"/>
      <c r="RF6421" s="106"/>
      <c r="RG6421" s="106"/>
      <c r="RH6421" s="106"/>
      <c r="RI6421" s="106"/>
      <c r="RJ6421" s="106"/>
      <c r="RK6421" s="106"/>
      <c r="RL6421" s="106"/>
    </row>
    <row r="6422" spans="462:480" x14ac:dyDescent="0.3">
      <c r="QT6422" s="106"/>
      <c r="QU6422" s="106"/>
      <c r="QV6422" s="106"/>
      <c r="QW6422" s="106"/>
      <c r="QX6422" s="106"/>
      <c r="QY6422" s="106"/>
      <c r="QZ6422" s="106"/>
      <c r="RA6422" s="106"/>
      <c r="RB6422" s="106"/>
      <c r="RC6422" s="106"/>
      <c r="RD6422" s="106"/>
      <c r="RE6422" s="106"/>
      <c r="RF6422" s="106"/>
      <c r="RG6422" s="106"/>
      <c r="RH6422" s="106"/>
      <c r="RI6422" s="106"/>
      <c r="RJ6422" s="106"/>
      <c r="RK6422" s="106"/>
      <c r="RL6422" s="106"/>
    </row>
    <row r="6423" spans="462:480" x14ac:dyDescent="0.3">
      <c r="QT6423" s="106"/>
      <c r="QU6423" s="106"/>
      <c r="QV6423" s="106"/>
      <c r="QW6423" s="106"/>
      <c r="QX6423" s="106"/>
      <c r="QY6423" s="106"/>
      <c r="QZ6423" s="106"/>
      <c r="RA6423" s="106"/>
      <c r="RB6423" s="106"/>
      <c r="RC6423" s="106"/>
      <c r="RD6423" s="106"/>
      <c r="RE6423" s="106"/>
      <c r="RF6423" s="106"/>
      <c r="RG6423" s="106"/>
      <c r="RH6423" s="106"/>
      <c r="RI6423" s="106"/>
      <c r="RJ6423" s="106"/>
      <c r="RK6423" s="106"/>
      <c r="RL6423" s="106"/>
    </row>
    <row r="6424" spans="462:480" x14ac:dyDescent="0.3">
      <c r="QT6424" s="106"/>
      <c r="QU6424" s="106"/>
      <c r="QV6424" s="106"/>
      <c r="QW6424" s="106"/>
      <c r="QX6424" s="106"/>
      <c r="QY6424" s="106"/>
      <c r="QZ6424" s="106"/>
      <c r="RA6424" s="106"/>
      <c r="RB6424" s="106"/>
      <c r="RC6424" s="106"/>
      <c r="RD6424" s="106"/>
      <c r="RE6424" s="106"/>
      <c r="RF6424" s="106"/>
      <c r="RG6424" s="106"/>
      <c r="RH6424" s="106"/>
      <c r="RI6424" s="106"/>
      <c r="RJ6424" s="106"/>
      <c r="RK6424" s="106"/>
      <c r="RL6424" s="106"/>
    </row>
    <row r="6425" spans="462:480" x14ac:dyDescent="0.3">
      <c r="QT6425" s="106"/>
      <c r="QU6425" s="106"/>
      <c r="QV6425" s="106"/>
      <c r="QW6425" s="106"/>
      <c r="QX6425" s="106"/>
      <c r="QY6425" s="106"/>
      <c r="QZ6425" s="106"/>
      <c r="RA6425" s="106"/>
      <c r="RB6425" s="106"/>
      <c r="RC6425" s="106"/>
      <c r="RD6425" s="106"/>
      <c r="RE6425" s="106"/>
      <c r="RF6425" s="106"/>
      <c r="RG6425" s="106"/>
      <c r="RH6425" s="106"/>
      <c r="RI6425" s="106"/>
      <c r="RJ6425" s="106"/>
      <c r="RK6425" s="106"/>
      <c r="RL6425" s="106"/>
    </row>
    <row r="6426" spans="462:480" x14ac:dyDescent="0.3">
      <c r="QT6426" s="106"/>
      <c r="QU6426" s="106"/>
      <c r="QV6426" s="106"/>
      <c r="QW6426" s="106"/>
      <c r="QX6426" s="106"/>
      <c r="QY6426" s="106"/>
      <c r="QZ6426" s="106"/>
      <c r="RA6426" s="106"/>
      <c r="RB6426" s="106"/>
      <c r="RC6426" s="106"/>
      <c r="RD6426" s="106"/>
      <c r="RE6426" s="106"/>
      <c r="RF6426" s="106"/>
      <c r="RG6426" s="106"/>
      <c r="RH6426" s="106"/>
      <c r="RI6426" s="106"/>
      <c r="RJ6426" s="106"/>
      <c r="RK6426" s="106"/>
      <c r="RL6426" s="106"/>
    </row>
    <row r="6427" spans="462:480" x14ac:dyDescent="0.3">
      <c r="QT6427" s="106"/>
      <c r="QU6427" s="106"/>
      <c r="QV6427" s="106"/>
      <c r="QW6427" s="106"/>
      <c r="QX6427" s="106"/>
      <c r="QY6427" s="106"/>
      <c r="QZ6427" s="106"/>
      <c r="RA6427" s="106"/>
      <c r="RB6427" s="106"/>
      <c r="RC6427" s="106"/>
      <c r="RD6427" s="106"/>
      <c r="RE6427" s="106"/>
      <c r="RF6427" s="106"/>
      <c r="RG6427" s="106"/>
      <c r="RH6427" s="106"/>
      <c r="RI6427" s="106"/>
      <c r="RJ6427" s="106"/>
      <c r="RK6427" s="106"/>
      <c r="RL6427" s="106"/>
    </row>
    <row r="6428" spans="462:480" x14ac:dyDescent="0.3">
      <c r="QT6428" s="106"/>
      <c r="QU6428" s="106"/>
      <c r="QV6428" s="106"/>
      <c r="QW6428" s="106"/>
      <c r="QX6428" s="106"/>
      <c r="QY6428" s="106"/>
      <c r="QZ6428" s="106"/>
      <c r="RA6428" s="106"/>
      <c r="RB6428" s="106"/>
      <c r="RC6428" s="106"/>
      <c r="RD6428" s="106"/>
      <c r="RE6428" s="106"/>
      <c r="RF6428" s="106"/>
      <c r="RG6428" s="106"/>
      <c r="RH6428" s="106"/>
      <c r="RI6428" s="106"/>
      <c r="RJ6428" s="106"/>
      <c r="RK6428" s="106"/>
      <c r="RL6428" s="106"/>
    </row>
    <row r="6429" spans="462:480" x14ac:dyDescent="0.3">
      <c r="QT6429" s="106"/>
      <c r="QU6429" s="106"/>
      <c r="QV6429" s="106"/>
      <c r="QW6429" s="106"/>
      <c r="QX6429" s="106"/>
      <c r="QY6429" s="106"/>
      <c r="QZ6429" s="106"/>
      <c r="RA6429" s="106"/>
      <c r="RB6429" s="106"/>
      <c r="RC6429" s="106"/>
      <c r="RD6429" s="106"/>
      <c r="RE6429" s="106"/>
      <c r="RF6429" s="106"/>
      <c r="RG6429" s="106"/>
      <c r="RH6429" s="106"/>
      <c r="RI6429" s="106"/>
      <c r="RJ6429" s="106"/>
      <c r="RK6429" s="106"/>
      <c r="RL6429" s="106"/>
    </row>
    <row r="6430" spans="462:480" x14ac:dyDescent="0.3">
      <c r="QT6430" s="106"/>
      <c r="QU6430" s="106"/>
      <c r="QV6430" s="106"/>
      <c r="QW6430" s="106"/>
      <c r="QX6430" s="106"/>
      <c r="QY6430" s="106"/>
      <c r="QZ6430" s="106"/>
      <c r="RA6430" s="106"/>
      <c r="RB6430" s="106"/>
      <c r="RC6430" s="106"/>
      <c r="RD6430" s="106"/>
      <c r="RE6430" s="106"/>
      <c r="RF6430" s="106"/>
      <c r="RG6430" s="106"/>
      <c r="RH6430" s="106"/>
      <c r="RI6430" s="106"/>
      <c r="RJ6430" s="106"/>
      <c r="RK6430" s="106"/>
      <c r="RL6430" s="106"/>
    </row>
    <row r="6431" spans="462:480" x14ac:dyDescent="0.3">
      <c r="QT6431" s="106"/>
      <c r="QU6431" s="106"/>
      <c r="QV6431" s="106"/>
      <c r="QW6431" s="106"/>
      <c r="QX6431" s="106"/>
      <c r="QY6431" s="106"/>
      <c r="QZ6431" s="106"/>
      <c r="RA6431" s="106"/>
      <c r="RB6431" s="106"/>
      <c r="RC6431" s="106"/>
      <c r="RD6431" s="106"/>
      <c r="RE6431" s="106"/>
      <c r="RF6431" s="106"/>
      <c r="RG6431" s="106"/>
      <c r="RH6431" s="106"/>
      <c r="RI6431" s="106"/>
      <c r="RJ6431" s="106"/>
      <c r="RK6431" s="106"/>
      <c r="RL6431" s="106"/>
    </row>
    <row r="6432" spans="462:480" x14ac:dyDescent="0.3">
      <c r="QT6432" s="106"/>
      <c r="QU6432" s="106"/>
      <c r="QV6432" s="106"/>
      <c r="QW6432" s="106"/>
      <c r="QX6432" s="106"/>
      <c r="QY6432" s="106"/>
      <c r="QZ6432" s="106"/>
      <c r="RA6432" s="106"/>
      <c r="RB6432" s="106"/>
      <c r="RC6432" s="106"/>
      <c r="RD6432" s="106"/>
      <c r="RE6432" s="106"/>
      <c r="RF6432" s="106"/>
      <c r="RG6432" s="106"/>
      <c r="RH6432" s="106"/>
      <c r="RI6432" s="106"/>
      <c r="RJ6432" s="106"/>
      <c r="RK6432" s="106"/>
      <c r="RL6432" s="106"/>
    </row>
    <row r="6433" spans="462:480" x14ac:dyDescent="0.3">
      <c r="QT6433" s="106"/>
      <c r="QU6433" s="106"/>
      <c r="QV6433" s="106"/>
      <c r="QW6433" s="106"/>
      <c r="QX6433" s="106"/>
      <c r="QY6433" s="106"/>
      <c r="QZ6433" s="106"/>
      <c r="RA6433" s="106"/>
      <c r="RB6433" s="106"/>
      <c r="RC6433" s="106"/>
      <c r="RD6433" s="106"/>
      <c r="RE6433" s="106"/>
      <c r="RF6433" s="106"/>
      <c r="RG6433" s="106"/>
      <c r="RH6433" s="106"/>
      <c r="RI6433" s="106"/>
      <c r="RJ6433" s="106"/>
      <c r="RK6433" s="106"/>
      <c r="RL6433" s="106"/>
    </row>
    <row r="6434" spans="462:480" x14ac:dyDescent="0.3">
      <c r="QT6434" s="106"/>
      <c r="QU6434" s="106"/>
      <c r="QV6434" s="106"/>
      <c r="QW6434" s="106"/>
      <c r="QX6434" s="106"/>
      <c r="QY6434" s="106"/>
      <c r="QZ6434" s="106"/>
      <c r="RA6434" s="106"/>
      <c r="RB6434" s="106"/>
      <c r="RC6434" s="106"/>
      <c r="RD6434" s="106"/>
      <c r="RE6434" s="106"/>
      <c r="RF6434" s="106"/>
      <c r="RG6434" s="106"/>
      <c r="RH6434" s="106"/>
      <c r="RI6434" s="106"/>
      <c r="RJ6434" s="106"/>
      <c r="RK6434" s="106"/>
      <c r="RL6434" s="106"/>
    </row>
    <row r="6435" spans="462:480" x14ac:dyDescent="0.3">
      <c r="QT6435" s="106"/>
      <c r="QU6435" s="106"/>
      <c r="QV6435" s="106"/>
      <c r="QW6435" s="106"/>
      <c r="QX6435" s="106"/>
      <c r="QY6435" s="106"/>
      <c r="QZ6435" s="106"/>
      <c r="RA6435" s="106"/>
      <c r="RB6435" s="106"/>
      <c r="RC6435" s="106"/>
      <c r="RD6435" s="106"/>
      <c r="RE6435" s="106"/>
      <c r="RF6435" s="106"/>
      <c r="RG6435" s="106"/>
      <c r="RH6435" s="106"/>
      <c r="RI6435" s="106"/>
      <c r="RJ6435" s="106"/>
      <c r="RK6435" s="106"/>
      <c r="RL6435" s="106"/>
    </row>
    <row r="6436" spans="462:480" x14ac:dyDescent="0.3">
      <c r="QT6436" s="106"/>
      <c r="QU6436" s="106"/>
      <c r="QV6436" s="106"/>
      <c r="QW6436" s="106"/>
      <c r="QX6436" s="106"/>
      <c r="QY6436" s="106"/>
      <c r="QZ6436" s="106"/>
      <c r="RA6436" s="106"/>
      <c r="RB6436" s="106"/>
      <c r="RC6436" s="106"/>
      <c r="RD6436" s="106"/>
      <c r="RE6436" s="106"/>
      <c r="RF6436" s="106"/>
      <c r="RG6436" s="106"/>
      <c r="RH6436" s="106"/>
      <c r="RI6436" s="106"/>
      <c r="RJ6436" s="106"/>
      <c r="RK6436" s="106"/>
      <c r="RL6436" s="106"/>
    </row>
    <row r="6437" spans="462:480" x14ac:dyDescent="0.3">
      <c r="QT6437" s="106"/>
      <c r="QU6437" s="106"/>
      <c r="QV6437" s="106"/>
      <c r="QW6437" s="106"/>
      <c r="QX6437" s="106"/>
      <c r="QY6437" s="106"/>
      <c r="QZ6437" s="106"/>
      <c r="RA6437" s="106"/>
      <c r="RB6437" s="106"/>
      <c r="RC6437" s="106"/>
      <c r="RD6437" s="106"/>
      <c r="RE6437" s="106"/>
      <c r="RF6437" s="106"/>
      <c r="RG6437" s="106"/>
      <c r="RH6437" s="106"/>
      <c r="RI6437" s="106"/>
      <c r="RJ6437" s="106"/>
      <c r="RK6437" s="106"/>
      <c r="RL6437" s="106"/>
    </row>
    <row r="6438" spans="462:480" x14ac:dyDescent="0.3">
      <c r="QT6438" s="106"/>
      <c r="QU6438" s="106"/>
      <c r="QV6438" s="106"/>
      <c r="QW6438" s="106"/>
      <c r="QX6438" s="106"/>
      <c r="QY6438" s="106"/>
      <c r="QZ6438" s="106"/>
      <c r="RA6438" s="106"/>
      <c r="RB6438" s="106"/>
      <c r="RC6438" s="106"/>
      <c r="RD6438" s="106"/>
      <c r="RE6438" s="106"/>
      <c r="RF6438" s="106"/>
      <c r="RG6438" s="106"/>
      <c r="RH6438" s="106"/>
      <c r="RI6438" s="106"/>
      <c r="RJ6438" s="106"/>
      <c r="RK6438" s="106"/>
      <c r="RL6438" s="106"/>
    </row>
    <row r="6439" spans="462:480" x14ac:dyDescent="0.3">
      <c r="QT6439" s="106"/>
      <c r="QU6439" s="106"/>
      <c r="QV6439" s="106"/>
      <c r="QW6439" s="106"/>
      <c r="QX6439" s="106"/>
      <c r="QY6439" s="106"/>
      <c r="QZ6439" s="106"/>
      <c r="RA6439" s="106"/>
      <c r="RB6439" s="106"/>
      <c r="RC6439" s="106"/>
      <c r="RD6439" s="106"/>
      <c r="RE6439" s="106"/>
      <c r="RF6439" s="106"/>
      <c r="RG6439" s="106"/>
      <c r="RH6439" s="106"/>
      <c r="RI6439" s="106"/>
      <c r="RJ6439" s="106"/>
      <c r="RK6439" s="106"/>
      <c r="RL6439" s="106"/>
    </row>
    <row r="6440" spans="462:480" x14ac:dyDescent="0.3">
      <c r="QT6440" s="106"/>
      <c r="QU6440" s="106"/>
      <c r="QV6440" s="106"/>
      <c r="QW6440" s="106"/>
      <c r="QX6440" s="106"/>
      <c r="QY6440" s="106"/>
      <c r="QZ6440" s="106"/>
      <c r="RA6440" s="106"/>
      <c r="RB6440" s="106"/>
      <c r="RC6440" s="106"/>
      <c r="RD6440" s="106"/>
      <c r="RE6440" s="106"/>
      <c r="RF6440" s="106"/>
      <c r="RG6440" s="106"/>
      <c r="RH6440" s="106"/>
      <c r="RI6440" s="106"/>
      <c r="RJ6440" s="106"/>
      <c r="RK6440" s="106"/>
      <c r="RL6440" s="106"/>
    </row>
    <row r="6441" spans="462:480" x14ac:dyDescent="0.3">
      <c r="QT6441" s="106"/>
      <c r="QU6441" s="106"/>
      <c r="QV6441" s="106"/>
      <c r="QW6441" s="106"/>
      <c r="QX6441" s="106"/>
      <c r="QY6441" s="106"/>
      <c r="QZ6441" s="106"/>
      <c r="RA6441" s="106"/>
      <c r="RB6441" s="106"/>
      <c r="RC6441" s="106"/>
      <c r="RD6441" s="106"/>
      <c r="RE6441" s="106"/>
      <c r="RF6441" s="106"/>
      <c r="RG6441" s="106"/>
      <c r="RH6441" s="106"/>
      <c r="RI6441" s="106"/>
      <c r="RJ6441" s="106"/>
      <c r="RK6441" s="106"/>
      <c r="RL6441" s="106"/>
    </row>
    <row r="6442" spans="462:480" x14ac:dyDescent="0.3">
      <c r="QT6442" s="106"/>
      <c r="QU6442" s="106"/>
      <c r="QV6442" s="106"/>
      <c r="QW6442" s="106"/>
      <c r="QX6442" s="106"/>
      <c r="QY6442" s="106"/>
      <c r="QZ6442" s="106"/>
      <c r="RA6442" s="106"/>
      <c r="RB6442" s="106"/>
      <c r="RC6442" s="106"/>
      <c r="RD6442" s="106"/>
      <c r="RE6442" s="106"/>
      <c r="RF6442" s="106"/>
      <c r="RG6442" s="106"/>
      <c r="RH6442" s="106"/>
      <c r="RI6442" s="106"/>
      <c r="RJ6442" s="106"/>
      <c r="RK6442" s="106"/>
      <c r="RL6442" s="106"/>
    </row>
    <row r="6443" spans="462:480" x14ac:dyDescent="0.3">
      <c r="QT6443" s="106"/>
      <c r="QU6443" s="106"/>
      <c r="QV6443" s="106"/>
      <c r="QW6443" s="106"/>
      <c r="QX6443" s="106"/>
      <c r="QY6443" s="106"/>
      <c r="QZ6443" s="106"/>
      <c r="RA6443" s="106"/>
      <c r="RB6443" s="106"/>
      <c r="RC6443" s="106"/>
      <c r="RD6443" s="106"/>
      <c r="RE6443" s="106"/>
      <c r="RF6443" s="106"/>
      <c r="RG6443" s="106"/>
      <c r="RH6443" s="106"/>
      <c r="RI6443" s="106"/>
      <c r="RJ6443" s="106"/>
      <c r="RK6443" s="106"/>
      <c r="RL6443" s="106"/>
    </row>
    <row r="6444" spans="462:480" x14ac:dyDescent="0.3">
      <c r="QT6444" s="106"/>
      <c r="QU6444" s="106"/>
      <c r="QV6444" s="106"/>
      <c r="QW6444" s="106"/>
      <c r="QX6444" s="106"/>
      <c r="QY6444" s="106"/>
      <c r="QZ6444" s="106"/>
      <c r="RA6444" s="106"/>
      <c r="RB6444" s="106"/>
      <c r="RC6444" s="106"/>
      <c r="RD6444" s="106"/>
      <c r="RE6444" s="106"/>
      <c r="RF6444" s="106"/>
      <c r="RG6444" s="106"/>
      <c r="RH6444" s="106"/>
      <c r="RI6444" s="106"/>
      <c r="RJ6444" s="106"/>
      <c r="RK6444" s="106"/>
      <c r="RL6444" s="106"/>
    </row>
    <row r="6445" spans="462:480" x14ac:dyDescent="0.3">
      <c r="QT6445" s="106"/>
      <c r="QU6445" s="106"/>
      <c r="QV6445" s="106"/>
      <c r="QW6445" s="106"/>
      <c r="QX6445" s="106"/>
      <c r="QY6445" s="106"/>
      <c r="QZ6445" s="106"/>
      <c r="RA6445" s="106"/>
      <c r="RB6445" s="106"/>
      <c r="RC6445" s="106"/>
      <c r="RD6445" s="106"/>
      <c r="RE6445" s="106"/>
      <c r="RF6445" s="106"/>
      <c r="RG6445" s="106"/>
      <c r="RH6445" s="106"/>
      <c r="RI6445" s="106"/>
      <c r="RJ6445" s="106"/>
      <c r="RK6445" s="106"/>
      <c r="RL6445" s="106"/>
    </row>
    <row r="6446" spans="462:480" x14ac:dyDescent="0.3">
      <c r="QT6446" s="106"/>
      <c r="QU6446" s="106"/>
      <c r="QV6446" s="106"/>
      <c r="QW6446" s="106"/>
      <c r="QX6446" s="106"/>
      <c r="QY6446" s="106"/>
      <c r="QZ6446" s="106"/>
      <c r="RA6446" s="106"/>
      <c r="RB6446" s="106"/>
      <c r="RC6446" s="106"/>
      <c r="RD6446" s="106"/>
      <c r="RE6446" s="106"/>
      <c r="RF6446" s="106"/>
      <c r="RG6446" s="106"/>
      <c r="RH6446" s="106"/>
      <c r="RI6446" s="106"/>
      <c r="RJ6446" s="106"/>
      <c r="RK6446" s="106"/>
      <c r="RL6446" s="106"/>
    </row>
    <row r="6447" spans="462:480" x14ac:dyDescent="0.3">
      <c r="QT6447" s="106"/>
      <c r="QU6447" s="106"/>
      <c r="QV6447" s="106"/>
      <c r="QW6447" s="106"/>
      <c r="QX6447" s="106"/>
      <c r="QY6447" s="106"/>
      <c r="QZ6447" s="106"/>
      <c r="RA6447" s="106"/>
      <c r="RB6447" s="106"/>
      <c r="RC6447" s="106"/>
      <c r="RD6447" s="106"/>
      <c r="RE6447" s="106"/>
      <c r="RF6447" s="106"/>
      <c r="RG6447" s="106"/>
      <c r="RH6447" s="106"/>
      <c r="RI6447" s="106"/>
      <c r="RJ6447" s="106"/>
      <c r="RK6447" s="106"/>
      <c r="RL6447" s="106"/>
    </row>
    <row r="6448" spans="462:480" x14ac:dyDescent="0.3">
      <c r="QT6448" s="106"/>
      <c r="QU6448" s="106"/>
      <c r="QV6448" s="106"/>
      <c r="QW6448" s="106"/>
      <c r="QX6448" s="106"/>
      <c r="QY6448" s="106"/>
      <c r="QZ6448" s="106"/>
      <c r="RA6448" s="106"/>
      <c r="RB6448" s="106"/>
      <c r="RC6448" s="106"/>
      <c r="RD6448" s="106"/>
      <c r="RE6448" s="106"/>
      <c r="RF6448" s="106"/>
      <c r="RG6448" s="106"/>
      <c r="RH6448" s="106"/>
      <c r="RI6448" s="106"/>
      <c r="RJ6448" s="106"/>
      <c r="RK6448" s="106"/>
      <c r="RL6448" s="106"/>
    </row>
    <row r="6449" spans="462:480" x14ac:dyDescent="0.3">
      <c r="QT6449" s="106"/>
      <c r="QU6449" s="106"/>
      <c r="QV6449" s="106"/>
      <c r="QW6449" s="106"/>
      <c r="QX6449" s="106"/>
      <c r="QY6449" s="106"/>
      <c r="QZ6449" s="106"/>
      <c r="RA6449" s="106"/>
      <c r="RB6449" s="106"/>
      <c r="RC6449" s="106"/>
      <c r="RD6449" s="106"/>
      <c r="RE6449" s="106"/>
      <c r="RF6449" s="106"/>
      <c r="RG6449" s="106"/>
      <c r="RH6449" s="106"/>
      <c r="RI6449" s="106"/>
      <c r="RJ6449" s="106"/>
      <c r="RK6449" s="106"/>
      <c r="RL6449" s="106"/>
    </row>
    <row r="6450" spans="462:480" x14ac:dyDescent="0.3">
      <c r="QT6450" s="106"/>
      <c r="QU6450" s="106"/>
      <c r="QV6450" s="106"/>
      <c r="QW6450" s="106"/>
      <c r="QX6450" s="106"/>
      <c r="QY6450" s="106"/>
      <c r="QZ6450" s="106"/>
      <c r="RA6450" s="106"/>
      <c r="RB6450" s="106"/>
      <c r="RC6450" s="106"/>
      <c r="RD6450" s="106"/>
      <c r="RE6450" s="106"/>
      <c r="RF6450" s="106"/>
      <c r="RG6450" s="106"/>
      <c r="RH6450" s="106"/>
      <c r="RI6450" s="106"/>
      <c r="RJ6450" s="106"/>
      <c r="RK6450" s="106"/>
      <c r="RL6450" s="106"/>
    </row>
    <row r="6451" spans="462:480" x14ac:dyDescent="0.3">
      <c r="QT6451" s="106"/>
      <c r="QU6451" s="106"/>
      <c r="QV6451" s="106"/>
      <c r="QW6451" s="106"/>
      <c r="QX6451" s="106"/>
      <c r="QY6451" s="106"/>
      <c r="QZ6451" s="106"/>
      <c r="RA6451" s="106"/>
      <c r="RB6451" s="106"/>
      <c r="RC6451" s="106"/>
      <c r="RD6451" s="106"/>
      <c r="RE6451" s="106"/>
      <c r="RF6451" s="106"/>
      <c r="RG6451" s="106"/>
      <c r="RH6451" s="106"/>
      <c r="RI6451" s="106"/>
      <c r="RJ6451" s="106"/>
      <c r="RK6451" s="106"/>
      <c r="RL6451" s="106"/>
    </row>
    <row r="6452" spans="462:480" x14ac:dyDescent="0.3">
      <c r="QT6452" s="106"/>
      <c r="QU6452" s="106"/>
      <c r="QV6452" s="106"/>
      <c r="QW6452" s="106"/>
      <c r="QX6452" s="106"/>
      <c r="QY6452" s="106"/>
      <c r="QZ6452" s="106"/>
      <c r="RA6452" s="106"/>
      <c r="RB6452" s="106"/>
      <c r="RC6452" s="106"/>
      <c r="RD6452" s="106"/>
      <c r="RE6452" s="106"/>
      <c r="RF6452" s="106"/>
      <c r="RG6452" s="106"/>
      <c r="RH6452" s="106"/>
      <c r="RI6452" s="106"/>
      <c r="RJ6452" s="106"/>
      <c r="RK6452" s="106"/>
      <c r="RL6452" s="106"/>
    </row>
    <row r="6453" spans="462:480" x14ac:dyDescent="0.3">
      <c r="QT6453" s="106"/>
      <c r="QU6453" s="106"/>
      <c r="QV6453" s="106"/>
      <c r="QW6453" s="106"/>
      <c r="QX6453" s="106"/>
      <c r="QY6453" s="106"/>
      <c r="QZ6453" s="106"/>
      <c r="RA6453" s="106"/>
      <c r="RB6453" s="106"/>
      <c r="RC6453" s="106"/>
      <c r="RD6453" s="106"/>
      <c r="RE6453" s="106"/>
      <c r="RF6453" s="106"/>
      <c r="RG6453" s="106"/>
      <c r="RH6453" s="106"/>
      <c r="RI6453" s="106"/>
      <c r="RJ6453" s="106"/>
      <c r="RK6453" s="106"/>
      <c r="RL6453" s="106"/>
    </row>
    <row r="6454" spans="462:480" x14ac:dyDescent="0.3">
      <c r="QT6454" s="106"/>
      <c r="QU6454" s="106"/>
      <c r="QV6454" s="106"/>
      <c r="QW6454" s="106"/>
      <c r="QX6454" s="106"/>
      <c r="QY6454" s="106"/>
      <c r="QZ6454" s="106"/>
      <c r="RA6454" s="106"/>
      <c r="RB6454" s="106"/>
      <c r="RC6454" s="106"/>
      <c r="RD6454" s="106"/>
      <c r="RE6454" s="106"/>
      <c r="RF6454" s="106"/>
      <c r="RG6454" s="106"/>
      <c r="RH6454" s="106"/>
      <c r="RI6454" s="106"/>
      <c r="RJ6454" s="106"/>
      <c r="RK6454" s="106"/>
      <c r="RL6454" s="106"/>
    </row>
    <row r="6455" spans="462:480" x14ac:dyDescent="0.3">
      <c r="QT6455" s="106"/>
      <c r="QU6455" s="106"/>
      <c r="QV6455" s="106"/>
      <c r="QW6455" s="106"/>
      <c r="QX6455" s="106"/>
      <c r="QY6455" s="106"/>
      <c r="QZ6455" s="106"/>
      <c r="RA6455" s="106"/>
      <c r="RB6455" s="106"/>
      <c r="RC6455" s="106"/>
      <c r="RD6455" s="106"/>
      <c r="RE6455" s="106"/>
      <c r="RF6455" s="106"/>
      <c r="RG6455" s="106"/>
      <c r="RH6455" s="106"/>
      <c r="RI6455" s="106"/>
      <c r="RJ6455" s="106"/>
      <c r="RK6455" s="106"/>
      <c r="RL6455" s="106"/>
    </row>
    <row r="6456" spans="462:480" x14ac:dyDescent="0.3">
      <c r="QT6456" s="106"/>
      <c r="QU6456" s="106"/>
      <c r="QV6456" s="106"/>
      <c r="QW6456" s="106"/>
      <c r="QX6456" s="106"/>
      <c r="QY6456" s="106"/>
      <c r="QZ6456" s="106"/>
      <c r="RA6456" s="106"/>
      <c r="RB6456" s="106"/>
      <c r="RC6456" s="106"/>
      <c r="RD6456" s="106"/>
      <c r="RE6456" s="106"/>
      <c r="RF6456" s="106"/>
      <c r="RG6456" s="106"/>
      <c r="RH6456" s="106"/>
      <c r="RI6456" s="106"/>
      <c r="RJ6456" s="106"/>
      <c r="RK6456" s="106"/>
      <c r="RL6456" s="106"/>
    </row>
    <row r="6457" spans="462:480" x14ac:dyDescent="0.3">
      <c r="QT6457" s="106"/>
      <c r="QU6457" s="106"/>
      <c r="QV6457" s="106"/>
      <c r="QW6457" s="106"/>
      <c r="QX6457" s="106"/>
      <c r="QY6457" s="106"/>
      <c r="QZ6457" s="106"/>
      <c r="RA6457" s="106"/>
      <c r="RB6457" s="106"/>
      <c r="RC6457" s="106"/>
      <c r="RD6457" s="106"/>
      <c r="RE6457" s="106"/>
      <c r="RF6457" s="106"/>
      <c r="RG6457" s="106"/>
      <c r="RH6457" s="106"/>
      <c r="RI6457" s="106"/>
      <c r="RJ6457" s="106"/>
      <c r="RK6457" s="106"/>
      <c r="RL6457" s="106"/>
    </row>
    <row r="6458" spans="462:480" x14ac:dyDescent="0.3">
      <c r="QT6458" s="106"/>
      <c r="QU6458" s="106"/>
      <c r="QV6458" s="106"/>
      <c r="QW6458" s="106"/>
      <c r="QX6458" s="106"/>
      <c r="QY6458" s="106"/>
      <c r="QZ6458" s="106"/>
      <c r="RA6458" s="106"/>
      <c r="RB6458" s="106"/>
      <c r="RC6458" s="106"/>
      <c r="RD6458" s="106"/>
      <c r="RE6458" s="106"/>
      <c r="RF6458" s="106"/>
      <c r="RG6458" s="106"/>
      <c r="RH6458" s="106"/>
      <c r="RI6458" s="106"/>
      <c r="RJ6458" s="106"/>
      <c r="RK6458" s="106"/>
      <c r="RL6458" s="106"/>
    </row>
    <row r="6459" spans="462:480" x14ac:dyDescent="0.3">
      <c r="QT6459" s="106"/>
      <c r="QU6459" s="106"/>
      <c r="QV6459" s="106"/>
      <c r="QW6459" s="106"/>
      <c r="QX6459" s="106"/>
      <c r="QY6459" s="106"/>
      <c r="QZ6459" s="106"/>
      <c r="RA6459" s="106"/>
      <c r="RB6459" s="106"/>
      <c r="RC6459" s="106"/>
      <c r="RD6459" s="106"/>
      <c r="RE6459" s="106"/>
      <c r="RF6459" s="106"/>
      <c r="RG6459" s="106"/>
      <c r="RH6459" s="106"/>
      <c r="RI6459" s="106"/>
      <c r="RJ6459" s="106"/>
      <c r="RK6459" s="106"/>
      <c r="RL6459" s="106"/>
    </row>
    <row r="6460" spans="462:480" x14ac:dyDescent="0.3">
      <c r="QT6460" s="106"/>
      <c r="QU6460" s="106"/>
      <c r="QV6460" s="106"/>
      <c r="QW6460" s="106"/>
      <c r="QX6460" s="106"/>
      <c r="QY6460" s="106"/>
      <c r="QZ6460" s="106"/>
      <c r="RA6460" s="106"/>
      <c r="RB6460" s="106"/>
      <c r="RC6460" s="106"/>
      <c r="RD6460" s="106"/>
      <c r="RE6460" s="106"/>
      <c r="RF6460" s="106"/>
      <c r="RG6460" s="106"/>
      <c r="RH6460" s="106"/>
      <c r="RI6460" s="106"/>
      <c r="RJ6460" s="106"/>
      <c r="RK6460" s="106"/>
      <c r="RL6460" s="106"/>
    </row>
    <row r="6461" spans="462:480" x14ac:dyDescent="0.3">
      <c r="QT6461" s="106"/>
      <c r="QU6461" s="106"/>
      <c r="QV6461" s="106"/>
      <c r="QW6461" s="106"/>
      <c r="QX6461" s="106"/>
      <c r="QY6461" s="106"/>
      <c r="QZ6461" s="106"/>
      <c r="RA6461" s="106"/>
      <c r="RB6461" s="106"/>
      <c r="RC6461" s="106"/>
      <c r="RD6461" s="106"/>
      <c r="RE6461" s="106"/>
      <c r="RF6461" s="106"/>
      <c r="RG6461" s="106"/>
      <c r="RH6461" s="106"/>
      <c r="RI6461" s="106"/>
      <c r="RJ6461" s="106"/>
      <c r="RK6461" s="106"/>
      <c r="RL6461" s="106"/>
    </row>
    <row r="6462" spans="462:480" x14ac:dyDescent="0.3">
      <c r="QT6462" s="106"/>
      <c r="QU6462" s="106"/>
      <c r="QV6462" s="106"/>
      <c r="QW6462" s="106"/>
      <c r="QX6462" s="106"/>
      <c r="QY6462" s="106"/>
      <c r="QZ6462" s="106"/>
      <c r="RA6462" s="106"/>
      <c r="RB6462" s="106"/>
      <c r="RC6462" s="106"/>
      <c r="RD6462" s="106"/>
      <c r="RE6462" s="106"/>
      <c r="RF6462" s="106"/>
      <c r="RG6462" s="106"/>
      <c r="RH6462" s="106"/>
      <c r="RI6462" s="106"/>
      <c r="RJ6462" s="106"/>
      <c r="RK6462" s="106"/>
      <c r="RL6462" s="106"/>
    </row>
    <row r="6463" spans="462:480" x14ac:dyDescent="0.3">
      <c r="QT6463" s="106"/>
      <c r="QU6463" s="106"/>
      <c r="QV6463" s="106"/>
      <c r="QW6463" s="106"/>
      <c r="QX6463" s="106"/>
      <c r="QY6463" s="106"/>
      <c r="QZ6463" s="106"/>
      <c r="RA6463" s="106"/>
      <c r="RB6463" s="106"/>
      <c r="RC6463" s="106"/>
      <c r="RD6463" s="106"/>
      <c r="RE6463" s="106"/>
      <c r="RF6463" s="106"/>
      <c r="RG6463" s="106"/>
      <c r="RH6463" s="106"/>
      <c r="RI6463" s="106"/>
      <c r="RJ6463" s="106"/>
      <c r="RK6463" s="106"/>
      <c r="RL6463" s="106"/>
    </row>
    <row r="6464" spans="462:480" x14ac:dyDescent="0.3">
      <c r="QT6464" s="106"/>
      <c r="QU6464" s="106"/>
      <c r="QV6464" s="106"/>
      <c r="QW6464" s="106"/>
      <c r="QX6464" s="106"/>
      <c r="QY6464" s="106"/>
      <c r="QZ6464" s="106"/>
      <c r="RA6464" s="106"/>
      <c r="RB6464" s="106"/>
      <c r="RC6464" s="106"/>
      <c r="RD6464" s="106"/>
      <c r="RE6464" s="106"/>
      <c r="RF6464" s="106"/>
      <c r="RG6464" s="106"/>
      <c r="RH6464" s="106"/>
      <c r="RI6464" s="106"/>
      <c r="RJ6464" s="106"/>
      <c r="RK6464" s="106"/>
      <c r="RL6464" s="106"/>
    </row>
    <row r="6465" spans="462:480" x14ac:dyDescent="0.3">
      <c r="QT6465" s="106"/>
      <c r="QU6465" s="106"/>
      <c r="QV6465" s="106"/>
      <c r="QW6465" s="106"/>
      <c r="QX6465" s="106"/>
      <c r="QY6465" s="106"/>
      <c r="QZ6465" s="106"/>
      <c r="RA6465" s="106"/>
      <c r="RB6465" s="106"/>
      <c r="RC6465" s="106"/>
      <c r="RD6465" s="106"/>
      <c r="RE6465" s="106"/>
      <c r="RF6465" s="106"/>
      <c r="RG6465" s="106"/>
      <c r="RH6465" s="106"/>
      <c r="RI6465" s="106"/>
      <c r="RJ6465" s="106"/>
      <c r="RK6465" s="106"/>
      <c r="RL6465" s="106"/>
    </row>
    <row r="6466" spans="462:480" x14ac:dyDescent="0.3">
      <c r="QT6466" s="106"/>
      <c r="QU6466" s="106"/>
      <c r="QV6466" s="106"/>
      <c r="QW6466" s="106"/>
      <c r="QX6466" s="106"/>
      <c r="QY6466" s="106"/>
      <c r="QZ6466" s="106"/>
      <c r="RA6466" s="106"/>
      <c r="RB6466" s="106"/>
      <c r="RC6466" s="106"/>
      <c r="RD6466" s="106"/>
      <c r="RE6466" s="106"/>
      <c r="RF6466" s="106"/>
      <c r="RG6466" s="106"/>
      <c r="RH6466" s="106"/>
      <c r="RI6466" s="106"/>
      <c r="RJ6466" s="106"/>
      <c r="RK6466" s="106"/>
      <c r="RL6466" s="106"/>
    </row>
    <row r="6467" spans="462:480" x14ac:dyDescent="0.3">
      <c r="QT6467" s="106"/>
      <c r="QU6467" s="106"/>
      <c r="QV6467" s="106"/>
      <c r="QW6467" s="106"/>
      <c r="QX6467" s="106"/>
      <c r="QY6467" s="106"/>
      <c r="QZ6467" s="106"/>
      <c r="RA6467" s="106"/>
      <c r="RB6467" s="106"/>
      <c r="RC6467" s="106"/>
      <c r="RD6467" s="106"/>
      <c r="RE6467" s="106"/>
      <c r="RF6467" s="106"/>
      <c r="RG6467" s="106"/>
      <c r="RH6467" s="106"/>
      <c r="RI6467" s="106"/>
      <c r="RJ6467" s="106"/>
      <c r="RK6467" s="106"/>
      <c r="RL6467" s="106"/>
    </row>
    <row r="6468" spans="462:480" x14ac:dyDescent="0.3">
      <c r="QT6468" s="106"/>
      <c r="QU6468" s="106"/>
      <c r="QV6468" s="106"/>
      <c r="QW6468" s="106"/>
      <c r="QX6468" s="106"/>
      <c r="QY6468" s="106"/>
      <c r="QZ6468" s="106"/>
      <c r="RA6468" s="106"/>
      <c r="RB6468" s="106"/>
      <c r="RC6468" s="106"/>
      <c r="RD6468" s="106"/>
      <c r="RE6468" s="106"/>
      <c r="RF6468" s="106"/>
      <c r="RG6468" s="106"/>
      <c r="RH6468" s="106"/>
      <c r="RI6468" s="106"/>
      <c r="RJ6468" s="106"/>
      <c r="RK6468" s="106"/>
      <c r="RL6468" s="106"/>
    </row>
    <row r="6469" spans="462:480" x14ac:dyDescent="0.3">
      <c r="QT6469" s="106"/>
      <c r="QU6469" s="106"/>
      <c r="QV6469" s="106"/>
      <c r="QW6469" s="106"/>
      <c r="QX6469" s="106"/>
      <c r="QY6469" s="106"/>
      <c r="QZ6469" s="106"/>
      <c r="RA6469" s="106"/>
      <c r="RB6469" s="106"/>
      <c r="RC6469" s="106"/>
      <c r="RD6469" s="106"/>
      <c r="RE6469" s="106"/>
      <c r="RF6469" s="106"/>
      <c r="RG6469" s="106"/>
      <c r="RH6469" s="106"/>
      <c r="RI6469" s="106"/>
      <c r="RJ6469" s="106"/>
      <c r="RK6469" s="106"/>
      <c r="RL6469" s="106"/>
    </row>
    <row r="6470" spans="462:480" x14ac:dyDescent="0.3">
      <c r="QT6470" s="106"/>
      <c r="QU6470" s="106"/>
      <c r="QV6470" s="106"/>
      <c r="QW6470" s="106"/>
      <c r="QX6470" s="106"/>
      <c r="QY6470" s="106"/>
      <c r="QZ6470" s="106"/>
      <c r="RA6470" s="106"/>
      <c r="RB6470" s="106"/>
      <c r="RC6470" s="106"/>
      <c r="RD6470" s="106"/>
      <c r="RE6470" s="106"/>
      <c r="RF6470" s="106"/>
      <c r="RG6470" s="106"/>
      <c r="RH6470" s="106"/>
      <c r="RI6470" s="106"/>
      <c r="RJ6470" s="106"/>
      <c r="RK6470" s="106"/>
      <c r="RL6470" s="106"/>
    </row>
    <row r="6471" spans="462:480" x14ac:dyDescent="0.3">
      <c r="QT6471" s="106"/>
      <c r="QU6471" s="106"/>
      <c r="QV6471" s="106"/>
      <c r="QW6471" s="106"/>
      <c r="QX6471" s="106"/>
      <c r="QY6471" s="106"/>
      <c r="QZ6471" s="106"/>
      <c r="RA6471" s="106"/>
      <c r="RB6471" s="106"/>
      <c r="RC6471" s="106"/>
      <c r="RD6471" s="106"/>
      <c r="RE6471" s="106"/>
      <c r="RF6471" s="106"/>
      <c r="RG6471" s="106"/>
      <c r="RH6471" s="106"/>
      <c r="RI6471" s="106"/>
      <c r="RJ6471" s="106"/>
      <c r="RK6471" s="106"/>
      <c r="RL6471" s="106"/>
    </row>
    <row r="6472" spans="462:480" x14ac:dyDescent="0.3">
      <c r="QT6472" s="106"/>
      <c r="QU6472" s="106"/>
      <c r="QV6472" s="106"/>
      <c r="QW6472" s="106"/>
      <c r="QX6472" s="106"/>
      <c r="QY6472" s="106"/>
      <c r="QZ6472" s="106"/>
      <c r="RA6472" s="106"/>
      <c r="RB6472" s="106"/>
      <c r="RC6472" s="106"/>
      <c r="RD6472" s="106"/>
      <c r="RE6472" s="106"/>
      <c r="RF6472" s="106"/>
      <c r="RG6472" s="106"/>
      <c r="RH6472" s="106"/>
      <c r="RI6472" s="106"/>
      <c r="RJ6472" s="106"/>
      <c r="RK6472" s="106"/>
      <c r="RL6472" s="106"/>
    </row>
    <row r="6473" spans="462:480" x14ac:dyDescent="0.3">
      <c r="QT6473" s="106"/>
      <c r="QU6473" s="106"/>
      <c r="QV6473" s="106"/>
      <c r="QW6473" s="106"/>
      <c r="QX6473" s="106"/>
      <c r="QY6473" s="106"/>
      <c r="QZ6473" s="106"/>
      <c r="RA6473" s="106"/>
      <c r="RB6473" s="106"/>
      <c r="RC6473" s="106"/>
      <c r="RD6473" s="106"/>
      <c r="RE6473" s="106"/>
      <c r="RF6473" s="106"/>
      <c r="RG6473" s="106"/>
      <c r="RH6473" s="106"/>
      <c r="RI6473" s="106"/>
      <c r="RJ6473" s="106"/>
      <c r="RK6473" s="106"/>
      <c r="RL6473" s="106"/>
    </row>
    <row r="6474" spans="462:480" x14ac:dyDescent="0.3">
      <c r="QT6474" s="106"/>
      <c r="QU6474" s="106"/>
      <c r="QV6474" s="106"/>
      <c r="QW6474" s="106"/>
      <c r="QX6474" s="106"/>
      <c r="QY6474" s="106"/>
      <c r="QZ6474" s="106"/>
      <c r="RA6474" s="106"/>
      <c r="RB6474" s="106"/>
      <c r="RC6474" s="106"/>
      <c r="RD6474" s="106"/>
      <c r="RE6474" s="106"/>
      <c r="RF6474" s="106"/>
      <c r="RG6474" s="106"/>
      <c r="RH6474" s="106"/>
      <c r="RI6474" s="106"/>
      <c r="RJ6474" s="106"/>
      <c r="RK6474" s="106"/>
      <c r="RL6474" s="106"/>
    </row>
    <row r="6475" spans="462:480" x14ac:dyDescent="0.3">
      <c r="QT6475" s="106"/>
      <c r="QU6475" s="106"/>
      <c r="QV6475" s="106"/>
      <c r="QW6475" s="106"/>
      <c r="QX6475" s="106"/>
      <c r="QY6475" s="106"/>
      <c r="QZ6475" s="106"/>
      <c r="RA6475" s="106"/>
      <c r="RB6475" s="106"/>
      <c r="RC6475" s="106"/>
      <c r="RD6475" s="106"/>
      <c r="RE6475" s="106"/>
      <c r="RF6475" s="106"/>
      <c r="RG6475" s="106"/>
      <c r="RH6475" s="106"/>
      <c r="RI6475" s="106"/>
      <c r="RJ6475" s="106"/>
      <c r="RK6475" s="106"/>
      <c r="RL6475" s="106"/>
    </row>
    <row r="6476" spans="462:480" x14ac:dyDescent="0.3">
      <c r="QT6476" s="106"/>
      <c r="QU6476" s="106"/>
      <c r="QV6476" s="106"/>
      <c r="QW6476" s="106"/>
      <c r="QX6476" s="106"/>
      <c r="QY6476" s="106"/>
      <c r="QZ6476" s="106"/>
      <c r="RA6476" s="106"/>
      <c r="RB6476" s="106"/>
      <c r="RC6476" s="106"/>
      <c r="RD6476" s="106"/>
      <c r="RE6476" s="106"/>
      <c r="RF6476" s="106"/>
      <c r="RG6476" s="106"/>
      <c r="RH6476" s="106"/>
      <c r="RI6476" s="106"/>
      <c r="RJ6476" s="106"/>
      <c r="RK6476" s="106"/>
      <c r="RL6476" s="106"/>
    </row>
    <row r="6477" spans="462:480" x14ac:dyDescent="0.3">
      <c r="QT6477" s="106"/>
      <c r="QU6477" s="106"/>
      <c r="QV6477" s="106"/>
      <c r="QW6477" s="106"/>
      <c r="QX6477" s="106"/>
      <c r="QY6477" s="106"/>
      <c r="QZ6477" s="106"/>
      <c r="RA6477" s="106"/>
      <c r="RB6477" s="106"/>
      <c r="RC6477" s="106"/>
      <c r="RD6477" s="106"/>
      <c r="RE6477" s="106"/>
      <c r="RF6477" s="106"/>
      <c r="RG6477" s="106"/>
      <c r="RH6477" s="106"/>
      <c r="RI6477" s="106"/>
      <c r="RJ6477" s="106"/>
      <c r="RK6477" s="106"/>
      <c r="RL6477" s="106"/>
    </row>
    <row r="6478" spans="462:480" x14ac:dyDescent="0.3">
      <c r="QT6478" s="106"/>
      <c r="QU6478" s="106"/>
      <c r="QV6478" s="106"/>
      <c r="QW6478" s="106"/>
      <c r="QX6478" s="106"/>
      <c r="QY6478" s="106"/>
      <c r="QZ6478" s="106"/>
      <c r="RA6478" s="106"/>
      <c r="RB6478" s="106"/>
      <c r="RC6478" s="106"/>
      <c r="RD6478" s="106"/>
      <c r="RE6478" s="106"/>
      <c r="RF6478" s="106"/>
      <c r="RG6478" s="106"/>
      <c r="RH6478" s="106"/>
      <c r="RI6478" s="106"/>
      <c r="RJ6478" s="106"/>
      <c r="RK6478" s="106"/>
      <c r="RL6478" s="106"/>
    </row>
    <row r="6479" spans="462:480" x14ac:dyDescent="0.3">
      <c r="QT6479" s="106"/>
      <c r="QU6479" s="106"/>
      <c r="QV6479" s="106"/>
      <c r="QW6479" s="106"/>
      <c r="QX6479" s="106"/>
      <c r="QY6479" s="106"/>
      <c r="QZ6479" s="106"/>
      <c r="RA6479" s="106"/>
      <c r="RB6479" s="106"/>
      <c r="RC6479" s="106"/>
      <c r="RD6479" s="106"/>
      <c r="RE6479" s="106"/>
      <c r="RF6479" s="106"/>
      <c r="RG6479" s="106"/>
      <c r="RH6479" s="106"/>
      <c r="RI6479" s="106"/>
      <c r="RJ6479" s="106"/>
      <c r="RK6479" s="106"/>
      <c r="RL6479" s="106"/>
    </row>
    <row r="6480" spans="462:480" x14ac:dyDescent="0.3">
      <c r="QT6480" s="106"/>
      <c r="QU6480" s="106"/>
      <c r="QV6480" s="106"/>
      <c r="QW6480" s="106"/>
      <c r="QX6480" s="106"/>
      <c r="QY6480" s="106"/>
      <c r="QZ6480" s="106"/>
      <c r="RA6480" s="106"/>
      <c r="RB6480" s="106"/>
      <c r="RC6480" s="106"/>
      <c r="RD6480" s="106"/>
      <c r="RE6480" s="106"/>
      <c r="RF6480" s="106"/>
      <c r="RG6480" s="106"/>
      <c r="RH6480" s="106"/>
      <c r="RI6480" s="106"/>
      <c r="RJ6480" s="106"/>
      <c r="RK6480" s="106"/>
      <c r="RL6480" s="106"/>
    </row>
    <row r="6481" spans="462:480" x14ac:dyDescent="0.3">
      <c r="QT6481" s="106"/>
      <c r="QU6481" s="106"/>
      <c r="QV6481" s="106"/>
      <c r="QW6481" s="106"/>
      <c r="QX6481" s="106"/>
      <c r="QY6481" s="106"/>
      <c r="QZ6481" s="106"/>
      <c r="RA6481" s="106"/>
      <c r="RB6481" s="106"/>
      <c r="RC6481" s="106"/>
      <c r="RD6481" s="106"/>
      <c r="RE6481" s="106"/>
      <c r="RF6481" s="106"/>
      <c r="RG6481" s="106"/>
      <c r="RH6481" s="106"/>
      <c r="RI6481" s="106"/>
      <c r="RJ6481" s="106"/>
      <c r="RK6481" s="106"/>
      <c r="RL6481" s="106"/>
    </row>
    <row r="6482" spans="462:480" x14ac:dyDescent="0.3">
      <c r="QT6482" s="106"/>
      <c r="QU6482" s="106"/>
      <c r="QV6482" s="106"/>
      <c r="QW6482" s="106"/>
      <c r="QX6482" s="106"/>
      <c r="QY6482" s="106"/>
      <c r="QZ6482" s="106"/>
      <c r="RA6482" s="106"/>
      <c r="RB6482" s="106"/>
      <c r="RC6482" s="106"/>
      <c r="RD6482" s="106"/>
      <c r="RE6482" s="106"/>
      <c r="RF6482" s="106"/>
      <c r="RG6482" s="106"/>
      <c r="RH6482" s="106"/>
      <c r="RI6482" s="106"/>
      <c r="RJ6482" s="106"/>
      <c r="RK6482" s="106"/>
      <c r="RL6482" s="106"/>
    </row>
    <row r="6483" spans="462:480" x14ac:dyDescent="0.3">
      <c r="QT6483" s="106"/>
      <c r="QU6483" s="106"/>
      <c r="QV6483" s="106"/>
      <c r="QW6483" s="106"/>
      <c r="QX6483" s="106"/>
      <c r="QY6483" s="106"/>
      <c r="QZ6483" s="106"/>
      <c r="RA6483" s="106"/>
      <c r="RB6483" s="106"/>
      <c r="RC6483" s="106"/>
      <c r="RD6483" s="106"/>
      <c r="RE6483" s="106"/>
      <c r="RF6483" s="106"/>
      <c r="RG6483" s="106"/>
      <c r="RH6483" s="106"/>
      <c r="RI6483" s="106"/>
      <c r="RJ6483" s="106"/>
      <c r="RK6483" s="106"/>
      <c r="RL6483" s="106"/>
    </row>
    <row r="6484" spans="462:480" x14ac:dyDescent="0.3">
      <c r="QT6484" s="106"/>
      <c r="QU6484" s="106"/>
      <c r="QV6484" s="106"/>
      <c r="QW6484" s="106"/>
      <c r="QX6484" s="106"/>
      <c r="QY6484" s="106"/>
      <c r="QZ6484" s="106"/>
      <c r="RA6484" s="106"/>
      <c r="RB6484" s="106"/>
      <c r="RC6484" s="106"/>
      <c r="RD6484" s="106"/>
      <c r="RE6484" s="106"/>
      <c r="RF6484" s="106"/>
      <c r="RG6484" s="106"/>
      <c r="RH6484" s="106"/>
      <c r="RI6484" s="106"/>
      <c r="RJ6484" s="106"/>
      <c r="RK6484" s="106"/>
      <c r="RL6484" s="106"/>
    </row>
    <row r="6485" spans="462:480" x14ac:dyDescent="0.3">
      <c r="QT6485" s="106"/>
      <c r="QU6485" s="106"/>
      <c r="QV6485" s="106"/>
      <c r="QW6485" s="106"/>
      <c r="QX6485" s="106"/>
      <c r="QY6485" s="106"/>
      <c r="QZ6485" s="106"/>
      <c r="RA6485" s="106"/>
      <c r="RB6485" s="106"/>
      <c r="RC6485" s="106"/>
      <c r="RD6485" s="106"/>
      <c r="RE6485" s="106"/>
      <c r="RF6485" s="106"/>
      <c r="RG6485" s="106"/>
      <c r="RH6485" s="106"/>
      <c r="RI6485" s="106"/>
      <c r="RJ6485" s="106"/>
      <c r="RK6485" s="106"/>
      <c r="RL6485" s="106"/>
    </row>
    <row r="6486" spans="462:480" x14ac:dyDescent="0.3">
      <c r="QT6486" s="106"/>
      <c r="QU6486" s="106"/>
      <c r="QV6486" s="106"/>
      <c r="QW6486" s="106"/>
      <c r="QX6486" s="106"/>
      <c r="QY6486" s="106"/>
      <c r="QZ6486" s="106"/>
      <c r="RA6486" s="106"/>
      <c r="RB6486" s="106"/>
      <c r="RC6486" s="106"/>
      <c r="RD6486" s="106"/>
      <c r="RE6486" s="106"/>
      <c r="RF6486" s="106"/>
      <c r="RG6486" s="106"/>
      <c r="RH6486" s="106"/>
      <c r="RI6486" s="106"/>
      <c r="RJ6486" s="106"/>
      <c r="RK6486" s="106"/>
      <c r="RL6486" s="106"/>
    </row>
    <row r="6487" spans="462:480" x14ac:dyDescent="0.3">
      <c r="QT6487" s="106"/>
      <c r="QU6487" s="106"/>
      <c r="QV6487" s="106"/>
      <c r="QW6487" s="106"/>
      <c r="QX6487" s="106"/>
      <c r="QY6487" s="106"/>
      <c r="QZ6487" s="106"/>
      <c r="RA6487" s="106"/>
      <c r="RB6487" s="106"/>
      <c r="RC6487" s="106"/>
      <c r="RD6487" s="106"/>
      <c r="RE6487" s="106"/>
      <c r="RF6487" s="106"/>
      <c r="RG6487" s="106"/>
      <c r="RH6487" s="106"/>
      <c r="RI6487" s="106"/>
      <c r="RJ6487" s="106"/>
      <c r="RK6487" s="106"/>
      <c r="RL6487" s="106"/>
    </row>
    <row r="6488" spans="462:480" x14ac:dyDescent="0.3">
      <c r="QT6488" s="106"/>
      <c r="QU6488" s="106"/>
      <c r="QV6488" s="106"/>
      <c r="QW6488" s="106"/>
      <c r="QX6488" s="106"/>
      <c r="QY6488" s="106"/>
      <c r="QZ6488" s="106"/>
      <c r="RA6488" s="106"/>
      <c r="RB6488" s="106"/>
      <c r="RC6488" s="106"/>
      <c r="RD6488" s="106"/>
      <c r="RE6488" s="106"/>
      <c r="RF6488" s="106"/>
      <c r="RG6488" s="106"/>
      <c r="RH6488" s="106"/>
      <c r="RI6488" s="106"/>
      <c r="RJ6488" s="106"/>
      <c r="RK6488" s="106"/>
      <c r="RL6488" s="106"/>
    </row>
    <row r="6489" spans="462:480" x14ac:dyDescent="0.3">
      <c r="QT6489" s="106"/>
      <c r="QU6489" s="106"/>
      <c r="QV6489" s="106"/>
      <c r="QW6489" s="106"/>
      <c r="QX6489" s="106"/>
      <c r="QY6489" s="106"/>
      <c r="QZ6489" s="106"/>
      <c r="RA6489" s="106"/>
      <c r="RB6489" s="106"/>
      <c r="RC6489" s="106"/>
      <c r="RD6489" s="106"/>
      <c r="RE6489" s="106"/>
      <c r="RF6489" s="106"/>
      <c r="RG6489" s="106"/>
      <c r="RH6489" s="106"/>
      <c r="RI6489" s="106"/>
      <c r="RJ6489" s="106"/>
      <c r="RK6489" s="106"/>
      <c r="RL6489" s="106"/>
    </row>
    <row r="6490" spans="462:480" x14ac:dyDescent="0.3">
      <c r="QT6490" s="106"/>
      <c r="QU6490" s="106"/>
      <c r="QV6490" s="106"/>
      <c r="QW6490" s="106"/>
      <c r="QX6490" s="106"/>
      <c r="QY6490" s="106"/>
      <c r="QZ6490" s="106"/>
      <c r="RA6490" s="106"/>
      <c r="RB6490" s="106"/>
      <c r="RC6490" s="106"/>
      <c r="RD6490" s="106"/>
      <c r="RE6490" s="106"/>
      <c r="RF6490" s="106"/>
      <c r="RG6490" s="106"/>
      <c r="RH6490" s="106"/>
      <c r="RI6490" s="106"/>
      <c r="RJ6490" s="106"/>
      <c r="RK6490" s="106"/>
      <c r="RL6490" s="106"/>
    </row>
    <row r="6491" spans="462:480" x14ac:dyDescent="0.3">
      <c r="QT6491" s="106"/>
      <c r="QU6491" s="106"/>
      <c r="QV6491" s="106"/>
      <c r="QW6491" s="106"/>
      <c r="QX6491" s="106"/>
      <c r="QY6491" s="106"/>
      <c r="QZ6491" s="106"/>
      <c r="RA6491" s="106"/>
      <c r="RB6491" s="106"/>
      <c r="RC6491" s="106"/>
      <c r="RD6491" s="106"/>
      <c r="RE6491" s="106"/>
      <c r="RF6491" s="106"/>
      <c r="RG6491" s="106"/>
      <c r="RH6491" s="106"/>
      <c r="RI6491" s="106"/>
      <c r="RJ6491" s="106"/>
      <c r="RK6491" s="106"/>
      <c r="RL6491" s="106"/>
    </row>
    <row r="6492" spans="462:480" x14ac:dyDescent="0.3">
      <c r="QT6492" s="106"/>
      <c r="QU6492" s="106"/>
      <c r="QV6492" s="106"/>
      <c r="QW6492" s="106"/>
      <c r="QX6492" s="106"/>
      <c r="QY6492" s="106"/>
      <c r="QZ6492" s="106"/>
      <c r="RA6492" s="106"/>
      <c r="RB6492" s="106"/>
      <c r="RC6492" s="106"/>
      <c r="RD6492" s="106"/>
      <c r="RE6492" s="106"/>
      <c r="RF6492" s="106"/>
      <c r="RG6492" s="106"/>
      <c r="RH6492" s="106"/>
      <c r="RI6492" s="106"/>
      <c r="RJ6492" s="106"/>
      <c r="RK6492" s="106"/>
      <c r="RL6492" s="106"/>
    </row>
    <row r="6493" spans="462:480" x14ac:dyDescent="0.3">
      <c r="QT6493" s="106"/>
      <c r="QU6493" s="106"/>
      <c r="QV6493" s="106"/>
      <c r="QW6493" s="106"/>
      <c r="QX6493" s="106"/>
      <c r="QY6493" s="106"/>
      <c r="QZ6493" s="106"/>
      <c r="RA6493" s="106"/>
      <c r="RB6493" s="106"/>
      <c r="RC6493" s="106"/>
      <c r="RD6493" s="106"/>
      <c r="RE6493" s="106"/>
      <c r="RF6493" s="106"/>
      <c r="RG6493" s="106"/>
      <c r="RH6493" s="106"/>
      <c r="RI6493" s="106"/>
      <c r="RJ6493" s="106"/>
      <c r="RK6493" s="106"/>
      <c r="RL6493" s="106"/>
    </row>
    <row r="6494" spans="462:480" x14ac:dyDescent="0.3">
      <c r="QT6494" s="106"/>
      <c r="QU6494" s="106"/>
      <c r="QV6494" s="106"/>
      <c r="QW6494" s="106"/>
      <c r="QX6494" s="106"/>
      <c r="QY6494" s="106"/>
      <c r="QZ6494" s="106"/>
      <c r="RA6494" s="106"/>
      <c r="RB6494" s="106"/>
      <c r="RC6494" s="106"/>
      <c r="RD6494" s="106"/>
      <c r="RE6494" s="106"/>
      <c r="RF6494" s="106"/>
      <c r="RG6494" s="106"/>
      <c r="RH6494" s="106"/>
      <c r="RI6494" s="106"/>
      <c r="RJ6494" s="106"/>
      <c r="RK6494" s="106"/>
      <c r="RL6494" s="106"/>
    </row>
    <row r="6495" spans="462:480" x14ac:dyDescent="0.3">
      <c r="QT6495" s="106"/>
      <c r="QU6495" s="106"/>
      <c r="QV6495" s="106"/>
      <c r="QW6495" s="106"/>
      <c r="QX6495" s="106"/>
      <c r="QY6495" s="106"/>
      <c r="QZ6495" s="106"/>
      <c r="RA6495" s="106"/>
      <c r="RB6495" s="106"/>
      <c r="RC6495" s="106"/>
      <c r="RD6495" s="106"/>
      <c r="RE6495" s="106"/>
      <c r="RF6495" s="106"/>
      <c r="RG6495" s="106"/>
      <c r="RH6495" s="106"/>
      <c r="RI6495" s="106"/>
      <c r="RJ6495" s="106"/>
      <c r="RK6495" s="106"/>
      <c r="RL6495" s="106"/>
    </row>
    <row r="6496" spans="462:480" x14ac:dyDescent="0.3">
      <c r="QT6496" s="106"/>
      <c r="QU6496" s="106"/>
      <c r="QV6496" s="106"/>
      <c r="QW6496" s="106"/>
      <c r="QX6496" s="106"/>
      <c r="QY6496" s="106"/>
      <c r="QZ6496" s="106"/>
      <c r="RA6496" s="106"/>
      <c r="RB6496" s="106"/>
      <c r="RC6496" s="106"/>
      <c r="RD6496" s="106"/>
      <c r="RE6496" s="106"/>
      <c r="RF6496" s="106"/>
      <c r="RG6496" s="106"/>
      <c r="RH6496" s="106"/>
      <c r="RI6496" s="106"/>
      <c r="RJ6496" s="106"/>
      <c r="RK6496" s="106"/>
      <c r="RL6496" s="106"/>
    </row>
    <row r="6497" spans="462:480" x14ac:dyDescent="0.3">
      <c r="QT6497" s="106"/>
      <c r="QU6497" s="106"/>
      <c r="QV6497" s="106"/>
      <c r="QW6497" s="106"/>
      <c r="QX6497" s="106"/>
      <c r="QY6497" s="106"/>
      <c r="QZ6497" s="106"/>
      <c r="RA6497" s="106"/>
      <c r="RB6497" s="106"/>
      <c r="RC6497" s="106"/>
      <c r="RD6497" s="106"/>
      <c r="RE6497" s="106"/>
      <c r="RF6497" s="106"/>
      <c r="RG6497" s="106"/>
      <c r="RH6497" s="106"/>
      <c r="RI6497" s="106"/>
      <c r="RJ6497" s="106"/>
      <c r="RK6497" s="106"/>
      <c r="RL6497" s="106"/>
    </row>
    <row r="6498" spans="462:480" x14ac:dyDescent="0.3">
      <c r="QT6498" s="106"/>
      <c r="QU6498" s="106"/>
      <c r="QV6498" s="106"/>
      <c r="QW6498" s="106"/>
      <c r="QX6498" s="106"/>
      <c r="QY6498" s="106"/>
      <c r="QZ6498" s="106"/>
      <c r="RA6498" s="106"/>
      <c r="RB6498" s="106"/>
      <c r="RC6498" s="106"/>
      <c r="RD6498" s="106"/>
      <c r="RE6498" s="106"/>
      <c r="RF6498" s="106"/>
      <c r="RG6498" s="106"/>
      <c r="RH6498" s="106"/>
      <c r="RI6498" s="106"/>
      <c r="RJ6498" s="106"/>
      <c r="RK6498" s="106"/>
      <c r="RL6498" s="106"/>
    </row>
    <row r="6499" spans="462:480" x14ac:dyDescent="0.3">
      <c r="QT6499" s="106"/>
      <c r="QU6499" s="106"/>
      <c r="QV6499" s="106"/>
      <c r="QW6499" s="106"/>
      <c r="QX6499" s="106"/>
      <c r="QY6499" s="106"/>
      <c r="QZ6499" s="106"/>
      <c r="RA6499" s="106"/>
      <c r="RB6499" s="106"/>
      <c r="RC6499" s="106"/>
      <c r="RD6499" s="106"/>
      <c r="RE6499" s="106"/>
      <c r="RF6499" s="106"/>
      <c r="RG6499" s="106"/>
      <c r="RH6499" s="106"/>
      <c r="RI6499" s="106"/>
      <c r="RJ6499" s="106"/>
      <c r="RK6499" s="106"/>
      <c r="RL6499" s="106"/>
    </row>
    <row r="6500" spans="462:480" x14ac:dyDescent="0.3">
      <c r="QT6500" s="106"/>
      <c r="QU6500" s="106"/>
      <c r="QV6500" s="106"/>
      <c r="QW6500" s="106"/>
      <c r="QX6500" s="106"/>
      <c r="QY6500" s="106"/>
      <c r="QZ6500" s="106"/>
      <c r="RA6500" s="106"/>
      <c r="RB6500" s="106"/>
      <c r="RC6500" s="106"/>
      <c r="RD6500" s="106"/>
      <c r="RE6500" s="106"/>
      <c r="RF6500" s="106"/>
      <c r="RG6500" s="106"/>
      <c r="RH6500" s="106"/>
      <c r="RI6500" s="106"/>
      <c r="RJ6500" s="106"/>
      <c r="RK6500" s="106"/>
      <c r="RL6500" s="106"/>
    </row>
    <row r="6501" spans="462:480" x14ac:dyDescent="0.3">
      <c r="QT6501" s="106"/>
      <c r="QU6501" s="106"/>
      <c r="QV6501" s="106"/>
      <c r="QW6501" s="106"/>
      <c r="QX6501" s="106"/>
      <c r="QY6501" s="106"/>
      <c r="QZ6501" s="106"/>
      <c r="RA6501" s="106"/>
      <c r="RB6501" s="106"/>
      <c r="RC6501" s="106"/>
      <c r="RD6501" s="106"/>
      <c r="RE6501" s="106"/>
      <c r="RF6501" s="106"/>
      <c r="RG6501" s="106"/>
      <c r="RH6501" s="106"/>
      <c r="RI6501" s="106"/>
      <c r="RJ6501" s="106"/>
      <c r="RK6501" s="106"/>
      <c r="RL6501" s="106"/>
    </row>
    <row r="6502" spans="462:480" x14ac:dyDescent="0.3">
      <c r="QT6502" s="106"/>
      <c r="QU6502" s="106"/>
      <c r="QV6502" s="106"/>
      <c r="QW6502" s="106"/>
      <c r="QX6502" s="106"/>
      <c r="QY6502" s="106"/>
      <c r="QZ6502" s="106"/>
      <c r="RA6502" s="106"/>
      <c r="RB6502" s="106"/>
      <c r="RC6502" s="106"/>
      <c r="RD6502" s="106"/>
      <c r="RE6502" s="106"/>
      <c r="RF6502" s="106"/>
      <c r="RG6502" s="106"/>
      <c r="RH6502" s="106"/>
      <c r="RI6502" s="106"/>
      <c r="RJ6502" s="106"/>
      <c r="RK6502" s="106"/>
      <c r="RL6502" s="106"/>
    </row>
    <row r="6503" spans="462:480" x14ac:dyDescent="0.3">
      <c r="QT6503" s="106"/>
      <c r="QU6503" s="106"/>
      <c r="QV6503" s="106"/>
      <c r="QW6503" s="106"/>
      <c r="QX6503" s="106"/>
      <c r="QY6503" s="106"/>
      <c r="QZ6503" s="106"/>
      <c r="RA6503" s="106"/>
      <c r="RB6503" s="106"/>
      <c r="RC6503" s="106"/>
      <c r="RD6503" s="106"/>
      <c r="RE6503" s="106"/>
      <c r="RF6503" s="106"/>
      <c r="RG6503" s="106"/>
      <c r="RH6503" s="106"/>
      <c r="RI6503" s="106"/>
      <c r="RJ6503" s="106"/>
      <c r="RK6503" s="106"/>
      <c r="RL6503" s="106"/>
    </row>
    <row r="6504" spans="462:480" x14ac:dyDescent="0.3">
      <c r="QT6504" s="106"/>
      <c r="QU6504" s="106"/>
      <c r="QV6504" s="106"/>
      <c r="QW6504" s="106"/>
      <c r="QX6504" s="106"/>
      <c r="QY6504" s="106"/>
      <c r="QZ6504" s="106"/>
      <c r="RA6504" s="106"/>
      <c r="RB6504" s="106"/>
      <c r="RC6504" s="106"/>
      <c r="RD6504" s="106"/>
      <c r="RE6504" s="106"/>
      <c r="RF6504" s="106"/>
      <c r="RG6504" s="106"/>
      <c r="RH6504" s="106"/>
      <c r="RI6504" s="106"/>
      <c r="RJ6504" s="106"/>
      <c r="RK6504" s="106"/>
      <c r="RL6504" s="106"/>
    </row>
    <row r="6505" spans="462:480" x14ac:dyDescent="0.3">
      <c r="QT6505" s="106"/>
      <c r="QU6505" s="106"/>
      <c r="QV6505" s="106"/>
      <c r="QW6505" s="106"/>
      <c r="QX6505" s="106"/>
      <c r="QY6505" s="106"/>
      <c r="QZ6505" s="106"/>
      <c r="RA6505" s="106"/>
      <c r="RB6505" s="106"/>
      <c r="RC6505" s="106"/>
      <c r="RD6505" s="106"/>
      <c r="RE6505" s="106"/>
      <c r="RF6505" s="106"/>
      <c r="RG6505" s="106"/>
      <c r="RH6505" s="106"/>
      <c r="RI6505" s="106"/>
      <c r="RJ6505" s="106"/>
      <c r="RK6505" s="106"/>
      <c r="RL6505" s="106"/>
    </row>
    <row r="6506" spans="462:480" x14ac:dyDescent="0.3">
      <c r="QT6506" s="106"/>
      <c r="QU6506" s="106"/>
      <c r="QV6506" s="106"/>
      <c r="QW6506" s="106"/>
      <c r="QX6506" s="106"/>
      <c r="QY6506" s="106"/>
      <c r="QZ6506" s="106"/>
      <c r="RA6506" s="106"/>
      <c r="RB6506" s="106"/>
      <c r="RC6506" s="106"/>
      <c r="RD6506" s="106"/>
      <c r="RE6506" s="106"/>
      <c r="RF6506" s="106"/>
      <c r="RG6506" s="106"/>
      <c r="RH6506" s="106"/>
      <c r="RI6506" s="106"/>
      <c r="RJ6506" s="106"/>
      <c r="RK6506" s="106"/>
      <c r="RL6506" s="106"/>
    </row>
    <row r="6507" spans="462:480" x14ac:dyDescent="0.3">
      <c r="QT6507" s="106"/>
      <c r="QU6507" s="106"/>
      <c r="QV6507" s="106"/>
      <c r="QW6507" s="106"/>
      <c r="QX6507" s="106"/>
      <c r="QY6507" s="106"/>
      <c r="QZ6507" s="106"/>
      <c r="RA6507" s="106"/>
      <c r="RB6507" s="106"/>
      <c r="RC6507" s="106"/>
      <c r="RD6507" s="106"/>
      <c r="RE6507" s="106"/>
      <c r="RF6507" s="106"/>
      <c r="RG6507" s="106"/>
      <c r="RH6507" s="106"/>
      <c r="RI6507" s="106"/>
      <c r="RJ6507" s="106"/>
      <c r="RK6507" s="106"/>
      <c r="RL6507" s="106"/>
    </row>
    <row r="6508" spans="462:480" x14ac:dyDescent="0.3">
      <c r="QT6508" s="106"/>
      <c r="QU6508" s="106"/>
      <c r="QV6508" s="106"/>
      <c r="QW6508" s="106"/>
      <c r="QX6508" s="106"/>
      <c r="QY6508" s="106"/>
      <c r="QZ6508" s="106"/>
      <c r="RA6508" s="106"/>
      <c r="RB6508" s="106"/>
      <c r="RC6508" s="106"/>
      <c r="RD6508" s="106"/>
      <c r="RE6508" s="106"/>
      <c r="RF6508" s="106"/>
      <c r="RG6508" s="106"/>
      <c r="RH6508" s="106"/>
      <c r="RI6508" s="106"/>
      <c r="RJ6508" s="106"/>
      <c r="RK6508" s="106"/>
      <c r="RL6508" s="106"/>
    </row>
    <row r="6509" spans="462:480" x14ac:dyDescent="0.3">
      <c r="QT6509" s="106"/>
      <c r="QU6509" s="106"/>
      <c r="QV6509" s="106"/>
      <c r="QW6509" s="106"/>
      <c r="QX6509" s="106"/>
      <c r="QY6509" s="106"/>
      <c r="QZ6509" s="106"/>
      <c r="RA6509" s="106"/>
      <c r="RB6509" s="106"/>
      <c r="RC6509" s="106"/>
      <c r="RD6509" s="106"/>
      <c r="RE6509" s="106"/>
      <c r="RF6509" s="106"/>
      <c r="RG6509" s="106"/>
      <c r="RH6509" s="106"/>
      <c r="RI6509" s="106"/>
      <c r="RJ6509" s="106"/>
      <c r="RK6509" s="106"/>
      <c r="RL6509" s="106"/>
    </row>
    <row r="6510" spans="462:480" x14ac:dyDescent="0.3">
      <c r="QT6510" s="106"/>
      <c r="QU6510" s="106"/>
      <c r="QV6510" s="106"/>
      <c r="QW6510" s="106"/>
      <c r="QX6510" s="106"/>
      <c r="QY6510" s="106"/>
      <c r="QZ6510" s="106"/>
      <c r="RA6510" s="106"/>
      <c r="RB6510" s="106"/>
      <c r="RC6510" s="106"/>
      <c r="RD6510" s="106"/>
      <c r="RE6510" s="106"/>
      <c r="RF6510" s="106"/>
      <c r="RG6510" s="106"/>
      <c r="RH6510" s="106"/>
      <c r="RI6510" s="106"/>
      <c r="RJ6510" s="106"/>
      <c r="RK6510" s="106"/>
      <c r="RL6510" s="106"/>
    </row>
    <row r="6511" spans="462:480" x14ac:dyDescent="0.3">
      <c r="QT6511" s="106"/>
      <c r="QU6511" s="106"/>
      <c r="QV6511" s="106"/>
      <c r="QW6511" s="106"/>
      <c r="QX6511" s="106"/>
      <c r="QY6511" s="106"/>
      <c r="QZ6511" s="106"/>
      <c r="RA6511" s="106"/>
      <c r="RB6511" s="106"/>
      <c r="RC6511" s="106"/>
      <c r="RD6511" s="106"/>
      <c r="RE6511" s="106"/>
      <c r="RF6511" s="106"/>
      <c r="RG6511" s="106"/>
      <c r="RH6511" s="106"/>
      <c r="RI6511" s="106"/>
      <c r="RJ6511" s="106"/>
      <c r="RK6511" s="106"/>
      <c r="RL6511" s="106"/>
    </row>
    <row r="6512" spans="462:480" x14ac:dyDescent="0.3">
      <c r="QT6512" s="106"/>
      <c r="QU6512" s="106"/>
      <c r="QV6512" s="106"/>
      <c r="QW6512" s="106"/>
      <c r="QX6512" s="106"/>
      <c r="QY6512" s="106"/>
      <c r="QZ6512" s="106"/>
      <c r="RA6512" s="106"/>
      <c r="RB6512" s="106"/>
      <c r="RC6512" s="106"/>
      <c r="RD6512" s="106"/>
      <c r="RE6512" s="106"/>
      <c r="RF6512" s="106"/>
      <c r="RG6512" s="106"/>
      <c r="RH6512" s="106"/>
      <c r="RI6512" s="106"/>
      <c r="RJ6512" s="106"/>
      <c r="RK6512" s="106"/>
      <c r="RL6512" s="106"/>
    </row>
    <row r="6513" spans="462:480" x14ac:dyDescent="0.3">
      <c r="QT6513" s="106"/>
      <c r="QU6513" s="106"/>
      <c r="QV6513" s="106"/>
      <c r="QW6513" s="106"/>
      <c r="QX6513" s="106"/>
      <c r="QY6513" s="106"/>
      <c r="QZ6513" s="106"/>
      <c r="RA6513" s="106"/>
      <c r="RB6513" s="106"/>
      <c r="RC6513" s="106"/>
      <c r="RD6513" s="106"/>
      <c r="RE6513" s="106"/>
      <c r="RF6513" s="106"/>
      <c r="RG6513" s="106"/>
      <c r="RH6513" s="106"/>
      <c r="RI6513" s="106"/>
      <c r="RJ6513" s="106"/>
      <c r="RK6513" s="106"/>
      <c r="RL6513" s="106"/>
    </row>
    <row r="6514" spans="462:480" x14ac:dyDescent="0.3">
      <c r="QT6514" s="106"/>
      <c r="QU6514" s="106"/>
      <c r="QV6514" s="106"/>
      <c r="QW6514" s="106"/>
      <c r="QX6514" s="106"/>
      <c r="QY6514" s="106"/>
      <c r="QZ6514" s="106"/>
      <c r="RA6514" s="106"/>
      <c r="RB6514" s="106"/>
      <c r="RC6514" s="106"/>
      <c r="RD6514" s="106"/>
      <c r="RE6514" s="106"/>
      <c r="RF6514" s="106"/>
      <c r="RG6514" s="106"/>
      <c r="RH6514" s="106"/>
      <c r="RI6514" s="106"/>
      <c r="RJ6514" s="106"/>
      <c r="RK6514" s="106"/>
      <c r="RL6514" s="106"/>
    </row>
    <row r="6515" spans="462:480" x14ac:dyDescent="0.3">
      <c r="QT6515" s="106"/>
      <c r="QU6515" s="106"/>
      <c r="QV6515" s="106"/>
      <c r="QW6515" s="106"/>
      <c r="QX6515" s="106"/>
      <c r="QY6515" s="106"/>
      <c r="QZ6515" s="106"/>
      <c r="RA6515" s="106"/>
      <c r="RB6515" s="106"/>
      <c r="RC6515" s="106"/>
      <c r="RD6515" s="106"/>
      <c r="RE6515" s="106"/>
      <c r="RF6515" s="106"/>
      <c r="RG6515" s="106"/>
      <c r="RH6515" s="106"/>
      <c r="RI6515" s="106"/>
      <c r="RJ6515" s="106"/>
      <c r="RK6515" s="106"/>
      <c r="RL6515" s="106"/>
    </row>
    <row r="6516" spans="462:480" x14ac:dyDescent="0.3">
      <c r="QT6516" s="106"/>
      <c r="QU6516" s="106"/>
      <c r="QV6516" s="106"/>
      <c r="QW6516" s="106"/>
      <c r="QX6516" s="106"/>
      <c r="QY6516" s="106"/>
      <c r="QZ6516" s="106"/>
      <c r="RA6516" s="106"/>
      <c r="RB6516" s="106"/>
      <c r="RC6516" s="106"/>
      <c r="RD6516" s="106"/>
      <c r="RE6516" s="106"/>
      <c r="RF6516" s="106"/>
      <c r="RG6516" s="106"/>
      <c r="RH6516" s="106"/>
      <c r="RI6516" s="106"/>
      <c r="RJ6516" s="106"/>
      <c r="RK6516" s="106"/>
      <c r="RL6516" s="106"/>
    </row>
    <row r="6517" spans="462:480" x14ac:dyDescent="0.3">
      <c r="QT6517" s="106"/>
      <c r="QU6517" s="106"/>
      <c r="QV6517" s="106"/>
      <c r="QW6517" s="106"/>
      <c r="QX6517" s="106"/>
      <c r="QY6517" s="106"/>
      <c r="QZ6517" s="106"/>
      <c r="RA6517" s="106"/>
      <c r="RB6517" s="106"/>
      <c r="RC6517" s="106"/>
      <c r="RD6517" s="106"/>
      <c r="RE6517" s="106"/>
      <c r="RF6517" s="106"/>
      <c r="RG6517" s="106"/>
      <c r="RH6517" s="106"/>
      <c r="RI6517" s="106"/>
      <c r="RJ6517" s="106"/>
      <c r="RK6517" s="106"/>
      <c r="RL6517" s="106"/>
    </row>
    <row r="6518" spans="462:480" x14ac:dyDescent="0.3">
      <c r="QT6518" s="106"/>
      <c r="QU6518" s="106"/>
      <c r="QV6518" s="106"/>
      <c r="QW6518" s="106"/>
      <c r="QX6518" s="106"/>
      <c r="QY6518" s="106"/>
      <c r="QZ6518" s="106"/>
      <c r="RA6518" s="106"/>
      <c r="RB6518" s="106"/>
      <c r="RC6518" s="106"/>
      <c r="RD6518" s="106"/>
      <c r="RE6518" s="106"/>
      <c r="RF6518" s="106"/>
      <c r="RG6518" s="106"/>
      <c r="RH6518" s="106"/>
      <c r="RI6518" s="106"/>
      <c r="RJ6518" s="106"/>
      <c r="RK6518" s="106"/>
      <c r="RL6518" s="106"/>
    </row>
    <row r="6519" spans="462:480" x14ac:dyDescent="0.3">
      <c r="QT6519" s="106"/>
      <c r="QU6519" s="106"/>
      <c r="QV6519" s="106"/>
      <c r="QW6519" s="106"/>
      <c r="QX6519" s="106"/>
      <c r="QY6519" s="106"/>
      <c r="QZ6519" s="106"/>
      <c r="RA6519" s="106"/>
      <c r="RB6519" s="106"/>
      <c r="RC6519" s="106"/>
      <c r="RD6519" s="106"/>
      <c r="RE6519" s="106"/>
      <c r="RF6519" s="106"/>
      <c r="RG6519" s="106"/>
      <c r="RH6519" s="106"/>
      <c r="RI6519" s="106"/>
      <c r="RJ6519" s="106"/>
      <c r="RK6519" s="106"/>
      <c r="RL6519" s="106"/>
    </row>
    <row r="6520" spans="462:480" x14ac:dyDescent="0.3">
      <c r="QT6520" s="106"/>
      <c r="QU6520" s="106"/>
      <c r="QV6520" s="106"/>
      <c r="QW6520" s="106"/>
      <c r="QX6520" s="106"/>
      <c r="QY6520" s="106"/>
      <c r="QZ6520" s="106"/>
      <c r="RA6520" s="106"/>
      <c r="RB6520" s="106"/>
      <c r="RC6520" s="106"/>
      <c r="RD6520" s="106"/>
      <c r="RE6520" s="106"/>
      <c r="RF6520" s="106"/>
      <c r="RG6520" s="106"/>
      <c r="RH6520" s="106"/>
      <c r="RI6520" s="106"/>
      <c r="RJ6520" s="106"/>
      <c r="RK6520" s="106"/>
      <c r="RL6520" s="106"/>
    </row>
    <row r="6521" spans="462:480" x14ac:dyDescent="0.3">
      <c r="QT6521" s="106"/>
      <c r="QU6521" s="106"/>
      <c r="QV6521" s="106"/>
      <c r="QW6521" s="106"/>
      <c r="QX6521" s="106"/>
      <c r="QY6521" s="106"/>
      <c r="QZ6521" s="106"/>
      <c r="RA6521" s="106"/>
      <c r="RB6521" s="106"/>
      <c r="RC6521" s="106"/>
      <c r="RD6521" s="106"/>
      <c r="RE6521" s="106"/>
      <c r="RF6521" s="106"/>
      <c r="RG6521" s="106"/>
      <c r="RH6521" s="106"/>
      <c r="RI6521" s="106"/>
      <c r="RJ6521" s="106"/>
      <c r="RK6521" s="106"/>
      <c r="RL6521" s="106"/>
    </row>
    <row r="6522" spans="462:480" x14ac:dyDescent="0.3">
      <c r="QT6522" s="106"/>
      <c r="QU6522" s="106"/>
      <c r="QV6522" s="106"/>
      <c r="QW6522" s="106"/>
      <c r="QX6522" s="106"/>
      <c r="QY6522" s="106"/>
      <c r="QZ6522" s="106"/>
      <c r="RA6522" s="106"/>
      <c r="RB6522" s="106"/>
      <c r="RC6522" s="106"/>
      <c r="RD6522" s="106"/>
      <c r="RE6522" s="106"/>
      <c r="RF6522" s="106"/>
      <c r="RG6522" s="106"/>
      <c r="RH6522" s="106"/>
      <c r="RI6522" s="106"/>
      <c r="RJ6522" s="106"/>
      <c r="RK6522" s="106"/>
      <c r="RL6522" s="106"/>
    </row>
    <row r="6523" spans="462:480" x14ac:dyDescent="0.3">
      <c r="QT6523" s="106"/>
      <c r="QU6523" s="106"/>
      <c r="QV6523" s="106"/>
      <c r="QW6523" s="106"/>
      <c r="QX6523" s="106"/>
      <c r="QY6523" s="106"/>
      <c r="QZ6523" s="106"/>
      <c r="RA6523" s="106"/>
      <c r="RB6523" s="106"/>
      <c r="RC6523" s="106"/>
      <c r="RD6523" s="106"/>
      <c r="RE6523" s="106"/>
      <c r="RF6523" s="106"/>
      <c r="RG6523" s="106"/>
      <c r="RH6523" s="106"/>
      <c r="RI6523" s="106"/>
      <c r="RJ6523" s="106"/>
      <c r="RK6523" s="106"/>
      <c r="RL6523" s="106"/>
    </row>
    <row r="6524" spans="462:480" x14ac:dyDescent="0.3">
      <c r="QT6524" s="106"/>
      <c r="QU6524" s="106"/>
      <c r="QV6524" s="106"/>
      <c r="QW6524" s="106"/>
      <c r="QX6524" s="106"/>
      <c r="QY6524" s="106"/>
      <c r="QZ6524" s="106"/>
      <c r="RA6524" s="106"/>
      <c r="RB6524" s="106"/>
      <c r="RC6524" s="106"/>
      <c r="RD6524" s="106"/>
      <c r="RE6524" s="106"/>
      <c r="RF6524" s="106"/>
      <c r="RG6524" s="106"/>
      <c r="RH6524" s="106"/>
      <c r="RI6524" s="106"/>
      <c r="RJ6524" s="106"/>
      <c r="RK6524" s="106"/>
      <c r="RL6524" s="106"/>
    </row>
    <row r="6525" spans="462:480" x14ac:dyDescent="0.3">
      <c r="QT6525" s="106"/>
      <c r="QU6525" s="106"/>
      <c r="QV6525" s="106"/>
      <c r="QW6525" s="106"/>
      <c r="QX6525" s="106"/>
      <c r="QY6525" s="106"/>
      <c r="QZ6525" s="106"/>
      <c r="RA6525" s="106"/>
      <c r="RB6525" s="106"/>
      <c r="RC6525" s="106"/>
      <c r="RD6525" s="106"/>
      <c r="RE6525" s="106"/>
      <c r="RF6525" s="106"/>
      <c r="RG6525" s="106"/>
      <c r="RH6525" s="106"/>
      <c r="RI6525" s="106"/>
      <c r="RJ6525" s="106"/>
      <c r="RK6525" s="106"/>
      <c r="RL6525" s="106"/>
    </row>
    <row r="6526" spans="462:480" x14ac:dyDescent="0.3">
      <c r="QT6526" s="106"/>
      <c r="QU6526" s="106"/>
      <c r="QV6526" s="106"/>
      <c r="QW6526" s="106"/>
      <c r="QX6526" s="106"/>
      <c r="QY6526" s="106"/>
      <c r="QZ6526" s="106"/>
      <c r="RA6526" s="106"/>
      <c r="RB6526" s="106"/>
      <c r="RC6526" s="106"/>
      <c r="RD6526" s="106"/>
      <c r="RE6526" s="106"/>
      <c r="RF6526" s="106"/>
      <c r="RG6526" s="106"/>
      <c r="RH6526" s="106"/>
      <c r="RI6526" s="106"/>
      <c r="RJ6526" s="106"/>
      <c r="RK6526" s="106"/>
      <c r="RL6526" s="106"/>
    </row>
    <row r="6527" spans="462:480" x14ac:dyDescent="0.3">
      <c r="QT6527" s="106"/>
      <c r="QU6527" s="106"/>
      <c r="QV6527" s="106"/>
      <c r="QW6527" s="106"/>
      <c r="QX6527" s="106"/>
      <c r="QY6527" s="106"/>
      <c r="QZ6527" s="106"/>
      <c r="RA6527" s="106"/>
      <c r="RB6527" s="106"/>
      <c r="RC6527" s="106"/>
      <c r="RD6527" s="106"/>
      <c r="RE6527" s="106"/>
      <c r="RF6527" s="106"/>
      <c r="RG6527" s="106"/>
      <c r="RH6527" s="106"/>
      <c r="RI6527" s="106"/>
      <c r="RJ6527" s="106"/>
      <c r="RK6527" s="106"/>
      <c r="RL6527" s="106"/>
    </row>
    <row r="6528" spans="462:480" x14ac:dyDescent="0.3">
      <c r="QT6528" s="106"/>
      <c r="QU6528" s="106"/>
      <c r="QV6528" s="106"/>
      <c r="QW6528" s="106"/>
      <c r="QX6528" s="106"/>
      <c r="QY6528" s="106"/>
      <c r="QZ6528" s="106"/>
      <c r="RA6528" s="106"/>
      <c r="RB6528" s="106"/>
      <c r="RC6528" s="106"/>
      <c r="RD6528" s="106"/>
      <c r="RE6528" s="106"/>
      <c r="RF6528" s="106"/>
      <c r="RG6528" s="106"/>
      <c r="RH6528" s="106"/>
      <c r="RI6528" s="106"/>
      <c r="RJ6528" s="106"/>
      <c r="RK6528" s="106"/>
      <c r="RL6528" s="106"/>
    </row>
    <row r="6529" spans="462:480" x14ac:dyDescent="0.3">
      <c r="QT6529" s="106"/>
      <c r="QU6529" s="106"/>
      <c r="QV6529" s="106"/>
      <c r="QW6529" s="106"/>
      <c r="QX6529" s="106"/>
      <c r="QY6529" s="106"/>
      <c r="QZ6529" s="106"/>
      <c r="RA6529" s="106"/>
      <c r="RB6529" s="106"/>
      <c r="RC6529" s="106"/>
      <c r="RD6529" s="106"/>
      <c r="RE6529" s="106"/>
      <c r="RF6529" s="106"/>
      <c r="RG6529" s="106"/>
      <c r="RH6529" s="106"/>
      <c r="RI6529" s="106"/>
      <c r="RJ6529" s="106"/>
      <c r="RK6529" s="106"/>
      <c r="RL6529" s="106"/>
    </row>
    <row r="6530" spans="462:480" x14ac:dyDescent="0.3">
      <c r="QT6530" s="106"/>
      <c r="QU6530" s="106"/>
      <c r="QV6530" s="106"/>
      <c r="QW6530" s="106"/>
      <c r="QX6530" s="106"/>
      <c r="QY6530" s="106"/>
      <c r="QZ6530" s="106"/>
      <c r="RA6530" s="106"/>
      <c r="RB6530" s="106"/>
      <c r="RC6530" s="106"/>
      <c r="RD6530" s="106"/>
      <c r="RE6530" s="106"/>
      <c r="RF6530" s="106"/>
      <c r="RG6530" s="106"/>
      <c r="RH6530" s="106"/>
      <c r="RI6530" s="106"/>
      <c r="RJ6530" s="106"/>
      <c r="RK6530" s="106"/>
      <c r="RL6530" s="106"/>
    </row>
    <row r="6531" spans="462:480" x14ac:dyDescent="0.3">
      <c r="QT6531" s="106"/>
      <c r="QU6531" s="106"/>
      <c r="QV6531" s="106"/>
      <c r="QW6531" s="106"/>
      <c r="QX6531" s="106"/>
      <c r="QY6531" s="106"/>
      <c r="QZ6531" s="106"/>
      <c r="RA6531" s="106"/>
      <c r="RB6531" s="106"/>
      <c r="RC6531" s="106"/>
      <c r="RD6531" s="106"/>
      <c r="RE6531" s="106"/>
      <c r="RF6531" s="106"/>
      <c r="RG6531" s="106"/>
      <c r="RH6531" s="106"/>
      <c r="RI6531" s="106"/>
      <c r="RJ6531" s="106"/>
      <c r="RK6531" s="106"/>
      <c r="RL6531" s="106"/>
    </row>
    <row r="6532" spans="462:480" x14ac:dyDescent="0.3">
      <c r="QT6532" s="106"/>
      <c r="QU6532" s="106"/>
      <c r="QV6532" s="106"/>
      <c r="QW6532" s="106"/>
      <c r="QX6532" s="106"/>
      <c r="QY6532" s="106"/>
      <c r="QZ6532" s="106"/>
      <c r="RA6532" s="106"/>
      <c r="RB6532" s="106"/>
      <c r="RC6532" s="106"/>
      <c r="RD6532" s="106"/>
      <c r="RE6532" s="106"/>
      <c r="RF6532" s="106"/>
      <c r="RG6532" s="106"/>
      <c r="RH6532" s="106"/>
      <c r="RI6532" s="106"/>
      <c r="RJ6532" s="106"/>
      <c r="RK6532" s="106"/>
      <c r="RL6532" s="106"/>
    </row>
    <row r="6533" spans="462:480" x14ac:dyDescent="0.3">
      <c r="QT6533" s="106"/>
      <c r="QU6533" s="106"/>
      <c r="QV6533" s="106"/>
      <c r="QW6533" s="106"/>
      <c r="QX6533" s="106"/>
      <c r="QY6533" s="106"/>
      <c r="QZ6533" s="106"/>
      <c r="RA6533" s="106"/>
      <c r="RB6533" s="106"/>
      <c r="RC6533" s="106"/>
      <c r="RD6533" s="106"/>
      <c r="RE6533" s="106"/>
      <c r="RF6533" s="106"/>
      <c r="RG6533" s="106"/>
      <c r="RH6533" s="106"/>
      <c r="RI6533" s="106"/>
      <c r="RJ6533" s="106"/>
      <c r="RK6533" s="106"/>
      <c r="RL6533" s="106"/>
    </row>
    <row r="6534" spans="462:480" x14ac:dyDescent="0.3">
      <c r="QT6534" s="106"/>
      <c r="QU6534" s="106"/>
      <c r="QV6534" s="106"/>
      <c r="QW6534" s="106"/>
      <c r="QX6534" s="106"/>
      <c r="QY6534" s="106"/>
      <c r="QZ6534" s="106"/>
      <c r="RA6534" s="106"/>
      <c r="RB6534" s="106"/>
      <c r="RC6534" s="106"/>
      <c r="RD6534" s="106"/>
      <c r="RE6534" s="106"/>
      <c r="RF6534" s="106"/>
      <c r="RG6534" s="106"/>
      <c r="RH6534" s="106"/>
      <c r="RI6534" s="106"/>
      <c r="RJ6534" s="106"/>
      <c r="RK6534" s="106"/>
      <c r="RL6534" s="106"/>
    </row>
    <row r="6535" spans="462:480" x14ac:dyDescent="0.3">
      <c r="QT6535" s="106"/>
      <c r="QU6535" s="106"/>
      <c r="QV6535" s="106"/>
      <c r="QW6535" s="106"/>
      <c r="QX6535" s="106"/>
      <c r="QY6535" s="106"/>
      <c r="QZ6535" s="106"/>
      <c r="RA6535" s="106"/>
      <c r="RB6535" s="106"/>
      <c r="RC6535" s="106"/>
      <c r="RD6535" s="106"/>
      <c r="RE6535" s="106"/>
      <c r="RF6535" s="106"/>
      <c r="RG6535" s="106"/>
      <c r="RH6535" s="106"/>
      <c r="RI6535" s="106"/>
      <c r="RJ6535" s="106"/>
      <c r="RK6535" s="106"/>
      <c r="RL6535" s="106"/>
    </row>
    <row r="6536" spans="462:480" x14ac:dyDescent="0.3">
      <c r="QT6536" s="106"/>
      <c r="QU6536" s="106"/>
      <c r="QV6536" s="106"/>
      <c r="QW6536" s="106"/>
      <c r="QX6536" s="106"/>
      <c r="QY6536" s="106"/>
      <c r="QZ6536" s="106"/>
      <c r="RA6536" s="106"/>
      <c r="RB6536" s="106"/>
      <c r="RC6536" s="106"/>
      <c r="RD6536" s="106"/>
      <c r="RE6536" s="106"/>
      <c r="RF6536" s="106"/>
      <c r="RG6536" s="106"/>
      <c r="RH6536" s="106"/>
      <c r="RI6536" s="106"/>
      <c r="RJ6536" s="106"/>
      <c r="RK6536" s="106"/>
      <c r="RL6536" s="106"/>
    </row>
    <row r="6537" spans="462:480" x14ac:dyDescent="0.3">
      <c r="QT6537" s="106"/>
      <c r="QU6537" s="106"/>
      <c r="QV6537" s="106"/>
      <c r="QW6537" s="106"/>
      <c r="QX6537" s="106"/>
      <c r="QY6537" s="106"/>
      <c r="QZ6537" s="106"/>
      <c r="RA6537" s="106"/>
      <c r="RB6537" s="106"/>
      <c r="RC6537" s="106"/>
      <c r="RD6537" s="106"/>
      <c r="RE6537" s="106"/>
      <c r="RF6537" s="106"/>
      <c r="RG6537" s="106"/>
      <c r="RH6537" s="106"/>
      <c r="RI6537" s="106"/>
      <c r="RJ6537" s="106"/>
      <c r="RK6537" s="106"/>
      <c r="RL6537" s="106"/>
    </row>
    <row r="6538" spans="462:480" x14ac:dyDescent="0.3">
      <c r="QT6538" s="106"/>
      <c r="QU6538" s="106"/>
      <c r="QV6538" s="106"/>
      <c r="QW6538" s="106"/>
      <c r="QX6538" s="106"/>
      <c r="QY6538" s="106"/>
      <c r="QZ6538" s="106"/>
      <c r="RA6538" s="106"/>
      <c r="RB6538" s="106"/>
      <c r="RC6538" s="106"/>
      <c r="RD6538" s="106"/>
      <c r="RE6538" s="106"/>
      <c r="RF6538" s="106"/>
      <c r="RG6538" s="106"/>
      <c r="RH6538" s="106"/>
      <c r="RI6538" s="106"/>
      <c r="RJ6538" s="106"/>
      <c r="RK6538" s="106"/>
      <c r="RL6538" s="106"/>
    </row>
    <row r="6539" spans="462:480" x14ac:dyDescent="0.3">
      <c r="QT6539" s="106"/>
      <c r="QU6539" s="106"/>
      <c r="QV6539" s="106"/>
      <c r="QW6539" s="106"/>
      <c r="QX6539" s="106"/>
      <c r="QY6539" s="106"/>
      <c r="QZ6539" s="106"/>
      <c r="RA6539" s="106"/>
      <c r="RB6539" s="106"/>
      <c r="RC6539" s="106"/>
      <c r="RD6539" s="106"/>
      <c r="RE6539" s="106"/>
      <c r="RF6539" s="106"/>
      <c r="RG6539" s="106"/>
      <c r="RH6539" s="106"/>
      <c r="RI6539" s="106"/>
      <c r="RJ6539" s="106"/>
      <c r="RK6539" s="106"/>
      <c r="RL6539" s="106"/>
    </row>
    <row r="6540" spans="462:480" x14ac:dyDescent="0.3">
      <c r="QT6540" s="106"/>
      <c r="QU6540" s="106"/>
      <c r="QV6540" s="106"/>
      <c r="QW6540" s="106"/>
      <c r="QX6540" s="106"/>
      <c r="QY6540" s="106"/>
      <c r="QZ6540" s="106"/>
      <c r="RA6540" s="106"/>
      <c r="RB6540" s="106"/>
      <c r="RC6540" s="106"/>
      <c r="RD6540" s="106"/>
      <c r="RE6540" s="106"/>
      <c r="RF6540" s="106"/>
      <c r="RG6540" s="106"/>
      <c r="RH6540" s="106"/>
      <c r="RI6540" s="106"/>
      <c r="RJ6540" s="106"/>
      <c r="RK6540" s="106"/>
      <c r="RL6540" s="106"/>
    </row>
    <row r="6541" spans="462:480" x14ac:dyDescent="0.3">
      <c r="QT6541" s="106"/>
      <c r="QU6541" s="106"/>
      <c r="QV6541" s="106"/>
      <c r="QW6541" s="106"/>
      <c r="QX6541" s="106"/>
      <c r="QY6541" s="106"/>
      <c r="QZ6541" s="106"/>
      <c r="RA6541" s="106"/>
      <c r="RB6541" s="106"/>
      <c r="RC6541" s="106"/>
      <c r="RD6541" s="106"/>
      <c r="RE6541" s="106"/>
      <c r="RF6541" s="106"/>
      <c r="RG6541" s="106"/>
      <c r="RH6541" s="106"/>
      <c r="RI6541" s="106"/>
      <c r="RJ6541" s="106"/>
      <c r="RK6541" s="106"/>
      <c r="RL6541" s="106"/>
    </row>
    <row r="6542" spans="462:480" x14ac:dyDescent="0.3">
      <c r="QT6542" s="106"/>
      <c r="QU6542" s="106"/>
      <c r="QV6542" s="106"/>
      <c r="QW6542" s="106"/>
      <c r="QX6542" s="106"/>
      <c r="QY6542" s="106"/>
      <c r="QZ6542" s="106"/>
      <c r="RA6542" s="106"/>
      <c r="RB6542" s="106"/>
      <c r="RC6542" s="106"/>
      <c r="RD6542" s="106"/>
      <c r="RE6542" s="106"/>
      <c r="RF6542" s="106"/>
      <c r="RG6542" s="106"/>
      <c r="RH6542" s="106"/>
      <c r="RI6542" s="106"/>
      <c r="RJ6542" s="106"/>
      <c r="RK6542" s="106"/>
      <c r="RL6542" s="106"/>
    </row>
    <row r="6543" spans="462:480" x14ac:dyDescent="0.3">
      <c r="QT6543" s="106"/>
      <c r="QU6543" s="106"/>
      <c r="QV6543" s="106"/>
      <c r="QW6543" s="106"/>
      <c r="QX6543" s="106"/>
      <c r="QY6543" s="106"/>
      <c r="QZ6543" s="106"/>
      <c r="RA6543" s="106"/>
      <c r="RB6543" s="106"/>
      <c r="RC6543" s="106"/>
      <c r="RD6543" s="106"/>
      <c r="RE6543" s="106"/>
      <c r="RF6543" s="106"/>
      <c r="RG6543" s="106"/>
      <c r="RH6543" s="106"/>
      <c r="RI6543" s="106"/>
      <c r="RJ6543" s="106"/>
      <c r="RK6543" s="106"/>
      <c r="RL6543" s="106"/>
    </row>
    <row r="6544" spans="462:480" x14ac:dyDescent="0.3">
      <c r="QT6544" s="106"/>
      <c r="QU6544" s="106"/>
      <c r="QV6544" s="106"/>
      <c r="QW6544" s="106"/>
      <c r="QX6544" s="106"/>
      <c r="QY6544" s="106"/>
      <c r="QZ6544" s="106"/>
      <c r="RA6544" s="106"/>
      <c r="RB6544" s="106"/>
      <c r="RC6544" s="106"/>
      <c r="RD6544" s="106"/>
      <c r="RE6544" s="106"/>
      <c r="RF6544" s="106"/>
      <c r="RG6544" s="106"/>
      <c r="RH6544" s="106"/>
      <c r="RI6544" s="106"/>
      <c r="RJ6544" s="106"/>
      <c r="RK6544" s="106"/>
      <c r="RL6544" s="106"/>
    </row>
    <row r="6545" spans="462:480" x14ac:dyDescent="0.3">
      <c r="QT6545" s="106"/>
      <c r="QU6545" s="106"/>
      <c r="QV6545" s="106"/>
      <c r="QW6545" s="106"/>
      <c r="QX6545" s="106"/>
      <c r="QY6545" s="106"/>
      <c r="QZ6545" s="106"/>
      <c r="RA6545" s="106"/>
      <c r="RB6545" s="106"/>
      <c r="RC6545" s="106"/>
      <c r="RD6545" s="106"/>
      <c r="RE6545" s="106"/>
      <c r="RF6545" s="106"/>
      <c r="RG6545" s="106"/>
      <c r="RH6545" s="106"/>
      <c r="RI6545" s="106"/>
      <c r="RJ6545" s="106"/>
      <c r="RK6545" s="106"/>
      <c r="RL6545" s="106"/>
    </row>
    <row r="6546" spans="462:480" x14ac:dyDescent="0.3">
      <c r="QT6546" s="106"/>
      <c r="QU6546" s="106"/>
      <c r="QV6546" s="106"/>
      <c r="QW6546" s="106"/>
      <c r="QX6546" s="106"/>
      <c r="QY6546" s="106"/>
      <c r="QZ6546" s="106"/>
      <c r="RA6546" s="106"/>
      <c r="RB6546" s="106"/>
      <c r="RC6546" s="106"/>
      <c r="RD6546" s="106"/>
      <c r="RE6546" s="106"/>
      <c r="RF6546" s="106"/>
      <c r="RG6546" s="106"/>
      <c r="RH6546" s="106"/>
      <c r="RI6546" s="106"/>
      <c r="RJ6546" s="106"/>
      <c r="RK6546" s="106"/>
      <c r="RL6546" s="106"/>
    </row>
    <row r="6547" spans="462:480" x14ac:dyDescent="0.3">
      <c r="QT6547" s="106"/>
      <c r="QU6547" s="106"/>
      <c r="QV6547" s="106"/>
      <c r="QW6547" s="106"/>
      <c r="QX6547" s="106"/>
      <c r="QY6547" s="106"/>
      <c r="QZ6547" s="106"/>
      <c r="RA6547" s="106"/>
      <c r="RB6547" s="106"/>
      <c r="RC6547" s="106"/>
      <c r="RD6547" s="106"/>
      <c r="RE6547" s="106"/>
      <c r="RF6547" s="106"/>
      <c r="RG6547" s="106"/>
      <c r="RH6547" s="106"/>
      <c r="RI6547" s="106"/>
      <c r="RJ6547" s="106"/>
      <c r="RK6547" s="106"/>
      <c r="RL6547" s="106"/>
    </row>
    <row r="6548" spans="462:480" x14ac:dyDescent="0.3">
      <c r="QT6548" s="106"/>
      <c r="QU6548" s="106"/>
      <c r="QV6548" s="106"/>
      <c r="QW6548" s="106"/>
      <c r="QX6548" s="106"/>
      <c r="QY6548" s="106"/>
      <c r="QZ6548" s="106"/>
      <c r="RA6548" s="106"/>
      <c r="RB6548" s="106"/>
      <c r="RC6548" s="106"/>
      <c r="RD6548" s="106"/>
      <c r="RE6548" s="106"/>
      <c r="RF6548" s="106"/>
      <c r="RG6548" s="106"/>
      <c r="RH6548" s="106"/>
      <c r="RI6548" s="106"/>
      <c r="RJ6548" s="106"/>
      <c r="RK6548" s="106"/>
      <c r="RL6548" s="106"/>
    </row>
    <row r="6549" spans="462:480" x14ac:dyDescent="0.3">
      <c r="QT6549" s="106"/>
      <c r="QU6549" s="106"/>
      <c r="QV6549" s="106"/>
      <c r="QW6549" s="106"/>
      <c r="QX6549" s="106"/>
      <c r="QY6549" s="106"/>
      <c r="QZ6549" s="106"/>
      <c r="RA6549" s="106"/>
      <c r="RB6549" s="106"/>
      <c r="RC6549" s="106"/>
      <c r="RD6549" s="106"/>
      <c r="RE6549" s="106"/>
      <c r="RF6549" s="106"/>
      <c r="RG6549" s="106"/>
      <c r="RH6549" s="106"/>
      <c r="RI6549" s="106"/>
      <c r="RJ6549" s="106"/>
      <c r="RK6549" s="106"/>
      <c r="RL6549" s="106"/>
    </row>
    <row r="6550" spans="462:480" x14ac:dyDescent="0.3">
      <c r="QT6550" s="106"/>
      <c r="QU6550" s="106"/>
      <c r="QV6550" s="106"/>
      <c r="QW6550" s="106"/>
      <c r="QX6550" s="106"/>
      <c r="QY6550" s="106"/>
      <c r="QZ6550" s="106"/>
      <c r="RA6550" s="106"/>
      <c r="RB6550" s="106"/>
      <c r="RC6550" s="106"/>
      <c r="RD6550" s="106"/>
      <c r="RE6550" s="106"/>
      <c r="RF6550" s="106"/>
      <c r="RG6550" s="106"/>
      <c r="RH6550" s="106"/>
      <c r="RI6550" s="106"/>
      <c r="RJ6550" s="106"/>
      <c r="RK6550" s="106"/>
      <c r="RL6550" s="106"/>
    </row>
    <row r="6551" spans="462:480" x14ac:dyDescent="0.3">
      <c r="QT6551" s="106"/>
      <c r="QU6551" s="106"/>
      <c r="QV6551" s="106"/>
      <c r="QW6551" s="106"/>
      <c r="QX6551" s="106"/>
      <c r="QY6551" s="106"/>
      <c r="QZ6551" s="106"/>
      <c r="RA6551" s="106"/>
      <c r="RB6551" s="106"/>
      <c r="RC6551" s="106"/>
      <c r="RD6551" s="106"/>
      <c r="RE6551" s="106"/>
      <c r="RF6551" s="106"/>
      <c r="RG6551" s="106"/>
      <c r="RH6551" s="106"/>
      <c r="RI6551" s="106"/>
      <c r="RJ6551" s="106"/>
      <c r="RK6551" s="106"/>
      <c r="RL6551" s="106"/>
    </row>
    <row r="6552" spans="462:480" x14ac:dyDescent="0.3">
      <c r="QT6552" s="106"/>
      <c r="QU6552" s="106"/>
      <c r="QV6552" s="106"/>
      <c r="QW6552" s="106"/>
      <c r="QX6552" s="106"/>
      <c r="QY6552" s="106"/>
      <c r="QZ6552" s="106"/>
      <c r="RA6552" s="106"/>
      <c r="RB6552" s="106"/>
      <c r="RC6552" s="106"/>
      <c r="RD6552" s="106"/>
      <c r="RE6552" s="106"/>
      <c r="RF6552" s="106"/>
      <c r="RG6552" s="106"/>
      <c r="RH6552" s="106"/>
      <c r="RI6552" s="106"/>
      <c r="RJ6552" s="106"/>
      <c r="RK6552" s="106"/>
      <c r="RL6552" s="106"/>
    </row>
    <row r="6553" spans="462:480" x14ac:dyDescent="0.3">
      <c r="QT6553" s="106"/>
      <c r="QU6553" s="106"/>
      <c r="QV6553" s="106"/>
      <c r="QW6553" s="106"/>
      <c r="QX6553" s="106"/>
      <c r="QY6553" s="106"/>
      <c r="QZ6553" s="106"/>
      <c r="RA6553" s="106"/>
      <c r="RB6553" s="106"/>
      <c r="RC6553" s="106"/>
      <c r="RD6553" s="106"/>
      <c r="RE6553" s="106"/>
      <c r="RF6553" s="106"/>
      <c r="RG6553" s="106"/>
      <c r="RH6553" s="106"/>
      <c r="RI6553" s="106"/>
      <c r="RJ6553" s="106"/>
      <c r="RK6553" s="106"/>
      <c r="RL6553" s="106"/>
    </row>
    <row r="6554" spans="462:480" x14ac:dyDescent="0.3">
      <c r="QT6554" s="106"/>
      <c r="QU6554" s="106"/>
      <c r="QV6554" s="106"/>
      <c r="QW6554" s="106"/>
      <c r="QX6554" s="106"/>
      <c r="QY6554" s="106"/>
      <c r="QZ6554" s="106"/>
      <c r="RA6554" s="106"/>
      <c r="RB6554" s="106"/>
      <c r="RC6554" s="106"/>
      <c r="RD6554" s="106"/>
      <c r="RE6554" s="106"/>
      <c r="RF6554" s="106"/>
      <c r="RG6554" s="106"/>
      <c r="RH6554" s="106"/>
      <c r="RI6554" s="106"/>
      <c r="RJ6554" s="106"/>
      <c r="RK6554" s="106"/>
      <c r="RL6554" s="106"/>
    </row>
    <row r="6555" spans="462:480" x14ac:dyDescent="0.3">
      <c r="QT6555" s="106"/>
      <c r="QU6555" s="106"/>
      <c r="QV6555" s="106"/>
      <c r="QW6555" s="106"/>
      <c r="QX6555" s="106"/>
      <c r="QY6555" s="106"/>
      <c r="QZ6555" s="106"/>
      <c r="RA6555" s="106"/>
      <c r="RB6555" s="106"/>
      <c r="RC6555" s="106"/>
      <c r="RD6555" s="106"/>
      <c r="RE6555" s="106"/>
      <c r="RF6555" s="106"/>
      <c r="RG6555" s="106"/>
      <c r="RH6555" s="106"/>
      <c r="RI6555" s="106"/>
      <c r="RJ6555" s="106"/>
      <c r="RK6555" s="106"/>
      <c r="RL6555" s="106"/>
    </row>
    <row r="6556" spans="462:480" x14ac:dyDescent="0.3">
      <c r="QT6556" s="106"/>
      <c r="QU6556" s="106"/>
      <c r="QV6556" s="106"/>
      <c r="QW6556" s="106"/>
      <c r="QX6556" s="106"/>
      <c r="QY6556" s="106"/>
      <c r="QZ6556" s="106"/>
      <c r="RA6556" s="106"/>
      <c r="RB6556" s="106"/>
      <c r="RC6556" s="106"/>
      <c r="RD6556" s="106"/>
      <c r="RE6556" s="106"/>
      <c r="RF6556" s="106"/>
      <c r="RG6556" s="106"/>
      <c r="RH6556" s="106"/>
      <c r="RI6556" s="106"/>
      <c r="RJ6556" s="106"/>
      <c r="RK6556" s="106"/>
      <c r="RL6556" s="106"/>
    </row>
    <row r="6557" spans="462:480" x14ac:dyDescent="0.3">
      <c r="QT6557" s="106"/>
      <c r="QU6557" s="106"/>
      <c r="QV6557" s="106"/>
      <c r="QW6557" s="106"/>
      <c r="QX6557" s="106"/>
      <c r="QY6557" s="106"/>
      <c r="QZ6557" s="106"/>
      <c r="RA6557" s="106"/>
      <c r="RB6557" s="106"/>
      <c r="RC6557" s="106"/>
      <c r="RD6557" s="106"/>
      <c r="RE6557" s="106"/>
      <c r="RF6557" s="106"/>
      <c r="RG6557" s="106"/>
      <c r="RH6557" s="106"/>
      <c r="RI6557" s="106"/>
      <c r="RJ6557" s="106"/>
      <c r="RK6557" s="106"/>
      <c r="RL6557" s="106"/>
    </row>
    <row r="6558" spans="462:480" x14ac:dyDescent="0.3">
      <c r="QT6558" s="106"/>
      <c r="QU6558" s="106"/>
      <c r="QV6558" s="106"/>
      <c r="QW6558" s="106"/>
      <c r="QX6558" s="106"/>
      <c r="QY6558" s="106"/>
      <c r="QZ6558" s="106"/>
      <c r="RA6558" s="106"/>
      <c r="RB6558" s="106"/>
      <c r="RC6558" s="106"/>
      <c r="RD6558" s="106"/>
      <c r="RE6558" s="106"/>
      <c r="RF6558" s="106"/>
      <c r="RG6558" s="106"/>
      <c r="RH6558" s="106"/>
      <c r="RI6558" s="106"/>
      <c r="RJ6558" s="106"/>
      <c r="RK6558" s="106"/>
      <c r="RL6558" s="106"/>
    </row>
    <row r="6559" spans="462:480" x14ac:dyDescent="0.3">
      <c r="QT6559" s="106"/>
      <c r="QU6559" s="106"/>
      <c r="QV6559" s="106"/>
      <c r="QW6559" s="106"/>
      <c r="QX6559" s="106"/>
      <c r="QY6559" s="106"/>
      <c r="QZ6559" s="106"/>
      <c r="RA6559" s="106"/>
      <c r="RB6559" s="106"/>
      <c r="RC6559" s="106"/>
      <c r="RD6559" s="106"/>
      <c r="RE6559" s="106"/>
      <c r="RF6559" s="106"/>
      <c r="RG6559" s="106"/>
      <c r="RH6559" s="106"/>
      <c r="RI6559" s="106"/>
      <c r="RJ6559" s="106"/>
      <c r="RK6559" s="106"/>
      <c r="RL6559" s="106"/>
    </row>
    <row r="6560" spans="462:480" x14ac:dyDescent="0.3">
      <c r="QT6560" s="106"/>
      <c r="QU6560" s="106"/>
      <c r="QV6560" s="106"/>
      <c r="QW6560" s="106"/>
      <c r="QX6560" s="106"/>
      <c r="QY6560" s="106"/>
      <c r="QZ6560" s="106"/>
      <c r="RA6560" s="106"/>
      <c r="RB6560" s="106"/>
      <c r="RC6560" s="106"/>
      <c r="RD6560" s="106"/>
      <c r="RE6560" s="106"/>
      <c r="RF6560" s="106"/>
      <c r="RG6560" s="106"/>
      <c r="RH6560" s="106"/>
      <c r="RI6560" s="106"/>
      <c r="RJ6560" s="106"/>
      <c r="RK6560" s="106"/>
      <c r="RL6560" s="106"/>
    </row>
    <row r="6561" spans="462:480" x14ac:dyDescent="0.3">
      <c r="QT6561" s="106"/>
      <c r="QU6561" s="106"/>
      <c r="QV6561" s="106"/>
      <c r="QW6561" s="106"/>
      <c r="QX6561" s="106"/>
      <c r="QY6561" s="106"/>
      <c r="QZ6561" s="106"/>
      <c r="RA6561" s="106"/>
      <c r="RB6561" s="106"/>
      <c r="RC6561" s="106"/>
      <c r="RD6561" s="106"/>
      <c r="RE6561" s="106"/>
      <c r="RF6561" s="106"/>
      <c r="RG6561" s="106"/>
      <c r="RH6561" s="106"/>
      <c r="RI6561" s="106"/>
      <c r="RJ6561" s="106"/>
      <c r="RK6561" s="106"/>
      <c r="RL6561" s="106"/>
    </row>
    <row r="6562" spans="462:480" x14ac:dyDescent="0.3">
      <c r="QT6562" s="106"/>
      <c r="QU6562" s="106"/>
      <c r="QV6562" s="106"/>
      <c r="QW6562" s="106"/>
      <c r="QX6562" s="106"/>
      <c r="QY6562" s="106"/>
      <c r="QZ6562" s="106"/>
      <c r="RA6562" s="106"/>
      <c r="RB6562" s="106"/>
      <c r="RC6562" s="106"/>
      <c r="RD6562" s="106"/>
      <c r="RE6562" s="106"/>
      <c r="RF6562" s="106"/>
      <c r="RG6562" s="106"/>
      <c r="RH6562" s="106"/>
      <c r="RI6562" s="106"/>
      <c r="RJ6562" s="106"/>
      <c r="RK6562" s="106"/>
      <c r="RL6562" s="106"/>
    </row>
    <row r="6563" spans="462:480" x14ac:dyDescent="0.3">
      <c r="QT6563" s="106"/>
      <c r="QU6563" s="106"/>
      <c r="QV6563" s="106"/>
      <c r="QW6563" s="106"/>
      <c r="QX6563" s="106"/>
      <c r="QY6563" s="106"/>
      <c r="QZ6563" s="106"/>
      <c r="RA6563" s="106"/>
      <c r="RB6563" s="106"/>
      <c r="RC6563" s="106"/>
      <c r="RD6563" s="106"/>
      <c r="RE6563" s="106"/>
      <c r="RF6563" s="106"/>
      <c r="RG6563" s="106"/>
      <c r="RH6563" s="106"/>
      <c r="RI6563" s="106"/>
      <c r="RJ6563" s="106"/>
      <c r="RK6563" s="106"/>
      <c r="RL6563" s="106"/>
    </row>
    <row r="6564" spans="462:480" x14ac:dyDescent="0.3">
      <c r="QT6564" s="106"/>
      <c r="QU6564" s="106"/>
      <c r="QV6564" s="106"/>
      <c r="QW6564" s="106"/>
      <c r="QX6564" s="106"/>
      <c r="QY6564" s="106"/>
      <c r="QZ6564" s="106"/>
      <c r="RA6564" s="106"/>
      <c r="RB6564" s="106"/>
      <c r="RC6564" s="106"/>
      <c r="RD6564" s="106"/>
      <c r="RE6564" s="106"/>
      <c r="RF6564" s="106"/>
      <c r="RG6564" s="106"/>
      <c r="RH6564" s="106"/>
      <c r="RI6564" s="106"/>
      <c r="RJ6564" s="106"/>
      <c r="RK6564" s="106"/>
      <c r="RL6564" s="106"/>
    </row>
    <row r="6565" spans="462:480" x14ac:dyDescent="0.3">
      <c r="QT6565" s="106"/>
      <c r="QU6565" s="106"/>
      <c r="QV6565" s="106"/>
      <c r="QW6565" s="106"/>
      <c r="QX6565" s="106"/>
      <c r="QY6565" s="106"/>
      <c r="QZ6565" s="106"/>
      <c r="RA6565" s="106"/>
      <c r="RB6565" s="106"/>
      <c r="RC6565" s="106"/>
      <c r="RD6565" s="106"/>
      <c r="RE6565" s="106"/>
      <c r="RF6565" s="106"/>
      <c r="RG6565" s="106"/>
      <c r="RH6565" s="106"/>
      <c r="RI6565" s="106"/>
      <c r="RJ6565" s="106"/>
      <c r="RK6565" s="106"/>
      <c r="RL6565" s="106"/>
    </row>
    <row r="6566" spans="462:480" x14ac:dyDescent="0.3">
      <c r="QT6566" s="106"/>
      <c r="QU6566" s="106"/>
      <c r="QV6566" s="106"/>
      <c r="QW6566" s="106"/>
      <c r="QX6566" s="106"/>
      <c r="QY6566" s="106"/>
      <c r="QZ6566" s="106"/>
      <c r="RA6566" s="106"/>
      <c r="RB6566" s="106"/>
      <c r="RC6566" s="106"/>
      <c r="RD6566" s="106"/>
      <c r="RE6566" s="106"/>
      <c r="RF6566" s="106"/>
      <c r="RG6566" s="106"/>
      <c r="RH6566" s="106"/>
      <c r="RI6566" s="106"/>
      <c r="RJ6566" s="106"/>
      <c r="RK6566" s="106"/>
      <c r="RL6566" s="106"/>
    </row>
    <row r="6567" spans="462:480" x14ac:dyDescent="0.3">
      <c r="QT6567" s="106"/>
      <c r="QU6567" s="106"/>
      <c r="QV6567" s="106"/>
      <c r="QW6567" s="106"/>
      <c r="QX6567" s="106"/>
      <c r="QY6567" s="106"/>
      <c r="QZ6567" s="106"/>
      <c r="RA6567" s="106"/>
      <c r="RB6567" s="106"/>
      <c r="RC6567" s="106"/>
      <c r="RD6567" s="106"/>
      <c r="RE6567" s="106"/>
      <c r="RF6567" s="106"/>
      <c r="RG6567" s="106"/>
      <c r="RH6567" s="106"/>
      <c r="RI6567" s="106"/>
      <c r="RJ6567" s="106"/>
      <c r="RK6567" s="106"/>
      <c r="RL6567" s="106"/>
    </row>
    <row r="6568" spans="462:480" x14ac:dyDescent="0.3">
      <c r="QT6568" s="106"/>
      <c r="QU6568" s="106"/>
      <c r="QV6568" s="106"/>
      <c r="QW6568" s="106"/>
      <c r="QX6568" s="106"/>
      <c r="QY6568" s="106"/>
      <c r="QZ6568" s="106"/>
      <c r="RA6568" s="106"/>
      <c r="RB6568" s="106"/>
      <c r="RC6568" s="106"/>
      <c r="RD6568" s="106"/>
      <c r="RE6568" s="106"/>
      <c r="RF6568" s="106"/>
      <c r="RG6568" s="106"/>
      <c r="RH6568" s="106"/>
      <c r="RI6568" s="106"/>
      <c r="RJ6568" s="106"/>
      <c r="RK6568" s="106"/>
      <c r="RL6568" s="106"/>
    </row>
    <row r="6569" spans="462:480" x14ac:dyDescent="0.3">
      <c r="QT6569" s="106"/>
      <c r="QU6569" s="106"/>
      <c r="QV6569" s="106"/>
      <c r="QW6569" s="106"/>
      <c r="QX6569" s="106"/>
      <c r="QY6569" s="106"/>
      <c r="QZ6569" s="106"/>
      <c r="RA6569" s="106"/>
      <c r="RB6569" s="106"/>
      <c r="RC6569" s="106"/>
      <c r="RD6569" s="106"/>
      <c r="RE6569" s="106"/>
      <c r="RF6569" s="106"/>
      <c r="RG6569" s="106"/>
      <c r="RH6569" s="106"/>
      <c r="RI6569" s="106"/>
      <c r="RJ6569" s="106"/>
      <c r="RK6569" s="106"/>
      <c r="RL6569" s="106"/>
    </row>
    <row r="6570" spans="462:480" x14ac:dyDescent="0.3">
      <c r="QT6570" s="106"/>
      <c r="QU6570" s="106"/>
      <c r="QV6570" s="106"/>
      <c r="QW6570" s="106"/>
      <c r="QX6570" s="106"/>
      <c r="QY6570" s="106"/>
      <c r="QZ6570" s="106"/>
      <c r="RA6570" s="106"/>
      <c r="RB6570" s="106"/>
      <c r="RC6570" s="106"/>
      <c r="RD6570" s="106"/>
      <c r="RE6570" s="106"/>
      <c r="RF6570" s="106"/>
      <c r="RG6570" s="106"/>
      <c r="RH6570" s="106"/>
      <c r="RI6570" s="106"/>
      <c r="RJ6570" s="106"/>
      <c r="RK6570" s="106"/>
      <c r="RL6570" s="106"/>
    </row>
    <row r="6571" spans="462:480" x14ac:dyDescent="0.3">
      <c r="QT6571" s="106"/>
      <c r="QU6571" s="106"/>
      <c r="QV6571" s="106"/>
      <c r="QW6571" s="106"/>
      <c r="QX6571" s="106"/>
      <c r="QY6571" s="106"/>
      <c r="QZ6571" s="106"/>
      <c r="RA6571" s="106"/>
      <c r="RB6571" s="106"/>
      <c r="RC6571" s="106"/>
      <c r="RD6571" s="106"/>
      <c r="RE6571" s="106"/>
      <c r="RF6571" s="106"/>
      <c r="RG6571" s="106"/>
      <c r="RH6571" s="106"/>
      <c r="RI6571" s="106"/>
      <c r="RJ6571" s="106"/>
      <c r="RK6571" s="106"/>
      <c r="RL6571" s="106"/>
    </row>
    <row r="6572" spans="462:480" x14ac:dyDescent="0.3">
      <c r="QT6572" s="106"/>
      <c r="QU6572" s="106"/>
      <c r="QV6572" s="106"/>
      <c r="QW6572" s="106"/>
      <c r="QX6572" s="106"/>
      <c r="QY6572" s="106"/>
      <c r="QZ6572" s="106"/>
      <c r="RA6572" s="106"/>
      <c r="RB6572" s="106"/>
      <c r="RC6572" s="106"/>
      <c r="RD6572" s="106"/>
      <c r="RE6572" s="106"/>
      <c r="RF6572" s="106"/>
      <c r="RG6572" s="106"/>
      <c r="RH6572" s="106"/>
      <c r="RI6572" s="106"/>
      <c r="RJ6572" s="106"/>
      <c r="RK6572" s="106"/>
      <c r="RL6572" s="106"/>
    </row>
    <row r="6573" spans="462:480" x14ac:dyDescent="0.3">
      <c r="QT6573" s="106"/>
      <c r="QU6573" s="106"/>
      <c r="QV6573" s="106"/>
      <c r="QW6573" s="106"/>
      <c r="QX6573" s="106"/>
      <c r="QY6573" s="106"/>
      <c r="QZ6573" s="106"/>
      <c r="RA6573" s="106"/>
      <c r="RB6573" s="106"/>
      <c r="RC6573" s="106"/>
      <c r="RD6573" s="106"/>
      <c r="RE6573" s="106"/>
      <c r="RF6573" s="106"/>
      <c r="RG6573" s="106"/>
      <c r="RH6573" s="106"/>
      <c r="RI6573" s="106"/>
      <c r="RJ6573" s="106"/>
      <c r="RK6573" s="106"/>
      <c r="RL6573" s="106"/>
    </row>
    <row r="6574" spans="462:480" x14ac:dyDescent="0.3">
      <c r="QT6574" s="106"/>
      <c r="QU6574" s="106"/>
      <c r="QV6574" s="106"/>
      <c r="QW6574" s="106"/>
      <c r="QX6574" s="106"/>
      <c r="QY6574" s="106"/>
      <c r="QZ6574" s="106"/>
      <c r="RA6574" s="106"/>
      <c r="RB6574" s="106"/>
      <c r="RC6574" s="106"/>
      <c r="RD6574" s="106"/>
      <c r="RE6574" s="106"/>
      <c r="RF6574" s="106"/>
      <c r="RG6574" s="106"/>
      <c r="RH6574" s="106"/>
      <c r="RI6574" s="106"/>
      <c r="RJ6574" s="106"/>
      <c r="RK6574" s="106"/>
      <c r="RL6574" s="106"/>
    </row>
    <row r="6575" spans="462:480" x14ac:dyDescent="0.3">
      <c r="QT6575" s="106"/>
      <c r="QU6575" s="106"/>
      <c r="QV6575" s="106"/>
      <c r="QW6575" s="106"/>
      <c r="QX6575" s="106"/>
      <c r="QY6575" s="106"/>
      <c r="QZ6575" s="106"/>
      <c r="RA6575" s="106"/>
      <c r="RB6575" s="106"/>
      <c r="RC6575" s="106"/>
      <c r="RD6575" s="106"/>
      <c r="RE6575" s="106"/>
      <c r="RF6575" s="106"/>
      <c r="RG6575" s="106"/>
      <c r="RH6575" s="106"/>
      <c r="RI6575" s="106"/>
      <c r="RJ6575" s="106"/>
      <c r="RK6575" s="106"/>
      <c r="RL6575" s="106"/>
    </row>
    <row r="6576" spans="462:480" x14ac:dyDescent="0.3">
      <c r="QT6576" s="106"/>
      <c r="QU6576" s="106"/>
      <c r="QV6576" s="106"/>
      <c r="QW6576" s="106"/>
      <c r="QX6576" s="106"/>
      <c r="QY6576" s="106"/>
      <c r="QZ6576" s="106"/>
      <c r="RA6576" s="106"/>
      <c r="RB6576" s="106"/>
      <c r="RC6576" s="106"/>
      <c r="RD6576" s="106"/>
      <c r="RE6576" s="106"/>
      <c r="RF6576" s="106"/>
      <c r="RG6576" s="106"/>
      <c r="RH6576" s="106"/>
      <c r="RI6576" s="106"/>
      <c r="RJ6576" s="106"/>
      <c r="RK6576" s="106"/>
      <c r="RL6576" s="106"/>
    </row>
    <row r="6577" spans="462:480" x14ac:dyDescent="0.3">
      <c r="QT6577" s="106"/>
      <c r="QU6577" s="106"/>
      <c r="QV6577" s="106"/>
      <c r="QW6577" s="106"/>
      <c r="QX6577" s="106"/>
      <c r="QY6577" s="106"/>
      <c r="QZ6577" s="106"/>
      <c r="RA6577" s="106"/>
      <c r="RB6577" s="106"/>
      <c r="RC6577" s="106"/>
      <c r="RD6577" s="106"/>
      <c r="RE6577" s="106"/>
      <c r="RF6577" s="106"/>
      <c r="RG6577" s="106"/>
      <c r="RH6577" s="106"/>
      <c r="RI6577" s="106"/>
      <c r="RJ6577" s="106"/>
      <c r="RK6577" s="106"/>
      <c r="RL6577" s="106"/>
    </row>
    <row r="6578" spans="462:480" x14ac:dyDescent="0.3">
      <c r="QT6578" s="106"/>
      <c r="QU6578" s="106"/>
      <c r="QV6578" s="106"/>
      <c r="QW6578" s="106"/>
      <c r="QX6578" s="106"/>
      <c r="QY6578" s="106"/>
      <c r="QZ6578" s="106"/>
      <c r="RA6578" s="106"/>
      <c r="RB6578" s="106"/>
      <c r="RC6578" s="106"/>
      <c r="RD6578" s="106"/>
      <c r="RE6578" s="106"/>
      <c r="RF6578" s="106"/>
      <c r="RG6578" s="106"/>
      <c r="RH6578" s="106"/>
      <c r="RI6578" s="106"/>
      <c r="RJ6578" s="106"/>
      <c r="RK6578" s="106"/>
      <c r="RL6578" s="106"/>
    </row>
    <row r="6579" spans="462:480" x14ac:dyDescent="0.3">
      <c r="QT6579" s="106"/>
      <c r="QU6579" s="106"/>
      <c r="QV6579" s="106"/>
      <c r="QW6579" s="106"/>
      <c r="QX6579" s="106"/>
      <c r="QY6579" s="106"/>
      <c r="QZ6579" s="106"/>
      <c r="RA6579" s="106"/>
      <c r="RB6579" s="106"/>
      <c r="RC6579" s="106"/>
      <c r="RD6579" s="106"/>
      <c r="RE6579" s="106"/>
      <c r="RF6579" s="106"/>
      <c r="RG6579" s="106"/>
      <c r="RH6579" s="106"/>
      <c r="RI6579" s="106"/>
      <c r="RJ6579" s="106"/>
      <c r="RK6579" s="106"/>
      <c r="RL6579" s="106"/>
    </row>
    <row r="6580" spans="462:480" x14ac:dyDescent="0.3">
      <c r="QT6580" s="106"/>
      <c r="QU6580" s="106"/>
      <c r="QV6580" s="106"/>
      <c r="QW6580" s="106"/>
      <c r="QX6580" s="106"/>
      <c r="QY6580" s="106"/>
      <c r="QZ6580" s="106"/>
      <c r="RA6580" s="106"/>
      <c r="RB6580" s="106"/>
      <c r="RC6580" s="106"/>
      <c r="RD6580" s="106"/>
      <c r="RE6580" s="106"/>
      <c r="RF6580" s="106"/>
      <c r="RG6580" s="106"/>
      <c r="RH6580" s="106"/>
      <c r="RI6580" s="106"/>
      <c r="RJ6580" s="106"/>
      <c r="RK6580" s="106"/>
      <c r="RL6580" s="106"/>
    </row>
    <row r="6581" spans="462:480" x14ac:dyDescent="0.3">
      <c r="QT6581" s="106"/>
      <c r="QU6581" s="106"/>
      <c r="QV6581" s="106"/>
      <c r="QW6581" s="106"/>
      <c r="QX6581" s="106"/>
      <c r="QY6581" s="106"/>
      <c r="QZ6581" s="106"/>
      <c r="RA6581" s="106"/>
      <c r="RB6581" s="106"/>
      <c r="RC6581" s="106"/>
      <c r="RD6581" s="106"/>
      <c r="RE6581" s="106"/>
      <c r="RF6581" s="106"/>
      <c r="RG6581" s="106"/>
      <c r="RH6581" s="106"/>
      <c r="RI6581" s="106"/>
      <c r="RJ6581" s="106"/>
      <c r="RK6581" s="106"/>
      <c r="RL6581" s="106"/>
    </row>
    <row r="6582" spans="462:480" x14ac:dyDescent="0.3">
      <c r="QT6582" s="106"/>
      <c r="QU6582" s="106"/>
      <c r="QV6582" s="106"/>
      <c r="QW6582" s="106"/>
      <c r="QX6582" s="106"/>
      <c r="QY6582" s="106"/>
      <c r="QZ6582" s="106"/>
      <c r="RA6582" s="106"/>
      <c r="RB6582" s="106"/>
      <c r="RC6582" s="106"/>
      <c r="RD6582" s="106"/>
      <c r="RE6582" s="106"/>
      <c r="RF6582" s="106"/>
      <c r="RG6582" s="106"/>
      <c r="RH6582" s="106"/>
      <c r="RI6582" s="106"/>
      <c r="RJ6582" s="106"/>
      <c r="RK6582" s="106"/>
      <c r="RL6582" s="106"/>
    </row>
    <row r="6583" spans="462:480" x14ac:dyDescent="0.3">
      <c r="QT6583" s="106"/>
      <c r="QU6583" s="106"/>
      <c r="QV6583" s="106"/>
      <c r="QW6583" s="106"/>
      <c r="QX6583" s="106"/>
      <c r="QY6583" s="106"/>
      <c r="QZ6583" s="106"/>
      <c r="RA6583" s="106"/>
      <c r="RB6583" s="106"/>
      <c r="RC6583" s="106"/>
      <c r="RD6583" s="106"/>
      <c r="RE6583" s="106"/>
      <c r="RF6583" s="106"/>
      <c r="RG6583" s="106"/>
      <c r="RH6583" s="106"/>
      <c r="RI6583" s="106"/>
      <c r="RJ6583" s="106"/>
      <c r="RK6583" s="106"/>
      <c r="RL6583" s="106"/>
    </row>
    <row r="6584" spans="462:480" x14ac:dyDescent="0.3">
      <c r="QT6584" s="106"/>
      <c r="QU6584" s="106"/>
      <c r="QV6584" s="106"/>
      <c r="QW6584" s="106"/>
      <c r="QX6584" s="106"/>
      <c r="QY6584" s="106"/>
      <c r="QZ6584" s="106"/>
      <c r="RA6584" s="106"/>
      <c r="RB6584" s="106"/>
      <c r="RC6584" s="106"/>
      <c r="RD6584" s="106"/>
      <c r="RE6584" s="106"/>
      <c r="RF6584" s="106"/>
      <c r="RG6584" s="106"/>
      <c r="RH6584" s="106"/>
      <c r="RI6584" s="106"/>
      <c r="RJ6584" s="106"/>
      <c r="RK6584" s="106"/>
      <c r="RL6584" s="106"/>
    </row>
    <row r="6585" spans="462:480" x14ac:dyDescent="0.3">
      <c r="QT6585" s="106"/>
      <c r="QU6585" s="106"/>
      <c r="QV6585" s="106"/>
      <c r="QW6585" s="106"/>
      <c r="QX6585" s="106"/>
      <c r="QY6585" s="106"/>
      <c r="QZ6585" s="106"/>
      <c r="RA6585" s="106"/>
      <c r="RB6585" s="106"/>
      <c r="RC6585" s="106"/>
      <c r="RD6585" s="106"/>
      <c r="RE6585" s="106"/>
      <c r="RF6585" s="106"/>
      <c r="RG6585" s="106"/>
      <c r="RH6585" s="106"/>
      <c r="RI6585" s="106"/>
      <c r="RJ6585" s="106"/>
      <c r="RK6585" s="106"/>
      <c r="RL6585" s="106"/>
    </row>
    <row r="6586" spans="462:480" x14ac:dyDescent="0.3">
      <c r="QT6586" s="106"/>
      <c r="QU6586" s="106"/>
      <c r="QV6586" s="106"/>
      <c r="QW6586" s="106"/>
      <c r="QX6586" s="106"/>
      <c r="QY6586" s="106"/>
      <c r="QZ6586" s="106"/>
      <c r="RA6586" s="106"/>
      <c r="RB6586" s="106"/>
      <c r="RC6586" s="106"/>
      <c r="RD6586" s="106"/>
      <c r="RE6586" s="106"/>
      <c r="RF6586" s="106"/>
      <c r="RG6586" s="106"/>
      <c r="RH6586" s="106"/>
      <c r="RI6586" s="106"/>
      <c r="RJ6586" s="106"/>
      <c r="RK6586" s="106"/>
      <c r="RL6586" s="106"/>
    </row>
    <row r="6587" spans="462:480" x14ac:dyDescent="0.3">
      <c r="QT6587" s="106"/>
      <c r="QU6587" s="106"/>
      <c r="QV6587" s="106"/>
      <c r="QW6587" s="106"/>
      <c r="QX6587" s="106"/>
      <c r="QY6587" s="106"/>
      <c r="QZ6587" s="106"/>
      <c r="RA6587" s="106"/>
      <c r="RB6587" s="106"/>
      <c r="RC6587" s="106"/>
      <c r="RD6587" s="106"/>
      <c r="RE6587" s="106"/>
      <c r="RF6587" s="106"/>
      <c r="RG6587" s="106"/>
      <c r="RH6587" s="106"/>
      <c r="RI6587" s="106"/>
      <c r="RJ6587" s="106"/>
      <c r="RK6587" s="106"/>
      <c r="RL6587" s="106"/>
    </row>
    <row r="6588" spans="462:480" x14ac:dyDescent="0.3">
      <c r="QT6588" s="106"/>
      <c r="QU6588" s="106"/>
      <c r="QV6588" s="106"/>
      <c r="QW6588" s="106"/>
      <c r="QX6588" s="106"/>
      <c r="QY6588" s="106"/>
      <c r="QZ6588" s="106"/>
      <c r="RA6588" s="106"/>
      <c r="RB6588" s="106"/>
      <c r="RC6588" s="106"/>
      <c r="RD6588" s="106"/>
      <c r="RE6588" s="106"/>
      <c r="RF6588" s="106"/>
      <c r="RG6588" s="106"/>
      <c r="RH6588" s="106"/>
      <c r="RI6588" s="106"/>
      <c r="RJ6588" s="106"/>
      <c r="RK6588" s="106"/>
      <c r="RL6588" s="106"/>
    </row>
    <row r="6589" spans="462:480" x14ac:dyDescent="0.3">
      <c r="QT6589" s="106"/>
      <c r="QU6589" s="106"/>
      <c r="QV6589" s="106"/>
      <c r="QW6589" s="106"/>
      <c r="QX6589" s="106"/>
      <c r="QY6589" s="106"/>
      <c r="QZ6589" s="106"/>
      <c r="RA6589" s="106"/>
      <c r="RB6589" s="106"/>
      <c r="RC6589" s="106"/>
      <c r="RD6589" s="106"/>
      <c r="RE6589" s="106"/>
      <c r="RF6589" s="106"/>
      <c r="RG6589" s="106"/>
      <c r="RH6589" s="106"/>
      <c r="RI6589" s="106"/>
      <c r="RJ6589" s="106"/>
      <c r="RK6589" s="106"/>
      <c r="RL6589" s="106"/>
    </row>
    <row r="6590" spans="462:480" x14ac:dyDescent="0.3">
      <c r="QT6590" s="106"/>
      <c r="QU6590" s="106"/>
      <c r="QV6590" s="106"/>
      <c r="QW6590" s="106"/>
      <c r="QX6590" s="106"/>
      <c r="QY6590" s="106"/>
      <c r="QZ6590" s="106"/>
      <c r="RA6590" s="106"/>
      <c r="RB6590" s="106"/>
      <c r="RC6590" s="106"/>
      <c r="RD6590" s="106"/>
      <c r="RE6590" s="106"/>
      <c r="RF6590" s="106"/>
      <c r="RG6590" s="106"/>
      <c r="RH6590" s="106"/>
      <c r="RI6590" s="106"/>
      <c r="RJ6590" s="106"/>
      <c r="RK6590" s="106"/>
      <c r="RL6590" s="106"/>
    </row>
    <row r="6591" spans="462:480" x14ac:dyDescent="0.3">
      <c r="QT6591" s="106"/>
      <c r="QU6591" s="106"/>
      <c r="QV6591" s="106"/>
      <c r="QW6591" s="106"/>
      <c r="QX6591" s="106"/>
      <c r="QY6591" s="106"/>
      <c r="QZ6591" s="106"/>
      <c r="RA6591" s="106"/>
      <c r="RB6591" s="106"/>
      <c r="RC6591" s="106"/>
      <c r="RD6591" s="106"/>
      <c r="RE6591" s="106"/>
      <c r="RF6591" s="106"/>
      <c r="RG6591" s="106"/>
      <c r="RH6591" s="106"/>
      <c r="RI6591" s="106"/>
      <c r="RJ6591" s="106"/>
      <c r="RK6591" s="106"/>
      <c r="RL6591" s="106"/>
    </row>
    <row r="6592" spans="462:480" x14ac:dyDescent="0.3">
      <c r="QT6592" s="106"/>
      <c r="QU6592" s="106"/>
      <c r="QV6592" s="106"/>
      <c r="QW6592" s="106"/>
      <c r="QX6592" s="106"/>
      <c r="QY6592" s="106"/>
      <c r="QZ6592" s="106"/>
      <c r="RA6592" s="106"/>
      <c r="RB6592" s="106"/>
      <c r="RC6592" s="106"/>
      <c r="RD6592" s="106"/>
      <c r="RE6592" s="106"/>
      <c r="RF6592" s="106"/>
      <c r="RG6592" s="106"/>
      <c r="RH6592" s="106"/>
      <c r="RI6592" s="106"/>
      <c r="RJ6592" s="106"/>
      <c r="RK6592" s="106"/>
      <c r="RL6592" s="106"/>
    </row>
    <row r="6593" spans="462:480" x14ac:dyDescent="0.3">
      <c r="QT6593" s="106"/>
      <c r="QU6593" s="106"/>
      <c r="QV6593" s="106"/>
      <c r="QW6593" s="106"/>
      <c r="QX6593" s="106"/>
      <c r="QY6593" s="106"/>
      <c r="QZ6593" s="106"/>
      <c r="RA6593" s="106"/>
      <c r="RB6593" s="106"/>
      <c r="RC6593" s="106"/>
      <c r="RD6593" s="106"/>
      <c r="RE6593" s="106"/>
      <c r="RF6593" s="106"/>
      <c r="RG6593" s="106"/>
      <c r="RH6593" s="106"/>
      <c r="RI6593" s="106"/>
      <c r="RJ6593" s="106"/>
      <c r="RK6593" s="106"/>
      <c r="RL6593" s="106"/>
    </row>
    <row r="6594" spans="462:480" x14ac:dyDescent="0.3">
      <c r="QT6594" s="106"/>
      <c r="QU6594" s="106"/>
      <c r="QV6594" s="106"/>
      <c r="QW6594" s="106"/>
      <c r="QX6594" s="106"/>
      <c r="QY6594" s="106"/>
      <c r="QZ6594" s="106"/>
      <c r="RA6594" s="106"/>
      <c r="RB6594" s="106"/>
      <c r="RC6594" s="106"/>
      <c r="RD6594" s="106"/>
      <c r="RE6594" s="106"/>
      <c r="RF6594" s="106"/>
      <c r="RG6594" s="106"/>
      <c r="RH6594" s="106"/>
      <c r="RI6594" s="106"/>
      <c r="RJ6594" s="106"/>
      <c r="RK6594" s="106"/>
      <c r="RL6594" s="106"/>
    </row>
    <row r="6595" spans="462:480" x14ac:dyDescent="0.3">
      <c r="QT6595" s="106"/>
      <c r="QU6595" s="106"/>
      <c r="QV6595" s="106"/>
      <c r="QW6595" s="106"/>
      <c r="QX6595" s="106"/>
      <c r="QY6595" s="106"/>
      <c r="QZ6595" s="106"/>
      <c r="RA6595" s="106"/>
      <c r="RB6595" s="106"/>
      <c r="RC6595" s="106"/>
      <c r="RD6595" s="106"/>
      <c r="RE6595" s="106"/>
      <c r="RF6595" s="106"/>
      <c r="RG6595" s="106"/>
      <c r="RH6595" s="106"/>
      <c r="RI6595" s="106"/>
      <c r="RJ6595" s="106"/>
      <c r="RK6595" s="106"/>
      <c r="RL6595" s="106"/>
    </row>
    <row r="6596" spans="462:480" x14ac:dyDescent="0.3">
      <c r="QT6596" s="106"/>
      <c r="QU6596" s="106"/>
      <c r="QV6596" s="106"/>
      <c r="QW6596" s="106"/>
      <c r="QX6596" s="106"/>
      <c r="QY6596" s="106"/>
      <c r="QZ6596" s="106"/>
      <c r="RA6596" s="106"/>
      <c r="RB6596" s="106"/>
      <c r="RC6596" s="106"/>
      <c r="RD6596" s="106"/>
      <c r="RE6596" s="106"/>
      <c r="RF6596" s="106"/>
      <c r="RG6596" s="106"/>
      <c r="RH6596" s="106"/>
      <c r="RI6596" s="106"/>
      <c r="RJ6596" s="106"/>
      <c r="RK6596" s="106"/>
      <c r="RL6596" s="106"/>
    </row>
    <row r="6597" spans="462:480" x14ac:dyDescent="0.3">
      <c r="QT6597" s="106"/>
      <c r="QU6597" s="106"/>
      <c r="QV6597" s="106"/>
      <c r="QW6597" s="106"/>
      <c r="QX6597" s="106"/>
      <c r="QY6597" s="106"/>
      <c r="QZ6597" s="106"/>
      <c r="RA6597" s="106"/>
      <c r="RB6597" s="106"/>
      <c r="RC6597" s="106"/>
      <c r="RD6597" s="106"/>
      <c r="RE6597" s="106"/>
      <c r="RF6597" s="106"/>
      <c r="RG6597" s="106"/>
      <c r="RH6597" s="106"/>
      <c r="RI6597" s="106"/>
      <c r="RJ6597" s="106"/>
      <c r="RK6597" s="106"/>
      <c r="RL6597" s="106"/>
    </row>
    <row r="6598" spans="462:480" x14ac:dyDescent="0.3">
      <c r="QT6598" s="106"/>
      <c r="QU6598" s="106"/>
      <c r="QV6598" s="106"/>
      <c r="QW6598" s="106"/>
      <c r="QX6598" s="106"/>
      <c r="QY6598" s="106"/>
      <c r="QZ6598" s="106"/>
      <c r="RA6598" s="106"/>
      <c r="RB6598" s="106"/>
      <c r="RC6598" s="106"/>
      <c r="RD6598" s="106"/>
      <c r="RE6598" s="106"/>
      <c r="RF6598" s="106"/>
      <c r="RG6598" s="106"/>
      <c r="RH6598" s="106"/>
      <c r="RI6598" s="106"/>
      <c r="RJ6598" s="106"/>
      <c r="RK6598" s="106"/>
      <c r="RL6598" s="106"/>
    </row>
    <row r="6599" spans="462:480" x14ac:dyDescent="0.3">
      <c r="QT6599" s="106"/>
      <c r="QU6599" s="106"/>
      <c r="QV6599" s="106"/>
      <c r="QW6599" s="106"/>
      <c r="QX6599" s="106"/>
      <c r="QY6599" s="106"/>
      <c r="QZ6599" s="106"/>
      <c r="RA6599" s="106"/>
      <c r="RB6599" s="106"/>
      <c r="RC6599" s="106"/>
      <c r="RD6599" s="106"/>
      <c r="RE6599" s="106"/>
      <c r="RF6599" s="106"/>
      <c r="RG6599" s="106"/>
      <c r="RH6599" s="106"/>
      <c r="RI6599" s="106"/>
      <c r="RJ6599" s="106"/>
      <c r="RK6599" s="106"/>
      <c r="RL6599" s="106"/>
    </row>
    <row r="6600" spans="462:480" x14ac:dyDescent="0.3">
      <c r="QT6600" s="106"/>
      <c r="QU6600" s="106"/>
      <c r="QV6600" s="106"/>
      <c r="QW6600" s="106"/>
      <c r="QX6600" s="106"/>
      <c r="QY6600" s="106"/>
      <c r="QZ6600" s="106"/>
      <c r="RA6600" s="106"/>
      <c r="RB6600" s="106"/>
      <c r="RC6600" s="106"/>
      <c r="RD6600" s="106"/>
      <c r="RE6600" s="106"/>
      <c r="RF6600" s="106"/>
      <c r="RG6600" s="106"/>
      <c r="RH6600" s="106"/>
      <c r="RI6600" s="106"/>
      <c r="RJ6600" s="106"/>
      <c r="RK6600" s="106"/>
      <c r="RL6600" s="106"/>
    </row>
    <row r="6601" spans="462:480" x14ac:dyDescent="0.3">
      <c r="QT6601" s="106"/>
      <c r="QU6601" s="106"/>
      <c r="QV6601" s="106"/>
      <c r="QW6601" s="106"/>
      <c r="QX6601" s="106"/>
      <c r="QY6601" s="106"/>
      <c r="QZ6601" s="106"/>
      <c r="RA6601" s="106"/>
      <c r="RB6601" s="106"/>
      <c r="RC6601" s="106"/>
      <c r="RD6601" s="106"/>
      <c r="RE6601" s="106"/>
      <c r="RF6601" s="106"/>
      <c r="RG6601" s="106"/>
      <c r="RH6601" s="106"/>
      <c r="RI6601" s="106"/>
      <c r="RJ6601" s="106"/>
      <c r="RK6601" s="106"/>
      <c r="RL6601" s="106"/>
    </row>
    <row r="6602" spans="462:480" x14ac:dyDescent="0.3">
      <c r="QT6602" s="106"/>
      <c r="QU6602" s="106"/>
      <c r="QV6602" s="106"/>
      <c r="QW6602" s="106"/>
      <c r="QX6602" s="106"/>
      <c r="QY6602" s="106"/>
      <c r="QZ6602" s="106"/>
      <c r="RA6602" s="106"/>
      <c r="RB6602" s="106"/>
      <c r="RC6602" s="106"/>
      <c r="RD6602" s="106"/>
      <c r="RE6602" s="106"/>
      <c r="RF6602" s="106"/>
      <c r="RG6602" s="106"/>
      <c r="RH6602" s="106"/>
      <c r="RI6602" s="106"/>
      <c r="RJ6602" s="106"/>
      <c r="RK6602" s="106"/>
      <c r="RL6602" s="106"/>
    </row>
    <row r="6603" spans="462:480" x14ac:dyDescent="0.3">
      <c r="QT6603" s="106"/>
      <c r="QU6603" s="106"/>
      <c r="QV6603" s="106"/>
      <c r="QW6603" s="106"/>
      <c r="QX6603" s="106"/>
      <c r="QY6603" s="106"/>
      <c r="QZ6603" s="106"/>
      <c r="RA6603" s="106"/>
      <c r="RB6603" s="106"/>
      <c r="RC6603" s="106"/>
      <c r="RD6603" s="106"/>
      <c r="RE6603" s="106"/>
      <c r="RF6603" s="106"/>
      <c r="RG6603" s="106"/>
      <c r="RH6603" s="106"/>
      <c r="RI6603" s="106"/>
      <c r="RJ6603" s="106"/>
      <c r="RK6603" s="106"/>
      <c r="RL6603" s="106"/>
    </row>
    <row r="6604" spans="462:480" x14ac:dyDescent="0.3">
      <c r="QT6604" s="106"/>
      <c r="QU6604" s="106"/>
      <c r="QV6604" s="106"/>
      <c r="QW6604" s="106"/>
      <c r="QX6604" s="106"/>
      <c r="QY6604" s="106"/>
      <c r="QZ6604" s="106"/>
      <c r="RA6604" s="106"/>
      <c r="RB6604" s="106"/>
      <c r="RC6604" s="106"/>
      <c r="RD6604" s="106"/>
      <c r="RE6604" s="106"/>
      <c r="RF6604" s="106"/>
      <c r="RG6604" s="106"/>
      <c r="RH6604" s="106"/>
      <c r="RI6604" s="106"/>
      <c r="RJ6604" s="106"/>
      <c r="RK6604" s="106"/>
      <c r="RL6604" s="106"/>
    </row>
    <row r="6605" spans="462:480" x14ac:dyDescent="0.3">
      <c r="QT6605" s="106"/>
      <c r="QU6605" s="106"/>
      <c r="QV6605" s="106"/>
      <c r="QW6605" s="106"/>
      <c r="QX6605" s="106"/>
      <c r="QY6605" s="106"/>
      <c r="QZ6605" s="106"/>
      <c r="RA6605" s="106"/>
      <c r="RB6605" s="106"/>
      <c r="RC6605" s="106"/>
      <c r="RD6605" s="106"/>
      <c r="RE6605" s="106"/>
      <c r="RF6605" s="106"/>
      <c r="RG6605" s="106"/>
      <c r="RH6605" s="106"/>
      <c r="RI6605" s="106"/>
      <c r="RJ6605" s="106"/>
      <c r="RK6605" s="106"/>
      <c r="RL6605" s="106"/>
    </row>
    <row r="6606" spans="462:480" x14ac:dyDescent="0.3">
      <c r="QT6606" s="106"/>
      <c r="QU6606" s="106"/>
      <c r="QV6606" s="106"/>
      <c r="QW6606" s="106"/>
      <c r="QX6606" s="106"/>
      <c r="QY6606" s="106"/>
      <c r="QZ6606" s="106"/>
      <c r="RA6606" s="106"/>
      <c r="RB6606" s="106"/>
      <c r="RC6606" s="106"/>
      <c r="RD6606" s="106"/>
      <c r="RE6606" s="106"/>
      <c r="RF6606" s="106"/>
      <c r="RG6606" s="106"/>
      <c r="RH6606" s="106"/>
      <c r="RI6606" s="106"/>
      <c r="RJ6606" s="106"/>
      <c r="RK6606" s="106"/>
      <c r="RL6606" s="106"/>
    </row>
    <row r="6607" spans="462:480" x14ac:dyDescent="0.3">
      <c r="QT6607" s="106"/>
      <c r="QU6607" s="106"/>
      <c r="QV6607" s="106"/>
      <c r="QW6607" s="106"/>
      <c r="QX6607" s="106"/>
      <c r="QY6607" s="106"/>
      <c r="QZ6607" s="106"/>
      <c r="RA6607" s="106"/>
      <c r="RB6607" s="106"/>
      <c r="RC6607" s="106"/>
      <c r="RD6607" s="106"/>
      <c r="RE6607" s="106"/>
      <c r="RF6607" s="106"/>
      <c r="RG6607" s="106"/>
      <c r="RH6607" s="106"/>
      <c r="RI6607" s="106"/>
      <c r="RJ6607" s="106"/>
      <c r="RK6607" s="106"/>
      <c r="RL6607" s="106"/>
    </row>
    <row r="6608" spans="462:480" x14ac:dyDescent="0.3">
      <c r="QT6608" s="106"/>
      <c r="QU6608" s="106"/>
      <c r="QV6608" s="106"/>
      <c r="QW6608" s="106"/>
      <c r="QX6608" s="106"/>
      <c r="QY6608" s="106"/>
      <c r="QZ6608" s="106"/>
      <c r="RA6608" s="106"/>
      <c r="RB6608" s="106"/>
      <c r="RC6608" s="106"/>
      <c r="RD6608" s="106"/>
      <c r="RE6608" s="106"/>
      <c r="RF6608" s="106"/>
      <c r="RG6608" s="106"/>
      <c r="RH6608" s="106"/>
      <c r="RI6608" s="106"/>
      <c r="RJ6608" s="106"/>
      <c r="RK6608" s="106"/>
      <c r="RL6608" s="106"/>
    </row>
    <row r="6609" spans="462:480" x14ac:dyDescent="0.3">
      <c r="QT6609" s="106"/>
      <c r="QU6609" s="106"/>
      <c r="QV6609" s="106"/>
      <c r="QW6609" s="106"/>
      <c r="QX6609" s="106"/>
      <c r="QY6609" s="106"/>
      <c r="QZ6609" s="106"/>
      <c r="RA6609" s="106"/>
      <c r="RB6609" s="106"/>
      <c r="RC6609" s="106"/>
      <c r="RD6609" s="106"/>
      <c r="RE6609" s="106"/>
      <c r="RF6609" s="106"/>
      <c r="RG6609" s="106"/>
      <c r="RH6609" s="106"/>
      <c r="RI6609" s="106"/>
      <c r="RJ6609" s="106"/>
      <c r="RK6609" s="106"/>
      <c r="RL6609" s="106"/>
    </row>
    <row r="6610" spans="462:480" x14ac:dyDescent="0.3">
      <c r="QT6610" s="106"/>
      <c r="QU6610" s="106"/>
      <c r="QV6610" s="106"/>
      <c r="QW6610" s="106"/>
      <c r="QX6610" s="106"/>
      <c r="QY6610" s="106"/>
      <c r="QZ6610" s="106"/>
      <c r="RA6610" s="106"/>
      <c r="RB6610" s="106"/>
      <c r="RC6610" s="106"/>
      <c r="RD6610" s="106"/>
      <c r="RE6610" s="106"/>
      <c r="RF6610" s="106"/>
      <c r="RG6610" s="106"/>
      <c r="RH6610" s="106"/>
      <c r="RI6610" s="106"/>
      <c r="RJ6610" s="106"/>
      <c r="RK6610" s="106"/>
      <c r="RL6610" s="106"/>
    </row>
    <row r="6611" spans="462:480" x14ac:dyDescent="0.3">
      <c r="QT6611" s="106"/>
      <c r="QU6611" s="106"/>
      <c r="QV6611" s="106"/>
      <c r="QW6611" s="106"/>
      <c r="QX6611" s="106"/>
      <c r="QY6611" s="106"/>
      <c r="QZ6611" s="106"/>
      <c r="RA6611" s="106"/>
      <c r="RB6611" s="106"/>
      <c r="RC6611" s="106"/>
      <c r="RD6611" s="106"/>
      <c r="RE6611" s="106"/>
      <c r="RF6611" s="106"/>
      <c r="RG6611" s="106"/>
      <c r="RH6611" s="106"/>
      <c r="RI6611" s="106"/>
      <c r="RJ6611" s="106"/>
      <c r="RK6611" s="106"/>
      <c r="RL6611" s="106"/>
    </row>
    <row r="6612" spans="462:480" x14ac:dyDescent="0.3">
      <c r="QT6612" s="106"/>
      <c r="QU6612" s="106"/>
      <c r="QV6612" s="106"/>
      <c r="QW6612" s="106"/>
      <c r="QX6612" s="106"/>
      <c r="QY6612" s="106"/>
      <c r="QZ6612" s="106"/>
      <c r="RA6612" s="106"/>
      <c r="RB6612" s="106"/>
      <c r="RC6612" s="106"/>
      <c r="RD6612" s="106"/>
      <c r="RE6612" s="106"/>
      <c r="RF6612" s="106"/>
      <c r="RG6612" s="106"/>
      <c r="RH6612" s="106"/>
      <c r="RI6612" s="106"/>
      <c r="RJ6612" s="106"/>
      <c r="RK6612" s="106"/>
      <c r="RL6612" s="106"/>
    </row>
    <row r="6613" spans="462:480" x14ac:dyDescent="0.3">
      <c r="QT6613" s="106"/>
      <c r="QU6613" s="106"/>
      <c r="QV6613" s="106"/>
      <c r="QW6613" s="106"/>
      <c r="QX6613" s="106"/>
      <c r="QY6613" s="106"/>
      <c r="QZ6613" s="106"/>
      <c r="RA6613" s="106"/>
      <c r="RB6613" s="106"/>
      <c r="RC6613" s="106"/>
      <c r="RD6613" s="106"/>
      <c r="RE6613" s="106"/>
      <c r="RF6613" s="106"/>
      <c r="RG6613" s="106"/>
      <c r="RH6613" s="106"/>
      <c r="RI6613" s="106"/>
      <c r="RJ6613" s="106"/>
      <c r="RK6613" s="106"/>
      <c r="RL6613" s="106"/>
    </row>
    <row r="6614" spans="462:480" x14ac:dyDescent="0.3">
      <c r="QT6614" s="106"/>
      <c r="QU6614" s="106"/>
      <c r="QV6614" s="106"/>
      <c r="QW6614" s="106"/>
      <c r="QX6614" s="106"/>
      <c r="QY6614" s="106"/>
      <c r="QZ6614" s="106"/>
      <c r="RA6614" s="106"/>
      <c r="RB6614" s="106"/>
      <c r="RC6614" s="106"/>
      <c r="RD6614" s="106"/>
      <c r="RE6614" s="106"/>
      <c r="RF6614" s="106"/>
      <c r="RG6614" s="106"/>
      <c r="RH6614" s="106"/>
      <c r="RI6614" s="106"/>
      <c r="RJ6614" s="106"/>
      <c r="RK6614" s="106"/>
      <c r="RL6614" s="106"/>
    </row>
    <row r="6615" spans="462:480" x14ac:dyDescent="0.3">
      <c r="QT6615" s="106"/>
      <c r="QU6615" s="106"/>
      <c r="QV6615" s="106"/>
      <c r="QW6615" s="106"/>
      <c r="QX6615" s="106"/>
      <c r="QY6615" s="106"/>
      <c r="QZ6615" s="106"/>
      <c r="RA6615" s="106"/>
      <c r="RB6615" s="106"/>
      <c r="RC6615" s="106"/>
      <c r="RD6615" s="106"/>
      <c r="RE6615" s="106"/>
      <c r="RF6615" s="106"/>
      <c r="RG6615" s="106"/>
      <c r="RH6615" s="106"/>
      <c r="RI6615" s="106"/>
      <c r="RJ6615" s="106"/>
      <c r="RK6615" s="106"/>
      <c r="RL6615" s="106"/>
    </row>
    <row r="6616" spans="462:480" x14ac:dyDescent="0.3">
      <c r="QT6616" s="106"/>
      <c r="QU6616" s="106"/>
      <c r="QV6616" s="106"/>
      <c r="QW6616" s="106"/>
      <c r="QX6616" s="106"/>
      <c r="QY6616" s="106"/>
      <c r="QZ6616" s="106"/>
      <c r="RA6616" s="106"/>
      <c r="RB6616" s="106"/>
      <c r="RC6616" s="106"/>
      <c r="RD6616" s="106"/>
      <c r="RE6616" s="106"/>
      <c r="RF6616" s="106"/>
      <c r="RG6616" s="106"/>
      <c r="RH6616" s="106"/>
      <c r="RI6616" s="106"/>
      <c r="RJ6616" s="106"/>
      <c r="RK6616" s="106"/>
      <c r="RL6616" s="106"/>
    </row>
    <row r="6617" spans="462:480" x14ac:dyDescent="0.3">
      <c r="QT6617" s="106"/>
      <c r="QU6617" s="106"/>
      <c r="QV6617" s="106"/>
      <c r="QW6617" s="106"/>
      <c r="QX6617" s="106"/>
      <c r="QY6617" s="106"/>
      <c r="QZ6617" s="106"/>
      <c r="RA6617" s="106"/>
      <c r="RB6617" s="106"/>
      <c r="RC6617" s="106"/>
      <c r="RD6617" s="106"/>
      <c r="RE6617" s="106"/>
      <c r="RF6617" s="106"/>
      <c r="RG6617" s="106"/>
      <c r="RH6617" s="106"/>
      <c r="RI6617" s="106"/>
      <c r="RJ6617" s="106"/>
      <c r="RK6617" s="106"/>
      <c r="RL6617" s="106"/>
    </row>
    <row r="6618" spans="462:480" x14ac:dyDescent="0.3">
      <c r="QT6618" s="106"/>
      <c r="QU6618" s="106"/>
      <c r="QV6618" s="106"/>
      <c r="QW6618" s="106"/>
      <c r="QX6618" s="106"/>
      <c r="QY6618" s="106"/>
      <c r="QZ6618" s="106"/>
      <c r="RA6618" s="106"/>
      <c r="RB6618" s="106"/>
      <c r="RC6618" s="106"/>
      <c r="RD6618" s="106"/>
      <c r="RE6618" s="106"/>
      <c r="RF6618" s="106"/>
      <c r="RG6618" s="106"/>
      <c r="RH6618" s="106"/>
      <c r="RI6618" s="106"/>
      <c r="RJ6618" s="106"/>
      <c r="RK6618" s="106"/>
      <c r="RL6618" s="106"/>
    </row>
    <row r="6619" spans="462:480" x14ac:dyDescent="0.3">
      <c r="QT6619" s="106"/>
      <c r="QU6619" s="106"/>
      <c r="QV6619" s="106"/>
      <c r="QW6619" s="106"/>
      <c r="QX6619" s="106"/>
      <c r="QY6619" s="106"/>
      <c r="QZ6619" s="106"/>
      <c r="RA6619" s="106"/>
      <c r="RB6619" s="106"/>
      <c r="RC6619" s="106"/>
      <c r="RD6619" s="106"/>
      <c r="RE6619" s="106"/>
      <c r="RF6619" s="106"/>
      <c r="RG6619" s="106"/>
      <c r="RH6619" s="106"/>
      <c r="RI6619" s="106"/>
      <c r="RJ6619" s="106"/>
      <c r="RK6619" s="106"/>
      <c r="RL6619" s="106"/>
    </row>
    <row r="6620" spans="462:480" x14ac:dyDescent="0.3">
      <c r="QT6620" s="106"/>
      <c r="QU6620" s="106"/>
      <c r="QV6620" s="106"/>
      <c r="QW6620" s="106"/>
      <c r="QX6620" s="106"/>
      <c r="QY6620" s="106"/>
      <c r="QZ6620" s="106"/>
      <c r="RA6620" s="106"/>
      <c r="RB6620" s="106"/>
      <c r="RC6620" s="106"/>
      <c r="RD6620" s="106"/>
      <c r="RE6620" s="106"/>
      <c r="RF6620" s="106"/>
      <c r="RG6620" s="106"/>
      <c r="RH6620" s="106"/>
      <c r="RI6620" s="106"/>
      <c r="RJ6620" s="106"/>
      <c r="RK6620" s="106"/>
      <c r="RL6620" s="106"/>
    </row>
    <row r="6621" spans="462:480" x14ac:dyDescent="0.3">
      <c r="QT6621" s="106"/>
      <c r="QU6621" s="106"/>
      <c r="QV6621" s="106"/>
      <c r="QW6621" s="106"/>
      <c r="QX6621" s="106"/>
      <c r="QY6621" s="106"/>
      <c r="QZ6621" s="106"/>
      <c r="RA6621" s="106"/>
      <c r="RB6621" s="106"/>
      <c r="RC6621" s="106"/>
      <c r="RD6621" s="106"/>
      <c r="RE6621" s="106"/>
      <c r="RF6621" s="106"/>
      <c r="RG6621" s="106"/>
      <c r="RH6621" s="106"/>
      <c r="RI6621" s="106"/>
      <c r="RJ6621" s="106"/>
      <c r="RK6621" s="106"/>
      <c r="RL6621" s="106"/>
    </row>
    <row r="6622" spans="462:480" x14ac:dyDescent="0.3">
      <c r="QT6622" s="106"/>
      <c r="QU6622" s="106"/>
      <c r="QV6622" s="106"/>
      <c r="QW6622" s="106"/>
      <c r="QX6622" s="106"/>
      <c r="QY6622" s="106"/>
      <c r="QZ6622" s="106"/>
      <c r="RA6622" s="106"/>
      <c r="RB6622" s="106"/>
      <c r="RC6622" s="106"/>
      <c r="RD6622" s="106"/>
      <c r="RE6622" s="106"/>
      <c r="RF6622" s="106"/>
      <c r="RG6622" s="106"/>
      <c r="RH6622" s="106"/>
      <c r="RI6622" s="106"/>
      <c r="RJ6622" s="106"/>
      <c r="RK6622" s="106"/>
      <c r="RL6622" s="106"/>
    </row>
    <row r="6623" spans="462:480" x14ac:dyDescent="0.3">
      <c r="QT6623" s="106"/>
      <c r="QU6623" s="106"/>
      <c r="QV6623" s="106"/>
      <c r="QW6623" s="106"/>
      <c r="QX6623" s="106"/>
      <c r="QY6623" s="106"/>
      <c r="QZ6623" s="106"/>
      <c r="RA6623" s="106"/>
      <c r="RB6623" s="106"/>
      <c r="RC6623" s="106"/>
      <c r="RD6623" s="106"/>
      <c r="RE6623" s="106"/>
      <c r="RF6623" s="106"/>
      <c r="RG6623" s="106"/>
      <c r="RH6623" s="106"/>
      <c r="RI6623" s="106"/>
      <c r="RJ6623" s="106"/>
      <c r="RK6623" s="106"/>
      <c r="RL6623" s="106"/>
    </row>
    <row r="6624" spans="462:480" x14ac:dyDescent="0.3">
      <c r="QT6624" s="106"/>
      <c r="QU6624" s="106"/>
      <c r="QV6624" s="106"/>
      <c r="QW6624" s="106"/>
      <c r="QX6624" s="106"/>
      <c r="QY6624" s="106"/>
      <c r="QZ6624" s="106"/>
      <c r="RA6624" s="106"/>
      <c r="RB6624" s="106"/>
      <c r="RC6624" s="106"/>
      <c r="RD6624" s="106"/>
      <c r="RE6624" s="106"/>
      <c r="RF6624" s="106"/>
      <c r="RG6624" s="106"/>
      <c r="RH6624" s="106"/>
      <c r="RI6624" s="106"/>
      <c r="RJ6624" s="106"/>
      <c r="RK6624" s="106"/>
      <c r="RL6624" s="106"/>
    </row>
    <row r="6625" spans="462:480" x14ac:dyDescent="0.3">
      <c r="QT6625" s="106"/>
      <c r="QU6625" s="106"/>
      <c r="QV6625" s="106"/>
      <c r="QW6625" s="106"/>
      <c r="QX6625" s="106"/>
      <c r="QY6625" s="106"/>
      <c r="QZ6625" s="106"/>
      <c r="RA6625" s="106"/>
      <c r="RB6625" s="106"/>
      <c r="RC6625" s="106"/>
      <c r="RD6625" s="106"/>
      <c r="RE6625" s="106"/>
      <c r="RF6625" s="106"/>
      <c r="RG6625" s="106"/>
      <c r="RH6625" s="106"/>
      <c r="RI6625" s="106"/>
      <c r="RJ6625" s="106"/>
      <c r="RK6625" s="106"/>
      <c r="RL6625" s="106"/>
    </row>
    <row r="6626" spans="462:480" x14ac:dyDescent="0.3">
      <c r="QT6626" s="106"/>
      <c r="QU6626" s="106"/>
      <c r="QV6626" s="106"/>
      <c r="QW6626" s="106"/>
      <c r="QX6626" s="106"/>
      <c r="QY6626" s="106"/>
      <c r="QZ6626" s="106"/>
      <c r="RA6626" s="106"/>
      <c r="RB6626" s="106"/>
      <c r="RC6626" s="106"/>
      <c r="RD6626" s="106"/>
      <c r="RE6626" s="106"/>
      <c r="RF6626" s="106"/>
      <c r="RG6626" s="106"/>
      <c r="RH6626" s="106"/>
      <c r="RI6626" s="106"/>
      <c r="RJ6626" s="106"/>
      <c r="RK6626" s="106"/>
      <c r="RL6626" s="106"/>
    </row>
    <row r="6627" spans="462:480" x14ac:dyDescent="0.3">
      <c r="QT6627" s="106"/>
      <c r="QU6627" s="106"/>
      <c r="QV6627" s="106"/>
      <c r="QW6627" s="106"/>
      <c r="QX6627" s="106"/>
      <c r="QY6627" s="106"/>
      <c r="QZ6627" s="106"/>
      <c r="RA6627" s="106"/>
      <c r="RB6627" s="106"/>
      <c r="RC6627" s="106"/>
      <c r="RD6627" s="106"/>
      <c r="RE6627" s="106"/>
      <c r="RF6627" s="106"/>
      <c r="RG6627" s="106"/>
      <c r="RH6627" s="106"/>
      <c r="RI6627" s="106"/>
      <c r="RJ6627" s="106"/>
      <c r="RK6627" s="106"/>
      <c r="RL6627" s="106"/>
    </row>
    <row r="6628" spans="462:480" x14ac:dyDescent="0.3">
      <c r="QT6628" s="106"/>
      <c r="QU6628" s="106"/>
      <c r="QV6628" s="106"/>
      <c r="QW6628" s="106"/>
      <c r="QX6628" s="106"/>
      <c r="QY6628" s="106"/>
      <c r="QZ6628" s="106"/>
      <c r="RA6628" s="106"/>
      <c r="RB6628" s="106"/>
      <c r="RC6628" s="106"/>
      <c r="RD6628" s="106"/>
      <c r="RE6628" s="106"/>
      <c r="RF6628" s="106"/>
      <c r="RG6628" s="106"/>
      <c r="RH6628" s="106"/>
      <c r="RI6628" s="106"/>
      <c r="RJ6628" s="106"/>
      <c r="RK6628" s="106"/>
      <c r="RL6628" s="106"/>
    </row>
    <row r="6629" spans="462:480" x14ac:dyDescent="0.3">
      <c r="QT6629" s="106"/>
      <c r="QU6629" s="106"/>
      <c r="QV6629" s="106"/>
      <c r="QW6629" s="106"/>
      <c r="QX6629" s="106"/>
      <c r="QY6629" s="106"/>
      <c r="QZ6629" s="106"/>
      <c r="RA6629" s="106"/>
      <c r="RB6629" s="106"/>
      <c r="RC6629" s="106"/>
      <c r="RD6629" s="106"/>
      <c r="RE6629" s="106"/>
      <c r="RF6629" s="106"/>
      <c r="RG6629" s="106"/>
      <c r="RH6629" s="106"/>
      <c r="RI6629" s="106"/>
      <c r="RJ6629" s="106"/>
      <c r="RK6629" s="106"/>
      <c r="RL6629" s="106"/>
    </row>
    <row r="6630" spans="462:480" x14ac:dyDescent="0.3">
      <c r="QT6630" s="106"/>
      <c r="QU6630" s="106"/>
      <c r="QV6630" s="106"/>
      <c r="QW6630" s="106"/>
      <c r="QX6630" s="106"/>
      <c r="QY6630" s="106"/>
      <c r="QZ6630" s="106"/>
      <c r="RA6630" s="106"/>
      <c r="RB6630" s="106"/>
      <c r="RC6630" s="106"/>
      <c r="RD6630" s="106"/>
      <c r="RE6630" s="106"/>
      <c r="RF6630" s="106"/>
      <c r="RG6630" s="106"/>
      <c r="RH6630" s="106"/>
      <c r="RI6630" s="106"/>
      <c r="RJ6630" s="106"/>
      <c r="RK6630" s="106"/>
      <c r="RL6630" s="106"/>
    </row>
    <row r="6631" spans="462:480" x14ac:dyDescent="0.3">
      <c r="QT6631" s="106"/>
      <c r="QU6631" s="106"/>
      <c r="QV6631" s="106"/>
      <c r="QW6631" s="106"/>
      <c r="QX6631" s="106"/>
      <c r="QY6631" s="106"/>
      <c r="QZ6631" s="106"/>
      <c r="RA6631" s="106"/>
      <c r="RB6631" s="106"/>
      <c r="RC6631" s="106"/>
      <c r="RD6631" s="106"/>
      <c r="RE6631" s="106"/>
      <c r="RF6631" s="106"/>
      <c r="RG6631" s="106"/>
      <c r="RH6631" s="106"/>
      <c r="RI6631" s="106"/>
      <c r="RJ6631" s="106"/>
      <c r="RK6631" s="106"/>
      <c r="RL6631" s="106"/>
    </row>
    <row r="6632" spans="462:480" x14ac:dyDescent="0.3">
      <c r="QT6632" s="106"/>
      <c r="QU6632" s="106"/>
      <c r="QV6632" s="106"/>
      <c r="QW6632" s="106"/>
      <c r="QX6632" s="106"/>
      <c r="QY6632" s="106"/>
      <c r="QZ6632" s="106"/>
      <c r="RA6632" s="106"/>
      <c r="RB6632" s="106"/>
      <c r="RC6632" s="106"/>
      <c r="RD6632" s="106"/>
      <c r="RE6632" s="106"/>
      <c r="RF6632" s="106"/>
      <c r="RG6632" s="106"/>
      <c r="RH6632" s="106"/>
      <c r="RI6632" s="106"/>
      <c r="RJ6632" s="106"/>
      <c r="RK6632" s="106"/>
      <c r="RL6632" s="106"/>
    </row>
    <row r="6633" spans="462:480" x14ac:dyDescent="0.3">
      <c r="QT6633" s="106"/>
      <c r="QU6633" s="106"/>
      <c r="QV6633" s="106"/>
      <c r="QW6633" s="106"/>
      <c r="QX6633" s="106"/>
      <c r="QY6633" s="106"/>
      <c r="QZ6633" s="106"/>
      <c r="RA6633" s="106"/>
      <c r="RB6633" s="106"/>
      <c r="RC6633" s="106"/>
      <c r="RD6633" s="106"/>
      <c r="RE6633" s="106"/>
      <c r="RF6633" s="106"/>
      <c r="RG6633" s="106"/>
      <c r="RH6633" s="106"/>
      <c r="RI6633" s="106"/>
      <c r="RJ6633" s="106"/>
      <c r="RK6633" s="106"/>
      <c r="RL6633" s="106"/>
    </row>
    <row r="6634" spans="462:480" x14ac:dyDescent="0.3">
      <c r="QT6634" s="106"/>
      <c r="QU6634" s="106"/>
      <c r="QV6634" s="106"/>
      <c r="QW6634" s="106"/>
      <c r="QX6634" s="106"/>
      <c r="QY6634" s="106"/>
      <c r="QZ6634" s="106"/>
      <c r="RA6634" s="106"/>
      <c r="RB6634" s="106"/>
      <c r="RC6634" s="106"/>
      <c r="RD6634" s="106"/>
      <c r="RE6634" s="106"/>
      <c r="RF6634" s="106"/>
      <c r="RG6634" s="106"/>
      <c r="RH6634" s="106"/>
      <c r="RI6634" s="106"/>
      <c r="RJ6634" s="106"/>
      <c r="RK6634" s="106"/>
      <c r="RL6634" s="106"/>
    </row>
    <row r="6635" spans="462:480" x14ac:dyDescent="0.3">
      <c r="QT6635" s="106"/>
      <c r="QU6635" s="106"/>
      <c r="QV6635" s="106"/>
      <c r="QW6635" s="106"/>
      <c r="QX6635" s="106"/>
      <c r="QY6635" s="106"/>
      <c r="QZ6635" s="106"/>
      <c r="RA6635" s="106"/>
      <c r="RB6635" s="106"/>
      <c r="RC6635" s="106"/>
      <c r="RD6635" s="106"/>
      <c r="RE6635" s="106"/>
      <c r="RF6635" s="106"/>
      <c r="RG6635" s="106"/>
      <c r="RH6635" s="106"/>
      <c r="RI6635" s="106"/>
      <c r="RJ6635" s="106"/>
      <c r="RK6635" s="106"/>
      <c r="RL6635" s="106"/>
    </row>
    <row r="6636" spans="462:480" x14ac:dyDescent="0.3">
      <c r="QT6636" s="106"/>
      <c r="QU6636" s="106"/>
      <c r="QV6636" s="106"/>
      <c r="QW6636" s="106"/>
      <c r="QX6636" s="106"/>
      <c r="QY6636" s="106"/>
      <c r="QZ6636" s="106"/>
      <c r="RA6636" s="106"/>
      <c r="RB6636" s="106"/>
      <c r="RC6636" s="106"/>
      <c r="RD6636" s="106"/>
      <c r="RE6636" s="106"/>
      <c r="RF6636" s="106"/>
      <c r="RG6636" s="106"/>
      <c r="RH6636" s="106"/>
      <c r="RI6636" s="106"/>
      <c r="RJ6636" s="106"/>
      <c r="RK6636" s="106"/>
      <c r="RL6636" s="106"/>
    </row>
    <row r="6637" spans="462:480" x14ac:dyDescent="0.3">
      <c r="QT6637" s="106"/>
      <c r="QU6637" s="106"/>
      <c r="QV6637" s="106"/>
      <c r="QW6637" s="106"/>
      <c r="QX6637" s="106"/>
      <c r="QY6637" s="106"/>
      <c r="QZ6637" s="106"/>
      <c r="RA6637" s="106"/>
      <c r="RB6637" s="106"/>
      <c r="RC6637" s="106"/>
      <c r="RD6637" s="106"/>
      <c r="RE6637" s="106"/>
      <c r="RF6637" s="106"/>
      <c r="RG6637" s="106"/>
      <c r="RH6637" s="106"/>
      <c r="RI6637" s="106"/>
      <c r="RJ6637" s="106"/>
      <c r="RK6637" s="106"/>
      <c r="RL6637" s="106"/>
    </row>
    <row r="6638" spans="462:480" x14ac:dyDescent="0.3">
      <c r="QT6638" s="106"/>
      <c r="QU6638" s="106"/>
      <c r="QV6638" s="106"/>
      <c r="QW6638" s="106"/>
      <c r="QX6638" s="106"/>
      <c r="QY6638" s="106"/>
      <c r="QZ6638" s="106"/>
      <c r="RA6638" s="106"/>
      <c r="RB6638" s="106"/>
      <c r="RC6638" s="106"/>
      <c r="RD6638" s="106"/>
      <c r="RE6638" s="106"/>
      <c r="RF6638" s="106"/>
      <c r="RG6638" s="106"/>
      <c r="RH6638" s="106"/>
      <c r="RI6638" s="106"/>
      <c r="RJ6638" s="106"/>
      <c r="RK6638" s="106"/>
      <c r="RL6638" s="106"/>
    </row>
    <row r="6639" spans="462:480" x14ac:dyDescent="0.3">
      <c r="QT6639" s="106"/>
      <c r="QU6639" s="106"/>
      <c r="QV6639" s="106"/>
      <c r="QW6639" s="106"/>
      <c r="QX6639" s="106"/>
      <c r="QY6639" s="106"/>
      <c r="QZ6639" s="106"/>
      <c r="RA6639" s="106"/>
      <c r="RB6639" s="106"/>
      <c r="RC6639" s="106"/>
      <c r="RD6639" s="106"/>
      <c r="RE6639" s="106"/>
      <c r="RF6639" s="106"/>
      <c r="RG6639" s="106"/>
      <c r="RH6639" s="106"/>
      <c r="RI6639" s="106"/>
      <c r="RJ6639" s="106"/>
      <c r="RK6639" s="106"/>
      <c r="RL6639" s="106"/>
    </row>
    <row r="6640" spans="462:480" x14ac:dyDescent="0.3">
      <c r="QT6640" s="106"/>
      <c r="QU6640" s="106"/>
      <c r="QV6640" s="106"/>
      <c r="QW6640" s="106"/>
      <c r="QX6640" s="106"/>
      <c r="QY6640" s="106"/>
      <c r="QZ6640" s="106"/>
      <c r="RA6640" s="106"/>
      <c r="RB6640" s="106"/>
      <c r="RC6640" s="106"/>
      <c r="RD6640" s="106"/>
      <c r="RE6640" s="106"/>
      <c r="RF6640" s="106"/>
      <c r="RG6640" s="106"/>
      <c r="RH6640" s="106"/>
      <c r="RI6640" s="106"/>
      <c r="RJ6640" s="106"/>
      <c r="RK6640" s="106"/>
      <c r="RL6640" s="106"/>
    </row>
    <row r="6641" spans="462:480" x14ac:dyDescent="0.3">
      <c r="QT6641" s="106"/>
      <c r="QU6641" s="106"/>
      <c r="QV6641" s="106"/>
      <c r="QW6641" s="106"/>
      <c r="QX6641" s="106"/>
      <c r="QY6641" s="106"/>
      <c r="QZ6641" s="106"/>
      <c r="RA6641" s="106"/>
      <c r="RB6641" s="106"/>
      <c r="RC6641" s="106"/>
      <c r="RD6641" s="106"/>
      <c r="RE6641" s="106"/>
      <c r="RF6641" s="106"/>
      <c r="RG6641" s="106"/>
      <c r="RH6641" s="106"/>
      <c r="RI6641" s="106"/>
      <c r="RJ6641" s="106"/>
      <c r="RK6641" s="106"/>
      <c r="RL6641" s="106"/>
    </row>
    <row r="6642" spans="462:480" x14ac:dyDescent="0.3">
      <c r="QT6642" s="106"/>
      <c r="QU6642" s="106"/>
      <c r="QV6642" s="106"/>
      <c r="QW6642" s="106"/>
      <c r="QX6642" s="106"/>
      <c r="QY6642" s="106"/>
      <c r="QZ6642" s="106"/>
      <c r="RA6642" s="106"/>
      <c r="RB6642" s="106"/>
      <c r="RC6642" s="106"/>
      <c r="RD6642" s="106"/>
      <c r="RE6642" s="106"/>
      <c r="RF6642" s="106"/>
      <c r="RG6642" s="106"/>
      <c r="RH6642" s="106"/>
      <c r="RI6642" s="106"/>
      <c r="RJ6642" s="106"/>
      <c r="RK6642" s="106"/>
      <c r="RL6642" s="106"/>
    </row>
    <row r="6643" spans="462:480" x14ac:dyDescent="0.3">
      <c r="QT6643" s="106"/>
      <c r="QU6643" s="106"/>
      <c r="QV6643" s="106"/>
      <c r="QW6643" s="106"/>
      <c r="QX6643" s="106"/>
      <c r="QY6643" s="106"/>
      <c r="QZ6643" s="106"/>
      <c r="RA6643" s="106"/>
      <c r="RB6643" s="106"/>
      <c r="RC6643" s="106"/>
      <c r="RD6643" s="106"/>
      <c r="RE6643" s="106"/>
      <c r="RF6643" s="106"/>
      <c r="RG6643" s="106"/>
      <c r="RH6643" s="106"/>
      <c r="RI6643" s="106"/>
      <c r="RJ6643" s="106"/>
      <c r="RK6643" s="106"/>
      <c r="RL6643" s="106"/>
    </row>
    <row r="6644" spans="462:480" x14ac:dyDescent="0.3">
      <c r="QT6644" s="106"/>
      <c r="QU6644" s="106"/>
      <c r="QV6644" s="106"/>
      <c r="QW6644" s="106"/>
      <c r="QX6644" s="106"/>
      <c r="QY6644" s="106"/>
      <c r="QZ6644" s="106"/>
      <c r="RA6644" s="106"/>
      <c r="RB6644" s="106"/>
      <c r="RC6644" s="106"/>
      <c r="RD6644" s="106"/>
      <c r="RE6644" s="106"/>
      <c r="RF6644" s="106"/>
      <c r="RG6644" s="106"/>
      <c r="RH6644" s="106"/>
      <c r="RI6644" s="106"/>
      <c r="RJ6644" s="106"/>
      <c r="RK6644" s="106"/>
      <c r="RL6644" s="106"/>
    </row>
    <row r="6645" spans="462:480" x14ac:dyDescent="0.3">
      <c r="QT6645" s="106"/>
      <c r="QU6645" s="106"/>
      <c r="QV6645" s="106"/>
      <c r="QW6645" s="106"/>
      <c r="QX6645" s="106"/>
      <c r="QY6645" s="106"/>
      <c r="QZ6645" s="106"/>
      <c r="RA6645" s="106"/>
      <c r="RB6645" s="106"/>
      <c r="RC6645" s="106"/>
      <c r="RD6645" s="106"/>
      <c r="RE6645" s="106"/>
      <c r="RF6645" s="106"/>
      <c r="RG6645" s="106"/>
      <c r="RH6645" s="106"/>
      <c r="RI6645" s="106"/>
      <c r="RJ6645" s="106"/>
      <c r="RK6645" s="106"/>
      <c r="RL6645" s="106"/>
    </row>
    <row r="6646" spans="462:480" x14ac:dyDescent="0.3">
      <c r="QT6646" s="106"/>
      <c r="QU6646" s="106"/>
      <c r="QV6646" s="106"/>
      <c r="QW6646" s="106"/>
      <c r="QX6646" s="106"/>
      <c r="QY6646" s="106"/>
      <c r="QZ6646" s="106"/>
      <c r="RA6646" s="106"/>
      <c r="RB6646" s="106"/>
      <c r="RC6646" s="106"/>
      <c r="RD6646" s="106"/>
      <c r="RE6646" s="106"/>
      <c r="RF6646" s="106"/>
      <c r="RG6646" s="106"/>
      <c r="RH6646" s="106"/>
      <c r="RI6646" s="106"/>
      <c r="RJ6646" s="106"/>
      <c r="RK6646" s="106"/>
      <c r="RL6646" s="106"/>
    </row>
    <row r="6647" spans="462:480" x14ac:dyDescent="0.3">
      <c r="QT6647" s="106"/>
      <c r="QU6647" s="106"/>
      <c r="QV6647" s="106"/>
      <c r="QW6647" s="106"/>
      <c r="QX6647" s="106"/>
      <c r="QY6647" s="106"/>
      <c r="QZ6647" s="106"/>
      <c r="RA6647" s="106"/>
      <c r="RB6647" s="106"/>
      <c r="RC6647" s="106"/>
      <c r="RD6647" s="106"/>
      <c r="RE6647" s="106"/>
      <c r="RF6647" s="106"/>
      <c r="RG6647" s="106"/>
      <c r="RH6647" s="106"/>
      <c r="RI6647" s="106"/>
      <c r="RJ6647" s="106"/>
      <c r="RK6647" s="106"/>
      <c r="RL6647" s="106"/>
    </row>
    <row r="6648" spans="462:480" x14ac:dyDescent="0.3">
      <c r="QT6648" s="106"/>
      <c r="QU6648" s="106"/>
      <c r="QV6648" s="106"/>
      <c r="QW6648" s="106"/>
      <c r="QX6648" s="106"/>
      <c r="QY6648" s="106"/>
      <c r="QZ6648" s="106"/>
      <c r="RA6648" s="106"/>
      <c r="RB6648" s="106"/>
      <c r="RC6648" s="106"/>
      <c r="RD6648" s="106"/>
      <c r="RE6648" s="106"/>
      <c r="RF6648" s="106"/>
      <c r="RG6648" s="106"/>
      <c r="RH6648" s="106"/>
      <c r="RI6648" s="106"/>
      <c r="RJ6648" s="106"/>
      <c r="RK6648" s="106"/>
      <c r="RL6648" s="106"/>
    </row>
    <row r="6649" spans="462:480" x14ac:dyDescent="0.3">
      <c r="QT6649" s="106"/>
      <c r="QU6649" s="106"/>
      <c r="QV6649" s="106"/>
      <c r="QW6649" s="106"/>
      <c r="QX6649" s="106"/>
      <c r="QY6649" s="106"/>
      <c r="QZ6649" s="106"/>
      <c r="RA6649" s="106"/>
      <c r="RB6649" s="106"/>
      <c r="RC6649" s="106"/>
      <c r="RD6649" s="106"/>
      <c r="RE6649" s="106"/>
      <c r="RF6649" s="106"/>
      <c r="RG6649" s="106"/>
      <c r="RH6649" s="106"/>
      <c r="RI6649" s="106"/>
      <c r="RJ6649" s="106"/>
      <c r="RK6649" s="106"/>
      <c r="RL6649" s="106"/>
    </row>
    <row r="6650" spans="462:480" x14ac:dyDescent="0.3">
      <c r="QT6650" s="106"/>
      <c r="QU6650" s="106"/>
      <c r="QV6650" s="106"/>
      <c r="QW6650" s="106"/>
      <c r="QX6650" s="106"/>
      <c r="QY6650" s="106"/>
      <c r="QZ6650" s="106"/>
      <c r="RA6650" s="106"/>
      <c r="RB6650" s="106"/>
      <c r="RC6650" s="106"/>
      <c r="RD6650" s="106"/>
      <c r="RE6650" s="106"/>
      <c r="RF6650" s="106"/>
      <c r="RG6650" s="106"/>
      <c r="RH6650" s="106"/>
      <c r="RI6650" s="106"/>
      <c r="RJ6650" s="106"/>
      <c r="RK6650" s="106"/>
      <c r="RL6650" s="106"/>
    </row>
    <row r="6651" spans="462:480" x14ac:dyDescent="0.3">
      <c r="QT6651" s="106"/>
      <c r="QU6651" s="106"/>
      <c r="QV6651" s="106"/>
      <c r="QW6651" s="106"/>
      <c r="QX6651" s="106"/>
      <c r="QY6651" s="106"/>
      <c r="QZ6651" s="106"/>
      <c r="RA6651" s="106"/>
      <c r="RB6651" s="106"/>
      <c r="RC6651" s="106"/>
      <c r="RD6651" s="106"/>
      <c r="RE6651" s="106"/>
      <c r="RF6651" s="106"/>
      <c r="RG6651" s="106"/>
      <c r="RH6651" s="106"/>
      <c r="RI6651" s="106"/>
      <c r="RJ6651" s="106"/>
      <c r="RK6651" s="106"/>
      <c r="RL6651" s="106"/>
    </row>
    <row r="6652" spans="462:480" x14ac:dyDescent="0.3">
      <c r="QT6652" s="106"/>
      <c r="QU6652" s="106"/>
      <c r="QV6652" s="106"/>
      <c r="QW6652" s="106"/>
      <c r="QX6652" s="106"/>
      <c r="QY6652" s="106"/>
      <c r="QZ6652" s="106"/>
      <c r="RA6652" s="106"/>
      <c r="RB6652" s="106"/>
      <c r="RC6652" s="106"/>
      <c r="RD6652" s="106"/>
      <c r="RE6652" s="106"/>
      <c r="RF6652" s="106"/>
      <c r="RG6652" s="106"/>
      <c r="RH6652" s="106"/>
      <c r="RI6652" s="106"/>
      <c r="RJ6652" s="106"/>
      <c r="RK6652" s="106"/>
      <c r="RL6652" s="106"/>
    </row>
    <row r="6653" spans="462:480" x14ac:dyDescent="0.3">
      <c r="QT6653" s="106"/>
      <c r="QU6653" s="106"/>
      <c r="QV6653" s="106"/>
      <c r="QW6653" s="106"/>
      <c r="QX6653" s="106"/>
      <c r="QY6653" s="106"/>
      <c r="QZ6653" s="106"/>
      <c r="RA6653" s="106"/>
      <c r="RB6653" s="106"/>
      <c r="RC6653" s="106"/>
      <c r="RD6653" s="106"/>
      <c r="RE6653" s="106"/>
      <c r="RF6653" s="106"/>
      <c r="RG6653" s="106"/>
      <c r="RH6653" s="106"/>
      <c r="RI6653" s="106"/>
      <c r="RJ6653" s="106"/>
      <c r="RK6653" s="106"/>
      <c r="RL6653" s="106"/>
    </row>
    <row r="6654" spans="462:480" x14ac:dyDescent="0.3">
      <c r="QT6654" s="106"/>
      <c r="QU6654" s="106"/>
      <c r="QV6654" s="106"/>
      <c r="QW6654" s="106"/>
      <c r="QX6654" s="106"/>
      <c r="QY6654" s="106"/>
      <c r="QZ6654" s="106"/>
      <c r="RA6654" s="106"/>
      <c r="RB6654" s="106"/>
      <c r="RC6654" s="106"/>
      <c r="RD6654" s="106"/>
      <c r="RE6654" s="106"/>
      <c r="RF6654" s="106"/>
      <c r="RG6654" s="106"/>
      <c r="RH6654" s="106"/>
      <c r="RI6654" s="106"/>
      <c r="RJ6654" s="106"/>
      <c r="RK6654" s="106"/>
      <c r="RL6654" s="106"/>
    </row>
    <row r="6655" spans="462:480" x14ac:dyDescent="0.3">
      <c r="QT6655" s="106"/>
      <c r="QU6655" s="106"/>
      <c r="QV6655" s="106"/>
      <c r="QW6655" s="106"/>
      <c r="QX6655" s="106"/>
      <c r="QY6655" s="106"/>
      <c r="QZ6655" s="106"/>
      <c r="RA6655" s="106"/>
      <c r="RB6655" s="106"/>
      <c r="RC6655" s="106"/>
      <c r="RD6655" s="106"/>
      <c r="RE6655" s="106"/>
      <c r="RF6655" s="106"/>
      <c r="RG6655" s="106"/>
      <c r="RH6655" s="106"/>
      <c r="RI6655" s="106"/>
      <c r="RJ6655" s="106"/>
      <c r="RK6655" s="106"/>
      <c r="RL6655" s="106"/>
    </row>
    <row r="6656" spans="462:480" x14ac:dyDescent="0.3">
      <c r="QT6656" s="106"/>
      <c r="QU6656" s="106"/>
      <c r="QV6656" s="106"/>
      <c r="QW6656" s="106"/>
      <c r="QX6656" s="106"/>
      <c r="QY6656" s="106"/>
      <c r="QZ6656" s="106"/>
      <c r="RA6656" s="106"/>
      <c r="RB6656" s="106"/>
      <c r="RC6656" s="106"/>
      <c r="RD6656" s="106"/>
      <c r="RE6656" s="106"/>
      <c r="RF6656" s="106"/>
      <c r="RG6656" s="106"/>
      <c r="RH6656" s="106"/>
      <c r="RI6656" s="106"/>
      <c r="RJ6656" s="106"/>
      <c r="RK6656" s="106"/>
      <c r="RL6656" s="106"/>
    </row>
    <row r="6657" spans="462:480" x14ac:dyDescent="0.3">
      <c r="QT6657" s="106"/>
      <c r="QU6657" s="106"/>
      <c r="QV6657" s="106"/>
      <c r="QW6657" s="106"/>
      <c r="QX6657" s="106"/>
      <c r="QY6657" s="106"/>
      <c r="QZ6657" s="106"/>
      <c r="RA6657" s="106"/>
      <c r="RB6657" s="106"/>
      <c r="RC6657" s="106"/>
      <c r="RD6657" s="106"/>
      <c r="RE6657" s="106"/>
      <c r="RF6657" s="106"/>
      <c r="RG6657" s="106"/>
      <c r="RH6657" s="106"/>
      <c r="RI6657" s="106"/>
      <c r="RJ6657" s="106"/>
      <c r="RK6657" s="106"/>
      <c r="RL6657" s="106"/>
    </row>
    <row r="6658" spans="462:480" x14ac:dyDescent="0.3">
      <c r="QT6658" s="106"/>
      <c r="QU6658" s="106"/>
      <c r="QV6658" s="106"/>
      <c r="QW6658" s="106"/>
      <c r="QX6658" s="106"/>
      <c r="QY6658" s="106"/>
      <c r="QZ6658" s="106"/>
      <c r="RA6658" s="106"/>
      <c r="RB6658" s="106"/>
      <c r="RC6658" s="106"/>
      <c r="RD6658" s="106"/>
      <c r="RE6658" s="106"/>
      <c r="RF6658" s="106"/>
      <c r="RG6658" s="106"/>
      <c r="RH6658" s="106"/>
      <c r="RI6658" s="106"/>
      <c r="RJ6658" s="106"/>
      <c r="RK6658" s="106"/>
      <c r="RL6658" s="106"/>
    </row>
    <row r="6659" spans="462:480" x14ac:dyDescent="0.3">
      <c r="QT6659" s="106"/>
      <c r="QU6659" s="106"/>
      <c r="QV6659" s="106"/>
      <c r="QW6659" s="106"/>
      <c r="QX6659" s="106"/>
      <c r="QY6659" s="106"/>
      <c r="QZ6659" s="106"/>
      <c r="RA6659" s="106"/>
      <c r="RB6659" s="106"/>
      <c r="RC6659" s="106"/>
      <c r="RD6659" s="106"/>
      <c r="RE6659" s="106"/>
      <c r="RF6659" s="106"/>
      <c r="RG6659" s="106"/>
      <c r="RH6659" s="106"/>
      <c r="RI6659" s="106"/>
      <c r="RJ6659" s="106"/>
      <c r="RK6659" s="106"/>
      <c r="RL6659" s="106"/>
    </row>
    <row r="6660" spans="462:480" x14ac:dyDescent="0.3">
      <c r="QT6660" s="106"/>
      <c r="QU6660" s="106"/>
      <c r="QV6660" s="106"/>
      <c r="QW6660" s="106"/>
      <c r="QX6660" s="106"/>
      <c r="QY6660" s="106"/>
      <c r="QZ6660" s="106"/>
      <c r="RA6660" s="106"/>
      <c r="RB6660" s="106"/>
      <c r="RC6660" s="106"/>
      <c r="RD6660" s="106"/>
      <c r="RE6660" s="106"/>
      <c r="RF6660" s="106"/>
      <c r="RG6660" s="106"/>
      <c r="RH6660" s="106"/>
      <c r="RI6660" s="106"/>
      <c r="RJ6660" s="106"/>
      <c r="RK6660" s="106"/>
      <c r="RL6660" s="106"/>
    </row>
    <row r="6661" spans="462:480" x14ac:dyDescent="0.3">
      <c r="QT6661" s="106"/>
      <c r="QU6661" s="106"/>
      <c r="QV6661" s="106"/>
      <c r="QW6661" s="106"/>
      <c r="QX6661" s="106"/>
      <c r="QY6661" s="106"/>
      <c r="QZ6661" s="106"/>
      <c r="RA6661" s="106"/>
      <c r="RB6661" s="106"/>
      <c r="RC6661" s="106"/>
      <c r="RD6661" s="106"/>
      <c r="RE6661" s="106"/>
      <c r="RF6661" s="106"/>
      <c r="RG6661" s="106"/>
      <c r="RH6661" s="106"/>
      <c r="RI6661" s="106"/>
      <c r="RJ6661" s="106"/>
      <c r="RK6661" s="106"/>
      <c r="RL6661" s="106"/>
    </row>
    <row r="6662" spans="462:480" x14ac:dyDescent="0.3">
      <c r="QT6662" s="106"/>
      <c r="QU6662" s="106"/>
      <c r="QV6662" s="106"/>
      <c r="QW6662" s="106"/>
      <c r="QX6662" s="106"/>
      <c r="QY6662" s="106"/>
      <c r="QZ6662" s="106"/>
      <c r="RA6662" s="106"/>
      <c r="RB6662" s="106"/>
      <c r="RC6662" s="106"/>
      <c r="RD6662" s="106"/>
      <c r="RE6662" s="106"/>
      <c r="RF6662" s="106"/>
      <c r="RG6662" s="106"/>
      <c r="RH6662" s="106"/>
      <c r="RI6662" s="106"/>
      <c r="RJ6662" s="106"/>
      <c r="RK6662" s="106"/>
      <c r="RL6662" s="106"/>
    </row>
    <row r="6663" spans="462:480" x14ac:dyDescent="0.3">
      <c r="QT6663" s="106"/>
      <c r="QU6663" s="106"/>
      <c r="QV6663" s="106"/>
      <c r="QW6663" s="106"/>
      <c r="QX6663" s="106"/>
      <c r="QY6663" s="106"/>
      <c r="QZ6663" s="106"/>
      <c r="RA6663" s="106"/>
      <c r="RB6663" s="106"/>
      <c r="RC6663" s="106"/>
      <c r="RD6663" s="106"/>
      <c r="RE6663" s="106"/>
      <c r="RF6663" s="106"/>
      <c r="RG6663" s="106"/>
      <c r="RH6663" s="106"/>
      <c r="RI6663" s="106"/>
      <c r="RJ6663" s="106"/>
      <c r="RK6663" s="106"/>
      <c r="RL6663" s="106"/>
    </row>
    <row r="6664" spans="462:480" x14ac:dyDescent="0.3">
      <c r="QT6664" s="106"/>
      <c r="QU6664" s="106"/>
      <c r="QV6664" s="106"/>
      <c r="QW6664" s="106"/>
      <c r="QX6664" s="106"/>
      <c r="QY6664" s="106"/>
      <c r="QZ6664" s="106"/>
      <c r="RA6664" s="106"/>
      <c r="RB6664" s="106"/>
      <c r="RC6664" s="106"/>
      <c r="RD6664" s="106"/>
      <c r="RE6664" s="106"/>
      <c r="RF6664" s="106"/>
      <c r="RG6664" s="106"/>
      <c r="RH6664" s="106"/>
      <c r="RI6664" s="106"/>
      <c r="RJ6664" s="106"/>
      <c r="RK6664" s="106"/>
      <c r="RL6664" s="106"/>
    </row>
    <row r="6665" spans="462:480" x14ac:dyDescent="0.3">
      <c r="QT6665" s="106"/>
      <c r="QU6665" s="106"/>
      <c r="QV6665" s="106"/>
      <c r="QW6665" s="106"/>
      <c r="QX6665" s="106"/>
      <c r="QY6665" s="106"/>
      <c r="QZ6665" s="106"/>
      <c r="RA6665" s="106"/>
      <c r="RB6665" s="106"/>
      <c r="RC6665" s="106"/>
      <c r="RD6665" s="106"/>
      <c r="RE6665" s="106"/>
      <c r="RF6665" s="106"/>
      <c r="RG6665" s="106"/>
      <c r="RH6665" s="106"/>
      <c r="RI6665" s="106"/>
      <c r="RJ6665" s="106"/>
      <c r="RK6665" s="106"/>
      <c r="RL6665" s="106"/>
    </row>
    <row r="6666" spans="462:480" x14ac:dyDescent="0.3">
      <c r="QT6666" s="106"/>
      <c r="QU6666" s="106"/>
      <c r="QV6666" s="106"/>
      <c r="QW6666" s="106"/>
      <c r="QX6666" s="106"/>
      <c r="QY6666" s="106"/>
      <c r="QZ6666" s="106"/>
      <c r="RA6666" s="106"/>
      <c r="RB6666" s="106"/>
      <c r="RC6666" s="106"/>
      <c r="RD6666" s="106"/>
      <c r="RE6666" s="106"/>
      <c r="RF6666" s="106"/>
      <c r="RG6666" s="106"/>
      <c r="RH6666" s="106"/>
      <c r="RI6666" s="106"/>
      <c r="RJ6666" s="106"/>
      <c r="RK6666" s="106"/>
      <c r="RL6666" s="106"/>
    </row>
    <row r="6667" spans="462:480" x14ac:dyDescent="0.3">
      <c r="QT6667" s="106"/>
      <c r="QU6667" s="106"/>
      <c r="QV6667" s="106"/>
      <c r="QW6667" s="106"/>
      <c r="QX6667" s="106"/>
      <c r="QY6667" s="106"/>
      <c r="QZ6667" s="106"/>
      <c r="RA6667" s="106"/>
      <c r="RB6667" s="106"/>
      <c r="RC6667" s="106"/>
      <c r="RD6667" s="106"/>
      <c r="RE6667" s="106"/>
      <c r="RF6667" s="106"/>
      <c r="RG6667" s="106"/>
      <c r="RH6667" s="106"/>
      <c r="RI6667" s="106"/>
      <c r="RJ6667" s="106"/>
      <c r="RK6667" s="106"/>
      <c r="RL6667" s="106"/>
    </row>
    <row r="6668" spans="462:480" x14ac:dyDescent="0.3">
      <c r="QT6668" s="106"/>
      <c r="QU6668" s="106"/>
      <c r="QV6668" s="106"/>
      <c r="QW6668" s="106"/>
      <c r="QX6668" s="106"/>
      <c r="QY6668" s="106"/>
      <c r="QZ6668" s="106"/>
      <c r="RA6668" s="106"/>
      <c r="RB6668" s="106"/>
      <c r="RC6668" s="106"/>
      <c r="RD6668" s="106"/>
      <c r="RE6668" s="106"/>
      <c r="RF6668" s="106"/>
      <c r="RG6668" s="106"/>
      <c r="RH6668" s="106"/>
      <c r="RI6668" s="106"/>
      <c r="RJ6668" s="106"/>
      <c r="RK6668" s="106"/>
      <c r="RL6668" s="106"/>
    </row>
    <row r="6669" spans="462:480" x14ac:dyDescent="0.3">
      <c r="QT6669" s="106"/>
      <c r="QU6669" s="106"/>
      <c r="QV6669" s="106"/>
      <c r="QW6669" s="106"/>
      <c r="QX6669" s="106"/>
      <c r="QY6669" s="106"/>
      <c r="QZ6669" s="106"/>
      <c r="RA6669" s="106"/>
      <c r="RB6669" s="106"/>
      <c r="RC6669" s="106"/>
      <c r="RD6669" s="106"/>
      <c r="RE6669" s="106"/>
      <c r="RF6669" s="106"/>
      <c r="RG6669" s="106"/>
      <c r="RH6669" s="106"/>
      <c r="RI6669" s="106"/>
      <c r="RJ6669" s="106"/>
      <c r="RK6669" s="106"/>
      <c r="RL6669" s="106"/>
    </row>
    <row r="6670" spans="462:480" x14ac:dyDescent="0.3">
      <c r="QT6670" s="106"/>
      <c r="QU6670" s="106"/>
      <c r="QV6670" s="106"/>
      <c r="QW6670" s="106"/>
      <c r="QX6670" s="106"/>
      <c r="QY6670" s="106"/>
      <c r="QZ6670" s="106"/>
      <c r="RA6670" s="106"/>
      <c r="RB6670" s="106"/>
      <c r="RC6670" s="106"/>
      <c r="RD6670" s="106"/>
      <c r="RE6670" s="106"/>
      <c r="RF6670" s="106"/>
      <c r="RG6670" s="106"/>
      <c r="RH6670" s="106"/>
      <c r="RI6670" s="106"/>
      <c r="RJ6670" s="106"/>
      <c r="RK6670" s="106"/>
      <c r="RL6670" s="106"/>
    </row>
    <row r="6671" spans="462:480" x14ac:dyDescent="0.3">
      <c r="QT6671" s="106"/>
      <c r="QU6671" s="106"/>
      <c r="QV6671" s="106"/>
      <c r="QW6671" s="106"/>
      <c r="QX6671" s="106"/>
      <c r="QY6671" s="106"/>
      <c r="QZ6671" s="106"/>
      <c r="RA6671" s="106"/>
      <c r="RB6671" s="106"/>
      <c r="RC6671" s="106"/>
      <c r="RD6671" s="106"/>
      <c r="RE6671" s="106"/>
      <c r="RF6671" s="106"/>
      <c r="RG6671" s="106"/>
      <c r="RH6671" s="106"/>
      <c r="RI6671" s="106"/>
      <c r="RJ6671" s="106"/>
      <c r="RK6671" s="106"/>
      <c r="RL6671" s="106"/>
    </row>
    <row r="6672" spans="462:480" x14ac:dyDescent="0.3">
      <c r="QT6672" s="106"/>
      <c r="QU6672" s="106"/>
      <c r="QV6672" s="106"/>
      <c r="QW6672" s="106"/>
      <c r="QX6672" s="106"/>
      <c r="QY6672" s="106"/>
      <c r="QZ6672" s="106"/>
      <c r="RA6672" s="106"/>
      <c r="RB6672" s="106"/>
      <c r="RC6672" s="106"/>
      <c r="RD6672" s="106"/>
      <c r="RE6672" s="106"/>
      <c r="RF6672" s="106"/>
      <c r="RG6672" s="106"/>
      <c r="RH6672" s="106"/>
      <c r="RI6672" s="106"/>
      <c r="RJ6672" s="106"/>
      <c r="RK6672" s="106"/>
      <c r="RL6672" s="106"/>
    </row>
    <row r="6673" spans="462:480" x14ac:dyDescent="0.3">
      <c r="QT6673" s="106"/>
      <c r="QU6673" s="106"/>
      <c r="QV6673" s="106"/>
      <c r="QW6673" s="106"/>
      <c r="QX6673" s="106"/>
      <c r="QY6673" s="106"/>
      <c r="QZ6673" s="106"/>
      <c r="RA6673" s="106"/>
      <c r="RB6673" s="106"/>
      <c r="RC6673" s="106"/>
      <c r="RD6673" s="106"/>
      <c r="RE6673" s="106"/>
      <c r="RF6673" s="106"/>
      <c r="RG6673" s="106"/>
      <c r="RH6673" s="106"/>
      <c r="RI6673" s="106"/>
      <c r="RJ6673" s="106"/>
      <c r="RK6673" s="106"/>
      <c r="RL6673" s="106"/>
    </row>
    <row r="6674" spans="462:480" x14ac:dyDescent="0.3">
      <c r="QT6674" s="106"/>
      <c r="QU6674" s="106"/>
      <c r="QV6674" s="106"/>
      <c r="QW6674" s="106"/>
      <c r="QX6674" s="106"/>
      <c r="QY6674" s="106"/>
      <c r="QZ6674" s="106"/>
      <c r="RA6674" s="106"/>
      <c r="RB6674" s="106"/>
      <c r="RC6674" s="106"/>
      <c r="RD6674" s="106"/>
      <c r="RE6674" s="106"/>
      <c r="RF6674" s="106"/>
      <c r="RG6674" s="106"/>
      <c r="RH6674" s="106"/>
      <c r="RI6674" s="106"/>
      <c r="RJ6674" s="106"/>
      <c r="RK6674" s="106"/>
      <c r="RL6674" s="106"/>
    </row>
    <row r="6675" spans="462:480" x14ac:dyDescent="0.3">
      <c r="QT6675" s="106"/>
      <c r="QU6675" s="106"/>
      <c r="QV6675" s="106"/>
      <c r="QW6675" s="106"/>
      <c r="QX6675" s="106"/>
      <c r="QY6675" s="106"/>
      <c r="QZ6675" s="106"/>
      <c r="RA6675" s="106"/>
      <c r="RB6675" s="106"/>
      <c r="RC6675" s="106"/>
      <c r="RD6675" s="106"/>
      <c r="RE6675" s="106"/>
      <c r="RF6675" s="106"/>
      <c r="RG6675" s="106"/>
      <c r="RH6675" s="106"/>
      <c r="RI6675" s="106"/>
      <c r="RJ6675" s="106"/>
      <c r="RK6675" s="106"/>
      <c r="RL6675" s="106"/>
    </row>
    <row r="6676" spans="462:480" x14ac:dyDescent="0.3">
      <c r="QT6676" s="106"/>
      <c r="QU6676" s="106"/>
      <c r="QV6676" s="106"/>
      <c r="QW6676" s="106"/>
      <c r="QX6676" s="106"/>
      <c r="QY6676" s="106"/>
      <c r="QZ6676" s="106"/>
      <c r="RA6676" s="106"/>
      <c r="RB6676" s="106"/>
      <c r="RC6676" s="106"/>
      <c r="RD6676" s="106"/>
      <c r="RE6676" s="106"/>
      <c r="RF6676" s="106"/>
      <c r="RG6676" s="106"/>
      <c r="RH6676" s="106"/>
      <c r="RI6676" s="106"/>
      <c r="RJ6676" s="106"/>
      <c r="RK6676" s="106"/>
      <c r="RL6676" s="106"/>
    </row>
    <row r="6677" spans="462:480" x14ac:dyDescent="0.3">
      <c r="QT6677" s="106"/>
      <c r="QU6677" s="106"/>
      <c r="QV6677" s="106"/>
      <c r="QW6677" s="106"/>
      <c r="QX6677" s="106"/>
      <c r="QY6677" s="106"/>
      <c r="QZ6677" s="106"/>
      <c r="RA6677" s="106"/>
      <c r="RB6677" s="106"/>
      <c r="RC6677" s="106"/>
      <c r="RD6677" s="106"/>
      <c r="RE6677" s="106"/>
      <c r="RF6677" s="106"/>
      <c r="RG6677" s="106"/>
      <c r="RH6677" s="106"/>
      <c r="RI6677" s="106"/>
      <c r="RJ6677" s="106"/>
      <c r="RK6677" s="106"/>
      <c r="RL6677" s="106"/>
    </row>
    <row r="6678" spans="462:480" x14ac:dyDescent="0.3">
      <c r="QT6678" s="106"/>
      <c r="QU6678" s="106"/>
      <c r="QV6678" s="106"/>
      <c r="QW6678" s="106"/>
      <c r="QX6678" s="106"/>
      <c r="QY6678" s="106"/>
      <c r="QZ6678" s="106"/>
      <c r="RA6678" s="106"/>
      <c r="RB6678" s="106"/>
      <c r="RC6678" s="106"/>
      <c r="RD6678" s="106"/>
      <c r="RE6678" s="106"/>
      <c r="RF6678" s="106"/>
      <c r="RG6678" s="106"/>
      <c r="RH6678" s="106"/>
      <c r="RI6678" s="106"/>
      <c r="RJ6678" s="106"/>
      <c r="RK6678" s="106"/>
      <c r="RL6678" s="106"/>
    </row>
    <row r="6679" spans="462:480" x14ac:dyDescent="0.3">
      <c r="QT6679" s="106"/>
      <c r="QU6679" s="106"/>
      <c r="QV6679" s="106"/>
      <c r="QW6679" s="106"/>
      <c r="QX6679" s="106"/>
      <c r="QY6679" s="106"/>
      <c r="QZ6679" s="106"/>
      <c r="RA6679" s="106"/>
      <c r="RB6679" s="106"/>
      <c r="RC6679" s="106"/>
      <c r="RD6679" s="106"/>
      <c r="RE6679" s="106"/>
      <c r="RF6679" s="106"/>
      <c r="RG6679" s="106"/>
      <c r="RH6679" s="106"/>
      <c r="RI6679" s="106"/>
      <c r="RJ6679" s="106"/>
      <c r="RK6679" s="106"/>
      <c r="RL6679" s="106"/>
    </row>
    <row r="6680" spans="462:480" x14ac:dyDescent="0.3">
      <c r="QT6680" s="106"/>
      <c r="QU6680" s="106"/>
      <c r="QV6680" s="106"/>
      <c r="QW6680" s="106"/>
      <c r="QX6680" s="106"/>
      <c r="QY6680" s="106"/>
      <c r="QZ6680" s="106"/>
      <c r="RA6680" s="106"/>
      <c r="RB6680" s="106"/>
      <c r="RC6680" s="106"/>
      <c r="RD6680" s="106"/>
      <c r="RE6680" s="106"/>
      <c r="RF6680" s="106"/>
      <c r="RG6680" s="106"/>
      <c r="RH6680" s="106"/>
      <c r="RI6680" s="106"/>
      <c r="RJ6680" s="106"/>
      <c r="RK6680" s="106"/>
      <c r="RL6680" s="106"/>
    </row>
    <row r="6681" spans="462:480" x14ac:dyDescent="0.3">
      <c r="QT6681" s="106"/>
      <c r="QU6681" s="106"/>
      <c r="QV6681" s="106"/>
      <c r="QW6681" s="106"/>
      <c r="QX6681" s="106"/>
      <c r="QY6681" s="106"/>
      <c r="QZ6681" s="106"/>
      <c r="RA6681" s="106"/>
      <c r="RB6681" s="106"/>
      <c r="RC6681" s="106"/>
      <c r="RD6681" s="106"/>
      <c r="RE6681" s="106"/>
      <c r="RF6681" s="106"/>
      <c r="RG6681" s="106"/>
      <c r="RH6681" s="106"/>
      <c r="RI6681" s="106"/>
      <c r="RJ6681" s="106"/>
      <c r="RK6681" s="106"/>
      <c r="RL6681" s="106"/>
    </row>
    <row r="6682" spans="462:480" x14ac:dyDescent="0.3">
      <c r="QT6682" s="106"/>
      <c r="QU6682" s="106"/>
      <c r="QV6682" s="106"/>
      <c r="QW6682" s="106"/>
      <c r="QX6682" s="106"/>
      <c r="QY6682" s="106"/>
      <c r="QZ6682" s="106"/>
      <c r="RA6682" s="106"/>
      <c r="RB6682" s="106"/>
      <c r="RC6682" s="106"/>
      <c r="RD6682" s="106"/>
      <c r="RE6682" s="106"/>
      <c r="RF6682" s="106"/>
      <c r="RG6682" s="106"/>
      <c r="RH6682" s="106"/>
      <c r="RI6682" s="106"/>
      <c r="RJ6682" s="106"/>
      <c r="RK6682" s="106"/>
      <c r="RL6682" s="106"/>
    </row>
    <row r="6683" spans="462:480" x14ac:dyDescent="0.3">
      <c r="QT6683" s="106"/>
      <c r="QU6683" s="106"/>
      <c r="QV6683" s="106"/>
      <c r="QW6683" s="106"/>
      <c r="QX6683" s="106"/>
      <c r="QY6683" s="106"/>
      <c r="QZ6683" s="106"/>
      <c r="RA6683" s="106"/>
      <c r="RB6683" s="106"/>
      <c r="RC6683" s="106"/>
      <c r="RD6683" s="106"/>
      <c r="RE6683" s="106"/>
      <c r="RF6683" s="106"/>
      <c r="RG6683" s="106"/>
      <c r="RH6683" s="106"/>
      <c r="RI6683" s="106"/>
      <c r="RJ6683" s="106"/>
      <c r="RK6683" s="106"/>
      <c r="RL6683" s="106"/>
    </row>
    <row r="6684" spans="462:480" x14ac:dyDescent="0.3">
      <c r="QT6684" s="106"/>
      <c r="QU6684" s="106"/>
      <c r="QV6684" s="106"/>
      <c r="QW6684" s="106"/>
      <c r="QX6684" s="106"/>
      <c r="QY6684" s="106"/>
      <c r="QZ6684" s="106"/>
      <c r="RA6684" s="106"/>
      <c r="RB6684" s="106"/>
      <c r="RC6684" s="106"/>
      <c r="RD6684" s="106"/>
      <c r="RE6684" s="106"/>
      <c r="RF6684" s="106"/>
      <c r="RG6684" s="106"/>
      <c r="RH6684" s="106"/>
      <c r="RI6684" s="106"/>
      <c r="RJ6684" s="106"/>
      <c r="RK6684" s="106"/>
      <c r="RL6684" s="106"/>
    </row>
    <row r="6685" spans="462:480" x14ac:dyDescent="0.3">
      <c r="QT6685" s="106"/>
      <c r="QU6685" s="106"/>
      <c r="QV6685" s="106"/>
      <c r="QW6685" s="106"/>
      <c r="QX6685" s="106"/>
      <c r="QY6685" s="106"/>
      <c r="QZ6685" s="106"/>
      <c r="RA6685" s="106"/>
      <c r="RB6685" s="106"/>
      <c r="RC6685" s="106"/>
      <c r="RD6685" s="106"/>
      <c r="RE6685" s="106"/>
      <c r="RF6685" s="106"/>
      <c r="RG6685" s="106"/>
      <c r="RH6685" s="106"/>
      <c r="RI6685" s="106"/>
      <c r="RJ6685" s="106"/>
      <c r="RK6685" s="106"/>
      <c r="RL6685" s="106"/>
    </row>
    <row r="6686" spans="462:480" x14ac:dyDescent="0.3">
      <c r="QT6686" s="106"/>
      <c r="QU6686" s="106"/>
      <c r="QV6686" s="106"/>
      <c r="QW6686" s="106"/>
      <c r="QX6686" s="106"/>
      <c r="QY6686" s="106"/>
      <c r="QZ6686" s="106"/>
      <c r="RA6686" s="106"/>
      <c r="RB6686" s="106"/>
      <c r="RC6686" s="106"/>
      <c r="RD6686" s="106"/>
      <c r="RE6686" s="106"/>
      <c r="RF6686" s="106"/>
      <c r="RG6686" s="106"/>
      <c r="RH6686" s="106"/>
      <c r="RI6686" s="106"/>
      <c r="RJ6686" s="106"/>
      <c r="RK6686" s="106"/>
      <c r="RL6686" s="106"/>
    </row>
    <row r="6687" spans="462:480" x14ac:dyDescent="0.3">
      <c r="QT6687" s="106"/>
      <c r="QU6687" s="106"/>
      <c r="QV6687" s="106"/>
      <c r="QW6687" s="106"/>
      <c r="QX6687" s="106"/>
      <c r="QY6687" s="106"/>
      <c r="QZ6687" s="106"/>
      <c r="RA6687" s="106"/>
      <c r="RB6687" s="106"/>
      <c r="RC6687" s="106"/>
      <c r="RD6687" s="106"/>
      <c r="RE6687" s="106"/>
      <c r="RF6687" s="106"/>
      <c r="RG6687" s="106"/>
      <c r="RH6687" s="106"/>
      <c r="RI6687" s="106"/>
      <c r="RJ6687" s="106"/>
      <c r="RK6687" s="106"/>
      <c r="RL6687" s="106"/>
    </row>
    <row r="6688" spans="462:480" x14ac:dyDescent="0.3">
      <c r="QT6688" s="106"/>
      <c r="QU6688" s="106"/>
      <c r="QV6688" s="106"/>
      <c r="QW6688" s="106"/>
      <c r="QX6688" s="106"/>
      <c r="QY6688" s="106"/>
      <c r="QZ6688" s="106"/>
      <c r="RA6688" s="106"/>
      <c r="RB6688" s="106"/>
      <c r="RC6688" s="106"/>
      <c r="RD6688" s="106"/>
      <c r="RE6688" s="106"/>
      <c r="RF6688" s="106"/>
      <c r="RG6688" s="106"/>
      <c r="RH6688" s="106"/>
      <c r="RI6688" s="106"/>
      <c r="RJ6688" s="106"/>
      <c r="RK6688" s="106"/>
      <c r="RL6688" s="106"/>
    </row>
    <row r="6689" spans="462:480" x14ac:dyDescent="0.3">
      <c r="QT6689" s="106"/>
      <c r="QU6689" s="106"/>
      <c r="QV6689" s="106"/>
      <c r="QW6689" s="106"/>
      <c r="QX6689" s="106"/>
      <c r="QY6689" s="106"/>
      <c r="QZ6689" s="106"/>
      <c r="RA6689" s="106"/>
      <c r="RB6689" s="106"/>
      <c r="RC6689" s="106"/>
      <c r="RD6689" s="106"/>
      <c r="RE6689" s="106"/>
      <c r="RF6689" s="106"/>
      <c r="RG6689" s="106"/>
      <c r="RH6689" s="106"/>
      <c r="RI6689" s="106"/>
      <c r="RJ6689" s="106"/>
      <c r="RK6689" s="106"/>
      <c r="RL6689" s="106"/>
    </row>
    <row r="6690" spans="462:480" x14ac:dyDescent="0.3">
      <c r="QT6690" s="106"/>
      <c r="QU6690" s="106"/>
      <c r="QV6690" s="106"/>
      <c r="QW6690" s="106"/>
      <c r="QX6690" s="106"/>
      <c r="QY6690" s="106"/>
      <c r="QZ6690" s="106"/>
      <c r="RA6690" s="106"/>
      <c r="RB6690" s="106"/>
      <c r="RC6690" s="106"/>
      <c r="RD6690" s="106"/>
      <c r="RE6690" s="106"/>
      <c r="RF6690" s="106"/>
      <c r="RG6690" s="106"/>
      <c r="RH6690" s="106"/>
      <c r="RI6690" s="106"/>
      <c r="RJ6690" s="106"/>
      <c r="RK6690" s="106"/>
      <c r="RL6690" s="106"/>
    </row>
    <row r="6691" spans="462:480" x14ac:dyDescent="0.3">
      <c r="QT6691" s="106"/>
      <c r="QU6691" s="106"/>
      <c r="QV6691" s="106"/>
      <c r="QW6691" s="106"/>
      <c r="QX6691" s="106"/>
      <c r="QY6691" s="106"/>
      <c r="QZ6691" s="106"/>
      <c r="RA6691" s="106"/>
      <c r="RB6691" s="106"/>
      <c r="RC6691" s="106"/>
      <c r="RD6691" s="106"/>
      <c r="RE6691" s="106"/>
      <c r="RF6691" s="106"/>
      <c r="RG6691" s="106"/>
      <c r="RH6691" s="106"/>
      <c r="RI6691" s="106"/>
      <c r="RJ6691" s="106"/>
      <c r="RK6691" s="106"/>
      <c r="RL6691" s="106"/>
    </row>
    <row r="6692" spans="462:480" x14ac:dyDescent="0.3">
      <c r="QT6692" s="106"/>
      <c r="QU6692" s="106"/>
      <c r="QV6692" s="106"/>
      <c r="QW6692" s="106"/>
      <c r="QX6692" s="106"/>
      <c r="QY6692" s="106"/>
      <c r="QZ6692" s="106"/>
      <c r="RA6692" s="106"/>
      <c r="RB6692" s="106"/>
      <c r="RC6692" s="106"/>
      <c r="RD6692" s="106"/>
      <c r="RE6692" s="106"/>
      <c r="RF6692" s="106"/>
      <c r="RG6692" s="106"/>
      <c r="RH6692" s="106"/>
      <c r="RI6692" s="106"/>
      <c r="RJ6692" s="106"/>
      <c r="RK6692" s="106"/>
      <c r="RL6692" s="106"/>
    </row>
    <row r="6693" spans="462:480" x14ac:dyDescent="0.3">
      <c r="QT6693" s="106"/>
      <c r="QU6693" s="106"/>
      <c r="QV6693" s="106"/>
      <c r="QW6693" s="106"/>
      <c r="QX6693" s="106"/>
      <c r="QY6693" s="106"/>
      <c r="QZ6693" s="106"/>
      <c r="RA6693" s="106"/>
      <c r="RB6693" s="106"/>
      <c r="RC6693" s="106"/>
      <c r="RD6693" s="106"/>
      <c r="RE6693" s="106"/>
      <c r="RF6693" s="106"/>
      <c r="RG6693" s="106"/>
      <c r="RH6693" s="106"/>
      <c r="RI6693" s="106"/>
      <c r="RJ6693" s="106"/>
      <c r="RK6693" s="106"/>
      <c r="RL6693" s="106"/>
    </row>
    <row r="6694" spans="462:480" x14ac:dyDescent="0.3">
      <c r="QT6694" s="106"/>
      <c r="QU6694" s="106"/>
      <c r="QV6694" s="106"/>
      <c r="QW6694" s="106"/>
      <c r="QX6694" s="106"/>
      <c r="QY6694" s="106"/>
      <c r="QZ6694" s="106"/>
      <c r="RA6694" s="106"/>
      <c r="RB6694" s="106"/>
      <c r="RC6694" s="106"/>
      <c r="RD6694" s="106"/>
      <c r="RE6694" s="106"/>
      <c r="RF6694" s="106"/>
      <c r="RG6694" s="106"/>
      <c r="RH6694" s="106"/>
      <c r="RI6694" s="106"/>
      <c r="RJ6694" s="106"/>
      <c r="RK6694" s="106"/>
      <c r="RL6694" s="106"/>
    </row>
    <row r="6695" spans="462:480" x14ac:dyDescent="0.3">
      <c r="QT6695" s="106"/>
      <c r="QU6695" s="106"/>
      <c r="QV6695" s="106"/>
      <c r="QW6695" s="106"/>
      <c r="QX6695" s="106"/>
      <c r="QY6695" s="106"/>
      <c r="QZ6695" s="106"/>
      <c r="RA6695" s="106"/>
      <c r="RB6695" s="106"/>
      <c r="RC6695" s="106"/>
      <c r="RD6695" s="106"/>
      <c r="RE6695" s="106"/>
      <c r="RF6695" s="106"/>
      <c r="RG6695" s="106"/>
      <c r="RH6695" s="106"/>
      <c r="RI6695" s="106"/>
      <c r="RJ6695" s="106"/>
      <c r="RK6695" s="106"/>
      <c r="RL6695" s="106"/>
    </row>
    <row r="6696" spans="462:480" x14ac:dyDescent="0.3">
      <c r="QT6696" s="106"/>
      <c r="QU6696" s="106"/>
      <c r="QV6696" s="106"/>
      <c r="QW6696" s="106"/>
      <c r="QX6696" s="106"/>
      <c r="QY6696" s="106"/>
      <c r="QZ6696" s="106"/>
      <c r="RA6696" s="106"/>
      <c r="RB6696" s="106"/>
      <c r="RC6696" s="106"/>
      <c r="RD6696" s="106"/>
      <c r="RE6696" s="106"/>
      <c r="RF6696" s="106"/>
      <c r="RG6696" s="106"/>
      <c r="RH6696" s="106"/>
      <c r="RI6696" s="106"/>
      <c r="RJ6696" s="106"/>
      <c r="RK6696" s="106"/>
      <c r="RL6696" s="106"/>
    </row>
    <row r="6697" spans="462:480" x14ac:dyDescent="0.3">
      <c r="QT6697" s="106"/>
      <c r="QU6697" s="106"/>
      <c r="QV6697" s="106"/>
      <c r="QW6697" s="106"/>
      <c r="QX6697" s="106"/>
      <c r="QY6697" s="106"/>
      <c r="QZ6697" s="106"/>
      <c r="RA6697" s="106"/>
      <c r="RB6697" s="106"/>
      <c r="RC6697" s="106"/>
      <c r="RD6697" s="106"/>
      <c r="RE6697" s="106"/>
      <c r="RF6697" s="106"/>
      <c r="RG6697" s="106"/>
      <c r="RH6697" s="106"/>
      <c r="RI6697" s="106"/>
      <c r="RJ6697" s="106"/>
      <c r="RK6697" s="106"/>
      <c r="RL6697" s="106"/>
    </row>
    <row r="6698" spans="462:480" x14ac:dyDescent="0.3">
      <c r="QT6698" s="106"/>
      <c r="QU6698" s="106"/>
      <c r="QV6698" s="106"/>
      <c r="QW6698" s="106"/>
      <c r="QX6698" s="106"/>
      <c r="QY6698" s="106"/>
      <c r="QZ6698" s="106"/>
      <c r="RA6698" s="106"/>
      <c r="RB6698" s="106"/>
      <c r="RC6698" s="106"/>
      <c r="RD6698" s="106"/>
      <c r="RE6698" s="106"/>
      <c r="RF6698" s="106"/>
      <c r="RG6698" s="106"/>
      <c r="RH6698" s="106"/>
      <c r="RI6698" s="106"/>
      <c r="RJ6698" s="106"/>
      <c r="RK6698" s="106"/>
      <c r="RL6698" s="106"/>
    </row>
    <row r="6699" spans="462:480" x14ac:dyDescent="0.3">
      <c r="QT6699" s="106"/>
      <c r="QU6699" s="106"/>
      <c r="QV6699" s="106"/>
      <c r="QW6699" s="106"/>
      <c r="QX6699" s="106"/>
      <c r="QY6699" s="106"/>
      <c r="QZ6699" s="106"/>
      <c r="RA6699" s="106"/>
      <c r="RB6699" s="106"/>
      <c r="RC6699" s="106"/>
      <c r="RD6699" s="106"/>
      <c r="RE6699" s="106"/>
      <c r="RF6699" s="106"/>
      <c r="RG6699" s="106"/>
      <c r="RH6699" s="106"/>
      <c r="RI6699" s="106"/>
      <c r="RJ6699" s="106"/>
      <c r="RK6699" s="106"/>
      <c r="RL6699" s="106"/>
    </row>
    <row r="6700" spans="462:480" x14ac:dyDescent="0.3">
      <c r="QT6700" s="106"/>
      <c r="QU6700" s="106"/>
      <c r="QV6700" s="106"/>
      <c r="QW6700" s="106"/>
      <c r="QX6700" s="106"/>
      <c r="QY6700" s="106"/>
      <c r="QZ6700" s="106"/>
      <c r="RA6700" s="106"/>
      <c r="RB6700" s="106"/>
      <c r="RC6700" s="106"/>
      <c r="RD6700" s="106"/>
      <c r="RE6700" s="106"/>
      <c r="RF6700" s="106"/>
      <c r="RG6700" s="106"/>
      <c r="RH6700" s="106"/>
      <c r="RI6700" s="106"/>
      <c r="RJ6700" s="106"/>
      <c r="RK6700" s="106"/>
      <c r="RL6700" s="106"/>
    </row>
    <row r="6701" spans="462:480" x14ac:dyDescent="0.3">
      <c r="QT6701" s="106"/>
      <c r="QU6701" s="106"/>
      <c r="QV6701" s="106"/>
      <c r="QW6701" s="106"/>
      <c r="QX6701" s="106"/>
      <c r="QY6701" s="106"/>
      <c r="QZ6701" s="106"/>
      <c r="RA6701" s="106"/>
      <c r="RB6701" s="106"/>
      <c r="RC6701" s="106"/>
      <c r="RD6701" s="106"/>
      <c r="RE6701" s="106"/>
      <c r="RF6701" s="106"/>
      <c r="RG6701" s="106"/>
      <c r="RH6701" s="106"/>
      <c r="RI6701" s="106"/>
      <c r="RJ6701" s="106"/>
      <c r="RK6701" s="106"/>
      <c r="RL6701" s="106"/>
    </row>
    <row r="6702" spans="462:480" x14ac:dyDescent="0.3">
      <c r="QT6702" s="106"/>
      <c r="QU6702" s="106"/>
      <c r="QV6702" s="106"/>
      <c r="QW6702" s="106"/>
      <c r="QX6702" s="106"/>
      <c r="QY6702" s="106"/>
      <c r="QZ6702" s="106"/>
      <c r="RA6702" s="106"/>
      <c r="RB6702" s="106"/>
      <c r="RC6702" s="106"/>
      <c r="RD6702" s="106"/>
      <c r="RE6702" s="106"/>
      <c r="RF6702" s="106"/>
      <c r="RG6702" s="106"/>
      <c r="RH6702" s="106"/>
      <c r="RI6702" s="106"/>
      <c r="RJ6702" s="106"/>
      <c r="RK6702" s="106"/>
      <c r="RL6702" s="106"/>
    </row>
    <row r="6703" spans="462:480" x14ac:dyDescent="0.3">
      <c r="QT6703" s="106"/>
      <c r="QU6703" s="106"/>
      <c r="QV6703" s="106"/>
      <c r="QW6703" s="106"/>
      <c r="QX6703" s="106"/>
      <c r="QY6703" s="106"/>
      <c r="QZ6703" s="106"/>
      <c r="RA6703" s="106"/>
      <c r="RB6703" s="106"/>
      <c r="RC6703" s="106"/>
      <c r="RD6703" s="106"/>
      <c r="RE6703" s="106"/>
      <c r="RF6703" s="106"/>
      <c r="RG6703" s="106"/>
      <c r="RH6703" s="106"/>
      <c r="RI6703" s="106"/>
      <c r="RJ6703" s="106"/>
      <c r="RK6703" s="106"/>
      <c r="RL6703" s="106"/>
    </row>
    <row r="6704" spans="462:480" x14ac:dyDescent="0.3">
      <c r="QT6704" s="106"/>
      <c r="QU6704" s="106"/>
      <c r="QV6704" s="106"/>
      <c r="QW6704" s="106"/>
      <c r="QX6704" s="106"/>
      <c r="QY6704" s="106"/>
      <c r="QZ6704" s="106"/>
      <c r="RA6704" s="106"/>
      <c r="RB6704" s="106"/>
      <c r="RC6704" s="106"/>
      <c r="RD6704" s="106"/>
      <c r="RE6704" s="106"/>
      <c r="RF6704" s="106"/>
      <c r="RG6704" s="106"/>
      <c r="RH6704" s="106"/>
      <c r="RI6704" s="106"/>
      <c r="RJ6704" s="106"/>
      <c r="RK6704" s="106"/>
      <c r="RL6704" s="106"/>
    </row>
    <row r="6705" spans="462:480" x14ac:dyDescent="0.3">
      <c r="QT6705" s="106"/>
      <c r="QU6705" s="106"/>
      <c r="QV6705" s="106"/>
      <c r="QW6705" s="106"/>
      <c r="QX6705" s="106"/>
      <c r="QY6705" s="106"/>
      <c r="QZ6705" s="106"/>
      <c r="RA6705" s="106"/>
      <c r="RB6705" s="106"/>
      <c r="RC6705" s="106"/>
      <c r="RD6705" s="106"/>
      <c r="RE6705" s="106"/>
      <c r="RF6705" s="106"/>
      <c r="RG6705" s="106"/>
      <c r="RH6705" s="106"/>
      <c r="RI6705" s="106"/>
      <c r="RJ6705" s="106"/>
      <c r="RK6705" s="106"/>
      <c r="RL6705" s="106"/>
    </row>
    <row r="6706" spans="462:480" x14ac:dyDescent="0.3">
      <c r="QT6706" s="106"/>
      <c r="QU6706" s="106"/>
      <c r="QV6706" s="106"/>
      <c r="QW6706" s="106"/>
      <c r="QX6706" s="106"/>
      <c r="QY6706" s="106"/>
      <c r="QZ6706" s="106"/>
      <c r="RA6706" s="106"/>
      <c r="RB6706" s="106"/>
      <c r="RC6706" s="106"/>
      <c r="RD6706" s="106"/>
      <c r="RE6706" s="106"/>
      <c r="RF6706" s="106"/>
      <c r="RG6706" s="106"/>
      <c r="RH6706" s="106"/>
      <c r="RI6706" s="106"/>
      <c r="RJ6706" s="106"/>
      <c r="RK6706" s="106"/>
      <c r="RL6706" s="106"/>
    </row>
    <row r="6707" spans="462:480" x14ac:dyDescent="0.3">
      <c r="QT6707" s="106"/>
      <c r="QU6707" s="106"/>
      <c r="QV6707" s="106"/>
      <c r="QW6707" s="106"/>
      <c r="QX6707" s="106"/>
      <c r="QY6707" s="106"/>
      <c r="QZ6707" s="106"/>
      <c r="RA6707" s="106"/>
      <c r="RB6707" s="106"/>
      <c r="RC6707" s="106"/>
      <c r="RD6707" s="106"/>
      <c r="RE6707" s="106"/>
      <c r="RF6707" s="106"/>
      <c r="RG6707" s="106"/>
      <c r="RH6707" s="106"/>
      <c r="RI6707" s="106"/>
      <c r="RJ6707" s="106"/>
      <c r="RK6707" s="106"/>
      <c r="RL6707" s="106"/>
    </row>
    <row r="6708" spans="462:480" x14ac:dyDescent="0.3">
      <c r="QT6708" s="106"/>
      <c r="QU6708" s="106"/>
      <c r="QV6708" s="106"/>
      <c r="QW6708" s="106"/>
      <c r="QX6708" s="106"/>
      <c r="QY6708" s="106"/>
      <c r="QZ6708" s="106"/>
      <c r="RA6708" s="106"/>
      <c r="RB6708" s="106"/>
      <c r="RC6708" s="106"/>
      <c r="RD6708" s="106"/>
      <c r="RE6708" s="106"/>
      <c r="RF6708" s="106"/>
      <c r="RG6708" s="106"/>
      <c r="RH6708" s="106"/>
      <c r="RI6708" s="106"/>
      <c r="RJ6708" s="106"/>
      <c r="RK6708" s="106"/>
      <c r="RL6708" s="106"/>
    </row>
    <row r="6709" spans="462:480" x14ac:dyDescent="0.3">
      <c r="QT6709" s="106"/>
      <c r="QU6709" s="106"/>
      <c r="QV6709" s="106"/>
      <c r="QW6709" s="106"/>
      <c r="QX6709" s="106"/>
      <c r="QY6709" s="106"/>
      <c r="QZ6709" s="106"/>
      <c r="RA6709" s="106"/>
      <c r="RB6709" s="106"/>
      <c r="RC6709" s="106"/>
      <c r="RD6709" s="106"/>
      <c r="RE6709" s="106"/>
      <c r="RF6709" s="106"/>
      <c r="RG6709" s="106"/>
      <c r="RH6709" s="106"/>
      <c r="RI6709" s="106"/>
      <c r="RJ6709" s="106"/>
      <c r="RK6709" s="106"/>
      <c r="RL6709" s="106"/>
    </row>
    <row r="6710" spans="462:480" x14ac:dyDescent="0.3">
      <c r="QT6710" s="106"/>
      <c r="QU6710" s="106"/>
      <c r="QV6710" s="106"/>
      <c r="QW6710" s="106"/>
      <c r="QX6710" s="106"/>
      <c r="QY6710" s="106"/>
      <c r="QZ6710" s="106"/>
      <c r="RA6710" s="106"/>
      <c r="RB6710" s="106"/>
      <c r="RC6710" s="106"/>
      <c r="RD6710" s="106"/>
      <c r="RE6710" s="106"/>
      <c r="RF6710" s="106"/>
      <c r="RG6710" s="106"/>
      <c r="RH6710" s="106"/>
      <c r="RI6710" s="106"/>
      <c r="RJ6710" s="106"/>
      <c r="RK6710" s="106"/>
      <c r="RL6710" s="106"/>
    </row>
    <row r="6711" spans="462:480" x14ac:dyDescent="0.3">
      <c r="QT6711" s="106"/>
      <c r="QU6711" s="106"/>
      <c r="QV6711" s="106"/>
      <c r="QW6711" s="106"/>
      <c r="QX6711" s="106"/>
      <c r="QY6711" s="106"/>
      <c r="QZ6711" s="106"/>
      <c r="RA6711" s="106"/>
      <c r="RB6711" s="106"/>
      <c r="RC6711" s="106"/>
      <c r="RD6711" s="106"/>
      <c r="RE6711" s="106"/>
      <c r="RF6711" s="106"/>
      <c r="RG6711" s="106"/>
      <c r="RH6711" s="106"/>
      <c r="RI6711" s="106"/>
      <c r="RJ6711" s="106"/>
      <c r="RK6711" s="106"/>
      <c r="RL6711" s="106"/>
    </row>
    <row r="6712" spans="462:480" x14ac:dyDescent="0.3">
      <c r="QT6712" s="106"/>
      <c r="QU6712" s="106"/>
      <c r="QV6712" s="106"/>
      <c r="QW6712" s="106"/>
      <c r="QX6712" s="106"/>
      <c r="QY6712" s="106"/>
      <c r="QZ6712" s="106"/>
      <c r="RA6712" s="106"/>
      <c r="RB6712" s="106"/>
      <c r="RC6712" s="106"/>
      <c r="RD6712" s="106"/>
      <c r="RE6712" s="106"/>
      <c r="RF6712" s="106"/>
      <c r="RG6712" s="106"/>
      <c r="RH6712" s="106"/>
      <c r="RI6712" s="106"/>
      <c r="RJ6712" s="106"/>
      <c r="RK6712" s="106"/>
      <c r="RL6712" s="106"/>
    </row>
    <row r="6713" spans="462:480" x14ac:dyDescent="0.3">
      <c r="QT6713" s="106"/>
      <c r="QU6713" s="106"/>
      <c r="QV6713" s="106"/>
      <c r="QW6713" s="106"/>
      <c r="QX6713" s="106"/>
      <c r="QY6713" s="106"/>
      <c r="QZ6713" s="106"/>
      <c r="RA6713" s="106"/>
      <c r="RB6713" s="106"/>
      <c r="RC6713" s="106"/>
      <c r="RD6713" s="106"/>
      <c r="RE6713" s="106"/>
      <c r="RF6713" s="106"/>
      <c r="RG6713" s="106"/>
      <c r="RH6713" s="106"/>
      <c r="RI6713" s="106"/>
      <c r="RJ6713" s="106"/>
      <c r="RK6713" s="106"/>
      <c r="RL6713" s="106"/>
    </row>
    <row r="6714" spans="462:480" x14ac:dyDescent="0.3">
      <c r="QT6714" s="106"/>
      <c r="QU6714" s="106"/>
      <c r="QV6714" s="106"/>
      <c r="QW6714" s="106"/>
      <c r="QX6714" s="106"/>
      <c r="QY6714" s="106"/>
      <c r="QZ6714" s="106"/>
      <c r="RA6714" s="106"/>
      <c r="RB6714" s="106"/>
      <c r="RC6714" s="106"/>
      <c r="RD6714" s="106"/>
      <c r="RE6714" s="106"/>
      <c r="RF6714" s="106"/>
      <c r="RG6714" s="106"/>
      <c r="RH6714" s="106"/>
      <c r="RI6714" s="106"/>
      <c r="RJ6714" s="106"/>
      <c r="RK6714" s="106"/>
      <c r="RL6714" s="106"/>
    </row>
    <row r="6715" spans="462:480" x14ac:dyDescent="0.3">
      <c r="QT6715" s="106"/>
      <c r="QU6715" s="106"/>
      <c r="QV6715" s="106"/>
      <c r="QW6715" s="106"/>
      <c r="QX6715" s="106"/>
      <c r="QY6715" s="106"/>
      <c r="QZ6715" s="106"/>
      <c r="RA6715" s="106"/>
      <c r="RB6715" s="106"/>
      <c r="RC6715" s="106"/>
      <c r="RD6715" s="106"/>
      <c r="RE6715" s="106"/>
      <c r="RF6715" s="106"/>
      <c r="RG6715" s="106"/>
      <c r="RH6715" s="106"/>
      <c r="RI6715" s="106"/>
      <c r="RJ6715" s="106"/>
      <c r="RK6715" s="106"/>
      <c r="RL6715" s="106"/>
    </row>
    <row r="6716" spans="462:480" x14ac:dyDescent="0.3">
      <c r="QT6716" s="106"/>
      <c r="QU6716" s="106"/>
      <c r="QV6716" s="106"/>
      <c r="QW6716" s="106"/>
      <c r="QX6716" s="106"/>
      <c r="QY6716" s="106"/>
      <c r="QZ6716" s="106"/>
      <c r="RA6716" s="106"/>
      <c r="RB6716" s="106"/>
      <c r="RC6716" s="106"/>
      <c r="RD6716" s="106"/>
      <c r="RE6716" s="106"/>
      <c r="RF6716" s="106"/>
      <c r="RG6716" s="106"/>
      <c r="RH6716" s="106"/>
      <c r="RI6716" s="106"/>
      <c r="RJ6716" s="106"/>
      <c r="RK6716" s="106"/>
      <c r="RL6716" s="106"/>
    </row>
    <row r="6717" spans="462:480" x14ac:dyDescent="0.3">
      <c r="QT6717" s="106"/>
      <c r="QU6717" s="106"/>
      <c r="QV6717" s="106"/>
      <c r="QW6717" s="106"/>
      <c r="QX6717" s="106"/>
      <c r="QY6717" s="106"/>
      <c r="QZ6717" s="106"/>
      <c r="RA6717" s="106"/>
      <c r="RB6717" s="106"/>
      <c r="RC6717" s="106"/>
      <c r="RD6717" s="106"/>
      <c r="RE6717" s="106"/>
      <c r="RF6717" s="106"/>
      <c r="RG6717" s="106"/>
      <c r="RH6717" s="106"/>
      <c r="RI6717" s="106"/>
      <c r="RJ6717" s="106"/>
      <c r="RK6717" s="106"/>
      <c r="RL6717" s="106"/>
    </row>
    <row r="6718" spans="462:480" x14ac:dyDescent="0.3">
      <c r="QT6718" s="106"/>
      <c r="QU6718" s="106"/>
      <c r="QV6718" s="106"/>
      <c r="QW6718" s="106"/>
      <c r="QX6718" s="106"/>
      <c r="QY6718" s="106"/>
      <c r="QZ6718" s="106"/>
      <c r="RA6718" s="106"/>
      <c r="RB6718" s="106"/>
      <c r="RC6718" s="106"/>
      <c r="RD6718" s="106"/>
      <c r="RE6718" s="106"/>
      <c r="RF6718" s="106"/>
      <c r="RG6718" s="106"/>
      <c r="RH6718" s="106"/>
      <c r="RI6718" s="106"/>
      <c r="RJ6718" s="106"/>
      <c r="RK6718" s="106"/>
      <c r="RL6718" s="106"/>
    </row>
    <row r="6719" spans="462:480" x14ac:dyDescent="0.3">
      <c r="QT6719" s="106"/>
      <c r="QU6719" s="106"/>
      <c r="QV6719" s="106"/>
      <c r="QW6719" s="106"/>
      <c r="QX6719" s="106"/>
      <c r="QY6719" s="106"/>
      <c r="QZ6719" s="106"/>
      <c r="RA6719" s="106"/>
      <c r="RB6719" s="106"/>
      <c r="RC6719" s="106"/>
      <c r="RD6719" s="106"/>
      <c r="RE6719" s="106"/>
      <c r="RF6719" s="106"/>
      <c r="RG6719" s="106"/>
      <c r="RH6719" s="106"/>
      <c r="RI6719" s="106"/>
      <c r="RJ6719" s="106"/>
      <c r="RK6719" s="106"/>
      <c r="RL6719" s="106"/>
    </row>
    <row r="6720" spans="462:480" x14ac:dyDescent="0.3">
      <c r="QT6720" s="106"/>
      <c r="QU6720" s="106"/>
      <c r="QV6720" s="106"/>
      <c r="QW6720" s="106"/>
      <c r="QX6720" s="106"/>
      <c r="QY6720" s="106"/>
      <c r="QZ6720" s="106"/>
      <c r="RA6720" s="106"/>
      <c r="RB6720" s="106"/>
      <c r="RC6720" s="106"/>
      <c r="RD6720" s="106"/>
      <c r="RE6720" s="106"/>
      <c r="RF6720" s="106"/>
      <c r="RG6720" s="106"/>
      <c r="RH6720" s="106"/>
      <c r="RI6720" s="106"/>
      <c r="RJ6720" s="106"/>
      <c r="RK6720" s="106"/>
      <c r="RL6720" s="106"/>
    </row>
    <row r="6721" spans="462:480" x14ac:dyDescent="0.3">
      <c r="QT6721" s="106"/>
      <c r="QU6721" s="106"/>
      <c r="QV6721" s="106"/>
      <c r="QW6721" s="106"/>
      <c r="QX6721" s="106"/>
      <c r="QY6721" s="106"/>
      <c r="QZ6721" s="106"/>
      <c r="RA6721" s="106"/>
      <c r="RB6721" s="106"/>
      <c r="RC6721" s="106"/>
      <c r="RD6721" s="106"/>
      <c r="RE6721" s="106"/>
      <c r="RF6721" s="106"/>
      <c r="RG6721" s="106"/>
      <c r="RH6721" s="106"/>
      <c r="RI6721" s="106"/>
      <c r="RJ6721" s="106"/>
      <c r="RK6721" s="106"/>
      <c r="RL6721" s="106"/>
    </row>
    <row r="6722" spans="462:480" x14ac:dyDescent="0.3">
      <c r="QT6722" s="106"/>
      <c r="QU6722" s="106"/>
      <c r="QV6722" s="106"/>
      <c r="QW6722" s="106"/>
      <c r="QX6722" s="106"/>
      <c r="QY6722" s="106"/>
      <c r="QZ6722" s="106"/>
      <c r="RA6722" s="106"/>
      <c r="RB6722" s="106"/>
      <c r="RC6722" s="106"/>
      <c r="RD6722" s="106"/>
      <c r="RE6722" s="106"/>
      <c r="RF6722" s="106"/>
      <c r="RG6722" s="106"/>
      <c r="RH6722" s="106"/>
      <c r="RI6722" s="106"/>
      <c r="RJ6722" s="106"/>
      <c r="RK6722" s="106"/>
      <c r="RL6722" s="106"/>
    </row>
    <row r="6723" spans="462:480" x14ac:dyDescent="0.3">
      <c r="QT6723" s="106"/>
      <c r="QU6723" s="106"/>
      <c r="QV6723" s="106"/>
      <c r="QW6723" s="106"/>
      <c r="QX6723" s="106"/>
      <c r="QY6723" s="106"/>
      <c r="QZ6723" s="106"/>
      <c r="RA6723" s="106"/>
      <c r="RB6723" s="106"/>
      <c r="RC6723" s="106"/>
      <c r="RD6723" s="106"/>
      <c r="RE6723" s="106"/>
      <c r="RF6723" s="106"/>
      <c r="RG6723" s="106"/>
      <c r="RH6723" s="106"/>
      <c r="RI6723" s="106"/>
      <c r="RJ6723" s="106"/>
      <c r="RK6723" s="106"/>
      <c r="RL6723" s="106"/>
    </row>
    <row r="6724" spans="462:480" x14ac:dyDescent="0.3">
      <c r="QT6724" s="106"/>
      <c r="QU6724" s="106"/>
      <c r="QV6724" s="106"/>
      <c r="QW6724" s="106"/>
      <c r="QX6724" s="106"/>
      <c r="QY6724" s="106"/>
      <c r="QZ6724" s="106"/>
      <c r="RA6724" s="106"/>
      <c r="RB6724" s="106"/>
      <c r="RC6724" s="106"/>
      <c r="RD6724" s="106"/>
      <c r="RE6724" s="106"/>
      <c r="RF6724" s="106"/>
      <c r="RG6724" s="106"/>
      <c r="RH6724" s="106"/>
      <c r="RI6724" s="106"/>
      <c r="RJ6724" s="106"/>
      <c r="RK6724" s="106"/>
      <c r="RL6724" s="106"/>
    </row>
    <row r="6725" spans="462:480" x14ac:dyDescent="0.3">
      <c r="QT6725" s="106"/>
      <c r="QU6725" s="106"/>
      <c r="QV6725" s="106"/>
      <c r="QW6725" s="106"/>
      <c r="QX6725" s="106"/>
      <c r="QY6725" s="106"/>
      <c r="QZ6725" s="106"/>
      <c r="RA6725" s="106"/>
      <c r="RB6725" s="106"/>
      <c r="RC6725" s="106"/>
      <c r="RD6725" s="106"/>
      <c r="RE6725" s="106"/>
      <c r="RF6725" s="106"/>
      <c r="RG6725" s="106"/>
      <c r="RH6725" s="106"/>
      <c r="RI6725" s="106"/>
      <c r="RJ6725" s="106"/>
      <c r="RK6725" s="106"/>
      <c r="RL6725" s="106"/>
    </row>
    <row r="6726" spans="462:480" x14ac:dyDescent="0.3">
      <c r="QT6726" s="106"/>
      <c r="QU6726" s="106"/>
      <c r="QV6726" s="106"/>
      <c r="QW6726" s="106"/>
      <c r="QX6726" s="106"/>
      <c r="QY6726" s="106"/>
      <c r="QZ6726" s="106"/>
      <c r="RA6726" s="106"/>
      <c r="RB6726" s="106"/>
      <c r="RC6726" s="106"/>
      <c r="RD6726" s="106"/>
      <c r="RE6726" s="106"/>
      <c r="RF6726" s="106"/>
      <c r="RG6726" s="106"/>
      <c r="RH6726" s="106"/>
      <c r="RI6726" s="106"/>
      <c r="RJ6726" s="106"/>
      <c r="RK6726" s="106"/>
      <c r="RL6726" s="106"/>
    </row>
    <row r="6727" spans="462:480" x14ac:dyDescent="0.3">
      <c r="QT6727" s="106"/>
      <c r="QU6727" s="106"/>
      <c r="QV6727" s="106"/>
      <c r="QW6727" s="106"/>
      <c r="QX6727" s="106"/>
      <c r="QY6727" s="106"/>
      <c r="QZ6727" s="106"/>
      <c r="RA6727" s="106"/>
      <c r="RB6727" s="106"/>
      <c r="RC6727" s="106"/>
      <c r="RD6727" s="106"/>
      <c r="RE6727" s="106"/>
      <c r="RF6727" s="106"/>
      <c r="RG6727" s="106"/>
      <c r="RH6727" s="106"/>
      <c r="RI6727" s="106"/>
      <c r="RJ6727" s="106"/>
      <c r="RK6727" s="106"/>
      <c r="RL6727" s="106"/>
    </row>
    <row r="6728" spans="462:480" x14ac:dyDescent="0.3">
      <c r="QT6728" s="106"/>
      <c r="QU6728" s="106"/>
      <c r="QV6728" s="106"/>
      <c r="QW6728" s="106"/>
      <c r="QX6728" s="106"/>
      <c r="QY6728" s="106"/>
      <c r="QZ6728" s="106"/>
      <c r="RA6728" s="106"/>
      <c r="RB6728" s="106"/>
      <c r="RC6728" s="106"/>
      <c r="RD6728" s="106"/>
      <c r="RE6728" s="106"/>
      <c r="RF6728" s="106"/>
      <c r="RG6728" s="106"/>
      <c r="RH6728" s="106"/>
      <c r="RI6728" s="106"/>
      <c r="RJ6728" s="106"/>
      <c r="RK6728" s="106"/>
      <c r="RL6728" s="106"/>
    </row>
    <row r="6729" spans="462:480" x14ac:dyDescent="0.3">
      <c r="QT6729" s="106"/>
      <c r="QU6729" s="106"/>
      <c r="QV6729" s="106"/>
      <c r="QW6729" s="106"/>
      <c r="QX6729" s="106"/>
      <c r="QY6729" s="106"/>
      <c r="QZ6729" s="106"/>
      <c r="RA6729" s="106"/>
      <c r="RB6729" s="106"/>
      <c r="RC6729" s="106"/>
      <c r="RD6729" s="106"/>
      <c r="RE6729" s="106"/>
      <c r="RF6729" s="106"/>
      <c r="RG6729" s="106"/>
      <c r="RH6729" s="106"/>
      <c r="RI6729" s="106"/>
      <c r="RJ6729" s="106"/>
      <c r="RK6729" s="106"/>
      <c r="RL6729" s="106"/>
    </row>
    <row r="6730" spans="462:480" x14ac:dyDescent="0.3">
      <c r="QT6730" s="106"/>
      <c r="QU6730" s="106"/>
      <c r="QV6730" s="106"/>
      <c r="QW6730" s="106"/>
      <c r="QX6730" s="106"/>
      <c r="QY6730" s="106"/>
      <c r="QZ6730" s="106"/>
      <c r="RA6730" s="106"/>
      <c r="RB6730" s="106"/>
      <c r="RC6730" s="106"/>
      <c r="RD6730" s="106"/>
      <c r="RE6730" s="106"/>
      <c r="RF6730" s="106"/>
      <c r="RG6730" s="106"/>
      <c r="RH6730" s="106"/>
      <c r="RI6730" s="106"/>
      <c r="RJ6730" s="106"/>
      <c r="RK6730" s="106"/>
      <c r="RL6730" s="106"/>
    </row>
    <row r="6731" spans="462:480" x14ac:dyDescent="0.3">
      <c r="QT6731" s="106"/>
      <c r="QU6731" s="106"/>
      <c r="QV6731" s="106"/>
      <c r="QW6731" s="106"/>
      <c r="QX6731" s="106"/>
      <c r="QY6731" s="106"/>
      <c r="QZ6731" s="106"/>
      <c r="RA6731" s="106"/>
      <c r="RB6731" s="106"/>
      <c r="RC6731" s="106"/>
      <c r="RD6731" s="106"/>
      <c r="RE6731" s="106"/>
      <c r="RF6731" s="106"/>
      <c r="RG6731" s="106"/>
      <c r="RH6731" s="106"/>
      <c r="RI6731" s="106"/>
      <c r="RJ6731" s="106"/>
      <c r="RK6731" s="106"/>
      <c r="RL6731" s="106"/>
    </row>
    <row r="6732" spans="462:480" x14ac:dyDescent="0.3">
      <c r="QT6732" s="106"/>
      <c r="QU6732" s="106"/>
      <c r="QV6732" s="106"/>
      <c r="QW6732" s="106"/>
      <c r="QX6732" s="106"/>
      <c r="QY6732" s="106"/>
      <c r="QZ6732" s="106"/>
      <c r="RA6732" s="106"/>
      <c r="RB6732" s="106"/>
      <c r="RC6732" s="106"/>
      <c r="RD6732" s="106"/>
      <c r="RE6732" s="106"/>
      <c r="RF6732" s="106"/>
      <c r="RG6732" s="106"/>
      <c r="RH6732" s="106"/>
      <c r="RI6732" s="106"/>
      <c r="RJ6732" s="106"/>
      <c r="RK6732" s="106"/>
      <c r="RL6732" s="106"/>
    </row>
    <row r="6733" spans="462:480" x14ac:dyDescent="0.3">
      <c r="QT6733" s="106"/>
      <c r="QU6733" s="106"/>
      <c r="QV6733" s="106"/>
      <c r="QW6733" s="106"/>
      <c r="QX6733" s="106"/>
      <c r="QY6733" s="106"/>
      <c r="QZ6733" s="106"/>
      <c r="RA6733" s="106"/>
      <c r="RB6733" s="106"/>
      <c r="RC6733" s="106"/>
      <c r="RD6733" s="106"/>
      <c r="RE6733" s="106"/>
      <c r="RF6733" s="106"/>
      <c r="RG6733" s="106"/>
      <c r="RH6733" s="106"/>
      <c r="RI6733" s="106"/>
      <c r="RJ6733" s="106"/>
      <c r="RK6733" s="106"/>
      <c r="RL6733" s="106"/>
    </row>
    <row r="6734" spans="462:480" x14ac:dyDescent="0.3">
      <c r="QT6734" s="106"/>
      <c r="QU6734" s="106"/>
      <c r="QV6734" s="106"/>
      <c r="QW6734" s="106"/>
      <c r="QX6734" s="106"/>
      <c r="QY6734" s="106"/>
      <c r="QZ6734" s="106"/>
      <c r="RA6734" s="106"/>
      <c r="RB6734" s="106"/>
      <c r="RC6734" s="106"/>
      <c r="RD6734" s="106"/>
      <c r="RE6734" s="106"/>
      <c r="RF6734" s="106"/>
      <c r="RG6734" s="106"/>
      <c r="RH6734" s="106"/>
      <c r="RI6734" s="106"/>
      <c r="RJ6734" s="106"/>
      <c r="RK6734" s="106"/>
      <c r="RL6734" s="106"/>
    </row>
    <row r="6735" spans="462:480" x14ac:dyDescent="0.3">
      <c r="QT6735" s="106"/>
      <c r="QU6735" s="106"/>
      <c r="QV6735" s="106"/>
      <c r="QW6735" s="106"/>
      <c r="QX6735" s="106"/>
      <c r="QY6735" s="106"/>
      <c r="QZ6735" s="106"/>
      <c r="RA6735" s="106"/>
      <c r="RB6735" s="106"/>
      <c r="RC6735" s="106"/>
      <c r="RD6735" s="106"/>
      <c r="RE6735" s="106"/>
      <c r="RF6735" s="106"/>
      <c r="RG6735" s="106"/>
      <c r="RH6735" s="106"/>
      <c r="RI6735" s="106"/>
      <c r="RJ6735" s="106"/>
      <c r="RK6735" s="106"/>
      <c r="RL6735" s="106"/>
    </row>
    <row r="6736" spans="462:480" x14ac:dyDescent="0.3">
      <c r="QT6736" s="106"/>
      <c r="QU6736" s="106"/>
      <c r="QV6736" s="106"/>
      <c r="QW6736" s="106"/>
      <c r="QX6736" s="106"/>
      <c r="QY6736" s="106"/>
      <c r="QZ6736" s="106"/>
      <c r="RA6736" s="106"/>
      <c r="RB6736" s="106"/>
      <c r="RC6736" s="106"/>
      <c r="RD6736" s="106"/>
      <c r="RE6736" s="106"/>
      <c r="RF6736" s="106"/>
      <c r="RG6736" s="106"/>
      <c r="RH6736" s="106"/>
      <c r="RI6736" s="106"/>
      <c r="RJ6736" s="106"/>
      <c r="RK6736" s="106"/>
      <c r="RL6736" s="106"/>
    </row>
    <row r="6737" spans="462:480" x14ac:dyDescent="0.3">
      <c r="QT6737" s="106"/>
      <c r="QU6737" s="106"/>
      <c r="QV6737" s="106"/>
      <c r="QW6737" s="106"/>
      <c r="QX6737" s="106"/>
      <c r="QY6737" s="106"/>
      <c r="QZ6737" s="106"/>
      <c r="RA6737" s="106"/>
      <c r="RB6737" s="106"/>
      <c r="RC6737" s="106"/>
      <c r="RD6737" s="106"/>
      <c r="RE6737" s="106"/>
      <c r="RF6737" s="106"/>
      <c r="RG6737" s="106"/>
      <c r="RH6737" s="106"/>
      <c r="RI6737" s="106"/>
      <c r="RJ6737" s="106"/>
      <c r="RK6737" s="106"/>
      <c r="RL6737" s="106"/>
    </row>
    <row r="6738" spans="462:480" x14ac:dyDescent="0.3">
      <c r="QT6738" s="106"/>
      <c r="QU6738" s="106"/>
      <c r="QV6738" s="106"/>
      <c r="QW6738" s="106"/>
      <c r="QX6738" s="106"/>
      <c r="QY6738" s="106"/>
      <c r="QZ6738" s="106"/>
      <c r="RA6738" s="106"/>
      <c r="RB6738" s="106"/>
      <c r="RC6738" s="106"/>
      <c r="RD6738" s="106"/>
      <c r="RE6738" s="106"/>
      <c r="RF6738" s="106"/>
      <c r="RG6738" s="106"/>
      <c r="RH6738" s="106"/>
      <c r="RI6738" s="106"/>
      <c r="RJ6738" s="106"/>
      <c r="RK6738" s="106"/>
      <c r="RL6738" s="106"/>
    </row>
    <row r="6739" spans="462:480" x14ac:dyDescent="0.3">
      <c r="QT6739" s="106"/>
      <c r="QU6739" s="106"/>
      <c r="QV6739" s="106"/>
      <c r="QW6739" s="106"/>
      <c r="QX6739" s="106"/>
      <c r="QY6739" s="106"/>
      <c r="QZ6739" s="106"/>
      <c r="RA6739" s="106"/>
      <c r="RB6739" s="106"/>
      <c r="RC6739" s="106"/>
      <c r="RD6739" s="106"/>
      <c r="RE6739" s="106"/>
      <c r="RF6739" s="106"/>
      <c r="RG6739" s="106"/>
      <c r="RH6739" s="106"/>
      <c r="RI6739" s="106"/>
      <c r="RJ6739" s="106"/>
      <c r="RK6739" s="106"/>
      <c r="RL6739" s="106"/>
    </row>
    <row r="6740" spans="462:480" x14ac:dyDescent="0.3">
      <c r="QT6740" s="106"/>
      <c r="QU6740" s="106"/>
      <c r="QV6740" s="106"/>
      <c r="QW6740" s="106"/>
      <c r="QX6740" s="106"/>
      <c r="QY6740" s="106"/>
      <c r="QZ6740" s="106"/>
      <c r="RA6740" s="106"/>
      <c r="RB6740" s="106"/>
      <c r="RC6740" s="106"/>
      <c r="RD6740" s="106"/>
      <c r="RE6740" s="106"/>
      <c r="RF6740" s="106"/>
      <c r="RG6740" s="106"/>
      <c r="RH6740" s="106"/>
      <c r="RI6740" s="106"/>
      <c r="RJ6740" s="106"/>
      <c r="RK6740" s="106"/>
      <c r="RL6740" s="106"/>
    </row>
    <row r="6741" spans="462:480" x14ac:dyDescent="0.3">
      <c r="QT6741" s="106"/>
      <c r="QU6741" s="106"/>
      <c r="QV6741" s="106"/>
      <c r="QW6741" s="106"/>
      <c r="QX6741" s="106"/>
      <c r="QY6741" s="106"/>
      <c r="QZ6741" s="106"/>
      <c r="RA6741" s="106"/>
      <c r="RB6741" s="106"/>
      <c r="RC6741" s="106"/>
      <c r="RD6741" s="106"/>
      <c r="RE6741" s="106"/>
      <c r="RF6741" s="106"/>
      <c r="RG6741" s="106"/>
      <c r="RH6741" s="106"/>
      <c r="RI6741" s="106"/>
      <c r="RJ6741" s="106"/>
      <c r="RK6741" s="106"/>
      <c r="RL6741" s="106"/>
    </row>
    <row r="6742" spans="462:480" x14ac:dyDescent="0.3">
      <c r="QT6742" s="106"/>
      <c r="QU6742" s="106"/>
      <c r="QV6742" s="106"/>
      <c r="QW6742" s="106"/>
      <c r="QX6742" s="106"/>
      <c r="QY6742" s="106"/>
      <c r="QZ6742" s="106"/>
      <c r="RA6742" s="106"/>
      <c r="RB6742" s="106"/>
      <c r="RC6742" s="106"/>
      <c r="RD6742" s="106"/>
      <c r="RE6742" s="106"/>
      <c r="RF6742" s="106"/>
      <c r="RG6742" s="106"/>
      <c r="RH6742" s="106"/>
      <c r="RI6742" s="106"/>
      <c r="RJ6742" s="106"/>
      <c r="RK6742" s="106"/>
      <c r="RL6742" s="106"/>
    </row>
    <row r="6743" spans="462:480" x14ac:dyDescent="0.3">
      <c r="QT6743" s="106"/>
      <c r="QU6743" s="106"/>
      <c r="QV6743" s="106"/>
      <c r="QW6743" s="106"/>
      <c r="QX6743" s="106"/>
      <c r="QY6743" s="106"/>
      <c r="QZ6743" s="106"/>
      <c r="RA6743" s="106"/>
      <c r="RB6743" s="106"/>
      <c r="RC6743" s="106"/>
      <c r="RD6743" s="106"/>
      <c r="RE6743" s="106"/>
      <c r="RF6743" s="106"/>
      <c r="RG6743" s="106"/>
      <c r="RH6743" s="106"/>
      <c r="RI6743" s="106"/>
      <c r="RJ6743" s="106"/>
      <c r="RK6743" s="106"/>
      <c r="RL6743" s="106"/>
    </row>
    <row r="6744" spans="462:480" x14ac:dyDescent="0.3">
      <c r="QT6744" s="106"/>
      <c r="QU6744" s="106"/>
      <c r="QV6744" s="106"/>
      <c r="QW6744" s="106"/>
      <c r="QX6744" s="106"/>
      <c r="QY6744" s="106"/>
      <c r="QZ6744" s="106"/>
      <c r="RA6744" s="106"/>
      <c r="RB6744" s="106"/>
      <c r="RC6744" s="106"/>
      <c r="RD6744" s="106"/>
      <c r="RE6744" s="106"/>
      <c r="RF6744" s="106"/>
      <c r="RG6744" s="106"/>
      <c r="RH6744" s="106"/>
      <c r="RI6744" s="106"/>
      <c r="RJ6744" s="106"/>
      <c r="RK6744" s="106"/>
      <c r="RL6744" s="106"/>
    </row>
    <row r="6745" spans="462:480" x14ac:dyDescent="0.3">
      <c r="QT6745" s="106"/>
      <c r="QU6745" s="106"/>
      <c r="QV6745" s="106"/>
      <c r="QW6745" s="106"/>
      <c r="QX6745" s="106"/>
      <c r="QY6745" s="106"/>
      <c r="QZ6745" s="106"/>
      <c r="RA6745" s="106"/>
      <c r="RB6745" s="106"/>
      <c r="RC6745" s="106"/>
      <c r="RD6745" s="106"/>
      <c r="RE6745" s="106"/>
      <c r="RF6745" s="106"/>
      <c r="RG6745" s="106"/>
      <c r="RH6745" s="106"/>
      <c r="RI6745" s="106"/>
      <c r="RJ6745" s="106"/>
      <c r="RK6745" s="106"/>
      <c r="RL6745" s="106"/>
    </row>
    <row r="6746" spans="462:480" x14ac:dyDescent="0.3">
      <c r="QT6746" s="106"/>
      <c r="QU6746" s="106"/>
      <c r="QV6746" s="106"/>
      <c r="QW6746" s="106"/>
      <c r="QX6746" s="106"/>
      <c r="QY6746" s="106"/>
      <c r="QZ6746" s="106"/>
      <c r="RA6746" s="106"/>
      <c r="RB6746" s="106"/>
      <c r="RC6746" s="106"/>
      <c r="RD6746" s="106"/>
      <c r="RE6746" s="106"/>
      <c r="RF6746" s="106"/>
      <c r="RG6746" s="106"/>
      <c r="RH6746" s="106"/>
      <c r="RI6746" s="106"/>
      <c r="RJ6746" s="106"/>
      <c r="RK6746" s="106"/>
      <c r="RL6746" s="106"/>
    </row>
    <row r="6747" spans="462:480" x14ac:dyDescent="0.3">
      <c r="QT6747" s="106"/>
      <c r="QU6747" s="106"/>
      <c r="QV6747" s="106"/>
      <c r="QW6747" s="106"/>
      <c r="QX6747" s="106"/>
      <c r="QY6747" s="106"/>
      <c r="QZ6747" s="106"/>
      <c r="RA6747" s="106"/>
      <c r="RB6747" s="106"/>
      <c r="RC6747" s="106"/>
      <c r="RD6747" s="106"/>
      <c r="RE6747" s="106"/>
      <c r="RF6747" s="106"/>
      <c r="RG6747" s="106"/>
      <c r="RH6747" s="106"/>
      <c r="RI6747" s="106"/>
      <c r="RJ6747" s="106"/>
      <c r="RK6747" s="106"/>
      <c r="RL6747" s="106"/>
    </row>
    <row r="6748" spans="462:480" x14ac:dyDescent="0.3">
      <c r="QT6748" s="106"/>
      <c r="QU6748" s="106"/>
      <c r="QV6748" s="106"/>
      <c r="QW6748" s="106"/>
      <c r="QX6748" s="106"/>
      <c r="QY6748" s="106"/>
      <c r="QZ6748" s="106"/>
      <c r="RA6748" s="106"/>
      <c r="RB6748" s="106"/>
      <c r="RC6748" s="106"/>
      <c r="RD6748" s="106"/>
      <c r="RE6748" s="106"/>
      <c r="RF6748" s="106"/>
      <c r="RG6748" s="106"/>
      <c r="RH6748" s="106"/>
      <c r="RI6748" s="106"/>
      <c r="RJ6748" s="106"/>
      <c r="RK6748" s="106"/>
      <c r="RL6748" s="106"/>
    </row>
    <row r="6749" spans="462:480" x14ac:dyDescent="0.3">
      <c r="QT6749" s="106"/>
      <c r="QU6749" s="106"/>
      <c r="QV6749" s="106"/>
      <c r="QW6749" s="106"/>
      <c r="QX6749" s="106"/>
      <c r="QY6749" s="106"/>
      <c r="QZ6749" s="106"/>
      <c r="RA6749" s="106"/>
      <c r="RB6749" s="106"/>
      <c r="RC6749" s="106"/>
      <c r="RD6749" s="106"/>
      <c r="RE6749" s="106"/>
      <c r="RF6749" s="106"/>
      <c r="RG6749" s="106"/>
      <c r="RH6749" s="106"/>
      <c r="RI6749" s="106"/>
      <c r="RJ6749" s="106"/>
      <c r="RK6749" s="106"/>
      <c r="RL6749" s="106"/>
    </row>
    <row r="6750" spans="462:480" x14ac:dyDescent="0.3">
      <c r="QT6750" s="106"/>
      <c r="QU6750" s="106"/>
      <c r="QV6750" s="106"/>
      <c r="QW6750" s="106"/>
      <c r="QX6750" s="106"/>
      <c r="QY6750" s="106"/>
      <c r="QZ6750" s="106"/>
      <c r="RA6750" s="106"/>
      <c r="RB6750" s="106"/>
      <c r="RC6750" s="106"/>
      <c r="RD6750" s="106"/>
      <c r="RE6750" s="106"/>
      <c r="RF6750" s="106"/>
      <c r="RG6750" s="106"/>
      <c r="RH6750" s="106"/>
      <c r="RI6750" s="106"/>
      <c r="RJ6750" s="106"/>
      <c r="RK6750" s="106"/>
      <c r="RL6750" s="106"/>
    </row>
    <row r="6751" spans="462:480" x14ac:dyDescent="0.3">
      <c r="QT6751" s="106"/>
      <c r="QU6751" s="106"/>
      <c r="QV6751" s="106"/>
      <c r="QW6751" s="106"/>
      <c r="QX6751" s="106"/>
      <c r="QY6751" s="106"/>
      <c r="QZ6751" s="106"/>
      <c r="RA6751" s="106"/>
      <c r="RB6751" s="106"/>
      <c r="RC6751" s="106"/>
      <c r="RD6751" s="106"/>
      <c r="RE6751" s="106"/>
      <c r="RF6751" s="106"/>
      <c r="RG6751" s="106"/>
      <c r="RH6751" s="106"/>
      <c r="RI6751" s="106"/>
      <c r="RJ6751" s="106"/>
      <c r="RK6751" s="106"/>
      <c r="RL6751" s="106"/>
    </row>
    <row r="6752" spans="462:480" x14ac:dyDescent="0.3">
      <c r="QT6752" s="106"/>
      <c r="QU6752" s="106"/>
      <c r="QV6752" s="106"/>
      <c r="QW6752" s="106"/>
      <c r="QX6752" s="106"/>
      <c r="QY6752" s="106"/>
      <c r="QZ6752" s="106"/>
      <c r="RA6752" s="106"/>
      <c r="RB6752" s="106"/>
      <c r="RC6752" s="106"/>
      <c r="RD6752" s="106"/>
      <c r="RE6752" s="106"/>
      <c r="RF6752" s="106"/>
      <c r="RG6752" s="106"/>
      <c r="RH6752" s="106"/>
      <c r="RI6752" s="106"/>
      <c r="RJ6752" s="106"/>
      <c r="RK6752" s="106"/>
      <c r="RL6752" s="106"/>
    </row>
    <row r="6753" spans="462:480" x14ac:dyDescent="0.3">
      <c r="QT6753" s="106"/>
      <c r="QU6753" s="106"/>
      <c r="QV6753" s="106"/>
      <c r="QW6753" s="106"/>
      <c r="QX6753" s="106"/>
      <c r="QY6753" s="106"/>
      <c r="QZ6753" s="106"/>
      <c r="RA6753" s="106"/>
      <c r="RB6753" s="106"/>
      <c r="RC6753" s="106"/>
      <c r="RD6753" s="106"/>
      <c r="RE6753" s="106"/>
      <c r="RF6753" s="106"/>
      <c r="RG6753" s="106"/>
      <c r="RH6753" s="106"/>
      <c r="RI6753" s="106"/>
      <c r="RJ6753" s="106"/>
      <c r="RK6753" s="106"/>
      <c r="RL6753" s="106"/>
    </row>
    <row r="6754" spans="462:480" x14ac:dyDescent="0.3">
      <c r="QT6754" s="106"/>
      <c r="QU6754" s="106"/>
      <c r="QV6754" s="106"/>
      <c r="QW6754" s="106"/>
      <c r="QX6754" s="106"/>
      <c r="QY6754" s="106"/>
      <c r="QZ6754" s="106"/>
      <c r="RA6754" s="106"/>
      <c r="RB6754" s="106"/>
      <c r="RC6754" s="106"/>
      <c r="RD6754" s="106"/>
      <c r="RE6754" s="106"/>
      <c r="RF6754" s="106"/>
      <c r="RG6754" s="106"/>
      <c r="RH6754" s="106"/>
      <c r="RI6754" s="106"/>
      <c r="RJ6754" s="106"/>
      <c r="RK6754" s="106"/>
      <c r="RL6754" s="106"/>
    </row>
    <row r="6755" spans="462:480" x14ac:dyDescent="0.3">
      <c r="QT6755" s="106"/>
      <c r="QU6755" s="106"/>
      <c r="QV6755" s="106"/>
      <c r="QW6755" s="106"/>
      <c r="QX6755" s="106"/>
      <c r="QY6755" s="106"/>
      <c r="QZ6755" s="106"/>
      <c r="RA6755" s="106"/>
      <c r="RB6755" s="106"/>
      <c r="RC6755" s="106"/>
      <c r="RD6755" s="106"/>
      <c r="RE6755" s="106"/>
      <c r="RF6755" s="106"/>
      <c r="RG6755" s="106"/>
      <c r="RH6755" s="106"/>
      <c r="RI6755" s="106"/>
      <c r="RJ6755" s="106"/>
      <c r="RK6755" s="106"/>
      <c r="RL6755" s="106"/>
    </row>
    <row r="6756" spans="462:480" x14ac:dyDescent="0.3">
      <c r="QT6756" s="106"/>
      <c r="QU6756" s="106"/>
      <c r="QV6756" s="106"/>
      <c r="QW6756" s="106"/>
      <c r="QX6756" s="106"/>
      <c r="QY6756" s="106"/>
      <c r="QZ6756" s="106"/>
      <c r="RA6756" s="106"/>
      <c r="RB6756" s="106"/>
      <c r="RC6756" s="106"/>
      <c r="RD6756" s="106"/>
      <c r="RE6756" s="106"/>
      <c r="RF6756" s="106"/>
      <c r="RG6756" s="106"/>
      <c r="RH6756" s="106"/>
      <c r="RI6756" s="106"/>
      <c r="RJ6756" s="106"/>
      <c r="RK6756" s="106"/>
      <c r="RL6756" s="106"/>
    </row>
    <row r="6757" spans="462:480" x14ac:dyDescent="0.3">
      <c r="QT6757" s="106"/>
      <c r="QU6757" s="106"/>
      <c r="QV6757" s="106"/>
      <c r="QW6757" s="106"/>
      <c r="QX6757" s="106"/>
      <c r="QY6757" s="106"/>
      <c r="QZ6757" s="106"/>
      <c r="RA6757" s="106"/>
      <c r="RB6757" s="106"/>
      <c r="RC6757" s="106"/>
      <c r="RD6757" s="106"/>
      <c r="RE6757" s="106"/>
      <c r="RF6757" s="106"/>
      <c r="RG6757" s="106"/>
      <c r="RH6757" s="106"/>
      <c r="RI6757" s="106"/>
      <c r="RJ6757" s="106"/>
      <c r="RK6757" s="106"/>
      <c r="RL6757" s="106"/>
    </row>
    <row r="6758" spans="462:480" x14ac:dyDescent="0.3">
      <c r="QT6758" s="106"/>
      <c r="QU6758" s="106"/>
      <c r="QV6758" s="106"/>
      <c r="QW6758" s="106"/>
      <c r="QX6758" s="106"/>
      <c r="QY6758" s="106"/>
      <c r="QZ6758" s="106"/>
      <c r="RA6758" s="106"/>
      <c r="RB6758" s="106"/>
      <c r="RC6758" s="106"/>
      <c r="RD6758" s="106"/>
      <c r="RE6758" s="106"/>
      <c r="RF6758" s="106"/>
      <c r="RG6758" s="106"/>
      <c r="RH6758" s="106"/>
      <c r="RI6758" s="106"/>
      <c r="RJ6758" s="106"/>
      <c r="RK6758" s="106"/>
      <c r="RL6758" s="106"/>
    </row>
    <row r="6759" spans="462:480" x14ac:dyDescent="0.3">
      <c r="QT6759" s="106"/>
      <c r="QU6759" s="106"/>
      <c r="QV6759" s="106"/>
      <c r="QW6759" s="106"/>
      <c r="QX6759" s="106"/>
      <c r="QY6759" s="106"/>
      <c r="QZ6759" s="106"/>
      <c r="RA6759" s="106"/>
      <c r="RB6759" s="106"/>
      <c r="RC6759" s="106"/>
      <c r="RD6759" s="106"/>
      <c r="RE6759" s="106"/>
      <c r="RF6759" s="106"/>
      <c r="RG6759" s="106"/>
      <c r="RH6759" s="106"/>
      <c r="RI6759" s="106"/>
      <c r="RJ6759" s="106"/>
      <c r="RK6759" s="106"/>
      <c r="RL6759" s="106"/>
    </row>
    <row r="6760" spans="462:480" x14ac:dyDescent="0.3">
      <c r="QT6760" s="106"/>
      <c r="QU6760" s="106"/>
      <c r="QV6760" s="106"/>
      <c r="QW6760" s="106"/>
      <c r="QX6760" s="106"/>
      <c r="QY6760" s="106"/>
      <c r="QZ6760" s="106"/>
      <c r="RA6760" s="106"/>
      <c r="RB6760" s="106"/>
      <c r="RC6760" s="106"/>
      <c r="RD6760" s="106"/>
      <c r="RE6760" s="106"/>
      <c r="RF6760" s="106"/>
      <c r="RG6760" s="106"/>
      <c r="RH6760" s="106"/>
      <c r="RI6760" s="106"/>
      <c r="RJ6760" s="106"/>
      <c r="RK6760" s="106"/>
      <c r="RL6760" s="106"/>
    </row>
    <row r="6761" spans="462:480" x14ac:dyDescent="0.3">
      <c r="QT6761" s="106"/>
      <c r="QU6761" s="106"/>
      <c r="QV6761" s="106"/>
      <c r="QW6761" s="106"/>
      <c r="QX6761" s="106"/>
      <c r="QY6761" s="106"/>
      <c r="QZ6761" s="106"/>
      <c r="RA6761" s="106"/>
      <c r="RB6761" s="106"/>
      <c r="RC6761" s="106"/>
      <c r="RD6761" s="106"/>
      <c r="RE6761" s="106"/>
      <c r="RF6761" s="106"/>
      <c r="RG6761" s="106"/>
      <c r="RH6761" s="106"/>
      <c r="RI6761" s="106"/>
      <c r="RJ6761" s="106"/>
      <c r="RK6761" s="106"/>
      <c r="RL6761" s="106"/>
    </row>
    <row r="6762" spans="462:480" x14ac:dyDescent="0.3">
      <c r="QT6762" s="106"/>
      <c r="QU6762" s="106"/>
      <c r="QV6762" s="106"/>
      <c r="QW6762" s="106"/>
      <c r="QX6762" s="106"/>
      <c r="QY6762" s="106"/>
      <c r="QZ6762" s="106"/>
      <c r="RA6762" s="106"/>
      <c r="RB6762" s="106"/>
      <c r="RC6762" s="106"/>
      <c r="RD6762" s="106"/>
      <c r="RE6762" s="106"/>
      <c r="RF6762" s="106"/>
      <c r="RG6762" s="106"/>
      <c r="RH6762" s="106"/>
      <c r="RI6762" s="106"/>
      <c r="RJ6762" s="106"/>
      <c r="RK6762" s="106"/>
      <c r="RL6762" s="106"/>
    </row>
    <row r="6763" spans="462:480" x14ac:dyDescent="0.3">
      <c r="QT6763" s="106"/>
      <c r="QU6763" s="106"/>
      <c r="QV6763" s="106"/>
      <c r="QW6763" s="106"/>
      <c r="QX6763" s="106"/>
      <c r="QY6763" s="106"/>
      <c r="QZ6763" s="106"/>
      <c r="RA6763" s="106"/>
      <c r="RB6763" s="106"/>
      <c r="RC6763" s="106"/>
      <c r="RD6763" s="106"/>
      <c r="RE6763" s="106"/>
      <c r="RF6763" s="106"/>
      <c r="RG6763" s="106"/>
      <c r="RH6763" s="106"/>
      <c r="RI6763" s="106"/>
      <c r="RJ6763" s="106"/>
      <c r="RK6763" s="106"/>
      <c r="RL6763" s="106"/>
    </row>
    <row r="6764" spans="462:480" x14ac:dyDescent="0.3">
      <c r="QT6764" s="106"/>
      <c r="QU6764" s="106"/>
      <c r="QV6764" s="106"/>
      <c r="QW6764" s="106"/>
      <c r="QX6764" s="106"/>
      <c r="QY6764" s="106"/>
      <c r="QZ6764" s="106"/>
      <c r="RA6764" s="106"/>
      <c r="RB6764" s="106"/>
      <c r="RC6764" s="106"/>
      <c r="RD6764" s="106"/>
      <c r="RE6764" s="106"/>
      <c r="RF6764" s="106"/>
      <c r="RG6764" s="106"/>
      <c r="RH6764" s="106"/>
      <c r="RI6764" s="106"/>
      <c r="RJ6764" s="106"/>
      <c r="RK6764" s="106"/>
      <c r="RL6764" s="106"/>
    </row>
    <row r="6765" spans="462:480" x14ac:dyDescent="0.3">
      <c r="QT6765" s="106"/>
      <c r="QU6765" s="106"/>
      <c r="QV6765" s="106"/>
      <c r="QW6765" s="106"/>
      <c r="QX6765" s="106"/>
      <c r="QY6765" s="106"/>
      <c r="QZ6765" s="106"/>
      <c r="RA6765" s="106"/>
      <c r="RB6765" s="106"/>
      <c r="RC6765" s="106"/>
      <c r="RD6765" s="106"/>
      <c r="RE6765" s="106"/>
      <c r="RF6765" s="106"/>
      <c r="RG6765" s="106"/>
      <c r="RH6765" s="106"/>
      <c r="RI6765" s="106"/>
      <c r="RJ6765" s="106"/>
      <c r="RK6765" s="106"/>
      <c r="RL6765" s="106"/>
    </row>
    <row r="6766" spans="462:480" x14ac:dyDescent="0.3">
      <c r="QT6766" s="106"/>
      <c r="QU6766" s="106"/>
      <c r="QV6766" s="106"/>
      <c r="QW6766" s="106"/>
      <c r="QX6766" s="106"/>
      <c r="QY6766" s="106"/>
      <c r="QZ6766" s="106"/>
      <c r="RA6766" s="106"/>
      <c r="RB6766" s="106"/>
      <c r="RC6766" s="106"/>
      <c r="RD6766" s="106"/>
      <c r="RE6766" s="106"/>
      <c r="RF6766" s="106"/>
      <c r="RG6766" s="106"/>
      <c r="RH6766" s="106"/>
      <c r="RI6766" s="106"/>
      <c r="RJ6766" s="106"/>
      <c r="RK6766" s="106"/>
      <c r="RL6766" s="106"/>
    </row>
    <row r="6767" spans="462:480" x14ac:dyDescent="0.3">
      <c r="QT6767" s="106"/>
      <c r="QU6767" s="106"/>
      <c r="QV6767" s="106"/>
      <c r="QW6767" s="106"/>
      <c r="QX6767" s="106"/>
      <c r="QY6767" s="106"/>
      <c r="QZ6767" s="106"/>
      <c r="RA6767" s="106"/>
      <c r="RB6767" s="106"/>
      <c r="RC6767" s="106"/>
      <c r="RD6767" s="106"/>
      <c r="RE6767" s="106"/>
      <c r="RF6767" s="106"/>
      <c r="RG6767" s="106"/>
      <c r="RH6767" s="106"/>
      <c r="RI6767" s="106"/>
      <c r="RJ6767" s="106"/>
      <c r="RK6767" s="106"/>
      <c r="RL6767" s="106"/>
    </row>
    <row r="6768" spans="462:480" x14ac:dyDescent="0.3">
      <c r="QT6768" s="106"/>
      <c r="QU6768" s="106"/>
      <c r="QV6768" s="106"/>
      <c r="QW6768" s="106"/>
      <c r="QX6768" s="106"/>
      <c r="QY6768" s="106"/>
      <c r="QZ6768" s="106"/>
      <c r="RA6768" s="106"/>
      <c r="RB6768" s="106"/>
      <c r="RC6768" s="106"/>
      <c r="RD6768" s="106"/>
      <c r="RE6768" s="106"/>
      <c r="RF6768" s="106"/>
      <c r="RG6768" s="106"/>
      <c r="RH6768" s="106"/>
      <c r="RI6768" s="106"/>
      <c r="RJ6768" s="106"/>
      <c r="RK6768" s="106"/>
      <c r="RL6768" s="106"/>
    </row>
    <row r="6769" spans="462:480" x14ac:dyDescent="0.3">
      <c r="QT6769" s="106"/>
      <c r="QU6769" s="106"/>
      <c r="QV6769" s="106"/>
      <c r="QW6769" s="106"/>
      <c r="QX6769" s="106"/>
      <c r="QY6769" s="106"/>
      <c r="QZ6769" s="106"/>
      <c r="RA6769" s="106"/>
      <c r="RB6769" s="106"/>
      <c r="RC6769" s="106"/>
      <c r="RD6769" s="106"/>
      <c r="RE6769" s="106"/>
      <c r="RF6769" s="106"/>
      <c r="RG6769" s="106"/>
      <c r="RH6769" s="106"/>
      <c r="RI6769" s="106"/>
      <c r="RJ6769" s="106"/>
      <c r="RK6769" s="106"/>
      <c r="RL6769" s="106"/>
    </row>
    <row r="6770" spans="462:480" x14ac:dyDescent="0.3">
      <c r="QT6770" s="106"/>
      <c r="QU6770" s="106"/>
      <c r="QV6770" s="106"/>
      <c r="QW6770" s="106"/>
      <c r="QX6770" s="106"/>
      <c r="QY6770" s="106"/>
      <c r="QZ6770" s="106"/>
      <c r="RA6770" s="106"/>
      <c r="RB6770" s="106"/>
      <c r="RC6770" s="106"/>
      <c r="RD6770" s="106"/>
      <c r="RE6770" s="106"/>
      <c r="RF6770" s="106"/>
      <c r="RG6770" s="106"/>
      <c r="RH6770" s="106"/>
      <c r="RI6770" s="106"/>
      <c r="RJ6770" s="106"/>
      <c r="RK6770" s="106"/>
      <c r="RL6770" s="106"/>
    </row>
    <row r="6771" spans="462:480" x14ac:dyDescent="0.3">
      <c r="QT6771" s="106"/>
      <c r="QU6771" s="106"/>
      <c r="QV6771" s="106"/>
      <c r="QW6771" s="106"/>
      <c r="QX6771" s="106"/>
      <c r="QY6771" s="106"/>
      <c r="QZ6771" s="106"/>
      <c r="RA6771" s="106"/>
      <c r="RB6771" s="106"/>
      <c r="RC6771" s="106"/>
      <c r="RD6771" s="106"/>
      <c r="RE6771" s="106"/>
      <c r="RF6771" s="106"/>
      <c r="RG6771" s="106"/>
      <c r="RH6771" s="106"/>
      <c r="RI6771" s="106"/>
      <c r="RJ6771" s="106"/>
      <c r="RK6771" s="106"/>
      <c r="RL6771" s="106"/>
    </row>
    <row r="6772" spans="462:480" x14ac:dyDescent="0.3">
      <c r="QT6772" s="106"/>
      <c r="QU6772" s="106"/>
      <c r="QV6772" s="106"/>
      <c r="QW6772" s="106"/>
      <c r="QX6772" s="106"/>
      <c r="QY6772" s="106"/>
      <c r="QZ6772" s="106"/>
      <c r="RA6772" s="106"/>
      <c r="RB6772" s="106"/>
      <c r="RC6772" s="106"/>
      <c r="RD6772" s="106"/>
      <c r="RE6772" s="106"/>
      <c r="RF6772" s="106"/>
      <c r="RG6772" s="106"/>
      <c r="RH6772" s="106"/>
      <c r="RI6772" s="106"/>
      <c r="RJ6772" s="106"/>
      <c r="RK6772" s="106"/>
      <c r="RL6772" s="106"/>
    </row>
    <row r="6773" spans="462:480" x14ac:dyDescent="0.3">
      <c r="QT6773" s="106"/>
      <c r="QU6773" s="106"/>
      <c r="QV6773" s="106"/>
      <c r="QW6773" s="106"/>
      <c r="QX6773" s="106"/>
      <c r="QY6773" s="106"/>
      <c r="QZ6773" s="106"/>
      <c r="RA6773" s="106"/>
      <c r="RB6773" s="106"/>
      <c r="RC6773" s="106"/>
      <c r="RD6773" s="106"/>
      <c r="RE6773" s="106"/>
      <c r="RF6773" s="106"/>
      <c r="RG6773" s="106"/>
      <c r="RH6773" s="106"/>
      <c r="RI6773" s="106"/>
      <c r="RJ6773" s="106"/>
      <c r="RK6773" s="106"/>
      <c r="RL6773" s="106"/>
    </row>
    <row r="6774" spans="462:480" x14ac:dyDescent="0.3">
      <c r="QT6774" s="106"/>
      <c r="QU6774" s="106"/>
      <c r="QV6774" s="106"/>
      <c r="QW6774" s="106"/>
      <c r="QX6774" s="106"/>
      <c r="QY6774" s="106"/>
      <c r="QZ6774" s="106"/>
      <c r="RA6774" s="106"/>
      <c r="RB6774" s="106"/>
      <c r="RC6774" s="106"/>
      <c r="RD6774" s="106"/>
      <c r="RE6774" s="106"/>
      <c r="RF6774" s="106"/>
      <c r="RG6774" s="106"/>
      <c r="RH6774" s="106"/>
      <c r="RI6774" s="106"/>
      <c r="RJ6774" s="106"/>
      <c r="RK6774" s="106"/>
      <c r="RL6774" s="106"/>
    </row>
    <row r="6775" spans="462:480" x14ac:dyDescent="0.3">
      <c r="QT6775" s="106"/>
      <c r="QU6775" s="106"/>
      <c r="QV6775" s="106"/>
      <c r="QW6775" s="106"/>
      <c r="QX6775" s="106"/>
      <c r="QY6775" s="106"/>
      <c r="QZ6775" s="106"/>
      <c r="RA6775" s="106"/>
      <c r="RB6775" s="106"/>
      <c r="RC6775" s="106"/>
      <c r="RD6775" s="106"/>
      <c r="RE6775" s="106"/>
      <c r="RF6775" s="106"/>
      <c r="RG6775" s="106"/>
      <c r="RH6775" s="106"/>
      <c r="RI6775" s="106"/>
      <c r="RJ6775" s="106"/>
      <c r="RK6775" s="106"/>
      <c r="RL6775" s="106"/>
    </row>
    <row r="6776" spans="462:480" x14ac:dyDescent="0.3">
      <c r="QT6776" s="106"/>
      <c r="QU6776" s="106"/>
      <c r="QV6776" s="106"/>
      <c r="QW6776" s="106"/>
      <c r="QX6776" s="106"/>
      <c r="QY6776" s="106"/>
      <c r="QZ6776" s="106"/>
      <c r="RA6776" s="106"/>
      <c r="RB6776" s="106"/>
      <c r="RC6776" s="106"/>
      <c r="RD6776" s="106"/>
      <c r="RE6776" s="106"/>
      <c r="RF6776" s="106"/>
      <c r="RG6776" s="106"/>
      <c r="RH6776" s="106"/>
      <c r="RI6776" s="106"/>
      <c r="RJ6776" s="106"/>
      <c r="RK6776" s="106"/>
      <c r="RL6776" s="106"/>
    </row>
    <row r="6777" spans="462:480" x14ac:dyDescent="0.3">
      <c r="QT6777" s="106"/>
      <c r="QU6777" s="106"/>
      <c r="QV6777" s="106"/>
      <c r="QW6777" s="106"/>
      <c r="QX6777" s="106"/>
      <c r="QY6777" s="106"/>
      <c r="QZ6777" s="106"/>
      <c r="RA6777" s="106"/>
      <c r="RB6777" s="106"/>
      <c r="RC6777" s="106"/>
      <c r="RD6777" s="106"/>
      <c r="RE6777" s="106"/>
      <c r="RF6777" s="106"/>
      <c r="RG6777" s="106"/>
      <c r="RH6777" s="106"/>
      <c r="RI6777" s="106"/>
      <c r="RJ6777" s="106"/>
      <c r="RK6777" s="106"/>
      <c r="RL6777" s="106"/>
    </row>
    <row r="6778" spans="462:480" x14ac:dyDescent="0.3">
      <c r="QT6778" s="106"/>
      <c r="QU6778" s="106"/>
      <c r="QV6778" s="106"/>
      <c r="QW6778" s="106"/>
      <c r="QX6778" s="106"/>
      <c r="QY6778" s="106"/>
      <c r="QZ6778" s="106"/>
      <c r="RA6778" s="106"/>
      <c r="RB6778" s="106"/>
      <c r="RC6778" s="106"/>
      <c r="RD6778" s="106"/>
      <c r="RE6778" s="106"/>
      <c r="RF6778" s="106"/>
      <c r="RG6778" s="106"/>
      <c r="RH6778" s="106"/>
      <c r="RI6778" s="106"/>
      <c r="RJ6778" s="106"/>
      <c r="RK6778" s="106"/>
      <c r="RL6778" s="106"/>
    </row>
    <row r="6779" spans="462:480" x14ac:dyDescent="0.3">
      <c r="QT6779" s="106"/>
      <c r="QU6779" s="106"/>
      <c r="QV6779" s="106"/>
      <c r="QW6779" s="106"/>
      <c r="QX6779" s="106"/>
      <c r="QY6779" s="106"/>
      <c r="QZ6779" s="106"/>
      <c r="RA6779" s="106"/>
      <c r="RB6779" s="106"/>
      <c r="RC6779" s="106"/>
      <c r="RD6779" s="106"/>
      <c r="RE6779" s="106"/>
      <c r="RF6779" s="106"/>
      <c r="RG6779" s="106"/>
      <c r="RH6779" s="106"/>
      <c r="RI6779" s="106"/>
      <c r="RJ6779" s="106"/>
      <c r="RK6779" s="106"/>
      <c r="RL6779" s="106"/>
    </row>
    <row r="6780" spans="462:480" x14ac:dyDescent="0.3">
      <c r="QT6780" s="106"/>
      <c r="QU6780" s="106"/>
      <c r="QV6780" s="106"/>
      <c r="QW6780" s="106"/>
      <c r="QX6780" s="106"/>
      <c r="QY6780" s="106"/>
      <c r="QZ6780" s="106"/>
      <c r="RA6780" s="106"/>
      <c r="RB6780" s="106"/>
      <c r="RC6780" s="106"/>
      <c r="RD6780" s="106"/>
      <c r="RE6780" s="106"/>
      <c r="RF6780" s="106"/>
      <c r="RG6780" s="106"/>
      <c r="RH6780" s="106"/>
      <c r="RI6780" s="106"/>
      <c r="RJ6780" s="106"/>
      <c r="RK6780" s="106"/>
      <c r="RL6780" s="106"/>
    </row>
    <row r="6781" spans="462:480" x14ac:dyDescent="0.3">
      <c r="QT6781" s="106"/>
      <c r="QU6781" s="106"/>
      <c r="QV6781" s="106"/>
      <c r="QW6781" s="106"/>
      <c r="QX6781" s="106"/>
      <c r="QY6781" s="106"/>
      <c r="QZ6781" s="106"/>
      <c r="RA6781" s="106"/>
      <c r="RB6781" s="106"/>
      <c r="RC6781" s="106"/>
      <c r="RD6781" s="106"/>
      <c r="RE6781" s="106"/>
      <c r="RF6781" s="106"/>
      <c r="RG6781" s="106"/>
      <c r="RH6781" s="106"/>
      <c r="RI6781" s="106"/>
      <c r="RJ6781" s="106"/>
      <c r="RK6781" s="106"/>
      <c r="RL6781" s="106"/>
    </row>
    <row r="6782" spans="462:480" x14ac:dyDescent="0.3">
      <c r="QT6782" s="106"/>
      <c r="QU6782" s="106"/>
      <c r="QV6782" s="106"/>
      <c r="QW6782" s="106"/>
      <c r="QX6782" s="106"/>
      <c r="QY6782" s="106"/>
      <c r="QZ6782" s="106"/>
      <c r="RA6782" s="106"/>
      <c r="RB6782" s="106"/>
      <c r="RC6782" s="106"/>
      <c r="RD6782" s="106"/>
      <c r="RE6782" s="106"/>
      <c r="RF6782" s="106"/>
      <c r="RG6782" s="106"/>
      <c r="RH6782" s="106"/>
      <c r="RI6782" s="106"/>
      <c r="RJ6782" s="106"/>
      <c r="RK6782" s="106"/>
      <c r="RL6782" s="106"/>
    </row>
    <row r="6783" spans="462:480" x14ac:dyDescent="0.3">
      <c r="QT6783" s="106"/>
      <c r="QU6783" s="106"/>
      <c r="QV6783" s="106"/>
      <c r="QW6783" s="106"/>
      <c r="QX6783" s="106"/>
      <c r="QY6783" s="106"/>
      <c r="QZ6783" s="106"/>
      <c r="RA6783" s="106"/>
      <c r="RB6783" s="106"/>
      <c r="RC6783" s="106"/>
      <c r="RD6783" s="106"/>
      <c r="RE6783" s="106"/>
      <c r="RF6783" s="106"/>
      <c r="RG6783" s="106"/>
      <c r="RH6783" s="106"/>
      <c r="RI6783" s="106"/>
      <c r="RJ6783" s="106"/>
      <c r="RK6783" s="106"/>
      <c r="RL6783" s="106"/>
    </row>
    <row r="6784" spans="462:480" x14ac:dyDescent="0.3">
      <c r="QT6784" s="106"/>
      <c r="QU6784" s="106"/>
      <c r="QV6784" s="106"/>
      <c r="QW6784" s="106"/>
      <c r="QX6784" s="106"/>
      <c r="QY6784" s="106"/>
      <c r="QZ6784" s="106"/>
      <c r="RA6784" s="106"/>
      <c r="RB6784" s="106"/>
      <c r="RC6784" s="106"/>
      <c r="RD6784" s="106"/>
      <c r="RE6784" s="106"/>
      <c r="RF6784" s="106"/>
      <c r="RG6784" s="106"/>
      <c r="RH6784" s="106"/>
      <c r="RI6784" s="106"/>
      <c r="RJ6784" s="106"/>
      <c r="RK6784" s="106"/>
      <c r="RL6784" s="106"/>
    </row>
    <row r="6785" spans="462:480" x14ac:dyDescent="0.3">
      <c r="QT6785" s="106"/>
      <c r="QU6785" s="106"/>
      <c r="QV6785" s="106"/>
      <c r="QW6785" s="106"/>
      <c r="QX6785" s="106"/>
      <c r="QY6785" s="106"/>
      <c r="QZ6785" s="106"/>
      <c r="RA6785" s="106"/>
      <c r="RB6785" s="106"/>
      <c r="RC6785" s="106"/>
      <c r="RD6785" s="106"/>
      <c r="RE6785" s="106"/>
      <c r="RF6785" s="106"/>
      <c r="RG6785" s="106"/>
      <c r="RH6785" s="106"/>
      <c r="RI6785" s="106"/>
      <c r="RJ6785" s="106"/>
      <c r="RK6785" s="106"/>
      <c r="RL6785" s="106"/>
    </row>
    <row r="6786" spans="462:480" x14ac:dyDescent="0.3">
      <c r="QT6786" s="106"/>
      <c r="QU6786" s="106"/>
      <c r="QV6786" s="106"/>
      <c r="QW6786" s="106"/>
      <c r="QX6786" s="106"/>
      <c r="QY6786" s="106"/>
      <c r="QZ6786" s="106"/>
      <c r="RA6786" s="106"/>
      <c r="RB6786" s="106"/>
      <c r="RC6786" s="106"/>
      <c r="RD6786" s="106"/>
      <c r="RE6786" s="106"/>
      <c r="RF6786" s="106"/>
      <c r="RG6786" s="106"/>
      <c r="RH6786" s="106"/>
      <c r="RI6786" s="106"/>
      <c r="RJ6786" s="106"/>
      <c r="RK6786" s="106"/>
      <c r="RL6786" s="106"/>
    </row>
    <row r="6787" spans="462:480" x14ac:dyDescent="0.3">
      <c r="QT6787" s="106"/>
      <c r="QU6787" s="106"/>
      <c r="QV6787" s="106"/>
      <c r="QW6787" s="106"/>
      <c r="QX6787" s="106"/>
      <c r="QY6787" s="106"/>
      <c r="QZ6787" s="106"/>
      <c r="RA6787" s="106"/>
      <c r="RB6787" s="106"/>
      <c r="RC6787" s="106"/>
      <c r="RD6787" s="106"/>
      <c r="RE6787" s="106"/>
      <c r="RF6787" s="106"/>
      <c r="RG6787" s="106"/>
      <c r="RH6787" s="106"/>
      <c r="RI6787" s="106"/>
      <c r="RJ6787" s="106"/>
      <c r="RK6787" s="106"/>
      <c r="RL6787" s="106"/>
    </row>
    <row r="6788" spans="462:480" x14ac:dyDescent="0.3">
      <c r="QT6788" s="106"/>
      <c r="QU6788" s="106"/>
      <c r="QV6788" s="106"/>
      <c r="QW6788" s="106"/>
      <c r="QX6788" s="106"/>
      <c r="QY6788" s="106"/>
      <c r="QZ6788" s="106"/>
      <c r="RA6788" s="106"/>
      <c r="RB6788" s="106"/>
      <c r="RC6788" s="106"/>
      <c r="RD6788" s="106"/>
      <c r="RE6788" s="106"/>
      <c r="RF6788" s="106"/>
      <c r="RG6788" s="106"/>
      <c r="RH6788" s="106"/>
      <c r="RI6788" s="106"/>
      <c r="RJ6788" s="106"/>
      <c r="RK6788" s="106"/>
      <c r="RL6788" s="106"/>
    </row>
    <row r="6789" spans="462:480" x14ac:dyDescent="0.3">
      <c r="QT6789" s="106"/>
      <c r="QU6789" s="106"/>
      <c r="QV6789" s="106"/>
      <c r="QW6789" s="106"/>
      <c r="QX6789" s="106"/>
      <c r="QY6789" s="106"/>
      <c r="QZ6789" s="106"/>
      <c r="RA6789" s="106"/>
      <c r="RB6789" s="106"/>
      <c r="RC6789" s="106"/>
      <c r="RD6789" s="106"/>
      <c r="RE6789" s="106"/>
      <c r="RF6789" s="106"/>
      <c r="RG6789" s="106"/>
      <c r="RH6789" s="106"/>
      <c r="RI6789" s="106"/>
      <c r="RJ6789" s="106"/>
      <c r="RK6789" s="106"/>
      <c r="RL6789" s="106"/>
    </row>
    <row r="6790" spans="462:480" x14ac:dyDescent="0.3">
      <c r="QT6790" s="106"/>
      <c r="QU6790" s="106"/>
      <c r="QV6790" s="106"/>
      <c r="QW6790" s="106"/>
      <c r="QX6790" s="106"/>
      <c r="QY6790" s="106"/>
      <c r="QZ6790" s="106"/>
      <c r="RA6790" s="106"/>
      <c r="RB6790" s="106"/>
      <c r="RC6790" s="106"/>
      <c r="RD6790" s="106"/>
      <c r="RE6790" s="106"/>
      <c r="RF6790" s="106"/>
      <c r="RG6790" s="106"/>
      <c r="RH6790" s="106"/>
      <c r="RI6790" s="106"/>
      <c r="RJ6790" s="106"/>
      <c r="RK6790" s="106"/>
      <c r="RL6790" s="106"/>
    </row>
    <row r="6791" spans="462:480" x14ac:dyDescent="0.3">
      <c r="QT6791" s="106"/>
      <c r="QU6791" s="106"/>
      <c r="QV6791" s="106"/>
      <c r="QW6791" s="106"/>
      <c r="QX6791" s="106"/>
      <c r="QY6791" s="106"/>
      <c r="QZ6791" s="106"/>
      <c r="RA6791" s="106"/>
      <c r="RB6791" s="106"/>
      <c r="RC6791" s="106"/>
      <c r="RD6791" s="106"/>
      <c r="RE6791" s="106"/>
      <c r="RF6791" s="106"/>
      <c r="RG6791" s="106"/>
      <c r="RH6791" s="106"/>
      <c r="RI6791" s="106"/>
      <c r="RJ6791" s="106"/>
      <c r="RK6791" s="106"/>
      <c r="RL6791" s="106"/>
    </row>
    <row r="6792" spans="462:480" x14ac:dyDescent="0.3">
      <c r="QT6792" s="106"/>
      <c r="QU6792" s="106"/>
      <c r="QV6792" s="106"/>
      <c r="QW6792" s="106"/>
      <c r="QX6792" s="106"/>
      <c r="QY6792" s="106"/>
      <c r="QZ6792" s="106"/>
      <c r="RA6792" s="106"/>
      <c r="RB6792" s="106"/>
      <c r="RC6792" s="106"/>
      <c r="RD6792" s="106"/>
      <c r="RE6792" s="106"/>
      <c r="RF6792" s="106"/>
      <c r="RG6792" s="106"/>
      <c r="RH6792" s="106"/>
      <c r="RI6792" s="106"/>
      <c r="RJ6792" s="106"/>
      <c r="RK6792" s="106"/>
      <c r="RL6792" s="106"/>
    </row>
    <row r="6793" spans="462:480" x14ac:dyDescent="0.3">
      <c r="QT6793" s="106"/>
      <c r="QU6793" s="106"/>
      <c r="QV6793" s="106"/>
      <c r="QW6793" s="106"/>
      <c r="QX6793" s="106"/>
      <c r="QY6793" s="106"/>
      <c r="QZ6793" s="106"/>
      <c r="RA6793" s="106"/>
      <c r="RB6793" s="106"/>
      <c r="RC6793" s="106"/>
      <c r="RD6793" s="106"/>
      <c r="RE6793" s="106"/>
      <c r="RF6793" s="106"/>
      <c r="RG6793" s="106"/>
      <c r="RH6793" s="106"/>
      <c r="RI6793" s="106"/>
      <c r="RJ6793" s="106"/>
      <c r="RK6793" s="106"/>
      <c r="RL6793" s="106"/>
    </row>
    <row r="6794" spans="462:480" x14ac:dyDescent="0.3">
      <c r="QT6794" s="106"/>
      <c r="QU6794" s="106"/>
      <c r="QV6794" s="106"/>
      <c r="QW6794" s="106"/>
      <c r="QX6794" s="106"/>
      <c r="QY6794" s="106"/>
      <c r="QZ6794" s="106"/>
      <c r="RA6794" s="106"/>
      <c r="RB6794" s="106"/>
      <c r="RC6794" s="106"/>
      <c r="RD6794" s="106"/>
      <c r="RE6794" s="106"/>
      <c r="RF6794" s="106"/>
      <c r="RG6794" s="106"/>
      <c r="RH6794" s="106"/>
      <c r="RI6794" s="106"/>
      <c r="RJ6794" s="106"/>
      <c r="RK6794" s="106"/>
      <c r="RL6794" s="106"/>
    </row>
    <row r="6795" spans="462:480" x14ac:dyDescent="0.3">
      <c r="QT6795" s="106"/>
      <c r="QU6795" s="106"/>
      <c r="QV6795" s="106"/>
      <c r="QW6795" s="106"/>
      <c r="QX6795" s="106"/>
      <c r="QY6795" s="106"/>
      <c r="QZ6795" s="106"/>
      <c r="RA6795" s="106"/>
      <c r="RB6795" s="106"/>
      <c r="RC6795" s="106"/>
      <c r="RD6795" s="106"/>
      <c r="RE6795" s="106"/>
      <c r="RF6795" s="106"/>
      <c r="RG6795" s="106"/>
      <c r="RH6795" s="106"/>
      <c r="RI6795" s="106"/>
      <c r="RJ6795" s="106"/>
      <c r="RK6795" s="106"/>
      <c r="RL6795" s="106"/>
    </row>
    <row r="6796" spans="462:480" x14ac:dyDescent="0.3">
      <c r="QT6796" s="106"/>
      <c r="QU6796" s="106"/>
      <c r="QV6796" s="106"/>
      <c r="QW6796" s="106"/>
      <c r="QX6796" s="106"/>
      <c r="QY6796" s="106"/>
      <c r="QZ6796" s="106"/>
      <c r="RA6796" s="106"/>
      <c r="RB6796" s="106"/>
      <c r="RC6796" s="106"/>
      <c r="RD6796" s="106"/>
      <c r="RE6796" s="106"/>
      <c r="RF6796" s="106"/>
      <c r="RG6796" s="106"/>
      <c r="RH6796" s="106"/>
      <c r="RI6796" s="106"/>
      <c r="RJ6796" s="106"/>
      <c r="RK6796" s="106"/>
      <c r="RL6796" s="106"/>
    </row>
    <row r="6797" spans="462:480" x14ac:dyDescent="0.3">
      <c r="QT6797" s="106"/>
      <c r="QU6797" s="106"/>
      <c r="QV6797" s="106"/>
      <c r="QW6797" s="106"/>
      <c r="QX6797" s="106"/>
      <c r="QY6797" s="106"/>
      <c r="QZ6797" s="106"/>
      <c r="RA6797" s="106"/>
      <c r="RB6797" s="106"/>
      <c r="RC6797" s="106"/>
      <c r="RD6797" s="106"/>
      <c r="RE6797" s="106"/>
      <c r="RF6797" s="106"/>
      <c r="RG6797" s="106"/>
      <c r="RH6797" s="106"/>
      <c r="RI6797" s="106"/>
      <c r="RJ6797" s="106"/>
      <c r="RK6797" s="106"/>
      <c r="RL6797" s="106"/>
    </row>
    <row r="6798" spans="462:480" x14ac:dyDescent="0.3">
      <c r="QT6798" s="106"/>
      <c r="QU6798" s="106"/>
      <c r="QV6798" s="106"/>
      <c r="QW6798" s="106"/>
      <c r="QX6798" s="106"/>
      <c r="QY6798" s="106"/>
      <c r="QZ6798" s="106"/>
      <c r="RA6798" s="106"/>
      <c r="RB6798" s="106"/>
      <c r="RC6798" s="106"/>
      <c r="RD6798" s="106"/>
      <c r="RE6798" s="106"/>
      <c r="RF6798" s="106"/>
      <c r="RG6798" s="106"/>
      <c r="RH6798" s="106"/>
      <c r="RI6798" s="106"/>
      <c r="RJ6798" s="106"/>
      <c r="RK6798" s="106"/>
      <c r="RL6798" s="106"/>
    </row>
    <row r="6799" spans="462:480" x14ac:dyDescent="0.3">
      <c r="QT6799" s="106"/>
      <c r="QU6799" s="106"/>
      <c r="QV6799" s="106"/>
      <c r="QW6799" s="106"/>
      <c r="QX6799" s="106"/>
      <c r="QY6799" s="106"/>
      <c r="QZ6799" s="106"/>
      <c r="RA6799" s="106"/>
      <c r="RB6799" s="106"/>
      <c r="RC6799" s="106"/>
      <c r="RD6799" s="106"/>
      <c r="RE6799" s="106"/>
      <c r="RF6799" s="106"/>
      <c r="RG6799" s="106"/>
      <c r="RH6799" s="106"/>
      <c r="RI6799" s="106"/>
      <c r="RJ6799" s="106"/>
      <c r="RK6799" s="106"/>
      <c r="RL6799" s="106"/>
    </row>
    <row r="6800" spans="462:480" x14ac:dyDescent="0.3">
      <c r="QT6800" s="106"/>
      <c r="QU6800" s="106"/>
      <c r="QV6800" s="106"/>
      <c r="QW6800" s="106"/>
      <c r="QX6800" s="106"/>
      <c r="QY6800" s="106"/>
      <c r="QZ6800" s="106"/>
      <c r="RA6800" s="106"/>
      <c r="RB6800" s="106"/>
      <c r="RC6800" s="106"/>
      <c r="RD6800" s="106"/>
      <c r="RE6800" s="106"/>
      <c r="RF6800" s="106"/>
      <c r="RG6800" s="106"/>
      <c r="RH6800" s="106"/>
      <c r="RI6800" s="106"/>
      <c r="RJ6800" s="106"/>
      <c r="RK6800" s="106"/>
      <c r="RL6800" s="106"/>
    </row>
    <row r="6801" spans="462:480" x14ac:dyDescent="0.3">
      <c r="QT6801" s="106"/>
      <c r="QU6801" s="106"/>
      <c r="QV6801" s="106"/>
      <c r="QW6801" s="106"/>
      <c r="QX6801" s="106"/>
      <c r="QY6801" s="106"/>
      <c r="QZ6801" s="106"/>
      <c r="RA6801" s="106"/>
      <c r="RB6801" s="106"/>
      <c r="RC6801" s="106"/>
      <c r="RD6801" s="106"/>
      <c r="RE6801" s="106"/>
      <c r="RF6801" s="106"/>
      <c r="RG6801" s="106"/>
      <c r="RH6801" s="106"/>
      <c r="RI6801" s="106"/>
      <c r="RJ6801" s="106"/>
      <c r="RK6801" s="106"/>
      <c r="RL6801" s="106"/>
    </row>
    <row r="6802" spans="462:480" x14ac:dyDescent="0.3">
      <c r="QT6802" s="106"/>
      <c r="QU6802" s="106"/>
      <c r="QV6802" s="106"/>
      <c r="QW6802" s="106"/>
      <c r="QX6802" s="106"/>
      <c r="QY6802" s="106"/>
      <c r="QZ6802" s="106"/>
      <c r="RA6802" s="106"/>
      <c r="RB6802" s="106"/>
      <c r="RC6802" s="106"/>
      <c r="RD6802" s="106"/>
      <c r="RE6802" s="106"/>
      <c r="RF6802" s="106"/>
      <c r="RG6802" s="106"/>
      <c r="RH6802" s="106"/>
      <c r="RI6802" s="106"/>
      <c r="RJ6802" s="106"/>
      <c r="RK6802" s="106"/>
      <c r="RL6802" s="106"/>
    </row>
    <row r="6803" spans="462:480" x14ac:dyDescent="0.3">
      <c r="QT6803" s="106"/>
      <c r="QU6803" s="106"/>
      <c r="QV6803" s="106"/>
      <c r="QW6803" s="106"/>
      <c r="QX6803" s="106"/>
      <c r="QY6803" s="106"/>
      <c r="QZ6803" s="106"/>
      <c r="RA6803" s="106"/>
      <c r="RB6803" s="106"/>
      <c r="RC6803" s="106"/>
      <c r="RD6803" s="106"/>
      <c r="RE6803" s="106"/>
      <c r="RF6803" s="106"/>
      <c r="RG6803" s="106"/>
      <c r="RH6803" s="106"/>
      <c r="RI6803" s="106"/>
      <c r="RJ6803" s="106"/>
      <c r="RK6803" s="106"/>
      <c r="RL6803" s="106"/>
    </row>
    <row r="6804" spans="462:480" x14ac:dyDescent="0.3">
      <c r="QT6804" s="106"/>
      <c r="QU6804" s="106"/>
      <c r="QV6804" s="106"/>
      <c r="QW6804" s="106"/>
      <c r="QX6804" s="106"/>
      <c r="QY6804" s="106"/>
      <c r="QZ6804" s="106"/>
      <c r="RA6804" s="106"/>
      <c r="RB6804" s="106"/>
      <c r="RC6804" s="106"/>
      <c r="RD6804" s="106"/>
      <c r="RE6804" s="106"/>
      <c r="RF6804" s="106"/>
      <c r="RG6804" s="106"/>
      <c r="RH6804" s="106"/>
      <c r="RI6804" s="106"/>
      <c r="RJ6804" s="106"/>
      <c r="RK6804" s="106"/>
      <c r="RL6804" s="106"/>
    </row>
    <row r="6805" spans="462:480" x14ac:dyDescent="0.3">
      <c r="QT6805" s="106"/>
      <c r="QU6805" s="106"/>
      <c r="QV6805" s="106"/>
      <c r="QW6805" s="106"/>
      <c r="QX6805" s="106"/>
      <c r="QY6805" s="106"/>
      <c r="QZ6805" s="106"/>
      <c r="RA6805" s="106"/>
      <c r="RB6805" s="106"/>
      <c r="RC6805" s="106"/>
      <c r="RD6805" s="106"/>
      <c r="RE6805" s="106"/>
      <c r="RF6805" s="106"/>
      <c r="RG6805" s="106"/>
      <c r="RH6805" s="106"/>
      <c r="RI6805" s="106"/>
      <c r="RJ6805" s="106"/>
      <c r="RK6805" s="106"/>
      <c r="RL6805" s="106"/>
    </row>
    <row r="6806" spans="462:480" x14ac:dyDescent="0.3">
      <c r="QT6806" s="106"/>
      <c r="QU6806" s="106"/>
      <c r="QV6806" s="106"/>
      <c r="QW6806" s="106"/>
      <c r="QX6806" s="106"/>
      <c r="QY6806" s="106"/>
      <c r="QZ6806" s="106"/>
      <c r="RA6806" s="106"/>
      <c r="RB6806" s="106"/>
      <c r="RC6806" s="106"/>
      <c r="RD6806" s="106"/>
      <c r="RE6806" s="106"/>
      <c r="RF6806" s="106"/>
      <c r="RG6806" s="106"/>
      <c r="RH6806" s="106"/>
      <c r="RI6806" s="106"/>
      <c r="RJ6806" s="106"/>
      <c r="RK6806" s="106"/>
      <c r="RL6806" s="106"/>
    </row>
    <row r="6807" spans="462:480" x14ac:dyDescent="0.3">
      <c r="QT6807" s="106"/>
      <c r="QU6807" s="106"/>
      <c r="QV6807" s="106"/>
      <c r="QW6807" s="106"/>
      <c r="QX6807" s="106"/>
      <c r="QY6807" s="106"/>
      <c r="QZ6807" s="106"/>
      <c r="RA6807" s="106"/>
      <c r="RB6807" s="106"/>
      <c r="RC6807" s="106"/>
      <c r="RD6807" s="106"/>
      <c r="RE6807" s="106"/>
      <c r="RF6807" s="106"/>
      <c r="RG6807" s="106"/>
      <c r="RH6807" s="106"/>
      <c r="RI6807" s="106"/>
      <c r="RJ6807" s="106"/>
      <c r="RK6807" s="106"/>
      <c r="RL6807" s="106"/>
    </row>
    <row r="6808" spans="462:480" x14ac:dyDescent="0.3">
      <c r="QT6808" s="106"/>
      <c r="QU6808" s="106"/>
      <c r="QV6808" s="106"/>
      <c r="QW6808" s="106"/>
      <c r="QX6808" s="106"/>
      <c r="QY6808" s="106"/>
      <c r="QZ6808" s="106"/>
      <c r="RA6808" s="106"/>
      <c r="RB6808" s="106"/>
      <c r="RC6808" s="106"/>
      <c r="RD6808" s="106"/>
      <c r="RE6808" s="106"/>
      <c r="RF6808" s="106"/>
      <c r="RG6808" s="106"/>
      <c r="RH6808" s="106"/>
      <c r="RI6808" s="106"/>
      <c r="RJ6808" s="106"/>
      <c r="RK6808" s="106"/>
      <c r="RL6808" s="106"/>
    </row>
    <row r="6809" spans="462:480" x14ac:dyDescent="0.3">
      <c r="QT6809" s="106"/>
      <c r="QU6809" s="106"/>
      <c r="QV6809" s="106"/>
      <c r="QW6809" s="106"/>
      <c r="QX6809" s="106"/>
      <c r="QY6809" s="106"/>
      <c r="QZ6809" s="106"/>
      <c r="RA6809" s="106"/>
      <c r="RB6809" s="106"/>
      <c r="RC6809" s="106"/>
      <c r="RD6809" s="106"/>
      <c r="RE6809" s="106"/>
      <c r="RF6809" s="106"/>
      <c r="RG6809" s="106"/>
      <c r="RH6809" s="106"/>
      <c r="RI6809" s="106"/>
      <c r="RJ6809" s="106"/>
      <c r="RK6809" s="106"/>
      <c r="RL6809" s="106"/>
    </row>
    <row r="6810" spans="462:480" x14ac:dyDescent="0.3">
      <c r="QT6810" s="106"/>
      <c r="QU6810" s="106"/>
      <c r="QV6810" s="106"/>
      <c r="QW6810" s="106"/>
      <c r="QX6810" s="106"/>
      <c r="QY6810" s="106"/>
      <c r="QZ6810" s="106"/>
      <c r="RA6810" s="106"/>
      <c r="RB6810" s="106"/>
      <c r="RC6810" s="106"/>
      <c r="RD6810" s="106"/>
      <c r="RE6810" s="106"/>
      <c r="RF6810" s="106"/>
      <c r="RG6810" s="106"/>
      <c r="RH6810" s="106"/>
      <c r="RI6810" s="106"/>
      <c r="RJ6810" s="106"/>
      <c r="RK6810" s="106"/>
      <c r="RL6810" s="106"/>
    </row>
    <row r="6811" spans="462:480" x14ac:dyDescent="0.3">
      <c r="QT6811" s="106"/>
      <c r="QU6811" s="106"/>
      <c r="QV6811" s="106"/>
      <c r="QW6811" s="106"/>
      <c r="QX6811" s="106"/>
      <c r="QY6811" s="106"/>
      <c r="QZ6811" s="106"/>
      <c r="RA6811" s="106"/>
      <c r="RB6811" s="106"/>
      <c r="RC6811" s="106"/>
      <c r="RD6811" s="106"/>
      <c r="RE6811" s="106"/>
      <c r="RF6811" s="106"/>
      <c r="RG6811" s="106"/>
      <c r="RH6811" s="106"/>
      <c r="RI6811" s="106"/>
      <c r="RJ6811" s="106"/>
      <c r="RK6811" s="106"/>
      <c r="RL6811" s="106"/>
    </row>
    <row r="6812" spans="462:480" x14ac:dyDescent="0.3">
      <c r="QT6812" s="106"/>
      <c r="QU6812" s="106"/>
      <c r="QV6812" s="106"/>
      <c r="QW6812" s="106"/>
      <c r="QX6812" s="106"/>
      <c r="QY6812" s="106"/>
      <c r="QZ6812" s="106"/>
      <c r="RA6812" s="106"/>
      <c r="RB6812" s="106"/>
      <c r="RC6812" s="106"/>
      <c r="RD6812" s="106"/>
      <c r="RE6812" s="106"/>
      <c r="RF6812" s="106"/>
      <c r="RG6812" s="106"/>
      <c r="RH6812" s="106"/>
      <c r="RI6812" s="106"/>
      <c r="RJ6812" s="106"/>
      <c r="RK6812" s="106"/>
      <c r="RL6812" s="106"/>
    </row>
    <row r="6813" spans="462:480" x14ac:dyDescent="0.3">
      <c r="QT6813" s="106"/>
      <c r="QU6813" s="106"/>
      <c r="QV6813" s="106"/>
      <c r="QW6813" s="106"/>
      <c r="QX6813" s="106"/>
      <c r="QY6813" s="106"/>
      <c r="QZ6813" s="106"/>
      <c r="RA6813" s="106"/>
      <c r="RB6813" s="106"/>
      <c r="RC6813" s="106"/>
      <c r="RD6813" s="106"/>
      <c r="RE6813" s="106"/>
      <c r="RF6813" s="106"/>
      <c r="RG6813" s="106"/>
      <c r="RH6813" s="106"/>
      <c r="RI6813" s="106"/>
      <c r="RJ6813" s="106"/>
      <c r="RK6813" s="106"/>
      <c r="RL6813" s="106"/>
    </row>
    <row r="6814" spans="462:480" x14ac:dyDescent="0.3">
      <c r="QT6814" s="106"/>
      <c r="QU6814" s="106"/>
      <c r="QV6814" s="106"/>
      <c r="QW6814" s="106"/>
      <c r="QX6814" s="106"/>
      <c r="QY6814" s="106"/>
      <c r="QZ6814" s="106"/>
      <c r="RA6814" s="106"/>
      <c r="RB6814" s="106"/>
      <c r="RC6814" s="106"/>
      <c r="RD6814" s="106"/>
      <c r="RE6814" s="106"/>
      <c r="RF6814" s="106"/>
      <c r="RG6814" s="106"/>
      <c r="RH6814" s="106"/>
      <c r="RI6814" s="106"/>
      <c r="RJ6814" s="106"/>
      <c r="RK6814" s="106"/>
      <c r="RL6814" s="106"/>
    </row>
    <row r="6815" spans="462:480" x14ac:dyDescent="0.3">
      <c r="QT6815" s="106"/>
      <c r="QU6815" s="106"/>
      <c r="QV6815" s="106"/>
      <c r="QW6815" s="106"/>
      <c r="QX6815" s="106"/>
      <c r="QY6815" s="106"/>
      <c r="QZ6815" s="106"/>
      <c r="RA6815" s="106"/>
      <c r="RB6815" s="106"/>
      <c r="RC6815" s="106"/>
      <c r="RD6815" s="106"/>
      <c r="RE6815" s="106"/>
      <c r="RF6815" s="106"/>
      <c r="RG6815" s="106"/>
      <c r="RH6815" s="106"/>
      <c r="RI6815" s="106"/>
      <c r="RJ6815" s="106"/>
      <c r="RK6815" s="106"/>
      <c r="RL6815" s="106"/>
    </row>
    <row r="6816" spans="462:480" x14ac:dyDescent="0.3">
      <c r="QT6816" s="106"/>
      <c r="QU6816" s="106"/>
      <c r="QV6816" s="106"/>
      <c r="QW6816" s="106"/>
      <c r="QX6816" s="106"/>
      <c r="QY6816" s="106"/>
      <c r="QZ6816" s="106"/>
      <c r="RA6816" s="106"/>
      <c r="RB6816" s="106"/>
      <c r="RC6816" s="106"/>
      <c r="RD6816" s="106"/>
      <c r="RE6816" s="106"/>
      <c r="RF6816" s="106"/>
      <c r="RG6816" s="106"/>
      <c r="RH6816" s="106"/>
      <c r="RI6816" s="106"/>
      <c r="RJ6816" s="106"/>
      <c r="RK6816" s="106"/>
      <c r="RL6816" s="106"/>
    </row>
    <row r="6817" spans="462:480" x14ac:dyDescent="0.3">
      <c r="QT6817" s="106"/>
      <c r="QU6817" s="106"/>
      <c r="QV6817" s="106"/>
      <c r="QW6817" s="106"/>
      <c r="QX6817" s="106"/>
      <c r="QY6817" s="106"/>
      <c r="QZ6817" s="106"/>
      <c r="RA6817" s="106"/>
      <c r="RB6817" s="106"/>
      <c r="RC6817" s="106"/>
      <c r="RD6817" s="106"/>
      <c r="RE6817" s="106"/>
      <c r="RF6817" s="106"/>
      <c r="RG6817" s="106"/>
      <c r="RH6817" s="106"/>
      <c r="RI6817" s="106"/>
      <c r="RJ6817" s="106"/>
      <c r="RK6817" s="106"/>
      <c r="RL6817" s="106"/>
    </row>
    <row r="6818" spans="462:480" x14ac:dyDescent="0.3">
      <c r="QT6818" s="106"/>
      <c r="QU6818" s="106"/>
      <c r="QV6818" s="106"/>
      <c r="QW6818" s="106"/>
      <c r="QX6818" s="106"/>
      <c r="QY6818" s="106"/>
      <c r="QZ6818" s="106"/>
      <c r="RA6818" s="106"/>
      <c r="RB6818" s="106"/>
      <c r="RC6818" s="106"/>
      <c r="RD6818" s="106"/>
      <c r="RE6818" s="106"/>
      <c r="RF6818" s="106"/>
      <c r="RG6818" s="106"/>
      <c r="RH6818" s="106"/>
      <c r="RI6818" s="106"/>
      <c r="RJ6818" s="106"/>
      <c r="RK6818" s="106"/>
      <c r="RL6818" s="106"/>
    </row>
    <row r="6819" spans="462:480" x14ac:dyDescent="0.3">
      <c r="QT6819" s="106"/>
      <c r="QU6819" s="106"/>
      <c r="QV6819" s="106"/>
      <c r="QW6819" s="106"/>
      <c r="QX6819" s="106"/>
      <c r="QY6819" s="106"/>
      <c r="QZ6819" s="106"/>
      <c r="RA6819" s="106"/>
      <c r="RB6819" s="106"/>
      <c r="RC6819" s="106"/>
      <c r="RD6819" s="106"/>
      <c r="RE6819" s="106"/>
      <c r="RF6819" s="106"/>
      <c r="RG6819" s="106"/>
      <c r="RH6819" s="106"/>
      <c r="RI6819" s="106"/>
      <c r="RJ6819" s="106"/>
      <c r="RK6819" s="106"/>
      <c r="RL6819" s="106"/>
    </row>
    <row r="6820" spans="462:480" x14ac:dyDescent="0.3">
      <c r="QT6820" s="106"/>
      <c r="QU6820" s="106"/>
      <c r="QV6820" s="106"/>
      <c r="QW6820" s="106"/>
      <c r="QX6820" s="106"/>
      <c r="QY6820" s="106"/>
      <c r="QZ6820" s="106"/>
      <c r="RA6820" s="106"/>
      <c r="RB6820" s="106"/>
      <c r="RC6820" s="106"/>
      <c r="RD6820" s="106"/>
      <c r="RE6820" s="106"/>
      <c r="RF6820" s="106"/>
      <c r="RG6820" s="106"/>
      <c r="RH6820" s="106"/>
      <c r="RI6820" s="106"/>
      <c r="RJ6820" s="106"/>
      <c r="RK6820" s="106"/>
      <c r="RL6820" s="106"/>
    </row>
    <row r="6821" spans="462:480" x14ac:dyDescent="0.3">
      <c r="QT6821" s="106"/>
      <c r="QU6821" s="106"/>
      <c r="QV6821" s="106"/>
      <c r="QW6821" s="106"/>
      <c r="QX6821" s="106"/>
      <c r="QY6821" s="106"/>
      <c r="QZ6821" s="106"/>
      <c r="RA6821" s="106"/>
      <c r="RB6821" s="106"/>
      <c r="RC6821" s="106"/>
      <c r="RD6821" s="106"/>
      <c r="RE6821" s="106"/>
      <c r="RF6821" s="106"/>
      <c r="RG6821" s="106"/>
      <c r="RH6821" s="106"/>
      <c r="RI6821" s="106"/>
      <c r="RJ6821" s="106"/>
      <c r="RK6821" s="106"/>
      <c r="RL6821" s="106"/>
    </row>
    <row r="6822" spans="462:480" x14ac:dyDescent="0.3">
      <c r="QT6822" s="106"/>
      <c r="QU6822" s="106"/>
      <c r="QV6822" s="106"/>
      <c r="QW6822" s="106"/>
      <c r="QX6822" s="106"/>
      <c r="QY6822" s="106"/>
      <c r="QZ6822" s="106"/>
      <c r="RA6822" s="106"/>
      <c r="RB6822" s="106"/>
      <c r="RC6822" s="106"/>
      <c r="RD6822" s="106"/>
      <c r="RE6822" s="106"/>
      <c r="RF6822" s="106"/>
      <c r="RG6822" s="106"/>
      <c r="RH6822" s="106"/>
      <c r="RI6822" s="106"/>
      <c r="RJ6822" s="106"/>
      <c r="RK6822" s="106"/>
      <c r="RL6822" s="106"/>
    </row>
    <row r="6823" spans="462:480" x14ac:dyDescent="0.3">
      <c r="QT6823" s="106"/>
      <c r="QU6823" s="106"/>
      <c r="QV6823" s="106"/>
      <c r="QW6823" s="106"/>
      <c r="QX6823" s="106"/>
      <c r="QY6823" s="106"/>
      <c r="QZ6823" s="106"/>
      <c r="RA6823" s="106"/>
      <c r="RB6823" s="106"/>
      <c r="RC6823" s="106"/>
      <c r="RD6823" s="106"/>
      <c r="RE6823" s="106"/>
      <c r="RF6823" s="106"/>
      <c r="RG6823" s="106"/>
      <c r="RH6823" s="106"/>
      <c r="RI6823" s="106"/>
      <c r="RJ6823" s="106"/>
      <c r="RK6823" s="106"/>
      <c r="RL6823" s="106"/>
    </row>
    <row r="6824" spans="462:480" x14ac:dyDescent="0.3">
      <c r="QT6824" s="106"/>
      <c r="QU6824" s="106"/>
      <c r="QV6824" s="106"/>
      <c r="QW6824" s="106"/>
      <c r="QX6824" s="106"/>
      <c r="QY6824" s="106"/>
      <c r="QZ6824" s="106"/>
      <c r="RA6824" s="106"/>
      <c r="RB6824" s="106"/>
      <c r="RC6824" s="106"/>
      <c r="RD6824" s="106"/>
      <c r="RE6824" s="106"/>
      <c r="RF6824" s="106"/>
      <c r="RG6824" s="106"/>
      <c r="RH6824" s="106"/>
      <c r="RI6824" s="106"/>
      <c r="RJ6824" s="106"/>
      <c r="RK6824" s="106"/>
      <c r="RL6824" s="106"/>
    </row>
    <row r="6825" spans="462:480" x14ac:dyDescent="0.3">
      <c r="QT6825" s="106"/>
      <c r="QU6825" s="106"/>
      <c r="QV6825" s="106"/>
      <c r="QW6825" s="106"/>
      <c r="QX6825" s="106"/>
      <c r="QY6825" s="106"/>
      <c r="QZ6825" s="106"/>
      <c r="RA6825" s="106"/>
      <c r="RB6825" s="106"/>
      <c r="RC6825" s="106"/>
      <c r="RD6825" s="106"/>
      <c r="RE6825" s="106"/>
      <c r="RF6825" s="106"/>
      <c r="RG6825" s="106"/>
      <c r="RH6825" s="106"/>
      <c r="RI6825" s="106"/>
      <c r="RJ6825" s="106"/>
      <c r="RK6825" s="106"/>
      <c r="RL6825" s="106"/>
    </row>
    <row r="6826" spans="462:480" x14ac:dyDescent="0.3">
      <c r="QT6826" s="106"/>
      <c r="QU6826" s="106"/>
      <c r="QV6826" s="106"/>
      <c r="QW6826" s="106"/>
      <c r="QX6826" s="106"/>
      <c r="QY6826" s="106"/>
      <c r="QZ6826" s="106"/>
      <c r="RA6826" s="106"/>
      <c r="RB6826" s="106"/>
      <c r="RC6826" s="106"/>
      <c r="RD6826" s="106"/>
      <c r="RE6826" s="106"/>
      <c r="RF6826" s="106"/>
      <c r="RG6826" s="106"/>
      <c r="RH6826" s="106"/>
      <c r="RI6826" s="106"/>
      <c r="RJ6826" s="106"/>
      <c r="RK6826" s="106"/>
      <c r="RL6826" s="106"/>
    </row>
    <row r="6827" spans="462:480" x14ac:dyDescent="0.3">
      <c r="QT6827" s="106"/>
      <c r="QU6827" s="106"/>
      <c r="QV6827" s="106"/>
      <c r="QW6827" s="106"/>
      <c r="QX6827" s="106"/>
      <c r="QY6827" s="106"/>
      <c r="QZ6827" s="106"/>
      <c r="RA6827" s="106"/>
      <c r="RB6827" s="106"/>
      <c r="RC6827" s="106"/>
      <c r="RD6827" s="106"/>
      <c r="RE6827" s="106"/>
      <c r="RF6827" s="106"/>
      <c r="RG6827" s="106"/>
      <c r="RH6827" s="106"/>
      <c r="RI6827" s="106"/>
      <c r="RJ6827" s="106"/>
      <c r="RK6827" s="106"/>
      <c r="RL6827" s="106"/>
    </row>
    <row r="6828" spans="462:480" x14ac:dyDescent="0.3">
      <c r="QT6828" s="106"/>
      <c r="QU6828" s="106"/>
      <c r="QV6828" s="106"/>
      <c r="QW6828" s="106"/>
      <c r="QX6828" s="106"/>
      <c r="QY6828" s="106"/>
      <c r="QZ6828" s="106"/>
      <c r="RA6828" s="106"/>
      <c r="RB6828" s="106"/>
      <c r="RC6828" s="106"/>
      <c r="RD6828" s="106"/>
      <c r="RE6828" s="106"/>
      <c r="RF6828" s="106"/>
      <c r="RG6828" s="106"/>
      <c r="RH6828" s="106"/>
      <c r="RI6828" s="106"/>
      <c r="RJ6828" s="106"/>
      <c r="RK6828" s="106"/>
      <c r="RL6828" s="106"/>
    </row>
    <row r="6829" spans="462:480" x14ac:dyDescent="0.3">
      <c r="QT6829" s="106"/>
      <c r="QU6829" s="106"/>
      <c r="QV6829" s="106"/>
      <c r="QW6829" s="106"/>
      <c r="QX6829" s="106"/>
      <c r="QY6829" s="106"/>
      <c r="QZ6829" s="106"/>
      <c r="RA6829" s="106"/>
      <c r="RB6829" s="106"/>
      <c r="RC6829" s="106"/>
      <c r="RD6829" s="106"/>
      <c r="RE6829" s="106"/>
      <c r="RF6829" s="106"/>
      <c r="RG6829" s="106"/>
      <c r="RH6829" s="106"/>
      <c r="RI6829" s="106"/>
      <c r="RJ6829" s="106"/>
      <c r="RK6829" s="106"/>
      <c r="RL6829" s="106"/>
    </row>
    <row r="6830" spans="462:480" x14ac:dyDescent="0.3">
      <c r="QT6830" s="106"/>
      <c r="QU6830" s="106"/>
      <c r="QV6830" s="106"/>
      <c r="QW6830" s="106"/>
      <c r="QX6830" s="106"/>
      <c r="QY6830" s="106"/>
      <c r="QZ6830" s="106"/>
      <c r="RA6830" s="106"/>
      <c r="RB6830" s="106"/>
      <c r="RC6830" s="106"/>
      <c r="RD6830" s="106"/>
      <c r="RE6830" s="106"/>
      <c r="RF6830" s="106"/>
      <c r="RG6830" s="106"/>
      <c r="RH6830" s="106"/>
      <c r="RI6830" s="106"/>
      <c r="RJ6830" s="106"/>
      <c r="RK6830" s="106"/>
      <c r="RL6830" s="106"/>
    </row>
    <row r="6831" spans="462:480" x14ac:dyDescent="0.3">
      <c r="QT6831" s="106"/>
      <c r="QU6831" s="106"/>
      <c r="QV6831" s="106"/>
      <c r="QW6831" s="106"/>
      <c r="QX6831" s="106"/>
      <c r="QY6831" s="106"/>
      <c r="QZ6831" s="106"/>
      <c r="RA6831" s="106"/>
      <c r="RB6831" s="106"/>
      <c r="RC6831" s="106"/>
      <c r="RD6831" s="106"/>
      <c r="RE6831" s="106"/>
      <c r="RF6831" s="106"/>
      <c r="RG6831" s="106"/>
      <c r="RH6831" s="106"/>
      <c r="RI6831" s="106"/>
      <c r="RJ6831" s="106"/>
      <c r="RK6831" s="106"/>
      <c r="RL6831" s="106"/>
    </row>
    <row r="6832" spans="462:480" x14ac:dyDescent="0.3">
      <c r="QT6832" s="106"/>
      <c r="QU6832" s="106"/>
      <c r="QV6832" s="106"/>
      <c r="QW6832" s="106"/>
      <c r="QX6832" s="106"/>
      <c r="QY6832" s="106"/>
      <c r="QZ6832" s="106"/>
      <c r="RA6832" s="106"/>
      <c r="RB6832" s="106"/>
      <c r="RC6832" s="106"/>
      <c r="RD6832" s="106"/>
      <c r="RE6832" s="106"/>
      <c r="RF6832" s="106"/>
      <c r="RG6832" s="106"/>
      <c r="RH6832" s="106"/>
      <c r="RI6832" s="106"/>
      <c r="RJ6832" s="106"/>
      <c r="RK6832" s="106"/>
      <c r="RL6832" s="106"/>
    </row>
    <row r="6833" spans="462:480" x14ac:dyDescent="0.3">
      <c r="QT6833" s="106"/>
      <c r="QU6833" s="106"/>
      <c r="QV6833" s="106"/>
      <c r="QW6833" s="106"/>
      <c r="QX6833" s="106"/>
      <c r="QY6833" s="106"/>
      <c r="QZ6833" s="106"/>
      <c r="RA6833" s="106"/>
      <c r="RB6833" s="106"/>
      <c r="RC6833" s="106"/>
      <c r="RD6833" s="106"/>
      <c r="RE6833" s="106"/>
      <c r="RF6833" s="106"/>
      <c r="RG6833" s="106"/>
      <c r="RH6833" s="106"/>
      <c r="RI6833" s="106"/>
      <c r="RJ6833" s="106"/>
      <c r="RK6833" s="106"/>
      <c r="RL6833" s="106"/>
    </row>
    <row r="6834" spans="462:480" x14ac:dyDescent="0.3">
      <c r="QT6834" s="106"/>
      <c r="QU6834" s="106"/>
      <c r="QV6834" s="106"/>
      <c r="QW6834" s="106"/>
      <c r="QX6834" s="106"/>
      <c r="QY6834" s="106"/>
      <c r="QZ6834" s="106"/>
      <c r="RA6834" s="106"/>
      <c r="RB6834" s="106"/>
      <c r="RC6834" s="106"/>
      <c r="RD6834" s="106"/>
      <c r="RE6834" s="106"/>
      <c r="RF6834" s="106"/>
      <c r="RG6834" s="106"/>
      <c r="RH6834" s="106"/>
      <c r="RI6834" s="106"/>
      <c r="RJ6834" s="106"/>
      <c r="RK6834" s="106"/>
      <c r="RL6834" s="106"/>
    </row>
    <row r="6835" spans="462:480" x14ac:dyDescent="0.3">
      <c r="QT6835" s="106"/>
      <c r="QU6835" s="106"/>
      <c r="QV6835" s="106"/>
      <c r="QW6835" s="106"/>
      <c r="QX6835" s="106"/>
      <c r="QY6835" s="106"/>
      <c r="QZ6835" s="106"/>
      <c r="RA6835" s="106"/>
      <c r="RB6835" s="106"/>
      <c r="RC6835" s="106"/>
      <c r="RD6835" s="106"/>
      <c r="RE6835" s="106"/>
      <c r="RF6835" s="106"/>
      <c r="RG6835" s="106"/>
      <c r="RH6835" s="106"/>
      <c r="RI6835" s="106"/>
      <c r="RJ6835" s="106"/>
      <c r="RK6835" s="106"/>
      <c r="RL6835" s="106"/>
    </row>
    <row r="6836" spans="462:480" x14ac:dyDescent="0.3">
      <c r="QT6836" s="106"/>
      <c r="QU6836" s="106"/>
      <c r="QV6836" s="106"/>
      <c r="QW6836" s="106"/>
      <c r="QX6836" s="106"/>
      <c r="QY6836" s="106"/>
      <c r="QZ6836" s="106"/>
      <c r="RA6836" s="106"/>
      <c r="RB6836" s="106"/>
      <c r="RC6836" s="106"/>
      <c r="RD6836" s="106"/>
      <c r="RE6836" s="106"/>
      <c r="RF6836" s="106"/>
      <c r="RG6836" s="106"/>
      <c r="RH6836" s="106"/>
      <c r="RI6836" s="106"/>
      <c r="RJ6836" s="106"/>
      <c r="RK6836" s="106"/>
      <c r="RL6836" s="106"/>
    </row>
    <row r="6837" spans="462:480" x14ac:dyDescent="0.3">
      <c r="QT6837" s="106"/>
      <c r="QU6837" s="106"/>
      <c r="QV6837" s="106"/>
      <c r="QW6837" s="106"/>
      <c r="QX6837" s="106"/>
      <c r="QY6837" s="106"/>
      <c r="QZ6837" s="106"/>
      <c r="RA6837" s="106"/>
      <c r="RB6837" s="106"/>
      <c r="RC6837" s="106"/>
      <c r="RD6837" s="106"/>
      <c r="RE6837" s="106"/>
      <c r="RF6837" s="106"/>
      <c r="RG6837" s="106"/>
      <c r="RH6837" s="106"/>
      <c r="RI6837" s="106"/>
      <c r="RJ6837" s="106"/>
      <c r="RK6837" s="106"/>
      <c r="RL6837" s="106"/>
    </row>
    <row r="6838" spans="462:480" x14ac:dyDescent="0.3">
      <c r="QT6838" s="106"/>
      <c r="QU6838" s="106"/>
      <c r="QV6838" s="106"/>
      <c r="QW6838" s="106"/>
      <c r="QX6838" s="106"/>
      <c r="QY6838" s="106"/>
      <c r="QZ6838" s="106"/>
      <c r="RA6838" s="106"/>
      <c r="RB6838" s="106"/>
      <c r="RC6838" s="106"/>
      <c r="RD6838" s="106"/>
      <c r="RE6838" s="106"/>
      <c r="RF6838" s="106"/>
      <c r="RG6838" s="106"/>
      <c r="RH6838" s="106"/>
      <c r="RI6838" s="106"/>
      <c r="RJ6838" s="106"/>
      <c r="RK6838" s="106"/>
      <c r="RL6838" s="106"/>
    </row>
    <row r="6839" spans="462:480" x14ac:dyDescent="0.3">
      <c r="QT6839" s="106"/>
      <c r="QU6839" s="106"/>
      <c r="QV6839" s="106"/>
      <c r="QW6839" s="106"/>
      <c r="QX6839" s="106"/>
      <c r="QY6839" s="106"/>
      <c r="QZ6839" s="106"/>
      <c r="RA6839" s="106"/>
      <c r="RB6839" s="106"/>
      <c r="RC6839" s="106"/>
      <c r="RD6839" s="106"/>
      <c r="RE6839" s="106"/>
      <c r="RF6839" s="106"/>
      <c r="RG6839" s="106"/>
      <c r="RH6839" s="106"/>
      <c r="RI6839" s="106"/>
      <c r="RJ6839" s="106"/>
      <c r="RK6839" s="106"/>
      <c r="RL6839" s="106"/>
    </row>
    <row r="6840" spans="462:480" x14ac:dyDescent="0.3">
      <c r="QT6840" s="106"/>
      <c r="QU6840" s="106"/>
      <c r="QV6840" s="106"/>
      <c r="QW6840" s="106"/>
      <c r="QX6840" s="106"/>
      <c r="QY6840" s="106"/>
      <c r="QZ6840" s="106"/>
      <c r="RA6840" s="106"/>
      <c r="RB6840" s="106"/>
      <c r="RC6840" s="106"/>
      <c r="RD6840" s="106"/>
      <c r="RE6840" s="106"/>
      <c r="RF6840" s="106"/>
      <c r="RG6840" s="106"/>
      <c r="RH6840" s="106"/>
      <c r="RI6840" s="106"/>
      <c r="RJ6840" s="106"/>
      <c r="RK6840" s="106"/>
      <c r="RL6840" s="106"/>
    </row>
    <row r="6841" spans="462:480" x14ac:dyDescent="0.3">
      <c r="QT6841" s="106"/>
      <c r="QU6841" s="106"/>
      <c r="QV6841" s="106"/>
      <c r="QW6841" s="106"/>
      <c r="QX6841" s="106"/>
      <c r="QY6841" s="106"/>
      <c r="QZ6841" s="106"/>
      <c r="RA6841" s="106"/>
      <c r="RB6841" s="106"/>
      <c r="RC6841" s="106"/>
      <c r="RD6841" s="106"/>
      <c r="RE6841" s="106"/>
      <c r="RF6841" s="106"/>
      <c r="RG6841" s="106"/>
      <c r="RH6841" s="106"/>
      <c r="RI6841" s="106"/>
      <c r="RJ6841" s="106"/>
      <c r="RK6841" s="106"/>
      <c r="RL6841" s="106"/>
    </row>
    <row r="6842" spans="462:480" x14ac:dyDescent="0.3">
      <c r="QT6842" s="106"/>
      <c r="QU6842" s="106"/>
      <c r="QV6842" s="106"/>
      <c r="QW6842" s="106"/>
      <c r="QX6842" s="106"/>
      <c r="QY6842" s="106"/>
      <c r="QZ6842" s="106"/>
      <c r="RA6842" s="106"/>
      <c r="RB6842" s="106"/>
      <c r="RC6842" s="106"/>
      <c r="RD6842" s="106"/>
      <c r="RE6842" s="106"/>
      <c r="RF6842" s="106"/>
      <c r="RG6842" s="106"/>
      <c r="RH6842" s="106"/>
      <c r="RI6842" s="106"/>
      <c r="RJ6842" s="106"/>
      <c r="RK6842" s="106"/>
      <c r="RL6842" s="106"/>
    </row>
    <row r="6843" spans="462:480" x14ac:dyDescent="0.3">
      <c r="QT6843" s="106"/>
      <c r="QU6843" s="106"/>
      <c r="QV6843" s="106"/>
      <c r="QW6843" s="106"/>
      <c r="QX6843" s="106"/>
      <c r="QY6843" s="106"/>
      <c r="QZ6843" s="106"/>
      <c r="RA6843" s="106"/>
      <c r="RB6843" s="106"/>
      <c r="RC6843" s="106"/>
      <c r="RD6843" s="106"/>
      <c r="RE6843" s="106"/>
      <c r="RF6843" s="106"/>
      <c r="RG6843" s="106"/>
      <c r="RH6843" s="106"/>
      <c r="RI6843" s="106"/>
      <c r="RJ6843" s="106"/>
      <c r="RK6843" s="106"/>
      <c r="RL6843" s="106"/>
    </row>
    <row r="6844" spans="462:480" x14ac:dyDescent="0.3">
      <c r="QT6844" s="106"/>
      <c r="QU6844" s="106"/>
      <c r="QV6844" s="106"/>
      <c r="QW6844" s="106"/>
      <c r="QX6844" s="106"/>
      <c r="QY6844" s="106"/>
      <c r="QZ6844" s="106"/>
      <c r="RA6844" s="106"/>
      <c r="RB6844" s="106"/>
      <c r="RC6844" s="106"/>
      <c r="RD6844" s="106"/>
      <c r="RE6844" s="106"/>
      <c r="RF6844" s="106"/>
      <c r="RG6844" s="106"/>
      <c r="RH6844" s="106"/>
      <c r="RI6844" s="106"/>
      <c r="RJ6844" s="106"/>
      <c r="RK6844" s="106"/>
      <c r="RL6844" s="106"/>
    </row>
    <row r="6845" spans="462:480" x14ac:dyDescent="0.3">
      <c r="QT6845" s="106"/>
      <c r="QU6845" s="106"/>
      <c r="QV6845" s="106"/>
      <c r="QW6845" s="106"/>
      <c r="QX6845" s="106"/>
      <c r="QY6845" s="106"/>
      <c r="QZ6845" s="106"/>
      <c r="RA6845" s="106"/>
      <c r="RB6845" s="106"/>
      <c r="RC6845" s="106"/>
      <c r="RD6845" s="106"/>
      <c r="RE6845" s="106"/>
      <c r="RF6845" s="106"/>
      <c r="RG6845" s="106"/>
      <c r="RH6845" s="106"/>
      <c r="RI6845" s="106"/>
      <c r="RJ6845" s="106"/>
      <c r="RK6845" s="106"/>
      <c r="RL6845" s="106"/>
    </row>
    <row r="6846" spans="462:480" x14ac:dyDescent="0.3">
      <c r="QT6846" s="106"/>
      <c r="QU6846" s="106"/>
      <c r="QV6846" s="106"/>
      <c r="QW6846" s="106"/>
      <c r="QX6846" s="106"/>
      <c r="QY6846" s="106"/>
      <c r="QZ6846" s="106"/>
      <c r="RA6846" s="106"/>
      <c r="RB6846" s="106"/>
      <c r="RC6846" s="106"/>
      <c r="RD6846" s="106"/>
      <c r="RE6846" s="106"/>
      <c r="RF6846" s="106"/>
      <c r="RG6846" s="106"/>
      <c r="RH6846" s="106"/>
      <c r="RI6846" s="106"/>
      <c r="RJ6846" s="106"/>
      <c r="RK6846" s="106"/>
      <c r="RL6846" s="106"/>
    </row>
    <row r="6847" spans="462:480" x14ac:dyDescent="0.3">
      <c r="QT6847" s="106"/>
      <c r="QU6847" s="106"/>
      <c r="QV6847" s="106"/>
      <c r="QW6847" s="106"/>
      <c r="QX6847" s="106"/>
      <c r="QY6847" s="106"/>
      <c r="QZ6847" s="106"/>
      <c r="RA6847" s="106"/>
      <c r="RB6847" s="106"/>
      <c r="RC6847" s="106"/>
      <c r="RD6847" s="106"/>
      <c r="RE6847" s="106"/>
      <c r="RF6847" s="106"/>
      <c r="RG6847" s="106"/>
      <c r="RH6847" s="106"/>
      <c r="RI6847" s="106"/>
      <c r="RJ6847" s="106"/>
      <c r="RK6847" s="106"/>
      <c r="RL6847" s="106"/>
    </row>
    <row r="6848" spans="462:480" x14ac:dyDescent="0.3">
      <c r="QT6848" s="106"/>
      <c r="QU6848" s="106"/>
      <c r="QV6848" s="106"/>
      <c r="QW6848" s="106"/>
      <c r="QX6848" s="106"/>
      <c r="QY6848" s="106"/>
      <c r="QZ6848" s="106"/>
      <c r="RA6848" s="106"/>
      <c r="RB6848" s="106"/>
      <c r="RC6848" s="106"/>
      <c r="RD6848" s="106"/>
      <c r="RE6848" s="106"/>
      <c r="RF6848" s="106"/>
      <c r="RG6848" s="106"/>
      <c r="RH6848" s="106"/>
      <c r="RI6848" s="106"/>
      <c r="RJ6848" s="106"/>
      <c r="RK6848" s="106"/>
      <c r="RL6848" s="106"/>
    </row>
    <row r="6849" spans="462:480" x14ac:dyDescent="0.3">
      <c r="QT6849" s="106"/>
      <c r="QU6849" s="106"/>
      <c r="QV6849" s="106"/>
      <c r="QW6849" s="106"/>
      <c r="QX6849" s="106"/>
      <c r="QY6849" s="106"/>
      <c r="QZ6849" s="106"/>
      <c r="RA6849" s="106"/>
      <c r="RB6849" s="106"/>
      <c r="RC6849" s="106"/>
      <c r="RD6849" s="106"/>
      <c r="RE6849" s="106"/>
      <c r="RF6849" s="106"/>
      <c r="RG6849" s="106"/>
      <c r="RH6849" s="106"/>
      <c r="RI6849" s="106"/>
      <c r="RJ6849" s="106"/>
      <c r="RK6849" s="106"/>
      <c r="RL6849" s="106"/>
    </row>
    <row r="6850" spans="462:480" x14ac:dyDescent="0.3">
      <c r="QT6850" s="106"/>
      <c r="QU6850" s="106"/>
      <c r="QV6850" s="106"/>
      <c r="QW6850" s="106"/>
      <c r="QX6850" s="106"/>
      <c r="QY6850" s="106"/>
      <c r="QZ6850" s="106"/>
      <c r="RA6850" s="106"/>
      <c r="RB6850" s="106"/>
      <c r="RC6850" s="106"/>
      <c r="RD6850" s="106"/>
      <c r="RE6850" s="106"/>
      <c r="RF6850" s="106"/>
      <c r="RG6850" s="106"/>
      <c r="RH6850" s="106"/>
      <c r="RI6850" s="106"/>
      <c r="RJ6850" s="106"/>
      <c r="RK6850" s="106"/>
      <c r="RL6850" s="106"/>
    </row>
    <row r="6851" spans="462:480" x14ac:dyDescent="0.3">
      <c r="QT6851" s="106"/>
      <c r="QU6851" s="106"/>
      <c r="QV6851" s="106"/>
      <c r="QW6851" s="106"/>
      <c r="QX6851" s="106"/>
      <c r="QY6851" s="106"/>
      <c r="QZ6851" s="106"/>
      <c r="RA6851" s="106"/>
      <c r="RB6851" s="106"/>
      <c r="RC6851" s="106"/>
      <c r="RD6851" s="106"/>
      <c r="RE6851" s="106"/>
      <c r="RF6851" s="106"/>
      <c r="RG6851" s="106"/>
      <c r="RH6851" s="106"/>
      <c r="RI6851" s="106"/>
      <c r="RJ6851" s="106"/>
      <c r="RK6851" s="106"/>
      <c r="RL6851" s="106"/>
    </row>
    <row r="6852" spans="462:480" x14ac:dyDescent="0.3">
      <c r="QT6852" s="106"/>
      <c r="QU6852" s="106"/>
      <c r="QV6852" s="106"/>
      <c r="QW6852" s="106"/>
      <c r="QX6852" s="106"/>
      <c r="QY6852" s="106"/>
      <c r="QZ6852" s="106"/>
      <c r="RA6852" s="106"/>
      <c r="RB6852" s="106"/>
      <c r="RC6852" s="106"/>
      <c r="RD6852" s="106"/>
      <c r="RE6852" s="106"/>
      <c r="RF6852" s="106"/>
      <c r="RG6852" s="106"/>
      <c r="RH6852" s="106"/>
      <c r="RI6852" s="106"/>
      <c r="RJ6852" s="106"/>
      <c r="RK6852" s="106"/>
      <c r="RL6852" s="106"/>
    </row>
    <row r="6853" spans="462:480" x14ac:dyDescent="0.3">
      <c r="QT6853" s="106"/>
      <c r="QU6853" s="106"/>
      <c r="QV6853" s="106"/>
      <c r="QW6853" s="106"/>
      <c r="QX6853" s="106"/>
      <c r="QY6853" s="106"/>
      <c r="QZ6853" s="106"/>
      <c r="RA6853" s="106"/>
      <c r="RB6853" s="106"/>
      <c r="RC6853" s="106"/>
      <c r="RD6853" s="106"/>
      <c r="RE6853" s="106"/>
      <c r="RF6853" s="106"/>
      <c r="RG6853" s="106"/>
      <c r="RH6853" s="106"/>
      <c r="RI6853" s="106"/>
      <c r="RJ6853" s="106"/>
      <c r="RK6853" s="106"/>
      <c r="RL6853" s="106"/>
    </row>
    <row r="6854" spans="462:480" x14ac:dyDescent="0.3">
      <c r="QT6854" s="106"/>
      <c r="QU6854" s="106"/>
      <c r="QV6854" s="106"/>
      <c r="QW6854" s="106"/>
      <c r="QX6854" s="106"/>
      <c r="QY6854" s="106"/>
      <c r="QZ6854" s="106"/>
      <c r="RA6854" s="106"/>
      <c r="RB6854" s="106"/>
      <c r="RC6854" s="106"/>
      <c r="RD6854" s="106"/>
      <c r="RE6854" s="106"/>
      <c r="RF6854" s="106"/>
      <c r="RG6854" s="106"/>
      <c r="RH6854" s="106"/>
      <c r="RI6854" s="106"/>
      <c r="RJ6854" s="106"/>
      <c r="RK6854" s="106"/>
      <c r="RL6854" s="106"/>
    </row>
    <row r="6855" spans="462:480" x14ac:dyDescent="0.3">
      <c r="QT6855" s="106"/>
      <c r="QU6855" s="106"/>
      <c r="QV6855" s="106"/>
      <c r="QW6855" s="106"/>
      <c r="QX6855" s="106"/>
      <c r="QY6855" s="106"/>
      <c r="QZ6855" s="106"/>
      <c r="RA6855" s="106"/>
      <c r="RB6855" s="106"/>
      <c r="RC6855" s="106"/>
      <c r="RD6855" s="106"/>
      <c r="RE6855" s="106"/>
      <c r="RF6855" s="106"/>
      <c r="RG6855" s="106"/>
      <c r="RH6855" s="106"/>
      <c r="RI6855" s="106"/>
      <c r="RJ6855" s="106"/>
      <c r="RK6855" s="106"/>
      <c r="RL6855" s="106"/>
    </row>
    <row r="6856" spans="462:480" x14ac:dyDescent="0.3">
      <c r="QT6856" s="106"/>
      <c r="QU6856" s="106"/>
      <c r="QV6856" s="106"/>
      <c r="QW6856" s="106"/>
      <c r="QX6856" s="106"/>
      <c r="QY6856" s="106"/>
      <c r="QZ6856" s="106"/>
      <c r="RA6856" s="106"/>
      <c r="RB6856" s="106"/>
      <c r="RC6856" s="106"/>
      <c r="RD6856" s="106"/>
      <c r="RE6856" s="106"/>
      <c r="RF6856" s="106"/>
      <c r="RG6856" s="106"/>
      <c r="RH6856" s="106"/>
      <c r="RI6856" s="106"/>
      <c r="RJ6856" s="106"/>
      <c r="RK6856" s="106"/>
      <c r="RL6856" s="106"/>
    </row>
    <row r="6857" spans="462:480" x14ac:dyDescent="0.3">
      <c r="QT6857" s="106"/>
      <c r="QU6857" s="106"/>
      <c r="QV6857" s="106"/>
      <c r="QW6857" s="106"/>
      <c r="QX6857" s="106"/>
      <c r="QY6857" s="106"/>
      <c r="QZ6857" s="106"/>
      <c r="RA6857" s="106"/>
      <c r="RB6857" s="106"/>
      <c r="RC6857" s="106"/>
      <c r="RD6857" s="106"/>
      <c r="RE6857" s="106"/>
      <c r="RF6857" s="106"/>
      <c r="RG6857" s="106"/>
      <c r="RH6857" s="106"/>
      <c r="RI6857" s="106"/>
      <c r="RJ6857" s="106"/>
      <c r="RK6857" s="106"/>
      <c r="RL6857" s="106"/>
    </row>
    <row r="6858" spans="462:480" x14ac:dyDescent="0.3">
      <c r="QT6858" s="106"/>
      <c r="QU6858" s="106"/>
      <c r="QV6858" s="106"/>
      <c r="QW6858" s="106"/>
      <c r="QX6858" s="106"/>
      <c r="QY6858" s="106"/>
      <c r="QZ6858" s="106"/>
      <c r="RA6858" s="106"/>
      <c r="RB6858" s="106"/>
      <c r="RC6858" s="106"/>
      <c r="RD6858" s="106"/>
      <c r="RE6858" s="106"/>
      <c r="RF6858" s="106"/>
      <c r="RG6858" s="106"/>
      <c r="RH6858" s="106"/>
      <c r="RI6858" s="106"/>
      <c r="RJ6858" s="106"/>
      <c r="RK6858" s="106"/>
      <c r="RL6858" s="106"/>
    </row>
    <row r="6859" spans="462:480" x14ac:dyDescent="0.3">
      <c r="QT6859" s="106"/>
      <c r="QU6859" s="106"/>
      <c r="QV6859" s="106"/>
      <c r="QW6859" s="106"/>
      <c r="QX6859" s="106"/>
      <c r="QY6859" s="106"/>
      <c r="QZ6859" s="106"/>
      <c r="RA6859" s="106"/>
      <c r="RB6859" s="106"/>
      <c r="RC6859" s="106"/>
      <c r="RD6859" s="106"/>
      <c r="RE6859" s="106"/>
      <c r="RF6859" s="106"/>
      <c r="RG6859" s="106"/>
      <c r="RH6859" s="106"/>
      <c r="RI6859" s="106"/>
      <c r="RJ6859" s="106"/>
      <c r="RK6859" s="106"/>
      <c r="RL6859" s="106"/>
    </row>
    <row r="6860" spans="462:480" x14ac:dyDescent="0.3">
      <c r="QT6860" s="106"/>
      <c r="QU6860" s="106"/>
      <c r="QV6860" s="106"/>
      <c r="QW6860" s="106"/>
      <c r="QX6860" s="106"/>
      <c r="QY6860" s="106"/>
      <c r="QZ6860" s="106"/>
      <c r="RA6860" s="106"/>
      <c r="RB6860" s="106"/>
      <c r="RC6860" s="106"/>
      <c r="RD6860" s="106"/>
      <c r="RE6860" s="106"/>
      <c r="RF6860" s="106"/>
      <c r="RG6860" s="106"/>
      <c r="RH6860" s="106"/>
      <c r="RI6860" s="106"/>
      <c r="RJ6860" s="106"/>
      <c r="RK6860" s="106"/>
      <c r="RL6860" s="106"/>
    </row>
    <row r="6861" spans="462:480" x14ac:dyDescent="0.3">
      <c r="QT6861" s="106"/>
      <c r="QU6861" s="106"/>
      <c r="QV6861" s="106"/>
      <c r="QW6861" s="106"/>
      <c r="QX6861" s="106"/>
      <c r="QY6861" s="106"/>
      <c r="QZ6861" s="106"/>
      <c r="RA6861" s="106"/>
      <c r="RB6861" s="106"/>
      <c r="RC6861" s="106"/>
      <c r="RD6861" s="106"/>
      <c r="RE6861" s="106"/>
      <c r="RF6861" s="106"/>
      <c r="RG6861" s="106"/>
      <c r="RH6861" s="106"/>
      <c r="RI6861" s="106"/>
      <c r="RJ6861" s="106"/>
      <c r="RK6861" s="106"/>
      <c r="RL6861" s="106"/>
    </row>
    <row r="6862" spans="462:480" x14ac:dyDescent="0.3">
      <c r="QT6862" s="106"/>
      <c r="QU6862" s="106"/>
      <c r="QV6862" s="106"/>
      <c r="QW6862" s="106"/>
      <c r="QX6862" s="106"/>
      <c r="QY6862" s="106"/>
      <c r="QZ6862" s="106"/>
      <c r="RA6862" s="106"/>
      <c r="RB6862" s="106"/>
      <c r="RC6862" s="106"/>
      <c r="RD6862" s="106"/>
      <c r="RE6862" s="106"/>
      <c r="RF6862" s="106"/>
      <c r="RG6862" s="106"/>
      <c r="RH6862" s="106"/>
      <c r="RI6862" s="106"/>
      <c r="RJ6862" s="106"/>
      <c r="RK6862" s="106"/>
      <c r="RL6862" s="106"/>
    </row>
    <row r="6863" spans="462:480" x14ac:dyDescent="0.3">
      <c r="QT6863" s="106"/>
      <c r="QU6863" s="106"/>
      <c r="QV6863" s="106"/>
      <c r="QW6863" s="106"/>
      <c r="QX6863" s="106"/>
      <c r="QY6863" s="106"/>
      <c r="QZ6863" s="106"/>
      <c r="RA6863" s="106"/>
      <c r="RB6863" s="106"/>
      <c r="RC6863" s="106"/>
      <c r="RD6863" s="106"/>
      <c r="RE6863" s="106"/>
      <c r="RF6863" s="106"/>
      <c r="RG6863" s="106"/>
      <c r="RH6863" s="106"/>
      <c r="RI6863" s="106"/>
      <c r="RJ6863" s="106"/>
      <c r="RK6863" s="106"/>
      <c r="RL6863" s="106"/>
    </row>
    <row r="6864" spans="462:480" x14ac:dyDescent="0.3">
      <c r="QT6864" s="106"/>
      <c r="QU6864" s="106"/>
      <c r="QV6864" s="106"/>
      <c r="QW6864" s="106"/>
      <c r="QX6864" s="106"/>
      <c r="QY6864" s="106"/>
      <c r="QZ6864" s="106"/>
      <c r="RA6864" s="106"/>
      <c r="RB6864" s="106"/>
      <c r="RC6864" s="106"/>
      <c r="RD6864" s="106"/>
      <c r="RE6864" s="106"/>
      <c r="RF6864" s="106"/>
      <c r="RG6864" s="106"/>
      <c r="RH6864" s="106"/>
      <c r="RI6864" s="106"/>
      <c r="RJ6864" s="106"/>
      <c r="RK6864" s="106"/>
      <c r="RL6864" s="106"/>
    </row>
    <row r="6865" spans="462:480" x14ac:dyDescent="0.3">
      <c r="QT6865" s="106"/>
      <c r="QU6865" s="106"/>
      <c r="QV6865" s="106"/>
      <c r="QW6865" s="106"/>
      <c r="QX6865" s="106"/>
      <c r="QY6865" s="106"/>
      <c r="QZ6865" s="106"/>
      <c r="RA6865" s="106"/>
      <c r="RB6865" s="106"/>
      <c r="RC6865" s="106"/>
      <c r="RD6865" s="106"/>
      <c r="RE6865" s="106"/>
      <c r="RF6865" s="106"/>
      <c r="RG6865" s="106"/>
      <c r="RH6865" s="106"/>
      <c r="RI6865" s="106"/>
      <c r="RJ6865" s="106"/>
      <c r="RK6865" s="106"/>
      <c r="RL6865" s="106"/>
    </row>
    <row r="6866" spans="462:480" x14ac:dyDescent="0.3">
      <c r="QT6866" s="106"/>
      <c r="QU6866" s="106"/>
      <c r="QV6866" s="106"/>
      <c r="QW6866" s="106"/>
      <c r="QX6866" s="106"/>
      <c r="QY6866" s="106"/>
      <c r="QZ6866" s="106"/>
      <c r="RA6866" s="106"/>
      <c r="RB6866" s="106"/>
      <c r="RC6866" s="106"/>
      <c r="RD6866" s="106"/>
      <c r="RE6866" s="106"/>
      <c r="RF6866" s="106"/>
      <c r="RG6866" s="106"/>
      <c r="RH6866" s="106"/>
      <c r="RI6866" s="106"/>
      <c r="RJ6866" s="106"/>
      <c r="RK6866" s="106"/>
      <c r="RL6866" s="106"/>
    </row>
    <row r="6867" spans="462:480" x14ac:dyDescent="0.3">
      <c r="QT6867" s="106"/>
      <c r="QU6867" s="106"/>
      <c r="QV6867" s="106"/>
      <c r="QW6867" s="106"/>
      <c r="QX6867" s="106"/>
      <c r="QY6867" s="106"/>
      <c r="QZ6867" s="106"/>
      <c r="RA6867" s="106"/>
      <c r="RB6867" s="106"/>
      <c r="RC6867" s="106"/>
      <c r="RD6867" s="106"/>
      <c r="RE6867" s="106"/>
      <c r="RF6867" s="106"/>
      <c r="RG6867" s="106"/>
      <c r="RH6867" s="106"/>
      <c r="RI6867" s="106"/>
      <c r="RJ6867" s="106"/>
      <c r="RK6867" s="106"/>
      <c r="RL6867" s="106"/>
    </row>
    <row r="6868" spans="462:480" x14ac:dyDescent="0.3">
      <c r="QT6868" s="106"/>
      <c r="QU6868" s="106"/>
      <c r="QV6868" s="106"/>
      <c r="QW6868" s="106"/>
      <c r="QX6868" s="106"/>
      <c r="QY6868" s="106"/>
      <c r="QZ6868" s="106"/>
      <c r="RA6868" s="106"/>
      <c r="RB6868" s="106"/>
      <c r="RC6868" s="106"/>
      <c r="RD6868" s="106"/>
      <c r="RE6868" s="106"/>
      <c r="RF6868" s="106"/>
      <c r="RG6868" s="106"/>
      <c r="RH6868" s="106"/>
      <c r="RI6868" s="106"/>
      <c r="RJ6868" s="106"/>
      <c r="RK6868" s="106"/>
      <c r="RL6868" s="106"/>
    </row>
    <row r="6869" spans="462:480" x14ac:dyDescent="0.3">
      <c r="QT6869" s="106"/>
      <c r="QU6869" s="106"/>
      <c r="QV6869" s="106"/>
      <c r="QW6869" s="106"/>
      <c r="QX6869" s="106"/>
      <c r="QY6869" s="106"/>
      <c r="QZ6869" s="106"/>
      <c r="RA6869" s="106"/>
      <c r="RB6869" s="106"/>
      <c r="RC6869" s="106"/>
      <c r="RD6869" s="106"/>
      <c r="RE6869" s="106"/>
      <c r="RF6869" s="106"/>
      <c r="RG6869" s="106"/>
      <c r="RH6869" s="106"/>
      <c r="RI6869" s="106"/>
      <c r="RJ6869" s="106"/>
      <c r="RK6869" s="106"/>
      <c r="RL6869" s="106"/>
    </row>
    <row r="6870" spans="462:480" x14ac:dyDescent="0.3">
      <c r="QT6870" s="106"/>
      <c r="QU6870" s="106"/>
      <c r="QV6870" s="106"/>
      <c r="QW6870" s="106"/>
      <c r="QX6870" s="106"/>
      <c r="QY6870" s="106"/>
      <c r="QZ6870" s="106"/>
      <c r="RA6870" s="106"/>
      <c r="RB6870" s="106"/>
      <c r="RC6870" s="106"/>
      <c r="RD6870" s="106"/>
      <c r="RE6870" s="106"/>
      <c r="RF6870" s="106"/>
      <c r="RG6870" s="106"/>
      <c r="RH6870" s="106"/>
      <c r="RI6870" s="106"/>
      <c r="RJ6870" s="106"/>
      <c r="RK6870" s="106"/>
      <c r="RL6870" s="106"/>
    </row>
    <row r="6871" spans="462:480" x14ac:dyDescent="0.3">
      <c r="QT6871" s="106"/>
      <c r="QU6871" s="106"/>
      <c r="QV6871" s="106"/>
      <c r="QW6871" s="106"/>
      <c r="QX6871" s="106"/>
      <c r="QY6871" s="106"/>
      <c r="QZ6871" s="106"/>
      <c r="RA6871" s="106"/>
      <c r="RB6871" s="106"/>
      <c r="RC6871" s="106"/>
      <c r="RD6871" s="106"/>
      <c r="RE6871" s="106"/>
      <c r="RF6871" s="106"/>
      <c r="RG6871" s="106"/>
      <c r="RH6871" s="106"/>
      <c r="RI6871" s="106"/>
      <c r="RJ6871" s="106"/>
      <c r="RK6871" s="106"/>
      <c r="RL6871" s="106"/>
    </row>
    <row r="6872" spans="462:480" x14ac:dyDescent="0.3">
      <c r="QT6872" s="106"/>
      <c r="QU6872" s="106"/>
      <c r="QV6872" s="106"/>
      <c r="QW6872" s="106"/>
      <c r="QX6872" s="106"/>
      <c r="QY6872" s="106"/>
      <c r="QZ6872" s="106"/>
      <c r="RA6872" s="106"/>
      <c r="RB6872" s="106"/>
      <c r="RC6872" s="106"/>
      <c r="RD6872" s="106"/>
      <c r="RE6872" s="106"/>
      <c r="RF6872" s="106"/>
      <c r="RG6872" s="106"/>
      <c r="RH6872" s="106"/>
      <c r="RI6872" s="106"/>
      <c r="RJ6872" s="106"/>
      <c r="RK6872" s="106"/>
      <c r="RL6872" s="106"/>
    </row>
    <row r="6873" spans="462:480" x14ac:dyDescent="0.3">
      <c r="QT6873" s="106"/>
      <c r="QU6873" s="106"/>
      <c r="QV6873" s="106"/>
      <c r="QW6873" s="106"/>
      <c r="QX6873" s="106"/>
      <c r="QY6873" s="106"/>
      <c r="QZ6873" s="106"/>
      <c r="RA6873" s="106"/>
      <c r="RB6873" s="106"/>
      <c r="RC6873" s="106"/>
      <c r="RD6873" s="106"/>
      <c r="RE6873" s="106"/>
      <c r="RF6873" s="106"/>
      <c r="RG6873" s="106"/>
      <c r="RH6873" s="106"/>
      <c r="RI6873" s="106"/>
      <c r="RJ6873" s="106"/>
      <c r="RK6873" s="106"/>
      <c r="RL6873" s="106"/>
    </row>
    <row r="6874" spans="462:480" x14ac:dyDescent="0.3">
      <c r="QT6874" s="106"/>
      <c r="QU6874" s="106"/>
      <c r="QV6874" s="106"/>
      <c r="QW6874" s="106"/>
      <c r="QX6874" s="106"/>
      <c r="QY6874" s="106"/>
      <c r="QZ6874" s="106"/>
      <c r="RA6874" s="106"/>
      <c r="RB6874" s="106"/>
      <c r="RC6874" s="106"/>
      <c r="RD6874" s="106"/>
      <c r="RE6874" s="106"/>
      <c r="RF6874" s="106"/>
      <c r="RG6874" s="106"/>
      <c r="RH6874" s="106"/>
      <c r="RI6874" s="106"/>
      <c r="RJ6874" s="106"/>
      <c r="RK6874" s="106"/>
      <c r="RL6874" s="106"/>
    </row>
    <row r="6875" spans="462:480" x14ac:dyDescent="0.3">
      <c r="QT6875" s="106"/>
      <c r="QU6875" s="106"/>
      <c r="QV6875" s="106"/>
      <c r="QW6875" s="106"/>
      <c r="QX6875" s="106"/>
      <c r="QY6875" s="106"/>
      <c r="QZ6875" s="106"/>
      <c r="RA6875" s="106"/>
      <c r="RB6875" s="106"/>
      <c r="RC6875" s="106"/>
      <c r="RD6875" s="106"/>
      <c r="RE6875" s="106"/>
      <c r="RF6875" s="106"/>
      <c r="RG6875" s="106"/>
      <c r="RH6875" s="106"/>
      <c r="RI6875" s="106"/>
      <c r="RJ6875" s="106"/>
      <c r="RK6875" s="106"/>
      <c r="RL6875" s="106"/>
    </row>
    <row r="6876" spans="462:480" x14ac:dyDescent="0.3">
      <c r="QT6876" s="106"/>
      <c r="QU6876" s="106"/>
      <c r="QV6876" s="106"/>
      <c r="QW6876" s="106"/>
      <c r="QX6876" s="106"/>
      <c r="QY6876" s="106"/>
      <c r="QZ6876" s="106"/>
      <c r="RA6876" s="106"/>
      <c r="RB6876" s="106"/>
      <c r="RC6876" s="106"/>
      <c r="RD6876" s="106"/>
      <c r="RE6876" s="106"/>
      <c r="RF6876" s="106"/>
      <c r="RG6876" s="106"/>
      <c r="RH6876" s="106"/>
      <c r="RI6876" s="106"/>
      <c r="RJ6876" s="106"/>
      <c r="RK6876" s="106"/>
      <c r="RL6876" s="106"/>
    </row>
    <row r="6877" spans="462:480" x14ac:dyDescent="0.3">
      <c r="QT6877" s="106"/>
      <c r="QU6877" s="106"/>
      <c r="QV6877" s="106"/>
      <c r="QW6877" s="106"/>
      <c r="QX6877" s="106"/>
      <c r="QY6877" s="106"/>
      <c r="QZ6877" s="106"/>
      <c r="RA6877" s="106"/>
      <c r="RB6877" s="106"/>
      <c r="RC6877" s="106"/>
      <c r="RD6877" s="106"/>
      <c r="RE6877" s="106"/>
      <c r="RF6877" s="106"/>
      <c r="RG6877" s="106"/>
      <c r="RH6877" s="106"/>
      <c r="RI6877" s="106"/>
      <c r="RJ6877" s="106"/>
      <c r="RK6877" s="106"/>
      <c r="RL6877" s="106"/>
    </row>
    <row r="6878" spans="462:480" x14ac:dyDescent="0.3">
      <c r="QT6878" s="106"/>
      <c r="QU6878" s="106"/>
      <c r="QV6878" s="106"/>
      <c r="QW6878" s="106"/>
      <c r="QX6878" s="106"/>
      <c r="QY6878" s="106"/>
      <c r="QZ6878" s="106"/>
      <c r="RA6878" s="106"/>
      <c r="RB6878" s="106"/>
      <c r="RC6878" s="106"/>
      <c r="RD6878" s="106"/>
      <c r="RE6878" s="106"/>
      <c r="RF6878" s="106"/>
      <c r="RG6878" s="106"/>
      <c r="RH6878" s="106"/>
      <c r="RI6878" s="106"/>
      <c r="RJ6878" s="106"/>
      <c r="RK6878" s="106"/>
      <c r="RL6878" s="106"/>
    </row>
    <row r="6879" spans="462:480" x14ac:dyDescent="0.3">
      <c r="QT6879" s="106"/>
      <c r="QU6879" s="106"/>
      <c r="QV6879" s="106"/>
      <c r="QW6879" s="106"/>
      <c r="QX6879" s="106"/>
      <c r="QY6879" s="106"/>
      <c r="QZ6879" s="106"/>
      <c r="RA6879" s="106"/>
      <c r="RB6879" s="106"/>
      <c r="RC6879" s="106"/>
      <c r="RD6879" s="106"/>
      <c r="RE6879" s="106"/>
      <c r="RF6879" s="106"/>
      <c r="RG6879" s="106"/>
      <c r="RH6879" s="106"/>
      <c r="RI6879" s="106"/>
      <c r="RJ6879" s="106"/>
      <c r="RK6879" s="106"/>
      <c r="RL6879" s="106"/>
    </row>
    <row r="6880" spans="462:480" x14ac:dyDescent="0.3">
      <c r="QT6880" s="106"/>
      <c r="QU6880" s="106"/>
      <c r="QV6880" s="106"/>
      <c r="QW6880" s="106"/>
      <c r="QX6880" s="106"/>
      <c r="QY6880" s="106"/>
      <c r="QZ6880" s="106"/>
      <c r="RA6880" s="106"/>
      <c r="RB6880" s="106"/>
      <c r="RC6880" s="106"/>
      <c r="RD6880" s="106"/>
      <c r="RE6880" s="106"/>
      <c r="RF6880" s="106"/>
      <c r="RG6880" s="106"/>
      <c r="RH6880" s="106"/>
      <c r="RI6880" s="106"/>
      <c r="RJ6880" s="106"/>
      <c r="RK6880" s="106"/>
      <c r="RL6880" s="106"/>
    </row>
    <row r="6881" spans="462:480" x14ac:dyDescent="0.3">
      <c r="QT6881" s="106"/>
      <c r="QU6881" s="106"/>
      <c r="QV6881" s="106"/>
      <c r="QW6881" s="106"/>
      <c r="QX6881" s="106"/>
      <c r="QY6881" s="106"/>
      <c r="QZ6881" s="106"/>
      <c r="RA6881" s="106"/>
      <c r="RB6881" s="106"/>
      <c r="RC6881" s="106"/>
      <c r="RD6881" s="106"/>
      <c r="RE6881" s="106"/>
      <c r="RF6881" s="106"/>
      <c r="RG6881" s="106"/>
      <c r="RH6881" s="106"/>
      <c r="RI6881" s="106"/>
      <c r="RJ6881" s="106"/>
      <c r="RK6881" s="106"/>
      <c r="RL6881" s="106"/>
    </row>
    <row r="6882" spans="462:480" x14ac:dyDescent="0.3">
      <c r="QT6882" s="106"/>
      <c r="QU6882" s="106"/>
      <c r="QV6882" s="106"/>
      <c r="QW6882" s="106"/>
      <c r="QX6882" s="106"/>
      <c r="QY6882" s="106"/>
      <c r="QZ6882" s="106"/>
      <c r="RA6882" s="106"/>
      <c r="RB6882" s="106"/>
      <c r="RC6882" s="106"/>
      <c r="RD6882" s="106"/>
      <c r="RE6882" s="106"/>
      <c r="RF6882" s="106"/>
      <c r="RG6882" s="106"/>
      <c r="RH6882" s="106"/>
      <c r="RI6882" s="106"/>
      <c r="RJ6882" s="106"/>
      <c r="RK6882" s="106"/>
      <c r="RL6882" s="106"/>
    </row>
    <row r="6883" spans="462:480" x14ac:dyDescent="0.3">
      <c r="QT6883" s="106"/>
      <c r="QU6883" s="106"/>
      <c r="QV6883" s="106"/>
      <c r="QW6883" s="106"/>
      <c r="QX6883" s="106"/>
      <c r="QY6883" s="106"/>
      <c r="QZ6883" s="106"/>
      <c r="RA6883" s="106"/>
      <c r="RB6883" s="106"/>
      <c r="RC6883" s="106"/>
      <c r="RD6883" s="106"/>
      <c r="RE6883" s="106"/>
      <c r="RF6883" s="106"/>
      <c r="RG6883" s="106"/>
      <c r="RH6883" s="106"/>
      <c r="RI6883" s="106"/>
      <c r="RJ6883" s="106"/>
      <c r="RK6883" s="106"/>
      <c r="RL6883" s="106"/>
    </row>
    <row r="6884" spans="462:480" x14ac:dyDescent="0.3">
      <c r="QT6884" s="106"/>
      <c r="QU6884" s="106"/>
      <c r="QV6884" s="106"/>
      <c r="QW6884" s="106"/>
      <c r="QX6884" s="106"/>
      <c r="QY6884" s="106"/>
      <c r="QZ6884" s="106"/>
      <c r="RA6884" s="106"/>
      <c r="RB6884" s="106"/>
      <c r="RC6884" s="106"/>
      <c r="RD6884" s="106"/>
      <c r="RE6884" s="106"/>
      <c r="RF6884" s="106"/>
      <c r="RG6884" s="106"/>
      <c r="RH6884" s="106"/>
      <c r="RI6884" s="106"/>
      <c r="RJ6884" s="106"/>
      <c r="RK6884" s="106"/>
      <c r="RL6884" s="106"/>
    </row>
    <row r="6885" spans="462:480" x14ac:dyDescent="0.3">
      <c r="QT6885" s="106"/>
      <c r="QU6885" s="106"/>
      <c r="QV6885" s="106"/>
      <c r="QW6885" s="106"/>
      <c r="QX6885" s="106"/>
      <c r="QY6885" s="106"/>
      <c r="QZ6885" s="106"/>
      <c r="RA6885" s="106"/>
      <c r="RB6885" s="106"/>
      <c r="RC6885" s="106"/>
      <c r="RD6885" s="106"/>
      <c r="RE6885" s="106"/>
      <c r="RF6885" s="106"/>
      <c r="RG6885" s="106"/>
      <c r="RH6885" s="106"/>
      <c r="RI6885" s="106"/>
      <c r="RJ6885" s="106"/>
      <c r="RK6885" s="106"/>
      <c r="RL6885" s="106"/>
    </row>
    <row r="6886" spans="462:480" x14ac:dyDescent="0.3">
      <c r="QT6886" s="106"/>
      <c r="QU6886" s="106"/>
      <c r="QV6886" s="106"/>
      <c r="QW6886" s="106"/>
      <c r="QX6886" s="106"/>
      <c r="QY6886" s="106"/>
      <c r="QZ6886" s="106"/>
      <c r="RA6886" s="106"/>
      <c r="RB6886" s="106"/>
      <c r="RC6886" s="106"/>
      <c r="RD6886" s="106"/>
      <c r="RE6886" s="106"/>
      <c r="RF6886" s="106"/>
      <c r="RG6886" s="106"/>
      <c r="RH6886" s="106"/>
      <c r="RI6886" s="106"/>
      <c r="RJ6886" s="106"/>
      <c r="RK6886" s="106"/>
      <c r="RL6886" s="106"/>
    </row>
    <row r="6887" spans="462:480" x14ac:dyDescent="0.3">
      <c r="QT6887" s="106"/>
      <c r="QU6887" s="106"/>
      <c r="QV6887" s="106"/>
      <c r="QW6887" s="106"/>
      <c r="QX6887" s="106"/>
      <c r="QY6887" s="106"/>
      <c r="QZ6887" s="106"/>
      <c r="RA6887" s="106"/>
      <c r="RB6887" s="106"/>
      <c r="RC6887" s="106"/>
      <c r="RD6887" s="106"/>
      <c r="RE6887" s="106"/>
      <c r="RF6887" s="106"/>
      <c r="RG6887" s="106"/>
      <c r="RH6887" s="106"/>
      <c r="RI6887" s="106"/>
      <c r="RJ6887" s="106"/>
      <c r="RK6887" s="106"/>
      <c r="RL6887" s="106"/>
    </row>
    <row r="6888" spans="462:480" x14ac:dyDescent="0.3">
      <c r="QT6888" s="106"/>
      <c r="QU6888" s="106"/>
      <c r="QV6888" s="106"/>
      <c r="QW6888" s="106"/>
      <c r="QX6888" s="106"/>
      <c r="QY6888" s="106"/>
      <c r="QZ6888" s="106"/>
      <c r="RA6888" s="106"/>
      <c r="RB6888" s="106"/>
      <c r="RC6888" s="106"/>
      <c r="RD6888" s="106"/>
      <c r="RE6888" s="106"/>
      <c r="RF6888" s="106"/>
      <c r="RG6888" s="106"/>
      <c r="RH6888" s="106"/>
      <c r="RI6888" s="106"/>
      <c r="RJ6888" s="106"/>
      <c r="RK6888" s="106"/>
      <c r="RL6888" s="106"/>
    </row>
    <row r="6889" spans="462:480" x14ac:dyDescent="0.3">
      <c r="QT6889" s="106"/>
      <c r="QU6889" s="106"/>
      <c r="QV6889" s="106"/>
      <c r="QW6889" s="106"/>
      <c r="QX6889" s="106"/>
      <c r="QY6889" s="106"/>
      <c r="QZ6889" s="106"/>
      <c r="RA6889" s="106"/>
      <c r="RB6889" s="106"/>
      <c r="RC6889" s="106"/>
      <c r="RD6889" s="106"/>
      <c r="RE6889" s="106"/>
      <c r="RF6889" s="106"/>
      <c r="RG6889" s="106"/>
      <c r="RH6889" s="106"/>
      <c r="RI6889" s="106"/>
      <c r="RJ6889" s="106"/>
      <c r="RK6889" s="106"/>
      <c r="RL6889" s="106"/>
    </row>
    <row r="6890" spans="462:480" x14ac:dyDescent="0.3">
      <c r="QT6890" s="106"/>
      <c r="QU6890" s="106"/>
      <c r="QV6890" s="106"/>
      <c r="QW6890" s="106"/>
      <c r="QX6890" s="106"/>
      <c r="QY6890" s="106"/>
      <c r="QZ6890" s="106"/>
      <c r="RA6890" s="106"/>
      <c r="RB6890" s="106"/>
      <c r="RC6890" s="106"/>
      <c r="RD6890" s="106"/>
      <c r="RE6890" s="106"/>
      <c r="RF6890" s="106"/>
      <c r="RG6890" s="106"/>
      <c r="RH6890" s="106"/>
      <c r="RI6890" s="106"/>
      <c r="RJ6890" s="106"/>
      <c r="RK6890" s="106"/>
      <c r="RL6890" s="106"/>
    </row>
    <row r="6891" spans="462:480" x14ac:dyDescent="0.3">
      <c r="QT6891" s="106"/>
      <c r="QU6891" s="106"/>
      <c r="QV6891" s="106"/>
      <c r="QW6891" s="106"/>
      <c r="QX6891" s="106"/>
      <c r="QY6891" s="106"/>
      <c r="QZ6891" s="106"/>
      <c r="RA6891" s="106"/>
      <c r="RB6891" s="106"/>
      <c r="RC6891" s="106"/>
      <c r="RD6891" s="106"/>
      <c r="RE6891" s="106"/>
      <c r="RF6891" s="106"/>
      <c r="RG6891" s="106"/>
      <c r="RH6891" s="106"/>
      <c r="RI6891" s="106"/>
      <c r="RJ6891" s="106"/>
      <c r="RK6891" s="106"/>
      <c r="RL6891" s="106"/>
    </row>
    <row r="6892" spans="462:480" x14ac:dyDescent="0.3">
      <c r="QT6892" s="106"/>
      <c r="QU6892" s="106"/>
      <c r="QV6892" s="106"/>
      <c r="QW6892" s="106"/>
      <c r="QX6892" s="106"/>
      <c r="QY6892" s="106"/>
      <c r="QZ6892" s="106"/>
      <c r="RA6892" s="106"/>
      <c r="RB6892" s="106"/>
      <c r="RC6892" s="106"/>
      <c r="RD6892" s="106"/>
      <c r="RE6892" s="106"/>
      <c r="RF6892" s="106"/>
      <c r="RG6892" s="106"/>
      <c r="RH6892" s="106"/>
      <c r="RI6892" s="106"/>
      <c r="RJ6892" s="106"/>
      <c r="RK6892" s="106"/>
      <c r="RL6892" s="106"/>
    </row>
    <row r="6893" spans="462:480" x14ac:dyDescent="0.3">
      <c r="QT6893" s="106"/>
      <c r="QU6893" s="106"/>
      <c r="QV6893" s="106"/>
      <c r="QW6893" s="106"/>
      <c r="QX6893" s="106"/>
      <c r="QY6893" s="106"/>
      <c r="QZ6893" s="106"/>
      <c r="RA6893" s="106"/>
      <c r="RB6893" s="106"/>
      <c r="RC6893" s="106"/>
      <c r="RD6893" s="106"/>
      <c r="RE6893" s="106"/>
      <c r="RF6893" s="106"/>
      <c r="RG6893" s="106"/>
      <c r="RH6893" s="106"/>
      <c r="RI6893" s="106"/>
      <c r="RJ6893" s="106"/>
      <c r="RK6893" s="106"/>
      <c r="RL6893" s="106"/>
    </row>
    <row r="6894" spans="462:480" x14ac:dyDescent="0.3">
      <c r="QT6894" s="106"/>
      <c r="QU6894" s="106"/>
      <c r="QV6894" s="106"/>
      <c r="QW6894" s="106"/>
      <c r="QX6894" s="106"/>
      <c r="QY6894" s="106"/>
      <c r="QZ6894" s="106"/>
      <c r="RA6894" s="106"/>
      <c r="RB6894" s="106"/>
      <c r="RC6894" s="106"/>
      <c r="RD6894" s="106"/>
      <c r="RE6894" s="106"/>
      <c r="RF6894" s="106"/>
      <c r="RG6894" s="106"/>
      <c r="RH6894" s="106"/>
      <c r="RI6894" s="106"/>
      <c r="RJ6894" s="106"/>
      <c r="RK6894" s="106"/>
      <c r="RL6894" s="106"/>
    </row>
    <row r="6895" spans="462:480" x14ac:dyDescent="0.3">
      <c r="QT6895" s="106"/>
      <c r="QU6895" s="106"/>
      <c r="QV6895" s="106"/>
      <c r="QW6895" s="106"/>
      <c r="QX6895" s="106"/>
      <c r="QY6895" s="106"/>
      <c r="QZ6895" s="106"/>
      <c r="RA6895" s="106"/>
      <c r="RB6895" s="106"/>
      <c r="RC6895" s="106"/>
      <c r="RD6895" s="106"/>
      <c r="RE6895" s="106"/>
      <c r="RF6895" s="106"/>
      <c r="RG6895" s="106"/>
      <c r="RH6895" s="106"/>
      <c r="RI6895" s="106"/>
      <c r="RJ6895" s="106"/>
      <c r="RK6895" s="106"/>
      <c r="RL6895" s="106"/>
    </row>
    <row r="6896" spans="462:480" x14ac:dyDescent="0.3">
      <c r="QT6896" s="106"/>
      <c r="QU6896" s="106"/>
      <c r="QV6896" s="106"/>
      <c r="QW6896" s="106"/>
      <c r="QX6896" s="106"/>
      <c r="QY6896" s="106"/>
      <c r="QZ6896" s="106"/>
      <c r="RA6896" s="106"/>
      <c r="RB6896" s="106"/>
      <c r="RC6896" s="106"/>
      <c r="RD6896" s="106"/>
      <c r="RE6896" s="106"/>
      <c r="RF6896" s="106"/>
      <c r="RG6896" s="106"/>
      <c r="RH6896" s="106"/>
      <c r="RI6896" s="106"/>
      <c r="RJ6896" s="106"/>
      <c r="RK6896" s="106"/>
      <c r="RL6896" s="106"/>
    </row>
    <row r="6897" spans="462:480" x14ac:dyDescent="0.3">
      <c r="QT6897" s="106"/>
      <c r="QU6897" s="106"/>
      <c r="QV6897" s="106"/>
      <c r="QW6897" s="106"/>
      <c r="QX6897" s="106"/>
      <c r="QY6897" s="106"/>
      <c r="QZ6897" s="106"/>
      <c r="RA6897" s="106"/>
      <c r="RB6897" s="106"/>
      <c r="RC6897" s="106"/>
      <c r="RD6897" s="106"/>
      <c r="RE6897" s="106"/>
      <c r="RF6897" s="106"/>
      <c r="RG6897" s="106"/>
      <c r="RH6897" s="106"/>
      <c r="RI6897" s="106"/>
      <c r="RJ6897" s="106"/>
      <c r="RK6897" s="106"/>
      <c r="RL6897" s="106"/>
    </row>
    <row r="6898" spans="462:480" x14ac:dyDescent="0.3">
      <c r="QT6898" s="106"/>
      <c r="QU6898" s="106"/>
      <c r="QV6898" s="106"/>
      <c r="QW6898" s="106"/>
      <c r="QX6898" s="106"/>
      <c r="QY6898" s="106"/>
      <c r="QZ6898" s="106"/>
      <c r="RA6898" s="106"/>
      <c r="RB6898" s="106"/>
      <c r="RC6898" s="106"/>
      <c r="RD6898" s="106"/>
      <c r="RE6898" s="106"/>
      <c r="RF6898" s="106"/>
      <c r="RG6898" s="106"/>
      <c r="RH6898" s="106"/>
      <c r="RI6898" s="106"/>
      <c r="RJ6898" s="106"/>
      <c r="RK6898" s="106"/>
      <c r="RL6898" s="106"/>
    </row>
    <row r="6899" spans="462:480" x14ac:dyDescent="0.3">
      <c r="QT6899" s="106"/>
      <c r="QU6899" s="106"/>
      <c r="QV6899" s="106"/>
      <c r="QW6899" s="106"/>
      <c r="QX6899" s="106"/>
      <c r="QY6899" s="106"/>
      <c r="QZ6899" s="106"/>
      <c r="RA6899" s="106"/>
      <c r="RB6899" s="106"/>
      <c r="RC6899" s="106"/>
      <c r="RD6899" s="106"/>
      <c r="RE6899" s="106"/>
      <c r="RF6899" s="106"/>
      <c r="RG6899" s="106"/>
      <c r="RH6899" s="106"/>
      <c r="RI6899" s="106"/>
      <c r="RJ6899" s="106"/>
      <c r="RK6899" s="106"/>
      <c r="RL6899" s="106"/>
    </row>
    <row r="6900" spans="462:480" x14ac:dyDescent="0.3">
      <c r="QT6900" s="106"/>
      <c r="QU6900" s="106"/>
      <c r="QV6900" s="106"/>
      <c r="QW6900" s="106"/>
      <c r="QX6900" s="106"/>
      <c r="QY6900" s="106"/>
      <c r="QZ6900" s="106"/>
      <c r="RA6900" s="106"/>
      <c r="RB6900" s="106"/>
      <c r="RC6900" s="106"/>
      <c r="RD6900" s="106"/>
      <c r="RE6900" s="106"/>
      <c r="RF6900" s="106"/>
      <c r="RG6900" s="106"/>
      <c r="RH6900" s="106"/>
      <c r="RI6900" s="106"/>
      <c r="RJ6900" s="106"/>
      <c r="RK6900" s="106"/>
      <c r="RL6900" s="106"/>
    </row>
    <row r="6901" spans="462:480" x14ac:dyDescent="0.3">
      <c r="QT6901" s="106"/>
      <c r="QU6901" s="106"/>
      <c r="QV6901" s="106"/>
      <c r="QW6901" s="106"/>
      <c r="QX6901" s="106"/>
      <c r="QY6901" s="106"/>
      <c r="QZ6901" s="106"/>
      <c r="RA6901" s="106"/>
      <c r="RB6901" s="106"/>
      <c r="RC6901" s="106"/>
      <c r="RD6901" s="106"/>
      <c r="RE6901" s="106"/>
      <c r="RF6901" s="106"/>
      <c r="RG6901" s="106"/>
      <c r="RH6901" s="106"/>
      <c r="RI6901" s="106"/>
      <c r="RJ6901" s="106"/>
      <c r="RK6901" s="106"/>
      <c r="RL6901" s="106"/>
    </row>
    <row r="6902" spans="462:480" x14ac:dyDescent="0.3">
      <c r="QT6902" s="106"/>
      <c r="QU6902" s="106"/>
      <c r="QV6902" s="106"/>
      <c r="QW6902" s="106"/>
      <c r="QX6902" s="106"/>
      <c r="QY6902" s="106"/>
      <c r="QZ6902" s="106"/>
      <c r="RA6902" s="106"/>
      <c r="RB6902" s="106"/>
      <c r="RC6902" s="106"/>
      <c r="RD6902" s="106"/>
      <c r="RE6902" s="106"/>
      <c r="RF6902" s="106"/>
      <c r="RG6902" s="106"/>
      <c r="RH6902" s="106"/>
      <c r="RI6902" s="106"/>
      <c r="RJ6902" s="106"/>
      <c r="RK6902" s="106"/>
      <c r="RL6902" s="106"/>
    </row>
    <row r="6903" spans="462:480" x14ac:dyDescent="0.3">
      <c r="QT6903" s="106"/>
      <c r="QU6903" s="106"/>
      <c r="QV6903" s="106"/>
      <c r="QW6903" s="106"/>
      <c r="QX6903" s="106"/>
      <c r="QY6903" s="106"/>
      <c r="QZ6903" s="106"/>
      <c r="RA6903" s="106"/>
      <c r="RB6903" s="106"/>
      <c r="RC6903" s="106"/>
      <c r="RD6903" s="106"/>
      <c r="RE6903" s="106"/>
      <c r="RF6903" s="106"/>
      <c r="RG6903" s="106"/>
      <c r="RH6903" s="106"/>
      <c r="RI6903" s="106"/>
      <c r="RJ6903" s="106"/>
      <c r="RK6903" s="106"/>
      <c r="RL6903" s="106"/>
    </row>
    <row r="6904" spans="462:480" x14ac:dyDescent="0.3">
      <c r="QT6904" s="106"/>
      <c r="QU6904" s="106"/>
      <c r="QV6904" s="106"/>
      <c r="QW6904" s="106"/>
      <c r="QX6904" s="106"/>
      <c r="QY6904" s="106"/>
      <c r="QZ6904" s="106"/>
      <c r="RA6904" s="106"/>
      <c r="RB6904" s="106"/>
      <c r="RC6904" s="106"/>
      <c r="RD6904" s="106"/>
      <c r="RE6904" s="106"/>
      <c r="RF6904" s="106"/>
      <c r="RG6904" s="106"/>
      <c r="RH6904" s="106"/>
      <c r="RI6904" s="106"/>
      <c r="RJ6904" s="106"/>
      <c r="RK6904" s="106"/>
      <c r="RL6904" s="106"/>
    </row>
    <row r="6905" spans="462:480" x14ac:dyDescent="0.3">
      <c r="QT6905" s="106"/>
      <c r="QU6905" s="106"/>
      <c r="QV6905" s="106"/>
      <c r="QW6905" s="106"/>
      <c r="QX6905" s="106"/>
      <c r="QY6905" s="106"/>
      <c r="QZ6905" s="106"/>
      <c r="RA6905" s="106"/>
      <c r="RB6905" s="106"/>
      <c r="RC6905" s="106"/>
      <c r="RD6905" s="106"/>
      <c r="RE6905" s="106"/>
      <c r="RF6905" s="106"/>
      <c r="RG6905" s="106"/>
      <c r="RH6905" s="106"/>
      <c r="RI6905" s="106"/>
      <c r="RJ6905" s="106"/>
      <c r="RK6905" s="106"/>
      <c r="RL6905" s="106"/>
    </row>
    <row r="6906" spans="462:480" x14ac:dyDescent="0.3">
      <c r="QT6906" s="106"/>
      <c r="QU6906" s="106"/>
      <c r="QV6906" s="106"/>
      <c r="QW6906" s="106"/>
      <c r="QX6906" s="106"/>
      <c r="QY6906" s="106"/>
      <c r="QZ6906" s="106"/>
      <c r="RA6906" s="106"/>
      <c r="RB6906" s="106"/>
      <c r="RC6906" s="106"/>
      <c r="RD6906" s="106"/>
      <c r="RE6906" s="106"/>
      <c r="RF6906" s="106"/>
      <c r="RG6906" s="106"/>
      <c r="RH6906" s="106"/>
      <c r="RI6906" s="106"/>
      <c r="RJ6906" s="106"/>
      <c r="RK6906" s="106"/>
      <c r="RL6906" s="106"/>
    </row>
    <row r="6907" spans="462:480" x14ac:dyDescent="0.3">
      <c r="QT6907" s="106"/>
      <c r="QU6907" s="106"/>
      <c r="QV6907" s="106"/>
      <c r="QW6907" s="106"/>
      <c r="QX6907" s="106"/>
      <c r="QY6907" s="106"/>
      <c r="QZ6907" s="106"/>
      <c r="RA6907" s="106"/>
      <c r="RB6907" s="106"/>
      <c r="RC6907" s="106"/>
      <c r="RD6907" s="106"/>
      <c r="RE6907" s="106"/>
      <c r="RF6907" s="106"/>
      <c r="RG6907" s="106"/>
      <c r="RH6907" s="106"/>
      <c r="RI6907" s="106"/>
      <c r="RJ6907" s="106"/>
      <c r="RK6907" s="106"/>
      <c r="RL6907" s="106"/>
    </row>
    <row r="6908" spans="462:480" x14ac:dyDescent="0.3">
      <c r="QT6908" s="106"/>
      <c r="QU6908" s="106"/>
      <c r="QV6908" s="106"/>
      <c r="QW6908" s="106"/>
      <c r="QX6908" s="106"/>
      <c r="QY6908" s="106"/>
      <c r="QZ6908" s="106"/>
      <c r="RA6908" s="106"/>
      <c r="RB6908" s="106"/>
      <c r="RC6908" s="106"/>
      <c r="RD6908" s="106"/>
      <c r="RE6908" s="106"/>
      <c r="RF6908" s="106"/>
      <c r="RG6908" s="106"/>
      <c r="RH6908" s="106"/>
      <c r="RI6908" s="106"/>
      <c r="RJ6908" s="106"/>
      <c r="RK6908" s="106"/>
      <c r="RL6908" s="106"/>
    </row>
    <row r="6909" spans="462:480" x14ac:dyDescent="0.3">
      <c r="QT6909" s="106"/>
      <c r="QU6909" s="106"/>
      <c r="QV6909" s="106"/>
      <c r="QW6909" s="106"/>
      <c r="QX6909" s="106"/>
      <c r="QY6909" s="106"/>
      <c r="QZ6909" s="106"/>
      <c r="RA6909" s="106"/>
      <c r="RB6909" s="106"/>
      <c r="RC6909" s="106"/>
      <c r="RD6909" s="106"/>
      <c r="RE6909" s="106"/>
      <c r="RF6909" s="106"/>
      <c r="RG6909" s="106"/>
      <c r="RH6909" s="106"/>
      <c r="RI6909" s="106"/>
      <c r="RJ6909" s="106"/>
      <c r="RK6909" s="106"/>
      <c r="RL6909" s="106"/>
    </row>
    <row r="6910" spans="462:480" x14ac:dyDescent="0.3">
      <c r="QT6910" s="106"/>
      <c r="QU6910" s="106"/>
      <c r="QV6910" s="106"/>
      <c r="QW6910" s="106"/>
      <c r="QX6910" s="106"/>
      <c r="QY6910" s="106"/>
      <c r="QZ6910" s="106"/>
      <c r="RA6910" s="106"/>
      <c r="RB6910" s="106"/>
      <c r="RC6910" s="106"/>
      <c r="RD6910" s="106"/>
      <c r="RE6910" s="106"/>
      <c r="RF6910" s="106"/>
      <c r="RG6910" s="106"/>
      <c r="RH6910" s="106"/>
      <c r="RI6910" s="106"/>
      <c r="RJ6910" s="106"/>
      <c r="RK6910" s="106"/>
      <c r="RL6910" s="106"/>
    </row>
    <row r="6911" spans="462:480" x14ac:dyDescent="0.3">
      <c r="QT6911" s="106"/>
      <c r="QU6911" s="106"/>
      <c r="QV6911" s="106"/>
      <c r="QW6911" s="106"/>
      <c r="QX6911" s="106"/>
      <c r="QY6911" s="106"/>
      <c r="QZ6911" s="106"/>
      <c r="RA6911" s="106"/>
      <c r="RB6911" s="106"/>
      <c r="RC6911" s="106"/>
      <c r="RD6911" s="106"/>
      <c r="RE6911" s="106"/>
      <c r="RF6911" s="106"/>
      <c r="RG6911" s="106"/>
      <c r="RH6911" s="106"/>
      <c r="RI6911" s="106"/>
      <c r="RJ6911" s="106"/>
      <c r="RK6911" s="106"/>
      <c r="RL6911" s="106"/>
    </row>
    <row r="6912" spans="462:480" x14ac:dyDescent="0.3">
      <c r="QT6912" s="106"/>
      <c r="QU6912" s="106"/>
      <c r="QV6912" s="106"/>
      <c r="QW6912" s="106"/>
      <c r="QX6912" s="106"/>
      <c r="QY6912" s="106"/>
      <c r="QZ6912" s="106"/>
      <c r="RA6912" s="106"/>
      <c r="RB6912" s="106"/>
      <c r="RC6912" s="106"/>
      <c r="RD6912" s="106"/>
      <c r="RE6912" s="106"/>
      <c r="RF6912" s="106"/>
      <c r="RG6912" s="106"/>
      <c r="RH6912" s="106"/>
      <c r="RI6912" s="106"/>
      <c r="RJ6912" s="106"/>
      <c r="RK6912" s="106"/>
      <c r="RL6912" s="106"/>
    </row>
    <row r="6913" spans="462:480" x14ac:dyDescent="0.3">
      <c r="QT6913" s="106"/>
      <c r="QU6913" s="106"/>
      <c r="QV6913" s="106"/>
      <c r="QW6913" s="106"/>
      <c r="QX6913" s="106"/>
      <c r="QY6913" s="106"/>
      <c r="QZ6913" s="106"/>
      <c r="RA6913" s="106"/>
      <c r="RB6913" s="106"/>
      <c r="RC6913" s="106"/>
      <c r="RD6913" s="106"/>
      <c r="RE6913" s="106"/>
      <c r="RF6913" s="106"/>
      <c r="RG6913" s="106"/>
      <c r="RH6913" s="106"/>
      <c r="RI6913" s="106"/>
      <c r="RJ6913" s="106"/>
      <c r="RK6913" s="106"/>
      <c r="RL6913" s="106"/>
    </row>
    <row r="6914" spans="462:480" x14ac:dyDescent="0.3">
      <c r="QT6914" s="106"/>
      <c r="QU6914" s="106"/>
      <c r="QV6914" s="106"/>
      <c r="QW6914" s="106"/>
      <c r="QX6914" s="106"/>
      <c r="QY6914" s="106"/>
      <c r="QZ6914" s="106"/>
      <c r="RA6914" s="106"/>
      <c r="RB6914" s="106"/>
      <c r="RC6914" s="106"/>
      <c r="RD6914" s="106"/>
      <c r="RE6914" s="106"/>
      <c r="RF6914" s="106"/>
      <c r="RG6914" s="106"/>
      <c r="RH6914" s="106"/>
      <c r="RI6914" s="106"/>
      <c r="RJ6914" s="106"/>
      <c r="RK6914" s="106"/>
      <c r="RL6914" s="106"/>
    </row>
    <row r="6915" spans="462:480" x14ac:dyDescent="0.3">
      <c r="QT6915" s="106"/>
      <c r="QU6915" s="106"/>
      <c r="QV6915" s="106"/>
      <c r="QW6915" s="106"/>
      <c r="QX6915" s="106"/>
      <c r="QY6915" s="106"/>
      <c r="QZ6915" s="106"/>
      <c r="RA6915" s="106"/>
      <c r="RB6915" s="106"/>
      <c r="RC6915" s="106"/>
      <c r="RD6915" s="106"/>
      <c r="RE6915" s="106"/>
      <c r="RF6915" s="106"/>
      <c r="RG6915" s="106"/>
      <c r="RH6915" s="106"/>
      <c r="RI6915" s="106"/>
      <c r="RJ6915" s="106"/>
      <c r="RK6915" s="106"/>
      <c r="RL6915" s="106"/>
    </row>
    <row r="6916" spans="462:480" x14ac:dyDescent="0.3">
      <c r="QT6916" s="106"/>
      <c r="QU6916" s="106"/>
      <c r="QV6916" s="106"/>
      <c r="QW6916" s="106"/>
      <c r="QX6916" s="106"/>
      <c r="QY6916" s="106"/>
      <c r="QZ6916" s="106"/>
      <c r="RA6916" s="106"/>
      <c r="RB6916" s="106"/>
      <c r="RC6916" s="106"/>
      <c r="RD6916" s="106"/>
      <c r="RE6916" s="106"/>
      <c r="RF6916" s="106"/>
      <c r="RG6916" s="106"/>
      <c r="RH6916" s="106"/>
      <c r="RI6916" s="106"/>
      <c r="RJ6916" s="106"/>
      <c r="RK6916" s="106"/>
      <c r="RL6916" s="106"/>
    </row>
    <row r="6917" spans="462:480" x14ac:dyDescent="0.3">
      <c r="QT6917" s="106"/>
      <c r="QU6917" s="106"/>
      <c r="QV6917" s="106"/>
      <c r="QW6917" s="106"/>
      <c r="QX6917" s="106"/>
      <c r="QY6917" s="106"/>
      <c r="QZ6917" s="106"/>
      <c r="RA6917" s="106"/>
      <c r="RB6917" s="106"/>
      <c r="RC6917" s="106"/>
      <c r="RD6917" s="106"/>
      <c r="RE6917" s="106"/>
      <c r="RF6917" s="106"/>
      <c r="RG6917" s="106"/>
      <c r="RH6917" s="106"/>
      <c r="RI6917" s="106"/>
      <c r="RJ6917" s="106"/>
      <c r="RK6917" s="106"/>
      <c r="RL6917" s="106"/>
    </row>
    <row r="6918" spans="462:480" x14ac:dyDescent="0.3">
      <c r="QT6918" s="106"/>
      <c r="QU6918" s="106"/>
      <c r="QV6918" s="106"/>
      <c r="QW6918" s="106"/>
      <c r="QX6918" s="106"/>
      <c r="QY6918" s="106"/>
      <c r="QZ6918" s="106"/>
      <c r="RA6918" s="106"/>
      <c r="RB6918" s="106"/>
      <c r="RC6918" s="106"/>
      <c r="RD6918" s="106"/>
      <c r="RE6918" s="106"/>
      <c r="RF6918" s="106"/>
      <c r="RG6918" s="106"/>
      <c r="RH6918" s="106"/>
      <c r="RI6918" s="106"/>
      <c r="RJ6918" s="106"/>
      <c r="RK6918" s="106"/>
      <c r="RL6918" s="106"/>
    </row>
    <row r="6919" spans="462:480" x14ac:dyDescent="0.3">
      <c r="QT6919" s="106"/>
      <c r="QU6919" s="106"/>
      <c r="QV6919" s="106"/>
      <c r="QW6919" s="106"/>
      <c r="QX6919" s="106"/>
      <c r="QY6919" s="106"/>
      <c r="QZ6919" s="106"/>
      <c r="RA6919" s="106"/>
      <c r="RB6919" s="106"/>
      <c r="RC6919" s="106"/>
      <c r="RD6919" s="106"/>
      <c r="RE6919" s="106"/>
      <c r="RF6919" s="106"/>
      <c r="RG6919" s="106"/>
      <c r="RH6919" s="106"/>
      <c r="RI6919" s="106"/>
      <c r="RJ6919" s="106"/>
      <c r="RK6919" s="106"/>
      <c r="RL6919" s="106"/>
    </row>
    <row r="6920" spans="462:480" x14ac:dyDescent="0.3">
      <c r="QT6920" s="106"/>
      <c r="QU6920" s="106"/>
      <c r="QV6920" s="106"/>
      <c r="QW6920" s="106"/>
      <c r="QX6920" s="106"/>
      <c r="QY6920" s="106"/>
      <c r="QZ6920" s="106"/>
      <c r="RA6920" s="106"/>
      <c r="RB6920" s="106"/>
      <c r="RC6920" s="106"/>
      <c r="RD6920" s="106"/>
      <c r="RE6920" s="106"/>
      <c r="RF6920" s="106"/>
      <c r="RG6920" s="106"/>
      <c r="RH6920" s="106"/>
      <c r="RI6920" s="106"/>
      <c r="RJ6920" s="106"/>
      <c r="RK6920" s="106"/>
      <c r="RL6920" s="106"/>
    </row>
    <row r="6921" spans="462:480" x14ac:dyDescent="0.3">
      <c r="QT6921" s="106"/>
      <c r="QU6921" s="106"/>
      <c r="QV6921" s="106"/>
      <c r="QW6921" s="106"/>
      <c r="QX6921" s="106"/>
      <c r="QY6921" s="106"/>
      <c r="QZ6921" s="106"/>
      <c r="RA6921" s="106"/>
      <c r="RB6921" s="106"/>
      <c r="RC6921" s="106"/>
      <c r="RD6921" s="106"/>
      <c r="RE6921" s="106"/>
      <c r="RF6921" s="106"/>
      <c r="RG6921" s="106"/>
      <c r="RH6921" s="106"/>
      <c r="RI6921" s="106"/>
      <c r="RJ6921" s="106"/>
      <c r="RK6921" s="106"/>
      <c r="RL6921" s="106"/>
    </row>
    <row r="6922" spans="462:480" x14ac:dyDescent="0.3">
      <c r="QT6922" s="106"/>
      <c r="QU6922" s="106"/>
      <c r="QV6922" s="106"/>
      <c r="QW6922" s="106"/>
      <c r="QX6922" s="106"/>
      <c r="QY6922" s="106"/>
      <c r="QZ6922" s="106"/>
      <c r="RA6922" s="106"/>
      <c r="RB6922" s="106"/>
      <c r="RC6922" s="106"/>
      <c r="RD6922" s="106"/>
      <c r="RE6922" s="106"/>
      <c r="RF6922" s="106"/>
      <c r="RG6922" s="106"/>
      <c r="RH6922" s="106"/>
      <c r="RI6922" s="106"/>
      <c r="RJ6922" s="106"/>
      <c r="RK6922" s="106"/>
      <c r="RL6922" s="106"/>
    </row>
    <row r="6923" spans="462:480" x14ac:dyDescent="0.3">
      <c r="QT6923" s="106"/>
      <c r="QU6923" s="106"/>
      <c r="QV6923" s="106"/>
      <c r="QW6923" s="106"/>
      <c r="QX6923" s="106"/>
      <c r="QY6923" s="106"/>
      <c r="QZ6923" s="106"/>
      <c r="RA6923" s="106"/>
      <c r="RB6923" s="106"/>
      <c r="RC6923" s="106"/>
      <c r="RD6923" s="106"/>
      <c r="RE6923" s="106"/>
      <c r="RF6923" s="106"/>
      <c r="RG6923" s="106"/>
      <c r="RH6923" s="106"/>
      <c r="RI6923" s="106"/>
      <c r="RJ6923" s="106"/>
      <c r="RK6923" s="106"/>
      <c r="RL6923" s="106"/>
    </row>
    <row r="6924" spans="462:480" x14ac:dyDescent="0.3">
      <c r="QT6924" s="106"/>
      <c r="QU6924" s="106"/>
      <c r="QV6924" s="106"/>
      <c r="QW6924" s="106"/>
      <c r="QX6924" s="106"/>
      <c r="QY6924" s="106"/>
      <c r="QZ6924" s="106"/>
      <c r="RA6924" s="106"/>
      <c r="RB6924" s="106"/>
      <c r="RC6924" s="106"/>
      <c r="RD6924" s="106"/>
      <c r="RE6924" s="106"/>
      <c r="RF6924" s="106"/>
      <c r="RG6924" s="106"/>
      <c r="RH6924" s="106"/>
      <c r="RI6924" s="106"/>
      <c r="RJ6924" s="106"/>
      <c r="RK6924" s="106"/>
      <c r="RL6924" s="106"/>
    </row>
    <row r="6925" spans="462:480" x14ac:dyDescent="0.3">
      <c r="QT6925" s="106"/>
      <c r="QU6925" s="106"/>
      <c r="QV6925" s="106"/>
      <c r="QW6925" s="106"/>
      <c r="QX6925" s="106"/>
      <c r="QY6925" s="106"/>
      <c r="QZ6925" s="106"/>
      <c r="RA6925" s="106"/>
      <c r="RB6925" s="106"/>
      <c r="RC6925" s="106"/>
      <c r="RD6925" s="106"/>
      <c r="RE6925" s="106"/>
      <c r="RF6925" s="106"/>
      <c r="RG6925" s="106"/>
      <c r="RH6925" s="106"/>
      <c r="RI6925" s="106"/>
      <c r="RJ6925" s="106"/>
      <c r="RK6925" s="106"/>
      <c r="RL6925" s="106"/>
    </row>
    <row r="6926" spans="462:480" x14ac:dyDescent="0.3">
      <c r="QT6926" s="106"/>
      <c r="QU6926" s="106"/>
      <c r="QV6926" s="106"/>
      <c r="QW6926" s="106"/>
      <c r="QX6926" s="106"/>
      <c r="QY6926" s="106"/>
      <c r="QZ6926" s="106"/>
      <c r="RA6926" s="106"/>
      <c r="RB6926" s="106"/>
      <c r="RC6926" s="106"/>
      <c r="RD6926" s="106"/>
      <c r="RE6926" s="106"/>
      <c r="RF6926" s="106"/>
      <c r="RG6926" s="106"/>
      <c r="RH6926" s="106"/>
      <c r="RI6926" s="106"/>
      <c r="RJ6926" s="106"/>
      <c r="RK6926" s="106"/>
      <c r="RL6926" s="106"/>
    </row>
    <row r="6927" spans="462:480" x14ac:dyDescent="0.3">
      <c r="QT6927" s="106"/>
      <c r="QU6927" s="106"/>
      <c r="QV6927" s="106"/>
      <c r="QW6927" s="106"/>
      <c r="QX6927" s="106"/>
      <c r="QY6927" s="106"/>
      <c r="QZ6927" s="106"/>
      <c r="RA6927" s="106"/>
      <c r="RB6927" s="106"/>
      <c r="RC6927" s="106"/>
      <c r="RD6927" s="106"/>
      <c r="RE6927" s="106"/>
      <c r="RF6927" s="106"/>
      <c r="RG6927" s="106"/>
      <c r="RH6927" s="106"/>
      <c r="RI6927" s="106"/>
      <c r="RJ6927" s="106"/>
      <c r="RK6927" s="106"/>
      <c r="RL6927" s="106"/>
    </row>
    <row r="6928" spans="462:480" x14ac:dyDescent="0.3">
      <c r="QT6928" s="106"/>
      <c r="QU6928" s="106"/>
      <c r="QV6928" s="106"/>
      <c r="QW6928" s="106"/>
      <c r="QX6928" s="106"/>
      <c r="QY6928" s="106"/>
      <c r="QZ6928" s="106"/>
      <c r="RA6928" s="106"/>
      <c r="RB6928" s="106"/>
      <c r="RC6928" s="106"/>
      <c r="RD6928" s="106"/>
      <c r="RE6928" s="106"/>
      <c r="RF6928" s="106"/>
      <c r="RG6928" s="106"/>
      <c r="RH6928" s="106"/>
      <c r="RI6928" s="106"/>
      <c r="RJ6928" s="106"/>
      <c r="RK6928" s="106"/>
      <c r="RL6928" s="106"/>
    </row>
    <row r="6929" spans="462:480" x14ac:dyDescent="0.3">
      <c r="QT6929" s="106"/>
      <c r="QU6929" s="106"/>
      <c r="QV6929" s="106"/>
      <c r="QW6929" s="106"/>
      <c r="QX6929" s="106"/>
      <c r="QY6929" s="106"/>
      <c r="QZ6929" s="106"/>
      <c r="RA6929" s="106"/>
      <c r="RB6929" s="106"/>
      <c r="RC6929" s="106"/>
      <c r="RD6929" s="106"/>
      <c r="RE6929" s="106"/>
      <c r="RF6929" s="106"/>
      <c r="RG6929" s="106"/>
      <c r="RH6929" s="106"/>
      <c r="RI6929" s="106"/>
      <c r="RJ6929" s="106"/>
      <c r="RK6929" s="106"/>
      <c r="RL6929" s="106"/>
    </row>
    <row r="6930" spans="462:480" x14ac:dyDescent="0.3">
      <c r="QT6930" s="106"/>
      <c r="QU6930" s="106"/>
      <c r="QV6930" s="106"/>
      <c r="QW6930" s="106"/>
      <c r="QX6930" s="106"/>
      <c r="QY6930" s="106"/>
      <c r="QZ6930" s="106"/>
      <c r="RA6930" s="106"/>
      <c r="RB6930" s="106"/>
      <c r="RC6930" s="106"/>
      <c r="RD6930" s="106"/>
      <c r="RE6930" s="106"/>
      <c r="RF6930" s="106"/>
      <c r="RG6930" s="106"/>
      <c r="RH6930" s="106"/>
      <c r="RI6930" s="106"/>
      <c r="RJ6930" s="106"/>
      <c r="RK6930" s="106"/>
      <c r="RL6930" s="106"/>
    </row>
    <row r="6931" spans="462:480" x14ac:dyDescent="0.3">
      <c r="QT6931" s="106"/>
      <c r="QU6931" s="106"/>
      <c r="QV6931" s="106"/>
      <c r="QW6931" s="106"/>
      <c r="QX6931" s="106"/>
      <c r="QY6931" s="106"/>
      <c r="QZ6931" s="106"/>
      <c r="RA6931" s="106"/>
      <c r="RB6931" s="106"/>
      <c r="RC6931" s="106"/>
      <c r="RD6931" s="106"/>
      <c r="RE6931" s="106"/>
      <c r="RF6931" s="106"/>
      <c r="RG6931" s="106"/>
      <c r="RH6931" s="106"/>
      <c r="RI6931" s="106"/>
      <c r="RJ6931" s="106"/>
      <c r="RK6931" s="106"/>
      <c r="RL6931" s="106"/>
    </row>
    <row r="6932" spans="462:480" x14ac:dyDescent="0.3">
      <c r="QT6932" s="106"/>
      <c r="QU6932" s="106"/>
      <c r="QV6932" s="106"/>
      <c r="QW6932" s="106"/>
      <c r="QX6932" s="106"/>
      <c r="QY6932" s="106"/>
      <c r="QZ6932" s="106"/>
      <c r="RA6932" s="106"/>
      <c r="RB6932" s="106"/>
      <c r="RC6932" s="106"/>
      <c r="RD6932" s="106"/>
      <c r="RE6932" s="106"/>
      <c r="RF6932" s="106"/>
      <c r="RG6932" s="106"/>
      <c r="RH6932" s="106"/>
      <c r="RI6932" s="106"/>
      <c r="RJ6932" s="106"/>
      <c r="RK6932" s="106"/>
      <c r="RL6932" s="106"/>
    </row>
    <row r="6933" spans="462:480" x14ac:dyDescent="0.3">
      <c r="QT6933" s="106"/>
      <c r="QU6933" s="106"/>
      <c r="QV6933" s="106"/>
      <c r="QW6933" s="106"/>
      <c r="QX6933" s="106"/>
      <c r="QY6933" s="106"/>
      <c r="QZ6933" s="106"/>
      <c r="RA6933" s="106"/>
      <c r="RB6933" s="106"/>
      <c r="RC6933" s="106"/>
      <c r="RD6933" s="106"/>
      <c r="RE6933" s="106"/>
      <c r="RF6933" s="106"/>
      <c r="RG6933" s="106"/>
      <c r="RH6933" s="106"/>
      <c r="RI6933" s="106"/>
      <c r="RJ6933" s="106"/>
      <c r="RK6933" s="106"/>
      <c r="RL6933" s="106"/>
    </row>
    <row r="6934" spans="462:480" x14ac:dyDescent="0.3">
      <c r="QT6934" s="106"/>
      <c r="QU6934" s="106"/>
      <c r="QV6934" s="106"/>
      <c r="QW6934" s="106"/>
      <c r="QX6934" s="106"/>
      <c r="QY6934" s="106"/>
      <c r="QZ6934" s="106"/>
      <c r="RA6934" s="106"/>
      <c r="RB6934" s="106"/>
      <c r="RC6934" s="106"/>
      <c r="RD6934" s="106"/>
      <c r="RE6934" s="106"/>
      <c r="RF6934" s="106"/>
      <c r="RG6934" s="106"/>
      <c r="RH6934" s="106"/>
      <c r="RI6934" s="106"/>
      <c r="RJ6934" s="106"/>
      <c r="RK6934" s="106"/>
      <c r="RL6934" s="106"/>
    </row>
    <row r="6935" spans="462:480" x14ac:dyDescent="0.3">
      <c r="QT6935" s="106"/>
      <c r="QU6935" s="106"/>
      <c r="QV6935" s="106"/>
      <c r="QW6935" s="106"/>
      <c r="QX6935" s="106"/>
      <c r="QY6935" s="106"/>
      <c r="QZ6935" s="106"/>
      <c r="RA6935" s="106"/>
      <c r="RB6935" s="106"/>
      <c r="RC6935" s="106"/>
      <c r="RD6935" s="106"/>
      <c r="RE6935" s="106"/>
      <c r="RF6935" s="106"/>
      <c r="RG6935" s="106"/>
      <c r="RH6935" s="106"/>
      <c r="RI6935" s="106"/>
      <c r="RJ6935" s="106"/>
      <c r="RK6935" s="106"/>
      <c r="RL6935" s="106"/>
    </row>
    <row r="6936" spans="462:480" x14ac:dyDescent="0.3">
      <c r="QT6936" s="106"/>
      <c r="QU6936" s="106"/>
      <c r="QV6936" s="106"/>
      <c r="QW6936" s="106"/>
      <c r="QX6936" s="106"/>
      <c r="QY6936" s="106"/>
      <c r="QZ6936" s="106"/>
      <c r="RA6936" s="106"/>
      <c r="RB6936" s="106"/>
      <c r="RC6936" s="106"/>
      <c r="RD6936" s="106"/>
      <c r="RE6936" s="106"/>
      <c r="RF6936" s="106"/>
      <c r="RG6936" s="106"/>
      <c r="RH6936" s="106"/>
      <c r="RI6936" s="106"/>
      <c r="RJ6936" s="106"/>
      <c r="RK6936" s="106"/>
      <c r="RL6936" s="106"/>
    </row>
    <row r="6937" spans="462:480" x14ac:dyDescent="0.3">
      <c r="QT6937" s="106"/>
      <c r="QU6937" s="106"/>
      <c r="QV6937" s="106"/>
      <c r="QW6937" s="106"/>
      <c r="QX6937" s="106"/>
      <c r="QY6937" s="106"/>
      <c r="QZ6937" s="106"/>
      <c r="RA6937" s="106"/>
      <c r="RB6937" s="106"/>
      <c r="RC6937" s="106"/>
      <c r="RD6937" s="106"/>
      <c r="RE6937" s="106"/>
      <c r="RF6937" s="106"/>
      <c r="RG6937" s="106"/>
      <c r="RH6937" s="106"/>
      <c r="RI6937" s="106"/>
      <c r="RJ6937" s="106"/>
      <c r="RK6937" s="106"/>
      <c r="RL6937" s="106"/>
    </row>
    <row r="6938" spans="462:480" x14ac:dyDescent="0.3">
      <c r="QT6938" s="106"/>
      <c r="QU6938" s="106"/>
      <c r="QV6938" s="106"/>
      <c r="QW6938" s="106"/>
      <c r="QX6938" s="106"/>
      <c r="QY6938" s="106"/>
      <c r="QZ6938" s="106"/>
      <c r="RA6938" s="106"/>
      <c r="RB6938" s="106"/>
      <c r="RC6938" s="106"/>
      <c r="RD6938" s="106"/>
      <c r="RE6938" s="106"/>
      <c r="RF6938" s="106"/>
      <c r="RG6938" s="106"/>
      <c r="RH6938" s="106"/>
      <c r="RI6938" s="106"/>
      <c r="RJ6938" s="106"/>
      <c r="RK6938" s="106"/>
      <c r="RL6938" s="106"/>
    </row>
    <row r="6939" spans="462:480" x14ac:dyDescent="0.3">
      <c r="QT6939" s="106"/>
      <c r="QU6939" s="106"/>
      <c r="QV6939" s="106"/>
      <c r="QW6939" s="106"/>
      <c r="QX6939" s="106"/>
      <c r="QY6939" s="106"/>
      <c r="QZ6939" s="106"/>
      <c r="RA6939" s="106"/>
      <c r="RB6939" s="106"/>
      <c r="RC6939" s="106"/>
      <c r="RD6939" s="106"/>
      <c r="RE6939" s="106"/>
      <c r="RF6939" s="106"/>
      <c r="RG6939" s="106"/>
      <c r="RH6939" s="106"/>
      <c r="RI6939" s="106"/>
      <c r="RJ6939" s="106"/>
      <c r="RK6939" s="106"/>
      <c r="RL6939" s="106"/>
    </row>
    <row r="6940" spans="462:480" x14ac:dyDescent="0.3">
      <c r="QT6940" s="106"/>
      <c r="QU6940" s="106"/>
      <c r="QV6940" s="106"/>
      <c r="QW6940" s="106"/>
      <c r="QX6940" s="106"/>
      <c r="QY6940" s="106"/>
      <c r="QZ6940" s="106"/>
      <c r="RA6940" s="106"/>
      <c r="RB6940" s="106"/>
      <c r="RC6940" s="106"/>
      <c r="RD6940" s="106"/>
      <c r="RE6940" s="106"/>
      <c r="RF6940" s="106"/>
      <c r="RG6940" s="106"/>
      <c r="RH6940" s="106"/>
      <c r="RI6940" s="106"/>
      <c r="RJ6940" s="106"/>
      <c r="RK6940" s="106"/>
      <c r="RL6940" s="106"/>
    </row>
    <row r="6941" spans="462:480" x14ac:dyDescent="0.3">
      <c r="QT6941" s="106"/>
      <c r="QU6941" s="106"/>
      <c r="QV6941" s="106"/>
      <c r="QW6941" s="106"/>
      <c r="QX6941" s="106"/>
      <c r="QY6941" s="106"/>
      <c r="QZ6941" s="106"/>
      <c r="RA6941" s="106"/>
      <c r="RB6941" s="106"/>
      <c r="RC6941" s="106"/>
      <c r="RD6941" s="106"/>
      <c r="RE6941" s="106"/>
      <c r="RF6941" s="106"/>
      <c r="RG6941" s="106"/>
      <c r="RH6941" s="106"/>
      <c r="RI6941" s="106"/>
      <c r="RJ6941" s="106"/>
      <c r="RK6941" s="106"/>
      <c r="RL6941" s="106"/>
    </row>
    <row r="6942" spans="462:480" x14ac:dyDescent="0.3">
      <c r="QT6942" s="106"/>
      <c r="QU6942" s="106"/>
      <c r="QV6942" s="106"/>
      <c r="QW6942" s="106"/>
      <c r="QX6942" s="106"/>
      <c r="QY6942" s="106"/>
      <c r="QZ6942" s="106"/>
      <c r="RA6942" s="106"/>
      <c r="RB6942" s="106"/>
      <c r="RC6942" s="106"/>
      <c r="RD6942" s="106"/>
      <c r="RE6942" s="106"/>
      <c r="RF6942" s="106"/>
      <c r="RG6942" s="106"/>
      <c r="RH6942" s="106"/>
      <c r="RI6942" s="106"/>
      <c r="RJ6942" s="106"/>
      <c r="RK6942" s="106"/>
      <c r="RL6942" s="106"/>
    </row>
    <row r="6943" spans="462:480" x14ac:dyDescent="0.3">
      <c r="QT6943" s="106"/>
      <c r="QU6943" s="106"/>
      <c r="QV6943" s="106"/>
      <c r="QW6943" s="106"/>
      <c r="QX6943" s="106"/>
      <c r="QY6943" s="106"/>
      <c r="QZ6943" s="106"/>
      <c r="RA6943" s="106"/>
      <c r="RB6943" s="106"/>
      <c r="RC6943" s="106"/>
      <c r="RD6943" s="106"/>
      <c r="RE6943" s="106"/>
      <c r="RF6943" s="106"/>
      <c r="RG6943" s="106"/>
      <c r="RH6943" s="106"/>
      <c r="RI6943" s="106"/>
      <c r="RJ6943" s="106"/>
      <c r="RK6943" s="106"/>
      <c r="RL6943" s="106"/>
    </row>
    <row r="6944" spans="462:480" x14ac:dyDescent="0.3">
      <c r="QT6944" s="106"/>
      <c r="QU6944" s="106"/>
      <c r="QV6944" s="106"/>
      <c r="QW6944" s="106"/>
      <c r="QX6944" s="106"/>
      <c r="QY6944" s="106"/>
      <c r="QZ6944" s="106"/>
      <c r="RA6944" s="106"/>
      <c r="RB6944" s="106"/>
      <c r="RC6944" s="106"/>
      <c r="RD6944" s="106"/>
      <c r="RE6944" s="106"/>
      <c r="RF6944" s="106"/>
      <c r="RG6944" s="106"/>
      <c r="RH6944" s="106"/>
      <c r="RI6944" s="106"/>
      <c r="RJ6944" s="106"/>
      <c r="RK6944" s="106"/>
      <c r="RL6944" s="106"/>
    </row>
    <row r="6945" spans="462:480" x14ac:dyDescent="0.3">
      <c r="QT6945" s="106"/>
      <c r="QU6945" s="106"/>
      <c r="QV6945" s="106"/>
      <c r="QW6945" s="106"/>
      <c r="QX6945" s="106"/>
      <c r="QY6945" s="106"/>
      <c r="QZ6945" s="106"/>
      <c r="RA6945" s="106"/>
      <c r="RB6945" s="106"/>
      <c r="RC6945" s="106"/>
      <c r="RD6945" s="106"/>
      <c r="RE6945" s="106"/>
      <c r="RF6945" s="106"/>
      <c r="RG6945" s="106"/>
      <c r="RH6945" s="106"/>
      <c r="RI6945" s="106"/>
      <c r="RJ6945" s="106"/>
      <c r="RK6945" s="106"/>
      <c r="RL6945" s="106"/>
    </row>
    <row r="6946" spans="462:480" x14ac:dyDescent="0.3">
      <c r="QT6946" s="106"/>
      <c r="QU6946" s="106"/>
      <c r="QV6946" s="106"/>
      <c r="QW6946" s="106"/>
      <c r="QX6946" s="106"/>
      <c r="QY6946" s="106"/>
      <c r="QZ6946" s="106"/>
      <c r="RA6946" s="106"/>
      <c r="RB6946" s="106"/>
      <c r="RC6946" s="106"/>
      <c r="RD6946" s="106"/>
      <c r="RE6946" s="106"/>
      <c r="RF6946" s="106"/>
      <c r="RG6946" s="106"/>
      <c r="RH6946" s="106"/>
      <c r="RI6946" s="106"/>
      <c r="RJ6946" s="106"/>
      <c r="RK6946" s="106"/>
      <c r="RL6946" s="106"/>
    </row>
    <row r="6947" spans="462:480" x14ac:dyDescent="0.3">
      <c r="QT6947" s="106"/>
      <c r="QU6947" s="106"/>
      <c r="QV6947" s="106"/>
      <c r="QW6947" s="106"/>
      <c r="QX6947" s="106"/>
      <c r="QY6947" s="106"/>
      <c r="QZ6947" s="106"/>
      <c r="RA6947" s="106"/>
      <c r="RB6947" s="106"/>
      <c r="RC6947" s="106"/>
      <c r="RD6947" s="106"/>
      <c r="RE6947" s="106"/>
      <c r="RF6947" s="106"/>
      <c r="RG6947" s="106"/>
      <c r="RH6947" s="106"/>
      <c r="RI6947" s="106"/>
      <c r="RJ6947" s="106"/>
      <c r="RK6947" s="106"/>
      <c r="RL6947" s="106"/>
    </row>
    <row r="6948" spans="462:480" x14ac:dyDescent="0.3">
      <c r="QT6948" s="106"/>
      <c r="QU6948" s="106"/>
      <c r="QV6948" s="106"/>
      <c r="QW6948" s="106"/>
      <c r="QX6948" s="106"/>
      <c r="QY6948" s="106"/>
      <c r="QZ6948" s="106"/>
      <c r="RA6948" s="106"/>
      <c r="RB6948" s="106"/>
      <c r="RC6948" s="106"/>
      <c r="RD6948" s="106"/>
      <c r="RE6948" s="106"/>
      <c r="RF6948" s="106"/>
      <c r="RG6948" s="106"/>
      <c r="RH6948" s="106"/>
      <c r="RI6948" s="106"/>
      <c r="RJ6948" s="106"/>
      <c r="RK6948" s="106"/>
      <c r="RL6948" s="106"/>
    </row>
    <row r="6949" spans="462:480" x14ac:dyDescent="0.3">
      <c r="QT6949" s="106"/>
      <c r="QU6949" s="106"/>
      <c r="QV6949" s="106"/>
      <c r="QW6949" s="106"/>
      <c r="QX6949" s="106"/>
      <c r="QY6949" s="106"/>
      <c r="QZ6949" s="106"/>
      <c r="RA6949" s="106"/>
      <c r="RB6949" s="106"/>
      <c r="RC6949" s="106"/>
      <c r="RD6949" s="106"/>
      <c r="RE6949" s="106"/>
      <c r="RF6949" s="106"/>
      <c r="RG6949" s="106"/>
      <c r="RH6949" s="106"/>
      <c r="RI6949" s="106"/>
      <c r="RJ6949" s="106"/>
      <c r="RK6949" s="106"/>
      <c r="RL6949" s="106"/>
    </row>
    <row r="6950" spans="462:480" x14ac:dyDescent="0.3">
      <c r="QT6950" s="106"/>
      <c r="QU6950" s="106"/>
      <c r="QV6950" s="106"/>
      <c r="QW6950" s="106"/>
      <c r="QX6950" s="106"/>
      <c r="QY6950" s="106"/>
      <c r="QZ6950" s="106"/>
      <c r="RA6950" s="106"/>
      <c r="RB6950" s="106"/>
      <c r="RC6950" s="106"/>
      <c r="RD6950" s="106"/>
      <c r="RE6950" s="106"/>
      <c r="RF6950" s="106"/>
      <c r="RG6950" s="106"/>
      <c r="RH6950" s="106"/>
      <c r="RI6950" s="106"/>
      <c r="RJ6950" s="106"/>
      <c r="RK6950" s="106"/>
      <c r="RL6950" s="106"/>
    </row>
    <row r="6951" spans="462:480" x14ac:dyDescent="0.3">
      <c r="QT6951" s="106"/>
      <c r="QU6951" s="106"/>
      <c r="QV6951" s="106"/>
      <c r="QW6951" s="106"/>
      <c r="QX6951" s="106"/>
      <c r="QY6951" s="106"/>
      <c r="QZ6951" s="106"/>
      <c r="RA6951" s="106"/>
      <c r="RB6951" s="106"/>
      <c r="RC6951" s="106"/>
      <c r="RD6951" s="106"/>
      <c r="RE6951" s="106"/>
      <c r="RF6951" s="106"/>
      <c r="RG6951" s="106"/>
      <c r="RH6951" s="106"/>
      <c r="RI6951" s="106"/>
      <c r="RJ6951" s="106"/>
      <c r="RK6951" s="106"/>
      <c r="RL6951" s="106"/>
    </row>
    <row r="6952" spans="462:480" x14ac:dyDescent="0.3">
      <c r="QT6952" s="106"/>
      <c r="QU6952" s="106"/>
      <c r="QV6952" s="106"/>
      <c r="QW6952" s="106"/>
      <c r="QX6952" s="106"/>
      <c r="QY6952" s="106"/>
      <c r="QZ6952" s="106"/>
      <c r="RA6952" s="106"/>
      <c r="RB6952" s="106"/>
      <c r="RC6952" s="106"/>
      <c r="RD6952" s="106"/>
      <c r="RE6952" s="106"/>
      <c r="RF6952" s="106"/>
      <c r="RG6952" s="106"/>
      <c r="RH6952" s="106"/>
      <c r="RI6952" s="106"/>
      <c r="RJ6952" s="106"/>
      <c r="RK6952" s="106"/>
      <c r="RL6952" s="106"/>
    </row>
    <row r="6953" spans="462:480" x14ac:dyDescent="0.3">
      <c r="QT6953" s="106"/>
      <c r="QU6953" s="106"/>
      <c r="QV6953" s="106"/>
      <c r="QW6953" s="106"/>
      <c r="QX6953" s="106"/>
      <c r="QY6953" s="106"/>
      <c r="QZ6953" s="106"/>
      <c r="RA6953" s="106"/>
      <c r="RB6953" s="106"/>
      <c r="RC6953" s="106"/>
      <c r="RD6953" s="106"/>
      <c r="RE6953" s="106"/>
      <c r="RF6953" s="106"/>
      <c r="RG6953" s="106"/>
      <c r="RH6953" s="106"/>
      <c r="RI6953" s="106"/>
      <c r="RJ6953" s="106"/>
      <c r="RK6953" s="106"/>
      <c r="RL6953" s="106"/>
    </row>
    <row r="6954" spans="462:480" x14ac:dyDescent="0.3">
      <c r="QT6954" s="106"/>
      <c r="QU6954" s="106"/>
      <c r="QV6954" s="106"/>
      <c r="QW6954" s="106"/>
      <c r="QX6954" s="106"/>
      <c r="QY6954" s="106"/>
      <c r="QZ6954" s="106"/>
      <c r="RA6954" s="106"/>
      <c r="RB6954" s="106"/>
      <c r="RC6954" s="106"/>
      <c r="RD6954" s="106"/>
      <c r="RE6954" s="106"/>
      <c r="RF6954" s="106"/>
      <c r="RG6954" s="106"/>
      <c r="RH6954" s="106"/>
      <c r="RI6954" s="106"/>
      <c r="RJ6954" s="106"/>
      <c r="RK6954" s="106"/>
      <c r="RL6954" s="106"/>
    </row>
    <row r="6955" spans="462:480" x14ac:dyDescent="0.3">
      <c r="QT6955" s="106"/>
      <c r="QU6955" s="106"/>
      <c r="QV6955" s="106"/>
      <c r="QW6955" s="106"/>
      <c r="QX6955" s="106"/>
      <c r="QY6955" s="106"/>
      <c r="QZ6955" s="106"/>
      <c r="RA6955" s="106"/>
      <c r="RB6955" s="106"/>
      <c r="RC6955" s="106"/>
      <c r="RD6955" s="106"/>
      <c r="RE6955" s="106"/>
      <c r="RF6955" s="106"/>
      <c r="RG6955" s="106"/>
      <c r="RH6955" s="106"/>
      <c r="RI6955" s="106"/>
      <c r="RJ6955" s="106"/>
      <c r="RK6955" s="106"/>
      <c r="RL6955" s="106"/>
    </row>
    <row r="6956" spans="462:480" x14ac:dyDescent="0.3">
      <c r="QT6956" s="106"/>
      <c r="QU6956" s="106"/>
      <c r="QV6956" s="106"/>
      <c r="QW6956" s="106"/>
      <c r="QX6956" s="106"/>
      <c r="QY6956" s="106"/>
      <c r="QZ6956" s="106"/>
      <c r="RA6956" s="106"/>
      <c r="RB6956" s="106"/>
      <c r="RC6956" s="106"/>
      <c r="RD6956" s="106"/>
      <c r="RE6956" s="106"/>
      <c r="RF6956" s="106"/>
      <c r="RG6956" s="106"/>
      <c r="RH6956" s="106"/>
      <c r="RI6956" s="106"/>
      <c r="RJ6956" s="106"/>
      <c r="RK6956" s="106"/>
      <c r="RL6956" s="106"/>
    </row>
    <row r="6957" spans="462:480" x14ac:dyDescent="0.3">
      <c r="QT6957" s="106"/>
      <c r="QU6957" s="106"/>
      <c r="QV6957" s="106"/>
      <c r="QW6957" s="106"/>
      <c r="QX6957" s="106"/>
      <c r="QY6957" s="106"/>
      <c r="QZ6957" s="106"/>
      <c r="RA6957" s="106"/>
      <c r="RB6957" s="106"/>
      <c r="RC6957" s="106"/>
      <c r="RD6957" s="106"/>
      <c r="RE6957" s="106"/>
      <c r="RF6957" s="106"/>
      <c r="RG6957" s="106"/>
      <c r="RH6957" s="106"/>
      <c r="RI6957" s="106"/>
      <c r="RJ6957" s="106"/>
      <c r="RK6957" s="106"/>
      <c r="RL6957" s="106"/>
    </row>
    <row r="6958" spans="462:480" x14ac:dyDescent="0.3">
      <c r="QT6958" s="106"/>
      <c r="QU6958" s="106"/>
      <c r="QV6958" s="106"/>
      <c r="QW6958" s="106"/>
      <c r="QX6958" s="106"/>
      <c r="QY6958" s="106"/>
      <c r="QZ6958" s="106"/>
      <c r="RA6958" s="106"/>
      <c r="RB6958" s="106"/>
      <c r="RC6958" s="106"/>
      <c r="RD6958" s="106"/>
      <c r="RE6958" s="106"/>
      <c r="RF6958" s="106"/>
      <c r="RG6958" s="106"/>
      <c r="RH6958" s="106"/>
      <c r="RI6958" s="106"/>
      <c r="RJ6958" s="106"/>
      <c r="RK6958" s="106"/>
      <c r="RL6958" s="106"/>
    </row>
    <row r="6959" spans="462:480" x14ac:dyDescent="0.3">
      <c r="QT6959" s="106"/>
      <c r="QU6959" s="106"/>
      <c r="QV6959" s="106"/>
      <c r="QW6959" s="106"/>
      <c r="QX6959" s="106"/>
      <c r="QY6959" s="106"/>
      <c r="QZ6959" s="106"/>
      <c r="RA6959" s="106"/>
      <c r="RB6959" s="106"/>
      <c r="RC6959" s="106"/>
      <c r="RD6959" s="106"/>
      <c r="RE6959" s="106"/>
      <c r="RF6959" s="106"/>
      <c r="RG6959" s="106"/>
      <c r="RH6959" s="106"/>
      <c r="RI6959" s="106"/>
      <c r="RJ6959" s="106"/>
      <c r="RK6959" s="106"/>
      <c r="RL6959" s="106"/>
    </row>
    <row r="6960" spans="462:480" x14ac:dyDescent="0.3">
      <c r="QT6960" s="106"/>
      <c r="QU6960" s="106"/>
      <c r="QV6960" s="106"/>
      <c r="QW6960" s="106"/>
      <c r="QX6960" s="106"/>
      <c r="QY6960" s="106"/>
      <c r="QZ6960" s="106"/>
      <c r="RA6960" s="106"/>
      <c r="RB6960" s="106"/>
      <c r="RC6960" s="106"/>
      <c r="RD6960" s="106"/>
      <c r="RE6960" s="106"/>
      <c r="RF6960" s="106"/>
      <c r="RG6960" s="106"/>
      <c r="RH6960" s="106"/>
      <c r="RI6960" s="106"/>
      <c r="RJ6960" s="106"/>
      <c r="RK6960" s="106"/>
      <c r="RL6960" s="106"/>
    </row>
    <row r="6961" spans="462:480" x14ac:dyDescent="0.3">
      <c r="QT6961" s="106"/>
      <c r="QU6961" s="106"/>
      <c r="QV6961" s="106"/>
      <c r="QW6961" s="106"/>
      <c r="QX6961" s="106"/>
      <c r="QY6961" s="106"/>
      <c r="QZ6961" s="106"/>
      <c r="RA6961" s="106"/>
      <c r="RB6961" s="106"/>
      <c r="RC6961" s="106"/>
      <c r="RD6961" s="106"/>
      <c r="RE6961" s="106"/>
      <c r="RF6961" s="106"/>
      <c r="RG6961" s="106"/>
      <c r="RH6961" s="106"/>
      <c r="RI6961" s="106"/>
      <c r="RJ6961" s="106"/>
      <c r="RK6961" s="106"/>
      <c r="RL6961" s="106"/>
    </row>
    <row r="6962" spans="462:480" x14ac:dyDescent="0.3">
      <c r="QT6962" s="106"/>
      <c r="QU6962" s="106"/>
      <c r="QV6962" s="106"/>
      <c r="QW6962" s="106"/>
      <c r="QX6962" s="106"/>
      <c r="QY6962" s="106"/>
      <c r="QZ6962" s="106"/>
      <c r="RA6962" s="106"/>
      <c r="RB6962" s="106"/>
      <c r="RC6962" s="106"/>
      <c r="RD6962" s="106"/>
      <c r="RE6962" s="106"/>
      <c r="RF6962" s="106"/>
      <c r="RG6962" s="106"/>
      <c r="RH6962" s="106"/>
      <c r="RI6962" s="106"/>
      <c r="RJ6962" s="106"/>
      <c r="RK6962" s="106"/>
      <c r="RL6962" s="106"/>
    </row>
    <row r="6963" spans="462:480" x14ac:dyDescent="0.3">
      <c r="QT6963" s="106"/>
      <c r="QU6963" s="106"/>
      <c r="QV6963" s="106"/>
      <c r="QW6963" s="106"/>
      <c r="QX6963" s="106"/>
      <c r="QY6963" s="106"/>
      <c r="QZ6963" s="106"/>
      <c r="RA6963" s="106"/>
      <c r="RB6963" s="106"/>
      <c r="RC6963" s="106"/>
      <c r="RD6963" s="106"/>
      <c r="RE6963" s="106"/>
      <c r="RF6963" s="106"/>
      <c r="RG6963" s="106"/>
      <c r="RH6963" s="106"/>
      <c r="RI6963" s="106"/>
      <c r="RJ6963" s="106"/>
      <c r="RK6963" s="106"/>
      <c r="RL6963" s="106"/>
    </row>
    <row r="6964" spans="462:480" x14ac:dyDescent="0.3">
      <c r="QT6964" s="106"/>
      <c r="QU6964" s="106"/>
      <c r="QV6964" s="106"/>
      <c r="QW6964" s="106"/>
      <c r="QX6964" s="106"/>
      <c r="QY6964" s="106"/>
      <c r="QZ6964" s="106"/>
      <c r="RA6964" s="106"/>
      <c r="RB6964" s="106"/>
      <c r="RC6964" s="106"/>
      <c r="RD6964" s="106"/>
      <c r="RE6964" s="106"/>
      <c r="RF6964" s="106"/>
      <c r="RG6964" s="106"/>
      <c r="RH6964" s="106"/>
      <c r="RI6964" s="106"/>
      <c r="RJ6964" s="106"/>
      <c r="RK6964" s="106"/>
      <c r="RL6964" s="106"/>
    </row>
    <row r="6965" spans="462:480" x14ac:dyDescent="0.3">
      <c r="QT6965" s="106"/>
      <c r="QU6965" s="106"/>
      <c r="QV6965" s="106"/>
      <c r="QW6965" s="106"/>
      <c r="QX6965" s="106"/>
      <c r="QY6965" s="106"/>
      <c r="QZ6965" s="106"/>
      <c r="RA6965" s="106"/>
      <c r="RB6965" s="106"/>
      <c r="RC6965" s="106"/>
      <c r="RD6965" s="106"/>
      <c r="RE6965" s="106"/>
      <c r="RF6965" s="106"/>
      <c r="RG6965" s="106"/>
      <c r="RH6965" s="106"/>
      <c r="RI6965" s="106"/>
      <c r="RJ6965" s="106"/>
      <c r="RK6965" s="106"/>
      <c r="RL6965" s="106"/>
    </row>
    <row r="6966" spans="462:480" x14ac:dyDescent="0.3">
      <c r="QT6966" s="106"/>
      <c r="QU6966" s="106"/>
      <c r="QV6966" s="106"/>
      <c r="QW6966" s="106"/>
      <c r="QX6966" s="106"/>
      <c r="QY6966" s="106"/>
      <c r="QZ6966" s="106"/>
      <c r="RA6966" s="106"/>
      <c r="RB6966" s="106"/>
      <c r="RC6966" s="106"/>
      <c r="RD6966" s="106"/>
      <c r="RE6966" s="106"/>
      <c r="RF6966" s="106"/>
      <c r="RG6966" s="106"/>
      <c r="RH6966" s="106"/>
      <c r="RI6966" s="106"/>
      <c r="RJ6966" s="106"/>
      <c r="RK6966" s="106"/>
      <c r="RL6966" s="106"/>
    </row>
    <row r="6967" spans="462:480" x14ac:dyDescent="0.3">
      <c r="QT6967" s="106"/>
      <c r="QU6967" s="106"/>
      <c r="QV6967" s="106"/>
      <c r="QW6967" s="106"/>
      <c r="QX6967" s="106"/>
      <c r="QY6967" s="106"/>
      <c r="QZ6967" s="106"/>
      <c r="RA6967" s="106"/>
      <c r="RB6967" s="106"/>
      <c r="RC6967" s="106"/>
      <c r="RD6967" s="106"/>
      <c r="RE6967" s="106"/>
      <c r="RF6967" s="106"/>
      <c r="RG6967" s="106"/>
      <c r="RH6967" s="106"/>
      <c r="RI6967" s="106"/>
      <c r="RJ6967" s="106"/>
      <c r="RK6967" s="106"/>
      <c r="RL6967" s="106"/>
    </row>
    <row r="6968" spans="462:480" x14ac:dyDescent="0.3">
      <c r="QT6968" s="106"/>
      <c r="QU6968" s="106"/>
      <c r="QV6968" s="106"/>
      <c r="QW6968" s="106"/>
      <c r="QX6968" s="106"/>
      <c r="QY6968" s="106"/>
      <c r="QZ6968" s="106"/>
      <c r="RA6968" s="106"/>
      <c r="RB6968" s="106"/>
      <c r="RC6968" s="106"/>
      <c r="RD6968" s="106"/>
      <c r="RE6968" s="106"/>
      <c r="RF6968" s="106"/>
      <c r="RG6968" s="106"/>
      <c r="RH6968" s="106"/>
      <c r="RI6968" s="106"/>
      <c r="RJ6968" s="106"/>
      <c r="RK6968" s="106"/>
      <c r="RL6968" s="106"/>
    </row>
    <row r="6969" spans="462:480" x14ac:dyDescent="0.3">
      <c r="QT6969" s="106"/>
      <c r="QU6969" s="106"/>
      <c r="QV6969" s="106"/>
      <c r="QW6969" s="106"/>
      <c r="QX6969" s="106"/>
      <c r="QY6969" s="106"/>
      <c r="QZ6969" s="106"/>
      <c r="RA6969" s="106"/>
      <c r="RB6969" s="106"/>
      <c r="RC6969" s="106"/>
      <c r="RD6969" s="106"/>
      <c r="RE6969" s="106"/>
      <c r="RF6969" s="106"/>
      <c r="RG6969" s="106"/>
      <c r="RH6969" s="106"/>
      <c r="RI6969" s="106"/>
      <c r="RJ6969" s="106"/>
      <c r="RK6969" s="106"/>
      <c r="RL6969" s="106"/>
    </row>
    <row r="6970" spans="462:480" x14ac:dyDescent="0.3">
      <c r="QT6970" s="106"/>
      <c r="QU6970" s="106"/>
      <c r="QV6970" s="106"/>
      <c r="QW6970" s="106"/>
      <c r="QX6970" s="106"/>
      <c r="QY6970" s="106"/>
      <c r="QZ6970" s="106"/>
      <c r="RA6970" s="106"/>
      <c r="RB6970" s="106"/>
      <c r="RC6970" s="106"/>
      <c r="RD6970" s="106"/>
      <c r="RE6970" s="106"/>
      <c r="RF6970" s="106"/>
      <c r="RG6970" s="106"/>
      <c r="RH6970" s="106"/>
      <c r="RI6970" s="106"/>
      <c r="RJ6970" s="106"/>
      <c r="RK6970" s="106"/>
      <c r="RL6970" s="106"/>
    </row>
    <row r="6971" spans="462:480" x14ac:dyDescent="0.3">
      <c r="QT6971" s="106"/>
      <c r="QU6971" s="106"/>
      <c r="QV6971" s="106"/>
      <c r="QW6971" s="106"/>
      <c r="QX6971" s="106"/>
      <c r="QY6971" s="106"/>
      <c r="QZ6971" s="106"/>
      <c r="RA6971" s="106"/>
      <c r="RB6971" s="106"/>
      <c r="RC6971" s="106"/>
      <c r="RD6971" s="106"/>
      <c r="RE6971" s="106"/>
      <c r="RF6971" s="106"/>
      <c r="RG6971" s="106"/>
      <c r="RH6971" s="106"/>
      <c r="RI6971" s="106"/>
      <c r="RJ6971" s="106"/>
      <c r="RK6971" s="106"/>
      <c r="RL6971" s="106"/>
    </row>
    <row r="6972" spans="462:480" x14ac:dyDescent="0.3">
      <c r="QT6972" s="106"/>
      <c r="QU6972" s="106"/>
      <c r="QV6972" s="106"/>
      <c r="QW6972" s="106"/>
      <c r="QX6972" s="106"/>
      <c r="QY6972" s="106"/>
      <c r="QZ6972" s="106"/>
      <c r="RA6972" s="106"/>
      <c r="RB6972" s="106"/>
      <c r="RC6972" s="106"/>
      <c r="RD6972" s="106"/>
      <c r="RE6972" s="106"/>
      <c r="RF6972" s="106"/>
      <c r="RG6972" s="106"/>
      <c r="RH6972" s="106"/>
      <c r="RI6972" s="106"/>
      <c r="RJ6972" s="106"/>
      <c r="RK6972" s="106"/>
      <c r="RL6972" s="106"/>
    </row>
    <row r="6973" spans="462:480" x14ac:dyDescent="0.3">
      <c r="QT6973" s="106"/>
      <c r="QU6973" s="106"/>
      <c r="QV6973" s="106"/>
      <c r="QW6973" s="106"/>
      <c r="QX6973" s="106"/>
      <c r="QY6973" s="106"/>
      <c r="QZ6973" s="106"/>
      <c r="RA6973" s="106"/>
      <c r="RB6973" s="106"/>
      <c r="RC6973" s="106"/>
      <c r="RD6973" s="106"/>
      <c r="RE6973" s="106"/>
      <c r="RF6973" s="106"/>
      <c r="RG6973" s="106"/>
      <c r="RH6973" s="106"/>
      <c r="RI6973" s="106"/>
      <c r="RJ6973" s="106"/>
      <c r="RK6973" s="106"/>
      <c r="RL6973" s="106"/>
    </row>
    <row r="6974" spans="462:480" x14ac:dyDescent="0.3">
      <c r="QT6974" s="106"/>
      <c r="QU6974" s="106"/>
      <c r="QV6974" s="106"/>
      <c r="QW6974" s="106"/>
      <c r="QX6974" s="106"/>
      <c r="QY6974" s="106"/>
      <c r="QZ6974" s="106"/>
      <c r="RA6974" s="106"/>
      <c r="RB6974" s="106"/>
      <c r="RC6974" s="106"/>
      <c r="RD6974" s="106"/>
      <c r="RE6974" s="106"/>
      <c r="RF6974" s="106"/>
      <c r="RG6974" s="106"/>
      <c r="RH6974" s="106"/>
      <c r="RI6974" s="106"/>
      <c r="RJ6974" s="106"/>
      <c r="RK6974" s="106"/>
      <c r="RL6974" s="106"/>
    </row>
    <row r="6975" spans="462:480" x14ac:dyDescent="0.3">
      <c r="QT6975" s="106"/>
      <c r="QU6975" s="106"/>
      <c r="QV6975" s="106"/>
      <c r="QW6975" s="106"/>
      <c r="QX6975" s="106"/>
      <c r="QY6975" s="106"/>
      <c r="QZ6975" s="106"/>
      <c r="RA6975" s="106"/>
      <c r="RB6975" s="106"/>
      <c r="RC6975" s="106"/>
      <c r="RD6975" s="106"/>
      <c r="RE6975" s="106"/>
      <c r="RF6975" s="106"/>
      <c r="RG6975" s="106"/>
      <c r="RH6975" s="106"/>
      <c r="RI6975" s="106"/>
      <c r="RJ6975" s="106"/>
      <c r="RK6975" s="106"/>
      <c r="RL6975" s="106"/>
    </row>
    <row r="6976" spans="462:480" x14ac:dyDescent="0.3">
      <c r="QT6976" s="106"/>
      <c r="QU6976" s="106"/>
      <c r="QV6976" s="106"/>
      <c r="QW6976" s="106"/>
      <c r="QX6976" s="106"/>
      <c r="QY6976" s="106"/>
      <c r="QZ6976" s="106"/>
      <c r="RA6976" s="106"/>
      <c r="RB6976" s="106"/>
      <c r="RC6976" s="106"/>
      <c r="RD6976" s="106"/>
      <c r="RE6976" s="106"/>
      <c r="RF6976" s="106"/>
      <c r="RG6976" s="106"/>
      <c r="RH6976" s="106"/>
      <c r="RI6976" s="106"/>
      <c r="RJ6976" s="106"/>
      <c r="RK6976" s="106"/>
      <c r="RL6976" s="106"/>
    </row>
    <row r="6977" spans="462:480" x14ac:dyDescent="0.3">
      <c r="QT6977" s="106"/>
      <c r="QU6977" s="106"/>
      <c r="QV6977" s="106"/>
      <c r="QW6977" s="106"/>
      <c r="QX6977" s="106"/>
      <c r="QY6977" s="106"/>
      <c r="QZ6977" s="106"/>
      <c r="RA6977" s="106"/>
      <c r="RB6977" s="106"/>
      <c r="RC6977" s="106"/>
      <c r="RD6977" s="106"/>
      <c r="RE6977" s="106"/>
      <c r="RF6977" s="106"/>
      <c r="RG6977" s="106"/>
      <c r="RH6977" s="106"/>
      <c r="RI6977" s="106"/>
      <c r="RJ6977" s="106"/>
      <c r="RK6977" s="106"/>
      <c r="RL6977" s="106"/>
    </row>
    <row r="6978" spans="462:480" x14ac:dyDescent="0.3">
      <c r="QT6978" s="106"/>
      <c r="QU6978" s="106"/>
      <c r="QV6978" s="106"/>
      <c r="QW6978" s="106"/>
      <c r="QX6978" s="106"/>
      <c r="QY6978" s="106"/>
      <c r="QZ6978" s="106"/>
      <c r="RA6978" s="106"/>
      <c r="RB6978" s="106"/>
      <c r="RC6978" s="106"/>
      <c r="RD6978" s="106"/>
      <c r="RE6978" s="106"/>
      <c r="RF6978" s="106"/>
      <c r="RG6978" s="106"/>
      <c r="RH6978" s="106"/>
      <c r="RI6978" s="106"/>
      <c r="RJ6978" s="106"/>
      <c r="RK6978" s="106"/>
      <c r="RL6978" s="106"/>
    </row>
    <row r="6979" spans="462:480" x14ac:dyDescent="0.3">
      <c r="QT6979" s="106"/>
      <c r="QU6979" s="106"/>
      <c r="QV6979" s="106"/>
      <c r="QW6979" s="106"/>
      <c r="QX6979" s="106"/>
      <c r="QY6979" s="106"/>
      <c r="QZ6979" s="106"/>
      <c r="RA6979" s="106"/>
      <c r="RB6979" s="106"/>
      <c r="RC6979" s="106"/>
      <c r="RD6979" s="106"/>
      <c r="RE6979" s="106"/>
      <c r="RF6979" s="106"/>
      <c r="RG6979" s="106"/>
      <c r="RH6979" s="106"/>
      <c r="RI6979" s="106"/>
      <c r="RJ6979" s="106"/>
      <c r="RK6979" s="106"/>
      <c r="RL6979" s="106"/>
    </row>
    <row r="6980" spans="462:480" x14ac:dyDescent="0.3">
      <c r="QT6980" s="106"/>
      <c r="QU6980" s="106"/>
      <c r="QV6980" s="106"/>
      <c r="QW6980" s="106"/>
      <c r="QX6980" s="106"/>
      <c r="QY6980" s="106"/>
      <c r="QZ6980" s="106"/>
      <c r="RA6980" s="106"/>
      <c r="RB6980" s="106"/>
      <c r="RC6980" s="106"/>
      <c r="RD6980" s="106"/>
      <c r="RE6980" s="106"/>
      <c r="RF6980" s="106"/>
      <c r="RG6980" s="106"/>
      <c r="RH6980" s="106"/>
      <c r="RI6980" s="106"/>
      <c r="RJ6980" s="106"/>
      <c r="RK6980" s="106"/>
      <c r="RL6980" s="106"/>
    </row>
    <row r="6981" spans="462:480" x14ac:dyDescent="0.3">
      <c r="QT6981" s="106"/>
      <c r="QU6981" s="106"/>
      <c r="QV6981" s="106"/>
      <c r="QW6981" s="106"/>
      <c r="QX6981" s="106"/>
      <c r="QY6981" s="106"/>
      <c r="QZ6981" s="106"/>
      <c r="RA6981" s="106"/>
      <c r="RB6981" s="106"/>
      <c r="RC6981" s="106"/>
      <c r="RD6981" s="106"/>
      <c r="RE6981" s="106"/>
      <c r="RF6981" s="106"/>
      <c r="RG6981" s="106"/>
      <c r="RH6981" s="106"/>
      <c r="RI6981" s="106"/>
      <c r="RJ6981" s="106"/>
      <c r="RK6981" s="106"/>
      <c r="RL6981" s="106"/>
    </row>
    <row r="6982" spans="462:480" x14ac:dyDescent="0.3">
      <c r="QT6982" s="106"/>
      <c r="QU6982" s="106"/>
      <c r="QV6982" s="106"/>
      <c r="QW6982" s="106"/>
      <c r="QX6982" s="106"/>
      <c r="QY6982" s="106"/>
      <c r="QZ6982" s="106"/>
      <c r="RA6982" s="106"/>
      <c r="RB6982" s="106"/>
      <c r="RC6982" s="106"/>
      <c r="RD6982" s="106"/>
      <c r="RE6982" s="106"/>
      <c r="RF6982" s="106"/>
      <c r="RG6982" s="106"/>
      <c r="RH6982" s="106"/>
      <c r="RI6982" s="106"/>
      <c r="RJ6982" s="106"/>
      <c r="RK6982" s="106"/>
      <c r="RL6982" s="106"/>
    </row>
    <row r="6983" spans="462:480" x14ac:dyDescent="0.3">
      <c r="QT6983" s="106"/>
      <c r="QU6983" s="106"/>
      <c r="QV6983" s="106"/>
      <c r="QW6983" s="106"/>
      <c r="QX6983" s="106"/>
      <c r="QY6983" s="106"/>
      <c r="QZ6983" s="106"/>
      <c r="RA6983" s="106"/>
      <c r="RB6983" s="106"/>
      <c r="RC6983" s="106"/>
      <c r="RD6983" s="106"/>
      <c r="RE6983" s="106"/>
      <c r="RF6983" s="106"/>
      <c r="RG6983" s="106"/>
      <c r="RH6983" s="106"/>
      <c r="RI6983" s="106"/>
      <c r="RJ6983" s="106"/>
      <c r="RK6983" s="106"/>
      <c r="RL6983" s="106"/>
    </row>
    <row r="6984" spans="462:480" x14ac:dyDescent="0.3">
      <c r="QT6984" s="106"/>
      <c r="QU6984" s="106"/>
      <c r="QV6984" s="106"/>
      <c r="QW6984" s="106"/>
      <c r="QX6984" s="106"/>
      <c r="QY6984" s="106"/>
      <c r="QZ6984" s="106"/>
      <c r="RA6984" s="106"/>
      <c r="RB6984" s="106"/>
      <c r="RC6984" s="106"/>
      <c r="RD6984" s="106"/>
      <c r="RE6984" s="106"/>
      <c r="RF6984" s="106"/>
      <c r="RG6984" s="106"/>
      <c r="RH6984" s="106"/>
      <c r="RI6984" s="106"/>
      <c r="RJ6984" s="106"/>
      <c r="RK6984" s="106"/>
      <c r="RL6984" s="106"/>
    </row>
    <row r="6985" spans="462:480" x14ac:dyDescent="0.3">
      <c r="QT6985" s="106"/>
      <c r="QU6985" s="106"/>
      <c r="QV6985" s="106"/>
      <c r="QW6985" s="106"/>
      <c r="QX6985" s="106"/>
      <c r="QY6985" s="106"/>
      <c r="QZ6985" s="106"/>
      <c r="RA6985" s="106"/>
      <c r="RB6985" s="106"/>
      <c r="RC6985" s="106"/>
      <c r="RD6985" s="106"/>
      <c r="RE6985" s="106"/>
      <c r="RF6985" s="106"/>
      <c r="RG6985" s="106"/>
      <c r="RH6985" s="106"/>
      <c r="RI6985" s="106"/>
      <c r="RJ6985" s="106"/>
      <c r="RK6985" s="106"/>
      <c r="RL6985" s="106"/>
    </row>
    <row r="6986" spans="462:480" x14ac:dyDescent="0.3">
      <c r="QT6986" s="106"/>
      <c r="QU6986" s="106"/>
      <c r="QV6986" s="106"/>
      <c r="QW6986" s="106"/>
      <c r="QX6986" s="106"/>
      <c r="QY6986" s="106"/>
      <c r="QZ6986" s="106"/>
      <c r="RA6986" s="106"/>
      <c r="RB6986" s="106"/>
      <c r="RC6986" s="106"/>
      <c r="RD6986" s="106"/>
      <c r="RE6986" s="106"/>
      <c r="RF6986" s="106"/>
      <c r="RG6986" s="106"/>
      <c r="RH6986" s="106"/>
      <c r="RI6986" s="106"/>
      <c r="RJ6986" s="106"/>
      <c r="RK6986" s="106"/>
      <c r="RL6986" s="106"/>
    </row>
    <row r="6987" spans="462:480" x14ac:dyDescent="0.3">
      <c r="QT6987" s="106"/>
      <c r="QU6987" s="106"/>
      <c r="QV6987" s="106"/>
      <c r="QW6987" s="106"/>
      <c r="QX6987" s="106"/>
      <c r="QY6987" s="106"/>
      <c r="QZ6987" s="106"/>
      <c r="RA6987" s="106"/>
      <c r="RB6987" s="106"/>
      <c r="RC6987" s="106"/>
      <c r="RD6987" s="106"/>
      <c r="RE6987" s="106"/>
      <c r="RF6987" s="106"/>
      <c r="RG6987" s="106"/>
      <c r="RH6987" s="106"/>
      <c r="RI6987" s="106"/>
      <c r="RJ6987" s="106"/>
      <c r="RK6987" s="106"/>
      <c r="RL6987" s="106"/>
    </row>
    <row r="6988" spans="462:480" x14ac:dyDescent="0.3">
      <c r="QT6988" s="106"/>
      <c r="QU6988" s="106"/>
      <c r="QV6988" s="106"/>
      <c r="QW6988" s="106"/>
      <c r="QX6988" s="106"/>
      <c r="QY6988" s="106"/>
      <c r="QZ6988" s="106"/>
      <c r="RA6988" s="106"/>
      <c r="RB6988" s="106"/>
      <c r="RC6988" s="106"/>
      <c r="RD6988" s="106"/>
      <c r="RE6988" s="106"/>
      <c r="RF6988" s="106"/>
      <c r="RG6988" s="106"/>
      <c r="RH6988" s="106"/>
      <c r="RI6988" s="106"/>
      <c r="RJ6988" s="106"/>
      <c r="RK6988" s="106"/>
      <c r="RL6988" s="106"/>
    </row>
    <row r="6989" spans="462:480" x14ac:dyDescent="0.3">
      <c r="QT6989" s="106"/>
      <c r="QU6989" s="106"/>
      <c r="QV6989" s="106"/>
      <c r="QW6989" s="106"/>
      <c r="QX6989" s="106"/>
      <c r="QY6989" s="106"/>
      <c r="QZ6989" s="106"/>
      <c r="RA6989" s="106"/>
      <c r="RB6989" s="106"/>
      <c r="RC6989" s="106"/>
      <c r="RD6989" s="106"/>
      <c r="RE6989" s="106"/>
      <c r="RF6989" s="106"/>
      <c r="RG6989" s="106"/>
      <c r="RH6989" s="106"/>
      <c r="RI6989" s="106"/>
      <c r="RJ6989" s="106"/>
      <c r="RK6989" s="106"/>
      <c r="RL6989" s="106"/>
    </row>
    <row r="6990" spans="462:480" x14ac:dyDescent="0.3">
      <c r="QT6990" s="106"/>
      <c r="QU6990" s="106"/>
      <c r="QV6990" s="106"/>
      <c r="QW6990" s="106"/>
      <c r="QX6990" s="106"/>
      <c r="QY6990" s="106"/>
      <c r="QZ6990" s="106"/>
      <c r="RA6990" s="106"/>
      <c r="RB6990" s="106"/>
      <c r="RC6990" s="106"/>
      <c r="RD6990" s="106"/>
      <c r="RE6990" s="106"/>
      <c r="RF6990" s="106"/>
      <c r="RG6990" s="106"/>
      <c r="RH6990" s="106"/>
      <c r="RI6990" s="106"/>
      <c r="RJ6990" s="106"/>
      <c r="RK6990" s="106"/>
      <c r="RL6990" s="106"/>
    </row>
    <row r="6991" spans="462:480" x14ac:dyDescent="0.3">
      <c r="QT6991" s="106"/>
      <c r="QU6991" s="106"/>
      <c r="QV6991" s="106"/>
      <c r="QW6991" s="106"/>
      <c r="QX6991" s="106"/>
      <c r="QY6991" s="106"/>
      <c r="QZ6991" s="106"/>
      <c r="RA6991" s="106"/>
      <c r="RB6991" s="106"/>
      <c r="RC6991" s="106"/>
      <c r="RD6991" s="106"/>
      <c r="RE6991" s="106"/>
      <c r="RF6991" s="106"/>
      <c r="RG6991" s="106"/>
      <c r="RH6991" s="106"/>
      <c r="RI6991" s="106"/>
      <c r="RJ6991" s="106"/>
      <c r="RK6991" s="106"/>
      <c r="RL6991" s="106"/>
    </row>
    <row r="6992" spans="462:480" x14ac:dyDescent="0.3">
      <c r="QT6992" s="106"/>
      <c r="QU6992" s="106"/>
      <c r="QV6992" s="106"/>
      <c r="QW6992" s="106"/>
      <c r="QX6992" s="106"/>
      <c r="QY6992" s="106"/>
      <c r="QZ6992" s="106"/>
      <c r="RA6992" s="106"/>
      <c r="RB6992" s="106"/>
      <c r="RC6992" s="106"/>
      <c r="RD6992" s="106"/>
      <c r="RE6992" s="106"/>
      <c r="RF6992" s="106"/>
      <c r="RG6992" s="106"/>
      <c r="RH6992" s="106"/>
      <c r="RI6992" s="106"/>
      <c r="RJ6992" s="106"/>
      <c r="RK6992" s="106"/>
      <c r="RL6992" s="106"/>
    </row>
    <row r="6993" spans="462:480" x14ac:dyDescent="0.3">
      <c r="QT6993" s="106"/>
      <c r="QU6993" s="106"/>
      <c r="QV6993" s="106"/>
      <c r="QW6993" s="106"/>
      <c r="QX6993" s="106"/>
      <c r="QY6993" s="106"/>
      <c r="QZ6993" s="106"/>
      <c r="RA6993" s="106"/>
      <c r="RB6993" s="106"/>
      <c r="RC6993" s="106"/>
      <c r="RD6993" s="106"/>
      <c r="RE6993" s="106"/>
      <c r="RF6993" s="106"/>
      <c r="RG6993" s="106"/>
      <c r="RH6993" s="106"/>
      <c r="RI6993" s="106"/>
      <c r="RJ6993" s="106"/>
      <c r="RK6993" s="106"/>
      <c r="RL6993" s="106"/>
    </row>
    <row r="6994" spans="462:480" x14ac:dyDescent="0.3">
      <c r="QT6994" s="106"/>
      <c r="QU6994" s="106"/>
      <c r="QV6994" s="106"/>
      <c r="QW6994" s="106"/>
      <c r="QX6994" s="106"/>
      <c r="QY6994" s="106"/>
      <c r="QZ6994" s="106"/>
      <c r="RA6994" s="106"/>
      <c r="RB6994" s="106"/>
      <c r="RC6994" s="106"/>
      <c r="RD6994" s="106"/>
      <c r="RE6994" s="106"/>
      <c r="RF6994" s="106"/>
      <c r="RG6994" s="106"/>
      <c r="RH6994" s="106"/>
      <c r="RI6994" s="106"/>
      <c r="RJ6994" s="106"/>
      <c r="RK6994" s="106"/>
      <c r="RL6994" s="106"/>
    </row>
    <row r="6995" spans="462:480" x14ac:dyDescent="0.3">
      <c r="QT6995" s="106"/>
      <c r="QU6995" s="106"/>
      <c r="QV6995" s="106"/>
      <c r="QW6995" s="106"/>
      <c r="QX6995" s="106"/>
      <c r="QY6995" s="106"/>
      <c r="QZ6995" s="106"/>
      <c r="RA6995" s="106"/>
      <c r="RB6995" s="106"/>
      <c r="RC6995" s="106"/>
      <c r="RD6995" s="106"/>
      <c r="RE6995" s="106"/>
      <c r="RF6995" s="106"/>
      <c r="RG6995" s="106"/>
      <c r="RH6995" s="106"/>
      <c r="RI6995" s="106"/>
      <c r="RJ6995" s="106"/>
      <c r="RK6995" s="106"/>
      <c r="RL6995" s="106"/>
    </row>
    <row r="6996" spans="462:480" x14ac:dyDescent="0.3">
      <c r="QT6996" s="106"/>
      <c r="QU6996" s="106"/>
      <c r="QV6996" s="106"/>
      <c r="QW6996" s="106"/>
      <c r="QX6996" s="106"/>
      <c r="QY6996" s="106"/>
      <c r="QZ6996" s="106"/>
      <c r="RA6996" s="106"/>
      <c r="RB6996" s="106"/>
      <c r="RC6996" s="106"/>
      <c r="RD6996" s="106"/>
      <c r="RE6996" s="106"/>
      <c r="RF6996" s="106"/>
      <c r="RG6996" s="106"/>
      <c r="RH6996" s="106"/>
      <c r="RI6996" s="106"/>
      <c r="RJ6996" s="106"/>
      <c r="RK6996" s="106"/>
      <c r="RL6996" s="106"/>
    </row>
    <row r="6997" spans="462:480" x14ac:dyDescent="0.3">
      <c r="QT6997" s="106"/>
      <c r="QU6997" s="106"/>
      <c r="QV6997" s="106"/>
      <c r="QW6997" s="106"/>
      <c r="QX6997" s="106"/>
      <c r="QY6997" s="106"/>
      <c r="QZ6997" s="106"/>
      <c r="RA6997" s="106"/>
      <c r="RB6997" s="106"/>
      <c r="RC6997" s="106"/>
      <c r="RD6997" s="106"/>
      <c r="RE6997" s="106"/>
      <c r="RF6997" s="106"/>
      <c r="RG6997" s="106"/>
      <c r="RH6997" s="106"/>
      <c r="RI6997" s="106"/>
      <c r="RJ6997" s="106"/>
      <c r="RK6997" s="106"/>
      <c r="RL6997" s="106"/>
    </row>
    <row r="6998" spans="462:480" x14ac:dyDescent="0.3">
      <c r="QT6998" s="106"/>
      <c r="QU6998" s="106"/>
      <c r="QV6998" s="106"/>
      <c r="QW6998" s="106"/>
      <c r="QX6998" s="106"/>
      <c r="QY6998" s="106"/>
      <c r="QZ6998" s="106"/>
      <c r="RA6998" s="106"/>
      <c r="RB6998" s="106"/>
      <c r="RC6998" s="106"/>
      <c r="RD6998" s="106"/>
      <c r="RE6998" s="106"/>
      <c r="RF6998" s="106"/>
      <c r="RG6998" s="106"/>
      <c r="RH6998" s="106"/>
      <c r="RI6998" s="106"/>
      <c r="RJ6998" s="106"/>
      <c r="RK6998" s="106"/>
      <c r="RL6998" s="106"/>
    </row>
    <row r="6999" spans="462:480" x14ac:dyDescent="0.3">
      <c r="QT6999" s="106"/>
      <c r="QU6999" s="106"/>
      <c r="QV6999" s="106"/>
      <c r="QW6999" s="106"/>
      <c r="QX6999" s="106"/>
      <c r="QY6999" s="106"/>
      <c r="QZ6999" s="106"/>
      <c r="RA6999" s="106"/>
      <c r="RB6999" s="106"/>
      <c r="RC6999" s="106"/>
      <c r="RD6999" s="106"/>
      <c r="RE6999" s="106"/>
      <c r="RF6999" s="106"/>
      <c r="RG6999" s="106"/>
      <c r="RH6999" s="106"/>
      <c r="RI6999" s="106"/>
      <c r="RJ6999" s="106"/>
      <c r="RK6999" s="106"/>
      <c r="RL6999" s="106"/>
    </row>
    <row r="7000" spans="462:480" x14ac:dyDescent="0.3">
      <c r="QT7000" s="106"/>
      <c r="QU7000" s="106"/>
      <c r="QV7000" s="106"/>
      <c r="QW7000" s="106"/>
      <c r="QX7000" s="106"/>
      <c r="QY7000" s="106"/>
      <c r="QZ7000" s="106"/>
      <c r="RA7000" s="106"/>
      <c r="RB7000" s="106"/>
      <c r="RC7000" s="106"/>
      <c r="RD7000" s="106"/>
      <c r="RE7000" s="106"/>
      <c r="RF7000" s="106"/>
      <c r="RG7000" s="106"/>
      <c r="RH7000" s="106"/>
      <c r="RI7000" s="106"/>
      <c r="RJ7000" s="106"/>
      <c r="RK7000" s="106"/>
      <c r="RL7000" s="106"/>
    </row>
    <row r="7001" spans="462:480" x14ac:dyDescent="0.3">
      <c r="QT7001" s="106"/>
      <c r="QU7001" s="106"/>
      <c r="QV7001" s="106"/>
      <c r="QW7001" s="106"/>
      <c r="QX7001" s="106"/>
      <c r="QY7001" s="106"/>
      <c r="QZ7001" s="106"/>
      <c r="RA7001" s="106"/>
      <c r="RB7001" s="106"/>
      <c r="RC7001" s="106"/>
      <c r="RD7001" s="106"/>
      <c r="RE7001" s="106"/>
      <c r="RF7001" s="106"/>
      <c r="RG7001" s="106"/>
      <c r="RH7001" s="106"/>
      <c r="RI7001" s="106"/>
      <c r="RJ7001" s="106"/>
      <c r="RK7001" s="106"/>
      <c r="RL7001" s="106"/>
    </row>
    <row r="7002" spans="462:480" x14ac:dyDescent="0.3">
      <c r="QT7002" s="106"/>
      <c r="QU7002" s="106"/>
      <c r="QV7002" s="106"/>
      <c r="QW7002" s="106"/>
      <c r="QX7002" s="106"/>
      <c r="QY7002" s="106"/>
      <c r="QZ7002" s="106"/>
      <c r="RA7002" s="106"/>
      <c r="RB7002" s="106"/>
      <c r="RC7002" s="106"/>
      <c r="RD7002" s="106"/>
      <c r="RE7002" s="106"/>
      <c r="RF7002" s="106"/>
      <c r="RG7002" s="106"/>
      <c r="RH7002" s="106"/>
      <c r="RI7002" s="106"/>
      <c r="RJ7002" s="106"/>
      <c r="RK7002" s="106"/>
      <c r="RL7002" s="106"/>
    </row>
    <row r="7003" spans="462:480" x14ac:dyDescent="0.3">
      <c r="QT7003" s="106"/>
      <c r="QU7003" s="106"/>
      <c r="QV7003" s="106"/>
      <c r="QW7003" s="106"/>
      <c r="QX7003" s="106"/>
      <c r="QY7003" s="106"/>
      <c r="QZ7003" s="106"/>
      <c r="RA7003" s="106"/>
      <c r="RB7003" s="106"/>
      <c r="RC7003" s="106"/>
      <c r="RD7003" s="106"/>
      <c r="RE7003" s="106"/>
      <c r="RF7003" s="106"/>
      <c r="RG7003" s="106"/>
      <c r="RH7003" s="106"/>
      <c r="RI7003" s="106"/>
      <c r="RJ7003" s="106"/>
      <c r="RK7003" s="106"/>
      <c r="RL7003" s="106"/>
    </row>
    <row r="7004" spans="462:480" x14ac:dyDescent="0.3">
      <c r="QT7004" s="106"/>
      <c r="QU7004" s="106"/>
      <c r="QV7004" s="106"/>
      <c r="QW7004" s="106"/>
      <c r="QX7004" s="106"/>
      <c r="QY7004" s="106"/>
      <c r="QZ7004" s="106"/>
      <c r="RA7004" s="106"/>
      <c r="RB7004" s="106"/>
      <c r="RC7004" s="106"/>
      <c r="RD7004" s="106"/>
      <c r="RE7004" s="106"/>
      <c r="RF7004" s="106"/>
      <c r="RG7004" s="106"/>
      <c r="RH7004" s="106"/>
      <c r="RI7004" s="106"/>
      <c r="RJ7004" s="106"/>
      <c r="RK7004" s="106"/>
      <c r="RL7004" s="106"/>
    </row>
    <row r="7005" spans="462:480" x14ac:dyDescent="0.3">
      <c r="QT7005" s="106"/>
      <c r="QU7005" s="106"/>
      <c r="QV7005" s="106"/>
      <c r="QW7005" s="106"/>
      <c r="QX7005" s="106"/>
      <c r="QY7005" s="106"/>
      <c r="QZ7005" s="106"/>
      <c r="RA7005" s="106"/>
      <c r="RB7005" s="106"/>
      <c r="RC7005" s="106"/>
      <c r="RD7005" s="106"/>
      <c r="RE7005" s="106"/>
      <c r="RF7005" s="106"/>
      <c r="RG7005" s="106"/>
      <c r="RH7005" s="106"/>
      <c r="RI7005" s="106"/>
      <c r="RJ7005" s="106"/>
      <c r="RK7005" s="106"/>
      <c r="RL7005" s="106"/>
    </row>
    <row r="7006" spans="462:480" x14ac:dyDescent="0.3">
      <c r="QT7006" s="106"/>
      <c r="QU7006" s="106"/>
      <c r="QV7006" s="106"/>
      <c r="QW7006" s="106"/>
      <c r="QX7006" s="106"/>
      <c r="QY7006" s="106"/>
      <c r="QZ7006" s="106"/>
      <c r="RA7006" s="106"/>
      <c r="RB7006" s="106"/>
      <c r="RC7006" s="106"/>
      <c r="RD7006" s="106"/>
      <c r="RE7006" s="106"/>
      <c r="RF7006" s="106"/>
      <c r="RG7006" s="106"/>
      <c r="RH7006" s="106"/>
      <c r="RI7006" s="106"/>
      <c r="RJ7006" s="106"/>
      <c r="RK7006" s="106"/>
      <c r="RL7006" s="106"/>
    </row>
    <row r="7007" spans="462:480" x14ac:dyDescent="0.3">
      <c r="QT7007" s="106"/>
      <c r="QU7007" s="106"/>
      <c r="QV7007" s="106"/>
      <c r="QW7007" s="106"/>
      <c r="QX7007" s="106"/>
      <c r="QY7007" s="106"/>
      <c r="QZ7007" s="106"/>
      <c r="RA7007" s="106"/>
      <c r="RB7007" s="106"/>
      <c r="RC7007" s="106"/>
      <c r="RD7007" s="106"/>
      <c r="RE7007" s="106"/>
      <c r="RF7007" s="106"/>
      <c r="RG7007" s="106"/>
      <c r="RH7007" s="106"/>
      <c r="RI7007" s="106"/>
      <c r="RJ7007" s="106"/>
      <c r="RK7007" s="106"/>
      <c r="RL7007" s="106"/>
    </row>
    <row r="7008" spans="462:480" x14ac:dyDescent="0.3">
      <c r="QT7008" s="106"/>
      <c r="QU7008" s="106"/>
      <c r="QV7008" s="106"/>
      <c r="QW7008" s="106"/>
      <c r="QX7008" s="106"/>
      <c r="QY7008" s="106"/>
      <c r="QZ7008" s="106"/>
      <c r="RA7008" s="106"/>
      <c r="RB7008" s="106"/>
      <c r="RC7008" s="106"/>
      <c r="RD7008" s="106"/>
      <c r="RE7008" s="106"/>
      <c r="RF7008" s="106"/>
      <c r="RG7008" s="106"/>
      <c r="RH7008" s="106"/>
      <c r="RI7008" s="106"/>
      <c r="RJ7008" s="106"/>
      <c r="RK7008" s="106"/>
      <c r="RL7008" s="106"/>
    </row>
    <row r="7009" spans="462:480" x14ac:dyDescent="0.3">
      <c r="QT7009" s="106"/>
      <c r="QU7009" s="106"/>
      <c r="QV7009" s="106"/>
      <c r="QW7009" s="106"/>
      <c r="QX7009" s="106"/>
      <c r="QY7009" s="106"/>
      <c r="QZ7009" s="106"/>
      <c r="RA7009" s="106"/>
      <c r="RB7009" s="106"/>
      <c r="RC7009" s="106"/>
      <c r="RD7009" s="106"/>
      <c r="RE7009" s="106"/>
      <c r="RF7009" s="106"/>
      <c r="RG7009" s="106"/>
      <c r="RH7009" s="106"/>
      <c r="RI7009" s="106"/>
      <c r="RJ7009" s="106"/>
      <c r="RK7009" s="106"/>
      <c r="RL7009" s="106"/>
    </row>
    <row r="7010" spans="462:480" x14ac:dyDescent="0.3">
      <c r="QT7010" s="106"/>
      <c r="QU7010" s="106"/>
      <c r="QV7010" s="106"/>
      <c r="QW7010" s="106"/>
      <c r="QX7010" s="106"/>
      <c r="QY7010" s="106"/>
      <c r="QZ7010" s="106"/>
      <c r="RA7010" s="106"/>
      <c r="RB7010" s="106"/>
      <c r="RC7010" s="106"/>
      <c r="RD7010" s="106"/>
      <c r="RE7010" s="106"/>
      <c r="RF7010" s="106"/>
      <c r="RG7010" s="106"/>
      <c r="RH7010" s="106"/>
      <c r="RI7010" s="106"/>
      <c r="RJ7010" s="106"/>
      <c r="RK7010" s="106"/>
      <c r="RL7010" s="106"/>
    </row>
    <row r="7011" spans="462:480" x14ac:dyDescent="0.3">
      <c r="QT7011" s="106"/>
      <c r="QU7011" s="106"/>
      <c r="QV7011" s="106"/>
      <c r="QW7011" s="106"/>
      <c r="QX7011" s="106"/>
      <c r="QY7011" s="106"/>
      <c r="QZ7011" s="106"/>
      <c r="RA7011" s="106"/>
      <c r="RB7011" s="106"/>
      <c r="RC7011" s="106"/>
      <c r="RD7011" s="106"/>
      <c r="RE7011" s="106"/>
      <c r="RF7011" s="106"/>
      <c r="RG7011" s="106"/>
      <c r="RH7011" s="106"/>
      <c r="RI7011" s="106"/>
      <c r="RJ7011" s="106"/>
      <c r="RK7011" s="106"/>
      <c r="RL7011" s="106"/>
    </row>
    <row r="7012" spans="462:480" x14ac:dyDescent="0.3">
      <c r="QT7012" s="106"/>
      <c r="QU7012" s="106"/>
      <c r="QV7012" s="106"/>
      <c r="QW7012" s="106"/>
      <c r="QX7012" s="106"/>
      <c r="QY7012" s="106"/>
      <c r="QZ7012" s="106"/>
      <c r="RA7012" s="106"/>
      <c r="RB7012" s="106"/>
      <c r="RC7012" s="106"/>
      <c r="RD7012" s="106"/>
      <c r="RE7012" s="106"/>
      <c r="RF7012" s="106"/>
      <c r="RG7012" s="106"/>
      <c r="RH7012" s="106"/>
      <c r="RI7012" s="106"/>
      <c r="RJ7012" s="106"/>
      <c r="RK7012" s="106"/>
      <c r="RL7012" s="106"/>
    </row>
    <row r="7013" spans="462:480" x14ac:dyDescent="0.3">
      <c r="QT7013" s="106"/>
      <c r="QU7013" s="106"/>
      <c r="QV7013" s="106"/>
      <c r="QW7013" s="106"/>
      <c r="QX7013" s="106"/>
      <c r="QY7013" s="106"/>
      <c r="QZ7013" s="106"/>
      <c r="RA7013" s="106"/>
      <c r="RB7013" s="106"/>
      <c r="RC7013" s="106"/>
      <c r="RD7013" s="106"/>
      <c r="RE7013" s="106"/>
      <c r="RF7013" s="106"/>
      <c r="RG7013" s="106"/>
      <c r="RH7013" s="106"/>
      <c r="RI7013" s="106"/>
      <c r="RJ7013" s="106"/>
      <c r="RK7013" s="106"/>
      <c r="RL7013" s="106"/>
    </row>
    <row r="7014" spans="462:480" x14ac:dyDescent="0.3">
      <c r="QT7014" s="106"/>
      <c r="QU7014" s="106"/>
      <c r="QV7014" s="106"/>
      <c r="QW7014" s="106"/>
      <c r="QX7014" s="106"/>
      <c r="QY7014" s="106"/>
      <c r="QZ7014" s="106"/>
      <c r="RA7014" s="106"/>
      <c r="RB7014" s="106"/>
      <c r="RC7014" s="106"/>
      <c r="RD7014" s="106"/>
      <c r="RE7014" s="106"/>
      <c r="RF7014" s="106"/>
      <c r="RG7014" s="106"/>
      <c r="RH7014" s="106"/>
      <c r="RI7014" s="106"/>
      <c r="RJ7014" s="106"/>
      <c r="RK7014" s="106"/>
      <c r="RL7014" s="106"/>
    </row>
    <row r="7015" spans="462:480" x14ac:dyDescent="0.3">
      <c r="QT7015" s="106"/>
      <c r="QU7015" s="106"/>
      <c r="QV7015" s="106"/>
      <c r="QW7015" s="106"/>
      <c r="QX7015" s="106"/>
      <c r="QY7015" s="106"/>
      <c r="QZ7015" s="106"/>
      <c r="RA7015" s="106"/>
      <c r="RB7015" s="106"/>
      <c r="RC7015" s="106"/>
      <c r="RD7015" s="106"/>
      <c r="RE7015" s="106"/>
      <c r="RF7015" s="106"/>
      <c r="RG7015" s="106"/>
      <c r="RH7015" s="106"/>
      <c r="RI7015" s="106"/>
      <c r="RJ7015" s="106"/>
      <c r="RK7015" s="106"/>
      <c r="RL7015" s="106"/>
    </row>
    <row r="7016" spans="462:480" x14ac:dyDescent="0.3">
      <c r="QT7016" s="106"/>
      <c r="QU7016" s="106"/>
      <c r="QV7016" s="106"/>
      <c r="QW7016" s="106"/>
      <c r="QX7016" s="106"/>
      <c r="QY7016" s="106"/>
      <c r="QZ7016" s="106"/>
      <c r="RA7016" s="106"/>
      <c r="RB7016" s="106"/>
      <c r="RC7016" s="106"/>
      <c r="RD7016" s="106"/>
      <c r="RE7016" s="106"/>
      <c r="RF7016" s="106"/>
      <c r="RG7016" s="106"/>
      <c r="RH7016" s="106"/>
      <c r="RI7016" s="106"/>
      <c r="RJ7016" s="106"/>
      <c r="RK7016" s="106"/>
      <c r="RL7016" s="106"/>
    </row>
    <row r="7017" spans="462:480" x14ac:dyDescent="0.3">
      <c r="QT7017" s="106"/>
      <c r="QU7017" s="106"/>
      <c r="QV7017" s="106"/>
      <c r="QW7017" s="106"/>
      <c r="QX7017" s="106"/>
      <c r="QY7017" s="106"/>
      <c r="QZ7017" s="106"/>
      <c r="RA7017" s="106"/>
      <c r="RB7017" s="106"/>
      <c r="RC7017" s="106"/>
      <c r="RD7017" s="106"/>
      <c r="RE7017" s="106"/>
      <c r="RF7017" s="106"/>
      <c r="RG7017" s="106"/>
      <c r="RH7017" s="106"/>
      <c r="RI7017" s="106"/>
      <c r="RJ7017" s="106"/>
      <c r="RK7017" s="106"/>
      <c r="RL7017" s="106"/>
    </row>
    <row r="7018" spans="462:480" x14ac:dyDescent="0.3">
      <c r="QT7018" s="106"/>
      <c r="QU7018" s="106"/>
      <c r="QV7018" s="106"/>
      <c r="QW7018" s="106"/>
      <c r="QX7018" s="106"/>
      <c r="QY7018" s="106"/>
      <c r="QZ7018" s="106"/>
      <c r="RA7018" s="106"/>
      <c r="RB7018" s="106"/>
      <c r="RC7018" s="106"/>
      <c r="RD7018" s="106"/>
      <c r="RE7018" s="106"/>
      <c r="RF7018" s="106"/>
      <c r="RG7018" s="106"/>
      <c r="RH7018" s="106"/>
      <c r="RI7018" s="106"/>
      <c r="RJ7018" s="106"/>
      <c r="RK7018" s="106"/>
      <c r="RL7018" s="106"/>
    </row>
    <row r="7019" spans="462:480" x14ac:dyDescent="0.3">
      <c r="QT7019" s="106"/>
      <c r="QU7019" s="106"/>
      <c r="QV7019" s="106"/>
      <c r="QW7019" s="106"/>
      <c r="QX7019" s="106"/>
      <c r="QY7019" s="106"/>
      <c r="QZ7019" s="106"/>
      <c r="RA7019" s="106"/>
      <c r="RB7019" s="106"/>
      <c r="RC7019" s="106"/>
      <c r="RD7019" s="106"/>
      <c r="RE7019" s="106"/>
      <c r="RF7019" s="106"/>
      <c r="RG7019" s="106"/>
      <c r="RH7019" s="106"/>
      <c r="RI7019" s="106"/>
      <c r="RJ7019" s="106"/>
      <c r="RK7019" s="106"/>
      <c r="RL7019" s="106"/>
    </row>
    <row r="7020" spans="462:480" x14ac:dyDescent="0.3">
      <c r="QT7020" s="106"/>
      <c r="QU7020" s="106"/>
      <c r="QV7020" s="106"/>
      <c r="QW7020" s="106"/>
      <c r="QX7020" s="106"/>
      <c r="QY7020" s="106"/>
      <c r="QZ7020" s="106"/>
      <c r="RA7020" s="106"/>
      <c r="RB7020" s="106"/>
      <c r="RC7020" s="106"/>
      <c r="RD7020" s="106"/>
      <c r="RE7020" s="106"/>
      <c r="RF7020" s="106"/>
      <c r="RG7020" s="106"/>
      <c r="RH7020" s="106"/>
      <c r="RI7020" s="106"/>
      <c r="RJ7020" s="106"/>
      <c r="RK7020" s="106"/>
      <c r="RL7020" s="106"/>
    </row>
    <row r="7021" spans="462:480" x14ac:dyDescent="0.3">
      <c r="QT7021" s="106"/>
      <c r="QU7021" s="106"/>
      <c r="QV7021" s="106"/>
      <c r="QW7021" s="106"/>
      <c r="QX7021" s="106"/>
      <c r="QY7021" s="106"/>
      <c r="QZ7021" s="106"/>
      <c r="RA7021" s="106"/>
      <c r="RB7021" s="106"/>
      <c r="RC7021" s="106"/>
      <c r="RD7021" s="106"/>
      <c r="RE7021" s="106"/>
      <c r="RF7021" s="106"/>
      <c r="RG7021" s="106"/>
      <c r="RH7021" s="106"/>
      <c r="RI7021" s="106"/>
      <c r="RJ7021" s="106"/>
      <c r="RK7021" s="106"/>
      <c r="RL7021" s="106"/>
    </row>
    <row r="7022" spans="462:480" x14ac:dyDescent="0.3">
      <c r="QT7022" s="106"/>
      <c r="QU7022" s="106"/>
      <c r="QV7022" s="106"/>
      <c r="QW7022" s="106"/>
      <c r="QX7022" s="106"/>
      <c r="QY7022" s="106"/>
      <c r="QZ7022" s="106"/>
      <c r="RA7022" s="106"/>
      <c r="RB7022" s="106"/>
      <c r="RC7022" s="106"/>
      <c r="RD7022" s="106"/>
      <c r="RE7022" s="106"/>
      <c r="RF7022" s="106"/>
      <c r="RG7022" s="106"/>
      <c r="RH7022" s="106"/>
      <c r="RI7022" s="106"/>
      <c r="RJ7022" s="106"/>
      <c r="RK7022" s="106"/>
      <c r="RL7022" s="106"/>
    </row>
    <row r="7023" spans="462:480" x14ac:dyDescent="0.3">
      <c r="QT7023" s="106"/>
      <c r="QU7023" s="106"/>
      <c r="QV7023" s="106"/>
      <c r="QW7023" s="106"/>
      <c r="QX7023" s="106"/>
      <c r="QY7023" s="106"/>
      <c r="QZ7023" s="106"/>
      <c r="RA7023" s="106"/>
      <c r="RB7023" s="106"/>
      <c r="RC7023" s="106"/>
      <c r="RD7023" s="106"/>
      <c r="RE7023" s="106"/>
      <c r="RF7023" s="106"/>
      <c r="RG7023" s="106"/>
      <c r="RH7023" s="106"/>
      <c r="RI7023" s="106"/>
      <c r="RJ7023" s="106"/>
      <c r="RK7023" s="106"/>
      <c r="RL7023" s="106"/>
    </row>
    <row r="7024" spans="462:480" x14ac:dyDescent="0.3">
      <c r="QT7024" s="106"/>
      <c r="QU7024" s="106"/>
      <c r="QV7024" s="106"/>
      <c r="QW7024" s="106"/>
      <c r="QX7024" s="106"/>
      <c r="QY7024" s="106"/>
      <c r="QZ7024" s="106"/>
      <c r="RA7024" s="106"/>
      <c r="RB7024" s="106"/>
      <c r="RC7024" s="106"/>
      <c r="RD7024" s="106"/>
      <c r="RE7024" s="106"/>
      <c r="RF7024" s="106"/>
      <c r="RG7024" s="106"/>
      <c r="RH7024" s="106"/>
      <c r="RI7024" s="106"/>
      <c r="RJ7024" s="106"/>
      <c r="RK7024" s="106"/>
      <c r="RL7024" s="106"/>
    </row>
    <row r="7025" spans="462:480" x14ac:dyDescent="0.3">
      <c r="QT7025" s="106"/>
      <c r="QU7025" s="106"/>
      <c r="QV7025" s="106"/>
      <c r="QW7025" s="106"/>
      <c r="QX7025" s="106"/>
      <c r="QY7025" s="106"/>
      <c r="QZ7025" s="106"/>
      <c r="RA7025" s="106"/>
      <c r="RB7025" s="106"/>
      <c r="RC7025" s="106"/>
      <c r="RD7025" s="106"/>
      <c r="RE7025" s="106"/>
      <c r="RF7025" s="106"/>
      <c r="RG7025" s="106"/>
      <c r="RH7025" s="106"/>
      <c r="RI7025" s="106"/>
      <c r="RJ7025" s="106"/>
      <c r="RK7025" s="106"/>
      <c r="RL7025" s="106"/>
    </row>
    <row r="7026" spans="462:480" x14ac:dyDescent="0.3">
      <c r="QT7026" s="106"/>
      <c r="QU7026" s="106"/>
      <c r="QV7026" s="106"/>
      <c r="QW7026" s="106"/>
      <c r="QX7026" s="106"/>
      <c r="QY7026" s="106"/>
      <c r="QZ7026" s="106"/>
      <c r="RA7026" s="106"/>
      <c r="RB7026" s="106"/>
      <c r="RC7026" s="106"/>
      <c r="RD7026" s="106"/>
      <c r="RE7026" s="106"/>
      <c r="RF7026" s="106"/>
      <c r="RG7026" s="106"/>
      <c r="RH7026" s="106"/>
      <c r="RI7026" s="106"/>
      <c r="RJ7026" s="106"/>
      <c r="RK7026" s="106"/>
      <c r="RL7026" s="106"/>
    </row>
    <row r="7027" spans="462:480" x14ac:dyDescent="0.3">
      <c r="QT7027" s="106"/>
      <c r="QU7027" s="106"/>
      <c r="QV7027" s="106"/>
      <c r="QW7027" s="106"/>
      <c r="QX7027" s="106"/>
      <c r="QY7027" s="106"/>
      <c r="QZ7027" s="106"/>
      <c r="RA7027" s="106"/>
      <c r="RB7027" s="106"/>
      <c r="RC7027" s="106"/>
      <c r="RD7027" s="106"/>
      <c r="RE7027" s="106"/>
      <c r="RF7027" s="106"/>
      <c r="RG7027" s="106"/>
      <c r="RH7027" s="106"/>
      <c r="RI7027" s="106"/>
      <c r="RJ7027" s="106"/>
      <c r="RK7027" s="106"/>
      <c r="RL7027" s="106"/>
    </row>
    <row r="7028" spans="462:480" x14ac:dyDescent="0.3">
      <c r="QT7028" s="106"/>
      <c r="QU7028" s="106"/>
      <c r="QV7028" s="106"/>
      <c r="QW7028" s="106"/>
      <c r="QX7028" s="106"/>
      <c r="QY7028" s="106"/>
      <c r="QZ7028" s="106"/>
      <c r="RA7028" s="106"/>
      <c r="RB7028" s="106"/>
      <c r="RC7028" s="106"/>
      <c r="RD7028" s="106"/>
      <c r="RE7028" s="106"/>
      <c r="RF7028" s="106"/>
      <c r="RG7028" s="106"/>
      <c r="RH7028" s="106"/>
      <c r="RI7028" s="106"/>
      <c r="RJ7028" s="106"/>
      <c r="RK7028" s="106"/>
      <c r="RL7028" s="106"/>
    </row>
    <row r="7029" spans="462:480" x14ac:dyDescent="0.3">
      <c r="QT7029" s="106"/>
      <c r="QU7029" s="106"/>
      <c r="QV7029" s="106"/>
      <c r="QW7029" s="106"/>
      <c r="QX7029" s="106"/>
      <c r="QY7029" s="106"/>
      <c r="QZ7029" s="106"/>
      <c r="RA7029" s="106"/>
      <c r="RB7029" s="106"/>
      <c r="RC7029" s="106"/>
      <c r="RD7029" s="106"/>
      <c r="RE7029" s="106"/>
      <c r="RF7029" s="106"/>
      <c r="RG7029" s="106"/>
      <c r="RH7029" s="106"/>
      <c r="RI7029" s="106"/>
      <c r="RJ7029" s="106"/>
      <c r="RK7029" s="106"/>
      <c r="RL7029" s="106"/>
    </row>
    <row r="7030" spans="462:480" x14ac:dyDescent="0.3">
      <c r="QT7030" s="106"/>
      <c r="QU7030" s="106"/>
      <c r="QV7030" s="106"/>
      <c r="QW7030" s="106"/>
      <c r="QX7030" s="106"/>
      <c r="QY7030" s="106"/>
      <c r="QZ7030" s="106"/>
      <c r="RA7030" s="106"/>
      <c r="RB7030" s="106"/>
      <c r="RC7030" s="106"/>
      <c r="RD7030" s="106"/>
      <c r="RE7030" s="106"/>
      <c r="RF7030" s="106"/>
      <c r="RG7030" s="106"/>
      <c r="RH7030" s="106"/>
      <c r="RI7030" s="106"/>
      <c r="RJ7030" s="106"/>
      <c r="RK7030" s="106"/>
      <c r="RL7030" s="106"/>
    </row>
    <row r="7031" spans="462:480" x14ac:dyDescent="0.3">
      <c r="QT7031" s="106"/>
      <c r="QU7031" s="106"/>
      <c r="QV7031" s="106"/>
      <c r="QW7031" s="106"/>
      <c r="QX7031" s="106"/>
      <c r="QY7031" s="106"/>
      <c r="QZ7031" s="106"/>
      <c r="RA7031" s="106"/>
      <c r="RB7031" s="106"/>
      <c r="RC7031" s="106"/>
      <c r="RD7031" s="106"/>
      <c r="RE7031" s="106"/>
      <c r="RF7031" s="106"/>
      <c r="RG7031" s="106"/>
      <c r="RH7031" s="106"/>
      <c r="RI7031" s="106"/>
      <c r="RJ7031" s="106"/>
      <c r="RK7031" s="106"/>
      <c r="RL7031" s="106"/>
    </row>
    <row r="7032" spans="462:480" x14ac:dyDescent="0.3">
      <c r="QT7032" s="106"/>
      <c r="QU7032" s="106"/>
      <c r="QV7032" s="106"/>
      <c r="QW7032" s="106"/>
      <c r="QX7032" s="106"/>
      <c r="QY7032" s="106"/>
      <c r="QZ7032" s="106"/>
      <c r="RA7032" s="106"/>
      <c r="RB7032" s="106"/>
      <c r="RC7032" s="106"/>
      <c r="RD7032" s="106"/>
      <c r="RE7032" s="106"/>
      <c r="RF7032" s="106"/>
      <c r="RG7032" s="106"/>
      <c r="RH7032" s="106"/>
      <c r="RI7032" s="106"/>
      <c r="RJ7032" s="106"/>
      <c r="RK7032" s="106"/>
      <c r="RL7032" s="106"/>
    </row>
    <row r="7033" spans="462:480" x14ac:dyDescent="0.3">
      <c r="QT7033" s="106"/>
      <c r="QU7033" s="106"/>
      <c r="QV7033" s="106"/>
      <c r="QW7033" s="106"/>
      <c r="QX7033" s="106"/>
      <c r="QY7033" s="106"/>
      <c r="QZ7033" s="106"/>
      <c r="RA7033" s="106"/>
      <c r="RB7033" s="106"/>
      <c r="RC7033" s="106"/>
      <c r="RD7033" s="106"/>
      <c r="RE7033" s="106"/>
      <c r="RF7033" s="106"/>
      <c r="RG7033" s="106"/>
      <c r="RH7033" s="106"/>
      <c r="RI7033" s="106"/>
      <c r="RJ7033" s="106"/>
      <c r="RK7033" s="106"/>
      <c r="RL7033" s="106"/>
    </row>
    <row r="7034" spans="462:480" x14ac:dyDescent="0.3">
      <c r="QT7034" s="106"/>
      <c r="QU7034" s="106"/>
      <c r="QV7034" s="106"/>
      <c r="QW7034" s="106"/>
      <c r="QX7034" s="106"/>
      <c r="QY7034" s="106"/>
      <c r="QZ7034" s="106"/>
      <c r="RA7034" s="106"/>
      <c r="RB7034" s="106"/>
      <c r="RC7034" s="106"/>
      <c r="RD7034" s="106"/>
      <c r="RE7034" s="106"/>
      <c r="RF7034" s="106"/>
      <c r="RG7034" s="106"/>
      <c r="RH7034" s="106"/>
      <c r="RI7034" s="106"/>
      <c r="RJ7034" s="106"/>
      <c r="RK7034" s="106"/>
      <c r="RL7034" s="106"/>
    </row>
    <row r="7035" spans="462:480" x14ac:dyDescent="0.3">
      <c r="QT7035" s="106"/>
      <c r="QU7035" s="106"/>
      <c r="QV7035" s="106"/>
      <c r="QW7035" s="106"/>
      <c r="QX7035" s="106"/>
      <c r="QY7035" s="106"/>
      <c r="QZ7035" s="106"/>
      <c r="RA7035" s="106"/>
      <c r="RB7035" s="106"/>
      <c r="RC7035" s="106"/>
      <c r="RD7035" s="106"/>
      <c r="RE7035" s="106"/>
      <c r="RF7035" s="106"/>
      <c r="RG7035" s="106"/>
      <c r="RH7035" s="106"/>
      <c r="RI7035" s="106"/>
      <c r="RJ7035" s="106"/>
      <c r="RK7035" s="106"/>
      <c r="RL7035" s="106"/>
    </row>
    <row r="7036" spans="462:480" x14ac:dyDescent="0.3">
      <c r="QT7036" s="106"/>
      <c r="QU7036" s="106"/>
      <c r="QV7036" s="106"/>
      <c r="QW7036" s="106"/>
      <c r="QX7036" s="106"/>
      <c r="QY7036" s="106"/>
      <c r="QZ7036" s="106"/>
      <c r="RA7036" s="106"/>
      <c r="RB7036" s="106"/>
      <c r="RC7036" s="106"/>
      <c r="RD7036" s="106"/>
      <c r="RE7036" s="106"/>
      <c r="RF7036" s="106"/>
      <c r="RG7036" s="106"/>
      <c r="RH7036" s="106"/>
      <c r="RI7036" s="106"/>
      <c r="RJ7036" s="106"/>
      <c r="RK7036" s="106"/>
      <c r="RL7036" s="106"/>
    </row>
    <row r="7037" spans="462:480" x14ac:dyDescent="0.3">
      <c r="QT7037" s="106"/>
      <c r="QU7037" s="106"/>
      <c r="QV7037" s="106"/>
      <c r="QW7037" s="106"/>
      <c r="QX7037" s="106"/>
      <c r="QY7037" s="106"/>
      <c r="QZ7037" s="106"/>
      <c r="RA7037" s="106"/>
      <c r="RB7037" s="106"/>
      <c r="RC7037" s="106"/>
      <c r="RD7037" s="106"/>
      <c r="RE7037" s="106"/>
      <c r="RF7037" s="106"/>
      <c r="RG7037" s="106"/>
      <c r="RH7037" s="106"/>
      <c r="RI7037" s="106"/>
      <c r="RJ7037" s="106"/>
      <c r="RK7037" s="106"/>
      <c r="RL7037" s="106"/>
    </row>
    <row r="7038" spans="462:480" x14ac:dyDescent="0.3">
      <c r="QT7038" s="106"/>
      <c r="QU7038" s="106"/>
      <c r="QV7038" s="106"/>
      <c r="QW7038" s="106"/>
      <c r="QX7038" s="106"/>
      <c r="QY7038" s="106"/>
      <c r="QZ7038" s="106"/>
      <c r="RA7038" s="106"/>
      <c r="RB7038" s="106"/>
      <c r="RC7038" s="106"/>
      <c r="RD7038" s="106"/>
      <c r="RE7038" s="106"/>
      <c r="RF7038" s="106"/>
      <c r="RG7038" s="106"/>
      <c r="RH7038" s="106"/>
      <c r="RI7038" s="106"/>
      <c r="RJ7038" s="106"/>
      <c r="RK7038" s="106"/>
      <c r="RL7038" s="106"/>
    </row>
    <row r="7039" spans="462:480" x14ac:dyDescent="0.3">
      <c r="QT7039" s="106"/>
      <c r="QU7039" s="106"/>
      <c r="QV7039" s="106"/>
      <c r="QW7039" s="106"/>
      <c r="QX7039" s="106"/>
      <c r="QY7039" s="106"/>
      <c r="QZ7039" s="106"/>
      <c r="RA7039" s="106"/>
      <c r="RB7039" s="106"/>
      <c r="RC7039" s="106"/>
      <c r="RD7039" s="106"/>
      <c r="RE7039" s="106"/>
      <c r="RF7039" s="106"/>
      <c r="RG7039" s="106"/>
      <c r="RH7039" s="106"/>
      <c r="RI7039" s="106"/>
      <c r="RJ7039" s="106"/>
      <c r="RK7039" s="106"/>
      <c r="RL7039" s="106"/>
    </row>
    <row r="7040" spans="462:480" x14ac:dyDescent="0.3">
      <c r="QT7040" s="106"/>
      <c r="QU7040" s="106"/>
      <c r="QV7040" s="106"/>
      <c r="QW7040" s="106"/>
      <c r="QX7040" s="106"/>
      <c r="QY7040" s="106"/>
      <c r="QZ7040" s="106"/>
      <c r="RA7040" s="106"/>
      <c r="RB7040" s="106"/>
      <c r="RC7040" s="106"/>
      <c r="RD7040" s="106"/>
      <c r="RE7040" s="106"/>
      <c r="RF7040" s="106"/>
      <c r="RG7040" s="106"/>
      <c r="RH7040" s="106"/>
      <c r="RI7040" s="106"/>
      <c r="RJ7040" s="106"/>
      <c r="RK7040" s="106"/>
      <c r="RL7040" s="106"/>
    </row>
    <row r="7041" spans="462:480" x14ac:dyDescent="0.3">
      <c r="QT7041" s="106"/>
      <c r="QU7041" s="106"/>
      <c r="QV7041" s="106"/>
      <c r="QW7041" s="106"/>
      <c r="QX7041" s="106"/>
      <c r="QY7041" s="106"/>
      <c r="QZ7041" s="106"/>
      <c r="RA7041" s="106"/>
      <c r="RB7041" s="106"/>
      <c r="RC7041" s="106"/>
      <c r="RD7041" s="106"/>
      <c r="RE7041" s="106"/>
      <c r="RF7041" s="106"/>
      <c r="RG7041" s="106"/>
      <c r="RH7041" s="106"/>
      <c r="RI7041" s="106"/>
      <c r="RJ7041" s="106"/>
      <c r="RK7041" s="106"/>
      <c r="RL7041" s="106"/>
    </row>
    <row r="7042" spans="462:480" x14ac:dyDescent="0.3">
      <c r="QT7042" s="106"/>
      <c r="QU7042" s="106"/>
      <c r="QV7042" s="106"/>
      <c r="QW7042" s="106"/>
      <c r="QX7042" s="106"/>
      <c r="QY7042" s="106"/>
      <c r="QZ7042" s="106"/>
      <c r="RA7042" s="106"/>
      <c r="RB7042" s="106"/>
      <c r="RC7042" s="106"/>
      <c r="RD7042" s="106"/>
      <c r="RE7042" s="106"/>
      <c r="RF7042" s="106"/>
      <c r="RG7042" s="106"/>
      <c r="RH7042" s="106"/>
      <c r="RI7042" s="106"/>
      <c r="RJ7042" s="106"/>
      <c r="RK7042" s="106"/>
      <c r="RL7042" s="106"/>
    </row>
    <row r="7043" spans="462:480" x14ac:dyDescent="0.3">
      <c r="QT7043" s="106"/>
      <c r="QU7043" s="106"/>
      <c r="QV7043" s="106"/>
      <c r="QW7043" s="106"/>
      <c r="QX7043" s="106"/>
      <c r="QY7043" s="106"/>
      <c r="QZ7043" s="106"/>
      <c r="RA7043" s="106"/>
      <c r="RB7043" s="106"/>
      <c r="RC7043" s="106"/>
      <c r="RD7043" s="106"/>
      <c r="RE7043" s="106"/>
      <c r="RF7043" s="106"/>
      <c r="RG7043" s="106"/>
      <c r="RH7043" s="106"/>
      <c r="RI7043" s="106"/>
      <c r="RJ7043" s="106"/>
      <c r="RK7043" s="106"/>
      <c r="RL7043" s="106"/>
    </row>
    <row r="7044" spans="462:480" x14ac:dyDescent="0.3">
      <c r="QT7044" s="106"/>
      <c r="QU7044" s="106"/>
      <c r="QV7044" s="106"/>
      <c r="QW7044" s="106"/>
      <c r="QX7044" s="106"/>
      <c r="QY7044" s="106"/>
      <c r="QZ7044" s="106"/>
      <c r="RA7044" s="106"/>
      <c r="RB7044" s="106"/>
      <c r="RC7044" s="106"/>
      <c r="RD7044" s="106"/>
      <c r="RE7044" s="106"/>
      <c r="RF7044" s="106"/>
      <c r="RG7044" s="106"/>
      <c r="RH7044" s="106"/>
      <c r="RI7044" s="106"/>
      <c r="RJ7044" s="106"/>
      <c r="RK7044" s="106"/>
      <c r="RL7044" s="106"/>
    </row>
    <row r="7045" spans="462:480" x14ac:dyDescent="0.3">
      <c r="QT7045" s="106"/>
      <c r="QU7045" s="106"/>
      <c r="QV7045" s="106"/>
      <c r="QW7045" s="106"/>
      <c r="QX7045" s="106"/>
      <c r="QY7045" s="106"/>
      <c r="QZ7045" s="106"/>
      <c r="RA7045" s="106"/>
      <c r="RB7045" s="106"/>
      <c r="RC7045" s="106"/>
      <c r="RD7045" s="106"/>
      <c r="RE7045" s="106"/>
      <c r="RF7045" s="106"/>
      <c r="RG7045" s="106"/>
      <c r="RH7045" s="106"/>
      <c r="RI7045" s="106"/>
      <c r="RJ7045" s="106"/>
      <c r="RK7045" s="106"/>
      <c r="RL7045" s="106"/>
    </row>
    <row r="7046" spans="462:480" x14ac:dyDescent="0.3">
      <c r="QT7046" s="106"/>
      <c r="QU7046" s="106"/>
      <c r="QV7046" s="106"/>
      <c r="QW7046" s="106"/>
      <c r="QX7046" s="106"/>
      <c r="QY7046" s="106"/>
      <c r="QZ7046" s="106"/>
      <c r="RA7046" s="106"/>
      <c r="RB7046" s="106"/>
      <c r="RC7046" s="106"/>
      <c r="RD7046" s="106"/>
      <c r="RE7046" s="106"/>
      <c r="RF7046" s="106"/>
      <c r="RG7046" s="106"/>
      <c r="RH7046" s="106"/>
      <c r="RI7046" s="106"/>
      <c r="RJ7046" s="106"/>
      <c r="RK7046" s="106"/>
      <c r="RL7046" s="106"/>
    </row>
    <row r="7047" spans="462:480" x14ac:dyDescent="0.3">
      <c r="QT7047" s="106"/>
      <c r="QU7047" s="106"/>
      <c r="QV7047" s="106"/>
      <c r="QW7047" s="106"/>
      <c r="QX7047" s="106"/>
      <c r="QY7047" s="106"/>
      <c r="QZ7047" s="106"/>
      <c r="RA7047" s="106"/>
      <c r="RB7047" s="106"/>
      <c r="RC7047" s="106"/>
      <c r="RD7047" s="106"/>
      <c r="RE7047" s="106"/>
      <c r="RF7047" s="106"/>
      <c r="RG7047" s="106"/>
      <c r="RH7047" s="106"/>
      <c r="RI7047" s="106"/>
      <c r="RJ7047" s="106"/>
      <c r="RK7047" s="106"/>
      <c r="RL7047" s="106"/>
    </row>
    <row r="7048" spans="462:480" x14ac:dyDescent="0.3">
      <c r="QT7048" s="106"/>
      <c r="QU7048" s="106"/>
      <c r="QV7048" s="106"/>
      <c r="QW7048" s="106"/>
      <c r="QX7048" s="106"/>
      <c r="QY7048" s="106"/>
      <c r="QZ7048" s="106"/>
      <c r="RA7048" s="106"/>
      <c r="RB7048" s="106"/>
      <c r="RC7048" s="106"/>
      <c r="RD7048" s="106"/>
      <c r="RE7048" s="106"/>
      <c r="RF7048" s="106"/>
      <c r="RG7048" s="106"/>
      <c r="RH7048" s="106"/>
      <c r="RI7048" s="106"/>
      <c r="RJ7048" s="106"/>
      <c r="RK7048" s="106"/>
      <c r="RL7048" s="106"/>
    </row>
    <row r="7049" spans="462:480" x14ac:dyDescent="0.3">
      <c r="QT7049" s="106"/>
      <c r="QU7049" s="106"/>
      <c r="QV7049" s="106"/>
      <c r="QW7049" s="106"/>
      <c r="QX7049" s="106"/>
      <c r="QY7049" s="106"/>
      <c r="QZ7049" s="106"/>
      <c r="RA7049" s="106"/>
      <c r="RB7049" s="106"/>
      <c r="RC7049" s="106"/>
      <c r="RD7049" s="106"/>
      <c r="RE7049" s="106"/>
      <c r="RF7049" s="106"/>
      <c r="RG7049" s="106"/>
      <c r="RH7049" s="106"/>
      <c r="RI7049" s="106"/>
      <c r="RJ7049" s="106"/>
      <c r="RK7049" s="106"/>
      <c r="RL7049" s="106"/>
    </row>
    <row r="7050" spans="462:480" x14ac:dyDescent="0.3">
      <c r="QT7050" s="106"/>
      <c r="QU7050" s="106"/>
      <c r="QV7050" s="106"/>
      <c r="QW7050" s="106"/>
      <c r="QX7050" s="106"/>
      <c r="QY7050" s="106"/>
      <c r="QZ7050" s="106"/>
      <c r="RA7050" s="106"/>
      <c r="RB7050" s="106"/>
      <c r="RC7050" s="106"/>
      <c r="RD7050" s="106"/>
      <c r="RE7050" s="106"/>
      <c r="RF7050" s="106"/>
      <c r="RG7050" s="106"/>
      <c r="RH7050" s="106"/>
      <c r="RI7050" s="106"/>
      <c r="RJ7050" s="106"/>
      <c r="RK7050" s="106"/>
      <c r="RL7050" s="106"/>
    </row>
    <row r="7051" spans="462:480" x14ac:dyDescent="0.3">
      <c r="QT7051" s="106"/>
      <c r="QU7051" s="106"/>
      <c r="QV7051" s="106"/>
      <c r="QW7051" s="106"/>
      <c r="QX7051" s="106"/>
      <c r="QY7051" s="106"/>
      <c r="QZ7051" s="106"/>
      <c r="RA7051" s="106"/>
      <c r="RB7051" s="106"/>
      <c r="RC7051" s="106"/>
      <c r="RD7051" s="106"/>
      <c r="RE7051" s="106"/>
      <c r="RF7051" s="106"/>
      <c r="RG7051" s="106"/>
      <c r="RH7051" s="106"/>
      <c r="RI7051" s="106"/>
      <c r="RJ7051" s="106"/>
      <c r="RK7051" s="106"/>
      <c r="RL7051" s="106"/>
    </row>
    <row r="7052" spans="462:480" x14ac:dyDescent="0.3">
      <c r="QT7052" s="106"/>
      <c r="QU7052" s="106"/>
      <c r="QV7052" s="106"/>
      <c r="QW7052" s="106"/>
      <c r="QX7052" s="106"/>
      <c r="QY7052" s="106"/>
      <c r="QZ7052" s="106"/>
      <c r="RA7052" s="106"/>
      <c r="RB7052" s="106"/>
      <c r="RC7052" s="106"/>
      <c r="RD7052" s="106"/>
      <c r="RE7052" s="106"/>
      <c r="RF7052" s="106"/>
      <c r="RG7052" s="106"/>
      <c r="RH7052" s="106"/>
      <c r="RI7052" s="106"/>
      <c r="RJ7052" s="106"/>
      <c r="RK7052" s="106"/>
      <c r="RL7052" s="106"/>
    </row>
    <row r="7053" spans="462:480" x14ac:dyDescent="0.3">
      <c r="QT7053" s="106"/>
      <c r="QU7053" s="106"/>
      <c r="QV7053" s="106"/>
      <c r="QW7053" s="106"/>
      <c r="QX7053" s="106"/>
      <c r="QY7053" s="106"/>
      <c r="QZ7053" s="106"/>
      <c r="RA7053" s="106"/>
      <c r="RB7053" s="106"/>
      <c r="RC7053" s="106"/>
      <c r="RD7053" s="106"/>
      <c r="RE7053" s="106"/>
      <c r="RF7053" s="106"/>
      <c r="RG7053" s="106"/>
      <c r="RH7053" s="106"/>
      <c r="RI7053" s="106"/>
      <c r="RJ7053" s="106"/>
      <c r="RK7053" s="106"/>
      <c r="RL7053" s="106"/>
    </row>
    <row r="7054" spans="462:480" x14ac:dyDescent="0.3">
      <c r="QT7054" s="106"/>
      <c r="QU7054" s="106"/>
      <c r="QV7054" s="106"/>
      <c r="QW7054" s="106"/>
      <c r="QX7054" s="106"/>
      <c r="QY7054" s="106"/>
      <c r="QZ7054" s="106"/>
      <c r="RA7054" s="106"/>
      <c r="RB7054" s="106"/>
      <c r="RC7054" s="106"/>
      <c r="RD7054" s="106"/>
      <c r="RE7054" s="106"/>
      <c r="RF7054" s="106"/>
      <c r="RG7054" s="106"/>
      <c r="RH7054" s="106"/>
      <c r="RI7054" s="106"/>
      <c r="RJ7054" s="106"/>
      <c r="RK7054" s="106"/>
      <c r="RL7054" s="106"/>
    </row>
    <row r="7055" spans="462:480" x14ac:dyDescent="0.3">
      <c r="QT7055" s="106"/>
      <c r="QU7055" s="106"/>
      <c r="QV7055" s="106"/>
      <c r="QW7055" s="106"/>
      <c r="QX7055" s="106"/>
      <c r="QY7055" s="106"/>
      <c r="QZ7055" s="106"/>
      <c r="RA7055" s="106"/>
      <c r="RB7055" s="106"/>
      <c r="RC7055" s="106"/>
      <c r="RD7055" s="106"/>
      <c r="RE7055" s="106"/>
      <c r="RF7055" s="106"/>
      <c r="RG7055" s="106"/>
      <c r="RH7055" s="106"/>
      <c r="RI7055" s="106"/>
      <c r="RJ7055" s="106"/>
      <c r="RK7055" s="106"/>
      <c r="RL7055" s="106"/>
    </row>
    <row r="7056" spans="462:480" x14ac:dyDescent="0.3">
      <c r="QT7056" s="106"/>
      <c r="QU7056" s="106"/>
      <c r="QV7056" s="106"/>
      <c r="QW7056" s="106"/>
      <c r="QX7056" s="106"/>
      <c r="QY7056" s="106"/>
      <c r="QZ7056" s="106"/>
      <c r="RA7056" s="106"/>
      <c r="RB7056" s="106"/>
      <c r="RC7056" s="106"/>
      <c r="RD7056" s="106"/>
      <c r="RE7056" s="106"/>
      <c r="RF7056" s="106"/>
      <c r="RG7056" s="106"/>
      <c r="RH7056" s="106"/>
      <c r="RI7056" s="106"/>
      <c r="RJ7056" s="106"/>
      <c r="RK7056" s="106"/>
      <c r="RL7056" s="106"/>
    </row>
    <row r="7057" spans="462:480" x14ac:dyDescent="0.3">
      <c r="QT7057" s="106"/>
      <c r="QU7057" s="106"/>
      <c r="QV7057" s="106"/>
      <c r="QW7057" s="106"/>
      <c r="QX7057" s="106"/>
      <c r="QY7057" s="106"/>
      <c r="QZ7057" s="106"/>
      <c r="RA7057" s="106"/>
      <c r="RB7057" s="106"/>
      <c r="RC7057" s="106"/>
      <c r="RD7057" s="106"/>
      <c r="RE7057" s="106"/>
      <c r="RF7057" s="106"/>
      <c r="RG7057" s="106"/>
      <c r="RH7057" s="106"/>
      <c r="RI7057" s="106"/>
      <c r="RJ7057" s="106"/>
      <c r="RK7057" s="106"/>
      <c r="RL7057" s="106"/>
    </row>
    <row r="7058" spans="462:480" x14ac:dyDescent="0.3">
      <c r="QT7058" s="106"/>
      <c r="QU7058" s="106"/>
      <c r="QV7058" s="106"/>
      <c r="QW7058" s="106"/>
      <c r="QX7058" s="106"/>
      <c r="QY7058" s="106"/>
      <c r="QZ7058" s="106"/>
      <c r="RA7058" s="106"/>
      <c r="RB7058" s="106"/>
      <c r="RC7058" s="106"/>
      <c r="RD7058" s="106"/>
      <c r="RE7058" s="106"/>
      <c r="RF7058" s="106"/>
      <c r="RG7058" s="106"/>
      <c r="RH7058" s="106"/>
      <c r="RI7058" s="106"/>
      <c r="RJ7058" s="106"/>
      <c r="RK7058" s="106"/>
      <c r="RL7058" s="106"/>
    </row>
    <row r="7059" spans="462:480" x14ac:dyDescent="0.3">
      <c r="QT7059" s="106"/>
      <c r="QU7059" s="106"/>
      <c r="QV7059" s="106"/>
      <c r="QW7059" s="106"/>
      <c r="QX7059" s="106"/>
      <c r="QY7059" s="106"/>
      <c r="QZ7059" s="106"/>
      <c r="RA7059" s="106"/>
      <c r="RB7059" s="106"/>
      <c r="RC7059" s="106"/>
      <c r="RD7059" s="106"/>
      <c r="RE7059" s="106"/>
      <c r="RF7059" s="106"/>
      <c r="RG7059" s="106"/>
      <c r="RH7059" s="106"/>
      <c r="RI7059" s="106"/>
      <c r="RJ7059" s="106"/>
      <c r="RK7059" s="106"/>
      <c r="RL7059" s="106"/>
    </row>
    <row r="7060" spans="462:480" x14ac:dyDescent="0.3">
      <c r="QT7060" s="106"/>
      <c r="QU7060" s="106"/>
      <c r="QV7060" s="106"/>
      <c r="QW7060" s="106"/>
      <c r="QX7060" s="106"/>
      <c r="QY7060" s="106"/>
      <c r="QZ7060" s="106"/>
      <c r="RA7060" s="106"/>
      <c r="RB7060" s="106"/>
      <c r="RC7060" s="106"/>
      <c r="RD7060" s="106"/>
      <c r="RE7060" s="106"/>
      <c r="RF7060" s="106"/>
      <c r="RG7060" s="106"/>
      <c r="RH7060" s="106"/>
      <c r="RI7060" s="106"/>
      <c r="RJ7060" s="106"/>
      <c r="RK7060" s="106"/>
      <c r="RL7060" s="106"/>
    </row>
    <row r="7061" spans="462:480" x14ac:dyDescent="0.3">
      <c r="QT7061" s="106"/>
      <c r="QU7061" s="106"/>
      <c r="QV7061" s="106"/>
      <c r="QW7061" s="106"/>
      <c r="QX7061" s="106"/>
      <c r="QY7061" s="106"/>
      <c r="QZ7061" s="106"/>
      <c r="RA7061" s="106"/>
      <c r="RB7061" s="106"/>
      <c r="RC7061" s="106"/>
      <c r="RD7061" s="106"/>
      <c r="RE7061" s="106"/>
      <c r="RF7061" s="106"/>
      <c r="RG7061" s="106"/>
      <c r="RH7061" s="106"/>
      <c r="RI7061" s="106"/>
      <c r="RJ7061" s="106"/>
      <c r="RK7061" s="106"/>
      <c r="RL7061" s="106"/>
    </row>
    <row r="7062" spans="462:480" x14ac:dyDescent="0.3">
      <c r="QT7062" s="106"/>
      <c r="QU7062" s="106"/>
      <c r="QV7062" s="106"/>
      <c r="QW7062" s="106"/>
      <c r="QX7062" s="106"/>
      <c r="QY7062" s="106"/>
      <c r="QZ7062" s="106"/>
      <c r="RA7062" s="106"/>
      <c r="RB7062" s="106"/>
      <c r="RC7062" s="106"/>
      <c r="RD7062" s="106"/>
      <c r="RE7062" s="106"/>
      <c r="RF7062" s="106"/>
      <c r="RG7062" s="106"/>
      <c r="RH7062" s="106"/>
      <c r="RI7062" s="106"/>
      <c r="RJ7062" s="106"/>
      <c r="RK7062" s="106"/>
      <c r="RL7062" s="106"/>
    </row>
    <row r="7063" spans="462:480" x14ac:dyDescent="0.3">
      <c r="QT7063" s="106"/>
      <c r="QU7063" s="106"/>
      <c r="QV7063" s="106"/>
      <c r="QW7063" s="106"/>
      <c r="QX7063" s="106"/>
      <c r="QY7063" s="106"/>
      <c r="QZ7063" s="106"/>
      <c r="RA7063" s="106"/>
      <c r="RB7063" s="106"/>
      <c r="RC7063" s="106"/>
      <c r="RD7063" s="106"/>
      <c r="RE7063" s="106"/>
      <c r="RF7063" s="106"/>
      <c r="RG7063" s="106"/>
      <c r="RH7063" s="106"/>
      <c r="RI7063" s="106"/>
      <c r="RJ7063" s="106"/>
      <c r="RK7063" s="106"/>
      <c r="RL7063" s="106"/>
    </row>
    <row r="7064" spans="462:480" x14ac:dyDescent="0.3">
      <c r="QT7064" s="106"/>
      <c r="QU7064" s="106"/>
      <c r="QV7064" s="106"/>
      <c r="QW7064" s="106"/>
      <c r="QX7064" s="106"/>
      <c r="QY7064" s="106"/>
      <c r="QZ7064" s="106"/>
      <c r="RA7064" s="106"/>
      <c r="RB7064" s="106"/>
      <c r="RC7064" s="106"/>
      <c r="RD7064" s="106"/>
      <c r="RE7064" s="106"/>
      <c r="RF7064" s="106"/>
      <c r="RG7064" s="106"/>
      <c r="RH7064" s="106"/>
      <c r="RI7064" s="106"/>
      <c r="RJ7064" s="106"/>
      <c r="RK7064" s="106"/>
      <c r="RL7064" s="106"/>
    </row>
    <row r="7065" spans="462:480" x14ac:dyDescent="0.3">
      <c r="QT7065" s="106"/>
      <c r="QU7065" s="106"/>
      <c r="QV7065" s="106"/>
      <c r="QW7065" s="106"/>
      <c r="QX7065" s="106"/>
      <c r="QY7065" s="106"/>
      <c r="QZ7065" s="106"/>
      <c r="RA7065" s="106"/>
      <c r="RB7065" s="106"/>
      <c r="RC7065" s="106"/>
      <c r="RD7065" s="106"/>
      <c r="RE7065" s="106"/>
      <c r="RF7065" s="106"/>
      <c r="RG7065" s="106"/>
      <c r="RH7065" s="106"/>
      <c r="RI7065" s="106"/>
      <c r="RJ7065" s="106"/>
      <c r="RK7065" s="106"/>
      <c r="RL7065" s="106"/>
    </row>
    <row r="7066" spans="462:480" x14ac:dyDescent="0.3">
      <c r="QT7066" s="106"/>
      <c r="QU7066" s="106"/>
      <c r="QV7066" s="106"/>
      <c r="QW7066" s="106"/>
      <c r="QX7066" s="106"/>
      <c r="QY7066" s="106"/>
      <c r="QZ7066" s="106"/>
      <c r="RA7066" s="106"/>
      <c r="RB7066" s="106"/>
      <c r="RC7066" s="106"/>
      <c r="RD7066" s="106"/>
      <c r="RE7066" s="106"/>
      <c r="RF7066" s="106"/>
      <c r="RG7066" s="106"/>
      <c r="RH7066" s="106"/>
      <c r="RI7066" s="106"/>
      <c r="RJ7066" s="106"/>
      <c r="RK7066" s="106"/>
      <c r="RL7066" s="106"/>
    </row>
    <row r="7067" spans="462:480" x14ac:dyDescent="0.3">
      <c r="QT7067" s="106"/>
      <c r="QU7067" s="106"/>
      <c r="QV7067" s="106"/>
      <c r="QW7067" s="106"/>
      <c r="QX7067" s="106"/>
      <c r="QY7067" s="106"/>
      <c r="QZ7067" s="106"/>
      <c r="RA7067" s="106"/>
      <c r="RB7067" s="106"/>
      <c r="RC7067" s="106"/>
      <c r="RD7067" s="106"/>
      <c r="RE7067" s="106"/>
      <c r="RF7067" s="106"/>
      <c r="RG7067" s="106"/>
      <c r="RH7067" s="106"/>
      <c r="RI7067" s="106"/>
      <c r="RJ7067" s="106"/>
      <c r="RK7067" s="106"/>
      <c r="RL7067" s="106"/>
    </row>
    <row r="7068" spans="462:480" x14ac:dyDescent="0.3">
      <c r="QT7068" s="106"/>
      <c r="QU7068" s="106"/>
      <c r="QV7068" s="106"/>
      <c r="QW7068" s="106"/>
      <c r="QX7068" s="106"/>
      <c r="QY7068" s="106"/>
      <c r="QZ7068" s="106"/>
      <c r="RA7068" s="106"/>
      <c r="RB7068" s="106"/>
      <c r="RC7068" s="106"/>
      <c r="RD7068" s="106"/>
      <c r="RE7068" s="106"/>
      <c r="RF7068" s="106"/>
      <c r="RG7068" s="106"/>
      <c r="RH7068" s="106"/>
      <c r="RI7068" s="106"/>
      <c r="RJ7068" s="106"/>
      <c r="RK7068" s="106"/>
      <c r="RL7068" s="106"/>
    </row>
    <row r="7069" spans="462:480" x14ac:dyDescent="0.3">
      <c r="QT7069" s="106"/>
      <c r="QU7069" s="106"/>
      <c r="QV7069" s="106"/>
      <c r="QW7069" s="106"/>
      <c r="QX7069" s="106"/>
      <c r="QY7069" s="106"/>
      <c r="QZ7069" s="106"/>
      <c r="RA7069" s="106"/>
      <c r="RB7069" s="106"/>
      <c r="RC7069" s="106"/>
      <c r="RD7069" s="106"/>
      <c r="RE7069" s="106"/>
      <c r="RF7069" s="106"/>
      <c r="RG7069" s="106"/>
      <c r="RH7069" s="106"/>
      <c r="RI7069" s="106"/>
      <c r="RJ7069" s="106"/>
      <c r="RK7069" s="106"/>
      <c r="RL7069" s="106"/>
    </row>
    <row r="7070" spans="462:480" x14ac:dyDescent="0.3">
      <c r="QT7070" s="106"/>
      <c r="QU7070" s="106"/>
      <c r="QV7070" s="106"/>
      <c r="QW7070" s="106"/>
      <c r="QX7070" s="106"/>
      <c r="QY7070" s="106"/>
      <c r="QZ7070" s="106"/>
      <c r="RA7070" s="106"/>
      <c r="RB7070" s="106"/>
      <c r="RC7070" s="106"/>
      <c r="RD7070" s="106"/>
      <c r="RE7070" s="106"/>
      <c r="RF7070" s="106"/>
      <c r="RG7070" s="106"/>
      <c r="RH7070" s="106"/>
      <c r="RI7070" s="106"/>
      <c r="RJ7070" s="106"/>
      <c r="RK7070" s="106"/>
      <c r="RL7070" s="106"/>
    </row>
    <row r="7071" spans="462:480" x14ac:dyDescent="0.3">
      <c r="QT7071" s="106"/>
      <c r="QU7071" s="106"/>
      <c r="QV7071" s="106"/>
      <c r="QW7071" s="106"/>
      <c r="QX7071" s="106"/>
      <c r="QY7071" s="106"/>
      <c r="QZ7071" s="106"/>
      <c r="RA7071" s="106"/>
      <c r="RB7071" s="106"/>
      <c r="RC7071" s="106"/>
      <c r="RD7071" s="106"/>
      <c r="RE7071" s="106"/>
      <c r="RF7071" s="106"/>
      <c r="RG7071" s="106"/>
      <c r="RH7071" s="106"/>
      <c r="RI7071" s="106"/>
      <c r="RJ7071" s="106"/>
      <c r="RK7071" s="106"/>
      <c r="RL7071" s="106"/>
    </row>
    <row r="7072" spans="462:480" x14ac:dyDescent="0.3">
      <c r="QT7072" s="106"/>
      <c r="QU7072" s="106"/>
      <c r="QV7072" s="106"/>
      <c r="QW7072" s="106"/>
      <c r="QX7072" s="106"/>
      <c r="QY7072" s="106"/>
      <c r="QZ7072" s="106"/>
      <c r="RA7072" s="106"/>
      <c r="RB7072" s="106"/>
      <c r="RC7072" s="106"/>
      <c r="RD7072" s="106"/>
      <c r="RE7072" s="106"/>
      <c r="RF7072" s="106"/>
      <c r="RG7072" s="106"/>
      <c r="RH7072" s="106"/>
      <c r="RI7072" s="106"/>
      <c r="RJ7072" s="106"/>
      <c r="RK7072" s="106"/>
      <c r="RL7072" s="106"/>
    </row>
    <row r="7073" spans="462:480" x14ac:dyDescent="0.3">
      <c r="QT7073" s="106"/>
      <c r="QU7073" s="106"/>
      <c r="QV7073" s="106"/>
      <c r="QW7073" s="106"/>
      <c r="QX7073" s="106"/>
      <c r="QY7073" s="106"/>
      <c r="QZ7073" s="106"/>
      <c r="RA7073" s="106"/>
      <c r="RB7073" s="106"/>
      <c r="RC7073" s="106"/>
      <c r="RD7073" s="106"/>
      <c r="RE7073" s="106"/>
      <c r="RF7073" s="106"/>
      <c r="RG7073" s="106"/>
      <c r="RH7073" s="106"/>
      <c r="RI7073" s="106"/>
      <c r="RJ7073" s="106"/>
      <c r="RK7073" s="106"/>
      <c r="RL7073" s="106"/>
    </row>
    <row r="7074" spans="462:480" x14ac:dyDescent="0.3">
      <c r="QT7074" s="106"/>
      <c r="QU7074" s="106"/>
      <c r="QV7074" s="106"/>
      <c r="QW7074" s="106"/>
      <c r="QX7074" s="106"/>
      <c r="QY7074" s="106"/>
      <c r="QZ7074" s="106"/>
      <c r="RA7074" s="106"/>
      <c r="RB7074" s="106"/>
      <c r="RC7074" s="106"/>
      <c r="RD7074" s="106"/>
      <c r="RE7074" s="106"/>
      <c r="RF7074" s="106"/>
      <c r="RG7074" s="106"/>
      <c r="RH7074" s="106"/>
      <c r="RI7074" s="106"/>
      <c r="RJ7074" s="106"/>
      <c r="RK7074" s="106"/>
      <c r="RL7074" s="106"/>
    </row>
    <row r="7075" spans="462:480" x14ac:dyDescent="0.3">
      <c r="QT7075" s="106"/>
      <c r="QU7075" s="106"/>
      <c r="QV7075" s="106"/>
      <c r="QW7075" s="106"/>
      <c r="QX7075" s="106"/>
      <c r="QY7075" s="106"/>
      <c r="QZ7075" s="106"/>
      <c r="RA7075" s="106"/>
      <c r="RB7075" s="106"/>
      <c r="RC7075" s="106"/>
      <c r="RD7075" s="106"/>
      <c r="RE7075" s="106"/>
      <c r="RF7075" s="106"/>
      <c r="RG7075" s="106"/>
      <c r="RH7075" s="106"/>
      <c r="RI7075" s="106"/>
      <c r="RJ7075" s="106"/>
      <c r="RK7075" s="106"/>
      <c r="RL7075" s="106"/>
    </row>
    <row r="7076" spans="462:480" x14ac:dyDescent="0.3">
      <c r="QT7076" s="106"/>
      <c r="QU7076" s="106"/>
      <c r="QV7076" s="106"/>
      <c r="QW7076" s="106"/>
      <c r="QX7076" s="106"/>
      <c r="QY7076" s="106"/>
      <c r="QZ7076" s="106"/>
      <c r="RA7076" s="106"/>
      <c r="RB7076" s="106"/>
      <c r="RC7076" s="106"/>
      <c r="RD7076" s="106"/>
      <c r="RE7076" s="106"/>
      <c r="RF7076" s="106"/>
      <c r="RG7076" s="106"/>
      <c r="RH7076" s="106"/>
      <c r="RI7076" s="106"/>
      <c r="RJ7076" s="106"/>
      <c r="RK7076" s="106"/>
      <c r="RL7076" s="106"/>
    </row>
    <row r="7077" spans="462:480" x14ac:dyDescent="0.3">
      <c r="QT7077" s="106"/>
      <c r="QU7077" s="106"/>
      <c r="QV7077" s="106"/>
      <c r="QW7077" s="106"/>
      <c r="QX7077" s="106"/>
      <c r="QY7077" s="106"/>
      <c r="QZ7077" s="106"/>
      <c r="RA7077" s="106"/>
      <c r="RB7077" s="106"/>
      <c r="RC7077" s="106"/>
      <c r="RD7077" s="106"/>
      <c r="RE7077" s="106"/>
      <c r="RF7077" s="106"/>
      <c r="RG7077" s="106"/>
      <c r="RH7077" s="106"/>
      <c r="RI7077" s="106"/>
      <c r="RJ7077" s="106"/>
      <c r="RK7077" s="106"/>
      <c r="RL7077" s="106"/>
    </row>
    <row r="7078" spans="462:480" x14ac:dyDescent="0.3">
      <c r="QT7078" s="106"/>
      <c r="QU7078" s="106"/>
      <c r="QV7078" s="106"/>
      <c r="QW7078" s="106"/>
      <c r="QX7078" s="106"/>
      <c r="QY7078" s="106"/>
      <c r="QZ7078" s="106"/>
      <c r="RA7078" s="106"/>
      <c r="RB7078" s="106"/>
      <c r="RC7078" s="106"/>
      <c r="RD7078" s="106"/>
      <c r="RE7078" s="106"/>
      <c r="RF7078" s="106"/>
      <c r="RG7078" s="106"/>
      <c r="RH7078" s="106"/>
      <c r="RI7078" s="106"/>
      <c r="RJ7078" s="106"/>
      <c r="RK7078" s="106"/>
      <c r="RL7078" s="106"/>
    </row>
    <row r="7079" spans="462:480" x14ac:dyDescent="0.3">
      <c r="QT7079" s="106"/>
      <c r="QU7079" s="106"/>
      <c r="QV7079" s="106"/>
      <c r="QW7079" s="106"/>
      <c r="QX7079" s="106"/>
      <c r="QY7079" s="106"/>
      <c r="QZ7079" s="106"/>
      <c r="RA7079" s="106"/>
      <c r="RB7079" s="106"/>
      <c r="RC7079" s="106"/>
      <c r="RD7079" s="106"/>
      <c r="RE7079" s="106"/>
      <c r="RF7079" s="106"/>
      <c r="RG7079" s="106"/>
      <c r="RH7079" s="106"/>
      <c r="RI7079" s="106"/>
      <c r="RJ7079" s="106"/>
      <c r="RK7079" s="106"/>
      <c r="RL7079" s="106"/>
    </row>
    <row r="7080" spans="462:480" x14ac:dyDescent="0.3">
      <c r="QT7080" s="106"/>
      <c r="QU7080" s="106"/>
      <c r="QV7080" s="106"/>
      <c r="QW7080" s="106"/>
      <c r="QX7080" s="106"/>
      <c r="QY7080" s="106"/>
      <c r="QZ7080" s="106"/>
      <c r="RA7080" s="106"/>
      <c r="RB7080" s="106"/>
      <c r="RC7080" s="106"/>
      <c r="RD7080" s="106"/>
      <c r="RE7080" s="106"/>
      <c r="RF7080" s="106"/>
      <c r="RG7080" s="106"/>
      <c r="RH7080" s="106"/>
      <c r="RI7080" s="106"/>
      <c r="RJ7080" s="106"/>
      <c r="RK7080" s="106"/>
      <c r="RL7080" s="106"/>
    </row>
    <row r="7081" spans="462:480" x14ac:dyDescent="0.3">
      <c r="QT7081" s="106"/>
      <c r="QU7081" s="106"/>
      <c r="QV7081" s="106"/>
      <c r="QW7081" s="106"/>
      <c r="QX7081" s="106"/>
      <c r="QY7081" s="106"/>
      <c r="QZ7081" s="106"/>
      <c r="RA7081" s="106"/>
      <c r="RB7081" s="106"/>
      <c r="RC7081" s="106"/>
      <c r="RD7081" s="106"/>
      <c r="RE7081" s="106"/>
      <c r="RF7081" s="106"/>
      <c r="RG7081" s="106"/>
      <c r="RH7081" s="106"/>
      <c r="RI7081" s="106"/>
      <c r="RJ7081" s="106"/>
      <c r="RK7081" s="106"/>
      <c r="RL7081" s="106"/>
    </row>
    <row r="7082" spans="462:480" x14ac:dyDescent="0.3">
      <c r="QT7082" s="106"/>
      <c r="QU7082" s="106"/>
      <c r="QV7082" s="106"/>
      <c r="QW7082" s="106"/>
      <c r="QX7082" s="106"/>
      <c r="QY7082" s="106"/>
      <c r="QZ7082" s="106"/>
      <c r="RA7082" s="106"/>
      <c r="RB7082" s="106"/>
      <c r="RC7082" s="106"/>
      <c r="RD7082" s="106"/>
      <c r="RE7082" s="106"/>
      <c r="RF7082" s="106"/>
      <c r="RG7082" s="106"/>
      <c r="RH7082" s="106"/>
      <c r="RI7082" s="106"/>
      <c r="RJ7082" s="106"/>
      <c r="RK7082" s="106"/>
      <c r="RL7082" s="106"/>
    </row>
    <row r="7083" spans="462:480" x14ac:dyDescent="0.3">
      <c r="QT7083" s="106"/>
      <c r="QU7083" s="106"/>
      <c r="QV7083" s="106"/>
      <c r="QW7083" s="106"/>
      <c r="QX7083" s="106"/>
      <c r="QY7083" s="106"/>
      <c r="QZ7083" s="106"/>
      <c r="RA7083" s="106"/>
      <c r="RB7083" s="106"/>
      <c r="RC7083" s="106"/>
      <c r="RD7083" s="106"/>
      <c r="RE7083" s="106"/>
      <c r="RF7083" s="106"/>
      <c r="RG7083" s="106"/>
      <c r="RH7083" s="106"/>
      <c r="RI7083" s="106"/>
      <c r="RJ7083" s="106"/>
      <c r="RK7083" s="106"/>
      <c r="RL7083" s="106"/>
    </row>
    <row r="7084" spans="462:480" x14ac:dyDescent="0.3">
      <c r="QT7084" s="106"/>
      <c r="QU7084" s="106"/>
      <c r="QV7084" s="106"/>
      <c r="QW7084" s="106"/>
      <c r="QX7084" s="106"/>
      <c r="QY7084" s="106"/>
      <c r="QZ7084" s="106"/>
      <c r="RA7084" s="106"/>
      <c r="RB7084" s="106"/>
      <c r="RC7084" s="106"/>
      <c r="RD7084" s="106"/>
      <c r="RE7084" s="106"/>
      <c r="RF7084" s="106"/>
      <c r="RG7084" s="106"/>
      <c r="RH7084" s="106"/>
      <c r="RI7084" s="106"/>
      <c r="RJ7084" s="106"/>
      <c r="RK7084" s="106"/>
      <c r="RL7084" s="106"/>
    </row>
    <row r="7085" spans="462:480" x14ac:dyDescent="0.3">
      <c r="QT7085" s="106"/>
      <c r="QU7085" s="106"/>
      <c r="QV7085" s="106"/>
      <c r="QW7085" s="106"/>
      <c r="QX7085" s="106"/>
      <c r="QY7085" s="106"/>
      <c r="QZ7085" s="106"/>
      <c r="RA7085" s="106"/>
      <c r="RB7085" s="106"/>
      <c r="RC7085" s="106"/>
      <c r="RD7085" s="106"/>
      <c r="RE7085" s="106"/>
      <c r="RF7085" s="106"/>
      <c r="RG7085" s="106"/>
      <c r="RH7085" s="106"/>
      <c r="RI7085" s="106"/>
      <c r="RJ7085" s="106"/>
      <c r="RK7085" s="106"/>
      <c r="RL7085" s="106"/>
    </row>
    <row r="7086" spans="462:480" x14ac:dyDescent="0.3">
      <c r="QT7086" s="106"/>
      <c r="QU7086" s="106"/>
      <c r="QV7086" s="106"/>
      <c r="QW7086" s="106"/>
      <c r="QX7086" s="106"/>
      <c r="QY7086" s="106"/>
      <c r="QZ7086" s="106"/>
      <c r="RA7086" s="106"/>
      <c r="RB7086" s="106"/>
      <c r="RC7086" s="106"/>
      <c r="RD7086" s="106"/>
      <c r="RE7086" s="106"/>
      <c r="RF7086" s="106"/>
      <c r="RG7086" s="106"/>
      <c r="RH7086" s="106"/>
      <c r="RI7086" s="106"/>
      <c r="RJ7086" s="106"/>
      <c r="RK7086" s="106"/>
      <c r="RL7086" s="106"/>
    </row>
    <row r="7087" spans="462:480" x14ac:dyDescent="0.3">
      <c r="QT7087" s="106"/>
      <c r="QU7087" s="106"/>
      <c r="QV7087" s="106"/>
      <c r="QW7087" s="106"/>
      <c r="QX7087" s="106"/>
      <c r="QY7087" s="106"/>
      <c r="QZ7087" s="106"/>
      <c r="RA7087" s="106"/>
      <c r="RB7087" s="106"/>
      <c r="RC7087" s="106"/>
      <c r="RD7087" s="106"/>
      <c r="RE7087" s="106"/>
      <c r="RF7087" s="106"/>
      <c r="RG7087" s="106"/>
      <c r="RH7087" s="106"/>
      <c r="RI7087" s="106"/>
      <c r="RJ7087" s="106"/>
      <c r="RK7087" s="106"/>
      <c r="RL7087" s="106"/>
    </row>
    <row r="7088" spans="462:480" x14ac:dyDescent="0.3">
      <c r="QT7088" s="106"/>
      <c r="QU7088" s="106"/>
      <c r="QV7088" s="106"/>
      <c r="QW7088" s="106"/>
      <c r="QX7088" s="106"/>
      <c r="QY7088" s="106"/>
      <c r="QZ7088" s="106"/>
      <c r="RA7088" s="106"/>
      <c r="RB7088" s="106"/>
      <c r="RC7088" s="106"/>
      <c r="RD7088" s="106"/>
      <c r="RE7088" s="106"/>
      <c r="RF7088" s="106"/>
      <c r="RG7088" s="106"/>
      <c r="RH7088" s="106"/>
      <c r="RI7088" s="106"/>
      <c r="RJ7088" s="106"/>
      <c r="RK7088" s="106"/>
      <c r="RL7088" s="106"/>
    </row>
    <row r="7089" spans="462:480" x14ac:dyDescent="0.3">
      <c r="QT7089" s="106"/>
      <c r="QU7089" s="106"/>
      <c r="QV7089" s="106"/>
      <c r="QW7089" s="106"/>
      <c r="QX7089" s="106"/>
      <c r="QY7089" s="106"/>
      <c r="QZ7089" s="106"/>
      <c r="RA7089" s="106"/>
      <c r="RB7089" s="106"/>
      <c r="RC7089" s="106"/>
      <c r="RD7089" s="106"/>
      <c r="RE7089" s="106"/>
      <c r="RF7089" s="106"/>
      <c r="RG7089" s="106"/>
      <c r="RH7089" s="106"/>
      <c r="RI7089" s="106"/>
      <c r="RJ7089" s="106"/>
      <c r="RK7089" s="106"/>
      <c r="RL7089" s="106"/>
    </row>
    <row r="7090" spans="462:480" x14ac:dyDescent="0.3">
      <c r="QT7090" s="106"/>
      <c r="QU7090" s="106"/>
      <c r="QV7090" s="106"/>
      <c r="QW7090" s="106"/>
      <c r="QX7090" s="106"/>
      <c r="QY7090" s="106"/>
      <c r="QZ7090" s="106"/>
      <c r="RA7090" s="106"/>
      <c r="RB7090" s="106"/>
      <c r="RC7090" s="106"/>
      <c r="RD7090" s="106"/>
      <c r="RE7090" s="106"/>
      <c r="RF7090" s="106"/>
      <c r="RG7090" s="106"/>
      <c r="RH7090" s="106"/>
      <c r="RI7090" s="106"/>
      <c r="RJ7090" s="106"/>
      <c r="RK7090" s="106"/>
      <c r="RL7090" s="106"/>
    </row>
    <row r="7091" spans="462:480" x14ac:dyDescent="0.3">
      <c r="QT7091" s="106"/>
      <c r="QU7091" s="106"/>
      <c r="QV7091" s="106"/>
      <c r="QW7091" s="106"/>
      <c r="QX7091" s="106"/>
      <c r="QY7091" s="106"/>
      <c r="QZ7091" s="106"/>
      <c r="RA7091" s="106"/>
      <c r="RB7091" s="106"/>
      <c r="RC7091" s="106"/>
      <c r="RD7091" s="106"/>
      <c r="RE7091" s="106"/>
      <c r="RF7091" s="106"/>
      <c r="RG7091" s="106"/>
      <c r="RH7091" s="106"/>
      <c r="RI7091" s="106"/>
      <c r="RJ7091" s="106"/>
      <c r="RK7091" s="106"/>
      <c r="RL7091" s="106"/>
    </row>
    <row r="7092" spans="462:480" x14ac:dyDescent="0.3">
      <c r="QT7092" s="106"/>
      <c r="QU7092" s="106"/>
      <c r="QV7092" s="106"/>
      <c r="QW7092" s="106"/>
      <c r="QX7092" s="106"/>
      <c r="QY7092" s="106"/>
      <c r="QZ7092" s="106"/>
      <c r="RA7092" s="106"/>
      <c r="RB7092" s="106"/>
      <c r="RC7092" s="106"/>
      <c r="RD7092" s="106"/>
      <c r="RE7092" s="106"/>
      <c r="RF7092" s="106"/>
      <c r="RG7092" s="106"/>
      <c r="RH7092" s="106"/>
      <c r="RI7092" s="106"/>
      <c r="RJ7092" s="106"/>
      <c r="RK7092" s="106"/>
      <c r="RL7092" s="106"/>
    </row>
    <row r="7093" spans="462:480" x14ac:dyDescent="0.3">
      <c r="QT7093" s="106"/>
      <c r="QU7093" s="106"/>
      <c r="QV7093" s="106"/>
      <c r="QW7093" s="106"/>
      <c r="QX7093" s="106"/>
      <c r="QY7093" s="106"/>
      <c r="QZ7093" s="106"/>
      <c r="RA7093" s="106"/>
      <c r="RB7093" s="106"/>
      <c r="RC7093" s="106"/>
      <c r="RD7093" s="106"/>
      <c r="RE7093" s="106"/>
      <c r="RF7093" s="106"/>
      <c r="RG7093" s="106"/>
      <c r="RH7093" s="106"/>
      <c r="RI7093" s="106"/>
      <c r="RJ7093" s="106"/>
      <c r="RK7093" s="106"/>
      <c r="RL7093" s="106"/>
    </row>
    <row r="7094" spans="462:480" x14ac:dyDescent="0.3">
      <c r="QT7094" s="106"/>
      <c r="QU7094" s="106"/>
      <c r="QV7094" s="106"/>
      <c r="QW7094" s="106"/>
      <c r="QX7094" s="106"/>
      <c r="QY7094" s="106"/>
      <c r="QZ7094" s="106"/>
      <c r="RA7094" s="106"/>
      <c r="RB7094" s="106"/>
      <c r="RC7094" s="106"/>
      <c r="RD7094" s="106"/>
      <c r="RE7094" s="106"/>
      <c r="RF7094" s="106"/>
      <c r="RG7094" s="106"/>
      <c r="RH7094" s="106"/>
      <c r="RI7094" s="106"/>
      <c r="RJ7094" s="106"/>
      <c r="RK7094" s="106"/>
      <c r="RL7094" s="106"/>
    </row>
    <row r="7095" spans="462:480" x14ac:dyDescent="0.3">
      <c r="QT7095" s="106"/>
      <c r="QU7095" s="106"/>
      <c r="QV7095" s="106"/>
      <c r="QW7095" s="106"/>
      <c r="QX7095" s="106"/>
      <c r="QY7095" s="106"/>
      <c r="QZ7095" s="106"/>
      <c r="RA7095" s="106"/>
      <c r="RB7095" s="106"/>
      <c r="RC7095" s="106"/>
      <c r="RD7095" s="106"/>
      <c r="RE7095" s="106"/>
      <c r="RF7095" s="106"/>
      <c r="RG7095" s="106"/>
      <c r="RH7095" s="106"/>
      <c r="RI7095" s="106"/>
      <c r="RJ7095" s="106"/>
      <c r="RK7095" s="106"/>
      <c r="RL7095" s="106"/>
    </row>
    <row r="7096" spans="462:480" x14ac:dyDescent="0.3">
      <c r="QT7096" s="106"/>
      <c r="QU7096" s="106"/>
      <c r="QV7096" s="106"/>
      <c r="QW7096" s="106"/>
      <c r="QX7096" s="106"/>
      <c r="QY7096" s="106"/>
      <c r="QZ7096" s="106"/>
      <c r="RA7096" s="106"/>
      <c r="RB7096" s="106"/>
      <c r="RC7096" s="106"/>
      <c r="RD7096" s="106"/>
      <c r="RE7096" s="106"/>
      <c r="RF7096" s="106"/>
      <c r="RG7096" s="106"/>
      <c r="RH7096" s="106"/>
      <c r="RI7096" s="106"/>
      <c r="RJ7096" s="106"/>
      <c r="RK7096" s="106"/>
      <c r="RL7096" s="106"/>
    </row>
    <row r="7097" spans="462:480" x14ac:dyDescent="0.3">
      <c r="QT7097" s="106"/>
      <c r="QU7097" s="106"/>
      <c r="QV7097" s="106"/>
      <c r="QW7097" s="106"/>
      <c r="QX7097" s="106"/>
      <c r="QY7097" s="106"/>
      <c r="QZ7097" s="106"/>
      <c r="RA7097" s="106"/>
      <c r="RB7097" s="106"/>
      <c r="RC7097" s="106"/>
      <c r="RD7097" s="106"/>
      <c r="RE7097" s="106"/>
      <c r="RF7097" s="106"/>
      <c r="RG7097" s="106"/>
      <c r="RH7097" s="106"/>
      <c r="RI7097" s="106"/>
      <c r="RJ7097" s="106"/>
      <c r="RK7097" s="106"/>
      <c r="RL7097" s="106"/>
    </row>
    <row r="7098" spans="462:480" x14ac:dyDescent="0.3">
      <c r="QT7098" s="106"/>
      <c r="QU7098" s="106"/>
      <c r="QV7098" s="106"/>
      <c r="QW7098" s="106"/>
      <c r="QX7098" s="106"/>
      <c r="QY7098" s="106"/>
      <c r="QZ7098" s="106"/>
      <c r="RA7098" s="106"/>
      <c r="RB7098" s="106"/>
      <c r="RC7098" s="106"/>
      <c r="RD7098" s="106"/>
      <c r="RE7098" s="106"/>
      <c r="RF7098" s="106"/>
      <c r="RG7098" s="106"/>
      <c r="RH7098" s="106"/>
      <c r="RI7098" s="106"/>
      <c r="RJ7098" s="106"/>
      <c r="RK7098" s="106"/>
      <c r="RL7098" s="106"/>
    </row>
    <row r="7099" spans="462:480" x14ac:dyDescent="0.3">
      <c r="QT7099" s="106"/>
      <c r="QU7099" s="106"/>
      <c r="QV7099" s="106"/>
      <c r="QW7099" s="106"/>
      <c r="QX7099" s="106"/>
      <c r="QY7099" s="106"/>
      <c r="QZ7099" s="106"/>
      <c r="RA7099" s="106"/>
      <c r="RB7099" s="106"/>
      <c r="RC7099" s="106"/>
      <c r="RD7099" s="106"/>
      <c r="RE7099" s="106"/>
      <c r="RF7099" s="106"/>
      <c r="RG7099" s="106"/>
      <c r="RH7099" s="106"/>
      <c r="RI7099" s="106"/>
      <c r="RJ7099" s="106"/>
      <c r="RK7099" s="106"/>
      <c r="RL7099" s="106"/>
    </row>
    <row r="7100" spans="462:480" x14ac:dyDescent="0.3">
      <c r="QT7100" s="106"/>
      <c r="QU7100" s="106"/>
      <c r="QV7100" s="106"/>
      <c r="QW7100" s="106"/>
      <c r="QX7100" s="106"/>
      <c r="QY7100" s="106"/>
      <c r="QZ7100" s="106"/>
      <c r="RA7100" s="106"/>
      <c r="RB7100" s="106"/>
      <c r="RC7100" s="106"/>
      <c r="RD7100" s="106"/>
      <c r="RE7100" s="106"/>
      <c r="RF7100" s="106"/>
      <c r="RG7100" s="106"/>
      <c r="RH7100" s="106"/>
      <c r="RI7100" s="106"/>
      <c r="RJ7100" s="106"/>
      <c r="RK7100" s="106"/>
      <c r="RL7100" s="106"/>
    </row>
    <row r="7101" spans="462:480" x14ac:dyDescent="0.3">
      <c r="QT7101" s="106"/>
      <c r="QU7101" s="106"/>
      <c r="QV7101" s="106"/>
      <c r="QW7101" s="106"/>
      <c r="QX7101" s="106"/>
      <c r="QY7101" s="106"/>
      <c r="QZ7101" s="106"/>
      <c r="RA7101" s="106"/>
      <c r="RB7101" s="106"/>
      <c r="RC7101" s="106"/>
      <c r="RD7101" s="106"/>
      <c r="RE7101" s="106"/>
      <c r="RF7101" s="106"/>
      <c r="RG7101" s="106"/>
      <c r="RH7101" s="106"/>
      <c r="RI7101" s="106"/>
      <c r="RJ7101" s="106"/>
      <c r="RK7101" s="106"/>
      <c r="RL7101" s="106"/>
    </row>
    <row r="7102" spans="462:480" x14ac:dyDescent="0.3">
      <c r="QT7102" s="106"/>
      <c r="QU7102" s="106"/>
      <c r="QV7102" s="106"/>
      <c r="QW7102" s="106"/>
      <c r="QX7102" s="106"/>
      <c r="QY7102" s="106"/>
      <c r="QZ7102" s="106"/>
      <c r="RA7102" s="106"/>
      <c r="RB7102" s="106"/>
      <c r="RC7102" s="106"/>
      <c r="RD7102" s="106"/>
      <c r="RE7102" s="106"/>
      <c r="RF7102" s="106"/>
      <c r="RG7102" s="106"/>
      <c r="RH7102" s="106"/>
      <c r="RI7102" s="106"/>
      <c r="RJ7102" s="106"/>
      <c r="RK7102" s="106"/>
      <c r="RL7102" s="106"/>
    </row>
    <row r="7103" spans="462:480" x14ac:dyDescent="0.3">
      <c r="QT7103" s="106"/>
      <c r="QU7103" s="106"/>
      <c r="QV7103" s="106"/>
      <c r="QW7103" s="106"/>
      <c r="QX7103" s="106"/>
      <c r="QY7103" s="106"/>
      <c r="QZ7103" s="106"/>
      <c r="RA7103" s="106"/>
      <c r="RB7103" s="106"/>
      <c r="RC7103" s="106"/>
      <c r="RD7103" s="106"/>
      <c r="RE7103" s="106"/>
      <c r="RF7103" s="106"/>
      <c r="RG7103" s="106"/>
      <c r="RH7103" s="106"/>
      <c r="RI7103" s="106"/>
      <c r="RJ7103" s="106"/>
      <c r="RK7103" s="106"/>
      <c r="RL7103" s="106"/>
    </row>
    <row r="7104" spans="462:480" x14ac:dyDescent="0.3">
      <c r="QT7104" s="106"/>
      <c r="QU7104" s="106"/>
      <c r="QV7104" s="106"/>
      <c r="QW7104" s="106"/>
      <c r="QX7104" s="106"/>
      <c r="QY7104" s="106"/>
      <c r="QZ7104" s="106"/>
      <c r="RA7104" s="106"/>
      <c r="RB7104" s="106"/>
      <c r="RC7104" s="106"/>
      <c r="RD7104" s="106"/>
      <c r="RE7104" s="106"/>
      <c r="RF7104" s="106"/>
      <c r="RG7104" s="106"/>
      <c r="RH7104" s="106"/>
      <c r="RI7104" s="106"/>
      <c r="RJ7104" s="106"/>
      <c r="RK7104" s="106"/>
      <c r="RL7104" s="106"/>
    </row>
    <row r="7105" spans="462:480" x14ac:dyDescent="0.3">
      <c r="QT7105" s="106"/>
      <c r="QU7105" s="106"/>
      <c r="QV7105" s="106"/>
      <c r="QW7105" s="106"/>
      <c r="QX7105" s="106"/>
      <c r="QY7105" s="106"/>
      <c r="QZ7105" s="106"/>
      <c r="RA7105" s="106"/>
      <c r="RB7105" s="106"/>
      <c r="RC7105" s="106"/>
      <c r="RD7105" s="106"/>
      <c r="RE7105" s="106"/>
      <c r="RF7105" s="106"/>
      <c r="RG7105" s="106"/>
      <c r="RH7105" s="106"/>
      <c r="RI7105" s="106"/>
      <c r="RJ7105" s="106"/>
      <c r="RK7105" s="106"/>
      <c r="RL7105" s="106"/>
    </row>
    <row r="7106" spans="462:480" x14ac:dyDescent="0.3">
      <c r="QT7106" s="106"/>
      <c r="QU7106" s="106"/>
      <c r="QV7106" s="106"/>
      <c r="QW7106" s="106"/>
      <c r="QX7106" s="106"/>
      <c r="QY7106" s="106"/>
      <c r="QZ7106" s="106"/>
      <c r="RA7106" s="106"/>
      <c r="RB7106" s="106"/>
      <c r="RC7106" s="106"/>
      <c r="RD7106" s="106"/>
      <c r="RE7106" s="106"/>
      <c r="RF7106" s="106"/>
      <c r="RG7106" s="106"/>
      <c r="RH7106" s="106"/>
      <c r="RI7106" s="106"/>
      <c r="RJ7106" s="106"/>
      <c r="RK7106" s="106"/>
      <c r="RL7106" s="106"/>
    </row>
    <row r="7107" spans="462:480" x14ac:dyDescent="0.3">
      <c r="QT7107" s="106"/>
      <c r="QU7107" s="106"/>
      <c r="QV7107" s="106"/>
      <c r="QW7107" s="106"/>
      <c r="QX7107" s="106"/>
      <c r="QY7107" s="106"/>
      <c r="QZ7107" s="106"/>
      <c r="RA7107" s="106"/>
      <c r="RB7107" s="106"/>
      <c r="RC7107" s="106"/>
      <c r="RD7107" s="106"/>
      <c r="RE7107" s="106"/>
      <c r="RF7107" s="106"/>
      <c r="RG7107" s="106"/>
      <c r="RH7107" s="106"/>
      <c r="RI7107" s="106"/>
      <c r="RJ7107" s="106"/>
      <c r="RK7107" s="106"/>
      <c r="RL7107" s="106"/>
    </row>
    <row r="7108" spans="462:480" x14ac:dyDescent="0.3">
      <c r="QT7108" s="106"/>
      <c r="QU7108" s="106"/>
      <c r="QV7108" s="106"/>
      <c r="QW7108" s="106"/>
      <c r="QX7108" s="106"/>
      <c r="QY7108" s="106"/>
      <c r="QZ7108" s="106"/>
      <c r="RA7108" s="106"/>
      <c r="RB7108" s="106"/>
      <c r="RC7108" s="106"/>
      <c r="RD7108" s="106"/>
      <c r="RE7108" s="106"/>
      <c r="RF7108" s="106"/>
      <c r="RG7108" s="106"/>
      <c r="RH7108" s="106"/>
      <c r="RI7108" s="106"/>
      <c r="RJ7108" s="106"/>
      <c r="RK7108" s="106"/>
      <c r="RL7108" s="106"/>
    </row>
    <row r="7109" spans="462:480" x14ac:dyDescent="0.3">
      <c r="QT7109" s="106"/>
      <c r="QU7109" s="106"/>
      <c r="QV7109" s="106"/>
      <c r="QW7109" s="106"/>
      <c r="QX7109" s="106"/>
      <c r="QY7109" s="106"/>
      <c r="QZ7109" s="106"/>
      <c r="RA7109" s="106"/>
      <c r="RB7109" s="106"/>
      <c r="RC7109" s="106"/>
      <c r="RD7109" s="106"/>
      <c r="RE7109" s="106"/>
      <c r="RF7109" s="106"/>
      <c r="RG7109" s="106"/>
      <c r="RH7109" s="106"/>
      <c r="RI7109" s="106"/>
      <c r="RJ7109" s="106"/>
      <c r="RK7109" s="106"/>
      <c r="RL7109" s="106"/>
    </row>
    <row r="7110" spans="462:480" x14ac:dyDescent="0.3">
      <c r="QT7110" s="106"/>
      <c r="QU7110" s="106"/>
      <c r="QV7110" s="106"/>
      <c r="QW7110" s="106"/>
      <c r="QX7110" s="106"/>
      <c r="QY7110" s="106"/>
      <c r="QZ7110" s="106"/>
      <c r="RA7110" s="106"/>
      <c r="RB7110" s="106"/>
      <c r="RC7110" s="106"/>
      <c r="RD7110" s="106"/>
      <c r="RE7110" s="106"/>
      <c r="RF7110" s="106"/>
      <c r="RG7110" s="106"/>
      <c r="RH7110" s="106"/>
      <c r="RI7110" s="106"/>
      <c r="RJ7110" s="106"/>
      <c r="RK7110" s="106"/>
      <c r="RL7110" s="106"/>
    </row>
    <row r="7111" spans="462:480" x14ac:dyDescent="0.3">
      <c r="QT7111" s="106"/>
      <c r="QU7111" s="106"/>
      <c r="QV7111" s="106"/>
      <c r="QW7111" s="106"/>
      <c r="QX7111" s="106"/>
      <c r="QY7111" s="106"/>
      <c r="QZ7111" s="106"/>
      <c r="RA7111" s="106"/>
      <c r="RB7111" s="106"/>
      <c r="RC7111" s="106"/>
      <c r="RD7111" s="106"/>
      <c r="RE7111" s="106"/>
      <c r="RF7111" s="106"/>
      <c r="RG7111" s="106"/>
      <c r="RH7111" s="106"/>
      <c r="RI7111" s="106"/>
      <c r="RJ7111" s="106"/>
      <c r="RK7111" s="106"/>
      <c r="RL7111" s="106"/>
    </row>
    <row r="7112" spans="462:480" x14ac:dyDescent="0.3">
      <c r="QT7112" s="106"/>
      <c r="QU7112" s="106"/>
      <c r="QV7112" s="106"/>
      <c r="QW7112" s="106"/>
      <c r="QX7112" s="106"/>
      <c r="QY7112" s="106"/>
      <c r="QZ7112" s="106"/>
      <c r="RA7112" s="106"/>
      <c r="RB7112" s="106"/>
      <c r="RC7112" s="106"/>
      <c r="RD7112" s="106"/>
      <c r="RE7112" s="106"/>
      <c r="RF7112" s="106"/>
      <c r="RG7112" s="106"/>
      <c r="RH7112" s="106"/>
      <c r="RI7112" s="106"/>
      <c r="RJ7112" s="106"/>
      <c r="RK7112" s="106"/>
      <c r="RL7112" s="106"/>
    </row>
    <row r="7113" spans="462:480" x14ac:dyDescent="0.3">
      <c r="QT7113" s="106"/>
      <c r="QU7113" s="106"/>
      <c r="QV7113" s="106"/>
      <c r="QW7113" s="106"/>
      <c r="QX7113" s="106"/>
      <c r="QY7113" s="106"/>
      <c r="QZ7113" s="106"/>
      <c r="RA7113" s="106"/>
      <c r="RB7113" s="106"/>
      <c r="RC7113" s="106"/>
      <c r="RD7113" s="106"/>
      <c r="RE7113" s="106"/>
      <c r="RF7113" s="106"/>
      <c r="RG7113" s="106"/>
      <c r="RH7113" s="106"/>
      <c r="RI7113" s="106"/>
      <c r="RJ7113" s="106"/>
      <c r="RK7113" s="106"/>
      <c r="RL7113" s="106"/>
    </row>
    <row r="7114" spans="462:480" x14ac:dyDescent="0.3">
      <c r="QT7114" s="106"/>
      <c r="QU7114" s="106"/>
      <c r="QV7114" s="106"/>
      <c r="QW7114" s="106"/>
      <c r="QX7114" s="106"/>
      <c r="QY7114" s="106"/>
      <c r="QZ7114" s="106"/>
      <c r="RA7114" s="106"/>
      <c r="RB7114" s="106"/>
      <c r="RC7114" s="106"/>
      <c r="RD7114" s="106"/>
      <c r="RE7114" s="106"/>
      <c r="RF7114" s="106"/>
      <c r="RG7114" s="106"/>
      <c r="RH7114" s="106"/>
      <c r="RI7114" s="106"/>
      <c r="RJ7114" s="106"/>
      <c r="RK7114" s="106"/>
      <c r="RL7114" s="106"/>
    </row>
    <row r="7115" spans="462:480" x14ac:dyDescent="0.3">
      <c r="QT7115" s="106"/>
      <c r="QU7115" s="106"/>
      <c r="QV7115" s="106"/>
      <c r="QW7115" s="106"/>
      <c r="QX7115" s="106"/>
      <c r="QY7115" s="106"/>
      <c r="QZ7115" s="106"/>
      <c r="RA7115" s="106"/>
      <c r="RB7115" s="106"/>
      <c r="RC7115" s="106"/>
      <c r="RD7115" s="106"/>
      <c r="RE7115" s="106"/>
      <c r="RF7115" s="106"/>
      <c r="RG7115" s="106"/>
      <c r="RH7115" s="106"/>
      <c r="RI7115" s="106"/>
      <c r="RJ7115" s="106"/>
      <c r="RK7115" s="106"/>
      <c r="RL7115" s="106"/>
    </row>
    <row r="7116" spans="462:480" x14ac:dyDescent="0.3">
      <c r="QT7116" s="106"/>
      <c r="QU7116" s="106"/>
      <c r="QV7116" s="106"/>
      <c r="QW7116" s="106"/>
      <c r="QX7116" s="106"/>
      <c r="QY7116" s="106"/>
      <c r="QZ7116" s="106"/>
      <c r="RA7116" s="106"/>
      <c r="RB7116" s="106"/>
      <c r="RC7116" s="106"/>
      <c r="RD7116" s="106"/>
      <c r="RE7116" s="106"/>
      <c r="RF7116" s="106"/>
      <c r="RG7116" s="106"/>
      <c r="RH7116" s="106"/>
      <c r="RI7116" s="106"/>
      <c r="RJ7116" s="106"/>
      <c r="RK7116" s="106"/>
      <c r="RL7116" s="106"/>
    </row>
    <row r="7117" spans="462:480" x14ac:dyDescent="0.3">
      <c r="QT7117" s="106"/>
      <c r="QU7117" s="106"/>
      <c r="QV7117" s="106"/>
      <c r="QW7117" s="106"/>
      <c r="QX7117" s="106"/>
      <c r="QY7117" s="106"/>
      <c r="QZ7117" s="106"/>
      <c r="RA7117" s="106"/>
      <c r="RB7117" s="106"/>
      <c r="RC7117" s="106"/>
      <c r="RD7117" s="106"/>
      <c r="RE7117" s="106"/>
      <c r="RF7117" s="106"/>
      <c r="RG7117" s="106"/>
      <c r="RH7117" s="106"/>
      <c r="RI7117" s="106"/>
      <c r="RJ7117" s="106"/>
      <c r="RK7117" s="106"/>
      <c r="RL7117" s="106"/>
    </row>
    <row r="7118" spans="462:480" x14ac:dyDescent="0.3">
      <c r="QT7118" s="106"/>
      <c r="QU7118" s="106"/>
      <c r="QV7118" s="106"/>
      <c r="QW7118" s="106"/>
      <c r="QX7118" s="106"/>
      <c r="QY7118" s="106"/>
      <c r="QZ7118" s="106"/>
      <c r="RA7118" s="106"/>
      <c r="RB7118" s="106"/>
      <c r="RC7118" s="106"/>
      <c r="RD7118" s="106"/>
      <c r="RE7118" s="106"/>
      <c r="RF7118" s="106"/>
      <c r="RG7118" s="106"/>
      <c r="RH7118" s="106"/>
      <c r="RI7118" s="106"/>
      <c r="RJ7118" s="106"/>
      <c r="RK7118" s="106"/>
      <c r="RL7118" s="106"/>
    </row>
    <row r="7119" spans="462:480" x14ac:dyDescent="0.3">
      <c r="QT7119" s="106"/>
      <c r="QU7119" s="106"/>
      <c r="QV7119" s="106"/>
      <c r="QW7119" s="106"/>
      <c r="QX7119" s="106"/>
      <c r="QY7119" s="106"/>
      <c r="QZ7119" s="106"/>
      <c r="RA7119" s="106"/>
      <c r="RB7119" s="106"/>
      <c r="RC7119" s="106"/>
      <c r="RD7119" s="106"/>
      <c r="RE7119" s="106"/>
      <c r="RF7119" s="106"/>
      <c r="RG7119" s="106"/>
      <c r="RH7119" s="106"/>
      <c r="RI7119" s="106"/>
      <c r="RJ7119" s="106"/>
      <c r="RK7119" s="106"/>
      <c r="RL7119" s="106"/>
    </row>
    <row r="7120" spans="462:480" x14ac:dyDescent="0.3">
      <c r="QT7120" s="106"/>
      <c r="QU7120" s="106"/>
      <c r="QV7120" s="106"/>
      <c r="QW7120" s="106"/>
      <c r="QX7120" s="106"/>
      <c r="QY7120" s="106"/>
      <c r="QZ7120" s="106"/>
      <c r="RA7120" s="106"/>
      <c r="RB7120" s="106"/>
      <c r="RC7120" s="106"/>
      <c r="RD7120" s="106"/>
      <c r="RE7120" s="106"/>
      <c r="RF7120" s="106"/>
      <c r="RG7120" s="106"/>
      <c r="RH7120" s="106"/>
      <c r="RI7120" s="106"/>
      <c r="RJ7120" s="106"/>
      <c r="RK7120" s="106"/>
      <c r="RL7120" s="106"/>
    </row>
    <row r="7121" spans="462:480" x14ac:dyDescent="0.3">
      <c r="QT7121" s="106"/>
      <c r="QU7121" s="106"/>
      <c r="QV7121" s="106"/>
      <c r="QW7121" s="106"/>
      <c r="QX7121" s="106"/>
      <c r="QY7121" s="106"/>
      <c r="QZ7121" s="106"/>
      <c r="RA7121" s="106"/>
      <c r="RB7121" s="106"/>
      <c r="RC7121" s="106"/>
      <c r="RD7121" s="106"/>
      <c r="RE7121" s="106"/>
      <c r="RF7121" s="106"/>
      <c r="RG7121" s="106"/>
      <c r="RH7121" s="106"/>
      <c r="RI7121" s="106"/>
      <c r="RJ7121" s="106"/>
      <c r="RK7121" s="106"/>
      <c r="RL7121" s="106"/>
    </row>
    <row r="7122" spans="462:480" x14ac:dyDescent="0.3">
      <c r="QT7122" s="106"/>
      <c r="QU7122" s="106"/>
      <c r="QV7122" s="106"/>
      <c r="QW7122" s="106"/>
      <c r="QX7122" s="106"/>
      <c r="QY7122" s="106"/>
      <c r="QZ7122" s="106"/>
      <c r="RA7122" s="106"/>
      <c r="RB7122" s="106"/>
      <c r="RC7122" s="106"/>
      <c r="RD7122" s="106"/>
      <c r="RE7122" s="106"/>
      <c r="RF7122" s="106"/>
      <c r="RG7122" s="106"/>
      <c r="RH7122" s="106"/>
      <c r="RI7122" s="106"/>
      <c r="RJ7122" s="106"/>
      <c r="RK7122" s="106"/>
      <c r="RL7122" s="106"/>
    </row>
    <row r="7123" spans="462:480" x14ac:dyDescent="0.3">
      <c r="QT7123" s="106"/>
      <c r="QU7123" s="106"/>
      <c r="QV7123" s="106"/>
      <c r="QW7123" s="106"/>
      <c r="QX7123" s="106"/>
      <c r="QY7123" s="106"/>
      <c r="QZ7123" s="106"/>
      <c r="RA7123" s="106"/>
      <c r="RB7123" s="106"/>
      <c r="RC7123" s="106"/>
      <c r="RD7123" s="106"/>
      <c r="RE7123" s="106"/>
      <c r="RF7123" s="106"/>
      <c r="RG7123" s="106"/>
      <c r="RH7123" s="106"/>
      <c r="RI7123" s="106"/>
      <c r="RJ7123" s="106"/>
      <c r="RK7123" s="106"/>
      <c r="RL7123" s="106"/>
    </row>
    <row r="7124" spans="462:480" x14ac:dyDescent="0.3">
      <c r="QT7124" s="106"/>
      <c r="QU7124" s="106"/>
      <c r="QV7124" s="106"/>
      <c r="QW7124" s="106"/>
      <c r="QX7124" s="106"/>
      <c r="QY7124" s="106"/>
      <c r="QZ7124" s="106"/>
      <c r="RA7124" s="106"/>
      <c r="RB7124" s="106"/>
      <c r="RC7124" s="106"/>
      <c r="RD7124" s="106"/>
      <c r="RE7124" s="106"/>
      <c r="RF7124" s="106"/>
      <c r="RG7124" s="106"/>
      <c r="RH7124" s="106"/>
      <c r="RI7124" s="106"/>
      <c r="RJ7124" s="106"/>
      <c r="RK7124" s="106"/>
      <c r="RL7124" s="106"/>
    </row>
    <row r="7125" spans="462:480" x14ac:dyDescent="0.3">
      <c r="QT7125" s="106"/>
      <c r="QU7125" s="106"/>
      <c r="QV7125" s="106"/>
      <c r="QW7125" s="106"/>
      <c r="QX7125" s="106"/>
      <c r="QY7125" s="106"/>
      <c r="QZ7125" s="106"/>
      <c r="RA7125" s="106"/>
      <c r="RB7125" s="106"/>
      <c r="RC7125" s="106"/>
      <c r="RD7125" s="106"/>
      <c r="RE7125" s="106"/>
      <c r="RF7125" s="106"/>
      <c r="RG7125" s="106"/>
      <c r="RH7125" s="106"/>
      <c r="RI7125" s="106"/>
      <c r="RJ7125" s="106"/>
      <c r="RK7125" s="106"/>
      <c r="RL7125" s="106"/>
    </row>
    <row r="7126" spans="462:480" x14ac:dyDescent="0.3">
      <c r="QT7126" s="106"/>
      <c r="QU7126" s="106"/>
      <c r="QV7126" s="106"/>
      <c r="QW7126" s="106"/>
      <c r="QX7126" s="106"/>
      <c r="QY7126" s="106"/>
      <c r="QZ7126" s="106"/>
      <c r="RA7126" s="106"/>
      <c r="RB7126" s="106"/>
      <c r="RC7126" s="106"/>
      <c r="RD7126" s="106"/>
      <c r="RE7126" s="106"/>
      <c r="RF7126" s="106"/>
      <c r="RG7126" s="106"/>
      <c r="RH7126" s="106"/>
      <c r="RI7126" s="106"/>
      <c r="RJ7126" s="106"/>
      <c r="RK7126" s="106"/>
      <c r="RL7126" s="106"/>
    </row>
    <row r="7127" spans="462:480" x14ac:dyDescent="0.3">
      <c r="QT7127" s="106"/>
      <c r="QU7127" s="106"/>
      <c r="QV7127" s="106"/>
      <c r="QW7127" s="106"/>
      <c r="QX7127" s="106"/>
      <c r="QY7127" s="106"/>
      <c r="QZ7127" s="106"/>
      <c r="RA7127" s="106"/>
      <c r="RB7127" s="106"/>
      <c r="RC7127" s="106"/>
      <c r="RD7127" s="106"/>
      <c r="RE7127" s="106"/>
      <c r="RF7127" s="106"/>
      <c r="RG7127" s="106"/>
      <c r="RH7127" s="106"/>
      <c r="RI7127" s="106"/>
      <c r="RJ7127" s="106"/>
      <c r="RK7127" s="106"/>
      <c r="RL7127" s="106"/>
    </row>
    <row r="7128" spans="462:480" x14ac:dyDescent="0.3">
      <c r="QT7128" s="106"/>
      <c r="QU7128" s="106"/>
      <c r="QV7128" s="106"/>
      <c r="QW7128" s="106"/>
      <c r="QX7128" s="106"/>
      <c r="QY7128" s="106"/>
      <c r="QZ7128" s="106"/>
      <c r="RA7128" s="106"/>
      <c r="RB7128" s="106"/>
      <c r="RC7128" s="106"/>
      <c r="RD7128" s="106"/>
      <c r="RE7128" s="106"/>
      <c r="RF7128" s="106"/>
      <c r="RG7128" s="106"/>
      <c r="RH7128" s="106"/>
      <c r="RI7128" s="106"/>
      <c r="RJ7128" s="106"/>
      <c r="RK7128" s="106"/>
      <c r="RL7128" s="106"/>
    </row>
    <row r="7129" spans="462:480" x14ac:dyDescent="0.3">
      <c r="QT7129" s="106"/>
      <c r="QU7129" s="106"/>
      <c r="QV7129" s="106"/>
      <c r="QW7129" s="106"/>
      <c r="QX7129" s="106"/>
      <c r="QY7129" s="106"/>
      <c r="QZ7129" s="106"/>
      <c r="RA7129" s="106"/>
      <c r="RB7129" s="106"/>
      <c r="RC7129" s="106"/>
      <c r="RD7129" s="106"/>
      <c r="RE7129" s="106"/>
      <c r="RF7129" s="106"/>
      <c r="RG7129" s="106"/>
      <c r="RH7129" s="106"/>
      <c r="RI7129" s="106"/>
      <c r="RJ7129" s="106"/>
      <c r="RK7129" s="106"/>
      <c r="RL7129" s="106"/>
    </row>
    <row r="7130" spans="462:480" x14ac:dyDescent="0.3">
      <c r="QT7130" s="106"/>
      <c r="QU7130" s="106"/>
      <c r="QV7130" s="106"/>
      <c r="QW7130" s="106"/>
      <c r="QX7130" s="106"/>
      <c r="QY7130" s="106"/>
      <c r="QZ7130" s="106"/>
      <c r="RA7130" s="106"/>
      <c r="RB7130" s="106"/>
      <c r="RC7130" s="106"/>
      <c r="RD7130" s="106"/>
      <c r="RE7130" s="106"/>
      <c r="RF7130" s="106"/>
      <c r="RG7130" s="106"/>
      <c r="RH7130" s="106"/>
      <c r="RI7130" s="106"/>
      <c r="RJ7130" s="106"/>
      <c r="RK7130" s="106"/>
      <c r="RL7130" s="106"/>
    </row>
    <row r="7131" spans="462:480" x14ac:dyDescent="0.3">
      <c r="QT7131" s="106"/>
      <c r="QU7131" s="106"/>
      <c r="QV7131" s="106"/>
      <c r="QW7131" s="106"/>
      <c r="QX7131" s="106"/>
      <c r="QY7131" s="106"/>
      <c r="QZ7131" s="106"/>
      <c r="RA7131" s="106"/>
      <c r="RB7131" s="106"/>
      <c r="RC7131" s="106"/>
      <c r="RD7131" s="106"/>
      <c r="RE7131" s="106"/>
      <c r="RF7131" s="106"/>
      <c r="RG7131" s="106"/>
      <c r="RH7131" s="106"/>
      <c r="RI7131" s="106"/>
      <c r="RJ7131" s="106"/>
      <c r="RK7131" s="106"/>
      <c r="RL7131" s="106"/>
    </row>
    <row r="7132" spans="462:480" x14ac:dyDescent="0.3">
      <c r="QT7132" s="106"/>
      <c r="QU7132" s="106"/>
      <c r="QV7132" s="106"/>
      <c r="QW7132" s="106"/>
      <c r="QX7132" s="106"/>
      <c r="QY7132" s="106"/>
      <c r="QZ7132" s="106"/>
      <c r="RA7132" s="106"/>
      <c r="RB7132" s="106"/>
      <c r="RC7132" s="106"/>
      <c r="RD7132" s="106"/>
      <c r="RE7132" s="106"/>
      <c r="RF7132" s="106"/>
      <c r="RG7132" s="106"/>
      <c r="RH7132" s="106"/>
      <c r="RI7132" s="106"/>
      <c r="RJ7132" s="106"/>
      <c r="RK7132" s="106"/>
      <c r="RL7132" s="106"/>
    </row>
    <row r="7133" spans="462:480" x14ac:dyDescent="0.3">
      <c r="QT7133" s="106"/>
      <c r="QU7133" s="106"/>
      <c r="QV7133" s="106"/>
      <c r="QW7133" s="106"/>
      <c r="QX7133" s="106"/>
      <c r="QY7133" s="106"/>
      <c r="QZ7133" s="106"/>
      <c r="RA7133" s="106"/>
      <c r="RB7133" s="106"/>
      <c r="RC7133" s="106"/>
      <c r="RD7133" s="106"/>
      <c r="RE7133" s="106"/>
      <c r="RF7133" s="106"/>
      <c r="RG7133" s="106"/>
      <c r="RH7133" s="106"/>
      <c r="RI7133" s="106"/>
      <c r="RJ7133" s="106"/>
      <c r="RK7133" s="106"/>
      <c r="RL7133" s="106"/>
    </row>
    <row r="7134" spans="462:480" x14ac:dyDescent="0.3">
      <c r="QT7134" s="106"/>
      <c r="QU7134" s="106"/>
      <c r="QV7134" s="106"/>
      <c r="QW7134" s="106"/>
      <c r="QX7134" s="106"/>
      <c r="QY7134" s="106"/>
      <c r="QZ7134" s="106"/>
      <c r="RA7134" s="106"/>
      <c r="RB7134" s="106"/>
      <c r="RC7134" s="106"/>
      <c r="RD7134" s="106"/>
      <c r="RE7134" s="106"/>
      <c r="RF7134" s="106"/>
      <c r="RG7134" s="106"/>
      <c r="RH7134" s="106"/>
      <c r="RI7134" s="106"/>
      <c r="RJ7134" s="106"/>
      <c r="RK7134" s="106"/>
      <c r="RL7134" s="106"/>
    </row>
    <row r="7135" spans="462:480" x14ac:dyDescent="0.3">
      <c r="QT7135" s="106"/>
      <c r="QU7135" s="106"/>
      <c r="QV7135" s="106"/>
      <c r="QW7135" s="106"/>
      <c r="QX7135" s="106"/>
      <c r="QY7135" s="106"/>
      <c r="QZ7135" s="106"/>
      <c r="RA7135" s="106"/>
      <c r="RB7135" s="106"/>
      <c r="RC7135" s="106"/>
      <c r="RD7135" s="106"/>
      <c r="RE7135" s="106"/>
      <c r="RF7135" s="106"/>
      <c r="RG7135" s="106"/>
      <c r="RH7135" s="106"/>
      <c r="RI7135" s="106"/>
      <c r="RJ7135" s="106"/>
      <c r="RK7135" s="106"/>
      <c r="RL7135" s="106"/>
    </row>
    <row r="7136" spans="462:480" x14ac:dyDescent="0.3">
      <c r="QT7136" s="106"/>
      <c r="QU7136" s="106"/>
      <c r="QV7136" s="106"/>
      <c r="QW7136" s="106"/>
      <c r="QX7136" s="106"/>
      <c r="QY7136" s="106"/>
      <c r="QZ7136" s="106"/>
      <c r="RA7136" s="106"/>
      <c r="RB7136" s="106"/>
      <c r="RC7136" s="106"/>
      <c r="RD7136" s="106"/>
      <c r="RE7136" s="106"/>
      <c r="RF7136" s="106"/>
      <c r="RG7136" s="106"/>
      <c r="RH7136" s="106"/>
      <c r="RI7136" s="106"/>
      <c r="RJ7136" s="106"/>
      <c r="RK7136" s="106"/>
      <c r="RL7136" s="106"/>
    </row>
    <row r="7137" spans="462:480" x14ac:dyDescent="0.3">
      <c r="QT7137" s="106"/>
      <c r="QU7137" s="106"/>
      <c r="QV7137" s="106"/>
      <c r="QW7137" s="106"/>
      <c r="QX7137" s="106"/>
      <c r="QY7137" s="106"/>
      <c r="QZ7137" s="106"/>
      <c r="RA7137" s="106"/>
      <c r="RB7137" s="106"/>
      <c r="RC7137" s="106"/>
      <c r="RD7137" s="106"/>
      <c r="RE7137" s="106"/>
      <c r="RF7137" s="106"/>
      <c r="RG7137" s="106"/>
      <c r="RH7137" s="106"/>
      <c r="RI7137" s="106"/>
      <c r="RJ7137" s="106"/>
      <c r="RK7137" s="106"/>
      <c r="RL7137" s="106"/>
    </row>
    <row r="7138" spans="462:480" x14ac:dyDescent="0.3">
      <c r="QT7138" s="106"/>
      <c r="QU7138" s="106"/>
      <c r="QV7138" s="106"/>
      <c r="QW7138" s="106"/>
      <c r="QX7138" s="106"/>
      <c r="QY7138" s="106"/>
      <c r="QZ7138" s="106"/>
      <c r="RA7138" s="106"/>
      <c r="RB7138" s="106"/>
      <c r="RC7138" s="106"/>
      <c r="RD7138" s="106"/>
      <c r="RE7138" s="106"/>
      <c r="RF7138" s="106"/>
      <c r="RG7138" s="106"/>
      <c r="RH7138" s="106"/>
      <c r="RI7138" s="106"/>
      <c r="RJ7138" s="106"/>
      <c r="RK7138" s="106"/>
      <c r="RL7138" s="106"/>
    </row>
    <row r="7139" spans="462:480" x14ac:dyDescent="0.3">
      <c r="QT7139" s="106"/>
      <c r="QU7139" s="106"/>
      <c r="QV7139" s="106"/>
      <c r="QW7139" s="106"/>
      <c r="QX7139" s="106"/>
      <c r="QY7139" s="106"/>
      <c r="QZ7139" s="106"/>
      <c r="RA7139" s="106"/>
      <c r="RB7139" s="106"/>
      <c r="RC7139" s="106"/>
      <c r="RD7139" s="106"/>
      <c r="RE7139" s="106"/>
      <c r="RF7139" s="106"/>
      <c r="RG7139" s="106"/>
      <c r="RH7139" s="106"/>
      <c r="RI7139" s="106"/>
      <c r="RJ7139" s="106"/>
      <c r="RK7139" s="106"/>
      <c r="RL7139" s="106"/>
    </row>
    <row r="7140" spans="462:480" x14ac:dyDescent="0.3">
      <c r="QT7140" s="106"/>
      <c r="QU7140" s="106"/>
      <c r="QV7140" s="106"/>
      <c r="QW7140" s="106"/>
      <c r="QX7140" s="106"/>
      <c r="QY7140" s="106"/>
      <c r="QZ7140" s="106"/>
      <c r="RA7140" s="106"/>
      <c r="RB7140" s="106"/>
      <c r="RC7140" s="106"/>
      <c r="RD7140" s="106"/>
      <c r="RE7140" s="106"/>
      <c r="RF7140" s="106"/>
      <c r="RG7140" s="106"/>
      <c r="RH7140" s="106"/>
      <c r="RI7140" s="106"/>
      <c r="RJ7140" s="106"/>
      <c r="RK7140" s="106"/>
      <c r="RL7140" s="106"/>
    </row>
    <row r="7141" spans="462:480" x14ac:dyDescent="0.3">
      <c r="QT7141" s="106"/>
      <c r="QU7141" s="106"/>
      <c r="QV7141" s="106"/>
      <c r="QW7141" s="106"/>
      <c r="QX7141" s="106"/>
      <c r="QY7141" s="106"/>
      <c r="QZ7141" s="106"/>
      <c r="RA7141" s="106"/>
      <c r="RB7141" s="106"/>
      <c r="RC7141" s="106"/>
      <c r="RD7141" s="106"/>
      <c r="RE7141" s="106"/>
      <c r="RF7141" s="106"/>
      <c r="RG7141" s="106"/>
      <c r="RH7141" s="106"/>
      <c r="RI7141" s="106"/>
      <c r="RJ7141" s="106"/>
      <c r="RK7141" s="106"/>
      <c r="RL7141" s="106"/>
    </row>
    <row r="7142" spans="462:480" x14ac:dyDescent="0.3">
      <c r="QT7142" s="106"/>
      <c r="QU7142" s="106"/>
      <c r="QV7142" s="106"/>
      <c r="QW7142" s="106"/>
      <c r="QX7142" s="106"/>
      <c r="QY7142" s="106"/>
      <c r="QZ7142" s="106"/>
      <c r="RA7142" s="106"/>
      <c r="RB7142" s="106"/>
      <c r="RC7142" s="106"/>
      <c r="RD7142" s="106"/>
      <c r="RE7142" s="106"/>
      <c r="RF7142" s="106"/>
      <c r="RG7142" s="106"/>
      <c r="RH7142" s="106"/>
      <c r="RI7142" s="106"/>
      <c r="RJ7142" s="106"/>
      <c r="RK7142" s="106"/>
      <c r="RL7142" s="106"/>
    </row>
    <row r="7143" spans="462:480" x14ac:dyDescent="0.3">
      <c r="QT7143" s="106"/>
      <c r="QU7143" s="106"/>
      <c r="QV7143" s="106"/>
      <c r="QW7143" s="106"/>
      <c r="QX7143" s="106"/>
      <c r="QY7143" s="106"/>
      <c r="QZ7143" s="106"/>
      <c r="RA7143" s="106"/>
      <c r="RB7143" s="106"/>
      <c r="RC7143" s="106"/>
      <c r="RD7143" s="106"/>
      <c r="RE7143" s="106"/>
      <c r="RF7143" s="106"/>
      <c r="RG7143" s="106"/>
      <c r="RH7143" s="106"/>
      <c r="RI7143" s="106"/>
      <c r="RJ7143" s="106"/>
      <c r="RK7143" s="106"/>
      <c r="RL7143" s="106"/>
    </row>
    <row r="7144" spans="462:480" x14ac:dyDescent="0.3">
      <c r="QT7144" s="106"/>
      <c r="QU7144" s="106"/>
      <c r="QV7144" s="106"/>
      <c r="QW7144" s="106"/>
      <c r="QX7144" s="106"/>
      <c r="QY7144" s="106"/>
      <c r="QZ7144" s="106"/>
      <c r="RA7144" s="106"/>
      <c r="RB7144" s="106"/>
      <c r="RC7144" s="106"/>
      <c r="RD7144" s="106"/>
      <c r="RE7144" s="106"/>
      <c r="RF7144" s="106"/>
      <c r="RG7144" s="106"/>
      <c r="RH7144" s="106"/>
      <c r="RI7144" s="106"/>
      <c r="RJ7144" s="106"/>
      <c r="RK7144" s="106"/>
      <c r="RL7144" s="106"/>
    </row>
    <row r="7145" spans="462:480" x14ac:dyDescent="0.3">
      <c r="QT7145" s="106"/>
      <c r="QU7145" s="106"/>
      <c r="QV7145" s="106"/>
      <c r="QW7145" s="106"/>
      <c r="QX7145" s="106"/>
      <c r="QY7145" s="106"/>
      <c r="QZ7145" s="106"/>
      <c r="RA7145" s="106"/>
      <c r="RB7145" s="106"/>
      <c r="RC7145" s="106"/>
      <c r="RD7145" s="106"/>
      <c r="RE7145" s="106"/>
      <c r="RF7145" s="106"/>
      <c r="RG7145" s="106"/>
      <c r="RH7145" s="106"/>
      <c r="RI7145" s="106"/>
      <c r="RJ7145" s="106"/>
      <c r="RK7145" s="106"/>
      <c r="RL7145" s="106"/>
    </row>
    <row r="7146" spans="462:480" x14ac:dyDescent="0.3">
      <c r="QT7146" s="106"/>
      <c r="QU7146" s="106"/>
      <c r="QV7146" s="106"/>
      <c r="QW7146" s="106"/>
      <c r="QX7146" s="106"/>
      <c r="QY7146" s="106"/>
      <c r="QZ7146" s="106"/>
      <c r="RA7146" s="106"/>
      <c r="RB7146" s="106"/>
      <c r="RC7146" s="106"/>
      <c r="RD7146" s="106"/>
      <c r="RE7146" s="106"/>
      <c r="RF7146" s="106"/>
      <c r="RG7146" s="106"/>
      <c r="RH7146" s="106"/>
      <c r="RI7146" s="106"/>
      <c r="RJ7146" s="106"/>
      <c r="RK7146" s="106"/>
      <c r="RL7146" s="106"/>
    </row>
    <row r="7147" spans="462:480" x14ac:dyDescent="0.3">
      <c r="QT7147" s="106"/>
      <c r="QU7147" s="106"/>
      <c r="QV7147" s="106"/>
      <c r="QW7147" s="106"/>
      <c r="QX7147" s="106"/>
      <c r="QY7147" s="106"/>
      <c r="QZ7147" s="106"/>
      <c r="RA7147" s="106"/>
      <c r="RB7147" s="106"/>
      <c r="RC7147" s="106"/>
      <c r="RD7147" s="106"/>
      <c r="RE7147" s="106"/>
      <c r="RF7147" s="106"/>
      <c r="RG7147" s="106"/>
      <c r="RH7147" s="106"/>
      <c r="RI7147" s="106"/>
      <c r="RJ7147" s="106"/>
      <c r="RK7147" s="106"/>
      <c r="RL7147" s="106"/>
    </row>
    <row r="7148" spans="462:480" x14ac:dyDescent="0.3">
      <c r="QT7148" s="106"/>
      <c r="QU7148" s="106"/>
      <c r="QV7148" s="106"/>
      <c r="QW7148" s="106"/>
      <c r="QX7148" s="106"/>
      <c r="QY7148" s="106"/>
      <c r="QZ7148" s="106"/>
      <c r="RA7148" s="106"/>
      <c r="RB7148" s="106"/>
      <c r="RC7148" s="106"/>
      <c r="RD7148" s="106"/>
      <c r="RE7148" s="106"/>
      <c r="RF7148" s="106"/>
      <c r="RG7148" s="106"/>
      <c r="RH7148" s="106"/>
      <c r="RI7148" s="106"/>
      <c r="RJ7148" s="106"/>
      <c r="RK7148" s="106"/>
      <c r="RL7148" s="106"/>
    </row>
    <row r="7149" spans="462:480" x14ac:dyDescent="0.3">
      <c r="QT7149" s="106"/>
      <c r="QU7149" s="106"/>
      <c r="QV7149" s="106"/>
      <c r="QW7149" s="106"/>
      <c r="QX7149" s="106"/>
      <c r="QY7149" s="106"/>
      <c r="QZ7149" s="106"/>
      <c r="RA7149" s="106"/>
      <c r="RB7149" s="106"/>
      <c r="RC7149" s="106"/>
      <c r="RD7149" s="106"/>
      <c r="RE7149" s="106"/>
      <c r="RF7149" s="106"/>
      <c r="RG7149" s="106"/>
      <c r="RH7149" s="106"/>
      <c r="RI7149" s="106"/>
      <c r="RJ7149" s="106"/>
      <c r="RK7149" s="106"/>
      <c r="RL7149" s="106"/>
    </row>
    <row r="7150" spans="462:480" x14ac:dyDescent="0.3">
      <c r="QT7150" s="106"/>
      <c r="QU7150" s="106"/>
      <c r="QV7150" s="106"/>
      <c r="QW7150" s="106"/>
      <c r="QX7150" s="106"/>
      <c r="QY7150" s="106"/>
      <c r="QZ7150" s="106"/>
      <c r="RA7150" s="106"/>
      <c r="RB7150" s="106"/>
      <c r="RC7150" s="106"/>
      <c r="RD7150" s="106"/>
      <c r="RE7150" s="106"/>
      <c r="RF7150" s="106"/>
      <c r="RG7150" s="106"/>
      <c r="RH7150" s="106"/>
      <c r="RI7150" s="106"/>
      <c r="RJ7150" s="106"/>
      <c r="RK7150" s="106"/>
      <c r="RL7150" s="106"/>
    </row>
    <row r="7151" spans="462:480" x14ac:dyDescent="0.3">
      <c r="QT7151" s="106"/>
      <c r="QU7151" s="106"/>
      <c r="QV7151" s="106"/>
      <c r="QW7151" s="106"/>
      <c r="QX7151" s="106"/>
      <c r="QY7151" s="106"/>
      <c r="QZ7151" s="106"/>
      <c r="RA7151" s="106"/>
      <c r="RB7151" s="106"/>
      <c r="RC7151" s="106"/>
      <c r="RD7151" s="106"/>
      <c r="RE7151" s="106"/>
      <c r="RF7151" s="106"/>
      <c r="RG7151" s="106"/>
      <c r="RH7151" s="106"/>
      <c r="RI7151" s="106"/>
      <c r="RJ7151" s="106"/>
      <c r="RK7151" s="106"/>
      <c r="RL7151" s="106"/>
    </row>
    <row r="7152" spans="462:480" x14ac:dyDescent="0.3">
      <c r="QT7152" s="106"/>
      <c r="QU7152" s="106"/>
      <c r="QV7152" s="106"/>
      <c r="QW7152" s="106"/>
      <c r="QX7152" s="106"/>
      <c r="QY7152" s="106"/>
      <c r="QZ7152" s="106"/>
      <c r="RA7152" s="106"/>
      <c r="RB7152" s="106"/>
      <c r="RC7152" s="106"/>
      <c r="RD7152" s="106"/>
      <c r="RE7152" s="106"/>
      <c r="RF7152" s="106"/>
      <c r="RG7152" s="106"/>
      <c r="RH7152" s="106"/>
      <c r="RI7152" s="106"/>
      <c r="RJ7152" s="106"/>
      <c r="RK7152" s="106"/>
      <c r="RL7152" s="106"/>
    </row>
    <row r="7153" spans="462:480" x14ac:dyDescent="0.3">
      <c r="QT7153" s="106"/>
      <c r="QU7153" s="106"/>
      <c r="QV7153" s="106"/>
      <c r="QW7153" s="106"/>
      <c r="QX7153" s="106"/>
      <c r="QY7153" s="106"/>
      <c r="QZ7153" s="106"/>
      <c r="RA7153" s="106"/>
      <c r="RB7153" s="106"/>
      <c r="RC7153" s="106"/>
      <c r="RD7153" s="106"/>
      <c r="RE7153" s="106"/>
      <c r="RF7153" s="106"/>
      <c r="RG7153" s="106"/>
      <c r="RH7153" s="106"/>
      <c r="RI7153" s="106"/>
      <c r="RJ7153" s="106"/>
      <c r="RK7153" s="106"/>
      <c r="RL7153" s="106"/>
    </row>
    <row r="7154" spans="462:480" x14ac:dyDescent="0.3">
      <c r="QT7154" s="106"/>
      <c r="QU7154" s="106"/>
      <c r="QV7154" s="106"/>
      <c r="QW7154" s="106"/>
      <c r="QX7154" s="106"/>
      <c r="QY7154" s="106"/>
      <c r="QZ7154" s="106"/>
      <c r="RA7154" s="106"/>
      <c r="RB7154" s="106"/>
      <c r="RC7154" s="106"/>
      <c r="RD7154" s="106"/>
      <c r="RE7154" s="106"/>
      <c r="RF7154" s="106"/>
      <c r="RG7154" s="106"/>
      <c r="RH7154" s="106"/>
      <c r="RI7154" s="106"/>
      <c r="RJ7154" s="106"/>
      <c r="RK7154" s="106"/>
      <c r="RL7154" s="106"/>
    </row>
    <row r="7155" spans="462:480" x14ac:dyDescent="0.3">
      <c r="QT7155" s="106"/>
      <c r="QU7155" s="106"/>
      <c r="QV7155" s="106"/>
      <c r="QW7155" s="106"/>
      <c r="QX7155" s="106"/>
      <c r="QY7155" s="106"/>
      <c r="QZ7155" s="106"/>
      <c r="RA7155" s="106"/>
      <c r="RB7155" s="106"/>
      <c r="RC7155" s="106"/>
      <c r="RD7155" s="106"/>
      <c r="RE7155" s="106"/>
      <c r="RF7155" s="106"/>
      <c r="RG7155" s="106"/>
      <c r="RH7155" s="106"/>
      <c r="RI7155" s="106"/>
      <c r="RJ7155" s="106"/>
      <c r="RK7155" s="106"/>
      <c r="RL7155" s="106"/>
    </row>
    <row r="7156" spans="462:480" x14ac:dyDescent="0.3">
      <c r="QT7156" s="106"/>
      <c r="QU7156" s="106"/>
      <c r="QV7156" s="106"/>
      <c r="QW7156" s="106"/>
      <c r="QX7156" s="106"/>
      <c r="QY7156" s="106"/>
      <c r="QZ7156" s="106"/>
      <c r="RA7156" s="106"/>
      <c r="RB7156" s="106"/>
      <c r="RC7156" s="106"/>
      <c r="RD7156" s="106"/>
      <c r="RE7156" s="106"/>
      <c r="RF7156" s="106"/>
      <c r="RG7156" s="106"/>
      <c r="RH7156" s="106"/>
      <c r="RI7156" s="106"/>
      <c r="RJ7156" s="106"/>
      <c r="RK7156" s="106"/>
      <c r="RL7156" s="106"/>
    </row>
    <row r="7157" spans="462:480" x14ac:dyDescent="0.3">
      <c r="QT7157" s="106"/>
      <c r="QU7157" s="106"/>
      <c r="QV7157" s="106"/>
      <c r="QW7157" s="106"/>
      <c r="QX7157" s="106"/>
      <c r="QY7157" s="106"/>
      <c r="QZ7157" s="106"/>
      <c r="RA7157" s="106"/>
      <c r="RB7157" s="106"/>
      <c r="RC7157" s="106"/>
      <c r="RD7157" s="106"/>
      <c r="RE7157" s="106"/>
      <c r="RF7157" s="106"/>
      <c r="RG7157" s="106"/>
      <c r="RH7157" s="106"/>
      <c r="RI7157" s="106"/>
      <c r="RJ7157" s="106"/>
      <c r="RK7157" s="106"/>
      <c r="RL7157" s="106"/>
    </row>
    <row r="7158" spans="462:480" x14ac:dyDescent="0.3">
      <c r="QT7158" s="106"/>
      <c r="QU7158" s="106"/>
      <c r="QV7158" s="106"/>
      <c r="QW7158" s="106"/>
      <c r="QX7158" s="106"/>
      <c r="QY7158" s="106"/>
      <c r="QZ7158" s="106"/>
      <c r="RA7158" s="106"/>
      <c r="RB7158" s="106"/>
      <c r="RC7158" s="106"/>
      <c r="RD7158" s="106"/>
      <c r="RE7158" s="106"/>
      <c r="RF7158" s="106"/>
      <c r="RG7158" s="106"/>
      <c r="RH7158" s="106"/>
      <c r="RI7158" s="106"/>
      <c r="RJ7158" s="106"/>
      <c r="RK7158" s="106"/>
      <c r="RL7158" s="106"/>
    </row>
    <row r="7159" spans="462:480" x14ac:dyDescent="0.3">
      <c r="QT7159" s="106"/>
      <c r="QU7159" s="106"/>
      <c r="QV7159" s="106"/>
      <c r="QW7159" s="106"/>
      <c r="QX7159" s="106"/>
      <c r="QY7159" s="106"/>
      <c r="QZ7159" s="106"/>
      <c r="RA7159" s="106"/>
      <c r="RB7159" s="106"/>
      <c r="RC7159" s="106"/>
      <c r="RD7159" s="106"/>
      <c r="RE7159" s="106"/>
      <c r="RF7159" s="106"/>
      <c r="RG7159" s="106"/>
      <c r="RH7159" s="106"/>
      <c r="RI7159" s="106"/>
      <c r="RJ7159" s="106"/>
      <c r="RK7159" s="106"/>
      <c r="RL7159" s="106"/>
    </row>
    <row r="7160" spans="462:480" x14ac:dyDescent="0.3">
      <c r="QT7160" s="106"/>
      <c r="QU7160" s="106"/>
      <c r="QV7160" s="106"/>
      <c r="QW7160" s="106"/>
      <c r="QX7160" s="106"/>
      <c r="QY7160" s="106"/>
      <c r="QZ7160" s="106"/>
      <c r="RA7160" s="106"/>
      <c r="RB7160" s="106"/>
      <c r="RC7160" s="106"/>
      <c r="RD7160" s="106"/>
      <c r="RE7160" s="106"/>
      <c r="RF7160" s="106"/>
      <c r="RG7160" s="106"/>
      <c r="RH7160" s="106"/>
      <c r="RI7160" s="106"/>
      <c r="RJ7160" s="106"/>
      <c r="RK7160" s="106"/>
      <c r="RL7160" s="106"/>
    </row>
    <row r="7161" spans="462:480" x14ac:dyDescent="0.3">
      <c r="QT7161" s="106"/>
      <c r="QU7161" s="106"/>
      <c r="QV7161" s="106"/>
      <c r="QW7161" s="106"/>
      <c r="QX7161" s="106"/>
      <c r="QY7161" s="106"/>
      <c r="QZ7161" s="106"/>
      <c r="RA7161" s="106"/>
      <c r="RB7161" s="106"/>
      <c r="RC7161" s="106"/>
      <c r="RD7161" s="106"/>
      <c r="RE7161" s="106"/>
      <c r="RF7161" s="106"/>
      <c r="RG7161" s="106"/>
      <c r="RH7161" s="106"/>
      <c r="RI7161" s="106"/>
      <c r="RJ7161" s="106"/>
      <c r="RK7161" s="106"/>
      <c r="RL7161" s="106"/>
    </row>
    <row r="7162" spans="462:480" x14ac:dyDescent="0.3">
      <c r="QT7162" s="106"/>
      <c r="QU7162" s="106"/>
      <c r="QV7162" s="106"/>
      <c r="QW7162" s="106"/>
      <c r="QX7162" s="106"/>
      <c r="QY7162" s="106"/>
      <c r="QZ7162" s="106"/>
      <c r="RA7162" s="106"/>
      <c r="RB7162" s="106"/>
      <c r="RC7162" s="106"/>
      <c r="RD7162" s="106"/>
      <c r="RE7162" s="106"/>
      <c r="RF7162" s="106"/>
      <c r="RG7162" s="106"/>
      <c r="RH7162" s="106"/>
      <c r="RI7162" s="106"/>
      <c r="RJ7162" s="106"/>
      <c r="RK7162" s="106"/>
      <c r="RL7162" s="106"/>
    </row>
    <row r="7163" spans="462:480" x14ac:dyDescent="0.3">
      <c r="QT7163" s="106"/>
      <c r="QU7163" s="106"/>
      <c r="QV7163" s="106"/>
      <c r="QW7163" s="106"/>
      <c r="QX7163" s="106"/>
      <c r="QY7163" s="106"/>
      <c r="QZ7163" s="106"/>
      <c r="RA7163" s="106"/>
      <c r="RB7163" s="106"/>
      <c r="RC7163" s="106"/>
      <c r="RD7163" s="106"/>
      <c r="RE7163" s="106"/>
      <c r="RF7163" s="106"/>
      <c r="RG7163" s="106"/>
      <c r="RH7163" s="106"/>
      <c r="RI7163" s="106"/>
      <c r="RJ7163" s="106"/>
      <c r="RK7163" s="106"/>
      <c r="RL7163" s="106"/>
    </row>
    <row r="7164" spans="462:480" x14ac:dyDescent="0.3">
      <c r="QT7164" s="106"/>
      <c r="QU7164" s="106"/>
      <c r="QV7164" s="106"/>
      <c r="QW7164" s="106"/>
      <c r="QX7164" s="106"/>
      <c r="QY7164" s="106"/>
      <c r="QZ7164" s="106"/>
      <c r="RA7164" s="106"/>
      <c r="RB7164" s="106"/>
      <c r="RC7164" s="106"/>
      <c r="RD7164" s="106"/>
      <c r="RE7164" s="106"/>
      <c r="RF7164" s="106"/>
      <c r="RG7164" s="106"/>
      <c r="RH7164" s="106"/>
      <c r="RI7164" s="106"/>
      <c r="RJ7164" s="106"/>
      <c r="RK7164" s="106"/>
      <c r="RL7164" s="106"/>
    </row>
    <row r="7165" spans="462:480" x14ac:dyDescent="0.3">
      <c r="QT7165" s="106"/>
      <c r="QU7165" s="106"/>
      <c r="QV7165" s="106"/>
      <c r="QW7165" s="106"/>
      <c r="QX7165" s="106"/>
      <c r="QY7165" s="106"/>
      <c r="QZ7165" s="106"/>
      <c r="RA7165" s="106"/>
      <c r="RB7165" s="106"/>
      <c r="RC7165" s="106"/>
      <c r="RD7165" s="106"/>
      <c r="RE7165" s="106"/>
      <c r="RF7165" s="106"/>
      <c r="RG7165" s="106"/>
      <c r="RH7165" s="106"/>
      <c r="RI7165" s="106"/>
      <c r="RJ7165" s="106"/>
      <c r="RK7165" s="106"/>
      <c r="RL7165" s="106"/>
    </row>
    <row r="7166" spans="462:480" x14ac:dyDescent="0.3">
      <c r="QT7166" s="106"/>
      <c r="QU7166" s="106"/>
      <c r="QV7166" s="106"/>
      <c r="QW7166" s="106"/>
      <c r="QX7166" s="106"/>
      <c r="QY7166" s="106"/>
      <c r="QZ7166" s="106"/>
      <c r="RA7166" s="106"/>
      <c r="RB7166" s="106"/>
      <c r="RC7166" s="106"/>
      <c r="RD7166" s="106"/>
      <c r="RE7166" s="106"/>
      <c r="RF7166" s="106"/>
      <c r="RG7166" s="106"/>
      <c r="RH7166" s="106"/>
      <c r="RI7166" s="106"/>
      <c r="RJ7166" s="106"/>
      <c r="RK7166" s="106"/>
      <c r="RL7166" s="106"/>
    </row>
    <row r="7167" spans="462:480" x14ac:dyDescent="0.3">
      <c r="QT7167" s="106"/>
      <c r="QU7167" s="106"/>
      <c r="QV7167" s="106"/>
      <c r="QW7167" s="106"/>
      <c r="QX7167" s="106"/>
      <c r="QY7167" s="106"/>
      <c r="QZ7167" s="106"/>
      <c r="RA7167" s="106"/>
      <c r="RB7167" s="106"/>
      <c r="RC7167" s="106"/>
      <c r="RD7167" s="106"/>
      <c r="RE7167" s="106"/>
      <c r="RF7167" s="106"/>
      <c r="RG7167" s="106"/>
      <c r="RH7167" s="106"/>
      <c r="RI7167" s="106"/>
      <c r="RJ7167" s="106"/>
      <c r="RK7167" s="106"/>
      <c r="RL7167" s="106"/>
    </row>
    <row r="7168" spans="462:480" x14ac:dyDescent="0.3">
      <c r="QT7168" s="106"/>
      <c r="QU7168" s="106"/>
      <c r="QV7168" s="106"/>
      <c r="QW7168" s="106"/>
      <c r="QX7168" s="106"/>
      <c r="QY7168" s="106"/>
      <c r="QZ7168" s="106"/>
      <c r="RA7168" s="106"/>
      <c r="RB7168" s="106"/>
      <c r="RC7168" s="106"/>
      <c r="RD7168" s="106"/>
      <c r="RE7168" s="106"/>
      <c r="RF7168" s="106"/>
      <c r="RG7168" s="106"/>
      <c r="RH7168" s="106"/>
      <c r="RI7168" s="106"/>
      <c r="RJ7168" s="106"/>
      <c r="RK7168" s="106"/>
      <c r="RL7168" s="106"/>
    </row>
    <row r="7169" spans="462:480" x14ac:dyDescent="0.3">
      <c r="QT7169" s="106"/>
      <c r="QU7169" s="106"/>
      <c r="QV7169" s="106"/>
      <c r="QW7169" s="106"/>
      <c r="QX7169" s="106"/>
      <c r="QY7169" s="106"/>
      <c r="QZ7169" s="106"/>
      <c r="RA7169" s="106"/>
      <c r="RB7169" s="106"/>
      <c r="RC7169" s="106"/>
      <c r="RD7169" s="106"/>
      <c r="RE7169" s="106"/>
      <c r="RF7169" s="106"/>
      <c r="RG7169" s="106"/>
      <c r="RH7169" s="106"/>
      <c r="RI7169" s="106"/>
      <c r="RJ7169" s="106"/>
      <c r="RK7169" s="106"/>
      <c r="RL7169" s="106"/>
    </row>
    <row r="7170" spans="462:480" x14ac:dyDescent="0.3">
      <c r="QT7170" s="106"/>
      <c r="QU7170" s="106"/>
      <c r="QV7170" s="106"/>
      <c r="QW7170" s="106"/>
      <c r="QX7170" s="106"/>
      <c r="QY7170" s="106"/>
      <c r="QZ7170" s="106"/>
      <c r="RA7170" s="106"/>
      <c r="RB7170" s="106"/>
      <c r="RC7170" s="106"/>
      <c r="RD7170" s="106"/>
      <c r="RE7170" s="106"/>
      <c r="RF7170" s="106"/>
      <c r="RG7170" s="106"/>
      <c r="RH7170" s="106"/>
      <c r="RI7170" s="106"/>
      <c r="RJ7170" s="106"/>
      <c r="RK7170" s="106"/>
      <c r="RL7170" s="106"/>
    </row>
    <row r="7171" spans="462:480" x14ac:dyDescent="0.3">
      <c r="QT7171" s="106"/>
      <c r="QU7171" s="106"/>
      <c r="QV7171" s="106"/>
      <c r="QW7171" s="106"/>
      <c r="QX7171" s="106"/>
      <c r="QY7171" s="106"/>
      <c r="QZ7171" s="106"/>
      <c r="RA7171" s="106"/>
      <c r="RB7171" s="106"/>
      <c r="RC7171" s="106"/>
      <c r="RD7171" s="106"/>
      <c r="RE7171" s="106"/>
      <c r="RF7171" s="106"/>
      <c r="RG7171" s="106"/>
      <c r="RH7171" s="106"/>
      <c r="RI7171" s="106"/>
      <c r="RJ7171" s="106"/>
      <c r="RK7171" s="106"/>
      <c r="RL7171" s="106"/>
    </row>
    <row r="7172" spans="462:480" x14ac:dyDescent="0.3">
      <c r="QT7172" s="106"/>
      <c r="QU7172" s="106"/>
      <c r="QV7172" s="106"/>
      <c r="QW7172" s="106"/>
      <c r="QX7172" s="106"/>
      <c r="QY7172" s="106"/>
      <c r="QZ7172" s="106"/>
      <c r="RA7172" s="106"/>
      <c r="RB7172" s="106"/>
      <c r="RC7172" s="106"/>
      <c r="RD7172" s="106"/>
      <c r="RE7172" s="106"/>
      <c r="RF7172" s="106"/>
      <c r="RG7172" s="106"/>
      <c r="RH7172" s="106"/>
      <c r="RI7172" s="106"/>
      <c r="RJ7172" s="106"/>
      <c r="RK7172" s="106"/>
      <c r="RL7172" s="106"/>
    </row>
    <row r="7173" spans="462:480" x14ac:dyDescent="0.3">
      <c r="QT7173" s="106"/>
      <c r="QU7173" s="106"/>
      <c r="QV7173" s="106"/>
      <c r="QW7173" s="106"/>
      <c r="QX7173" s="106"/>
      <c r="QY7173" s="106"/>
      <c r="QZ7173" s="106"/>
      <c r="RA7173" s="106"/>
      <c r="RB7173" s="106"/>
      <c r="RC7173" s="106"/>
      <c r="RD7173" s="106"/>
      <c r="RE7173" s="106"/>
      <c r="RF7173" s="106"/>
      <c r="RG7173" s="106"/>
      <c r="RH7173" s="106"/>
      <c r="RI7173" s="106"/>
      <c r="RJ7173" s="106"/>
      <c r="RK7173" s="106"/>
      <c r="RL7173" s="106"/>
    </row>
    <row r="7174" spans="462:480" x14ac:dyDescent="0.3">
      <c r="QT7174" s="106"/>
      <c r="QU7174" s="106"/>
      <c r="QV7174" s="106"/>
      <c r="QW7174" s="106"/>
      <c r="QX7174" s="106"/>
      <c r="QY7174" s="106"/>
      <c r="QZ7174" s="106"/>
      <c r="RA7174" s="106"/>
      <c r="RB7174" s="106"/>
      <c r="RC7174" s="106"/>
      <c r="RD7174" s="106"/>
      <c r="RE7174" s="106"/>
      <c r="RF7174" s="106"/>
      <c r="RG7174" s="106"/>
      <c r="RH7174" s="106"/>
      <c r="RI7174" s="106"/>
      <c r="RJ7174" s="106"/>
      <c r="RK7174" s="106"/>
      <c r="RL7174" s="106"/>
    </row>
    <row r="7175" spans="462:480" x14ac:dyDescent="0.3">
      <c r="QT7175" s="106"/>
      <c r="QU7175" s="106"/>
      <c r="QV7175" s="106"/>
      <c r="QW7175" s="106"/>
      <c r="QX7175" s="106"/>
      <c r="QY7175" s="106"/>
      <c r="QZ7175" s="106"/>
      <c r="RA7175" s="106"/>
      <c r="RB7175" s="106"/>
      <c r="RC7175" s="106"/>
      <c r="RD7175" s="106"/>
      <c r="RE7175" s="106"/>
      <c r="RF7175" s="106"/>
      <c r="RG7175" s="106"/>
      <c r="RH7175" s="106"/>
      <c r="RI7175" s="106"/>
      <c r="RJ7175" s="106"/>
      <c r="RK7175" s="106"/>
      <c r="RL7175" s="106"/>
    </row>
    <row r="7176" spans="462:480" x14ac:dyDescent="0.3">
      <c r="QT7176" s="106"/>
      <c r="QU7176" s="106"/>
      <c r="QV7176" s="106"/>
      <c r="QW7176" s="106"/>
      <c r="QX7176" s="106"/>
      <c r="QY7176" s="106"/>
      <c r="QZ7176" s="106"/>
      <c r="RA7176" s="106"/>
      <c r="RB7176" s="106"/>
      <c r="RC7176" s="106"/>
      <c r="RD7176" s="106"/>
      <c r="RE7176" s="106"/>
      <c r="RF7176" s="106"/>
      <c r="RG7176" s="106"/>
      <c r="RH7176" s="106"/>
      <c r="RI7176" s="106"/>
      <c r="RJ7176" s="106"/>
      <c r="RK7176" s="106"/>
      <c r="RL7176" s="106"/>
    </row>
    <row r="7177" spans="462:480" x14ac:dyDescent="0.3">
      <c r="QT7177" s="106"/>
      <c r="QU7177" s="106"/>
      <c r="QV7177" s="106"/>
      <c r="QW7177" s="106"/>
      <c r="QX7177" s="106"/>
      <c r="QY7177" s="106"/>
      <c r="QZ7177" s="106"/>
      <c r="RA7177" s="106"/>
      <c r="RB7177" s="106"/>
      <c r="RC7177" s="106"/>
      <c r="RD7177" s="106"/>
      <c r="RE7177" s="106"/>
      <c r="RF7177" s="106"/>
      <c r="RG7177" s="106"/>
      <c r="RH7177" s="106"/>
      <c r="RI7177" s="106"/>
      <c r="RJ7177" s="106"/>
      <c r="RK7177" s="106"/>
      <c r="RL7177" s="106"/>
    </row>
    <row r="7178" spans="462:480" x14ac:dyDescent="0.3">
      <c r="QT7178" s="106"/>
      <c r="QU7178" s="106"/>
      <c r="QV7178" s="106"/>
      <c r="QW7178" s="106"/>
      <c r="QX7178" s="106"/>
      <c r="QY7178" s="106"/>
      <c r="QZ7178" s="106"/>
      <c r="RA7178" s="106"/>
      <c r="RB7178" s="106"/>
      <c r="RC7178" s="106"/>
      <c r="RD7178" s="106"/>
      <c r="RE7178" s="106"/>
      <c r="RF7178" s="106"/>
      <c r="RG7178" s="106"/>
      <c r="RH7178" s="106"/>
      <c r="RI7178" s="106"/>
      <c r="RJ7178" s="106"/>
      <c r="RK7178" s="106"/>
      <c r="RL7178" s="106"/>
    </row>
    <row r="7179" spans="462:480" x14ac:dyDescent="0.3">
      <c r="QT7179" s="106"/>
      <c r="QU7179" s="106"/>
      <c r="QV7179" s="106"/>
      <c r="QW7179" s="106"/>
      <c r="QX7179" s="106"/>
      <c r="QY7179" s="106"/>
      <c r="QZ7179" s="106"/>
      <c r="RA7179" s="106"/>
      <c r="RB7179" s="106"/>
      <c r="RC7179" s="106"/>
      <c r="RD7179" s="106"/>
      <c r="RE7179" s="106"/>
      <c r="RF7179" s="106"/>
      <c r="RG7179" s="106"/>
      <c r="RH7179" s="106"/>
      <c r="RI7179" s="106"/>
      <c r="RJ7179" s="106"/>
      <c r="RK7179" s="106"/>
      <c r="RL7179" s="106"/>
    </row>
    <row r="7180" spans="462:480" x14ac:dyDescent="0.3">
      <c r="QT7180" s="106"/>
      <c r="QU7180" s="106"/>
      <c r="QV7180" s="106"/>
      <c r="QW7180" s="106"/>
      <c r="QX7180" s="106"/>
      <c r="QY7180" s="106"/>
      <c r="QZ7180" s="106"/>
      <c r="RA7180" s="106"/>
      <c r="RB7180" s="106"/>
      <c r="RC7180" s="106"/>
      <c r="RD7180" s="106"/>
      <c r="RE7180" s="106"/>
      <c r="RF7180" s="106"/>
      <c r="RG7180" s="106"/>
      <c r="RH7180" s="106"/>
      <c r="RI7180" s="106"/>
      <c r="RJ7180" s="106"/>
      <c r="RK7180" s="106"/>
      <c r="RL7180" s="106"/>
    </row>
    <row r="7181" spans="462:480" x14ac:dyDescent="0.3">
      <c r="QT7181" s="106"/>
      <c r="QU7181" s="106"/>
      <c r="QV7181" s="106"/>
      <c r="QW7181" s="106"/>
      <c r="QX7181" s="106"/>
      <c r="QY7181" s="106"/>
      <c r="QZ7181" s="106"/>
      <c r="RA7181" s="106"/>
      <c r="RB7181" s="106"/>
      <c r="RC7181" s="106"/>
      <c r="RD7181" s="106"/>
      <c r="RE7181" s="106"/>
      <c r="RF7181" s="106"/>
      <c r="RG7181" s="106"/>
      <c r="RH7181" s="106"/>
      <c r="RI7181" s="106"/>
      <c r="RJ7181" s="106"/>
      <c r="RK7181" s="106"/>
      <c r="RL7181" s="106"/>
    </row>
    <row r="7182" spans="462:480" x14ac:dyDescent="0.3">
      <c r="QT7182" s="106"/>
      <c r="QU7182" s="106"/>
      <c r="QV7182" s="106"/>
      <c r="QW7182" s="106"/>
      <c r="QX7182" s="106"/>
      <c r="QY7182" s="106"/>
      <c r="QZ7182" s="106"/>
      <c r="RA7182" s="106"/>
      <c r="RB7182" s="106"/>
      <c r="RC7182" s="106"/>
      <c r="RD7182" s="106"/>
      <c r="RE7182" s="106"/>
      <c r="RF7182" s="106"/>
      <c r="RG7182" s="106"/>
      <c r="RH7182" s="106"/>
      <c r="RI7182" s="106"/>
      <c r="RJ7182" s="106"/>
      <c r="RK7182" s="106"/>
      <c r="RL7182" s="106"/>
    </row>
    <row r="7183" spans="462:480" x14ac:dyDescent="0.3">
      <c r="QT7183" s="106"/>
      <c r="QU7183" s="106"/>
      <c r="QV7183" s="106"/>
      <c r="QW7183" s="106"/>
      <c r="QX7183" s="106"/>
      <c r="QY7183" s="106"/>
      <c r="QZ7183" s="106"/>
      <c r="RA7183" s="106"/>
      <c r="RB7183" s="106"/>
      <c r="RC7183" s="106"/>
      <c r="RD7183" s="106"/>
      <c r="RE7183" s="106"/>
      <c r="RF7183" s="106"/>
      <c r="RG7183" s="106"/>
      <c r="RH7183" s="106"/>
      <c r="RI7183" s="106"/>
      <c r="RJ7183" s="106"/>
      <c r="RK7183" s="106"/>
      <c r="RL7183" s="106"/>
    </row>
    <row r="7184" spans="462:480" x14ac:dyDescent="0.3">
      <c r="QT7184" s="106"/>
      <c r="QU7184" s="106"/>
      <c r="QV7184" s="106"/>
      <c r="QW7184" s="106"/>
      <c r="QX7184" s="106"/>
      <c r="QY7184" s="106"/>
      <c r="QZ7184" s="106"/>
      <c r="RA7184" s="106"/>
      <c r="RB7184" s="106"/>
      <c r="RC7184" s="106"/>
      <c r="RD7184" s="106"/>
      <c r="RE7184" s="106"/>
      <c r="RF7184" s="106"/>
      <c r="RG7184" s="106"/>
      <c r="RH7184" s="106"/>
      <c r="RI7184" s="106"/>
      <c r="RJ7184" s="106"/>
      <c r="RK7184" s="106"/>
      <c r="RL7184" s="106"/>
    </row>
    <row r="7185" spans="462:480" x14ac:dyDescent="0.3">
      <c r="QT7185" s="106"/>
      <c r="QU7185" s="106"/>
      <c r="QV7185" s="106"/>
      <c r="QW7185" s="106"/>
      <c r="QX7185" s="106"/>
      <c r="QY7185" s="106"/>
      <c r="QZ7185" s="106"/>
      <c r="RA7185" s="106"/>
      <c r="RB7185" s="106"/>
      <c r="RC7185" s="106"/>
      <c r="RD7185" s="106"/>
      <c r="RE7185" s="106"/>
      <c r="RF7185" s="106"/>
      <c r="RG7185" s="106"/>
      <c r="RH7185" s="106"/>
      <c r="RI7185" s="106"/>
      <c r="RJ7185" s="106"/>
      <c r="RK7185" s="106"/>
      <c r="RL7185" s="106"/>
    </row>
    <row r="7186" spans="462:480" x14ac:dyDescent="0.3">
      <c r="QT7186" s="106"/>
      <c r="QU7186" s="106"/>
      <c r="QV7186" s="106"/>
      <c r="QW7186" s="106"/>
      <c r="QX7186" s="106"/>
      <c r="QY7186" s="106"/>
      <c r="QZ7186" s="106"/>
      <c r="RA7186" s="106"/>
      <c r="RB7186" s="106"/>
      <c r="RC7186" s="106"/>
      <c r="RD7186" s="106"/>
      <c r="RE7186" s="106"/>
      <c r="RF7186" s="106"/>
      <c r="RG7186" s="106"/>
      <c r="RH7186" s="106"/>
      <c r="RI7186" s="106"/>
      <c r="RJ7186" s="106"/>
      <c r="RK7186" s="106"/>
      <c r="RL7186" s="106"/>
    </row>
    <row r="7187" spans="462:480" x14ac:dyDescent="0.3">
      <c r="QT7187" s="106"/>
      <c r="QU7187" s="106"/>
      <c r="QV7187" s="106"/>
      <c r="QW7187" s="106"/>
      <c r="QX7187" s="106"/>
      <c r="QY7187" s="106"/>
      <c r="QZ7187" s="106"/>
      <c r="RA7187" s="106"/>
      <c r="RB7187" s="106"/>
      <c r="RC7187" s="106"/>
      <c r="RD7187" s="106"/>
      <c r="RE7187" s="106"/>
      <c r="RF7187" s="106"/>
      <c r="RG7187" s="106"/>
      <c r="RH7187" s="106"/>
      <c r="RI7187" s="106"/>
      <c r="RJ7187" s="106"/>
      <c r="RK7187" s="106"/>
      <c r="RL7187" s="106"/>
    </row>
    <row r="7188" spans="462:480" x14ac:dyDescent="0.3">
      <c r="QT7188" s="106"/>
      <c r="QU7188" s="106"/>
      <c r="QV7188" s="106"/>
      <c r="QW7188" s="106"/>
      <c r="QX7188" s="106"/>
      <c r="QY7188" s="106"/>
      <c r="QZ7188" s="106"/>
      <c r="RA7188" s="106"/>
      <c r="RB7188" s="106"/>
      <c r="RC7188" s="106"/>
      <c r="RD7188" s="106"/>
      <c r="RE7188" s="106"/>
      <c r="RF7188" s="106"/>
      <c r="RG7188" s="106"/>
      <c r="RH7188" s="106"/>
      <c r="RI7188" s="106"/>
      <c r="RJ7188" s="106"/>
      <c r="RK7188" s="106"/>
      <c r="RL7188" s="106"/>
    </row>
    <row r="7189" spans="462:480" x14ac:dyDescent="0.3">
      <c r="QT7189" s="106"/>
      <c r="QU7189" s="106"/>
      <c r="QV7189" s="106"/>
      <c r="QW7189" s="106"/>
      <c r="QX7189" s="106"/>
      <c r="QY7189" s="106"/>
      <c r="QZ7189" s="106"/>
      <c r="RA7189" s="106"/>
      <c r="RB7189" s="106"/>
      <c r="RC7189" s="106"/>
      <c r="RD7189" s="106"/>
      <c r="RE7189" s="106"/>
      <c r="RF7189" s="106"/>
      <c r="RG7189" s="106"/>
      <c r="RH7189" s="106"/>
      <c r="RI7189" s="106"/>
      <c r="RJ7189" s="106"/>
      <c r="RK7189" s="106"/>
      <c r="RL7189" s="106"/>
    </row>
    <row r="7190" spans="462:480" x14ac:dyDescent="0.3">
      <c r="QT7190" s="106"/>
      <c r="QU7190" s="106"/>
      <c r="QV7190" s="106"/>
      <c r="QW7190" s="106"/>
      <c r="QX7190" s="106"/>
      <c r="QY7190" s="106"/>
      <c r="QZ7190" s="106"/>
      <c r="RA7190" s="106"/>
      <c r="RB7190" s="106"/>
      <c r="RC7190" s="106"/>
      <c r="RD7190" s="106"/>
      <c r="RE7190" s="106"/>
      <c r="RF7190" s="106"/>
      <c r="RG7190" s="106"/>
      <c r="RH7190" s="106"/>
      <c r="RI7190" s="106"/>
      <c r="RJ7190" s="106"/>
      <c r="RK7190" s="106"/>
      <c r="RL7190" s="106"/>
    </row>
    <row r="7191" spans="462:480" x14ac:dyDescent="0.3">
      <c r="QT7191" s="106"/>
      <c r="QU7191" s="106"/>
      <c r="QV7191" s="106"/>
      <c r="QW7191" s="106"/>
      <c r="QX7191" s="106"/>
      <c r="QY7191" s="106"/>
      <c r="QZ7191" s="106"/>
      <c r="RA7191" s="106"/>
      <c r="RB7191" s="106"/>
      <c r="RC7191" s="106"/>
      <c r="RD7191" s="106"/>
      <c r="RE7191" s="106"/>
      <c r="RF7191" s="106"/>
      <c r="RG7191" s="106"/>
      <c r="RH7191" s="106"/>
      <c r="RI7191" s="106"/>
      <c r="RJ7191" s="106"/>
      <c r="RK7191" s="106"/>
      <c r="RL7191" s="106"/>
    </row>
    <row r="7192" spans="462:480" x14ac:dyDescent="0.3">
      <c r="QT7192" s="106"/>
      <c r="QU7192" s="106"/>
      <c r="QV7192" s="106"/>
      <c r="QW7192" s="106"/>
      <c r="QX7192" s="106"/>
      <c r="QY7192" s="106"/>
      <c r="QZ7192" s="106"/>
      <c r="RA7192" s="106"/>
      <c r="RB7192" s="106"/>
      <c r="RC7192" s="106"/>
      <c r="RD7192" s="106"/>
      <c r="RE7192" s="106"/>
      <c r="RF7192" s="106"/>
      <c r="RG7192" s="106"/>
      <c r="RH7192" s="106"/>
      <c r="RI7192" s="106"/>
      <c r="RJ7192" s="106"/>
      <c r="RK7192" s="106"/>
      <c r="RL7192" s="106"/>
    </row>
    <row r="7193" spans="462:480" x14ac:dyDescent="0.3">
      <c r="QT7193" s="106"/>
      <c r="QU7193" s="106"/>
      <c r="QV7193" s="106"/>
      <c r="QW7193" s="106"/>
      <c r="QX7193" s="106"/>
      <c r="QY7193" s="106"/>
      <c r="QZ7193" s="106"/>
      <c r="RA7193" s="106"/>
      <c r="RB7193" s="106"/>
      <c r="RC7193" s="106"/>
      <c r="RD7193" s="106"/>
      <c r="RE7193" s="106"/>
      <c r="RF7193" s="106"/>
      <c r="RG7193" s="106"/>
      <c r="RH7193" s="106"/>
      <c r="RI7193" s="106"/>
      <c r="RJ7193" s="106"/>
      <c r="RK7193" s="106"/>
      <c r="RL7193" s="106"/>
    </row>
    <row r="7194" spans="462:480" x14ac:dyDescent="0.3">
      <c r="QT7194" s="106"/>
      <c r="QU7194" s="106"/>
      <c r="QV7194" s="106"/>
      <c r="QW7194" s="106"/>
      <c r="QX7194" s="106"/>
      <c r="QY7194" s="106"/>
      <c r="QZ7194" s="106"/>
      <c r="RA7194" s="106"/>
      <c r="RB7194" s="106"/>
      <c r="RC7194" s="106"/>
      <c r="RD7194" s="106"/>
      <c r="RE7194" s="106"/>
      <c r="RF7194" s="106"/>
      <c r="RG7194" s="106"/>
      <c r="RH7194" s="106"/>
      <c r="RI7194" s="106"/>
      <c r="RJ7194" s="106"/>
      <c r="RK7194" s="106"/>
      <c r="RL7194" s="106"/>
    </row>
    <row r="7195" spans="462:480" x14ac:dyDescent="0.3">
      <c r="QT7195" s="106"/>
      <c r="QU7195" s="106"/>
      <c r="QV7195" s="106"/>
      <c r="QW7195" s="106"/>
      <c r="QX7195" s="106"/>
      <c r="QY7195" s="106"/>
      <c r="QZ7195" s="106"/>
      <c r="RA7195" s="106"/>
      <c r="RB7195" s="106"/>
      <c r="RC7195" s="106"/>
      <c r="RD7195" s="106"/>
      <c r="RE7195" s="106"/>
      <c r="RF7195" s="106"/>
      <c r="RG7195" s="106"/>
      <c r="RH7195" s="106"/>
      <c r="RI7195" s="106"/>
      <c r="RJ7195" s="106"/>
      <c r="RK7195" s="106"/>
      <c r="RL7195" s="106"/>
    </row>
    <row r="7196" spans="462:480" x14ac:dyDescent="0.3">
      <c r="QT7196" s="106"/>
      <c r="QU7196" s="106"/>
      <c r="QV7196" s="106"/>
      <c r="QW7196" s="106"/>
      <c r="QX7196" s="106"/>
      <c r="QY7196" s="106"/>
      <c r="QZ7196" s="106"/>
      <c r="RA7196" s="106"/>
      <c r="RB7196" s="106"/>
      <c r="RC7196" s="106"/>
      <c r="RD7196" s="106"/>
      <c r="RE7196" s="106"/>
      <c r="RF7196" s="106"/>
      <c r="RG7196" s="106"/>
      <c r="RH7196" s="106"/>
      <c r="RI7196" s="106"/>
      <c r="RJ7196" s="106"/>
      <c r="RK7196" s="106"/>
      <c r="RL7196" s="106"/>
    </row>
    <row r="7197" spans="462:480" x14ac:dyDescent="0.3">
      <c r="QT7197" s="106"/>
      <c r="QU7197" s="106"/>
      <c r="QV7197" s="106"/>
      <c r="QW7197" s="106"/>
      <c r="QX7197" s="106"/>
      <c r="QY7197" s="106"/>
      <c r="QZ7197" s="106"/>
      <c r="RA7197" s="106"/>
      <c r="RB7197" s="106"/>
      <c r="RC7197" s="106"/>
      <c r="RD7197" s="106"/>
      <c r="RE7197" s="106"/>
      <c r="RF7197" s="106"/>
      <c r="RG7197" s="106"/>
      <c r="RH7197" s="106"/>
      <c r="RI7197" s="106"/>
      <c r="RJ7197" s="106"/>
      <c r="RK7197" s="106"/>
      <c r="RL7197" s="106"/>
    </row>
    <row r="7198" spans="462:480" x14ac:dyDescent="0.3">
      <c r="QT7198" s="106"/>
      <c r="QU7198" s="106"/>
      <c r="QV7198" s="106"/>
      <c r="QW7198" s="106"/>
      <c r="QX7198" s="106"/>
      <c r="QY7198" s="106"/>
      <c r="QZ7198" s="106"/>
      <c r="RA7198" s="106"/>
      <c r="RB7198" s="106"/>
      <c r="RC7198" s="106"/>
      <c r="RD7198" s="106"/>
      <c r="RE7198" s="106"/>
      <c r="RF7198" s="106"/>
      <c r="RG7198" s="106"/>
      <c r="RH7198" s="106"/>
      <c r="RI7198" s="106"/>
      <c r="RJ7198" s="106"/>
      <c r="RK7198" s="106"/>
      <c r="RL7198" s="106"/>
    </row>
    <row r="7199" spans="462:480" x14ac:dyDescent="0.3">
      <c r="QT7199" s="106"/>
      <c r="QU7199" s="106"/>
      <c r="QV7199" s="106"/>
      <c r="QW7199" s="106"/>
      <c r="QX7199" s="106"/>
      <c r="QY7199" s="106"/>
      <c r="QZ7199" s="106"/>
      <c r="RA7199" s="106"/>
      <c r="RB7199" s="106"/>
      <c r="RC7199" s="106"/>
      <c r="RD7199" s="106"/>
      <c r="RE7199" s="106"/>
      <c r="RF7199" s="106"/>
      <c r="RG7199" s="106"/>
      <c r="RH7199" s="106"/>
      <c r="RI7199" s="106"/>
      <c r="RJ7199" s="106"/>
      <c r="RK7199" s="106"/>
      <c r="RL7199" s="106"/>
    </row>
    <row r="7200" spans="462:480" x14ac:dyDescent="0.3">
      <c r="QT7200" s="106"/>
      <c r="QU7200" s="106"/>
      <c r="QV7200" s="106"/>
      <c r="QW7200" s="106"/>
      <c r="QX7200" s="106"/>
      <c r="QY7200" s="106"/>
      <c r="QZ7200" s="106"/>
      <c r="RA7200" s="106"/>
      <c r="RB7200" s="106"/>
      <c r="RC7200" s="106"/>
      <c r="RD7200" s="106"/>
      <c r="RE7200" s="106"/>
      <c r="RF7200" s="106"/>
      <c r="RG7200" s="106"/>
      <c r="RH7200" s="106"/>
      <c r="RI7200" s="106"/>
      <c r="RJ7200" s="106"/>
      <c r="RK7200" s="106"/>
      <c r="RL7200" s="106"/>
    </row>
    <row r="7201" spans="462:480" x14ac:dyDescent="0.3">
      <c r="QT7201" s="106"/>
      <c r="QU7201" s="106"/>
      <c r="QV7201" s="106"/>
      <c r="QW7201" s="106"/>
      <c r="QX7201" s="106"/>
      <c r="QY7201" s="106"/>
      <c r="QZ7201" s="106"/>
      <c r="RA7201" s="106"/>
      <c r="RB7201" s="106"/>
      <c r="RC7201" s="106"/>
      <c r="RD7201" s="106"/>
      <c r="RE7201" s="106"/>
      <c r="RF7201" s="106"/>
      <c r="RG7201" s="106"/>
      <c r="RH7201" s="106"/>
      <c r="RI7201" s="106"/>
      <c r="RJ7201" s="106"/>
      <c r="RK7201" s="106"/>
      <c r="RL7201" s="106"/>
    </row>
    <row r="7202" spans="462:480" x14ac:dyDescent="0.3">
      <c r="QT7202" s="106"/>
      <c r="QU7202" s="106"/>
      <c r="QV7202" s="106"/>
      <c r="QW7202" s="106"/>
      <c r="QX7202" s="106"/>
      <c r="QY7202" s="106"/>
      <c r="QZ7202" s="106"/>
      <c r="RA7202" s="106"/>
      <c r="RB7202" s="106"/>
      <c r="RC7202" s="106"/>
      <c r="RD7202" s="106"/>
      <c r="RE7202" s="106"/>
      <c r="RF7202" s="106"/>
      <c r="RG7202" s="106"/>
      <c r="RH7202" s="106"/>
      <c r="RI7202" s="106"/>
      <c r="RJ7202" s="106"/>
      <c r="RK7202" s="106"/>
      <c r="RL7202" s="106"/>
    </row>
    <row r="7203" spans="462:480" x14ac:dyDescent="0.3">
      <c r="QT7203" s="106"/>
      <c r="QU7203" s="106"/>
      <c r="QV7203" s="106"/>
      <c r="QW7203" s="106"/>
      <c r="QX7203" s="106"/>
      <c r="QY7203" s="106"/>
      <c r="QZ7203" s="106"/>
      <c r="RA7203" s="106"/>
      <c r="RB7203" s="106"/>
      <c r="RC7203" s="106"/>
      <c r="RD7203" s="106"/>
      <c r="RE7203" s="106"/>
      <c r="RF7203" s="106"/>
      <c r="RG7203" s="106"/>
      <c r="RH7203" s="106"/>
      <c r="RI7203" s="106"/>
      <c r="RJ7203" s="106"/>
      <c r="RK7203" s="106"/>
      <c r="RL7203" s="106"/>
    </row>
    <row r="7204" spans="462:480" x14ac:dyDescent="0.3">
      <c r="QT7204" s="106"/>
      <c r="QU7204" s="106"/>
      <c r="QV7204" s="106"/>
      <c r="QW7204" s="106"/>
      <c r="QX7204" s="106"/>
      <c r="QY7204" s="106"/>
      <c r="QZ7204" s="106"/>
      <c r="RA7204" s="106"/>
      <c r="RB7204" s="106"/>
      <c r="RC7204" s="106"/>
      <c r="RD7204" s="106"/>
      <c r="RE7204" s="106"/>
      <c r="RF7204" s="106"/>
      <c r="RG7204" s="106"/>
      <c r="RH7204" s="106"/>
      <c r="RI7204" s="106"/>
      <c r="RJ7204" s="106"/>
      <c r="RK7204" s="106"/>
      <c r="RL7204" s="106"/>
    </row>
    <row r="7205" spans="462:480" x14ac:dyDescent="0.3">
      <c r="QT7205" s="106"/>
      <c r="QU7205" s="106"/>
      <c r="QV7205" s="106"/>
      <c r="QW7205" s="106"/>
      <c r="QX7205" s="106"/>
      <c r="QY7205" s="106"/>
      <c r="QZ7205" s="106"/>
      <c r="RA7205" s="106"/>
      <c r="RB7205" s="106"/>
      <c r="RC7205" s="106"/>
      <c r="RD7205" s="106"/>
      <c r="RE7205" s="106"/>
      <c r="RF7205" s="106"/>
      <c r="RG7205" s="106"/>
      <c r="RH7205" s="106"/>
      <c r="RI7205" s="106"/>
      <c r="RJ7205" s="106"/>
      <c r="RK7205" s="106"/>
      <c r="RL7205" s="106"/>
    </row>
    <row r="7206" spans="462:480" x14ac:dyDescent="0.3">
      <c r="QT7206" s="106"/>
      <c r="QU7206" s="106"/>
      <c r="QV7206" s="106"/>
      <c r="QW7206" s="106"/>
      <c r="QX7206" s="106"/>
      <c r="QY7206" s="106"/>
      <c r="QZ7206" s="106"/>
      <c r="RA7206" s="106"/>
      <c r="RB7206" s="106"/>
      <c r="RC7206" s="106"/>
      <c r="RD7206" s="106"/>
      <c r="RE7206" s="106"/>
      <c r="RF7206" s="106"/>
      <c r="RG7206" s="106"/>
      <c r="RH7206" s="106"/>
      <c r="RI7206" s="106"/>
      <c r="RJ7206" s="106"/>
      <c r="RK7206" s="106"/>
      <c r="RL7206" s="106"/>
    </row>
    <row r="7207" spans="462:480" x14ac:dyDescent="0.3">
      <c r="QT7207" s="106"/>
      <c r="QU7207" s="106"/>
      <c r="QV7207" s="106"/>
      <c r="QW7207" s="106"/>
      <c r="QX7207" s="106"/>
      <c r="QY7207" s="106"/>
      <c r="QZ7207" s="106"/>
      <c r="RA7207" s="106"/>
      <c r="RB7207" s="106"/>
      <c r="RC7207" s="106"/>
      <c r="RD7207" s="106"/>
      <c r="RE7207" s="106"/>
      <c r="RF7207" s="106"/>
      <c r="RG7207" s="106"/>
      <c r="RH7207" s="106"/>
      <c r="RI7207" s="106"/>
      <c r="RJ7207" s="106"/>
      <c r="RK7207" s="106"/>
      <c r="RL7207" s="106"/>
    </row>
    <row r="7208" spans="462:480" x14ac:dyDescent="0.3">
      <c r="QT7208" s="106"/>
      <c r="QU7208" s="106"/>
      <c r="QV7208" s="106"/>
      <c r="QW7208" s="106"/>
      <c r="QX7208" s="106"/>
      <c r="QY7208" s="106"/>
      <c r="QZ7208" s="106"/>
      <c r="RA7208" s="106"/>
      <c r="RB7208" s="106"/>
      <c r="RC7208" s="106"/>
      <c r="RD7208" s="106"/>
      <c r="RE7208" s="106"/>
      <c r="RF7208" s="106"/>
      <c r="RG7208" s="106"/>
      <c r="RH7208" s="106"/>
      <c r="RI7208" s="106"/>
      <c r="RJ7208" s="106"/>
      <c r="RK7208" s="106"/>
      <c r="RL7208" s="106"/>
    </row>
    <row r="7209" spans="462:480" x14ac:dyDescent="0.3">
      <c r="QT7209" s="106"/>
      <c r="QU7209" s="106"/>
      <c r="QV7209" s="106"/>
      <c r="QW7209" s="106"/>
      <c r="QX7209" s="106"/>
      <c r="QY7209" s="106"/>
      <c r="QZ7209" s="106"/>
      <c r="RA7209" s="106"/>
      <c r="RB7209" s="106"/>
      <c r="RC7209" s="106"/>
      <c r="RD7209" s="106"/>
      <c r="RE7209" s="106"/>
      <c r="RF7209" s="106"/>
      <c r="RG7209" s="106"/>
      <c r="RH7209" s="106"/>
      <c r="RI7209" s="106"/>
      <c r="RJ7209" s="106"/>
      <c r="RK7209" s="106"/>
      <c r="RL7209" s="106"/>
    </row>
    <row r="7210" spans="462:480" x14ac:dyDescent="0.3">
      <c r="QT7210" s="106"/>
      <c r="QU7210" s="106"/>
      <c r="QV7210" s="106"/>
      <c r="QW7210" s="106"/>
      <c r="QX7210" s="106"/>
      <c r="QY7210" s="106"/>
      <c r="QZ7210" s="106"/>
      <c r="RA7210" s="106"/>
      <c r="RB7210" s="106"/>
      <c r="RC7210" s="106"/>
      <c r="RD7210" s="106"/>
      <c r="RE7210" s="106"/>
      <c r="RF7210" s="106"/>
      <c r="RG7210" s="106"/>
      <c r="RH7210" s="106"/>
      <c r="RI7210" s="106"/>
      <c r="RJ7210" s="106"/>
      <c r="RK7210" s="106"/>
      <c r="RL7210" s="106"/>
    </row>
    <row r="7211" spans="462:480" x14ac:dyDescent="0.3">
      <c r="QT7211" s="106"/>
      <c r="QU7211" s="106"/>
      <c r="QV7211" s="106"/>
      <c r="QW7211" s="106"/>
      <c r="QX7211" s="106"/>
      <c r="QY7211" s="106"/>
      <c r="QZ7211" s="106"/>
      <c r="RA7211" s="106"/>
      <c r="RB7211" s="106"/>
      <c r="RC7211" s="106"/>
      <c r="RD7211" s="106"/>
      <c r="RE7211" s="106"/>
      <c r="RF7211" s="106"/>
      <c r="RG7211" s="106"/>
      <c r="RH7211" s="106"/>
      <c r="RI7211" s="106"/>
      <c r="RJ7211" s="106"/>
      <c r="RK7211" s="106"/>
      <c r="RL7211" s="106"/>
    </row>
    <row r="7212" spans="462:480" x14ac:dyDescent="0.3">
      <c r="QT7212" s="106"/>
      <c r="QU7212" s="106"/>
      <c r="QV7212" s="106"/>
      <c r="QW7212" s="106"/>
      <c r="QX7212" s="106"/>
      <c r="QY7212" s="106"/>
      <c r="QZ7212" s="106"/>
      <c r="RA7212" s="106"/>
      <c r="RB7212" s="106"/>
      <c r="RC7212" s="106"/>
      <c r="RD7212" s="106"/>
      <c r="RE7212" s="106"/>
      <c r="RF7212" s="106"/>
      <c r="RG7212" s="106"/>
      <c r="RH7212" s="106"/>
      <c r="RI7212" s="106"/>
      <c r="RJ7212" s="106"/>
      <c r="RK7212" s="106"/>
      <c r="RL7212" s="106"/>
    </row>
    <row r="7213" spans="462:480" x14ac:dyDescent="0.3">
      <c r="QT7213" s="106"/>
      <c r="QU7213" s="106"/>
      <c r="QV7213" s="106"/>
      <c r="QW7213" s="106"/>
      <c r="QX7213" s="106"/>
      <c r="QY7213" s="106"/>
      <c r="QZ7213" s="106"/>
      <c r="RA7213" s="106"/>
      <c r="RB7213" s="106"/>
      <c r="RC7213" s="106"/>
      <c r="RD7213" s="106"/>
      <c r="RE7213" s="106"/>
      <c r="RF7213" s="106"/>
      <c r="RG7213" s="106"/>
      <c r="RH7213" s="106"/>
      <c r="RI7213" s="106"/>
      <c r="RJ7213" s="106"/>
      <c r="RK7213" s="106"/>
      <c r="RL7213" s="106"/>
    </row>
    <row r="7214" spans="462:480" x14ac:dyDescent="0.3">
      <c r="QT7214" s="106"/>
      <c r="QU7214" s="106"/>
      <c r="QV7214" s="106"/>
      <c r="QW7214" s="106"/>
      <c r="QX7214" s="106"/>
      <c r="QY7214" s="106"/>
      <c r="QZ7214" s="106"/>
      <c r="RA7214" s="106"/>
      <c r="RB7214" s="106"/>
      <c r="RC7214" s="106"/>
      <c r="RD7214" s="106"/>
      <c r="RE7214" s="106"/>
      <c r="RF7214" s="106"/>
      <c r="RG7214" s="106"/>
      <c r="RH7214" s="106"/>
      <c r="RI7214" s="106"/>
      <c r="RJ7214" s="106"/>
      <c r="RK7214" s="106"/>
      <c r="RL7214" s="106"/>
    </row>
    <row r="7215" spans="462:480" x14ac:dyDescent="0.3">
      <c r="QT7215" s="106"/>
      <c r="QU7215" s="106"/>
      <c r="QV7215" s="106"/>
      <c r="QW7215" s="106"/>
      <c r="QX7215" s="106"/>
      <c r="QY7215" s="106"/>
      <c r="QZ7215" s="106"/>
      <c r="RA7215" s="106"/>
      <c r="RB7215" s="106"/>
      <c r="RC7215" s="106"/>
      <c r="RD7215" s="106"/>
      <c r="RE7215" s="106"/>
      <c r="RF7215" s="106"/>
      <c r="RG7215" s="106"/>
      <c r="RH7215" s="106"/>
      <c r="RI7215" s="106"/>
      <c r="RJ7215" s="106"/>
      <c r="RK7215" s="106"/>
      <c r="RL7215" s="106"/>
    </row>
    <row r="7216" spans="462:480" x14ac:dyDescent="0.3">
      <c r="QT7216" s="106"/>
      <c r="QU7216" s="106"/>
      <c r="QV7216" s="106"/>
      <c r="QW7216" s="106"/>
      <c r="QX7216" s="106"/>
      <c r="QY7216" s="106"/>
      <c r="QZ7216" s="106"/>
      <c r="RA7216" s="106"/>
      <c r="RB7216" s="106"/>
      <c r="RC7216" s="106"/>
      <c r="RD7216" s="106"/>
      <c r="RE7216" s="106"/>
      <c r="RF7216" s="106"/>
      <c r="RG7216" s="106"/>
      <c r="RH7216" s="106"/>
      <c r="RI7216" s="106"/>
      <c r="RJ7216" s="106"/>
      <c r="RK7216" s="106"/>
      <c r="RL7216" s="106"/>
    </row>
    <row r="7217" spans="462:480" x14ac:dyDescent="0.3">
      <c r="QT7217" s="106"/>
      <c r="QU7217" s="106"/>
      <c r="QV7217" s="106"/>
      <c r="QW7217" s="106"/>
      <c r="QX7217" s="106"/>
      <c r="QY7217" s="106"/>
      <c r="QZ7217" s="106"/>
      <c r="RA7217" s="106"/>
      <c r="RB7217" s="106"/>
      <c r="RC7217" s="106"/>
      <c r="RD7217" s="106"/>
      <c r="RE7217" s="106"/>
      <c r="RF7217" s="106"/>
      <c r="RG7217" s="106"/>
      <c r="RH7217" s="106"/>
      <c r="RI7217" s="106"/>
      <c r="RJ7217" s="106"/>
      <c r="RK7217" s="106"/>
      <c r="RL7217" s="106"/>
    </row>
    <row r="7218" spans="462:480" x14ac:dyDescent="0.3">
      <c r="QT7218" s="106"/>
      <c r="QU7218" s="106"/>
      <c r="QV7218" s="106"/>
      <c r="QW7218" s="106"/>
      <c r="QX7218" s="106"/>
      <c r="QY7218" s="106"/>
      <c r="QZ7218" s="106"/>
      <c r="RA7218" s="106"/>
      <c r="RB7218" s="106"/>
      <c r="RC7218" s="106"/>
      <c r="RD7218" s="106"/>
      <c r="RE7218" s="106"/>
      <c r="RF7218" s="106"/>
      <c r="RG7218" s="106"/>
      <c r="RH7218" s="106"/>
      <c r="RI7218" s="106"/>
      <c r="RJ7218" s="106"/>
      <c r="RK7218" s="106"/>
      <c r="RL7218" s="106"/>
    </row>
    <row r="7219" spans="462:480" x14ac:dyDescent="0.3">
      <c r="QT7219" s="106"/>
      <c r="QU7219" s="106"/>
      <c r="QV7219" s="106"/>
      <c r="QW7219" s="106"/>
      <c r="QX7219" s="106"/>
      <c r="QY7219" s="106"/>
      <c r="QZ7219" s="106"/>
      <c r="RA7219" s="106"/>
      <c r="RB7219" s="106"/>
      <c r="RC7219" s="106"/>
      <c r="RD7219" s="106"/>
      <c r="RE7219" s="106"/>
      <c r="RF7219" s="106"/>
      <c r="RG7219" s="106"/>
      <c r="RH7219" s="106"/>
      <c r="RI7219" s="106"/>
      <c r="RJ7219" s="106"/>
      <c r="RK7219" s="106"/>
      <c r="RL7219" s="106"/>
    </row>
    <row r="7220" spans="462:480" x14ac:dyDescent="0.3">
      <c r="QT7220" s="106"/>
      <c r="QU7220" s="106"/>
      <c r="QV7220" s="106"/>
      <c r="QW7220" s="106"/>
      <c r="QX7220" s="106"/>
      <c r="QY7220" s="106"/>
      <c r="QZ7220" s="106"/>
      <c r="RA7220" s="106"/>
      <c r="RB7220" s="106"/>
      <c r="RC7220" s="106"/>
      <c r="RD7220" s="106"/>
      <c r="RE7220" s="106"/>
      <c r="RF7220" s="106"/>
      <c r="RG7220" s="106"/>
      <c r="RH7220" s="106"/>
      <c r="RI7220" s="106"/>
      <c r="RJ7220" s="106"/>
      <c r="RK7220" s="106"/>
      <c r="RL7220" s="106"/>
    </row>
    <row r="7221" spans="462:480" x14ac:dyDescent="0.3">
      <c r="QT7221" s="106"/>
      <c r="QU7221" s="106"/>
      <c r="QV7221" s="106"/>
      <c r="QW7221" s="106"/>
      <c r="QX7221" s="106"/>
      <c r="QY7221" s="106"/>
      <c r="QZ7221" s="106"/>
      <c r="RA7221" s="106"/>
      <c r="RB7221" s="106"/>
      <c r="RC7221" s="106"/>
      <c r="RD7221" s="106"/>
      <c r="RE7221" s="106"/>
      <c r="RF7221" s="106"/>
      <c r="RG7221" s="106"/>
      <c r="RH7221" s="106"/>
      <c r="RI7221" s="106"/>
      <c r="RJ7221" s="106"/>
      <c r="RK7221" s="106"/>
      <c r="RL7221" s="106"/>
    </row>
    <row r="7222" spans="462:480" x14ac:dyDescent="0.3">
      <c r="QT7222" s="106"/>
      <c r="QU7222" s="106"/>
      <c r="QV7222" s="106"/>
      <c r="QW7222" s="106"/>
      <c r="QX7222" s="106"/>
      <c r="QY7222" s="106"/>
      <c r="QZ7222" s="106"/>
      <c r="RA7222" s="106"/>
      <c r="RB7222" s="106"/>
      <c r="RC7222" s="106"/>
      <c r="RD7222" s="106"/>
      <c r="RE7222" s="106"/>
      <c r="RF7222" s="106"/>
      <c r="RG7222" s="106"/>
      <c r="RH7222" s="106"/>
      <c r="RI7222" s="106"/>
      <c r="RJ7222" s="106"/>
      <c r="RK7222" s="106"/>
      <c r="RL7222" s="106"/>
    </row>
    <row r="7223" spans="462:480" x14ac:dyDescent="0.3">
      <c r="QT7223" s="106"/>
      <c r="QU7223" s="106"/>
      <c r="QV7223" s="106"/>
      <c r="QW7223" s="106"/>
      <c r="QX7223" s="106"/>
      <c r="QY7223" s="106"/>
      <c r="QZ7223" s="106"/>
      <c r="RA7223" s="106"/>
      <c r="RB7223" s="106"/>
      <c r="RC7223" s="106"/>
      <c r="RD7223" s="106"/>
      <c r="RE7223" s="106"/>
      <c r="RF7223" s="106"/>
      <c r="RG7223" s="106"/>
      <c r="RH7223" s="106"/>
      <c r="RI7223" s="106"/>
      <c r="RJ7223" s="106"/>
      <c r="RK7223" s="106"/>
      <c r="RL7223" s="106"/>
    </row>
    <row r="7224" spans="462:480" x14ac:dyDescent="0.3">
      <c r="QT7224" s="106"/>
      <c r="QU7224" s="106"/>
      <c r="QV7224" s="106"/>
      <c r="QW7224" s="106"/>
      <c r="QX7224" s="106"/>
      <c r="QY7224" s="106"/>
      <c r="QZ7224" s="106"/>
      <c r="RA7224" s="106"/>
      <c r="RB7224" s="106"/>
      <c r="RC7224" s="106"/>
      <c r="RD7224" s="106"/>
      <c r="RE7224" s="106"/>
      <c r="RF7224" s="106"/>
      <c r="RG7224" s="106"/>
      <c r="RH7224" s="106"/>
      <c r="RI7224" s="106"/>
      <c r="RJ7224" s="106"/>
      <c r="RK7224" s="106"/>
      <c r="RL7224" s="106"/>
    </row>
    <row r="7225" spans="462:480" x14ac:dyDescent="0.3">
      <c r="QT7225" s="106"/>
      <c r="QU7225" s="106"/>
      <c r="QV7225" s="106"/>
      <c r="QW7225" s="106"/>
      <c r="QX7225" s="106"/>
      <c r="QY7225" s="106"/>
      <c r="QZ7225" s="106"/>
      <c r="RA7225" s="106"/>
      <c r="RB7225" s="106"/>
      <c r="RC7225" s="106"/>
      <c r="RD7225" s="106"/>
      <c r="RE7225" s="106"/>
      <c r="RF7225" s="106"/>
      <c r="RG7225" s="106"/>
      <c r="RH7225" s="106"/>
      <c r="RI7225" s="106"/>
      <c r="RJ7225" s="106"/>
      <c r="RK7225" s="106"/>
      <c r="RL7225" s="106"/>
    </row>
    <row r="7226" spans="462:480" x14ac:dyDescent="0.3">
      <c r="QT7226" s="106"/>
      <c r="QU7226" s="106"/>
      <c r="QV7226" s="106"/>
      <c r="QW7226" s="106"/>
      <c r="QX7226" s="106"/>
      <c r="QY7226" s="106"/>
      <c r="QZ7226" s="106"/>
      <c r="RA7226" s="106"/>
      <c r="RB7226" s="106"/>
      <c r="RC7226" s="106"/>
      <c r="RD7226" s="106"/>
      <c r="RE7226" s="106"/>
      <c r="RF7226" s="106"/>
      <c r="RG7226" s="106"/>
      <c r="RH7226" s="106"/>
      <c r="RI7226" s="106"/>
      <c r="RJ7226" s="106"/>
      <c r="RK7226" s="106"/>
      <c r="RL7226" s="106"/>
    </row>
    <row r="7227" spans="462:480" x14ac:dyDescent="0.3">
      <c r="QT7227" s="106"/>
      <c r="QU7227" s="106"/>
      <c r="QV7227" s="106"/>
      <c r="QW7227" s="106"/>
      <c r="QX7227" s="106"/>
      <c r="QY7227" s="106"/>
      <c r="QZ7227" s="106"/>
      <c r="RA7227" s="106"/>
      <c r="RB7227" s="106"/>
      <c r="RC7227" s="106"/>
      <c r="RD7227" s="106"/>
      <c r="RE7227" s="106"/>
      <c r="RF7227" s="106"/>
      <c r="RG7227" s="106"/>
      <c r="RH7227" s="106"/>
      <c r="RI7227" s="106"/>
      <c r="RJ7227" s="106"/>
      <c r="RK7227" s="106"/>
      <c r="RL7227" s="106"/>
    </row>
    <row r="7228" spans="462:480" x14ac:dyDescent="0.3">
      <c r="QT7228" s="106"/>
      <c r="QU7228" s="106"/>
      <c r="QV7228" s="106"/>
      <c r="QW7228" s="106"/>
      <c r="QX7228" s="106"/>
      <c r="QY7228" s="106"/>
      <c r="QZ7228" s="106"/>
      <c r="RA7228" s="106"/>
      <c r="RB7228" s="106"/>
      <c r="RC7228" s="106"/>
      <c r="RD7228" s="106"/>
      <c r="RE7228" s="106"/>
      <c r="RF7228" s="106"/>
      <c r="RG7228" s="106"/>
      <c r="RH7228" s="106"/>
      <c r="RI7228" s="106"/>
      <c r="RJ7228" s="106"/>
      <c r="RK7228" s="106"/>
      <c r="RL7228" s="106"/>
    </row>
    <row r="7229" spans="462:480" x14ac:dyDescent="0.3">
      <c r="QT7229" s="106"/>
      <c r="QU7229" s="106"/>
      <c r="QV7229" s="106"/>
      <c r="QW7229" s="106"/>
      <c r="QX7229" s="106"/>
      <c r="QY7229" s="106"/>
      <c r="QZ7229" s="106"/>
      <c r="RA7229" s="106"/>
      <c r="RB7229" s="106"/>
      <c r="RC7229" s="106"/>
      <c r="RD7229" s="106"/>
      <c r="RE7229" s="106"/>
      <c r="RF7229" s="106"/>
      <c r="RG7229" s="106"/>
      <c r="RH7229" s="106"/>
      <c r="RI7229" s="106"/>
      <c r="RJ7229" s="106"/>
      <c r="RK7229" s="106"/>
      <c r="RL7229" s="106"/>
    </row>
    <row r="7230" spans="462:480" x14ac:dyDescent="0.3">
      <c r="QT7230" s="106"/>
      <c r="QU7230" s="106"/>
      <c r="QV7230" s="106"/>
      <c r="QW7230" s="106"/>
      <c r="QX7230" s="106"/>
      <c r="QY7230" s="106"/>
      <c r="QZ7230" s="106"/>
      <c r="RA7230" s="106"/>
      <c r="RB7230" s="106"/>
      <c r="RC7230" s="106"/>
      <c r="RD7230" s="106"/>
      <c r="RE7230" s="106"/>
      <c r="RF7230" s="106"/>
      <c r="RG7230" s="106"/>
      <c r="RH7230" s="106"/>
      <c r="RI7230" s="106"/>
      <c r="RJ7230" s="106"/>
      <c r="RK7230" s="106"/>
      <c r="RL7230" s="106"/>
    </row>
    <row r="7231" spans="462:480" x14ac:dyDescent="0.3">
      <c r="QT7231" s="106"/>
      <c r="QU7231" s="106"/>
      <c r="QV7231" s="106"/>
      <c r="QW7231" s="106"/>
      <c r="QX7231" s="106"/>
      <c r="QY7231" s="106"/>
      <c r="QZ7231" s="106"/>
      <c r="RA7231" s="106"/>
      <c r="RB7231" s="106"/>
      <c r="RC7231" s="106"/>
      <c r="RD7231" s="106"/>
      <c r="RE7231" s="106"/>
      <c r="RF7231" s="106"/>
      <c r="RG7231" s="106"/>
      <c r="RH7231" s="106"/>
      <c r="RI7231" s="106"/>
      <c r="RJ7231" s="106"/>
      <c r="RK7231" s="106"/>
      <c r="RL7231" s="106"/>
    </row>
    <row r="7232" spans="462:480" x14ac:dyDescent="0.3">
      <c r="QT7232" s="106"/>
      <c r="QU7232" s="106"/>
      <c r="QV7232" s="106"/>
      <c r="QW7232" s="106"/>
      <c r="QX7232" s="106"/>
      <c r="QY7232" s="106"/>
      <c r="QZ7232" s="106"/>
      <c r="RA7232" s="106"/>
      <c r="RB7232" s="106"/>
      <c r="RC7232" s="106"/>
      <c r="RD7232" s="106"/>
      <c r="RE7232" s="106"/>
      <c r="RF7232" s="106"/>
      <c r="RG7232" s="106"/>
      <c r="RH7232" s="106"/>
      <c r="RI7232" s="106"/>
      <c r="RJ7232" s="106"/>
      <c r="RK7232" s="106"/>
      <c r="RL7232" s="106"/>
    </row>
    <row r="7233" spans="462:480" x14ac:dyDescent="0.3">
      <c r="QT7233" s="106"/>
      <c r="QU7233" s="106"/>
      <c r="QV7233" s="106"/>
      <c r="QW7233" s="106"/>
      <c r="QX7233" s="106"/>
      <c r="QY7233" s="106"/>
      <c r="QZ7233" s="106"/>
      <c r="RA7233" s="106"/>
      <c r="RB7233" s="106"/>
      <c r="RC7233" s="106"/>
      <c r="RD7233" s="106"/>
      <c r="RE7233" s="106"/>
      <c r="RF7233" s="106"/>
      <c r="RG7233" s="106"/>
      <c r="RH7233" s="106"/>
      <c r="RI7233" s="106"/>
      <c r="RJ7233" s="106"/>
      <c r="RK7233" s="106"/>
      <c r="RL7233" s="106"/>
    </row>
    <row r="7234" spans="462:480" x14ac:dyDescent="0.3">
      <c r="QT7234" s="106"/>
      <c r="QU7234" s="106"/>
      <c r="QV7234" s="106"/>
      <c r="QW7234" s="106"/>
      <c r="QX7234" s="106"/>
      <c r="QY7234" s="106"/>
      <c r="QZ7234" s="106"/>
      <c r="RA7234" s="106"/>
      <c r="RB7234" s="106"/>
      <c r="RC7234" s="106"/>
      <c r="RD7234" s="106"/>
      <c r="RE7234" s="106"/>
      <c r="RF7234" s="106"/>
      <c r="RG7234" s="106"/>
      <c r="RH7234" s="106"/>
      <c r="RI7234" s="106"/>
      <c r="RJ7234" s="106"/>
      <c r="RK7234" s="106"/>
      <c r="RL7234" s="106"/>
    </row>
    <row r="7235" spans="462:480" x14ac:dyDescent="0.3">
      <c r="QT7235" s="106"/>
      <c r="QU7235" s="106"/>
      <c r="QV7235" s="106"/>
      <c r="QW7235" s="106"/>
      <c r="QX7235" s="106"/>
      <c r="QY7235" s="106"/>
      <c r="QZ7235" s="106"/>
      <c r="RA7235" s="106"/>
      <c r="RB7235" s="106"/>
      <c r="RC7235" s="106"/>
      <c r="RD7235" s="106"/>
      <c r="RE7235" s="106"/>
      <c r="RF7235" s="106"/>
      <c r="RG7235" s="106"/>
      <c r="RH7235" s="106"/>
      <c r="RI7235" s="106"/>
      <c r="RJ7235" s="106"/>
      <c r="RK7235" s="106"/>
      <c r="RL7235" s="106"/>
    </row>
    <row r="7236" spans="462:480" x14ac:dyDescent="0.3">
      <c r="QT7236" s="106"/>
      <c r="QU7236" s="106"/>
      <c r="QV7236" s="106"/>
      <c r="QW7236" s="106"/>
      <c r="QX7236" s="106"/>
      <c r="QY7236" s="106"/>
      <c r="QZ7236" s="106"/>
      <c r="RA7236" s="106"/>
      <c r="RB7236" s="106"/>
      <c r="RC7236" s="106"/>
      <c r="RD7236" s="106"/>
      <c r="RE7236" s="106"/>
      <c r="RF7236" s="106"/>
      <c r="RG7236" s="106"/>
      <c r="RH7236" s="106"/>
      <c r="RI7236" s="106"/>
      <c r="RJ7236" s="106"/>
      <c r="RK7236" s="106"/>
      <c r="RL7236" s="106"/>
    </row>
    <row r="7237" spans="462:480" x14ac:dyDescent="0.3">
      <c r="QT7237" s="106"/>
      <c r="QU7237" s="106"/>
      <c r="QV7237" s="106"/>
      <c r="QW7237" s="106"/>
      <c r="QX7237" s="106"/>
      <c r="QY7237" s="106"/>
      <c r="QZ7237" s="106"/>
      <c r="RA7237" s="106"/>
      <c r="RB7237" s="106"/>
      <c r="RC7237" s="106"/>
      <c r="RD7237" s="106"/>
      <c r="RE7237" s="106"/>
      <c r="RF7237" s="106"/>
      <c r="RG7237" s="106"/>
      <c r="RH7237" s="106"/>
      <c r="RI7237" s="106"/>
      <c r="RJ7237" s="106"/>
      <c r="RK7237" s="106"/>
      <c r="RL7237" s="106"/>
    </row>
    <row r="7238" spans="462:480" x14ac:dyDescent="0.3">
      <c r="QT7238" s="106"/>
      <c r="QU7238" s="106"/>
      <c r="QV7238" s="106"/>
      <c r="QW7238" s="106"/>
      <c r="QX7238" s="106"/>
      <c r="QY7238" s="106"/>
      <c r="QZ7238" s="106"/>
      <c r="RA7238" s="106"/>
      <c r="RB7238" s="106"/>
      <c r="RC7238" s="106"/>
      <c r="RD7238" s="106"/>
      <c r="RE7238" s="106"/>
      <c r="RF7238" s="106"/>
      <c r="RG7238" s="106"/>
      <c r="RH7238" s="106"/>
      <c r="RI7238" s="106"/>
      <c r="RJ7238" s="106"/>
      <c r="RK7238" s="106"/>
      <c r="RL7238" s="106"/>
    </row>
    <row r="7239" spans="462:480" x14ac:dyDescent="0.3">
      <c r="QT7239" s="106"/>
      <c r="QU7239" s="106"/>
      <c r="QV7239" s="106"/>
      <c r="QW7239" s="106"/>
      <c r="QX7239" s="106"/>
      <c r="QY7239" s="106"/>
      <c r="QZ7239" s="106"/>
      <c r="RA7239" s="106"/>
      <c r="RB7239" s="106"/>
      <c r="RC7239" s="106"/>
      <c r="RD7239" s="106"/>
      <c r="RE7239" s="106"/>
      <c r="RF7239" s="106"/>
      <c r="RG7239" s="106"/>
      <c r="RH7239" s="106"/>
      <c r="RI7239" s="106"/>
      <c r="RJ7239" s="106"/>
      <c r="RK7239" s="106"/>
      <c r="RL7239" s="106"/>
    </row>
    <row r="7240" spans="462:480" x14ac:dyDescent="0.3">
      <c r="QT7240" s="106"/>
      <c r="QU7240" s="106"/>
      <c r="QV7240" s="106"/>
      <c r="QW7240" s="106"/>
      <c r="QX7240" s="106"/>
      <c r="QY7240" s="106"/>
      <c r="QZ7240" s="106"/>
      <c r="RA7240" s="106"/>
      <c r="RB7240" s="106"/>
      <c r="RC7240" s="106"/>
      <c r="RD7240" s="106"/>
      <c r="RE7240" s="106"/>
      <c r="RF7240" s="106"/>
      <c r="RG7240" s="106"/>
      <c r="RH7240" s="106"/>
      <c r="RI7240" s="106"/>
      <c r="RJ7240" s="106"/>
      <c r="RK7240" s="106"/>
      <c r="RL7240" s="106"/>
    </row>
    <row r="7241" spans="462:480" x14ac:dyDescent="0.3">
      <c r="QT7241" s="106"/>
      <c r="QU7241" s="106"/>
      <c r="QV7241" s="106"/>
      <c r="QW7241" s="106"/>
      <c r="QX7241" s="106"/>
      <c r="QY7241" s="106"/>
      <c r="QZ7241" s="106"/>
      <c r="RA7241" s="106"/>
      <c r="RB7241" s="106"/>
      <c r="RC7241" s="106"/>
      <c r="RD7241" s="106"/>
      <c r="RE7241" s="106"/>
      <c r="RF7241" s="106"/>
      <c r="RG7241" s="106"/>
      <c r="RH7241" s="106"/>
      <c r="RI7241" s="106"/>
      <c r="RJ7241" s="106"/>
      <c r="RK7241" s="106"/>
      <c r="RL7241" s="106"/>
    </row>
    <row r="7242" spans="462:480" x14ac:dyDescent="0.3">
      <c r="QT7242" s="106"/>
      <c r="QU7242" s="106"/>
      <c r="QV7242" s="106"/>
      <c r="QW7242" s="106"/>
      <c r="QX7242" s="106"/>
      <c r="QY7242" s="106"/>
      <c r="QZ7242" s="106"/>
      <c r="RA7242" s="106"/>
      <c r="RB7242" s="106"/>
      <c r="RC7242" s="106"/>
      <c r="RD7242" s="106"/>
      <c r="RE7242" s="106"/>
      <c r="RF7242" s="106"/>
      <c r="RG7242" s="106"/>
      <c r="RH7242" s="106"/>
      <c r="RI7242" s="106"/>
      <c r="RJ7242" s="106"/>
      <c r="RK7242" s="106"/>
      <c r="RL7242" s="106"/>
    </row>
    <row r="7243" spans="462:480" x14ac:dyDescent="0.3">
      <c r="QT7243" s="106"/>
      <c r="QU7243" s="106"/>
      <c r="QV7243" s="106"/>
      <c r="QW7243" s="106"/>
      <c r="QX7243" s="106"/>
      <c r="QY7243" s="106"/>
      <c r="QZ7243" s="106"/>
      <c r="RA7243" s="106"/>
      <c r="RB7243" s="106"/>
      <c r="RC7243" s="106"/>
      <c r="RD7243" s="106"/>
      <c r="RE7243" s="106"/>
      <c r="RF7243" s="106"/>
      <c r="RG7243" s="106"/>
      <c r="RH7243" s="106"/>
      <c r="RI7243" s="106"/>
      <c r="RJ7243" s="106"/>
      <c r="RK7243" s="106"/>
      <c r="RL7243" s="106"/>
    </row>
    <row r="7244" spans="462:480" x14ac:dyDescent="0.3">
      <c r="QT7244" s="106"/>
      <c r="QU7244" s="106"/>
      <c r="QV7244" s="106"/>
      <c r="QW7244" s="106"/>
      <c r="QX7244" s="106"/>
      <c r="QY7244" s="106"/>
      <c r="QZ7244" s="106"/>
      <c r="RA7244" s="106"/>
      <c r="RB7244" s="106"/>
      <c r="RC7244" s="106"/>
      <c r="RD7244" s="106"/>
      <c r="RE7244" s="106"/>
      <c r="RF7244" s="106"/>
      <c r="RG7244" s="106"/>
      <c r="RH7244" s="106"/>
      <c r="RI7244" s="106"/>
      <c r="RJ7244" s="106"/>
      <c r="RK7244" s="106"/>
      <c r="RL7244" s="106"/>
    </row>
    <row r="7245" spans="462:480" x14ac:dyDescent="0.3">
      <c r="QT7245" s="106"/>
      <c r="QU7245" s="106"/>
      <c r="QV7245" s="106"/>
      <c r="QW7245" s="106"/>
      <c r="QX7245" s="106"/>
      <c r="QY7245" s="106"/>
      <c r="QZ7245" s="106"/>
      <c r="RA7245" s="106"/>
      <c r="RB7245" s="106"/>
      <c r="RC7245" s="106"/>
      <c r="RD7245" s="106"/>
      <c r="RE7245" s="106"/>
      <c r="RF7245" s="106"/>
      <c r="RG7245" s="106"/>
      <c r="RH7245" s="106"/>
      <c r="RI7245" s="106"/>
      <c r="RJ7245" s="106"/>
      <c r="RK7245" s="106"/>
      <c r="RL7245" s="106"/>
    </row>
    <row r="7246" spans="462:480" x14ac:dyDescent="0.3">
      <c r="QT7246" s="106"/>
      <c r="QU7246" s="106"/>
      <c r="QV7246" s="106"/>
      <c r="QW7246" s="106"/>
      <c r="QX7246" s="106"/>
      <c r="QY7246" s="106"/>
      <c r="QZ7246" s="106"/>
      <c r="RA7246" s="106"/>
      <c r="RB7246" s="106"/>
      <c r="RC7246" s="106"/>
      <c r="RD7246" s="106"/>
      <c r="RE7246" s="106"/>
      <c r="RF7246" s="106"/>
      <c r="RG7246" s="106"/>
      <c r="RH7246" s="106"/>
      <c r="RI7246" s="106"/>
      <c r="RJ7246" s="106"/>
      <c r="RK7246" s="106"/>
      <c r="RL7246" s="106"/>
    </row>
    <row r="7247" spans="462:480" x14ac:dyDescent="0.3">
      <c r="QT7247" s="106"/>
      <c r="QU7247" s="106"/>
      <c r="QV7247" s="106"/>
      <c r="QW7247" s="106"/>
      <c r="QX7247" s="106"/>
      <c r="QY7247" s="106"/>
      <c r="QZ7247" s="106"/>
      <c r="RA7247" s="106"/>
      <c r="RB7247" s="106"/>
      <c r="RC7247" s="106"/>
      <c r="RD7247" s="106"/>
      <c r="RE7247" s="106"/>
      <c r="RF7247" s="106"/>
      <c r="RG7247" s="106"/>
      <c r="RH7247" s="106"/>
      <c r="RI7247" s="106"/>
      <c r="RJ7247" s="106"/>
      <c r="RK7247" s="106"/>
      <c r="RL7247" s="106"/>
    </row>
    <row r="7248" spans="462:480" x14ac:dyDescent="0.3">
      <c r="QT7248" s="106"/>
      <c r="QU7248" s="106"/>
      <c r="QV7248" s="106"/>
      <c r="QW7248" s="106"/>
      <c r="QX7248" s="106"/>
      <c r="QY7248" s="106"/>
      <c r="QZ7248" s="106"/>
      <c r="RA7248" s="106"/>
      <c r="RB7248" s="106"/>
      <c r="RC7248" s="106"/>
      <c r="RD7248" s="106"/>
      <c r="RE7248" s="106"/>
      <c r="RF7248" s="106"/>
      <c r="RG7248" s="106"/>
      <c r="RH7248" s="106"/>
      <c r="RI7248" s="106"/>
      <c r="RJ7248" s="106"/>
      <c r="RK7248" s="106"/>
      <c r="RL7248" s="106"/>
    </row>
    <row r="7249" spans="462:480" x14ac:dyDescent="0.3">
      <c r="QT7249" s="106"/>
      <c r="QU7249" s="106"/>
      <c r="QV7249" s="106"/>
      <c r="QW7249" s="106"/>
      <c r="QX7249" s="106"/>
      <c r="QY7249" s="106"/>
      <c r="QZ7249" s="106"/>
      <c r="RA7249" s="106"/>
      <c r="RB7249" s="106"/>
      <c r="RC7249" s="106"/>
      <c r="RD7249" s="106"/>
      <c r="RE7249" s="106"/>
      <c r="RF7249" s="106"/>
      <c r="RG7249" s="106"/>
      <c r="RH7249" s="106"/>
      <c r="RI7249" s="106"/>
      <c r="RJ7249" s="106"/>
      <c r="RK7249" s="106"/>
      <c r="RL7249" s="106"/>
    </row>
    <row r="7250" spans="462:480" x14ac:dyDescent="0.3">
      <c r="QT7250" s="106"/>
      <c r="QU7250" s="106"/>
      <c r="QV7250" s="106"/>
      <c r="QW7250" s="106"/>
      <c r="QX7250" s="106"/>
      <c r="QY7250" s="106"/>
      <c r="QZ7250" s="106"/>
      <c r="RA7250" s="106"/>
      <c r="RB7250" s="106"/>
      <c r="RC7250" s="106"/>
      <c r="RD7250" s="106"/>
      <c r="RE7250" s="106"/>
      <c r="RF7250" s="106"/>
      <c r="RG7250" s="106"/>
      <c r="RH7250" s="106"/>
      <c r="RI7250" s="106"/>
      <c r="RJ7250" s="106"/>
      <c r="RK7250" s="106"/>
      <c r="RL7250" s="106"/>
    </row>
    <row r="7251" spans="462:480" x14ac:dyDescent="0.3">
      <c r="QT7251" s="106"/>
      <c r="QU7251" s="106"/>
      <c r="QV7251" s="106"/>
      <c r="QW7251" s="106"/>
      <c r="QX7251" s="106"/>
      <c r="QY7251" s="106"/>
      <c r="QZ7251" s="106"/>
      <c r="RA7251" s="106"/>
      <c r="RB7251" s="106"/>
      <c r="RC7251" s="106"/>
      <c r="RD7251" s="106"/>
      <c r="RE7251" s="106"/>
      <c r="RF7251" s="106"/>
      <c r="RG7251" s="106"/>
      <c r="RH7251" s="106"/>
      <c r="RI7251" s="106"/>
      <c r="RJ7251" s="106"/>
      <c r="RK7251" s="106"/>
      <c r="RL7251" s="106"/>
    </row>
    <row r="7252" spans="462:480" x14ac:dyDescent="0.3">
      <c r="QT7252" s="106"/>
      <c r="QU7252" s="106"/>
      <c r="QV7252" s="106"/>
      <c r="QW7252" s="106"/>
      <c r="QX7252" s="106"/>
      <c r="QY7252" s="106"/>
      <c r="QZ7252" s="106"/>
      <c r="RA7252" s="106"/>
      <c r="RB7252" s="106"/>
      <c r="RC7252" s="106"/>
      <c r="RD7252" s="106"/>
      <c r="RE7252" s="106"/>
      <c r="RF7252" s="106"/>
      <c r="RG7252" s="106"/>
      <c r="RH7252" s="106"/>
      <c r="RI7252" s="106"/>
      <c r="RJ7252" s="106"/>
      <c r="RK7252" s="106"/>
      <c r="RL7252" s="106"/>
    </row>
    <row r="7253" spans="462:480" x14ac:dyDescent="0.3">
      <c r="QT7253" s="106"/>
      <c r="QU7253" s="106"/>
      <c r="QV7253" s="106"/>
      <c r="QW7253" s="106"/>
      <c r="QX7253" s="106"/>
      <c r="QY7253" s="106"/>
      <c r="QZ7253" s="106"/>
      <c r="RA7253" s="106"/>
      <c r="RB7253" s="106"/>
      <c r="RC7253" s="106"/>
      <c r="RD7253" s="106"/>
      <c r="RE7253" s="106"/>
      <c r="RF7253" s="106"/>
      <c r="RG7253" s="106"/>
      <c r="RH7253" s="106"/>
      <c r="RI7253" s="106"/>
      <c r="RJ7253" s="106"/>
      <c r="RK7253" s="106"/>
      <c r="RL7253" s="106"/>
    </row>
    <row r="7254" spans="462:480" x14ac:dyDescent="0.3">
      <c r="QT7254" s="106"/>
      <c r="QU7254" s="106"/>
      <c r="QV7254" s="106"/>
      <c r="QW7254" s="106"/>
      <c r="QX7254" s="106"/>
      <c r="QY7254" s="106"/>
      <c r="QZ7254" s="106"/>
      <c r="RA7254" s="106"/>
      <c r="RB7254" s="106"/>
      <c r="RC7254" s="106"/>
      <c r="RD7254" s="106"/>
      <c r="RE7254" s="106"/>
      <c r="RF7254" s="106"/>
      <c r="RG7254" s="106"/>
      <c r="RH7254" s="106"/>
      <c r="RI7254" s="106"/>
      <c r="RJ7254" s="106"/>
      <c r="RK7254" s="106"/>
      <c r="RL7254" s="106"/>
    </row>
    <row r="7255" spans="462:480" x14ac:dyDescent="0.3">
      <c r="QT7255" s="106"/>
      <c r="QU7255" s="106"/>
      <c r="QV7255" s="106"/>
      <c r="QW7255" s="106"/>
      <c r="QX7255" s="106"/>
      <c r="QY7255" s="106"/>
      <c r="QZ7255" s="106"/>
      <c r="RA7255" s="106"/>
      <c r="RB7255" s="106"/>
      <c r="RC7255" s="106"/>
      <c r="RD7255" s="106"/>
      <c r="RE7255" s="106"/>
      <c r="RF7255" s="106"/>
      <c r="RG7255" s="106"/>
      <c r="RH7255" s="106"/>
      <c r="RI7255" s="106"/>
      <c r="RJ7255" s="106"/>
      <c r="RK7255" s="106"/>
      <c r="RL7255" s="106"/>
    </row>
    <row r="7256" spans="462:480" x14ac:dyDescent="0.3">
      <c r="QT7256" s="106"/>
      <c r="QU7256" s="106"/>
      <c r="QV7256" s="106"/>
      <c r="QW7256" s="106"/>
      <c r="QX7256" s="106"/>
      <c r="QY7256" s="106"/>
      <c r="QZ7256" s="106"/>
      <c r="RA7256" s="106"/>
      <c r="RB7256" s="106"/>
      <c r="RC7256" s="106"/>
      <c r="RD7256" s="106"/>
      <c r="RE7256" s="106"/>
      <c r="RF7256" s="106"/>
      <c r="RG7256" s="106"/>
      <c r="RH7256" s="106"/>
      <c r="RI7256" s="106"/>
      <c r="RJ7256" s="106"/>
      <c r="RK7256" s="106"/>
      <c r="RL7256" s="106"/>
    </row>
    <row r="7257" spans="462:480" x14ac:dyDescent="0.3">
      <c r="QT7257" s="106"/>
      <c r="QU7257" s="106"/>
      <c r="QV7257" s="106"/>
      <c r="QW7257" s="106"/>
      <c r="QX7257" s="106"/>
      <c r="QY7257" s="106"/>
      <c r="QZ7257" s="106"/>
      <c r="RA7257" s="106"/>
      <c r="RB7257" s="106"/>
      <c r="RC7257" s="106"/>
      <c r="RD7257" s="106"/>
      <c r="RE7257" s="106"/>
      <c r="RF7257" s="106"/>
      <c r="RG7257" s="106"/>
      <c r="RH7257" s="106"/>
      <c r="RI7257" s="106"/>
      <c r="RJ7257" s="106"/>
      <c r="RK7257" s="106"/>
      <c r="RL7257" s="106"/>
    </row>
    <row r="7258" spans="462:480" x14ac:dyDescent="0.3">
      <c r="QT7258" s="106"/>
      <c r="QU7258" s="106"/>
      <c r="QV7258" s="106"/>
      <c r="QW7258" s="106"/>
      <c r="QX7258" s="106"/>
      <c r="QY7258" s="106"/>
      <c r="QZ7258" s="106"/>
      <c r="RA7258" s="106"/>
      <c r="RB7258" s="106"/>
      <c r="RC7258" s="106"/>
      <c r="RD7258" s="106"/>
      <c r="RE7258" s="106"/>
      <c r="RF7258" s="106"/>
      <c r="RG7258" s="106"/>
      <c r="RH7258" s="106"/>
      <c r="RI7258" s="106"/>
      <c r="RJ7258" s="106"/>
      <c r="RK7258" s="106"/>
      <c r="RL7258" s="106"/>
    </row>
    <row r="7259" spans="462:480" x14ac:dyDescent="0.3">
      <c r="QT7259" s="106"/>
      <c r="QU7259" s="106"/>
      <c r="QV7259" s="106"/>
      <c r="QW7259" s="106"/>
      <c r="QX7259" s="106"/>
      <c r="QY7259" s="106"/>
      <c r="QZ7259" s="106"/>
      <c r="RA7259" s="106"/>
      <c r="RB7259" s="106"/>
      <c r="RC7259" s="106"/>
      <c r="RD7259" s="106"/>
      <c r="RE7259" s="106"/>
      <c r="RF7259" s="106"/>
      <c r="RG7259" s="106"/>
      <c r="RH7259" s="106"/>
      <c r="RI7259" s="106"/>
      <c r="RJ7259" s="106"/>
      <c r="RK7259" s="106"/>
      <c r="RL7259" s="106"/>
    </row>
    <row r="7260" spans="462:480" x14ac:dyDescent="0.3">
      <c r="QT7260" s="106"/>
      <c r="QU7260" s="106"/>
      <c r="QV7260" s="106"/>
      <c r="QW7260" s="106"/>
      <c r="QX7260" s="106"/>
      <c r="QY7260" s="106"/>
      <c r="QZ7260" s="106"/>
      <c r="RA7260" s="106"/>
      <c r="RB7260" s="106"/>
      <c r="RC7260" s="106"/>
      <c r="RD7260" s="106"/>
      <c r="RE7260" s="106"/>
      <c r="RF7260" s="106"/>
      <c r="RG7260" s="106"/>
      <c r="RH7260" s="106"/>
      <c r="RI7260" s="106"/>
      <c r="RJ7260" s="106"/>
      <c r="RK7260" s="106"/>
      <c r="RL7260" s="106"/>
    </row>
    <row r="7261" spans="462:480" x14ac:dyDescent="0.3">
      <c r="QT7261" s="106"/>
      <c r="QU7261" s="106"/>
      <c r="QV7261" s="106"/>
      <c r="QW7261" s="106"/>
      <c r="QX7261" s="106"/>
      <c r="QY7261" s="106"/>
      <c r="QZ7261" s="106"/>
      <c r="RA7261" s="106"/>
      <c r="RB7261" s="106"/>
      <c r="RC7261" s="106"/>
      <c r="RD7261" s="106"/>
      <c r="RE7261" s="106"/>
      <c r="RF7261" s="106"/>
      <c r="RG7261" s="106"/>
      <c r="RH7261" s="106"/>
      <c r="RI7261" s="106"/>
      <c r="RJ7261" s="106"/>
      <c r="RK7261" s="106"/>
      <c r="RL7261" s="106"/>
    </row>
    <row r="7262" spans="462:480" x14ac:dyDescent="0.3">
      <c r="QT7262" s="106"/>
      <c r="QU7262" s="106"/>
      <c r="QV7262" s="106"/>
      <c r="QW7262" s="106"/>
      <c r="QX7262" s="106"/>
      <c r="QY7262" s="106"/>
      <c r="QZ7262" s="106"/>
      <c r="RA7262" s="106"/>
      <c r="RB7262" s="106"/>
      <c r="RC7262" s="106"/>
      <c r="RD7262" s="106"/>
      <c r="RE7262" s="106"/>
      <c r="RF7262" s="106"/>
      <c r="RG7262" s="106"/>
      <c r="RH7262" s="106"/>
      <c r="RI7262" s="106"/>
      <c r="RJ7262" s="106"/>
      <c r="RK7262" s="106"/>
      <c r="RL7262" s="106"/>
    </row>
    <row r="7263" spans="462:480" x14ac:dyDescent="0.3">
      <c r="QT7263" s="106"/>
      <c r="QU7263" s="106"/>
      <c r="QV7263" s="106"/>
      <c r="QW7263" s="106"/>
      <c r="QX7263" s="106"/>
      <c r="QY7263" s="106"/>
      <c r="QZ7263" s="106"/>
      <c r="RA7263" s="106"/>
      <c r="RB7263" s="106"/>
      <c r="RC7263" s="106"/>
      <c r="RD7263" s="106"/>
      <c r="RE7263" s="106"/>
      <c r="RF7263" s="106"/>
      <c r="RG7263" s="106"/>
      <c r="RH7263" s="106"/>
      <c r="RI7263" s="106"/>
      <c r="RJ7263" s="106"/>
      <c r="RK7263" s="106"/>
      <c r="RL7263" s="106"/>
    </row>
    <row r="7264" spans="462:480" x14ac:dyDescent="0.3">
      <c r="QT7264" s="106"/>
      <c r="QU7264" s="106"/>
      <c r="QV7264" s="106"/>
      <c r="QW7264" s="106"/>
      <c r="QX7264" s="106"/>
      <c r="QY7264" s="106"/>
      <c r="QZ7264" s="106"/>
      <c r="RA7264" s="106"/>
      <c r="RB7264" s="106"/>
      <c r="RC7264" s="106"/>
      <c r="RD7264" s="106"/>
      <c r="RE7264" s="106"/>
      <c r="RF7264" s="106"/>
      <c r="RG7264" s="106"/>
      <c r="RH7264" s="106"/>
      <c r="RI7264" s="106"/>
      <c r="RJ7264" s="106"/>
      <c r="RK7264" s="106"/>
      <c r="RL7264" s="106"/>
    </row>
    <row r="7265" spans="462:480" x14ac:dyDescent="0.3">
      <c r="QT7265" s="106"/>
      <c r="QU7265" s="106"/>
      <c r="QV7265" s="106"/>
      <c r="QW7265" s="106"/>
      <c r="QX7265" s="106"/>
      <c r="QY7265" s="106"/>
      <c r="QZ7265" s="106"/>
      <c r="RA7265" s="106"/>
      <c r="RB7265" s="106"/>
      <c r="RC7265" s="106"/>
      <c r="RD7265" s="106"/>
      <c r="RE7265" s="106"/>
      <c r="RF7265" s="106"/>
      <c r="RG7265" s="106"/>
      <c r="RH7265" s="106"/>
      <c r="RI7265" s="106"/>
      <c r="RJ7265" s="106"/>
      <c r="RK7265" s="106"/>
      <c r="RL7265" s="106"/>
    </row>
    <row r="7266" spans="462:480" x14ac:dyDescent="0.3">
      <c r="QT7266" s="106"/>
      <c r="QU7266" s="106"/>
      <c r="QV7266" s="106"/>
      <c r="QW7266" s="106"/>
      <c r="QX7266" s="106"/>
      <c r="QY7266" s="106"/>
      <c r="QZ7266" s="106"/>
      <c r="RA7266" s="106"/>
      <c r="RB7266" s="106"/>
      <c r="RC7266" s="106"/>
      <c r="RD7266" s="106"/>
      <c r="RE7266" s="106"/>
      <c r="RF7266" s="106"/>
      <c r="RG7266" s="106"/>
      <c r="RH7266" s="106"/>
      <c r="RI7266" s="106"/>
      <c r="RJ7266" s="106"/>
      <c r="RK7266" s="106"/>
      <c r="RL7266" s="106"/>
    </row>
    <row r="7267" spans="462:480" x14ac:dyDescent="0.3">
      <c r="QT7267" s="106"/>
      <c r="QU7267" s="106"/>
      <c r="QV7267" s="106"/>
      <c r="QW7267" s="106"/>
      <c r="QX7267" s="106"/>
      <c r="QY7267" s="106"/>
      <c r="QZ7267" s="106"/>
      <c r="RA7267" s="106"/>
      <c r="RB7267" s="106"/>
      <c r="RC7267" s="106"/>
      <c r="RD7267" s="106"/>
      <c r="RE7267" s="106"/>
      <c r="RF7267" s="106"/>
      <c r="RG7267" s="106"/>
      <c r="RH7267" s="106"/>
      <c r="RI7267" s="106"/>
      <c r="RJ7267" s="106"/>
      <c r="RK7267" s="106"/>
      <c r="RL7267" s="106"/>
    </row>
    <row r="7268" spans="462:480" x14ac:dyDescent="0.3">
      <c r="QT7268" s="106"/>
      <c r="QU7268" s="106"/>
      <c r="QV7268" s="106"/>
      <c r="QW7268" s="106"/>
      <c r="QX7268" s="106"/>
      <c r="QY7268" s="106"/>
      <c r="QZ7268" s="106"/>
      <c r="RA7268" s="106"/>
      <c r="RB7268" s="106"/>
      <c r="RC7268" s="106"/>
      <c r="RD7268" s="106"/>
      <c r="RE7268" s="106"/>
      <c r="RF7268" s="106"/>
      <c r="RG7268" s="106"/>
      <c r="RH7268" s="106"/>
      <c r="RI7268" s="106"/>
      <c r="RJ7268" s="106"/>
      <c r="RK7268" s="106"/>
      <c r="RL7268" s="106"/>
    </row>
    <row r="7269" spans="462:480" x14ac:dyDescent="0.3">
      <c r="QT7269" s="106"/>
      <c r="QU7269" s="106"/>
      <c r="QV7269" s="106"/>
      <c r="QW7269" s="106"/>
      <c r="QX7269" s="106"/>
      <c r="QY7269" s="106"/>
      <c r="QZ7269" s="106"/>
      <c r="RA7269" s="106"/>
      <c r="RB7269" s="106"/>
      <c r="RC7269" s="106"/>
      <c r="RD7269" s="106"/>
      <c r="RE7269" s="106"/>
      <c r="RF7269" s="106"/>
      <c r="RG7269" s="106"/>
      <c r="RH7269" s="106"/>
      <c r="RI7269" s="106"/>
      <c r="RJ7269" s="106"/>
      <c r="RK7269" s="106"/>
      <c r="RL7269" s="106"/>
    </row>
    <row r="7270" spans="462:480" x14ac:dyDescent="0.3">
      <c r="QT7270" s="106"/>
      <c r="QU7270" s="106"/>
      <c r="QV7270" s="106"/>
      <c r="QW7270" s="106"/>
      <c r="QX7270" s="106"/>
      <c r="QY7270" s="106"/>
      <c r="QZ7270" s="106"/>
      <c r="RA7270" s="106"/>
      <c r="RB7270" s="106"/>
      <c r="RC7270" s="106"/>
      <c r="RD7270" s="106"/>
      <c r="RE7270" s="106"/>
      <c r="RF7270" s="106"/>
      <c r="RG7270" s="106"/>
      <c r="RH7270" s="106"/>
      <c r="RI7270" s="106"/>
      <c r="RJ7270" s="106"/>
      <c r="RK7270" s="106"/>
      <c r="RL7270" s="106"/>
    </row>
    <row r="7271" spans="462:480" x14ac:dyDescent="0.3">
      <c r="QT7271" s="106"/>
      <c r="QU7271" s="106"/>
      <c r="QV7271" s="106"/>
      <c r="QW7271" s="106"/>
      <c r="QX7271" s="106"/>
      <c r="QY7271" s="106"/>
      <c r="QZ7271" s="106"/>
      <c r="RA7271" s="106"/>
      <c r="RB7271" s="106"/>
      <c r="RC7271" s="106"/>
      <c r="RD7271" s="106"/>
      <c r="RE7271" s="106"/>
      <c r="RF7271" s="106"/>
      <c r="RG7271" s="106"/>
      <c r="RH7271" s="106"/>
      <c r="RI7271" s="106"/>
      <c r="RJ7271" s="106"/>
      <c r="RK7271" s="106"/>
      <c r="RL7271" s="106"/>
    </row>
    <row r="7272" spans="462:480" x14ac:dyDescent="0.3">
      <c r="QT7272" s="106"/>
      <c r="QU7272" s="106"/>
      <c r="QV7272" s="106"/>
      <c r="QW7272" s="106"/>
      <c r="QX7272" s="106"/>
      <c r="QY7272" s="106"/>
      <c r="QZ7272" s="106"/>
      <c r="RA7272" s="106"/>
      <c r="RB7272" s="106"/>
      <c r="RC7272" s="106"/>
      <c r="RD7272" s="106"/>
      <c r="RE7272" s="106"/>
      <c r="RF7272" s="106"/>
      <c r="RG7272" s="106"/>
      <c r="RH7272" s="106"/>
      <c r="RI7272" s="106"/>
      <c r="RJ7272" s="106"/>
      <c r="RK7272" s="106"/>
      <c r="RL7272" s="106"/>
    </row>
    <row r="7273" spans="462:480" x14ac:dyDescent="0.3">
      <c r="QT7273" s="106"/>
      <c r="QU7273" s="106"/>
      <c r="QV7273" s="106"/>
      <c r="QW7273" s="106"/>
      <c r="QX7273" s="106"/>
      <c r="QY7273" s="106"/>
      <c r="QZ7273" s="106"/>
      <c r="RA7273" s="106"/>
      <c r="RB7273" s="106"/>
      <c r="RC7273" s="106"/>
      <c r="RD7273" s="106"/>
      <c r="RE7273" s="106"/>
      <c r="RF7273" s="106"/>
      <c r="RG7273" s="106"/>
      <c r="RH7273" s="106"/>
      <c r="RI7273" s="106"/>
      <c r="RJ7273" s="106"/>
      <c r="RK7273" s="106"/>
      <c r="RL7273" s="106"/>
    </row>
    <row r="7274" spans="462:480" x14ac:dyDescent="0.3">
      <c r="QT7274" s="106"/>
      <c r="QU7274" s="106"/>
      <c r="QV7274" s="106"/>
      <c r="QW7274" s="106"/>
      <c r="QX7274" s="106"/>
      <c r="QY7274" s="106"/>
      <c r="QZ7274" s="106"/>
      <c r="RA7274" s="106"/>
      <c r="RB7274" s="106"/>
      <c r="RC7274" s="106"/>
      <c r="RD7274" s="106"/>
      <c r="RE7274" s="106"/>
      <c r="RF7274" s="106"/>
      <c r="RG7274" s="106"/>
      <c r="RH7274" s="106"/>
      <c r="RI7274" s="106"/>
      <c r="RJ7274" s="106"/>
      <c r="RK7274" s="106"/>
      <c r="RL7274" s="106"/>
    </row>
    <row r="7275" spans="462:480" x14ac:dyDescent="0.3">
      <c r="QT7275" s="106"/>
      <c r="QU7275" s="106"/>
      <c r="QV7275" s="106"/>
      <c r="QW7275" s="106"/>
      <c r="QX7275" s="106"/>
      <c r="QY7275" s="106"/>
      <c r="QZ7275" s="106"/>
      <c r="RA7275" s="106"/>
      <c r="RB7275" s="106"/>
      <c r="RC7275" s="106"/>
      <c r="RD7275" s="106"/>
      <c r="RE7275" s="106"/>
      <c r="RF7275" s="106"/>
      <c r="RG7275" s="106"/>
      <c r="RH7275" s="106"/>
      <c r="RI7275" s="106"/>
      <c r="RJ7275" s="106"/>
      <c r="RK7275" s="106"/>
      <c r="RL7275" s="106"/>
    </row>
    <row r="7276" spans="462:480" x14ac:dyDescent="0.3">
      <c r="QT7276" s="106"/>
      <c r="QU7276" s="106"/>
      <c r="QV7276" s="106"/>
      <c r="QW7276" s="106"/>
      <c r="QX7276" s="106"/>
      <c r="QY7276" s="106"/>
      <c r="QZ7276" s="106"/>
      <c r="RA7276" s="106"/>
      <c r="RB7276" s="106"/>
      <c r="RC7276" s="106"/>
      <c r="RD7276" s="106"/>
      <c r="RE7276" s="106"/>
      <c r="RF7276" s="106"/>
      <c r="RG7276" s="106"/>
      <c r="RH7276" s="106"/>
      <c r="RI7276" s="106"/>
      <c r="RJ7276" s="106"/>
      <c r="RK7276" s="106"/>
      <c r="RL7276" s="106"/>
    </row>
    <row r="7277" spans="462:480" x14ac:dyDescent="0.3">
      <c r="QT7277" s="106"/>
      <c r="QU7277" s="106"/>
      <c r="QV7277" s="106"/>
      <c r="QW7277" s="106"/>
      <c r="QX7277" s="106"/>
      <c r="QY7277" s="106"/>
      <c r="QZ7277" s="106"/>
      <c r="RA7277" s="106"/>
      <c r="RB7277" s="106"/>
      <c r="RC7277" s="106"/>
      <c r="RD7277" s="106"/>
      <c r="RE7277" s="106"/>
      <c r="RF7277" s="106"/>
      <c r="RG7277" s="106"/>
      <c r="RH7277" s="106"/>
      <c r="RI7277" s="106"/>
      <c r="RJ7277" s="106"/>
      <c r="RK7277" s="106"/>
      <c r="RL7277" s="106"/>
    </row>
    <row r="7278" spans="462:480" x14ac:dyDescent="0.3">
      <c r="QT7278" s="106"/>
      <c r="QU7278" s="106"/>
      <c r="QV7278" s="106"/>
      <c r="QW7278" s="106"/>
      <c r="QX7278" s="106"/>
      <c r="QY7278" s="106"/>
      <c r="QZ7278" s="106"/>
      <c r="RA7278" s="106"/>
      <c r="RB7278" s="106"/>
      <c r="RC7278" s="106"/>
      <c r="RD7278" s="106"/>
      <c r="RE7278" s="106"/>
      <c r="RF7278" s="106"/>
      <c r="RG7278" s="106"/>
      <c r="RH7278" s="106"/>
      <c r="RI7278" s="106"/>
      <c r="RJ7278" s="106"/>
      <c r="RK7278" s="106"/>
      <c r="RL7278" s="106"/>
    </row>
    <row r="7279" spans="462:480" x14ac:dyDescent="0.3">
      <c r="QT7279" s="106"/>
      <c r="QU7279" s="106"/>
      <c r="QV7279" s="106"/>
      <c r="QW7279" s="106"/>
      <c r="QX7279" s="106"/>
      <c r="QY7279" s="106"/>
      <c r="QZ7279" s="106"/>
      <c r="RA7279" s="106"/>
      <c r="RB7279" s="106"/>
      <c r="RC7279" s="106"/>
      <c r="RD7279" s="106"/>
      <c r="RE7279" s="106"/>
      <c r="RF7279" s="106"/>
      <c r="RG7279" s="106"/>
      <c r="RH7279" s="106"/>
      <c r="RI7279" s="106"/>
      <c r="RJ7279" s="106"/>
      <c r="RK7279" s="106"/>
      <c r="RL7279" s="106"/>
    </row>
    <row r="7280" spans="462:480" x14ac:dyDescent="0.3">
      <c r="QT7280" s="106"/>
      <c r="QU7280" s="106"/>
      <c r="QV7280" s="106"/>
      <c r="QW7280" s="106"/>
      <c r="QX7280" s="106"/>
      <c r="QY7280" s="106"/>
      <c r="QZ7280" s="106"/>
      <c r="RA7280" s="106"/>
      <c r="RB7280" s="106"/>
      <c r="RC7280" s="106"/>
      <c r="RD7280" s="106"/>
      <c r="RE7280" s="106"/>
      <c r="RF7280" s="106"/>
      <c r="RG7280" s="106"/>
      <c r="RH7280" s="106"/>
      <c r="RI7280" s="106"/>
      <c r="RJ7280" s="106"/>
      <c r="RK7280" s="106"/>
      <c r="RL7280" s="106"/>
    </row>
    <row r="7281" spans="462:480" x14ac:dyDescent="0.3">
      <c r="QT7281" s="106"/>
      <c r="QU7281" s="106"/>
      <c r="QV7281" s="106"/>
      <c r="QW7281" s="106"/>
      <c r="QX7281" s="106"/>
      <c r="QY7281" s="106"/>
      <c r="QZ7281" s="106"/>
      <c r="RA7281" s="106"/>
      <c r="RB7281" s="106"/>
      <c r="RC7281" s="106"/>
      <c r="RD7281" s="106"/>
      <c r="RE7281" s="106"/>
      <c r="RF7281" s="106"/>
      <c r="RG7281" s="106"/>
      <c r="RH7281" s="106"/>
      <c r="RI7281" s="106"/>
      <c r="RJ7281" s="106"/>
      <c r="RK7281" s="106"/>
      <c r="RL7281" s="106"/>
    </row>
    <row r="7282" spans="462:480" x14ac:dyDescent="0.3">
      <c r="QT7282" s="106"/>
      <c r="QU7282" s="106"/>
      <c r="QV7282" s="106"/>
      <c r="QW7282" s="106"/>
      <c r="QX7282" s="106"/>
      <c r="QY7282" s="106"/>
      <c r="QZ7282" s="106"/>
      <c r="RA7282" s="106"/>
      <c r="RB7282" s="106"/>
      <c r="RC7282" s="106"/>
      <c r="RD7282" s="106"/>
      <c r="RE7282" s="106"/>
      <c r="RF7282" s="106"/>
      <c r="RG7282" s="106"/>
      <c r="RH7282" s="106"/>
      <c r="RI7282" s="106"/>
      <c r="RJ7282" s="106"/>
      <c r="RK7282" s="106"/>
      <c r="RL7282" s="106"/>
    </row>
    <row r="7283" spans="462:480" x14ac:dyDescent="0.3">
      <c r="QT7283" s="106"/>
      <c r="QU7283" s="106"/>
      <c r="QV7283" s="106"/>
      <c r="QW7283" s="106"/>
      <c r="QX7283" s="106"/>
      <c r="QY7283" s="106"/>
      <c r="QZ7283" s="106"/>
      <c r="RA7283" s="106"/>
      <c r="RB7283" s="106"/>
      <c r="RC7283" s="106"/>
      <c r="RD7283" s="106"/>
      <c r="RE7283" s="106"/>
      <c r="RF7283" s="106"/>
      <c r="RG7283" s="106"/>
      <c r="RH7283" s="106"/>
      <c r="RI7283" s="106"/>
      <c r="RJ7283" s="106"/>
      <c r="RK7283" s="106"/>
      <c r="RL7283" s="106"/>
    </row>
    <row r="7284" spans="462:480" x14ac:dyDescent="0.3">
      <c r="QT7284" s="106"/>
      <c r="QU7284" s="106"/>
      <c r="QV7284" s="106"/>
      <c r="QW7284" s="106"/>
      <c r="QX7284" s="106"/>
      <c r="QY7284" s="106"/>
      <c r="QZ7284" s="106"/>
      <c r="RA7284" s="106"/>
      <c r="RB7284" s="106"/>
      <c r="RC7284" s="106"/>
      <c r="RD7284" s="106"/>
      <c r="RE7284" s="106"/>
      <c r="RF7284" s="106"/>
      <c r="RG7284" s="106"/>
      <c r="RH7284" s="106"/>
      <c r="RI7284" s="106"/>
      <c r="RJ7284" s="106"/>
      <c r="RK7284" s="106"/>
      <c r="RL7284" s="106"/>
    </row>
    <row r="7285" spans="462:480" x14ac:dyDescent="0.3">
      <c r="QT7285" s="106"/>
      <c r="QU7285" s="106"/>
      <c r="QV7285" s="106"/>
      <c r="QW7285" s="106"/>
      <c r="QX7285" s="106"/>
      <c r="QY7285" s="106"/>
      <c r="QZ7285" s="106"/>
      <c r="RA7285" s="106"/>
      <c r="RB7285" s="106"/>
      <c r="RC7285" s="106"/>
      <c r="RD7285" s="106"/>
      <c r="RE7285" s="106"/>
      <c r="RF7285" s="106"/>
      <c r="RG7285" s="106"/>
      <c r="RH7285" s="106"/>
      <c r="RI7285" s="106"/>
      <c r="RJ7285" s="106"/>
      <c r="RK7285" s="106"/>
      <c r="RL7285" s="106"/>
    </row>
    <row r="7286" spans="462:480" x14ac:dyDescent="0.3">
      <c r="QT7286" s="106"/>
      <c r="QU7286" s="106"/>
      <c r="QV7286" s="106"/>
      <c r="QW7286" s="106"/>
      <c r="QX7286" s="106"/>
      <c r="QY7286" s="106"/>
      <c r="QZ7286" s="106"/>
      <c r="RA7286" s="106"/>
      <c r="RB7286" s="106"/>
      <c r="RC7286" s="106"/>
      <c r="RD7286" s="106"/>
      <c r="RE7286" s="106"/>
      <c r="RF7286" s="106"/>
      <c r="RG7286" s="106"/>
      <c r="RH7286" s="106"/>
      <c r="RI7286" s="106"/>
      <c r="RJ7286" s="106"/>
      <c r="RK7286" s="106"/>
      <c r="RL7286" s="106"/>
    </row>
    <row r="7287" spans="462:480" x14ac:dyDescent="0.3">
      <c r="QT7287" s="106"/>
      <c r="QU7287" s="106"/>
      <c r="QV7287" s="106"/>
      <c r="QW7287" s="106"/>
      <c r="QX7287" s="106"/>
      <c r="QY7287" s="106"/>
      <c r="QZ7287" s="106"/>
      <c r="RA7287" s="106"/>
      <c r="RB7287" s="106"/>
      <c r="RC7287" s="106"/>
      <c r="RD7287" s="106"/>
      <c r="RE7287" s="106"/>
      <c r="RF7287" s="106"/>
      <c r="RG7287" s="106"/>
      <c r="RH7287" s="106"/>
      <c r="RI7287" s="106"/>
      <c r="RJ7287" s="106"/>
      <c r="RK7287" s="106"/>
      <c r="RL7287" s="106"/>
    </row>
    <row r="7288" spans="462:480" x14ac:dyDescent="0.3">
      <c r="QT7288" s="106"/>
      <c r="QU7288" s="106"/>
      <c r="QV7288" s="106"/>
      <c r="QW7288" s="106"/>
      <c r="QX7288" s="106"/>
      <c r="QY7288" s="106"/>
      <c r="QZ7288" s="106"/>
      <c r="RA7288" s="106"/>
      <c r="RB7288" s="106"/>
      <c r="RC7288" s="106"/>
      <c r="RD7288" s="106"/>
      <c r="RE7288" s="106"/>
      <c r="RF7288" s="106"/>
      <c r="RG7288" s="106"/>
      <c r="RH7288" s="106"/>
      <c r="RI7288" s="106"/>
      <c r="RJ7288" s="106"/>
      <c r="RK7288" s="106"/>
      <c r="RL7288" s="106"/>
    </row>
    <row r="7289" spans="462:480" x14ac:dyDescent="0.3">
      <c r="QT7289" s="106"/>
      <c r="QU7289" s="106"/>
      <c r="QV7289" s="106"/>
      <c r="QW7289" s="106"/>
      <c r="QX7289" s="106"/>
      <c r="QY7289" s="106"/>
      <c r="QZ7289" s="106"/>
      <c r="RA7289" s="106"/>
      <c r="RB7289" s="106"/>
      <c r="RC7289" s="106"/>
      <c r="RD7289" s="106"/>
      <c r="RE7289" s="106"/>
      <c r="RF7289" s="106"/>
      <c r="RG7289" s="106"/>
      <c r="RH7289" s="106"/>
      <c r="RI7289" s="106"/>
      <c r="RJ7289" s="106"/>
      <c r="RK7289" s="106"/>
      <c r="RL7289" s="106"/>
    </row>
    <row r="7290" spans="462:480" x14ac:dyDescent="0.3">
      <c r="QT7290" s="106"/>
      <c r="QU7290" s="106"/>
      <c r="QV7290" s="106"/>
      <c r="QW7290" s="106"/>
      <c r="QX7290" s="106"/>
      <c r="QY7290" s="106"/>
      <c r="QZ7290" s="106"/>
      <c r="RA7290" s="106"/>
      <c r="RB7290" s="106"/>
      <c r="RC7290" s="106"/>
      <c r="RD7290" s="106"/>
      <c r="RE7290" s="106"/>
      <c r="RF7290" s="106"/>
      <c r="RG7290" s="106"/>
      <c r="RH7290" s="106"/>
      <c r="RI7290" s="106"/>
      <c r="RJ7290" s="106"/>
      <c r="RK7290" s="106"/>
      <c r="RL7290" s="106"/>
    </row>
    <row r="7291" spans="462:480" x14ac:dyDescent="0.3">
      <c r="QT7291" s="106"/>
      <c r="QU7291" s="106"/>
      <c r="QV7291" s="106"/>
      <c r="QW7291" s="106"/>
      <c r="QX7291" s="106"/>
      <c r="QY7291" s="106"/>
      <c r="QZ7291" s="106"/>
      <c r="RA7291" s="106"/>
      <c r="RB7291" s="106"/>
      <c r="RC7291" s="106"/>
      <c r="RD7291" s="106"/>
      <c r="RE7291" s="106"/>
      <c r="RF7291" s="106"/>
      <c r="RG7291" s="106"/>
      <c r="RH7291" s="106"/>
      <c r="RI7291" s="106"/>
      <c r="RJ7291" s="106"/>
      <c r="RK7291" s="106"/>
      <c r="RL7291" s="106"/>
    </row>
    <row r="7292" spans="462:480" x14ac:dyDescent="0.3">
      <c r="QT7292" s="106"/>
      <c r="QU7292" s="106"/>
      <c r="QV7292" s="106"/>
      <c r="QW7292" s="106"/>
      <c r="QX7292" s="106"/>
      <c r="QY7292" s="106"/>
      <c r="QZ7292" s="106"/>
      <c r="RA7292" s="106"/>
      <c r="RB7292" s="106"/>
      <c r="RC7292" s="106"/>
      <c r="RD7292" s="106"/>
      <c r="RE7292" s="106"/>
      <c r="RF7292" s="106"/>
      <c r="RG7292" s="106"/>
      <c r="RH7292" s="106"/>
      <c r="RI7292" s="106"/>
      <c r="RJ7292" s="106"/>
      <c r="RK7292" s="106"/>
      <c r="RL7292" s="106"/>
    </row>
    <row r="7293" spans="462:480" x14ac:dyDescent="0.3">
      <c r="QT7293" s="106"/>
      <c r="QU7293" s="106"/>
      <c r="QV7293" s="106"/>
      <c r="QW7293" s="106"/>
      <c r="QX7293" s="106"/>
      <c r="QY7293" s="106"/>
      <c r="QZ7293" s="106"/>
      <c r="RA7293" s="106"/>
      <c r="RB7293" s="106"/>
      <c r="RC7293" s="106"/>
      <c r="RD7293" s="106"/>
      <c r="RE7293" s="106"/>
      <c r="RF7293" s="106"/>
      <c r="RG7293" s="106"/>
      <c r="RH7293" s="106"/>
      <c r="RI7293" s="106"/>
      <c r="RJ7293" s="106"/>
      <c r="RK7293" s="106"/>
      <c r="RL7293" s="106"/>
    </row>
    <row r="7294" spans="462:480" x14ac:dyDescent="0.3">
      <c r="QT7294" s="106"/>
      <c r="QU7294" s="106"/>
      <c r="QV7294" s="106"/>
      <c r="QW7294" s="106"/>
      <c r="QX7294" s="106"/>
      <c r="QY7294" s="106"/>
      <c r="QZ7294" s="106"/>
      <c r="RA7294" s="106"/>
      <c r="RB7294" s="106"/>
      <c r="RC7294" s="106"/>
      <c r="RD7294" s="106"/>
      <c r="RE7294" s="106"/>
      <c r="RF7294" s="106"/>
      <c r="RG7294" s="106"/>
      <c r="RH7294" s="106"/>
      <c r="RI7294" s="106"/>
      <c r="RJ7294" s="106"/>
      <c r="RK7294" s="106"/>
      <c r="RL7294" s="106"/>
    </row>
    <row r="7295" spans="462:480" x14ac:dyDescent="0.3">
      <c r="QT7295" s="106"/>
      <c r="QU7295" s="106"/>
      <c r="QV7295" s="106"/>
      <c r="QW7295" s="106"/>
      <c r="QX7295" s="106"/>
      <c r="QY7295" s="106"/>
      <c r="QZ7295" s="106"/>
      <c r="RA7295" s="106"/>
      <c r="RB7295" s="106"/>
      <c r="RC7295" s="106"/>
      <c r="RD7295" s="106"/>
      <c r="RE7295" s="106"/>
      <c r="RF7295" s="106"/>
      <c r="RG7295" s="106"/>
      <c r="RH7295" s="106"/>
      <c r="RI7295" s="106"/>
      <c r="RJ7295" s="106"/>
      <c r="RK7295" s="106"/>
      <c r="RL7295" s="106"/>
    </row>
    <row r="7296" spans="462:480" x14ac:dyDescent="0.3">
      <c r="QT7296" s="106"/>
      <c r="QU7296" s="106"/>
      <c r="QV7296" s="106"/>
      <c r="QW7296" s="106"/>
      <c r="QX7296" s="106"/>
      <c r="QY7296" s="106"/>
      <c r="QZ7296" s="106"/>
      <c r="RA7296" s="106"/>
      <c r="RB7296" s="106"/>
      <c r="RC7296" s="106"/>
      <c r="RD7296" s="106"/>
      <c r="RE7296" s="106"/>
      <c r="RF7296" s="106"/>
      <c r="RG7296" s="106"/>
      <c r="RH7296" s="106"/>
      <c r="RI7296" s="106"/>
      <c r="RJ7296" s="106"/>
      <c r="RK7296" s="106"/>
      <c r="RL7296" s="106"/>
    </row>
    <row r="7297" spans="462:480" x14ac:dyDescent="0.3">
      <c r="QT7297" s="106"/>
      <c r="QU7297" s="106"/>
      <c r="QV7297" s="106"/>
      <c r="QW7297" s="106"/>
      <c r="QX7297" s="106"/>
      <c r="QY7297" s="106"/>
      <c r="QZ7297" s="106"/>
      <c r="RA7297" s="106"/>
      <c r="RB7297" s="106"/>
      <c r="RC7297" s="106"/>
      <c r="RD7297" s="106"/>
      <c r="RE7297" s="106"/>
      <c r="RF7297" s="106"/>
      <c r="RG7297" s="106"/>
      <c r="RH7297" s="106"/>
      <c r="RI7297" s="106"/>
      <c r="RJ7297" s="106"/>
      <c r="RK7297" s="106"/>
      <c r="RL7297" s="106"/>
    </row>
    <row r="7298" spans="462:480" x14ac:dyDescent="0.3">
      <c r="QT7298" s="106"/>
      <c r="QU7298" s="106"/>
      <c r="QV7298" s="106"/>
      <c r="QW7298" s="106"/>
      <c r="QX7298" s="106"/>
      <c r="QY7298" s="106"/>
      <c r="QZ7298" s="106"/>
      <c r="RA7298" s="106"/>
      <c r="RB7298" s="106"/>
      <c r="RC7298" s="106"/>
      <c r="RD7298" s="106"/>
      <c r="RE7298" s="106"/>
      <c r="RF7298" s="106"/>
      <c r="RG7298" s="106"/>
      <c r="RH7298" s="106"/>
      <c r="RI7298" s="106"/>
      <c r="RJ7298" s="106"/>
      <c r="RK7298" s="106"/>
      <c r="RL7298" s="106"/>
    </row>
    <row r="7299" spans="462:480" x14ac:dyDescent="0.3">
      <c r="QT7299" s="106"/>
      <c r="QU7299" s="106"/>
      <c r="QV7299" s="106"/>
      <c r="QW7299" s="106"/>
      <c r="QX7299" s="106"/>
      <c r="QY7299" s="106"/>
      <c r="QZ7299" s="106"/>
      <c r="RA7299" s="106"/>
      <c r="RB7299" s="106"/>
      <c r="RC7299" s="106"/>
      <c r="RD7299" s="106"/>
      <c r="RE7299" s="106"/>
      <c r="RF7299" s="106"/>
      <c r="RG7299" s="106"/>
      <c r="RH7299" s="106"/>
      <c r="RI7299" s="106"/>
      <c r="RJ7299" s="106"/>
      <c r="RK7299" s="106"/>
      <c r="RL7299" s="106"/>
    </row>
    <row r="7300" spans="462:480" x14ac:dyDescent="0.3">
      <c r="QT7300" s="106"/>
      <c r="QU7300" s="106"/>
      <c r="QV7300" s="106"/>
      <c r="QW7300" s="106"/>
      <c r="QX7300" s="106"/>
      <c r="QY7300" s="106"/>
      <c r="QZ7300" s="106"/>
      <c r="RA7300" s="106"/>
      <c r="RB7300" s="106"/>
      <c r="RC7300" s="106"/>
      <c r="RD7300" s="106"/>
      <c r="RE7300" s="106"/>
      <c r="RF7300" s="106"/>
      <c r="RG7300" s="106"/>
      <c r="RH7300" s="106"/>
      <c r="RI7300" s="106"/>
      <c r="RJ7300" s="106"/>
      <c r="RK7300" s="106"/>
      <c r="RL7300" s="106"/>
    </row>
    <row r="7301" spans="462:480" x14ac:dyDescent="0.3">
      <c r="QT7301" s="106"/>
      <c r="QU7301" s="106"/>
      <c r="QV7301" s="106"/>
      <c r="QW7301" s="106"/>
      <c r="QX7301" s="106"/>
      <c r="QY7301" s="106"/>
      <c r="QZ7301" s="106"/>
      <c r="RA7301" s="106"/>
      <c r="RB7301" s="106"/>
      <c r="RC7301" s="106"/>
      <c r="RD7301" s="106"/>
      <c r="RE7301" s="106"/>
      <c r="RF7301" s="106"/>
      <c r="RG7301" s="106"/>
      <c r="RH7301" s="106"/>
      <c r="RI7301" s="106"/>
      <c r="RJ7301" s="106"/>
      <c r="RK7301" s="106"/>
      <c r="RL7301" s="106"/>
    </row>
    <row r="7302" spans="462:480" x14ac:dyDescent="0.3">
      <c r="QT7302" s="106"/>
      <c r="QU7302" s="106"/>
      <c r="QV7302" s="106"/>
      <c r="QW7302" s="106"/>
      <c r="QX7302" s="106"/>
      <c r="QY7302" s="106"/>
      <c r="QZ7302" s="106"/>
      <c r="RA7302" s="106"/>
      <c r="RB7302" s="106"/>
      <c r="RC7302" s="106"/>
      <c r="RD7302" s="106"/>
      <c r="RE7302" s="106"/>
      <c r="RF7302" s="106"/>
      <c r="RG7302" s="106"/>
      <c r="RH7302" s="106"/>
      <c r="RI7302" s="106"/>
      <c r="RJ7302" s="106"/>
      <c r="RK7302" s="106"/>
      <c r="RL7302" s="106"/>
    </row>
    <row r="7303" spans="462:480" x14ac:dyDescent="0.3">
      <c r="QT7303" s="106"/>
      <c r="QU7303" s="106"/>
      <c r="QV7303" s="106"/>
      <c r="QW7303" s="106"/>
      <c r="QX7303" s="106"/>
      <c r="QY7303" s="106"/>
      <c r="QZ7303" s="106"/>
      <c r="RA7303" s="106"/>
      <c r="RB7303" s="106"/>
      <c r="RC7303" s="106"/>
      <c r="RD7303" s="106"/>
      <c r="RE7303" s="106"/>
      <c r="RF7303" s="106"/>
      <c r="RG7303" s="106"/>
      <c r="RH7303" s="106"/>
      <c r="RI7303" s="106"/>
      <c r="RJ7303" s="106"/>
      <c r="RK7303" s="106"/>
      <c r="RL7303" s="106"/>
    </row>
    <row r="7304" spans="462:480" x14ac:dyDescent="0.3">
      <c r="QT7304" s="106"/>
      <c r="QU7304" s="106"/>
      <c r="QV7304" s="106"/>
      <c r="QW7304" s="106"/>
      <c r="QX7304" s="106"/>
      <c r="QY7304" s="106"/>
      <c r="QZ7304" s="106"/>
      <c r="RA7304" s="106"/>
      <c r="RB7304" s="106"/>
      <c r="RC7304" s="106"/>
      <c r="RD7304" s="106"/>
      <c r="RE7304" s="106"/>
      <c r="RF7304" s="106"/>
      <c r="RG7304" s="106"/>
      <c r="RH7304" s="106"/>
      <c r="RI7304" s="106"/>
      <c r="RJ7304" s="106"/>
      <c r="RK7304" s="106"/>
      <c r="RL7304" s="106"/>
    </row>
    <row r="7305" spans="462:480" x14ac:dyDescent="0.3">
      <c r="QT7305" s="106"/>
      <c r="QU7305" s="106"/>
      <c r="QV7305" s="106"/>
      <c r="QW7305" s="106"/>
      <c r="QX7305" s="106"/>
      <c r="QY7305" s="106"/>
      <c r="QZ7305" s="106"/>
      <c r="RA7305" s="106"/>
      <c r="RB7305" s="106"/>
      <c r="RC7305" s="106"/>
      <c r="RD7305" s="106"/>
      <c r="RE7305" s="106"/>
      <c r="RF7305" s="106"/>
      <c r="RG7305" s="106"/>
      <c r="RH7305" s="106"/>
      <c r="RI7305" s="106"/>
      <c r="RJ7305" s="106"/>
      <c r="RK7305" s="106"/>
      <c r="RL7305" s="106"/>
    </row>
    <row r="7306" spans="462:480" x14ac:dyDescent="0.3">
      <c r="QT7306" s="106"/>
      <c r="QU7306" s="106"/>
      <c r="QV7306" s="106"/>
      <c r="QW7306" s="106"/>
      <c r="QX7306" s="106"/>
      <c r="QY7306" s="106"/>
      <c r="QZ7306" s="106"/>
      <c r="RA7306" s="106"/>
      <c r="RB7306" s="106"/>
      <c r="RC7306" s="106"/>
      <c r="RD7306" s="106"/>
      <c r="RE7306" s="106"/>
      <c r="RF7306" s="106"/>
      <c r="RG7306" s="106"/>
      <c r="RH7306" s="106"/>
      <c r="RI7306" s="106"/>
      <c r="RJ7306" s="106"/>
      <c r="RK7306" s="106"/>
      <c r="RL7306" s="106"/>
    </row>
    <row r="7307" spans="462:480" x14ac:dyDescent="0.3">
      <c r="QT7307" s="106"/>
      <c r="QU7307" s="106"/>
      <c r="QV7307" s="106"/>
      <c r="QW7307" s="106"/>
      <c r="QX7307" s="106"/>
      <c r="QY7307" s="106"/>
      <c r="QZ7307" s="106"/>
      <c r="RA7307" s="106"/>
      <c r="RB7307" s="106"/>
      <c r="RC7307" s="106"/>
      <c r="RD7307" s="106"/>
      <c r="RE7307" s="106"/>
      <c r="RF7307" s="106"/>
      <c r="RG7307" s="106"/>
      <c r="RH7307" s="106"/>
      <c r="RI7307" s="106"/>
      <c r="RJ7307" s="106"/>
      <c r="RK7307" s="106"/>
      <c r="RL7307" s="106"/>
    </row>
    <row r="7308" spans="462:480" x14ac:dyDescent="0.3">
      <c r="QT7308" s="106"/>
      <c r="QU7308" s="106"/>
      <c r="QV7308" s="106"/>
      <c r="QW7308" s="106"/>
      <c r="QX7308" s="106"/>
      <c r="QY7308" s="106"/>
      <c r="QZ7308" s="106"/>
      <c r="RA7308" s="106"/>
      <c r="RB7308" s="106"/>
      <c r="RC7308" s="106"/>
      <c r="RD7308" s="106"/>
      <c r="RE7308" s="106"/>
      <c r="RF7308" s="106"/>
      <c r="RG7308" s="106"/>
      <c r="RH7308" s="106"/>
      <c r="RI7308" s="106"/>
      <c r="RJ7308" s="106"/>
      <c r="RK7308" s="106"/>
      <c r="RL7308" s="106"/>
    </row>
    <row r="7309" spans="462:480" x14ac:dyDescent="0.3">
      <c r="QT7309" s="106"/>
      <c r="QU7309" s="106"/>
      <c r="QV7309" s="106"/>
      <c r="QW7309" s="106"/>
      <c r="QX7309" s="106"/>
      <c r="QY7309" s="106"/>
      <c r="QZ7309" s="106"/>
      <c r="RA7309" s="106"/>
      <c r="RB7309" s="106"/>
      <c r="RC7309" s="106"/>
      <c r="RD7309" s="106"/>
      <c r="RE7309" s="106"/>
      <c r="RF7309" s="106"/>
      <c r="RG7309" s="106"/>
      <c r="RH7309" s="106"/>
      <c r="RI7309" s="106"/>
      <c r="RJ7309" s="106"/>
      <c r="RK7309" s="106"/>
      <c r="RL7309" s="106"/>
    </row>
    <row r="7310" spans="462:480" x14ac:dyDescent="0.3">
      <c r="QT7310" s="106"/>
      <c r="QU7310" s="106"/>
      <c r="QV7310" s="106"/>
      <c r="QW7310" s="106"/>
      <c r="QX7310" s="106"/>
      <c r="QY7310" s="106"/>
      <c r="QZ7310" s="106"/>
      <c r="RA7310" s="106"/>
      <c r="RB7310" s="106"/>
      <c r="RC7310" s="106"/>
      <c r="RD7310" s="106"/>
      <c r="RE7310" s="106"/>
      <c r="RF7310" s="106"/>
      <c r="RG7310" s="106"/>
      <c r="RH7310" s="106"/>
      <c r="RI7310" s="106"/>
      <c r="RJ7310" s="106"/>
      <c r="RK7310" s="106"/>
      <c r="RL7310" s="106"/>
    </row>
    <row r="7311" spans="462:480" x14ac:dyDescent="0.3">
      <c r="QT7311" s="106"/>
      <c r="QU7311" s="106"/>
      <c r="QV7311" s="106"/>
      <c r="QW7311" s="106"/>
      <c r="QX7311" s="106"/>
      <c r="QY7311" s="106"/>
      <c r="QZ7311" s="106"/>
      <c r="RA7311" s="106"/>
      <c r="RB7311" s="106"/>
      <c r="RC7311" s="106"/>
      <c r="RD7311" s="106"/>
      <c r="RE7311" s="106"/>
      <c r="RF7311" s="106"/>
      <c r="RG7311" s="106"/>
      <c r="RH7311" s="106"/>
      <c r="RI7311" s="106"/>
      <c r="RJ7311" s="106"/>
      <c r="RK7311" s="106"/>
      <c r="RL7311" s="106"/>
    </row>
    <row r="7312" spans="462:480" x14ac:dyDescent="0.3">
      <c r="QT7312" s="106"/>
      <c r="QU7312" s="106"/>
      <c r="QV7312" s="106"/>
      <c r="QW7312" s="106"/>
      <c r="QX7312" s="106"/>
      <c r="QY7312" s="106"/>
      <c r="QZ7312" s="106"/>
      <c r="RA7312" s="106"/>
      <c r="RB7312" s="106"/>
      <c r="RC7312" s="106"/>
      <c r="RD7312" s="106"/>
      <c r="RE7312" s="106"/>
      <c r="RF7312" s="106"/>
      <c r="RG7312" s="106"/>
      <c r="RH7312" s="106"/>
      <c r="RI7312" s="106"/>
      <c r="RJ7312" s="106"/>
      <c r="RK7312" s="106"/>
      <c r="RL7312" s="106"/>
    </row>
    <row r="7313" spans="462:480" x14ac:dyDescent="0.3">
      <c r="QT7313" s="106"/>
      <c r="QU7313" s="106"/>
      <c r="QV7313" s="106"/>
      <c r="QW7313" s="106"/>
      <c r="QX7313" s="106"/>
      <c r="QY7313" s="106"/>
      <c r="QZ7313" s="106"/>
      <c r="RA7313" s="106"/>
      <c r="RB7313" s="106"/>
      <c r="RC7313" s="106"/>
      <c r="RD7313" s="106"/>
      <c r="RE7313" s="106"/>
      <c r="RF7313" s="106"/>
      <c r="RG7313" s="106"/>
      <c r="RH7313" s="106"/>
      <c r="RI7313" s="106"/>
      <c r="RJ7313" s="106"/>
      <c r="RK7313" s="106"/>
      <c r="RL7313" s="106"/>
    </row>
    <row r="7314" spans="462:480" x14ac:dyDescent="0.3">
      <c r="QT7314" s="106"/>
      <c r="QU7314" s="106"/>
      <c r="QV7314" s="106"/>
      <c r="QW7314" s="106"/>
      <c r="QX7314" s="106"/>
      <c r="QY7314" s="106"/>
      <c r="QZ7314" s="106"/>
      <c r="RA7314" s="106"/>
      <c r="RB7314" s="106"/>
      <c r="RC7314" s="106"/>
      <c r="RD7314" s="106"/>
      <c r="RE7314" s="106"/>
      <c r="RF7314" s="106"/>
      <c r="RG7314" s="106"/>
      <c r="RH7314" s="106"/>
      <c r="RI7314" s="106"/>
      <c r="RJ7314" s="106"/>
      <c r="RK7314" s="106"/>
      <c r="RL7314" s="106"/>
    </row>
    <row r="7315" spans="462:480" x14ac:dyDescent="0.3">
      <c r="QT7315" s="106"/>
      <c r="QU7315" s="106"/>
      <c r="QV7315" s="106"/>
      <c r="QW7315" s="106"/>
      <c r="QX7315" s="106"/>
      <c r="QY7315" s="106"/>
      <c r="QZ7315" s="106"/>
      <c r="RA7315" s="106"/>
      <c r="RB7315" s="106"/>
      <c r="RC7315" s="106"/>
      <c r="RD7315" s="106"/>
      <c r="RE7315" s="106"/>
      <c r="RF7315" s="106"/>
      <c r="RG7315" s="106"/>
      <c r="RH7315" s="106"/>
      <c r="RI7315" s="106"/>
      <c r="RJ7315" s="106"/>
      <c r="RK7315" s="106"/>
      <c r="RL7315" s="106"/>
    </row>
    <row r="7316" spans="462:480" x14ac:dyDescent="0.3">
      <c r="QT7316" s="106"/>
      <c r="QU7316" s="106"/>
      <c r="QV7316" s="106"/>
      <c r="QW7316" s="106"/>
      <c r="QX7316" s="106"/>
      <c r="QY7316" s="106"/>
      <c r="QZ7316" s="106"/>
      <c r="RA7316" s="106"/>
      <c r="RB7316" s="106"/>
      <c r="RC7316" s="106"/>
      <c r="RD7316" s="106"/>
      <c r="RE7316" s="106"/>
      <c r="RF7316" s="106"/>
      <c r="RG7316" s="106"/>
      <c r="RH7316" s="106"/>
      <c r="RI7316" s="106"/>
      <c r="RJ7316" s="106"/>
      <c r="RK7316" s="106"/>
      <c r="RL7316" s="106"/>
    </row>
    <row r="7317" spans="462:480" x14ac:dyDescent="0.3">
      <c r="QT7317" s="106"/>
      <c r="QU7317" s="106"/>
      <c r="QV7317" s="106"/>
      <c r="QW7317" s="106"/>
      <c r="QX7317" s="106"/>
      <c r="QY7317" s="106"/>
      <c r="QZ7317" s="106"/>
      <c r="RA7317" s="106"/>
      <c r="RB7317" s="106"/>
      <c r="RC7317" s="106"/>
      <c r="RD7317" s="106"/>
      <c r="RE7317" s="106"/>
      <c r="RF7317" s="106"/>
      <c r="RG7317" s="106"/>
      <c r="RH7317" s="106"/>
      <c r="RI7317" s="106"/>
      <c r="RJ7317" s="106"/>
      <c r="RK7317" s="106"/>
      <c r="RL7317" s="106"/>
    </row>
    <row r="7318" spans="462:480" x14ac:dyDescent="0.3">
      <c r="QT7318" s="106"/>
      <c r="QU7318" s="106"/>
      <c r="QV7318" s="106"/>
      <c r="QW7318" s="106"/>
      <c r="QX7318" s="106"/>
      <c r="QY7318" s="106"/>
      <c r="QZ7318" s="106"/>
      <c r="RA7318" s="106"/>
      <c r="RB7318" s="106"/>
      <c r="RC7318" s="106"/>
      <c r="RD7318" s="106"/>
      <c r="RE7318" s="106"/>
      <c r="RF7318" s="106"/>
      <c r="RG7318" s="106"/>
      <c r="RH7318" s="106"/>
      <c r="RI7318" s="106"/>
      <c r="RJ7318" s="106"/>
      <c r="RK7318" s="106"/>
      <c r="RL7318" s="106"/>
    </row>
    <row r="7319" spans="462:480" x14ac:dyDescent="0.3">
      <c r="QT7319" s="106"/>
      <c r="QU7319" s="106"/>
      <c r="QV7319" s="106"/>
      <c r="QW7319" s="106"/>
      <c r="QX7319" s="106"/>
      <c r="QY7319" s="106"/>
      <c r="QZ7319" s="106"/>
      <c r="RA7319" s="106"/>
      <c r="RB7319" s="106"/>
      <c r="RC7319" s="106"/>
      <c r="RD7319" s="106"/>
      <c r="RE7319" s="106"/>
      <c r="RF7319" s="106"/>
      <c r="RG7319" s="106"/>
      <c r="RH7319" s="106"/>
      <c r="RI7319" s="106"/>
      <c r="RJ7319" s="106"/>
      <c r="RK7319" s="106"/>
      <c r="RL7319" s="106"/>
    </row>
    <row r="7320" spans="462:480" x14ac:dyDescent="0.3">
      <c r="QT7320" s="106"/>
      <c r="QU7320" s="106"/>
      <c r="QV7320" s="106"/>
      <c r="QW7320" s="106"/>
      <c r="QX7320" s="106"/>
      <c r="QY7320" s="106"/>
      <c r="QZ7320" s="106"/>
      <c r="RA7320" s="106"/>
      <c r="RB7320" s="106"/>
      <c r="RC7320" s="106"/>
      <c r="RD7320" s="106"/>
      <c r="RE7320" s="106"/>
      <c r="RF7320" s="106"/>
      <c r="RG7320" s="106"/>
      <c r="RH7320" s="106"/>
      <c r="RI7320" s="106"/>
      <c r="RJ7320" s="106"/>
      <c r="RK7320" s="106"/>
      <c r="RL7320" s="106"/>
    </row>
    <row r="7321" spans="462:480" x14ac:dyDescent="0.3">
      <c r="QT7321" s="106"/>
      <c r="QU7321" s="106"/>
      <c r="QV7321" s="106"/>
      <c r="QW7321" s="106"/>
      <c r="QX7321" s="106"/>
      <c r="QY7321" s="106"/>
      <c r="QZ7321" s="106"/>
      <c r="RA7321" s="106"/>
      <c r="RB7321" s="106"/>
      <c r="RC7321" s="106"/>
      <c r="RD7321" s="106"/>
      <c r="RE7321" s="106"/>
      <c r="RF7321" s="106"/>
      <c r="RG7321" s="106"/>
      <c r="RH7321" s="106"/>
      <c r="RI7321" s="106"/>
      <c r="RJ7321" s="106"/>
      <c r="RK7321" s="106"/>
      <c r="RL7321" s="106"/>
    </row>
    <row r="7322" spans="462:480" x14ac:dyDescent="0.3">
      <c r="QT7322" s="106"/>
      <c r="QU7322" s="106"/>
      <c r="QV7322" s="106"/>
      <c r="QW7322" s="106"/>
      <c r="QX7322" s="106"/>
      <c r="QY7322" s="106"/>
      <c r="QZ7322" s="106"/>
      <c r="RA7322" s="106"/>
      <c r="RB7322" s="106"/>
      <c r="RC7322" s="106"/>
      <c r="RD7322" s="106"/>
      <c r="RE7322" s="106"/>
      <c r="RF7322" s="106"/>
      <c r="RG7322" s="106"/>
      <c r="RH7322" s="106"/>
      <c r="RI7322" s="106"/>
      <c r="RJ7322" s="106"/>
      <c r="RK7322" s="106"/>
      <c r="RL7322" s="106"/>
    </row>
    <row r="7323" spans="462:480" x14ac:dyDescent="0.3">
      <c r="QT7323" s="106"/>
      <c r="QU7323" s="106"/>
      <c r="QV7323" s="106"/>
      <c r="QW7323" s="106"/>
      <c r="QX7323" s="106"/>
      <c r="QY7323" s="106"/>
      <c r="QZ7323" s="106"/>
      <c r="RA7323" s="106"/>
      <c r="RB7323" s="106"/>
      <c r="RC7323" s="106"/>
      <c r="RD7323" s="106"/>
      <c r="RE7323" s="106"/>
      <c r="RF7323" s="106"/>
      <c r="RG7323" s="106"/>
      <c r="RH7323" s="106"/>
      <c r="RI7323" s="106"/>
      <c r="RJ7323" s="106"/>
      <c r="RK7323" s="106"/>
      <c r="RL7323" s="106"/>
    </row>
    <row r="7324" spans="462:480" x14ac:dyDescent="0.3">
      <c r="QT7324" s="106"/>
      <c r="QU7324" s="106"/>
      <c r="QV7324" s="106"/>
      <c r="QW7324" s="106"/>
      <c r="QX7324" s="106"/>
      <c r="QY7324" s="106"/>
      <c r="QZ7324" s="106"/>
      <c r="RA7324" s="106"/>
      <c r="RB7324" s="106"/>
      <c r="RC7324" s="106"/>
      <c r="RD7324" s="106"/>
      <c r="RE7324" s="106"/>
      <c r="RF7324" s="106"/>
      <c r="RG7324" s="106"/>
      <c r="RH7324" s="106"/>
      <c r="RI7324" s="106"/>
      <c r="RJ7324" s="106"/>
      <c r="RK7324" s="106"/>
      <c r="RL7324" s="106"/>
    </row>
    <row r="7325" spans="462:480" x14ac:dyDescent="0.3">
      <c r="QT7325" s="106"/>
      <c r="QU7325" s="106"/>
      <c r="QV7325" s="106"/>
      <c r="QW7325" s="106"/>
      <c r="QX7325" s="106"/>
      <c r="QY7325" s="106"/>
      <c r="QZ7325" s="106"/>
      <c r="RA7325" s="106"/>
      <c r="RB7325" s="106"/>
      <c r="RC7325" s="106"/>
      <c r="RD7325" s="106"/>
      <c r="RE7325" s="106"/>
      <c r="RF7325" s="106"/>
      <c r="RG7325" s="106"/>
      <c r="RH7325" s="106"/>
      <c r="RI7325" s="106"/>
      <c r="RJ7325" s="106"/>
      <c r="RK7325" s="106"/>
      <c r="RL7325" s="106"/>
    </row>
    <row r="7326" spans="462:480" x14ac:dyDescent="0.3">
      <c r="QT7326" s="106"/>
      <c r="QU7326" s="106"/>
      <c r="QV7326" s="106"/>
      <c r="QW7326" s="106"/>
      <c r="QX7326" s="106"/>
      <c r="QY7326" s="106"/>
      <c r="QZ7326" s="106"/>
      <c r="RA7326" s="106"/>
      <c r="RB7326" s="106"/>
      <c r="RC7326" s="106"/>
      <c r="RD7326" s="106"/>
      <c r="RE7326" s="106"/>
      <c r="RF7326" s="106"/>
      <c r="RG7326" s="106"/>
      <c r="RH7326" s="106"/>
      <c r="RI7326" s="106"/>
      <c r="RJ7326" s="106"/>
      <c r="RK7326" s="106"/>
      <c r="RL7326" s="106"/>
    </row>
    <row r="7327" spans="462:480" x14ac:dyDescent="0.3">
      <c r="QT7327" s="106"/>
      <c r="QU7327" s="106"/>
      <c r="QV7327" s="106"/>
      <c r="QW7327" s="106"/>
      <c r="QX7327" s="106"/>
      <c r="QY7327" s="106"/>
      <c r="QZ7327" s="106"/>
      <c r="RA7327" s="106"/>
      <c r="RB7327" s="106"/>
      <c r="RC7327" s="106"/>
      <c r="RD7327" s="106"/>
      <c r="RE7327" s="106"/>
      <c r="RF7327" s="106"/>
      <c r="RG7327" s="106"/>
      <c r="RH7327" s="106"/>
      <c r="RI7327" s="106"/>
      <c r="RJ7327" s="106"/>
      <c r="RK7327" s="106"/>
      <c r="RL7327" s="106"/>
    </row>
    <row r="7328" spans="462:480" x14ac:dyDescent="0.3">
      <c r="QT7328" s="106"/>
      <c r="QU7328" s="106"/>
      <c r="QV7328" s="106"/>
      <c r="QW7328" s="106"/>
      <c r="QX7328" s="106"/>
      <c r="QY7328" s="106"/>
      <c r="QZ7328" s="106"/>
      <c r="RA7328" s="106"/>
      <c r="RB7328" s="106"/>
      <c r="RC7328" s="106"/>
      <c r="RD7328" s="106"/>
      <c r="RE7328" s="106"/>
      <c r="RF7328" s="106"/>
      <c r="RG7328" s="106"/>
      <c r="RH7328" s="106"/>
      <c r="RI7328" s="106"/>
      <c r="RJ7328" s="106"/>
      <c r="RK7328" s="106"/>
      <c r="RL7328" s="106"/>
    </row>
    <row r="7329" spans="462:480" x14ac:dyDescent="0.3">
      <c r="QT7329" s="106"/>
      <c r="QU7329" s="106"/>
      <c r="QV7329" s="106"/>
      <c r="QW7329" s="106"/>
      <c r="QX7329" s="106"/>
      <c r="QY7329" s="106"/>
      <c r="QZ7329" s="106"/>
      <c r="RA7329" s="106"/>
      <c r="RB7329" s="106"/>
      <c r="RC7329" s="106"/>
      <c r="RD7329" s="106"/>
      <c r="RE7329" s="106"/>
      <c r="RF7329" s="106"/>
      <c r="RG7329" s="106"/>
      <c r="RH7329" s="106"/>
      <c r="RI7329" s="106"/>
      <c r="RJ7329" s="106"/>
      <c r="RK7329" s="106"/>
      <c r="RL7329" s="106"/>
    </row>
    <row r="7330" spans="462:480" x14ac:dyDescent="0.3">
      <c r="QT7330" s="106"/>
      <c r="QU7330" s="106"/>
      <c r="QV7330" s="106"/>
      <c r="QW7330" s="106"/>
      <c r="QX7330" s="106"/>
      <c r="QY7330" s="106"/>
      <c r="QZ7330" s="106"/>
      <c r="RA7330" s="106"/>
      <c r="RB7330" s="106"/>
      <c r="RC7330" s="106"/>
      <c r="RD7330" s="106"/>
      <c r="RE7330" s="106"/>
      <c r="RF7330" s="106"/>
      <c r="RG7330" s="106"/>
      <c r="RH7330" s="106"/>
      <c r="RI7330" s="106"/>
      <c r="RJ7330" s="106"/>
      <c r="RK7330" s="106"/>
      <c r="RL7330" s="106"/>
    </row>
    <row r="7331" spans="462:480" x14ac:dyDescent="0.3">
      <c r="QT7331" s="106"/>
      <c r="QU7331" s="106"/>
      <c r="QV7331" s="106"/>
      <c r="QW7331" s="106"/>
      <c r="QX7331" s="106"/>
      <c r="QY7331" s="106"/>
      <c r="QZ7331" s="106"/>
      <c r="RA7331" s="106"/>
      <c r="RB7331" s="106"/>
      <c r="RC7331" s="106"/>
      <c r="RD7331" s="106"/>
      <c r="RE7331" s="106"/>
      <c r="RF7331" s="106"/>
      <c r="RG7331" s="106"/>
      <c r="RH7331" s="106"/>
      <c r="RI7331" s="106"/>
      <c r="RJ7331" s="106"/>
      <c r="RK7331" s="106"/>
      <c r="RL7331" s="106"/>
    </row>
    <row r="7332" spans="462:480" x14ac:dyDescent="0.3">
      <c r="QT7332" s="106"/>
      <c r="QU7332" s="106"/>
      <c r="QV7332" s="106"/>
      <c r="QW7332" s="106"/>
      <c r="QX7332" s="106"/>
      <c r="QY7332" s="106"/>
      <c r="QZ7332" s="106"/>
      <c r="RA7332" s="106"/>
      <c r="RB7332" s="106"/>
      <c r="RC7332" s="106"/>
      <c r="RD7332" s="106"/>
      <c r="RE7332" s="106"/>
      <c r="RF7332" s="106"/>
      <c r="RG7332" s="106"/>
      <c r="RH7332" s="106"/>
      <c r="RI7332" s="106"/>
      <c r="RJ7332" s="106"/>
      <c r="RK7332" s="106"/>
      <c r="RL7332" s="106"/>
    </row>
    <row r="7333" spans="462:480" x14ac:dyDescent="0.3">
      <c r="QT7333" s="106"/>
      <c r="QU7333" s="106"/>
      <c r="QV7333" s="106"/>
      <c r="QW7333" s="106"/>
      <c r="QX7333" s="106"/>
      <c r="QY7333" s="106"/>
      <c r="QZ7333" s="106"/>
      <c r="RA7333" s="106"/>
      <c r="RB7333" s="106"/>
      <c r="RC7333" s="106"/>
      <c r="RD7333" s="106"/>
      <c r="RE7333" s="106"/>
      <c r="RF7333" s="106"/>
      <c r="RG7333" s="106"/>
      <c r="RH7333" s="106"/>
      <c r="RI7333" s="106"/>
      <c r="RJ7333" s="106"/>
      <c r="RK7333" s="106"/>
      <c r="RL7333" s="106"/>
    </row>
    <row r="7334" spans="462:480" x14ac:dyDescent="0.3">
      <c r="QT7334" s="106"/>
      <c r="QU7334" s="106"/>
      <c r="QV7334" s="106"/>
      <c r="QW7334" s="106"/>
      <c r="QX7334" s="106"/>
      <c r="QY7334" s="106"/>
      <c r="QZ7334" s="106"/>
      <c r="RA7334" s="106"/>
      <c r="RB7334" s="106"/>
      <c r="RC7334" s="106"/>
      <c r="RD7334" s="106"/>
      <c r="RE7334" s="106"/>
      <c r="RF7334" s="106"/>
      <c r="RG7334" s="106"/>
      <c r="RH7334" s="106"/>
      <c r="RI7334" s="106"/>
      <c r="RJ7334" s="106"/>
      <c r="RK7334" s="106"/>
      <c r="RL7334" s="106"/>
    </row>
    <row r="7335" spans="462:480" x14ac:dyDescent="0.3">
      <c r="QT7335" s="106"/>
      <c r="QU7335" s="106"/>
      <c r="QV7335" s="106"/>
      <c r="QW7335" s="106"/>
      <c r="QX7335" s="106"/>
      <c r="QY7335" s="106"/>
      <c r="QZ7335" s="106"/>
      <c r="RA7335" s="106"/>
      <c r="RB7335" s="106"/>
      <c r="RC7335" s="106"/>
      <c r="RD7335" s="106"/>
      <c r="RE7335" s="106"/>
      <c r="RF7335" s="106"/>
      <c r="RG7335" s="106"/>
      <c r="RH7335" s="106"/>
      <c r="RI7335" s="106"/>
      <c r="RJ7335" s="106"/>
      <c r="RK7335" s="106"/>
      <c r="RL7335" s="106"/>
    </row>
    <row r="7336" spans="462:480" x14ac:dyDescent="0.3">
      <c r="QT7336" s="106"/>
      <c r="QU7336" s="106"/>
      <c r="QV7336" s="106"/>
      <c r="QW7336" s="106"/>
      <c r="QX7336" s="106"/>
      <c r="QY7336" s="106"/>
      <c r="QZ7336" s="106"/>
      <c r="RA7336" s="106"/>
      <c r="RB7336" s="106"/>
      <c r="RC7336" s="106"/>
      <c r="RD7336" s="106"/>
      <c r="RE7336" s="106"/>
      <c r="RF7336" s="106"/>
      <c r="RG7336" s="106"/>
      <c r="RH7336" s="106"/>
      <c r="RI7336" s="106"/>
      <c r="RJ7336" s="106"/>
      <c r="RK7336" s="106"/>
      <c r="RL7336" s="106"/>
    </row>
    <row r="7337" spans="462:480" x14ac:dyDescent="0.3">
      <c r="QT7337" s="106"/>
      <c r="QU7337" s="106"/>
      <c r="QV7337" s="106"/>
      <c r="QW7337" s="106"/>
      <c r="QX7337" s="106"/>
      <c r="QY7337" s="106"/>
      <c r="QZ7337" s="106"/>
      <c r="RA7337" s="106"/>
      <c r="RB7337" s="106"/>
      <c r="RC7337" s="106"/>
      <c r="RD7337" s="106"/>
      <c r="RE7337" s="106"/>
      <c r="RF7337" s="106"/>
      <c r="RG7337" s="106"/>
      <c r="RH7337" s="106"/>
      <c r="RI7337" s="106"/>
      <c r="RJ7337" s="106"/>
      <c r="RK7337" s="106"/>
      <c r="RL7337" s="106"/>
    </row>
    <row r="7338" spans="462:480" x14ac:dyDescent="0.3">
      <c r="QT7338" s="106"/>
      <c r="QU7338" s="106"/>
      <c r="QV7338" s="106"/>
      <c r="QW7338" s="106"/>
      <c r="QX7338" s="106"/>
      <c r="QY7338" s="106"/>
      <c r="QZ7338" s="106"/>
      <c r="RA7338" s="106"/>
      <c r="RB7338" s="106"/>
      <c r="RC7338" s="106"/>
      <c r="RD7338" s="106"/>
      <c r="RE7338" s="106"/>
      <c r="RF7338" s="106"/>
      <c r="RG7338" s="106"/>
      <c r="RH7338" s="106"/>
      <c r="RI7338" s="106"/>
      <c r="RJ7338" s="106"/>
      <c r="RK7338" s="106"/>
      <c r="RL7338" s="106"/>
    </row>
    <row r="7339" spans="462:480" x14ac:dyDescent="0.3">
      <c r="QT7339" s="106"/>
      <c r="QU7339" s="106"/>
      <c r="QV7339" s="106"/>
      <c r="QW7339" s="106"/>
      <c r="QX7339" s="106"/>
      <c r="QY7339" s="106"/>
      <c r="QZ7339" s="106"/>
      <c r="RA7339" s="106"/>
      <c r="RB7339" s="106"/>
      <c r="RC7339" s="106"/>
      <c r="RD7339" s="106"/>
      <c r="RE7339" s="106"/>
      <c r="RF7339" s="106"/>
      <c r="RG7339" s="106"/>
      <c r="RH7339" s="106"/>
      <c r="RI7339" s="106"/>
      <c r="RJ7339" s="106"/>
      <c r="RK7339" s="106"/>
      <c r="RL7339" s="106"/>
    </row>
    <row r="7340" spans="462:480" x14ac:dyDescent="0.3">
      <c r="QT7340" s="106"/>
      <c r="QU7340" s="106"/>
      <c r="QV7340" s="106"/>
      <c r="QW7340" s="106"/>
      <c r="QX7340" s="106"/>
      <c r="QY7340" s="106"/>
      <c r="QZ7340" s="106"/>
      <c r="RA7340" s="106"/>
      <c r="RB7340" s="106"/>
      <c r="RC7340" s="106"/>
      <c r="RD7340" s="106"/>
      <c r="RE7340" s="106"/>
      <c r="RF7340" s="106"/>
      <c r="RG7340" s="106"/>
      <c r="RH7340" s="106"/>
      <c r="RI7340" s="106"/>
      <c r="RJ7340" s="106"/>
      <c r="RK7340" s="106"/>
      <c r="RL7340" s="106"/>
    </row>
    <row r="7341" spans="462:480" x14ac:dyDescent="0.3">
      <c r="QT7341" s="106"/>
      <c r="QU7341" s="106"/>
      <c r="QV7341" s="106"/>
      <c r="QW7341" s="106"/>
      <c r="QX7341" s="106"/>
      <c r="QY7341" s="106"/>
      <c r="QZ7341" s="106"/>
      <c r="RA7341" s="106"/>
      <c r="RB7341" s="106"/>
      <c r="RC7341" s="106"/>
      <c r="RD7341" s="106"/>
      <c r="RE7341" s="106"/>
      <c r="RF7341" s="106"/>
      <c r="RG7341" s="106"/>
      <c r="RH7341" s="106"/>
      <c r="RI7341" s="106"/>
      <c r="RJ7341" s="106"/>
      <c r="RK7341" s="106"/>
      <c r="RL7341" s="106"/>
    </row>
    <row r="7342" spans="462:480" x14ac:dyDescent="0.3">
      <c r="QT7342" s="106"/>
      <c r="QU7342" s="106"/>
      <c r="QV7342" s="106"/>
      <c r="QW7342" s="106"/>
      <c r="QX7342" s="106"/>
      <c r="QY7342" s="106"/>
      <c r="QZ7342" s="106"/>
      <c r="RA7342" s="106"/>
      <c r="RB7342" s="106"/>
      <c r="RC7342" s="106"/>
      <c r="RD7342" s="106"/>
      <c r="RE7342" s="106"/>
      <c r="RF7342" s="106"/>
      <c r="RG7342" s="106"/>
      <c r="RH7342" s="106"/>
      <c r="RI7342" s="106"/>
      <c r="RJ7342" s="106"/>
      <c r="RK7342" s="106"/>
      <c r="RL7342" s="106"/>
    </row>
    <row r="7343" spans="462:480" x14ac:dyDescent="0.3">
      <c r="QT7343" s="106"/>
      <c r="QU7343" s="106"/>
      <c r="QV7343" s="106"/>
      <c r="QW7343" s="106"/>
      <c r="QX7343" s="106"/>
      <c r="QY7343" s="106"/>
      <c r="QZ7343" s="106"/>
      <c r="RA7343" s="106"/>
      <c r="RB7343" s="106"/>
      <c r="RC7343" s="106"/>
      <c r="RD7343" s="106"/>
      <c r="RE7343" s="106"/>
      <c r="RF7343" s="106"/>
      <c r="RG7343" s="106"/>
      <c r="RH7343" s="106"/>
      <c r="RI7343" s="106"/>
      <c r="RJ7343" s="106"/>
      <c r="RK7343" s="106"/>
      <c r="RL7343" s="106"/>
    </row>
    <row r="7344" spans="462:480" x14ac:dyDescent="0.3">
      <c r="QT7344" s="106"/>
      <c r="QU7344" s="106"/>
      <c r="QV7344" s="106"/>
      <c r="QW7344" s="106"/>
      <c r="QX7344" s="106"/>
      <c r="QY7344" s="106"/>
      <c r="QZ7344" s="106"/>
      <c r="RA7344" s="106"/>
      <c r="RB7344" s="106"/>
      <c r="RC7344" s="106"/>
      <c r="RD7344" s="106"/>
      <c r="RE7344" s="106"/>
      <c r="RF7344" s="106"/>
      <c r="RG7344" s="106"/>
      <c r="RH7344" s="106"/>
      <c r="RI7344" s="106"/>
      <c r="RJ7344" s="106"/>
      <c r="RK7344" s="106"/>
      <c r="RL7344" s="106"/>
    </row>
    <row r="7345" spans="462:480" x14ac:dyDescent="0.3">
      <c r="QT7345" s="106"/>
      <c r="QU7345" s="106"/>
      <c r="QV7345" s="106"/>
      <c r="QW7345" s="106"/>
      <c r="QX7345" s="106"/>
      <c r="QY7345" s="106"/>
      <c r="QZ7345" s="106"/>
      <c r="RA7345" s="106"/>
      <c r="RB7345" s="106"/>
      <c r="RC7345" s="106"/>
      <c r="RD7345" s="106"/>
      <c r="RE7345" s="106"/>
      <c r="RF7345" s="106"/>
      <c r="RG7345" s="106"/>
      <c r="RH7345" s="106"/>
      <c r="RI7345" s="106"/>
      <c r="RJ7345" s="106"/>
      <c r="RK7345" s="106"/>
      <c r="RL7345" s="106"/>
    </row>
    <row r="7346" spans="462:480" x14ac:dyDescent="0.3">
      <c r="QT7346" s="106"/>
      <c r="QU7346" s="106"/>
      <c r="QV7346" s="106"/>
      <c r="QW7346" s="106"/>
      <c r="QX7346" s="106"/>
      <c r="QY7346" s="106"/>
      <c r="QZ7346" s="106"/>
      <c r="RA7346" s="106"/>
      <c r="RB7346" s="106"/>
      <c r="RC7346" s="106"/>
      <c r="RD7346" s="106"/>
      <c r="RE7346" s="106"/>
      <c r="RF7346" s="106"/>
      <c r="RG7346" s="106"/>
      <c r="RH7346" s="106"/>
      <c r="RI7346" s="106"/>
      <c r="RJ7346" s="106"/>
      <c r="RK7346" s="106"/>
      <c r="RL7346" s="106"/>
    </row>
    <row r="7347" spans="462:480" x14ac:dyDescent="0.3">
      <c r="QT7347" s="106"/>
      <c r="QU7347" s="106"/>
      <c r="QV7347" s="106"/>
      <c r="QW7347" s="106"/>
      <c r="QX7347" s="106"/>
      <c r="QY7347" s="106"/>
      <c r="QZ7347" s="106"/>
      <c r="RA7347" s="106"/>
      <c r="RB7347" s="106"/>
      <c r="RC7347" s="106"/>
      <c r="RD7347" s="106"/>
      <c r="RE7347" s="106"/>
      <c r="RF7347" s="106"/>
      <c r="RG7347" s="106"/>
      <c r="RH7347" s="106"/>
      <c r="RI7347" s="106"/>
      <c r="RJ7347" s="106"/>
      <c r="RK7347" s="106"/>
      <c r="RL7347" s="106"/>
    </row>
    <row r="7348" spans="462:480" x14ac:dyDescent="0.3">
      <c r="QT7348" s="106"/>
      <c r="QU7348" s="106"/>
      <c r="QV7348" s="106"/>
      <c r="QW7348" s="106"/>
      <c r="QX7348" s="106"/>
      <c r="QY7348" s="106"/>
      <c r="QZ7348" s="106"/>
      <c r="RA7348" s="106"/>
      <c r="RB7348" s="106"/>
      <c r="RC7348" s="106"/>
      <c r="RD7348" s="106"/>
      <c r="RE7348" s="106"/>
      <c r="RF7348" s="106"/>
      <c r="RG7348" s="106"/>
      <c r="RH7348" s="106"/>
      <c r="RI7348" s="106"/>
      <c r="RJ7348" s="106"/>
      <c r="RK7348" s="106"/>
      <c r="RL7348" s="106"/>
    </row>
    <row r="7349" spans="462:480" x14ac:dyDescent="0.3">
      <c r="QT7349" s="106"/>
      <c r="QU7349" s="106"/>
      <c r="QV7349" s="106"/>
      <c r="QW7349" s="106"/>
      <c r="QX7349" s="106"/>
      <c r="QY7349" s="106"/>
      <c r="QZ7349" s="106"/>
      <c r="RA7349" s="106"/>
      <c r="RB7349" s="106"/>
      <c r="RC7349" s="106"/>
      <c r="RD7349" s="106"/>
      <c r="RE7349" s="106"/>
      <c r="RF7349" s="106"/>
      <c r="RG7349" s="106"/>
      <c r="RH7349" s="106"/>
      <c r="RI7349" s="106"/>
      <c r="RJ7349" s="106"/>
      <c r="RK7349" s="106"/>
      <c r="RL7349" s="106"/>
    </row>
    <row r="7350" spans="462:480" x14ac:dyDescent="0.3">
      <c r="QT7350" s="106"/>
      <c r="QU7350" s="106"/>
      <c r="QV7350" s="106"/>
      <c r="QW7350" s="106"/>
      <c r="QX7350" s="106"/>
      <c r="QY7350" s="106"/>
      <c r="QZ7350" s="106"/>
      <c r="RA7350" s="106"/>
      <c r="RB7350" s="106"/>
      <c r="RC7350" s="106"/>
      <c r="RD7350" s="106"/>
      <c r="RE7350" s="106"/>
      <c r="RF7350" s="106"/>
      <c r="RG7350" s="106"/>
      <c r="RH7350" s="106"/>
      <c r="RI7350" s="106"/>
      <c r="RJ7350" s="106"/>
      <c r="RK7350" s="106"/>
      <c r="RL7350" s="106"/>
    </row>
    <row r="7351" spans="462:480" x14ac:dyDescent="0.3">
      <c r="QT7351" s="106"/>
      <c r="QU7351" s="106"/>
      <c r="QV7351" s="106"/>
      <c r="QW7351" s="106"/>
      <c r="QX7351" s="106"/>
      <c r="QY7351" s="106"/>
      <c r="QZ7351" s="106"/>
      <c r="RA7351" s="106"/>
      <c r="RB7351" s="106"/>
      <c r="RC7351" s="106"/>
      <c r="RD7351" s="106"/>
      <c r="RE7351" s="106"/>
      <c r="RF7351" s="106"/>
      <c r="RG7351" s="106"/>
      <c r="RH7351" s="106"/>
      <c r="RI7351" s="106"/>
      <c r="RJ7351" s="106"/>
      <c r="RK7351" s="106"/>
      <c r="RL7351" s="106"/>
    </row>
    <row r="7352" spans="462:480" x14ac:dyDescent="0.3">
      <c r="QT7352" s="106"/>
      <c r="QU7352" s="106"/>
      <c r="QV7352" s="106"/>
      <c r="QW7352" s="106"/>
      <c r="QX7352" s="106"/>
      <c r="QY7352" s="106"/>
      <c r="QZ7352" s="106"/>
      <c r="RA7352" s="106"/>
      <c r="RB7352" s="106"/>
      <c r="RC7352" s="106"/>
      <c r="RD7352" s="106"/>
      <c r="RE7352" s="106"/>
      <c r="RF7352" s="106"/>
      <c r="RG7352" s="106"/>
      <c r="RH7352" s="106"/>
      <c r="RI7352" s="106"/>
      <c r="RJ7352" s="106"/>
      <c r="RK7352" s="106"/>
      <c r="RL7352" s="106"/>
    </row>
    <row r="7353" spans="462:480" x14ac:dyDescent="0.3">
      <c r="QT7353" s="106"/>
      <c r="QU7353" s="106"/>
      <c r="QV7353" s="106"/>
      <c r="QW7353" s="106"/>
      <c r="QX7353" s="106"/>
      <c r="QY7353" s="106"/>
      <c r="QZ7353" s="106"/>
      <c r="RA7353" s="106"/>
      <c r="RB7353" s="106"/>
      <c r="RC7353" s="106"/>
      <c r="RD7353" s="106"/>
      <c r="RE7353" s="106"/>
      <c r="RF7353" s="106"/>
      <c r="RG7353" s="106"/>
      <c r="RH7353" s="106"/>
      <c r="RI7353" s="106"/>
      <c r="RJ7353" s="106"/>
      <c r="RK7353" s="106"/>
      <c r="RL7353" s="106"/>
    </row>
    <row r="7354" spans="462:480" x14ac:dyDescent="0.3">
      <c r="QT7354" s="106"/>
      <c r="QU7354" s="106"/>
      <c r="QV7354" s="106"/>
      <c r="QW7354" s="106"/>
      <c r="QX7354" s="106"/>
      <c r="QY7354" s="106"/>
      <c r="QZ7354" s="106"/>
      <c r="RA7354" s="106"/>
      <c r="RB7354" s="106"/>
      <c r="RC7354" s="106"/>
      <c r="RD7354" s="106"/>
      <c r="RE7354" s="106"/>
      <c r="RF7354" s="106"/>
      <c r="RG7354" s="106"/>
      <c r="RH7354" s="106"/>
      <c r="RI7354" s="106"/>
      <c r="RJ7354" s="106"/>
      <c r="RK7354" s="106"/>
      <c r="RL7354" s="106"/>
    </row>
    <row r="7355" spans="462:480" x14ac:dyDescent="0.3">
      <c r="QT7355" s="106"/>
      <c r="QU7355" s="106"/>
      <c r="QV7355" s="106"/>
      <c r="QW7355" s="106"/>
      <c r="QX7355" s="106"/>
      <c r="QY7355" s="106"/>
      <c r="QZ7355" s="106"/>
      <c r="RA7355" s="106"/>
      <c r="RB7355" s="106"/>
      <c r="RC7355" s="106"/>
      <c r="RD7355" s="106"/>
      <c r="RE7355" s="106"/>
      <c r="RF7355" s="106"/>
      <c r="RG7355" s="106"/>
      <c r="RH7355" s="106"/>
      <c r="RI7355" s="106"/>
      <c r="RJ7355" s="106"/>
      <c r="RK7355" s="106"/>
      <c r="RL7355" s="106"/>
    </row>
    <row r="7356" spans="462:480" x14ac:dyDescent="0.3">
      <c r="QT7356" s="106"/>
      <c r="QU7356" s="106"/>
      <c r="QV7356" s="106"/>
      <c r="QW7356" s="106"/>
      <c r="QX7356" s="106"/>
      <c r="QY7356" s="106"/>
      <c r="QZ7356" s="106"/>
      <c r="RA7356" s="106"/>
      <c r="RB7356" s="106"/>
      <c r="RC7356" s="106"/>
      <c r="RD7356" s="106"/>
      <c r="RE7356" s="106"/>
      <c r="RF7356" s="106"/>
      <c r="RG7356" s="106"/>
      <c r="RH7356" s="106"/>
      <c r="RI7356" s="106"/>
      <c r="RJ7356" s="106"/>
      <c r="RK7356" s="106"/>
      <c r="RL7356" s="106"/>
    </row>
    <row r="7357" spans="462:480" x14ac:dyDescent="0.3">
      <c r="QT7357" s="106"/>
      <c r="QU7357" s="106"/>
      <c r="QV7357" s="106"/>
      <c r="QW7357" s="106"/>
      <c r="QX7357" s="106"/>
      <c r="QY7357" s="106"/>
      <c r="QZ7357" s="106"/>
      <c r="RA7357" s="106"/>
      <c r="RB7357" s="106"/>
      <c r="RC7357" s="106"/>
      <c r="RD7357" s="106"/>
      <c r="RE7357" s="106"/>
      <c r="RF7357" s="106"/>
      <c r="RG7357" s="106"/>
      <c r="RH7357" s="106"/>
      <c r="RI7357" s="106"/>
      <c r="RJ7357" s="106"/>
      <c r="RK7357" s="106"/>
      <c r="RL7357" s="106"/>
    </row>
    <row r="7358" spans="462:480" x14ac:dyDescent="0.3">
      <c r="QT7358" s="106"/>
      <c r="QU7358" s="106"/>
      <c r="QV7358" s="106"/>
      <c r="QW7358" s="106"/>
      <c r="QX7358" s="106"/>
      <c r="QY7358" s="106"/>
      <c r="QZ7358" s="106"/>
      <c r="RA7358" s="106"/>
      <c r="RB7358" s="106"/>
      <c r="RC7358" s="106"/>
      <c r="RD7358" s="106"/>
      <c r="RE7358" s="106"/>
      <c r="RF7358" s="106"/>
      <c r="RG7358" s="106"/>
      <c r="RH7358" s="106"/>
      <c r="RI7358" s="106"/>
      <c r="RJ7358" s="106"/>
      <c r="RK7358" s="106"/>
      <c r="RL7358" s="106"/>
    </row>
    <row r="7359" spans="462:480" x14ac:dyDescent="0.3">
      <c r="QT7359" s="106"/>
      <c r="QU7359" s="106"/>
      <c r="QV7359" s="106"/>
      <c r="QW7359" s="106"/>
      <c r="QX7359" s="106"/>
      <c r="QY7359" s="106"/>
      <c r="QZ7359" s="106"/>
      <c r="RA7359" s="106"/>
      <c r="RB7359" s="106"/>
      <c r="RC7359" s="106"/>
      <c r="RD7359" s="106"/>
      <c r="RE7359" s="106"/>
      <c r="RF7359" s="106"/>
      <c r="RG7359" s="106"/>
      <c r="RH7359" s="106"/>
      <c r="RI7359" s="106"/>
      <c r="RJ7359" s="106"/>
      <c r="RK7359" s="106"/>
      <c r="RL7359" s="106"/>
    </row>
    <row r="7360" spans="462:480" x14ac:dyDescent="0.3">
      <c r="QT7360" s="106"/>
      <c r="QU7360" s="106"/>
      <c r="QV7360" s="106"/>
      <c r="QW7360" s="106"/>
      <c r="QX7360" s="106"/>
      <c r="QY7360" s="106"/>
      <c r="QZ7360" s="106"/>
      <c r="RA7360" s="106"/>
      <c r="RB7360" s="106"/>
      <c r="RC7360" s="106"/>
      <c r="RD7360" s="106"/>
      <c r="RE7360" s="106"/>
      <c r="RF7360" s="106"/>
      <c r="RG7360" s="106"/>
      <c r="RH7360" s="106"/>
      <c r="RI7360" s="106"/>
      <c r="RJ7360" s="106"/>
      <c r="RK7360" s="106"/>
      <c r="RL7360" s="106"/>
    </row>
    <row r="7361" spans="462:480" x14ac:dyDescent="0.3">
      <c r="QT7361" s="106"/>
      <c r="QU7361" s="106"/>
      <c r="QV7361" s="106"/>
      <c r="QW7361" s="106"/>
      <c r="QX7361" s="106"/>
      <c r="QY7361" s="106"/>
      <c r="QZ7361" s="106"/>
      <c r="RA7361" s="106"/>
      <c r="RB7361" s="106"/>
      <c r="RC7361" s="106"/>
      <c r="RD7361" s="106"/>
      <c r="RE7361" s="106"/>
      <c r="RF7361" s="106"/>
      <c r="RG7361" s="106"/>
      <c r="RH7361" s="106"/>
      <c r="RI7361" s="106"/>
      <c r="RJ7361" s="106"/>
      <c r="RK7361" s="106"/>
      <c r="RL7361" s="106"/>
    </row>
    <row r="7362" spans="462:480" x14ac:dyDescent="0.3">
      <c r="QT7362" s="106"/>
      <c r="QU7362" s="106"/>
      <c r="QV7362" s="106"/>
      <c r="QW7362" s="106"/>
      <c r="QX7362" s="106"/>
      <c r="QY7362" s="106"/>
      <c r="QZ7362" s="106"/>
      <c r="RA7362" s="106"/>
      <c r="RB7362" s="106"/>
      <c r="RC7362" s="106"/>
      <c r="RD7362" s="106"/>
      <c r="RE7362" s="106"/>
      <c r="RF7362" s="106"/>
      <c r="RG7362" s="106"/>
      <c r="RH7362" s="106"/>
      <c r="RI7362" s="106"/>
      <c r="RJ7362" s="106"/>
      <c r="RK7362" s="106"/>
      <c r="RL7362" s="106"/>
    </row>
    <row r="7363" spans="462:480" x14ac:dyDescent="0.3">
      <c r="QT7363" s="106"/>
      <c r="QU7363" s="106"/>
      <c r="QV7363" s="106"/>
      <c r="QW7363" s="106"/>
      <c r="QX7363" s="106"/>
      <c r="QY7363" s="106"/>
      <c r="QZ7363" s="106"/>
      <c r="RA7363" s="106"/>
      <c r="RB7363" s="106"/>
      <c r="RC7363" s="106"/>
      <c r="RD7363" s="106"/>
      <c r="RE7363" s="106"/>
      <c r="RF7363" s="106"/>
      <c r="RG7363" s="106"/>
      <c r="RH7363" s="106"/>
      <c r="RI7363" s="106"/>
      <c r="RJ7363" s="106"/>
      <c r="RK7363" s="106"/>
      <c r="RL7363" s="106"/>
    </row>
    <row r="7364" spans="462:480" x14ac:dyDescent="0.3">
      <c r="QT7364" s="106"/>
      <c r="QU7364" s="106"/>
      <c r="QV7364" s="106"/>
      <c r="QW7364" s="106"/>
      <c r="QX7364" s="106"/>
      <c r="QY7364" s="106"/>
      <c r="QZ7364" s="106"/>
      <c r="RA7364" s="106"/>
      <c r="RB7364" s="106"/>
      <c r="RC7364" s="106"/>
      <c r="RD7364" s="106"/>
      <c r="RE7364" s="106"/>
      <c r="RF7364" s="106"/>
      <c r="RG7364" s="106"/>
      <c r="RH7364" s="106"/>
      <c r="RI7364" s="106"/>
      <c r="RJ7364" s="106"/>
      <c r="RK7364" s="106"/>
      <c r="RL7364" s="106"/>
    </row>
    <row r="7365" spans="462:480" x14ac:dyDescent="0.3">
      <c r="QT7365" s="106"/>
      <c r="QU7365" s="106"/>
      <c r="QV7365" s="106"/>
      <c r="QW7365" s="106"/>
      <c r="QX7365" s="106"/>
      <c r="QY7365" s="106"/>
      <c r="QZ7365" s="106"/>
      <c r="RA7365" s="106"/>
      <c r="RB7365" s="106"/>
      <c r="RC7365" s="106"/>
      <c r="RD7365" s="106"/>
      <c r="RE7365" s="106"/>
      <c r="RF7365" s="106"/>
      <c r="RG7365" s="106"/>
      <c r="RH7365" s="106"/>
      <c r="RI7365" s="106"/>
      <c r="RJ7365" s="106"/>
      <c r="RK7365" s="106"/>
      <c r="RL7365" s="106"/>
    </row>
    <row r="7366" spans="462:480" x14ac:dyDescent="0.3">
      <c r="QT7366" s="106"/>
      <c r="QU7366" s="106"/>
      <c r="QV7366" s="106"/>
      <c r="QW7366" s="106"/>
      <c r="QX7366" s="106"/>
      <c r="QY7366" s="106"/>
      <c r="QZ7366" s="106"/>
      <c r="RA7366" s="106"/>
      <c r="RB7366" s="106"/>
      <c r="RC7366" s="106"/>
      <c r="RD7366" s="106"/>
      <c r="RE7366" s="106"/>
      <c r="RF7366" s="106"/>
      <c r="RG7366" s="106"/>
      <c r="RH7366" s="106"/>
      <c r="RI7366" s="106"/>
      <c r="RJ7366" s="106"/>
      <c r="RK7366" s="106"/>
      <c r="RL7366" s="106"/>
    </row>
    <row r="7367" spans="462:480" x14ac:dyDescent="0.3">
      <c r="QT7367" s="106"/>
      <c r="QU7367" s="106"/>
      <c r="QV7367" s="106"/>
      <c r="QW7367" s="106"/>
      <c r="QX7367" s="106"/>
      <c r="QY7367" s="106"/>
      <c r="QZ7367" s="106"/>
      <c r="RA7367" s="106"/>
      <c r="RB7367" s="106"/>
      <c r="RC7367" s="106"/>
      <c r="RD7367" s="106"/>
      <c r="RE7367" s="106"/>
      <c r="RF7367" s="106"/>
      <c r="RG7367" s="106"/>
      <c r="RH7367" s="106"/>
      <c r="RI7367" s="106"/>
      <c r="RJ7367" s="106"/>
      <c r="RK7367" s="106"/>
      <c r="RL7367" s="106"/>
    </row>
    <row r="7368" spans="462:480" x14ac:dyDescent="0.3">
      <c r="QT7368" s="106"/>
      <c r="QU7368" s="106"/>
      <c r="QV7368" s="106"/>
      <c r="QW7368" s="106"/>
      <c r="QX7368" s="106"/>
      <c r="QY7368" s="106"/>
      <c r="QZ7368" s="106"/>
      <c r="RA7368" s="106"/>
      <c r="RB7368" s="106"/>
      <c r="RC7368" s="106"/>
      <c r="RD7368" s="106"/>
      <c r="RE7368" s="106"/>
      <c r="RF7368" s="106"/>
      <c r="RG7368" s="106"/>
      <c r="RH7368" s="106"/>
      <c r="RI7368" s="106"/>
      <c r="RJ7368" s="106"/>
      <c r="RK7368" s="106"/>
      <c r="RL7368" s="106"/>
    </row>
    <row r="7369" spans="462:480" x14ac:dyDescent="0.3">
      <c r="QT7369" s="106"/>
      <c r="QU7369" s="106"/>
      <c r="QV7369" s="106"/>
      <c r="QW7369" s="106"/>
      <c r="QX7369" s="106"/>
      <c r="QY7369" s="106"/>
      <c r="QZ7369" s="106"/>
      <c r="RA7369" s="106"/>
      <c r="RB7369" s="106"/>
      <c r="RC7369" s="106"/>
      <c r="RD7369" s="106"/>
      <c r="RE7369" s="106"/>
      <c r="RF7369" s="106"/>
      <c r="RG7369" s="106"/>
      <c r="RH7369" s="106"/>
      <c r="RI7369" s="106"/>
      <c r="RJ7369" s="106"/>
      <c r="RK7369" s="106"/>
      <c r="RL7369" s="106"/>
    </row>
    <row r="7370" spans="462:480" x14ac:dyDescent="0.3">
      <c r="QT7370" s="106"/>
      <c r="QU7370" s="106"/>
      <c r="QV7370" s="106"/>
      <c r="QW7370" s="106"/>
      <c r="QX7370" s="106"/>
      <c r="QY7370" s="106"/>
      <c r="QZ7370" s="106"/>
      <c r="RA7370" s="106"/>
      <c r="RB7370" s="106"/>
      <c r="RC7370" s="106"/>
      <c r="RD7370" s="106"/>
      <c r="RE7370" s="106"/>
      <c r="RF7370" s="106"/>
      <c r="RG7370" s="106"/>
      <c r="RH7370" s="106"/>
      <c r="RI7370" s="106"/>
      <c r="RJ7370" s="106"/>
      <c r="RK7370" s="106"/>
      <c r="RL7370" s="106"/>
    </row>
    <row r="7371" spans="462:480" x14ac:dyDescent="0.3">
      <c r="QT7371" s="106"/>
      <c r="QU7371" s="106"/>
      <c r="QV7371" s="106"/>
      <c r="QW7371" s="106"/>
      <c r="QX7371" s="106"/>
      <c r="QY7371" s="106"/>
      <c r="QZ7371" s="106"/>
      <c r="RA7371" s="106"/>
      <c r="RB7371" s="106"/>
      <c r="RC7371" s="106"/>
      <c r="RD7371" s="106"/>
      <c r="RE7371" s="106"/>
      <c r="RF7371" s="106"/>
      <c r="RG7371" s="106"/>
      <c r="RH7371" s="106"/>
      <c r="RI7371" s="106"/>
      <c r="RJ7371" s="106"/>
      <c r="RK7371" s="106"/>
      <c r="RL7371" s="106"/>
    </row>
    <row r="7372" spans="462:480" x14ac:dyDescent="0.3">
      <c r="QT7372" s="106"/>
      <c r="QU7372" s="106"/>
      <c r="QV7372" s="106"/>
      <c r="QW7372" s="106"/>
      <c r="QX7372" s="106"/>
      <c r="QY7372" s="106"/>
      <c r="QZ7372" s="106"/>
      <c r="RA7372" s="106"/>
      <c r="RB7372" s="106"/>
      <c r="RC7372" s="106"/>
      <c r="RD7372" s="106"/>
      <c r="RE7372" s="106"/>
      <c r="RF7372" s="106"/>
      <c r="RG7372" s="106"/>
      <c r="RH7372" s="106"/>
      <c r="RI7372" s="106"/>
      <c r="RJ7372" s="106"/>
      <c r="RK7372" s="106"/>
      <c r="RL7372" s="106"/>
    </row>
    <row r="7373" spans="462:480" x14ac:dyDescent="0.3">
      <c r="QT7373" s="106"/>
      <c r="QU7373" s="106"/>
      <c r="QV7373" s="106"/>
      <c r="QW7373" s="106"/>
      <c r="QX7373" s="106"/>
      <c r="QY7373" s="106"/>
      <c r="QZ7373" s="106"/>
      <c r="RA7373" s="106"/>
      <c r="RB7373" s="106"/>
      <c r="RC7373" s="106"/>
      <c r="RD7373" s="106"/>
      <c r="RE7373" s="106"/>
      <c r="RF7373" s="106"/>
      <c r="RG7373" s="106"/>
      <c r="RH7373" s="106"/>
      <c r="RI7373" s="106"/>
      <c r="RJ7373" s="106"/>
      <c r="RK7373" s="106"/>
      <c r="RL7373" s="106"/>
    </row>
    <row r="7374" spans="462:480" x14ac:dyDescent="0.3">
      <c r="QT7374" s="106"/>
      <c r="QU7374" s="106"/>
      <c r="QV7374" s="106"/>
      <c r="QW7374" s="106"/>
      <c r="QX7374" s="106"/>
      <c r="QY7374" s="106"/>
      <c r="QZ7374" s="106"/>
      <c r="RA7374" s="106"/>
      <c r="RB7374" s="106"/>
      <c r="RC7374" s="106"/>
      <c r="RD7374" s="106"/>
      <c r="RE7374" s="106"/>
      <c r="RF7374" s="106"/>
      <c r="RG7374" s="106"/>
      <c r="RH7374" s="106"/>
      <c r="RI7374" s="106"/>
      <c r="RJ7374" s="106"/>
      <c r="RK7374" s="106"/>
      <c r="RL7374" s="106"/>
    </row>
    <row r="7375" spans="462:480" x14ac:dyDescent="0.3">
      <c r="QT7375" s="106"/>
      <c r="QU7375" s="106"/>
      <c r="QV7375" s="106"/>
      <c r="QW7375" s="106"/>
      <c r="QX7375" s="106"/>
      <c r="QY7375" s="106"/>
      <c r="QZ7375" s="106"/>
      <c r="RA7375" s="106"/>
      <c r="RB7375" s="106"/>
      <c r="RC7375" s="106"/>
      <c r="RD7375" s="106"/>
      <c r="RE7375" s="106"/>
      <c r="RF7375" s="106"/>
      <c r="RG7375" s="106"/>
      <c r="RH7375" s="106"/>
      <c r="RI7375" s="106"/>
      <c r="RJ7375" s="106"/>
      <c r="RK7375" s="106"/>
      <c r="RL7375" s="106"/>
    </row>
    <row r="7376" spans="462:480" x14ac:dyDescent="0.3">
      <c r="QT7376" s="106"/>
      <c r="QU7376" s="106"/>
      <c r="QV7376" s="106"/>
      <c r="QW7376" s="106"/>
      <c r="QX7376" s="106"/>
      <c r="QY7376" s="106"/>
      <c r="QZ7376" s="106"/>
      <c r="RA7376" s="106"/>
      <c r="RB7376" s="106"/>
      <c r="RC7376" s="106"/>
      <c r="RD7376" s="106"/>
      <c r="RE7376" s="106"/>
      <c r="RF7376" s="106"/>
      <c r="RG7376" s="106"/>
      <c r="RH7376" s="106"/>
      <c r="RI7376" s="106"/>
      <c r="RJ7376" s="106"/>
      <c r="RK7376" s="106"/>
      <c r="RL7376" s="106"/>
    </row>
    <row r="7377" spans="462:480" x14ac:dyDescent="0.3">
      <c r="QT7377" s="106"/>
      <c r="QU7377" s="106"/>
      <c r="QV7377" s="106"/>
      <c r="QW7377" s="106"/>
      <c r="QX7377" s="106"/>
      <c r="QY7377" s="106"/>
      <c r="QZ7377" s="106"/>
      <c r="RA7377" s="106"/>
      <c r="RB7377" s="106"/>
      <c r="RC7377" s="106"/>
      <c r="RD7377" s="106"/>
      <c r="RE7377" s="106"/>
      <c r="RF7377" s="106"/>
      <c r="RG7377" s="106"/>
      <c r="RH7377" s="106"/>
      <c r="RI7377" s="106"/>
      <c r="RJ7377" s="106"/>
      <c r="RK7377" s="106"/>
      <c r="RL7377" s="106"/>
    </row>
    <row r="7378" spans="462:480" x14ac:dyDescent="0.3">
      <c r="QT7378" s="106"/>
      <c r="QU7378" s="106"/>
      <c r="QV7378" s="106"/>
      <c r="QW7378" s="106"/>
      <c r="QX7378" s="106"/>
      <c r="QY7378" s="106"/>
      <c r="QZ7378" s="106"/>
      <c r="RA7378" s="106"/>
      <c r="RB7378" s="106"/>
      <c r="RC7378" s="106"/>
      <c r="RD7378" s="106"/>
      <c r="RE7378" s="106"/>
      <c r="RF7378" s="106"/>
      <c r="RG7378" s="106"/>
      <c r="RH7378" s="106"/>
      <c r="RI7378" s="106"/>
      <c r="RJ7378" s="106"/>
      <c r="RK7378" s="106"/>
      <c r="RL7378" s="106"/>
    </row>
    <row r="7379" spans="462:480" x14ac:dyDescent="0.3">
      <c r="QT7379" s="106"/>
      <c r="QU7379" s="106"/>
      <c r="QV7379" s="106"/>
      <c r="QW7379" s="106"/>
      <c r="QX7379" s="106"/>
      <c r="QY7379" s="106"/>
      <c r="QZ7379" s="106"/>
      <c r="RA7379" s="106"/>
      <c r="RB7379" s="106"/>
      <c r="RC7379" s="106"/>
      <c r="RD7379" s="106"/>
      <c r="RE7379" s="106"/>
      <c r="RF7379" s="106"/>
      <c r="RG7379" s="106"/>
      <c r="RH7379" s="106"/>
      <c r="RI7379" s="106"/>
      <c r="RJ7379" s="106"/>
      <c r="RK7379" s="106"/>
      <c r="RL7379" s="106"/>
    </row>
    <row r="7380" spans="462:480" x14ac:dyDescent="0.3">
      <c r="QT7380" s="106"/>
      <c r="QU7380" s="106"/>
      <c r="QV7380" s="106"/>
      <c r="QW7380" s="106"/>
      <c r="QX7380" s="106"/>
      <c r="QY7380" s="106"/>
      <c r="QZ7380" s="106"/>
      <c r="RA7380" s="106"/>
      <c r="RB7380" s="106"/>
      <c r="RC7380" s="106"/>
      <c r="RD7380" s="106"/>
      <c r="RE7380" s="106"/>
      <c r="RF7380" s="106"/>
      <c r="RG7380" s="106"/>
      <c r="RH7380" s="106"/>
      <c r="RI7380" s="106"/>
      <c r="RJ7380" s="106"/>
      <c r="RK7380" s="106"/>
      <c r="RL7380" s="106"/>
    </row>
    <row r="7381" spans="462:480" x14ac:dyDescent="0.3">
      <c r="QT7381" s="106"/>
      <c r="QU7381" s="106"/>
      <c r="QV7381" s="106"/>
      <c r="QW7381" s="106"/>
      <c r="QX7381" s="106"/>
      <c r="QY7381" s="106"/>
      <c r="QZ7381" s="106"/>
      <c r="RA7381" s="106"/>
      <c r="RB7381" s="106"/>
      <c r="RC7381" s="106"/>
      <c r="RD7381" s="106"/>
      <c r="RE7381" s="106"/>
      <c r="RF7381" s="106"/>
      <c r="RG7381" s="106"/>
      <c r="RH7381" s="106"/>
      <c r="RI7381" s="106"/>
      <c r="RJ7381" s="106"/>
      <c r="RK7381" s="106"/>
      <c r="RL7381" s="106"/>
    </row>
    <row r="7382" spans="462:480" x14ac:dyDescent="0.3">
      <c r="QT7382" s="106"/>
      <c r="QU7382" s="106"/>
      <c r="QV7382" s="106"/>
      <c r="QW7382" s="106"/>
      <c r="QX7382" s="106"/>
      <c r="QY7382" s="106"/>
      <c r="QZ7382" s="106"/>
      <c r="RA7382" s="106"/>
      <c r="RB7382" s="106"/>
      <c r="RC7382" s="106"/>
      <c r="RD7382" s="106"/>
      <c r="RE7382" s="106"/>
      <c r="RF7382" s="106"/>
      <c r="RG7382" s="106"/>
      <c r="RH7382" s="106"/>
      <c r="RI7382" s="106"/>
      <c r="RJ7382" s="106"/>
      <c r="RK7382" s="106"/>
      <c r="RL7382" s="106"/>
    </row>
    <row r="7383" spans="462:480" x14ac:dyDescent="0.3">
      <c r="QT7383" s="106"/>
      <c r="QU7383" s="106"/>
      <c r="QV7383" s="106"/>
      <c r="QW7383" s="106"/>
      <c r="QX7383" s="106"/>
      <c r="QY7383" s="106"/>
      <c r="QZ7383" s="106"/>
      <c r="RA7383" s="106"/>
      <c r="RB7383" s="106"/>
      <c r="RC7383" s="106"/>
      <c r="RD7383" s="106"/>
      <c r="RE7383" s="106"/>
      <c r="RF7383" s="106"/>
      <c r="RG7383" s="106"/>
      <c r="RH7383" s="106"/>
      <c r="RI7383" s="106"/>
      <c r="RJ7383" s="106"/>
      <c r="RK7383" s="106"/>
      <c r="RL7383" s="106"/>
    </row>
    <row r="7384" spans="462:480" x14ac:dyDescent="0.3">
      <c r="QT7384" s="106"/>
      <c r="QU7384" s="106"/>
      <c r="QV7384" s="106"/>
      <c r="QW7384" s="106"/>
      <c r="QX7384" s="106"/>
      <c r="QY7384" s="106"/>
      <c r="QZ7384" s="106"/>
      <c r="RA7384" s="106"/>
      <c r="RB7384" s="106"/>
      <c r="RC7384" s="106"/>
      <c r="RD7384" s="106"/>
      <c r="RE7384" s="106"/>
      <c r="RF7384" s="106"/>
      <c r="RG7384" s="106"/>
      <c r="RH7384" s="106"/>
      <c r="RI7384" s="106"/>
      <c r="RJ7384" s="106"/>
      <c r="RK7384" s="106"/>
      <c r="RL7384" s="106"/>
    </row>
    <row r="7385" spans="462:480" x14ac:dyDescent="0.3">
      <c r="QT7385" s="106"/>
      <c r="QU7385" s="106"/>
      <c r="QV7385" s="106"/>
      <c r="QW7385" s="106"/>
      <c r="QX7385" s="106"/>
      <c r="QY7385" s="106"/>
      <c r="QZ7385" s="106"/>
      <c r="RA7385" s="106"/>
      <c r="RB7385" s="106"/>
      <c r="RC7385" s="106"/>
      <c r="RD7385" s="106"/>
      <c r="RE7385" s="106"/>
      <c r="RF7385" s="106"/>
      <c r="RG7385" s="106"/>
      <c r="RH7385" s="106"/>
      <c r="RI7385" s="106"/>
      <c r="RJ7385" s="106"/>
      <c r="RK7385" s="106"/>
      <c r="RL7385" s="106"/>
    </row>
    <row r="7386" spans="462:480" x14ac:dyDescent="0.3">
      <c r="QT7386" s="106"/>
      <c r="QU7386" s="106"/>
      <c r="QV7386" s="106"/>
      <c r="QW7386" s="106"/>
      <c r="QX7386" s="106"/>
      <c r="QY7386" s="106"/>
      <c r="QZ7386" s="106"/>
      <c r="RA7386" s="106"/>
      <c r="RB7386" s="106"/>
      <c r="RC7386" s="106"/>
      <c r="RD7386" s="106"/>
      <c r="RE7386" s="106"/>
      <c r="RF7386" s="106"/>
      <c r="RG7386" s="106"/>
      <c r="RH7386" s="106"/>
      <c r="RI7386" s="106"/>
      <c r="RJ7386" s="106"/>
      <c r="RK7386" s="106"/>
      <c r="RL7386" s="106"/>
    </row>
    <row r="7387" spans="462:480" x14ac:dyDescent="0.3">
      <c r="QT7387" s="106"/>
      <c r="QU7387" s="106"/>
      <c r="QV7387" s="106"/>
      <c r="QW7387" s="106"/>
      <c r="QX7387" s="106"/>
      <c r="QY7387" s="106"/>
      <c r="QZ7387" s="106"/>
      <c r="RA7387" s="106"/>
      <c r="RB7387" s="106"/>
      <c r="RC7387" s="106"/>
      <c r="RD7387" s="106"/>
      <c r="RE7387" s="106"/>
      <c r="RF7387" s="106"/>
      <c r="RG7387" s="106"/>
      <c r="RH7387" s="106"/>
      <c r="RI7387" s="106"/>
      <c r="RJ7387" s="106"/>
      <c r="RK7387" s="106"/>
      <c r="RL7387" s="106"/>
    </row>
    <row r="7388" spans="462:480" x14ac:dyDescent="0.3">
      <c r="QT7388" s="106"/>
      <c r="QU7388" s="106"/>
      <c r="QV7388" s="106"/>
      <c r="QW7388" s="106"/>
      <c r="QX7388" s="106"/>
      <c r="QY7388" s="106"/>
      <c r="QZ7388" s="106"/>
      <c r="RA7388" s="106"/>
      <c r="RB7388" s="106"/>
      <c r="RC7388" s="106"/>
      <c r="RD7388" s="106"/>
      <c r="RE7388" s="106"/>
      <c r="RF7388" s="106"/>
      <c r="RG7388" s="106"/>
      <c r="RH7388" s="106"/>
      <c r="RI7388" s="106"/>
      <c r="RJ7388" s="106"/>
      <c r="RK7388" s="106"/>
      <c r="RL7388" s="106"/>
    </row>
    <row r="7389" spans="462:480" x14ac:dyDescent="0.3">
      <c r="QT7389" s="106"/>
      <c r="QU7389" s="106"/>
      <c r="QV7389" s="106"/>
      <c r="QW7389" s="106"/>
      <c r="QX7389" s="106"/>
      <c r="QY7389" s="106"/>
      <c r="QZ7389" s="106"/>
      <c r="RA7389" s="106"/>
      <c r="RB7389" s="106"/>
      <c r="RC7389" s="106"/>
      <c r="RD7389" s="106"/>
      <c r="RE7389" s="106"/>
      <c r="RF7389" s="106"/>
      <c r="RG7389" s="106"/>
      <c r="RH7389" s="106"/>
      <c r="RI7389" s="106"/>
      <c r="RJ7389" s="106"/>
      <c r="RK7389" s="106"/>
      <c r="RL7389" s="106"/>
    </row>
    <row r="7390" spans="462:480" x14ac:dyDescent="0.3">
      <c r="QT7390" s="106"/>
      <c r="QU7390" s="106"/>
      <c r="QV7390" s="106"/>
      <c r="QW7390" s="106"/>
      <c r="QX7390" s="106"/>
      <c r="QY7390" s="106"/>
      <c r="QZ7390" s="106"/>
      <c r="RA7390" s="106"/>
      <c r="RB7390" s="106"/>
      <c r="RC7390" s="106"/>
      <c r="RD7390" s="106"/>
      <c r="RE7390" s="106"/>
      <c r="RF7390" s="106"/>
      <c r="RG7390" s="106"/>
      <c r="RH7390" s="106"/>
      <c r="RI7390" s="106"/>
      <c r="RJ7390" s="106"/>
      <c r="RK7390" s="106"/>
      <c r="RL7390" s="106"/>
    </row>
    <row r="7391" spans="462:480" x14ac:dyDescent="0.3">
      <c r="QT7391" s="106"/>
      <c r="QU7391" s="106"/>
      <c r="QV7391" s="106"/>
      <c r="QW7391" s="106"/>
      <c r="QX7391" s="106"/>
      <c r="QY7391" s="106"/>
      <c r="QZ7391" s="106"/>
      <c r="RA7391" s="106"/>
      <c r="RB7391" s="106"/>
      <c r="RC7391" s="106"/>
      <c r="RD7391" s="106"/>
      <c r="RE7391" s="106"/>
      <c r="RF7391" s="106"/>
      <c r="RG7391" s="106"/>
      <c r="RH7391" s="106"/>
      <c r="RI7391" s="106"/>
      <c r="RJ7391" s="106"/>
      <c r="RK7391" s="106"/>
      <c r="RL7391" s="106"/>
    </row>
    <row r="7392" spans="462:480" x14ac:dyDescent="0.3">
      <c r="QT7392" s="106"/>
      <c r="QU7392" s="106"/>
      <c r="QV7392" s="106"/>
      <c r="QW7392" s="106"/>
      <c r="QX7392" s="106"/>
      <c r="QY7392" s="106"/>
      <c r="QZ7392" s="106"/>
      <c r="RA7392" s="106"/>
      <c r="RB7392" s="106"/>
      <c r="RC7392" s="106"/>
      <c r="RD7392" s="106"/>
      <c r="RE7392" s="106"/>
      <c r="RF7392" s="106"/>
      <c r="RG7392" s="106"/>
      <c r="RH7392" s="106"/>
      <c r="RI7392" s="106"/>
      <c r="RJ7392" s="106"/>
      <c r="RK7392" s="106"/>
      <c r="RL7392" s="106"/>
    </row>
    <row r="7393" spans="462:480" x14ac:dyDescent="0.3">
      <c r="QT7393" s="106"/>
      <c r="QU7393" s="106"/>
      <c r="QV7393" s="106"/>
      <c r="QW7393" s="106"/>
      <c r="QX7393" s="106"/>
      <c r="QY7393" s="106"/>
      <c r="QZ7393" s="106"/>
      <c r="RA7393" s="106"/>
      <c r="RB7393" s="106"/>
      <c r="RC7393" s="106"/>
      <c r="RD7393" s="106"/>
      <c r="RE7393" s="106"/>
      <c r="RF7393" s="106"/>
      <c r="RG7393" s="106"/>
      <c r="RH7393" s="106"/>
      <c r="RI7393" s="106"/>
      <c r="RJ7393" s="106"/>
      <c r="RK7393" s="106"/>
      <c r="RL7393" s="106"/>
    </row>
    <row r="7394" spans="462:480" x14ac:dyDescent="0.3">
      <c r="QT7394" s="106"/>
      <c r="QU7394" s="106"/>
      <c r="QV7394" s="106"/>
      <c r="QW7394" s="106"/>
      <c r="QX7394" s="106"/>
      <c r="QY7394" s="106"/>
      <c r="QZ7394" s="106"/>
      <c r="RA7394" s="106"/>
      <c r="RB7394" s="106"/>
      <c r="RC7394" s="106"/>
      <c r="RD7394" s="106"/>
      <c r="RE7394" s="106"/>
      <c r="RF7394" s="106"/>
      <c r="RG7394" s="106"/>
      <c r="RH7394" s="106"/>
      <c r="RI7394" s="106"/>
      <c r="RJ7394" s="106"/>
      <c r="RK7394" s="106"/>
      <c r="RL7394" s="106"/>
    </row>
    <row r="7395" spans="462:480" x14ac:dyDescent="0.3">
      <c r="QT7395" s="106"/>
      <c r="QU7395" s="106"/>
      <c r="QV7395" s="106"/>
      <c r="QW7395" s="106"/>
      <c r="QX7395" s="106"/>
      <c r="QY7395" s="106"/>
      <c r="QZ7395" s="106"/>
      <c r="RA7395" s="106"/>
      <c r="RB7395" s="106"/>
      <c r="RC7395" s="106"/>
      <c r="RD7395" s="106"/>
      <c r="RE7395" s="106"/>
      <c r="RF7395" s="106"/>
      <c r="RG7395" s="106"/>
      <c r="RH7395" s="106"/>
      <c r="RI7395" s="106"/>
      <c r="RJ7395" s="106"/>
      <c r="RK7395" s="106"/>
      <c r="RL7395" s="106"/>
    </row>
    <row r="7396" spans="462:480" x14ac:dyDescent="0.3">
      <c r="QT7396" s="106"/>
      <c r="QU7396" s="106"/>
      <c r="QV7396" s="106"/>
      <c r="QW7396" s="106"/>
      <c r="QX7396" s="106"/>
      <c r="QY7396" s="106"/>
      <c r="QZ7396" s="106"/>
      <c r="RA7396" s="106"/>
      <c r="RB7396" s="106"/>
      <c r="RC7396" s="106"/>
      <c r="RD7396" s="106"/>
      <c r="RE7396" s="106"/>
      <c r="RF7396" s="106"/>
      <c r="RG7396" s="106"/>
      <c r="RH7396" s="106"/>
      <c r="RI7396" s="106"/>
      <c r="RJ7396" s="106"/>
      <c r="RK7396" s="106"/>
      <c r="RL7396" s="106"/>
    </row>
    <row r="7397" spans="462:480" x14ac:dyDescent="0.3">
      <c r="QT7397" s="106"/>
      <c r="QU7397" s="106"/>
      <c r="QV7397" s="106"/>
      <c r="QW7397" s="106"/>
      <c r="QX7397" s="106"/>
      <c r="QY7397" s="106"/>
      <c r="QZ7397" s="106"/>
      <c r="RA7397" s="106"/>
      <c r="RB7397" s="106"/>
      <c r="RC7397" s="106"/>
      <c r="RD7397" s="106"/>
      <c r="RE7397" s="106"/>
      <c r="RF7397" s="106"/>
      <c r="RG7397" s="106"/>
      <c r="RH7397" s="106"/>
      <c r="RI7397" s="106"/>
      <c r="RJ7397" s="106"/>
      <c r="RK7397" s="106"/>
      <c r="RL7397" s="106"/>
    </row>
    <row r="7398" spans="462:480" x14ac:dyDescent="0.3">
      <c r="QT7398" s="106"/>
      <c r="QU7398" s="106"/>
      <c r="QV7398" s="106"/>
      <c r="QW7398" s="106"/>
      <c r="QX7398" s="106"/>
      <c r="QY7398" s="106"/>
      <c r="QZ7398" s="106"/>
      <c r="RA7398" s="106"/>
      <c r="RB7398" s="106"/>
      <c r="RC7398" s="106"/>
      <c r="RD7398" s="106"/>
      <c r="RE7398" s="106"/>
      <c r="RF7398" s="106"/>
      <c r="RG7398" s="106"/>
      <c r="RH7398" s="106"/>
      <c r="RI7398" s="106"/>
      <c r="RJ7398" s="106"/>
      <c r="RK7398" s="106"/>
      <c r="RL7398" s="106"/>
    </row>
    <row r="7399" spans="462:480" x14ac:dyDescent="0.3">
      <c r="QT7399" s="106"/>
      <c r="QU7399" s="106"/>
      <c r="QV7399" s="106"/>
      <c r="QW7399" s="106"/>
      <c r="QX7399" s="106"/>
      <c r="QY7399" s="106"/>
      <c r="QZ7399" s="106"/>
      <c r="RA7399" s="106"/>
      <c r="RB7399" s="106"/>
      <c r="RC7399" s="106"/>
      <c r="RD7399" s="106"/>
      <c r="RE7399" s="106"/>
      <c r="RF7399" s="106"/>
      <c r="RG7399" s="106"/>
      <c r="RH7399" s="106"/>
      <c r="RI7399" s="106"/>
      <c r="RJ7399" s="106"/>
      <c r="RK7399" s="106"/>
      <c r="RL7399" s="106"/>
    </row>
    <row r="7400" spans="462:480" x14ac:dyDescent="0.3">
      <c r="QT7400" s="106"/>
      <c r="QU7400" s="106"/>
      <c r="QV7400" s="106"/>
      <c r="QW7400" s="106"/>
      <c r="QX7400" s="106"/>
      <c r="QY7400" s="106"/>
      <c r="QZ7400" s="106"/>
      <c r="RA7400" s="106"/>
      <c r="RB7400" s="106"/>
      <c r="RC7400" s="106"/>
      <c r="RD7400" s="106"/>
      <c r="RE7400" s="106"/>
      <c r="RF7400" s="106"/>
      <c r="RG7400" s="106"/>
      <c r="RH7400" s="106"/>
      <c r="RI7400" s="106"/>
      <c r="RJ7400" s="106"/>
      <c r="RK7400" s="106"/>
      <c r="RL7400" s="106"/>
    </row>
    <row r="7401" spans="462:480" x14ac:dyDescent="0.3">
      <c r="QT7401" s="106"/>
      <c r="QU7401" s="106"/>
      <c r="QV7401" s="106"/>
      <c r="QW7401" s="106"/>
      <c r="QX7401" s="106"/>
      <c r="QY7401" s="106"/>
      <c r="QZ7401" s="106"/>
      <c r="RA7401" s="106"/>
      <c r="RB7401" s="106"/>
      <c r="RC7401" s="106"/>
      <c r="RD7401" s="106"/>
      <c r="RE7401" s="106"/>
      <c r="RF7401" s="106"/>
      <c r="RG7401" s="106"/>
      <c r="RH7401" s="106"/>
      <c r="RI7401" s="106"/>
      <c r="RJ7401" s="106"/>
      <c r="RK7401" s="106"/>
      <c r="RL7401" s="106"/>
    </row>
    <row r="7402" spans="462:480" x14ac:dyDescent="0.3">
      <c r="QT7402" s="106"/>
      <c r="QU7402" s="106"/>
      <c r="QV7402" s="106"/>
      <c r="QW7402" s="106"/>
      <c r="QX7402" s="106"/>
      <c r="QY7402" s="106"/>
      <c r="QZ7402" s="106"/>
      <c r="RA7402" s="106"/>
      <c r="RB7402" s="106"/>
      <c r="RC7402" s="106"/>
      <c r="RD7402" s="106"/>
      <c r="RE7402" s="106"/>
      <c r="RF7402" s="106"/>
      <c r="RG7402" s="106"/>
      <c r="RH7402" s="106"/>
      <c r="RI7402" s="106"/>
      <c r="RJ7402" s="106"/>
      <c r="RK7402" s="106"/>
      <c r="RL7402" s="106"/>
    </row>
    <row r="7403" spans="462:480" x14ac:dyDescent="0.3">
      <c r="QT7403" s="106"/>
      <c r="QU7403" s="106"/>
      <c r="QV7403" s="106"/>
      <c r="QW7403" s="106"/>
      <c r="QX7403" s="106"/>
      <c r="QY7403" s="106"/>
      <c r="QZ7403" s="106"/>
      <c r="RA7403" s="106"/>
      <c r="RB7403" s="106"/>
      <c r="RC7403" s="106"/>
      <c r="RD7403" s="106"/>
      <c r="RE7403" s="106"/>
      <c r="RF7403" s="106"/>
      <c r="RG7403" s="106"/>
      <c r="RH7403" s="106"/>
      <c r="RI7403" s="106"/>
      <c r="RJ7403" s="106"/>
      <c r="RK7403" s="106"/>
      <c r="RL7403" s="106"/>
    </row>
    <row r="7404" spans="462:480" x14ac:dyDescent="0.3">
      <c r="QT7404" s="106"/>
      <c r="QU7404" s="106"/>
      <c r="QV7404" s="106"/>
      <c r="QW7404" s="106"/>
      <c r="QX7404" s="106"/>
      <c r="QY7404" s="106"/>
      <c r="QZ7404" s="106"/>
      <c r="RA7404" s="106"/>
      <c r="RB7404" s="106"/>
      <c r="RC7404" s="106"/>
      <c r="RD7404" s="106"/>
      <c r="RE7404" s="106"/>
      <c r="RF7404" s="106"/>
      <c r="RG7404" s="106"/>
      <c r="RH7404" s="106"/>
      <c r="RI7404" s="106"/>
      <c r="RJ7404" s="106"/>
      <c r="RK7404" s="106"/>
      <c r="RL7404" s="106"/>
    </row>
    <row r="7405" spans="462:480" x14ac:dyDescent="0.3">
      <c r="QT7405" s="106"/>
      <c r="QU7405" s="106"/>
      <c r="QV7405" s="106"/>
      <c r="QW7405" s="106"/>
      <c r="QX7405" s="106"/>
      <c r="QY7405" s="106"/>
      <c r="QZ7405" s="106"/>
      <c r="RA7405" s="106"/>
      <c r="RB7405" s="106"/>
      <c r="RC7405" s="106"/>
      <c r="RD7405" s="106"/>
      <c r="RE7405" s="106"/>
      <c r="RF7405" s="106"/>
      <c r="RG7405" s="106"/>
      <c r="RH7405" s="106"/>
      <c r="RI7405" s="106"/>
      <c r="RJ7405" s="106"/>
      <c r="RK7405" s="106"/>
      <c r="RL7405" s="106"/>
    </row>
    <row r="7406" spans="462:480" x14ac:dyDescent="0.3">
      <c r="QT7406" s="106"/>
      <c r="QU7406" s="106"/>
      <c r="QV7406" s="106"/>
      <c r="QW7406" s="106"/>
      <c r="QX7406" s="106"/>
      <c r="QY7406" s="106"/>
      <c r="QZ7406" s="106"/>
      <c r="RA7406" s="106"/>
      <c r="RB7406" s="106"/>
      <c r="RC7406" s="106"/>
      <c r="RD7406" s="106"/>
      <c r="RE7406" s="106"/>
      <c r="RF7406" s="106"/>
      <c r="RG7406" s="106"/>
      <c r="RH7406" s="106"/>
      <c r="RI7406" s="106"/>
      <c r="RJ7406" s="106"/>
      <c r="RK7406" s="106"/>
      <c r="RL7406" s="106"/>
    </row>
    <row r="7407" spans="462:480" x14ac:dyDescent="0.3">
      <c r="QT7407" s="106"/>
      <c r="QU7407" s="106"/>
      <c r="QV7407" s="106"/>
      <c r="QW7407" s="106"/>
      <c r="QX7407" s="106"/>
      <c r="QY7407" s="106"/>
      <c r="QZ7407" s="106"/>
      <c r="RA7407" s="106"/>
      <c r="RB7407" s="106"/>
      <c r="RC7407" s="106"/>
      <c r="RD7407" s="106"/>
      <c r="RE7407" s="106"/>
      <c r="RF7407" s="106"/>
      <c r="RG7407" s="106"/>
      <c r="RH7407" s="106"/>
      <c r="RI7407" s="106"/>
      <c r="RJ7407" s="106"/>
      <c r="RK7407" s="106"/>
      <c r="RL7407" s="106"/>
    </row>
    <row r="7408" spans="462:480" x14ac:dyDescent="0.3">
      <c r="QT7408" s="106"/>
      <c r="QU7408" s="106"/>
      <c r="QV7408" s="106"/>
      <c r="QW7408" s="106"/>
      <c r="QX7408" s="106"/>
      <c r="QY7408" s="106"/>
      <c r="QZ7408" s="106"/>
      <c r="RA7408" s="106"/>
      <c r="RB7408" s="106"/>
      <c r="RC7408" s="106"/>
      <c r="RD7408" s="106"/>
      <c r="RE7408" s="106"/>
      <c r="RF7408" s="106"/>
      <c r="RG7408" s="106"/>
      <c r="RH7408" s="106"/>
      <c r="RI7408" s="106"/>
      <c r="RJ7408" s="106"/>
      <c r="RK7408" s="106"/>
      <c r="RL7408" s="106"/>
    </row>
    <row r="7409" spans="462:480" x14ac:dyDescent="0.3">
      <c r="QT7409" s="106"/>
      <c r="QU7409" s="106"/>
      <c r="QV7409" s="106"/>
      <c r="QW7409" s="106"/>
      <c r="QX7409" s="106"/>
      <c r="QY7409" s="106"/>
      <c r="QZ7409" s="106"/>
      <c r="RA7409" s="106"/>
      <c r="RB7409" s="106"/>
      <c r="RC7409" s="106"/>
      <c r="RD7409" s="106"/>
      <c r="RE7409" s="106"/>
      <c r="RF7409" s="106"/>
      <c r="RG7409" s="106"/>
      <c r="RH7409" s="106"/>
      <c r="RI7409" s="106"/>
      <c r="RJ7409" s="106"/>
      <c r="RK7409" s="106"/>
      <c r="RL7409" s="106"/>
    </row>
    <row r="7410" spans="462:480" x14ac:dyDescent="0.3">
      <c r="QT7410" s="106"/>
      <c r="QU7410" s="106"/>
      <c r="QV7410" s="106"/>
      <c r="QW7410" s="106"/>
      <c r="QX7410" s="106"/>
      <c r="QY7410" s="106"/>
      <c r="QZ7410" s="106"/>
      <c r="RA7410" s="106"/>
      <c r="RB7410" s="106"/>
      <c r="RC7410" s="106"/>
      <c r="RD7410" s="106"/>
      <c r="RE7410" s="106"/>
      <c r="RF7410" s="106"/>
      <c r="RG7410" s="106"/>
      <c r="RH7410" s="106"/>
      <c r="RI7410" s="106"/>
      <c r="RJ7410" s="106"/>
      <c r="RK7410" s="106"/>
      <c r="RL7410" s="106"/>
    </row>
    <row r="7411" spans="462:480" x14ac:dyDescent="0.3">
      <c r="QT7411" s="106"/>
      <c r="QU7411" s="106"/>
      <c r="QV7411" s="106"/>
      <c r="QW7411" s="106"/>
      <c r="QX7411" s="106"/>
      <c r="QY7411" s="106"/>
      <c r="QZ7411" s="106"/>
      <c r="RA7411" s="106"/>
      <c r="RB7411" s="106"/>
      <c r="RC7411" s="106"/>
      <c r="RD7411" s="106"/>
      <c r="RE7411" s="106"/>
      <c r="RF7411" s="106"/>
      <c r="RG7411" s="106"/>
      <c r="RH7411" s="106"/>
      <c r="RI7411" s="106"/>
      <c r="RJ7411" s="106"/>
      <c r="RK7411" s="106"/>
      <c r="RL7411" s="106"/>
    </row>
    <row r="7412" spans="462:480" x14ac:dyDescent="0.3">
      <c r="QT7412" s="106"/>
      <c r="QU7412" s="106"/>
      <c r="QV7412" s="106"/>
      <c r="QW7412" s="106"/>
      <c r="QX7412" s="106"/>
      <c r="QY7412" s="106"/>
      <c r="QZ7412" s="106"/>
      <c r="RA7412" s="106"/>
      <c r="RB7412" s="106"/>
      <c r="RC7412" s="106"/>
      <c r="RD7412" s="106"/>
      <c r="RE7412" s="106"/>
      <c r="RF7412" s="106"/>
      <c r="RG7412" s="106"/>
      <c r="RH7412" s="106"/>
      <c r="RI7412" s="106"/>
      <c r="RJ7412" s="106"/>
      <c r="RK7412" s="106"/>
      <c r="RL7412" s="106"/>
    </row>
    <row r="7413" spans="462:480" x14ac:dyDescent="0.3">
      <c r="QT7413" s="106"/>
      <c r="QU7413" s="106"/>
      <c r="QV7413" s="106"/>
      <c r="QW7413" s="106"/>
      <c r="QX7413" s="106"/>
      <c r="QY7413" s="106"/>
      <c r="QZ7413" s="106"/>
      <c r="RA7413" s="106"/>
      <c r="RB7413" s="106"/>
      <c r="RC7413" s="106"/>
      <c r="RD7413" s="106"/>
      <c r="RE7413" s="106"/>
      <c r="RF7413" s="106"/>
      <c r="RG7413" s="106"/>
      <c r="RH7413" s="106"/>
      <c r="RI7413" s="106"/>
      <c r="RJ7413" s="106"/>
      <c r="RK7413" s="106"/>
      <c r="RL7413" s="106"/>
    </row>
    <row r="7414" spans="462:480" x14ac:dyDescent="0.3">
      <c r="QT7414" s="106"/>
      <c r="QU7414" s="106"/>
      <c r="QV7414" s="106"/>
      <c r="QW7414" s="106"/>
      <c r="QX7414" s="106"/>
      <c r="QY7414" s="106"/>
      <c r="QZ7414" s="106"/>
      <c r="RA7414" s="106"/>
      <c r="RB7414" s="106"/>
      <c r="RC7414" s="106"/>
      <c r="RD7414" s="106"/>
      <c r="RE7414" s="106"/>
      <c r="RF7414" s="106"/>
      <c r="RG7414" s="106"/>
      <c r="RH7414" s="106"/>
      <c r="RI7414" s="106"/>
      <c r="RJ7414" s="106"/>
      <c r="RK7414" s="106"/>
      <c r="RL7414" s="106"/>
    </row>
    <row r="7415" spans="462:480" x14ac:dyDescent="0.3">
      <c r="QT7415" s="106"/>
      <c r="QU7415" s="106"/>
      <c r="QV7415" s="106"/>
      <c r="QW7415" s="106"/>
      <c r="QX7415" s="106"/>
      <c r="QY7415" s="106"/>
      <c r="QZ7415" s="106"/>
      <c r="RA7415" s="106"/>
      <c r="RB7415" s="106"/>
      <c r="RC7415" s="106"/>
      <c r="RD7415" s="106"/>
      <c r="RE7415" s="106"/>
      <c r="RF7415" s="106"/>
      <c r="RG7415" s="106"/>
      <c r="RH7415" s="106"/>
      <c r="RI7415" s="106"/>
      <c r="RJ7415" s="106"/>
      <c r="RK7415" s="106"/>
      <c r="RL7415" s="106"/>
    </row>
    <row r="7416" spans="462:480" x14ac:dyDescent="0.3">
      <c r="QT7416" s="106"/>
      <c r="QU7416" s="106"/>
      <c r="QV7416" s="106"/>
      <c r="QW7416" s="106"/>
      <c r="QX7416" s="106"/>
      <c r="QY7416" s="106"/>
      <c r="QZ7416" s="106"/>
      <c r="RA7416" s="106"/>
      <c r="RB7416" s="106"/>
      <c r="RC7416" s="106"/>
      <c r="RD7416" s="106"/>
      <c r="RE7416" s="106"/>
      <c r="RF7416" s="106"/>
      <c r="RG7416" s="106"/>
      <c r="RH7416" s="106"/>
      <c r="RI7416" s="106"/>
      <c r="RJ7416" s="106"/>
      <c r="RK7416" s="106"/>
      <c r="RL7416" s="106"/>
    </row>
    <row r="7417" spans="462:480" x14ac:dyDescent="0.3">
      <c r="QT7417" s="106"/>
      <c r="QU7417" s="106"/>
      <c r="QV7417" s="106"/>
      <c r="QW7417" s="106"/>
      <c r="QX7417" s="106"/>
      <c r="QY7417" s="106"/>
      <c r="QZ7417" s="106"/>
      <c r="RA7417" s="106"/>
      <c r="RB7417" s="106"/>
      <c r="RC7417" s="106"/>
      <c r="RD7417" s="106"/>
      <c r="RE7417" s="106"/>
      <c r="RF7417" s="106"/>
      <c r="RG7417" s="106"/>
      <c r="RH7417" s="106"/>
      <c r="RI7417" s="106"/>
      <c r="RJ7417" s="106"/>
      <c r="RK7417" s="106"/>
      <c r="RL7417" s="106"/>
    </row>
    <row r="7418" spans="462:480" x14ac:dyDescent="0.3">
      <c r="QT7418" s="106"/>
      <c r="QU7418" s="106"/>
      <c r="QV7418" s="106"/>
      <c r="QW7418" s="106"/>
      <c r="QX7418" s="106"/>
      <c r="QY7418" s="106"/>
      <c r="QZ7418" s="106"/>
      <c r="RA7418" s="106"/>
      <c r="RB7418" s="106"/>
      <c r="RC7418" s="106"/>
      <c r="RD7418" s="106"/>
      <c r="RE7418" s="106"/>
      <c r="RF7418" s="106"/>
      <c r="RG7418" s="106"/>
      <c r="RH7418" s="106"/>
      <c r="RI7418" s="106"/>
      <c r="RJ7418" s="106"/>
      <c r="RK7418" s="106"/>
      <c r="RL7418" s="106"/>
    </row>
    <row r="7419" spans="462:480" x14ac:dyDescent="0.3">
      <c r="QT7419" s="106"/>
      <c r="QU7419" s="106"/>
      <c r="QV7419" s="106"/>
      <c r="QW7419" s="106"/>
      <c r="QX7419" s="106"/>
      <c r="QY7419" s="106"/>
      <c r="QZ7419" s="106"/>
      <c r="RA7419" s="106"/>
      <c r="RB7419" s="106"/>
      <c r="RC7419" s="106"/>
      <c r="RD7419" s="106"/>
      <c r="RE7419" s="106"/>
      <c r="RF7419" s="106"/>
      <c r="RG7419" s="106"/>
      <c r="RH7419" s="106"/>
      <c r="RI7419" s="106"/>
      <c r="RJ7419" s="106"/>
      <c r="RK7419" s="106"/>
      <c r="RL7419" s="106"/>
    </row>
    <row r="7420" spans="462:480" x14ac:dyDescent="0.3">
      <c r="QT7420" s="106"/>
      <c r="QU7420" s="106"/>
      <c r="QV7420" s="106"/>
      <c r="QW7420" s="106"/>
      <c r="QX7420" s="106"/>
      <c r="QY7420" s="106"/>
      <c r="QZ7420" s="106"/>
      <c r="RA7420" s="106"/>
      <c r="RB7420" s="106"/>
      <c r="RC7420" s="106"/>
      <c r="RD7420" s="106"/>
      <c r="RE7420" s="106"/>
      <c r="RF7420" s="106"/>
      <c r="RG7420" s="106"/>
      <c r="RH7420" s="106"/>
      <c r="RI7420" s="106"/>
      <c r="RJ7420" s="106"/>
      <c r="RK7420" s="106"/>
      <c r="RL7420" s="106"/>
    </row>
    <row r="7421" spans="462:480" x14ac:dyDescent="0.3">
      <c r="QT7421" s="106"/>
      <c r="QU7421" s="106"/>
      <c r="QV7421" s="106"/>
      <c r="QW7421" s="106"/>
      <c r="QX7421" s="106"/>
      <c r="QY7421" s="106"/>
      <c r="QZ7421" s="106"/>
      <c r="RA7421" s="106"/>
      <c r="RB7421" s="106"/>
      <c r="RC7421" s="106"/>
      <c r="RD7421" s="106"/>
      <c r="RE7421" s="106"/>
      <c r="RF7421" s="106"/>
      <c r="RG7421" s="106"/>
      <c r="RH7421" s="106"/>
      <c r="RI7421" s="106"/>
      <c r="RJ7421" s="106"/>
      <c r="RK7421" s="106"/>
      <c r="RL7421" s="106"/>
    </row>
    <row r="7422" spans="462:480" x14ac:dyDescent="0.3">
      <c r="QT7422" s="106"/>
      <c r="QU7422" s="106"/>
      <c r="QV7422" s="106"/>
      <c r="QW7422" s="106"/>
      <c r="QX7422" s="106"/>
      <c r="QY7422" s="106"/>
      <c r="QZ7422" s="106"/>
      <c r="RA7422" s="106"/>
      <c r="RB7422" s="106"/>
      <c r="RC7422" s="106"/>
      <c r="RD7422" s="106"/>
      <c r="RE7422" s="106"/>
      <c r="RF7422" s="106"/>
      <c r="RG7422" s="106"/>
      <c r="RH7422" s="106"/>
      <c r="RI7422" s="106"/>
      <c r="RJ7422" s="106"/>
      <c r="RK7422" s="106"/>
      <c r="RL7422" s="106"/>
    </row>
    <row r="7423" spans="462:480" x14ac:dyDescent="0.3">
      <c r="QT7423" s="106"/>
      <c r="QU7423" s="106"/>
      <c r="QV7423" s="106"/>
      <c r="QW7423" s="106"/>
      <c r="QX7423" s="106"/>
      <c r="QY7423" s="106"/>
      <c r="QZ7423" s="106"/>
      <c r="RA7423" s="106"/>
      <c r="RB7423" s="106"/>
      <c r="RC7423" s="106"/>
      <c r="RD7423" s="106"/>
      <c r="RE7423" s="106"/>
      <c r="RF7423" s="106"/>
      <c r="RG7423" s="106"/>
      <c r="RH7423" s="106"/>
      <c r="RI7423" s="106"/>
      <c r="RJ7423" s="106"/>
      <c r="RK7423" s="106"/>
      <c r="RL7423" s="106"/>
    </row>
    <row r="7424" spans="462:480" x14ac:dyDescent="0.3">
      <c r="QT7424" s="106"/>
      <c r="QU7424" s="106"/>
      <c r="QV7424" s="106"/>
      <c r="QW7424" s="106"/>
      <c r="QX7424" s="106"/>
      <c r="QY7424" s="106"/>
      <c r="QZ7424" s="106"/>
      <c r="RA7424" s="106"/>
      <c r="RB7424" s="106"/>
      <c r="RC7424" s="106"/>
      <c r="RD7424" s="106"/>
      <c r="RE7424" s="106"/>
      <c r="RF7424" s="106"/>
      <c r="RG7424" s="106"/>
      <c r="RH7424" s="106"/>
      <c r="RI7424" s="106"/>
      <c r="RJ7424" s="106"/>
      <c r="RK7424" s="106"/>
      <c r="RL7424" s="106"/>
    </row>
    <row r="7425" spans="462:480" x14ac:dyDescent="0.3">
      <c r="QT7425" s="106"/>
      <c r="QU7425" s="106"/>
      <c r="QV7425" s="106"/>
      <c r="QW7425" s="106"/>
      <c r="QX7425" s="106"/>
      <c r="QY7425" s="106"/>
      <c r="QZ7425" s="106"/>
      <c r="RA7425" s="106"/>
      <c r="RB7425" s="106"/>
      <c r="RC7425" s="106"/>
      <c r="RD7425" s="106"/>
      <c r="RE7425" s="106"/>
      <c r="RF7425" s="106"/>
      <c r="RG7425" s="106"/>
      <c r="RH7425" s="106"/>
      <c r="RI7425" s="106"/>
      <c r="RJ7425" s="106"/>
      <c r="RK7425" s="106"/>
      <c r="RL7425" s="106"/>
    </row>
    <row r="7426" spans="462:480" x14ac:dyDescent="0.3">
      <c r="QT7426" s="106"/>
      <c r="QU7426" s="106"/>
      <c r="QV7426" s="106"/>
      <c r="QW7426" s="106"/>
      <c r="QX7426" s="106"/>
      <c r="QY7426" s="106"/>
      <c r="QZ7426" s="106"/>
      <c r="RA7426" s="106"/>
      <c r="RB7426" s="106"/>
      <c r="RC7426" s="106"/>
      <c r="RD7426" s="106"/>
      <c r="RE7426" s="106"/>
      <c r="RF7426" s="106"/>
      <c r="RG7426" s="106"/>
      <c r="RH7426" s="106"/>
      <c r="RI7426" s="106"/>
      <c r="RJ7426" s="106"/>
      <c r="RK7426" s="106"/>
      <c r="RL7426" s="106"/>
    </row>
    <row r="7427" spans="462:480" x14ac:dyDescent="0.3">
      <c r="QT7427" s="106"/>
      <c r="QU7427" s="106"/>
      <c r="QV7427" s="106"/>
      <c r="QW7427" s="106"/>
      <c r="QX7427" s="106"/>
      <c r="QY7427" s="106"/>
      <c r="QZ7427" s="106"/>
      <c r="RA7427" s="106"/>
      <c r="RB7427" s="106"/>
      <c r="RC7427" s="106"/>
      <c r="RD7427" s="106"/>
      <c r="RE7427" s="106"/>
      <c r="RF7427" s="106"/>
      <c r="RG7427" s="106"/>
      <c r="RH7427" s="106"/>
      <c r="RI7427" s="106"/>
      <c r="RJ7427" s="106"/>
      <c r="RK7427" s="106"/>
      <c r="RL7427" s="106"/>
    </row>
    <row r="7428" spans="462:480" x14ac:dyDescent="0.3">
      <c r="QT7428" s="106"/>
      <c r="QU7428" s="106"/>
      <c r="QV7428" s="106"/>
      <c r="QW7428" s="106"/>
      <c r="QX7428" s="106"/>
      <c r="QY7428" s="106"/>
      <c r="QZ7428" s="106"/>
      <c r="RA7428" s="106"/>
      <c r="RB7428" s="106"/>
      <c r="RC7428" s="106"/>
      <c r="RD7428" s="106"/>
      <c r="RE7428" s="106"/>
      <c r="RF7428" s="106"/>
      <c r="RG7428" s="106"/>
      <c r="RH7428" s="106"/>
      <c r="RI7428" s="106"/>
      <c r="RJ7428" s="106"/>
      <c r="RK7428" s="106"/>
      <c r="RL7428" s="106"/>
    </row>
    <row r="7429" spans="462:480" x14ac:dyDescent="0.3">
      <c r="QT7429" s="106"/>
      <c r="QU7429" s="106"/>
      <c r="QV7429" s="106"/>
      <c r="QW7429" s="106"/>
      <c r="QX7429" s="106"/>
      <c r="QY7429" s="106"/>
      <c r="QZ7429" s="106"/>
      <c r="RA7429" s="106"/>
      <c r="RB7429" s="106"/>
      <c r="RC7429" s="106"/>
      <c r="RD7429" s="106"/>
      <c r="RE7429" s="106"/>
      <c r="RF7429" s="106"/>
      <c r="RG7429" s="106"/>
      <c r="RH7429" s="106"/>
      <c r="RI7429" s="106"/>
      <c r="RJ7429" s="106"/>
      <c r="RK7429" s="106"/>
      <c r="RL7429" s="106"/>
    </row>
    <row r="7430" spans="462:480" x14ac:dyDescent="0.3">
      <c r="QT7430" s="106"/>
      <c r="QU7430" s="106"/>
      <c r="QV7430" s="106"/>
      <c r="QW7430" s="106"/>
      <c r="QX7430" s="106"/>
      <c r="QY7430" s="106"/>
      <c r="QZ7430" s="106"/>
      <c r="RA7430" s="106"/>
      <c r="RB7430" s="106"/>
      <c r="RC7430" s="106"/>
      <c r="RD7430" s="106"/>
      <c r="RE7430" s="106"/>
      <c r="RF7430" s="106"/>
      <c r="RG7430" s="106"/>
      <c r="RH7430" s="106"/>
      <c r="RI7430" s="106"/>
      <c r="RJ7430" s="106"/>
      <c r="RK7430" s="106"/>
      <c r="RL7430" s="106"/>
    </row>
    <row r="7431" spans="462:480" x14ac:dyDescent="0.3">
      <c r="QT7431" s="106"/>
      <c r="QU7431" s="106"/>
      <c r="QV7431" s="106"/>
      <c r="QW7431" s="106"/>
      <c r="QX7431" s="106"/>
      <c r="QY7431" s="106"/>
      <c r="QZ7431" s="106"/>
      <c r="RA7431" s="106"/>
      <c r="RB7431" s="106"/>
      <c r="RC7431" s="106"/>
      <c r="RD7431" s="106"/>
      <c r="RE7431" s="106"/>
      <c r="RF7431" s="106"/>
      <c r="RG7431" s="106"/>
      <c r="RH7431" s="106"/>
      <c r="RI7431" s="106"/>
      <c r="RJ7431" s="106"/>
      <c r="RK7431" s="106"/>
      <c r="RL7431" s="106"/>
    </row>
    <row r="7432" spans="462:480" x14ac:dyDescent="0.3">
      <c r="QT7432" s="106"/>
      <c r="QU7432" s="106"/>
      <c r="QV7432" s="106"/>
      <c r="QW7432" s="106"/>
      <c r="QX7432" s="106"/>
      <c r="QY7432" s="106"/>
      <c r="QZ7432" s="106"/>
      <c r="RA7432" s="106"/>
      <c r="RB7432" s="106"/>
      <c r="RC7432" s="106"/>
      <c r="RD7432" s="106"/>
      <c r="RE7432" s="106"/>
      <c r="RF7432" s="106"/>
      <c r="RG7432" s="106"/>
      <c r="RH7432" s="106"/>
      <c r="RI7432" s="106"/>
      <c r="RJ7432" s="106"/>
      <c r="RK7432" s="106"/>
      <c r="RL7432" s="106"/>
    </row>
    <row r="7433" spans="462:480" x14ac:dyDescent="0.3">
      <c r="QT7433" s="106"/>
      <c r="QU7433" s="106"/>
      <c r="QV7433" s="106"/>
      <c r="QW7433" s="106"/>
      <c r="QX7433" s="106"/>
      <c r="QY7433" s="106"/>
      <c r="QZ7433" s="106"/>
      <c r="RA7433" s="106"/>
      <c r="RB7433" s="106"/>
      <c r="RC7433" s="106"/>
      <c r="RD7433" s="106"/>
      <c r="RE7433" s="106"/>
      <c r="RF7433" s="106"/>
      <c r="RG7433" s="106"/>
      <c r="RH7433" s="106"/>
      <c r="RI7433" s="106"/>
      <c r="RJ7433" s="106"/>
      <c r="RK7433" s="106"/>
      <c r="RL7433" s="106"/>
    </row>
    <row r="7434" spans="462:480" x14ac:dyDescent="0.3">
      <c r="QT7434" s="106"/>
      <c r="QU7434" s="106"/>
      <c r="QV7434" s="106"/>
      <c r="QW7434" s="106"/>
      <c r="QX7434" s="106"/>
      <c r="QY7434" s="106"/>
      <c r="QZ7434" s="106"/>
      <c r="RA7434" s="106"/>
      <c r="RB7434" s="106"/>
      <c r="RC7434" s="106"/>
      <c r="RD7434" s="106"/>
      <c r="RE7434" s="106"/>
      <c r="RF7434" s="106"/>
      <c r="RG7434" s="106"/>
      <c r="RH7434" s="106"/>
      <c r="RI7434" s="106"/>
      <c r="RJ7434" s="106"/>
      <c r="RK7434" s="106"/>
      <c r="RL7434" s="106"/>
    </row>
    <row r="7435" spans="462:480" x14ac:dyDescent="0.3">
      <c r="QT7435" s="106"/>
      <c r="QU7435" s="106"/>
      <c r="QV7435" s="106"/>
      <c r="QW7435" s="106"/>
      <c r="QX7435" s="106"/>
      <c r="QY7435" s="106"/>
      <c r="QZ7435" s="106"/>
      <c r="RA7435" s="106"/>
      <c r="RB7435" s="106"/>
      <c r="RC7435" s="106"/>
      <c r="RD7435" s="106"/>
      <c r="RE7435" s="106"/>
      <c r="RF7435" s="106"/>
      <c r="RG7435" s="106"/>
      <c r="RH7435" s="106"/>
      <c r="RI7435" s="106"/>
      <c r="RJ7435" s="106"/>
      <c r="RK7435" s="106"/>
      <c r="RL7435" s="106"/>
    </row>
    <row r="7436" spans="462:480" x14ac:dyDescent="0.3">
      <c r="QT7436" s="106"/>
      <c r="QU7436" s="106"/>
      <c r="QV7436" s="106"/>
      <c r="QW7436" s="106"/>
      <c r="QX7436" s="106"/>
      <c r="QY7436" s="106"/>
      <c r="QZ7436" s="106"/>
      <c r="RA7436" s="106"/>
      <c r="RB7436" s="106"/>
      <c r="RC7436" s="106"/>
      <c r="RD7436" s="106"/>
      <c r="RE7436" s="106"/>
      <c r="RF7436" s="106"/>
      <c r="RG7436" s="106"/>
      <c r="RH7436" s="106"/>
      <c r="RI7436" s="106"/>
      <c r="RJ7436" s="106"/>
      <c r="RK7436" s="106"/>
      <c r="RL7436" s="106"/>
    </row>
    <row r="7437" spans="462:480" x14ac:dyDescent="0.3">
      <c r="QT7437" s="106"/>
      <c r="QU7437" s="106"/>
      <c r="QV7437" s="106"/>
      <c r="QW7437" s="106"/>
      <c r="QX7437" s="106"/>
      <c r="QY7437" s="106"/>
      <c r="QZ7437" s="106"/>
      <c r="RA7437" s="106"/>
      <c r="RB7437" s="106"/>
      <c r="RC7437" s="106"/>
      <c r="RD7437" s="106"/>
      <c r="RE7437" s="106"/>
      <c r="RF7437" s="106"/>
      <c r="RG7437" s="106"/>
      <c r="RH7437" s="106"/>
      <c r="RI7437" s="106"/>
      <c r="RJ7437" s="106"/>
      <c r="RK7437" s="106"/>
      <c r="RL7437" s="106"/>
    </row>
    <row r="7438" spans="462:480" x14ac:dyDescent="0.3">
      <c r="QT7438" s="106"/>
      <c r="QU7438" s="106"/>
      <c r="QV7438" s="106"/>
      <c r="QW7438" s="106"/>
      <c r="QX7438" s="106"/>
      <c r="QY7438" s="106"/>
      <c r="QZ7438" s="106"/>
      <c r="RA7438" s="106"/>
      <c r="RB7438" s="106"/>
      <c r="RC7438" s="106"/>
      <c r="RD7438" s="106"/>
      <c r="RE7438" s="106"/>
      <c r="RF7438" s="106"/>
      <c r="RG7438" s="106"/>
      <c r="RH7438" s="106"/>
      <c r="RI7438" s="106"/>
      <c r="RJ7438" s="106"/>
      <c r="RK7438" s="106"/>
      <c r="RL7438" s="106"/>
    </row>
    <row r="7439" spans="462:480" x14ac:dyDescent="0.3">
      <c r="QT7439" s="106"/>
      <c r="QU7439" s="106"/>
      <c r="QV7439" s="106"/>
      <c r="QW7439" s="106"/>
      <c r="QX7439" s="106"/>
      <c r="QY7439" s="106"/>
      <c r="QZ7439" s="106"/>
      <c r="RA7439" s="106"/>
      <c r="RB7439" s="106"/>
      <c r="RC7439" s="106"/>
      <c r="RD7439" s="106"/>
      <c r="RE7439" s="106"/>
      <c r="RF7439" s="106"/>
      <c r="RG7439" s="106"/>
      <c r="RH7439" s="106"/>
      <c r="RI7439" s="106"/>
      <c r="RJ7439" s="106"/>
      <c r="RK7439" s="106"/>
      <c r="RL7439" s="106"/>
    </row>
    <row r="7440" spans="462:480" x14ac:dyDescent="0.3">
      <c r="QT7440" s="106"/>
      <c r="QU7440" s="106"/>
      <c r="QV7440" s="106"/>
      <c r="QW7440" s="106"/>
      <c r="QX7440" s="106"/>
      <c r="QY7440" s="106"/>
      <c r="QZ7440" s="106"/>
      <c r="RA7440" s="106"/>
      <c r="RB7440" s="106"/>
      <c r="RC7440" s="106"/>
      <c r="RD7440" s="106"/>
      <c r="RE7440" s="106"/>
      <c r="RF7440" s="106"/>
      <c r="RG7440" s="106"/>
      <c r="RH7440" s="106"/>
      <c r="RI7440" s="106"/>
      <c r="RJ7440" s="106"/>
      <c r="RK7440" s="106"/>
      <c r="RL7440" s="106"/>
    </row>
    <row r="7441" spans="462:480" x14ac:dyDescent="0.3">
      <c r="QT7441" s="106"/>
      <c r="QU7441" s="106"/>
      <c r="QV7441" s="106"/>
      <c r="QW7441" s="106"/>
      <c r="QX7441" s="106"/>
      <c r="QY7441" s="106"/>
      <c r="QZ7441" s="106"/>
      <c r="RA7441" s="106"/>
      <c r="RB7441" s="106"/>
      <c r="RC7441" s="106"/>
      <c r="RD7441" s="106"/>
      <c r="RE7441" s="106"/>
      <c r="RF7441" s="106"/>
      <c r="RG7441" s="106"/>
      <c r="RH7441" s="106"/>
      <c r="RI7441" s="106"/>
      <c r="RJ7441" s="106"/>
      <c r="RK7441" s="106"/>
      <c r="RL7441" s="106"/>
    </row>
    <row r="7442" spans="462:480" x14ac:dyDescent="0.3">
      <c r="QT7442" s="106"/>
      <c r="QU7442" s="106"/>
      <c r="QV7442" s="106"/>
      <c r="QW7442" s="106"/>
      <c r="QX7442" s="106"/>
      <c r="QY7442" s="106"/>
      <c r="QZ7442" s="106"/>
      <c r="RA7442" s="106"/>
      <c r="RB7442" s="106"/>
      <c r="RC7442" s="106"/>
      <c r="RD7442" s="106"/>
      <c r="RE7442" s="106"/>
      <c r="RF7442" s="106"/>
      <c r="RG7442" s="106"/>
      <c r="RH7442" s="106"/>
      <c r="RI7442" s="106"/>
      <c r="RJ7442" s="106"/>
      <c r="RK7442" s="106"/>
      <c r="RL7442" s="106"/>
    </row>
    <row r="7443" spans="462:480" x14ac:dyDescent="0.3">
      <c r="QT7443" s="106"/>
      <c r="QU7443" s="106"/>
      <c r="QV7443" s="106"/>
      <c r="QW7443" s="106"/>
      <c r="QX7443" s="106"/>
      <c r="QY7443" s="106"/>
      <c r="QZ7443" s="106"/>
      <c r="RA7443" s="106"/>
      <c r="RB7443" s="106"/>
      <c r="RC7443" s="106"/>
      <c r="RD7443" s="106"/>
      <c r="RE7443" s="106"/>
      <c r="RF7443" s="106"/>
      <c r="RG7443" s="106"/>
      <c r="RH7443" s="106"/>
      <c r="RI7443" s="106"/>
      <c r="RJ7443" s="106"/>
      <c r="RK7443" s="106"/>
      <c r="RL7443" s="106"/>
    </row>
    <row r="7444" spans="462:480" x14ac:dyDescent="0.3">
      <c r="QT7444" s="106"/>
      <c r="QU7444" s="106"/>
      <c r="QV7444" s="106"/>
      <c r="QW7444" s="106"/>
      <c r="QX7444" s="106"/>
      <c r="QY7444" s="106"/>
      <c r="QZ7444" s="106"/>
      <c r="RA7444" s="106"/>
      <c r="RB7444" s="106"/>
      <c r="RC7444" s="106"/>
      <c r="RD7444" s="106"/>
      <c r="RE7444" s="106"/>
      <c r="RF7444" s="106"/>
      <c r="RG7444" s="106"/>
      <c r="RH7444" s="106"/>
      <c r="RI7444" s="106"/>
      <c r="RJ7444" s="106"/>
      <c r="RK7444" s="106"/>
      <c r="RL7444" s="106"/>
    </row>
    <row r="7445" spans="462:480" x14ac:dyDescent="0.3">
      <c r="QT7445" s="106"/>
      <c r="QU7445" s="106"/>
      <c r="QV7445" s="106"/>
      <c r="QW7445" s="106"/>
      <c r="QX7445" s="106"/>
      <c r="QY7445" s="106"/>
      <c r="QZ7445" s="106"/>
      <c r="RA7445" s="106"/>
      <c r="RB7445" s="106"/>
      <c r="RC7445" s="106"/>
      <c r="RD7445" s="106"/>
      <c r="RE7445" s="106"/>
      <c r="RF7445" s="106"/>
      <c r="RG7445" s="106"/>
      <c r="RH7445" s="106"/>
      <c r="RI7445" s="106"/>
      <c r="RJ7445" s="106"/>
      <c r="RK7445" s="106"/>
      <c r="RL7445" s="106"/>
    </row>
    <row r="7446" spans="462:480" x14ac:dyDescent="0.3">
      <c r="QT7446" s="106"/>
      <c r="QU7446" s="106"/>
      <c r="QV7446" s="106"/>
      <c r="QW7446" s="106"/>
      <c r="QX7446" s="106"/>
      <c r="QY7446" s="106"/>
      <c r="QZ7446" s="106"/>
      <c r="RA7446" s="106"/>
      <c r="RB7446" s="106"/>
      <c r="RC7446" s="106"/>
      <c r="RD7446" s="106"/>
      <c r="RE7446" s="106"/>
      <c r="RF7446" s="106"/>
      <c r="RG7446" s="106"/>
      <c r="RH7446" s="106"/>
      <c r="RI7446" s="106"/>
      <c r="RJ7446" s="106"/>
      <c r="RK7446" s="106"/>
      <c r="RL7446" s="106"/>
    </row>
    <row r="7447" spans="462:480" x14ac:dyDescent="0.3">
      <c r="QT7447" s="106"/>
      <c r="QU7447" s="106"/>
      <c r="QV7447" s="106"/>
      <c r="QW7447" s="106"/>
      <c r="QX7447" s="106"/>
      <c r="QY7447" s="106"/>
      <c r="QZ7447" s="106"/>
      <c r="RA7447" s="106"/>
      <c r="RB7447" s="106"/>
      <c r="RC7447" s="106"/>
      <c r="RD7447" s="106"/>
      <c r="RE7447" s="106"/>
      <c r="RF7447" s="106"/>
      <c r="RG7447" s="106"/>
      <c r="RH7447" s="106"/>
      <c r="RI7447" s="106"/>
      <c r="RJ7447" s="106"/>
      <c r="RK7447" s="106"/>
      <c r="RL7447" s="106"/>
    </row>
    <row r="7448" spans="462:480" x14ac:dyDescent="0.3">
      <c r="QT7448" s="106"/>
      <c r="QU7448" s="106"/>
      <c r="QV7448" s="106"/>
      <c r="QW7448" s="106"/>
      <c r="QX7448" s="106"/>
      <c r="QY7448" s="106"/>
      <c r="QZ7448" s="106"/>
      <c r="RA7448" s="106"/>
      <c r="RB7448" s="106"/>
      <c r="RC7448" s="106"/>
      <c r="RD7448" s="106"/>
      <c r="RE7448" s="106"/>
      <c r="RF7448" s="106"/>
      <c r="RG7448" s="106"/>
      <c r="RH7448" s="106"/>
      <c r="RI7448" s="106"/>
      <c r="RJ7448" s="106"/>
      <c r="RK7448" s="106"/>
      <c r="RL7448" s="106"/>
    </row>
    <row r="7449" spans="462:480" x14ac:dyDescent="0.3">
      <c r="QT7449" s="106"/>
      <c r="QU7449" s="106"/>
      <c r="QV7449" s="106"/>
      <c r="QW7449" s="106"/>
      <c r="QX7449" s="106"/>
      <c r="QY7449" s="106"/>
      <c r="QZ7449" s="106"/>
      <c r="RA7449" s="106"/>
      <c r="RB7449" s="106"/>
      <c r="RC7449" s="106"/>
      <c r="RD7449" s="106"/>
      <c r="RE7449" s="106"/>
      <c r="RF7449" s="106"/>
      <c r="RG7449" s="106"/>
      <c r="RH7449" s="106"/>
      <c r="RI7449" s="106"/>
      <c r="RJ7449" s="106"/>
      <c r="RK7449" s="106"/>
      <c r="RL7449" s="106"/>
    </row>
    <row r="7450" spans="462:480" x14ac:dyDescent="0.3">
      <c r="QT7450" s="106"/>
      <c r="QU7450" s="106"/>
      <c r="QV7450" s="106"/>
      <c r="QW7450" s="106"/>
      <c r="QX7450" s="106"/>
      <c r="QY7450" s="106"/>
      <c r="QZ7450" s="106"/>
      <c r="RA7450" s="106"/>
      <c r="RB7450" s="106"/>
      <c r="RC7450" s="106"/>
      <c r="RD7450" s="106"/>
      <c r="RE7450" s="106"/>
      <c r="RF7450" s="106"/>
      <c r="RG7450" s="106"/>
      <c r="RH7450" s="106"/>
      <c r="RI7450" s="106"/>
      <c r="RJ7450" s="106"/>
      <c r="RK7450" s="106"/>
      <c r="RL7450" s="106"/>
    </row>
    <row r="7451" spans="462:480" x14ac:dyDescent="0.3">
      <c r="QT7451" s="106"/>
      <c r="QU7451" s="106"/>
      <c r="QV7451" s="106"/>
      <c r="QW7451" s="106"/>
      <c r="QX7451" s="106"/>
      <c r="QY7451" s="106"/>
      <c r="QZ7451" s="106"/>
      <c r="RA7451" s="106"/>
      <c r="RB7451" s="106"/>
      <c r="RC7451" s="106"/>
      <c r="RD7451" s="106"/>
      <c r="RE7451" s="106"/>
      <c r="RF7451" s="106"/>
      <c r="RG7451" s="106"/>
      <c r="RH7451" s="106"/>
      <c r="RI7451" s="106"/>
      <c r="RJ7451" s="106"/>
      <c r="RK7451" s="106"/>
      <c r="RL7451" s="106"/>
    </row>
    <row r="7452" spans="462:480" x14ac:dyDescent="0.3">
      <c r="QT7452" s="106"/>
      <c r="QU7452" s="106"/>
      <c r="QV7452" s="106"/>
      <c r="QW7452" s="106"/>
      <c r="QX7452" s="106"/>
      <c r="QY7452" s="106"/>
      <c r="QZ7452" s="106"/>
      <c r="RA7452" s="106"/>
      <c r="RB7452" s="106"/>
      <c r="RC7452" s="106"/>
      <c r="RD7452" s="106"/>
      <c r="RE7452" s="106"/>
      <c r="RF7452" s="106"/>
      <c r="RG7452" s="106"/>
      <c r="RH7452" s="106"/>
      <c r="RI7452" s="106"/>
      <c r="RJ7452" s="106"/>
      <c r="RK7452" s="106"/>
      <c r="RL7452" s="106"/>
    </row>
    <row r="7453" spans="462:480" x14ac:dyDescent="0.3">
      <c r="QT7453" s="106"/>
      <c r="QU7453" s="106"/>
      <c r="QV7453" s="106"/>
      <c r="QW7453" s="106"/>
      <c r="QX7453" s="106"/>
      <c r="QY7453" s="106"/>
      <c r="QZ7453" s="106"/>
      <c r="RA7453" s="106"/>
      <c r="RB7453" s="106"/>
      <c r="RC7453" s="106"/>
      <c r="RD7453" s="106"/>
      <c r="RE7453" s="106"/>
      <c r="RF7453" s="106"/>
      <c r="RG7453" s="106"/>
      <c r="RH7453" s="106"/>
      <c r="RI7453" s="106"/>
      <c r="RJ7453" s="106"/>
      <c r="RK7453" s="106"/>
      <c r="RL7453" s="106"/>
    </row>
    <row r="7454" spans="462:480" x14ac:dyDescent="0.3">
      <c r="QT7454" s="106"/>
      <c r="QU7454" s="106"/>
      <c r="QV7454" s="106"/>
      <c r="QW7454" s="106"/>
      <c r="QX7454" s="106"/>
      <c r="QY7454" s="106"/>
      <c r="QZ7454" s="106"/>
      <c r="RA7454" s="106"/>
      <c r="RB7454" s="106"/>
      <c r="RC7454" s="106"/>
      <c r="RD7454" s="106"/>
      <c r="RE7454" s="106"/>
      <c r="RF7454" s="106"/>
      <c r="RG7454" s="106"/>
      <c r="RH7454" s="106"/>
      <c r="RI7454" s="106"/>
      <c r="RJ7454" s="106"/>
      <c r="RK7454" s="106"/>
      <c r="RL7454" s="106"/>
    </row>
    <row r="7455" spans="462:480" x14ac:dyDescent="0.3">
      <c r="QT7455" s="106"/>
      <c r="QU7455" s="106"/>
      <c r="QV7455" s="106"/>
      <c r="QW7455" s="106"/>
      <c r="QX7455" s="106"/>
      <c r="QY7455" s="106"/>
      <c r="QZ7455" s="106"/>
      <c r="RA7455" s="106"/>
      <c r="RB7455" s="106"/>
      <c r="RC7455" s="106"/>
      <c r="RD7455" s="106"/>
      <c r="RE7455" s="106"/>
      <c r="RF7455" s="106"/>
      <c r="RG7455" s="106"/>
      <c r="RH7455" s="106"/>
      <c r="RI7455" s="106"/>
      <c r="RJ7455" s="106"/>
      <c r="RK7455" s="106"/>
      <c r="RL7455" s="106"/>
    </row>
    <row r="7456" spans="462:480" x14ac:dyDescent="0.3">
      <c r="QT7456" s="106"/>
      <c r="QU7456" s="106"/>
      <c r="QV7456" s="106"/>
      <c r="QW7456" s="106"/>
      <c r="QX7456" s="106"/>
      <c r="QY7456" s="106"/>
      <c r="QZ7456" s="106"/>
      <c r="RA7456" s="106"/>
      <c r="RB7456" s="106"/>
      <c r="RC7456" s="106"/>
      <c r="RD7456" s="106"/>
      <c r="RE7456" s="106"/>
      <c r="RF7456" s="106"/>
      <c r="RG7456" s="106"/>
      <c r="RH7456" s="106"/>
      <c r="RI7456" s="106"/>
      <c r="RJ7456" s="106"/>
      <c r="RK7456" s="106"/>
      <c r="RL7456" s="106"/>
    </row>
    <row r="7457" spans="462:480" x14ac:dyDescent="0.3">
      <c r="QT7457" s="106"/>
      <c r="QU7457" s="106"/>
      <c r="QV7457" s="106"/>
      <c r="QW7457" s="106"/>
      <c r="QX7457" s="106"/>
      <c r="QY7457" s="106"/>
      <c r="QZ7457" s="106"/>
      <c r="RA7457" s="106"/>
      <c r="RB7457" s="106"/>
      <c r="RC7457" s="106"/>
      <c r="RD7457" s="106"/>
      <c r="RE7457" s="106"/>
      <c r="RF7457" s="106"/>
      <c r="RG7457" s="106"/>
      <c r="RH7457" s="106"/>
      <c r="RI7457" s="106"/>
      <c r="RJ7457" s="106"/>
      <c r="RK7457" s="106"/>
      <c r="RL7457" s="106"/>
    </row>
    <row r="7458" spans="462:480" x14ac:dyDescent="0.3">
      <c r="QT7458" s="106"/>
      <c r="QU7458" s="106"/>
      <c r="QV7458" s="106"/>
      <c r="QW7458" s="106"/>
      <c r="QX7458" s="106"/>
      <c r="QY7458" s="106"/>
      <c r="QZ7458" s="106"/>
      <c r="RA7458" s="106"/>
      <c r="RB7458" s="106"/>
      <c r="RC7458" s="106"/>
      <c r="RD7458" s="106"/>
      <c r="RE7458" s="106"/>
      <c r="RF7458" s="106"/>
      <c r="RG7458" s="106"/>
      <c r="RH7458" s="106"/>
      <c r="RI7458" s="106"/>
      <c r="RJ7458" s="106"/>
      <c r="RK7458" s="106"/>
      <c r="RL7458" s="106"/>
    </row>
    <row r="7459" spans="462:480" x14ac:dyDescent="0.3">
      <c r="QT7459" s="106"/>
      <c r="QU7459" s="106"/>
      <c r="QV7459" s="106"/>
      <c r="QW7459" s="106"/>
      <c r="QX7459" s="106"/>
      <c r="QY7459" s="106"/>
      <c r="QZ7459" s="106"/>
      <c r="RA7459" s="106"/>
      <c r="RB7459" s="106"/>
      <c r="RC7459" s="106"/>
      <c r="RD7459" s="106"/>
      <c r="RE7459" s="106"/>
      <c r="RF7459" s="106"/>
      <c r="RG7459" s="106"/>
      <c r="RH7459" s="106"/>
      <c r="RI7459" s="106"/>
      <c r="RJ7459" s="106"/>
      <c r="RK7459" s="106"/>
      <c r="RL7459" s="106"/>
    </row>
    <row r="7460" spans="462:480" x14ac:dyDescent="0.3">
      <c r="QT7460" s="106"/>
      <c r="QU7460" s="106"/>
      <c r="QV7460" s="106"/>
      <c r="QW7460" s="106"/>
      <c r="QX7460" s="106"/>
      <c r="QY7460" s="106"/>
      <c r="QZ7460" s="106"/>
      <c r="RA7460" s="106"/>
      <c r="RB7460" s="106"/>
      <c r="RC7460" s="106"/>
      <c r="RD7460" s="106"/>
      <c r="RE7460" s="106"/>
      <c r="RF7460" s="106"/>
      <c r="RG7460" s="106"/>
      <c r="RH7460" s="106"/>
      <c r="RI7460" s="106"/>
      <c r="RJ7460" s="106"/>
      <c r="RK7460" s="106"/>
      <c r="RL7460" s="106"/>
    </row>
    <row r="7461" spans="462:480" x14ac:dyDescent="0.3">
      <c r="QT7461" s="106"/>
      <c r="QU7461" s="106"/>
      <c r="QV7461" s="106"/>
      <c r="QW7461" s="106"/>
      <c r="QX7461" s="106"/>
      <c r="QY7461" s="106"/>
      <c r="QZ7461" s="106"/>
      <c r="RA7461" s="106"/>
      <c r="RB7461" s="106"/>
      <c r="RC7461" s="106"/>
      <c r="RD7461" s="106"/>
      <c r="RE7461" s="106"/>
      <c r="RF7461" s="106"/>
      <c r="RG7461" s="106"/>
      <c r="RH7461" s="106"/>
      <c r="RI7461" s="106"/>
      <c r="RJ7461" s="106"/>
      <c r="RK7461" s="106"/>
      <c r="RL7461" s="106"/>
    </row>
    <row r="7462" spans="462:480" x14ac:dyDescent="0.3">
      <c r="QT7462" s="106"/>
      <c r="QU7462" s="106"/>
      <c r="QV7462" s="106"/>
      <c r="QW7462" s="106"/>
      <c r="QX7462" s="106"/>
      <c r="QY7462" s="106"/>
      <c r="QZ7462" s="106"/>
      <c r="RA7462" s="106"/>
      <c r="RB7462" s="106"/>
      <c r="RC7462" s="106"/>
      <c r="RD7462" s="106"/>
      <c r="RE7462" s="106"/>
      <c r="RF7462" s="106"/>
      <c r="RG7462" s="106"/>
      <c r="RH7462" s="106"/>
      <c r="RI7462" s="106"/>
      <c r="RJ7462" s="106"/>
      <c r="RK7462" s="106"/>
      <c r="RL7462" s="106"/>
    </row>
    <row r="7463" spans="462:480" x14ac:dyDescent="0.3">
      <c r="QT7463" s="106"/>
      <c r="QU7463" s="106"/>
      <c r="QV7463" s="106"/>
      <c r="QW7463" s="106"/>
      <c r="QX7463" s="106"/>
      <c r="QY7463" s="106"/>
      <c r="QZ7463" s="106"/>
      <c r="RA7463" s="106"/>
      <c r="RB7463" s="106"/>
      <c r="RC7463" s="106"/>
      <c r="RD7463" s="106"/>
      <c r="RE7463" s="106"/>
      <c r="RF7463" s="106"/>
      <c r="RG7463" s="106"/>
      <c r="RH7463" s="106"/>
      <c r="RI7463" s="106"/>
      <c r="RJ7463" s="106"/>
      <c r="RK7463" s="106"/>
      <c r="RL7463" s="106"/>
    </row>
    <row r="7464" spans="462:480" x14ac:dyDescent="0.3">
      <c r="QT7464" s="106"/>
      <c r="QU7464" s="106"/>
      <c r="QV7464" s="106"/>
      <c r="QW7464" s="106"/>
      <c r="QX7464" s="106"/>
      <c r="QY7464" s="106"/>
      <c r="QZ7464" s="106"/>
      <c r="RA7464" s="106"/>
      <c r="RB7464" s="106"/>
      <c r="RC7464" s="106"/>
      <c r="RD7464" s="106"/>
      <c r="RE7464" s="106"/>
      <c r="RF7464" s="106"/>
      <c r="RG7464" s="106"/>
      <c r="RH7464" s="106"/>
      <c r="RI7464" s="106"/>
      <c r="RJ7464" s="106"/>
      <c r="RK7464" s="106"/>
      <c r="RL7464" s="106"/>
    </row>
    <row r="7465" spans="462:480" x14ac:dyDescent="0.3">
      <c r="QT7465" s="106"/>
      <c r="QU7465" s="106"/>
      <c r="QV7465" s="106"/>
      <c r="QW7465" s="106"/>
      <c r="QX7465" s="106"/>
      <c r="QY7465" s="106"/>
      <c r="QZ7465" s="106"/>
      <c r="RA7465" s="106"/>
      <c r="RB7465" s="106"/>
      <c r="RC7465" s="106"/>
      <c r="RD7465" s="106"/>
      <c r="RE7465" s="106"/>
      <c r="RF7465" s="106"/>
      <c r="RG7465" s="106"/>
      <c r="RH7465" s="106"/>
      <c r="RI7465" s="106"/>
      <c r="RJ7465" s="106"/>
      <c r="RK7465" s="106"/>
      <c r="RL7465" s="106"/>
    </row>
    <row r="7466" spans="462:480" x14ac:dyDescent="0.3">
      <c r="QT7466" s="106"/>
      <c r="QU7466" s="106"/>
      <c r="QV7466" s="106"/>
      <c r="QW7466" s="106"/>
      <c r="QX7466" s="106"/>
      <c r="QY7466" s="106"/>
      <c r="QZ7466" s="106"/>
      <c r="RA7466" s="106"/>
      <c r="RB7466" s="106"/>
      <c r="RC7466" s="106"/>
      <c r="RD7466" s="106"/>
      <c r="RE7466" s="106"/>
      <c r="RF7466" s="106"/>
      <c r="RG7466" s="106"/>
      <c r="RH7466" s="106"/>
      <c r="RI7466" s="106"/>
      <c r="RJ7466" s="106"/>
      <c r="RK7466" s="106"/>
      <c r="RL7466" s="106"/>
    </row>
    <row r="7467" spans="462:480" x14ac:dyDescent="0.3">
      <c r="QT7467" s="106"/>
      <c r="QU7467" s="106"/>
      <c r="QV7467" s="106"/>
      <c r="QW7467" s="106"/>
      <c r="QX7467" s="106"/>
      <c r="QY7467" s="106"/>
      <c r="QZ7467" s="106"/>
      <c r="RA7467" s="106"/>
      <c r="RB7467" s="106"/>
      <c r="RC7467" s="106"/>
      <c r="RD7467" s="106"/>
      <c r="RE7467" s="106"/>
      <c r="RF7467" s="106"/>
      <c r="RG7467" s="106"/>
      <c r="RH7467" s="106"/>
      <c r="RI7467" s="106"/>
      <c r="RJ7467" s="106"/>
      <c r="RK7467" s="106"/>
      <c r="RL7467" s="106"/>
    </row>
    <row r="7468" spans="462:480" x14ac:dyDescent="0.3">
      <c r="QT7468" s="106"/>
      <c r="QU7468" s="106"/>
      <c r="QV7468" s="106"/>
      <c r="QW7468" s="106"/>
      <c r="QX7468" s="106"/>
      <c r="QY7468" s="106"/>
      <c r="QZ7468" s="106"/>
      <c r="RA7468" s="106"/>
      <c r="RB7468" s="106"/>
      <c r="RC7468" s="106"/>
      <c r="RD7468" s="106"/>
      <c r="RE7468" s="106"/>
      <c r="RF7468" s="106"/>
      <c r="RG7468" s="106"/>
      <c r="RH7468" s="106"/>
      <c r="RI7468" s="106"/>
      <c r="RJ7468" s="106"/>
      <c r="RK7468" s="106"/>
      <c r="RL7468" s="106"/>
    </row>
    <row r="7469" spans="462:480" x14ac:dyDescent="0.3">
      <c r="QT7469" s="106"/>
      <c r="QU7469" s="106"/>
      <c r="QV7469" s="106"/>
      <c r="QW7469" s="106"/>
      <c r="QX7469" s="106"/>
      <c r="QY7469" s="106"/>
      <c r="QZ7469" s="106"/>
      <c r="RA7469" s="106"/>
      <c r="RB7469" s="106"/>
      <c r="RC7469" s="106"/>
      <c r="RD7469" s="106"/>
      <c r="RE7469" s="106"/>
      <c r="RF7469" s="106"/>
      <c r="RG7469" s="106"/>
      <c r="RH7469" s="106"/>
      <c r="RI7469" s="106"/>
      <c r="RJ7469" s="106"/>
      <c r="RK7469" s="106"/>
      <c r="RL7469" s="106"/>
    </row>
    <row r="7470" spans="462:480" x14ac:dyDescent="0.3">
      <c r="QT7470" s="106"/>
      <c r="QU7470" s="106"/>
      <c r="QV7470" s="106"/>
      <c r="QW7470" s="106"/>
      <c r="QX7470" s="106"/>
      <c r="QY7470" s="106"/>
      <c r="QZ7470" s="106"/>
      <c r="RA7470" s="106"/>
      <c r="RB7470" s="106"/>
      <c r="RC7470" s="106"/>
      <c r="RD7470" s="106"/>
      <c r="RE7470" s="106"/>
      <c r="RF7470" s="106"/>
      <c r="RG7470" s="106"/>
      <c r="RH7470" s="106"/>
      <c r="RI7470" s="106"/>
      <c r="RJ7470" s="106"/>
      <c r="RK7470" s="106"/>
      <c r="RL7470" s="106"/>
    </row>
    <row r="7471" spans="462:480" x14ac:dyDescent="0.3">
      <c r="QT7471" s="106"/>
      <c r="QU7471" s="106"/>
      <c r="QV7471" s="106"/>
      <c r="QW7471" s="106"/>
      <c r="QX7471" s="106"/>
      <c r="QY7471" s="106"/>
      <c r="QZ7471" s="106"/>
      <c r="RA7471" s="106"/>
      <c r="RB7471" s="106"/>
      <c r="RC7471" s="106"/>
      <c r="RD7471" s="106"/>
      <c r="RE7471" s="106"/>
      <c r="RF7471" s="106"/>
      <c r="RG7471" s="106"/>
      <c r="RH7471" s="106"/>
      <c r="RI7471" s="106"/>
      <c r="RJ7471" s="106"/>
      <c r="RK7471" s="106"/>
      <c r="RL7471" s="106"/>
    </row>
    <row r="7472" spans="462:480" x14ac:dyDescent="0.3">
      <c r="QT7472" s="106"/>
      <c r="QU7472" s="106"/>
      <c r="QV7472" s="106"/>
      <c r="QW7472" s="106"/>
      <c r="QX7472" s="106"/>
      <c r="QY7472" s="106"/>
      <c r="QZ7472" s="106"/>
      <c r="RA7472" s="106"/>
      <c r="RB7472" s="106"/>
      <c r="RC7472" s="106"/>
      <c r="RD7472" s="106"/>
      <c r="RE7472" s="106"/>
      <c r="RF7472" s="106"/>
      <c r="RG7472" s="106"/>
      <c r="RH7472" s="106"/>
      <c r="RI7472" s="106"/>
      <c r="RJ7472" s="106"/>
      <c r="RK7472" s="106"/>
      <c r="RL7472" s="106"/>
    </row>
    <row r="7473" spans="462:480" x14ac:dyDescent="0.3">
      <c r="QT7473" s="106"/>
      <c r="QU7473" s="106"/>
      <c r="QV7473" s="106"/>
      <c r="QW7473" s="106"/>
      <c r="QX7473" s="106"/>
      <c r="QY7473" s="106"/>
      <c r="QZ7473" s="106"/>
      <c r="RA7473" s="106"/>
      <c r="RB7473" s="106"/>
      <c r="RC7473" s="106"/>
      <c r="RD7473" s="106"/>
      <c r="RE7473" s="106"/>
      <c r="RF7473" s="106"/>
      <c r="RG7473" s="106"/>
      <c r="RH7473" s="106"/>
      <c r="RI7473" s="106"/>
      <c r="RJ7473" s="106"/>
      <c r="RK7473" s="106"/>
      <c r="RL7473" s="106"/>
    </row>
    <row r="7474" spans="462:480" x14ac:dyDescent="0.3">
      <c r="QT7474" s="106"/>
      <c r="QU7474" s="106"/>
      <c r="QV7474" s="106"/>
      <c r="QW7474" s="106"/>
      <c r="QX7474" s="106"/>
      <c r="QY7474" s="106"/>
      <c r="QZ7474" s="106"/>
      <c r="RA7474" s="106"/>
      <c r="RB7474" s="106"/>
      <c r="RC7474" s="106"/>
      <c r="RD7474" s="106"/>
      <c r="RE7474" s="106"/>
      <c r="RF7474" s="106"/>
      <c r="RG7474" s="106"/>
      <c r="RH7474" s="106"/>
      <c r="RI7474" s="106"/>
      <c r="RJ7474" s="106"/>
      <c r="RK7474" s="106"/>
      <c r="RL7474" s="106"/>
    </row>
    <row r="7475" spans="462:480" x14ac:dyDescent="0.3">
      <c r="QT7475" s="106"/>
      <c r="QU7475" s="106"/>
      <c r="QV7475" s="106"/>
      <c r="QW7475" s="106"/>
      <c r="QX7475" s="106"/>
      <c r="QY7475" s="106"/>
      <c r="QZ7475" s="106"/>
      <c r="RA7475" s="106"/>
      <c r="RB7475" s="106"/>
      <c r="RC7475" s="106"/>
      <c r="RD7475" s="106"/>
      <c r="RE7475" s="106"/>
      <c r="RF7475" s="106"/>
      <c r="RG7475" s="106"/>
      <c r="RH7475" s="106"/>
      <c r="RI7475" s="106"/>
      <c r="RJ7475" s="106"/>
      <c r="RK7475" s="106"/>
      <c r="RL7475" s="106"/>
    </row>
    <row r="7476" spans="462:480" x14ac:dyDescent="0.3">
      <c r="QT7476" s="106"/>
      <c r="QU7476" s="106"/>
      <c r="QV7476" s="106"/>
      <c r="QW7476" s="106"/>
      <c r="QX7476" s="106"/>
      <c r="QY7476" s="106"/>
      <c r="QZ7476" s="106"/>
      <c r="RA7476" s="106"/>
      <c r="RB7476" s="106"/>
      <c r="RC7476" s="106"/>
      <c r="RD7476" s="106"/>
      <c r="RE7476" s="106"/>
      <c r="RF7476" s="106"/>
      <c r="RG7476" s="106"/>
      <c r="RH7476" s="106"/>
      <c r="RI7476" s="106"/>
      <c r="RJ7476" s="106"/>
      <c r="RK7476" s="106"/>
      <c r="RL7476" s="106"/>
    </row>
    <row r="7477" spans="462:480" x14ac:dyDescent="0.3">
      <c r="QT7477" s="106"/>
      <c r="QU7477" s="106"/>
      <c r="QV7477" s="106"/>
      <c r="QW7477" s="106"/>
      <c r="QX7477" s="106"/>
      <c r="QY7477" s="106"/>
      <c r="QZ7477" s="106"/>
      <c r="RA7477" s="106"/>
      <c r="RB7477" s="106"/>
      <c r="RC7477" s="106"/>
      <c r="RD7477" s="106"/>
      <c r="RE7477" s="106"/>
      <c r="RF7477" s="106"/>
      <c r="RG7477" s="106"/>
      <c r="RH7477" s="106"/>
      <c r="RI7477" s="106"/>
      <c r="RJ7477" s="106"/>
      <c r="RK7477" s="106"/>
      <c r="RL7477" s="106"/>
    </row>
    <row r="7478" spans="462:480" x14ac:dyDescent="0.3">
      <c r="QT7478" s="106"/>
      <c r="QU7478" s="106"/>
      <c r="QV7478" s="106"/>
      <c r="QW7478" s="106"/>
      <c r="QX7478" s="106"/>
      <c r="QY7478" s="106"/>
      <c r="QZ7478" s="106"/>
      <c r="RA7478" s="106"/>
      <c r="RB7478" s="106"/>
      <c r="RC7478" s="106"/>
      <c r="RD7478" s="106"/>
      <c r="RE7478" s="106"/>
      <c r="RF7478" s="106"/>
      <c r="RG7478" s="106"/>
      <c r="RH7478" s="106"/>
      <c r="RI7478" s="106"/>
      <c r="RJ7478" s="106"/>
      <c r="RK7478" s="106"/>
      <c r="RL7478" s="106"/>
    </row>
    <row r="7479" spans="462:480" x14ac:dyDescent="0.3">
      <c r="QT7479" s="106"/>
      <c r="QU7479" s="106"/>
      <c r="QV7479" s="106"/>
      <c r="QW7479" s="106"/>
      <c r="QX7479" s="106"/>
      <c r="QY7479" s="106"/>
      <c r="QZ7479" s="106"/>
      <c r="RA7479" s="106"/>
      <c r="RB7479" s="106"/>
      <c r="RC7479" s="106"/>
      <c r="RD7479" s="106"/>
      <c r="RE7479" s="106"/>
      <c r="RF7479" s="106"/>
      <c r="RG7479" s="106"/>
      <c r="RH7479" s="106"/>
      <c r="RI7479" s="106"/>
      <c r="RJ7479" s="106"/>
      <c r="RK7479" s="106"/>
      <c r="RL7479" s="106"/>
    </row>
    <row r="7480" spans="462:480" x14ac:dyDescent="0.3">
      <c r="QT7480" s="106"/>
      <c r="QU7480" s="106"/>
      <c r="QV7480" s="106"/>
      <c r="QW7480" s="106"/>
      <c r="QX7480" s="106"/>
      <c r="QY7480" s="106"/>
      <c r="QZ7480" s="106"/>
      <c r="RA7480" s="106"/>
      <c r="RB7480" s="106"/>
      <c r="RC7480" s="106"/>
      <c r="RD7480" s="106"/>
      <c r="RE7480" s="106"/>
      <c r="RF7480" s="106"/>
      <c r="RG7480" s="106"/>
      <c r="RH7480" s="106"/>
      <c r="RI7480" s="106"/>
      <c r="RJ7480" s="106"/>
      <c r="RK7480" s="106"/>
      <c r="RL7480" s="106"/>
    </row>
    <row r="7481" spans="462:480" x14ac:dyDescent="0.3">
      <c r="QT7481" s="106"/>
      <c r="QU7481" s="106"/>
      <c r="QV7481" s="106"/>
      <c r="QW7481" s="106"/>
      <c r="QX7481" s="106"/>
      <c r="QY7481" s="106"/>
      <c r="QZ7481" s="106"/>
      <c r="RA7481" s="106"/>
      <c r="RB7481" s="106"/>
      <c r="RC7481" s="106"/>
      <c r="RD7481" s="106"/>
      <c r="RE7481" s="106"/>
      <c r="RF7481" s="106"/>
      <c r="RG7481" s="106"/>
      <c r="RH7481" s="106"/>
      <c r="RI7481" s="106"/>
      <c r="RJ7481" s="106"/>
      <c r="RK7481" s="106"/>
      <c r="RL7481" s="106"/>
    </row>
    <row r="7482" spans="462:480" x14ac:dyDescent="0.3">
      <c r="QT7482" s="106"/>
      <c r="QU7482" s="106"/>
      <c r="QV7482" s="106"/>
      <c r="QW7482" s="106"/>
      <c r="QX7482" s="106"/>
      <c r="QY7482" s="106"/>
      <c r="QZ7482" s="106"/>
      <c r="RA7482" s="106"/>
      <c r="RB7482" s="106"/>
      <c r="RC7482" s="106"/>
      <c r="RD7482" s="106"/>
      <c r="RE7482" s="106"/>
      <c r="RF7482" s="106"/>
      <c r="RG7482" s="106"/>
      <c r="RH7482" s="106"/>
      <c r="RI7482" s="106"/>
      <c r="RJ7482" s="106"/>
      <c r="RK7482" s="106"/>
      <c r="RL7482" s="106"/>
    </row>
    <row r="7483" spans="462:480" x14ac:dyDescent="0.3">
      <c r="QT7483" s="106"/>
      <c r="QU7483" s="106"/>
      <c r="QV7483" s="106"/>
      <c r="QW7483" s="106"/>
      <c r="QX7483" s="106"/>
      <c r="QY7483" s="106"/>
      <c r="QZ7483" s="106"/>
      <c r="RA7483" s="106"/>
      <c r="RB7483" s="106"/>
      <c r="RC7483" s="106"/>
      <c r="RD7483" s="106"/>
      <c r="RE7483" s="106"/>
      <c r="RF7483" s="106"/>
      <c r="RG7483" s="106"/>
      <c r="RH7483" s="106"/>
      <c r="RI7483" s="106"/>
      <c r="RJ7483" s="106"/>
      <c r="RK7483" s="106"/>
      <c r="RL7483" s="106"/>
    </row>
    <row r="7484" spans="462:480" x14ac:dyDescent="0.3">
      <c r="QT7484" s="106"/>
      <c r="QU7484" s="106"/>
      <c r="QV7484" s="106"/>
      <c r="QW7484" s="106"/>
      <c r="QX7484" s="106"/>
      <c r="QY7484" s="106"/>
      <c r="QZ7484" s="106"/>
      <c r="RA7484" s="106"/>
      <c r="RB7484" s="106"/>
      <c r="RC7484" s="106"/>
      <c r="RD7484" s="106"/>
      <c r="RE7484" s="106"/>
      <c r="RF7484" s="106"/>
      <c r="RG7484" s="106"/>
      <c r="RH7484" s="106"/>
      <c r="RI7484" s="106"/>
      <c r="RJ7484" s="106"/>
      <c r="RK7484" s="106"/>
      <c r="RL7484" s="106"/>
    </row>
    <row r="7485" spans="462:480" x14ac:dyDescent="0.3">
      <c r="QT7485" s="106"/>
      <c r="QU7485" s="106"/>
      <c r="QV7485" s="106"/>
      <c r="QW7485" s="106"/>
      <c r="QX7485" s="106"/>
      <c r="QY7485" s="106"/>
      <c r="QZ7485" s="106"/>
      <c r="RA7485" s="106"/>
      <c r="RB7485" s="106"/>
      <c r="RC7485" s="106"/>
      <c r="RD7485" s="106"/>
      <c r="RE7485" s="106"/>
      <c r="RF7485" s="106"/>
      <c r="RG7485" s="106"/>
      <c r="RH7485" s="106"/>
      <c r="RI7485" s="106"/>
      <c r="RJ7485" s="106"/>
      <c r="RK7485" s="106"/>
      <c r="RL7485" s="106"/>
    </row>
    <row r="7486" spans="462:480" x14ac:dyDescent="0.3">
      <c r="QT7486" s="106"/>
      <c r="QU7486" s="106"/>
      <c r="QV7486" s="106"/>
      <c r="QW7486" s="106"/>
      <c r="QX7486" s="106"/>
      <c r="QY7486" s="106"/>
      <c r="QZ7486" s="106"/>
      <c r="RA7486" s="106"/>
      <c r="RB7486" s="106"/>
      <c r="RC7486" s="106"/>
      <c r="RD7486" s="106"/>
      <c r="RE7486" s="106"/>
      <c r="RF7486" s="106"/>
      <c r="RG7486" s="106"/>
      <c r="RH7486" s="106"/>
      <c r="RI7486" s="106"/>
      <c r="RJ7486" s="106"/>
      <c r="RK7486" s="106"/>
      <c r="RL7486" s="106"/>
    </row>
    <row r="7487" spans="462:480" x14ac:dyDescent="0.3">
      <c r="QT7487" s="106"/>
      <c r="QU7487" s="106"/>
      <c r="QV7487" s="106"/>
      <c r="QW7487" s="106"/>
      <c r="QX7487" s="106"/>
      <c r="QY7487" s="106"/>
      <c r="QZ7487" s="106"/>
      <c r="RA7487" s="106"/>
      <c r="RB7487" s="106"/>
      <c r="RC7487" s="106"/>
      <c r="RD7487" s="106"/>
      <c r="RE7487" s="106"/>
      <c r="RF7487" s="106"/>
      <c r="RG7487" s="106"/>
      <c r="RH7487" s="106"/>
      <c r="RI7487" s="106"/>
      <c r="RJ7487" s="106"/>
      <c r="RK7487" s="106"/>
      <c r="RL7487" s="106"/>
    </row>
    <row r="7488" spans="462:480" x14ac:dyDescent="0.3">
      <c r="QT7488" s="106"/>
      <c r="QU7488" s="106"/>
      <c r="QV7488" s="106"/>
      <c r="QW7488" s="106"/>
      <c r="QX7488" s="106"/>
      <c r="QY7488" s="106"/>
      <c r="QZ7488" s="106"/>
      <c r="RA7488" s="106"/>
      <c r="RB7488" s="106"/>
      <c r="RC7488" s="106"/>
      <c r="RD7488" s="106"/>
      <c r="RE7488" s="106"/>
      <c r="RF7488" s="106"/>
      <c r="RG7488" s="106"/>
      <c r="RH7488" s="106"/>
      <c r="RI7488" s="106"/>
      <c r="RJ7488" s="106"/>
      <c r="RK7488" s="106"/>
      <c r="RL7488" s="106"/>
    </row>
    <row r="7489" spans="462:480" x14ac:dyDescent="0.3">
      <c r="QT7489" s="106"/>
      <c r="QU7489" s="106"/>
      <c r="QV7489" s="106"/>
      <c r="QW7489" s="106"/>
      <c r="QX7489" s="106"/>
      <c r="QY7489" s="106"/>
      <c r="QZ7489" s="106"/>
      <c r="RA7489" s="106"/>
      <c r="RB7489" s="106"/>
      <c r="RC7489" s="106"/>
      <c r="RD7489" s="106"/>
      <c r="RE7489" s="106"/>
      <c r="RF7489" s="106"/>
      <c r="RG7489" s="106"/>
      <c r="RH7489" s="106"/>
      <c r="RI7489" s="106"/>
      <c r="RJ7489" s="106"/>
      <c r="RK7489" s="106"/>
      <c r="RL7489" s="106"/>
    </row>
    <row r="7490" spans="462:480" x14ac:dyDescent="0.3">
      <c r="QT7490" s="106"/>
      <c r="QU7490" s="106"/>
      <c r="QV7490" s="106"/>
      <c r="QW7490" s="106"/>
      <c r="QX7490" s="106"/>
      <c r="QY7490" s="106"/>
      <c r="QZ7490" s="106"/>
      <c r="RA7490" s="106"/>
      <c r="RB7490" s="106"/>
      <c r="RC7490" s="106"/>
      <c r="RD7490" s="106"/>
      <c r="RE7490" s="106"/>
      <c r="RF7490" s="106"/>
      <c r="RG7490" s="106"/>
      <c r="RH7490" s="106"/>
      <c r="RI7490" s="106"/>
      <c r="RJ7490" s="106"/>
      <c r="RK7490" s="106"/>
      <c r="RL7490" s="106"/>
    </row>
    <row r="7491" spans="462:480" x14ac:dyDescent="0.3">
      <c r="QT7491" s="106"/>
      <c r="QU7491" s="106"/>
      <c r="QV7491" s="106"/>
      <c r="QW7491" s="106"/>
      <c r="QX7491" s="106"/>
      <c r="QY7491" s="106"/>
      <c r="QZ7491" s="106"/>
      <c r="RA7491" s="106"/>
      <c r="RB7491" s="106"/>
      <c r="RC7491" s="106"/>
      <c r="RD7491" s="106"/>
      <c r="RE7491" s="106"/>
      <c r="RF7491" s="106"/>
      <c r="RG7491" s="106"/>
      <c r="RH7491" s="106"/>
      <c r="RI7491" s="106"/>
      <c r="RJ7491" s="106"/>
      <c r="RK7491" s="106"/>
      <c r="RL7491" s="106"/>
    </row>
    <row r="7492" spans="462:480" x14ac:dyDescent="0.3">
      <c r="QT7492" s="106"/>
      <c r="QU7492" s="106"/>
      <c r="QV7492" s="106"/>
      <c r="QW7492" s="106"/>
      <c r="QX7492" s="106"/>
      <c r="QY7492" s="106"/>
      <c r="QZ7492" s="106"/>
      <c r="RA7492" s="106"/>
      <c r="RB7492" s="106"/>
      <c r="RC7492" s="106"/>
      <c r="RD7492" s="106"/>
      <c r="RE7492" s="106"/>
      <c r="RF7492" s="106"/>
      <c r="RG7492" s="106"/>
      <c r="RH7492" s="106"/>
      <c r="RI7492" s="106"/>
      <c r="RJ7492" s="106"/>
      <c r="RK7492" s="106"/>
      <c r="RL7492" s="106"/>
    </row>
    <row r="7493" spans="462:480" x14ac:dyDescent="0.3">
      <c r="QT7493" s="106"/>
      <c r="QU7493" s="106"/>
      <c r="QV7493" s="106"/>
      <c r="QW7493" s="106"/>
      <c r="QX7493" s="106"/>
      <c r="QY7493" s="106"/>
      <c r="QZ7493" s="106"/>
      <c r="RA7493" s="106"/>
      <c r="RB7493" s="106"/>
      <c r="RC7493" s="106"/>
      <c r="RD7493" s="106"/>
      <c r="RE7493" s="106"/>
      <c r="RF7493" s="106"/>
      <c r="RG7493" s="106"/>
      <c r="RH7493" s="106"/>
      <c r="RI7493" s="106"/>
      <c r="RJ7493" s="106"/>
      <c r="RK7493" s="106"/>
      <c r="RL7493" s="106"/>
    </row>
    <row r="7494" spans="462:480" x14ac:dyDescent="0.3">
      <c r="QT7494" s="106"/>
      <c r="QU7494" s="106"/>
      <c r="QV7494" s="106"/>
      <c r="QW7494" s="106"/>
      <c r="QX7494" s="106"/>
      <c r="QY7494" s="106"/>
      <c r="QZ7494" s="106"/>
      <c r="RA7494" s="106"/>
      <c r="RB7494" s="106"/>
      <c r="RC7494" s="106"/>
      <c r="RD7494" s="106"/>
      <c r="RE7494" s="106"/>
      <c r="RF7494" s="106"/>
      <c r="RG7494" s="106"/>
      <c r="RH7494" s="106"/>
      <c r="RI7494" s="106"/>
      <c r="RJ7494" s="106"/>
      <c r="RK7494" s="106"/>
      <c r="RL7494" s="106"/>
    </row>
    <row r="7495" spans="462:480" x14ac:dyDescent="0.3">
      <c r="QT7495" s="106"/>
      <c r="QU7495" s="106"/>
      <c r="QV7495" s="106"/>
      <c r="QW7495" s="106"/>
      <c r="QX7495" s="106"/>
      <c r="QY7495" s="106"/>
      <c r="QZ7495" s="106"/>
      <c r="RA7495" s="106"/>
      <c r="RB7495" s="106"/>
      <c r="RC7495" s="106"/>
      <c r="RD7495" s="106"/>
      <c r="RE7495" s="106"/>
      <c r="RF7495" s="106"/>
      <c r="RG7495" s="106"/>
      <c r="RH7495" s="106"/>
      <c r="RI7495" s="106"/>
      <c r="RJ7495" s="106"/>
      <c r="RK7495" s="106"/>
      <c r="RL7495" s="106"/>
    </row>
    <row r="7496" spans="462:480" x14ac:dyDescent="0.3">
      <c r="QT7496" s="106"/>
      <c r="QU7496" s="106"/>
      <c r="QV7496" s="106"/>
      <c r="QW7496" s="106"/>
      <c r="QX7496" s="106"/>
      <c r="QY7496" s="106"/>
      <c r="QZ7496" s="106"/>
      <c r="RA7496" s="106"/>
      <c r="RB7496" s="106"/>
      <c r="RC7496" s="106"/>
      <c r="RD7496" s="106"/>
      <c r="RE7496" s="106"/>
      <c r="RF7496" s="106"/>
      <c r="RG7496" s="106"/>
      <c r="RH7496" s="106"/>
      <c r="RI7496" s="106"/>
      <c r="RJ7496" s="106"/>
      <c r="RK7496" s="106"/>
      <c r="RL7496" s="106"/>
    </row>
    <row r="7497" spans="462:480" x14ac:dyDescent="0.3">
      <c r="QT7497" s="106"/>
      <c r="QU7497" s="106"/>
      <c r="QV7497" s="106"/>
      <c r="QW7497" s="106"/>
      <c r="QX7497" s="106"/>
      <c r="QY7497" s="106"/>
      <c r="QZ7497" s="106"/>
      <c r="RA7497" s="106"/>
      <c r="RB7497" s="106"/>
      <c r="RC7497" s="106"/>
      <c r="RD7497" s="106"/>
      <c r="RE7497" s="106"/>
      <c r="RF7497" s="106"/>
      <c r="RG7497" s="106"/>
      <c r="RH7497" s="106"/>
      <c r="RI7497" s="106"/>
      <c r="RJ7497" s="106"/>
      <c r="RK7497" s="106"/>
      <c r="RL7497" s="106"/>
    </row>
    <row r="7498" spans="462:480" x14ac:dyDescent="0.3">
      <c r="QT7498" s="106"/>
      <c r="QU7498" s="106"/>
      <c r="QV7498" s="106"/>
      <c r="QW7498" s="106"/>
      <c r="QX7498" s="106"/>
      <c r="QY7498" s="106"/>
      <c r="QZ7498" s="106"/>
      <c r="RA7498" s="106"/>
      <c r="RB7498" s="106"/>
      <c r="RC7498" s="106"/>
      <c r="RD7498" s="106"/>
      <c r="RE7498" s="106"/>
      <c r="RF7498" s="106"/>
      <c r="RG7498" s="106"/>
      <c r="RH7498" s="106"/>
      <c r="RI7498" s="106"/>
      <c r="RJ7498" s="106"/>
      <c r="RK7498" s="106"/>
      <c r="RL7498" s="106"/>
    </row>
    <row r="7499" spans="462:480" x14ac:dyDescent="0.3">
      <c r="QT7499" s="106"/>
      <c r="QU7499" s="106"/>
      <c r="QV7499" s="106"/>
      <c r="QW7499" s="106"/>
      <c r="QX7499" s="106"/>
      <c r="QY7499" s="106"/>
      <c r="QZ7499" s="106"/>
      <c r="RA7499" s="106"/>
      <c r="RB7499" s="106"/>
      <c r="RC7499" s="106"/>
      <c r="RD7499" s="106"/>
      <c r="RE7499" s="106"/>
      <c r="RF7499" s="106"/>
      <c r="RG7499" s="106"/>
      <c r="RH7499" s="106"/>
      <c r="RI7499" s="106"/>
      <c r="RJ7499" s="106"/>
      <c r="RK7499" s="106"/>
      <c r="RL7499" s="106"/>
    </row>
    <row r="7500" spans="462:480" x14ac:dyDescent="0.3">
      <c r="QT7500" s="106"/>
      <c r="QU7500" s="106"/>
      <c r="QV7500" s="106"/>
      <c r="QW7500" s="106"/>
      <c r="QX7500" s="106"/>
      <c r="QY7500" s="106"/>
      <c r="QZ7500" s="106"/>
      <c r="RA7500" s="106"/>
      <c r="RB7500" s="106"/>
      <c r="RC7500" s="106"/>
      <c r="RD7500" s="106"/>
      <c r="RE7500" s="106"/>
      <c r="RF7500" s="106"/>
      <c r="RG7500" s="106"/>
      <c r="RH7500" s="106"/>
      <c r="RI7500" s="106"/>
      <c r="RJ7500" s="106"/>
      <c r="RK7500" s="106"/>
      <c r="RL7500" s="106"/>
    </row>
    <row r="7501" spans="462:480" x14ac:dyDescent="0.3">
      <c r="QT7501" s="106"/>
      <c r="QU7501" s="106"/>
      <c r="QV7501" s="106"/>
      <c r="QW7501" s="106"/>
      <c r="QX7501" s="106"/>
      <c r="QY7501" s="106"/>
      <c r="QZ7501" s="106"/>
      <c r="RA7501" s="106"/>
      <c r="RB7501" s="106"/>
      <c r="RC7501" s="106"/>
      <c r="RD7501" s="106"/>
      <c r="RE7501" s="106"/>
      <c r="RF7501" s="106"/>
      <c r="RG7501" s="106"/>
      <c r="RH7501" s="106"/>
      <c r="RI7501" s="106"/>
      <c r="RJ7501" s="106"/>
      <c r="RK7501" s="106"/>
      <c r="RL7501" s="106"/>
    </row>
    <row r="7502" spans="462:480" x14ac:dyDescent="0.3">
      <c r="QT7502" s="106"/>
      <c r="QU7502" s="106"/>
      <c r="QV7502" s="106"/>
      <c r="QW7502" s="106"/>
      <c r="QX7502" s="106"/>
      <c r="QY7502" s="106"/>
      <c r="QZ7502" s="106"/>
      <c r="RA7502" s="106"/>
      <c r="RB7502" s="106"/>
      <c r="RC7502" s="106"/>
      <c r="RD7502" s="106"/>
      <c r="RE7502" s="106"/>
      <c r="RF7502" s="106"/>
      <c r="RG7502" s="106"/>
      <c r="RH7502" s="106"/>
      <c r="RI7502" s="106"/>
      <c r="RJ7502" s="106"/>
      <c r="RK7502" s="106"/>
      <c r="RL7502" s="106"/>
    </row>
    <row r="7503" spans="462:480" x14ac:dyDescent="0.3">
      <c r="QT7503" s="106"/>
      <c r="QU7503" s="106"/>
      <c r="QV7503" s="106"/>
      <c r="QW7503" s="106"/>
      <c r="QX7503" s="106"/>
      <c r="QY7503" s="106"/>
      <c r="QZ7503" s="106"/>
      <c r="RA7503" s="106"/>
      <c r="RB7503" s="106"/>
      <c r="RC7503" s="106"/>
      <c r="RD7503" s="106"/>
      <c r="RE7503" s="106"/>
      <c r="RF7503" s="106"/>
      <c r="RG7503" s="106"/>
      <c r="RH7503" s="106"/>
      <c r="RI7503" s="106"/>
      <c r="RJ7503" s="106"/>
      <c r="RK7503" s="106"/>
      <c r="RL7503" s="106"/>
    </row>
    <row r="7504" spans="462:480" x14ac:dyDescent="0.3">
      <c r="QT7504" s="106"/>
      <c r="QU7504" s="106"/>
      <c r="QV7504" s="106"/>
      <c r="QW7504" s="106"/>
      <c r="QX7504" s="106"/>
      <c r="QY7504" s="106"/>
      <c r="QZ7504" s="106"/>
      <c r="RA7504" s="106"/>
      <c r="RB7504" s="106"/>
      <c r="RC7504" s="106"/>
      <c r="RD7504" s="106"/>
      <c r="RE7504" s="106"/>
      <c r="RF7504" s="106"/>
      <c r="RG7504" s="106"/>
      <c r="RH7504" s="106"/>
      <c r="RI7504" s="106"/>
      <c r="RJ7504" s="106"/>
      <c r="RK7504" s="106"/>
      <c r="RL7504" s="106"/>
    </row>
    <row r="7505" spans="462:480" x14ac:dyDescent="0.3">
      <c r="QT7505" s="106"/>
      <c r="QU7505" s="106"/>
      <c r="QV7505" s="106"/>
      <c r="QW7505" s="106"/>
      <c r="QX7505" s="106"/>
      <c r="QY7505" s="106"/>
      <c r="QZ7505" s="106"/>
      <c r="RA7505" s="106"/>
      <c r="RB7505" s="106"/>
      <c r="RC7505" s="106"/>
      <c r="RD7505" s="106"/>
      <c r="RE7505" s="106"/>
      <c r="RF7505" s="106"/>
      <c r="RG7505" s="106"/>
      <c r="RH7505" s="106"/>
      <c r="RI7505" s="106"/>
      <c r="RJ7505" s="106"/>
      <c r="RK7505" s="106"/>
      <c r="RL7505" s="106"/>
    </row>
    <row r="7506" spans="462:480" x14ac:dyDescent="0.3">
      <c r="QT7506" s="106"/>
      <c r="QU7506" s="106"/>
      <c r="QV7506" s="106"/>
      <c r="QW7506" s="106"/>
      <c r="QX7506" s="106"/>
      <c r="QY7506" s="106"/>
      <c r="QZ7506" s="106"/>
      <c r="RA7506" s="106"/>
      <c r="RB7506" s="106"/>
      <c r="RC7506" s="106"/>
      <c r="RD7506" s="106"/>
      <c r="RE7506" s="106"/>
      <c r="RF7506" s="106"/>
      <c r="RG7506" s="106"/>
      <c r="RH7506" s="106"/>
      <c r="RI7506" s="106"/>
      <c r="RJ7506" s="106"/>
      <c r="RK7506" s="106"/>
      <c r="RL7506" s="106"/>
    </row>
    <row r="7507" spans="462:480" x14ac:dyDescent="0.3">
      <c r="QT7507" s="106"/>
      <c r="QU7507" s="106"/>
      <c r="QV7507" s="106"/>
      <c r="QW7507" s="106"/>
      <c r="QX7507" s="106"/>
      <c r="QY7507" s="106"/>
      <c r="QZ7507" s="106"/>
      <c r="RA7507" s="106"/>
      <c r="RB7507" s="106"/>
      <c r="RC7507" s="106"/>
      <c r="RD7507" s="106"/>
      <c r="RE7507" s="106"/>
      <c r="RF7507" s="106"/>
      <c r="RG7507" s="106"/>
      <c r="RH7507" s="106"/>
      <c r="RI7507" s="106"/>
      <c r="RJ7507" s="106"/>
      <c r="RK7507" s="106"/>
      <c r="RL7507" s="106"/>
    </row>
    <row r="7508" spans="462:480" x14ac:dyDescent="0.3">
      <c r="QT7508" s="106"/>
      <c r="QU7508" s="106"/>
      <c r="QV7508" s="106"/>
      <c r="QW7508" s="106"/>
      <c r="QX7508" s="106"/>
      <c r="QY7508" s="106"/>
      <c r="QZ7508" s="106"/>
      <c r="RA7508" s="106"/>
      <c r="RB7508" s="106"/>
      <c r="RC7508" s="106"/>
      <c r="RD7508" s="106"/>
      <c r="RE7508" s="106"/>
      <c r="RF7508" s="106"/>
      <c r="RG7508" s="106"/>
      <c r="RH7508" s="106"/>
      <c r="RI7508" s="106"/>
      <c r="RJ7508" s="106"/>
      <c r="RK7508" s="106"/>
      <c r="RL7508" s="106"/>
    </row>
    <row r="7509" spans="462:480" x14ac:dyDescent="0.3">
      <c r="QT7509" s="106"/>
      <c r="QU7509" s="106"/>
      <c r="QV7509" s="106"/>
      <c r="QW7509" s="106"/>
      <c r="QX7509" s="106"/>
      <c r="QY7509" s="106"/>
      <c r="QZ7509" s="106"/>
      <c r="RA7509" s="106"/>
      <c r="RB7509" s="106"/>
      <c r="RC7509" s="106"/>
      <c r="RD7509" s="106"/>
      <c r="RE7509" s="106"/>
      <c r="RF7509" s="106"/>
      <c r="RG7509" s="106"/>
      <c r="RH7509" s="106"/>
      <c r="RI7509" s="106"/>
      <c r="RJ7509" s="106"/>
      <c r="RK7509" s="106"/>
      <c r="RL7509" s="106"/>
    </row>
    <row r="7510" spans="462:480" x14ac:dyDescent="0.3">
      <c r="QT7510" s="106"/>
      <c r="QU7510" s="106"/>
      <c r="QV7510" s="106"/>
      <c r="QW7510" s="106"/>
      <c r="QX7510" s="106"/>
      <c r="QY7510" s="106"/>
      <c r="QZ7510" s="106"/>
      <c r="RA7510" s="106"/>
      <c r="RB7510" s="106"/>
      <c r="RC7510" s="106"/>
      <c r="RD7510" s="106"/>
      <c r="RE7510" s="106"/>
      <c r="RF7510" s="106"/>
      <c r="RG7510" s="106"/>
      <c r="RH7510" s="106"/>
      <c r="RI7510" s="106"/>
      <c r="RJ7510" s="106"/>
      <c r="RK7510" s="106"/>
      <c r="RL7510" s="106"/>
    </row>
    <row r="7511" spans="462:480" x14ac:dyDescent="0.3">
      <c r="QT7511" s="106"/>
      <c r="QU7511" s="106"/>
      <c r="QV7511" s="106"/>
      <c r="QW7511" s="106"/>
      <c r="QX7511" s="106"/>
      <c r="QY7511" s="106"/>
      <c r="QZ7511" s="106"/>
      <c r="RA7511" s="106"/>
      <c r="RB7511" s="106"/>
      <c r="RC7511" s="106"/>
      <c r="RD7511" s="106"/>
      <c r="RE7511" s="106"/>
      <c r="RF7511" s="106"/>
      <c r="RG7511" s="106"/>
      <c r="RH7511" s="106"/>
      <c r="RI7511" s="106"/>
      <c r="RJ7511" s="106"/>
      <c r="RK7511" s="106"/>
      <c r="RL7511" s="106"/>
    </row>
    <row r="7512" spans="462:480" x14ac:dyDescent="0.3">
      <c r="QT7512" s="106"/>
      <c r="QU7512" s="106"/>
      <c r="QV7512" s="106"/>
      <c r="QW7512" s="106"/>
      <c r="QX7512" s="106"/>
      <c r="QY7512" s="106"/>
      <c r="QZ7512" s="106"/>
      <c r="RA7512" s="106"/>
      <c r="RB7512" s="106"/>
      <c r="RC7512" s="106"/>
      <c r="RD7512" s="106"/>
      <c r="RE7512" s="106"/>
      <c r="RF7512" s="106"/>
      <c r="RG7512" s="106"/>
      <c r="RH7512" s="106"/>
      <c r="RI7512" s="106"/>
      <c r="RJ7512" s="106"/>
      <c r="RK7512" s="106"/>
      <c r="RL7512" s="106"/>
    </row>
    <row r="7513" spans="462:480" x14ac:dyDescent="0.3">
      <c r="QT7513" s="106"/>
      <c r="QU7513" s="106"/>
      <c r="QV7513" s="106"/>
      <c r="QW7513" s="106"/>
      <c r="QX7513" s="106"/>
      <c r="QY7513" s="106"/>
      <c r="QZ7513" s="106"/>
      <c r="RA7513" s="106"/>
      <c r="RB7513" s="106"/>
      <c r="RC7513" s="106"/>
      <c r="RD7513" s="106"/>
      <c r="RE7513" s="106"/>
      <c r="RF7513" s="106"/>
      <c r="RG7513" s="106"/>
      <c r="RH7513" s="106"/>
      <c r="RI7513" s="106"/>
      <c r="RJ7513" s="106"/>
      <c r="RK7513" s="106"/>
      <c r="RL7513" s="106"/>
    </row>
    <row r="7514" spans="462:480" x14ac:dyDescent="0.3">
      <c r="QT7514" s="106"/>
      <c r="QU7514" s="106"/>
      <c r="QV7514" s="106"/>
      <c r="QW7514" s="106"/>
      <c r="QX7514" s="106"/>
      <c r="QY7514" s="106"/>
      <c r="QZ7514" s="106"/>
      <c r="RA7514" s="106"/>
      <c r="RB7514" s="106"/>
      <c r="RC7514" s="106"/>
      <c r="RD7514" s="106"/>
      <c r="RE7514" s="106"/>
      <c r="RF7514" s="106"/>
      <c r="RG7514" s="106"/>
      <c r="RH7514" s="106"/>
      <c r="RI7514" s="106"/>
      <c r="RJ7514" s="106"/>
      <c r="RK7514" s="106"/>
      <c r="RL7514" s="106"/>
    </row>
    <row r="7515" spans="462:480" x14ac:dyDescent="0.3">
      <c r="QT7515" s="106"/>
      <c r="QU7515" s="106"/>
      <c r="QV7515" s="106"/>
      <c r="QW7515" s="106"/>
      <c r="QX7515" s="106"/>
      <c r="QY7515" s="106"/>
      <c r="QZ7515" s="106"/>
      <c r="RA7515" s="106"/>
      <c r="RB7515" s="106"/>
      <c r="RC7515" s="106"/>
      <c r="RD7515" s="106"/>
      <c r="RE7515" s="106"/>
      <c r="RF7515" s="106"/>
      <c r="RG7515" s="106"/>
      <c r="RH7515" s="106"/>
      <c r="RI7515" s="106"/>
      <c r="RJ7515" s="106"/>
      <c r="RK7515" s="106"/>
      <c r="RL7515" s="106"/>
    </row>
    <row r="7516" spans="462:480" x14ac:dyDescent="0.3">
      <c r="QT7516" s="106"/>
      <c r="QU7516" s="106"/>
      <c r="QV7516" s="106"/>
      <c r="QW7516" s="106"/>
      <c r="QX7516" s="106"/>
      <c r="QY7516" s="106"/>
      <c r="QZ7516" s="106"/>
      <c r="RA7516" s="106"/>
      <c r="RB7516" s="106"/>
      <c r="RC7516" s="106"/>
      <c r="RD7516" s="106"/>
      <c r="RE7516" s="106"/>
      <c r="RF7516" s="106"/>
      <c r="RG7516" s="106"/>
      <c r="RH7516" s="106"/>
      <c r="RI7516" s="106"/>
      <c r="RJ7516" s="106"/>
      <c r="RK7516" s="106"/>
      <c r="RL7516" s="106"/>
    </row>
    <row r="7517" spans="462:480" x14ac:dyDescent="0.3">
      <c r="QT7517" s="106"/>
      <c r="QU7517" s="106"/>
      <c r="QV7517" s="106"/>
      <c r="QW7517" s="106"/>
      <c r="QX7517" s="106"/>
      <c r="QY7517" s="106"/>
      <c r="QZ7517" s="106"/>
      <c r="RA7517" s="106"/>
      <c r="RB7517" s="106"/>
      <c r="RC7517" s="106"/>
      <c r="RD7517" s="106"/>
      <c r="RE7517" s="106"/>
      <c r="RF7517" s="106"/>
      <c r="RG7517" s="106"/>
      <c r="RH7517" s="106"/>
      <c r="RI7517" s="106"/>
      <c r="RJ7517" s="106"/>
      <c r="RK7517" s="106"/>
      <c r="RL7517" s="106"/>
    </row>
    <row r="7518" spans="462:480" x14ac:dyDescent="0.3">
      <c r="QT7518" s="106"/>
      <c r="QU7518" s="106"/>
      <c r="QV7518" s="106"/>
      <c r="QW7518" s="106"/>
      <c r="QX7518" s="106"/>
      <c r="QY7518" s="106"/>
      <c r="QZ7518" s="106"/>
      <c r="RA7518" s="106"/>
      <c r="RB7518" s="106"/>
      <c r="RC7518" s="106"/>
      <c r="RD7518" s="106"/>
      <c r="RE7518" s="106"/>
      <c r="RF7518" s="106"/>
      <c r="RG7518" s="106"/>
      <c r="RH7518" s="106"/>
      <c r="RI7518" s="106"/>
      <c r="RJ7518" s="106"/>
      <c r="RK7518" s="106"/>
      <c r="RL7518" s="106"/>
    </row>
    <row r="7519" spans="462:480" x14ac:dyDescent="0.3">
      <c r="QT7519" s="106"/>
      <c r="QU7519" s="106"/>
      <c r="QV7519" s="106"/>
      <c r="QW7519" s="106"/>
      <c r="QX7519" s="106"/>
      <c r="QY7519" s="106"/>
      <c r="QZ7519" s="106"/>
      <c r="RA7519" s="106"/>
      <c r="RB7519" s="106"/>
      <c r="RC7519" s="106"/>
      <c r="RD7519" s="106"/>
      <c r="RE7519" s="106"/>
      <c r="RF7519" s="106"/>
      <c r="RG7519" s="106"/>
      <c r="RH7519" s="106"/>
      <c r="RI7519" s="106"/>
      <c r="RJ7519" s="106"/>
      <c r="RK7519" s="106"/>
      <c r="RL7519" s="106"/>
    </row>
    <row r="7520" spans="462:480" x14ac:dyDescent="0.3">
      <c r="QT7520" s="106"/>
      <c r="QU7520" s="106"/>
      <c r="QV7520" s="106"/>
      <c r="QW7520" s="106"/>
      <c r="QX7520" s="106"/>
      <c r="QY7520" s="106"/>
      <c r="QZ7520" s="106"/>
      <c r="RA7520" s="106"/>
      <c r="RB7520" s="106"/>
      <c r="RC7520" s="106"/>
      <c r="RD7520" s="106"/>
      <c r="RE7520" s="106"/>
      <c r="RF7520" s="106"/>
      <c r="RG7520" s="106"/>
      <c r="RH7520" s="106"/>
      <c r="RI7520" s="106"/>
      <c r="RJ7520" s="106"/>
      <c r="RK7520" s="106"/>
      <c r="RL7520" s="106"/>
    </row>
    <row r="7521" spans="462:480" x14ac:dyDescent="0.3">
      <c r="QT7521" s="106"/>
      <c r="QU7521" s="106"/>
      <c r="QV7521" s="106"/>
      <c r="QW7521" s="106"/>
      <c r="QX7521" s="106"/>
      <c r="QY7521" s="106"/>
      <c r="QZ7521" s="106"/>
      <c r="RA7521" s="106"/>
      <c r="RB7521" s="106"/>
      <c r="RC7521" s="106"/>
      <c r="RD7521" s="106"/>
      <c r="RE7521" s="106"/>
      <c r="RF7521" s="106"/>
      <c r="RG7521" s="106"/>
      <c r="RH7521" s="106"/>
      <c r="RI7521" s="106"/>
      <c r="RJ7521" s="106"/>
      <c r="RK7521" s="106"/>
      <c r="RL7521" s="106"/>
    </row>
    <row r="7522" spans="462:480" x14ac:dyDescent="0.3">
      <c r="QT7522" s="106"/>
      <c r="QU7522" s="106"/>
      <c r="QV7522" s="106"/>
      <c r="QW7522" s="106"/>
      <c r="QX7522" s="106"/>
      <c r="QY7522" s="106"/>
      <c r="QZ7522" s="106"/>
      <c r="RA7522" s="106"/>
      <c r="RB7522" s="106"/>
      <c r="RC7522" s="106"/>
      <c r="RD7522" s="106"/>
      <c r="RE7522" s="106"/>
      <c r="RF7522" s="106"/>
      <c r="RG7522" s="106"/>
      <c r="RH7522" s="106"/>
      <c r="RI7522" s="106"/>
      <c r="RJ7522" s="106"/>
      <c r="RK7522" s="106"/>
      <c r="RL7522" s="106"/>
    </row>
    <row r="7523" spans="462:480" x14ac:dyDescent="0.3">
      <c r="QT7523" s="106"/>
      <c r="QU7523" s="106"/>
      <c r="QV7523" s="106"/>
      <c r="QW7523" s="106"/>
      <c r="QX7523" s="106"/>
      <c r="QY7523" s="106"/>
      <c r="QZ7523" s="106"/>
      <c r="RA7523" s="106"/>
      <c r="RB7523" s="106"/>
      <c r="RC7523" s="106"/>
      <c r="RD7523" s="106"/>
      <c r="RE7523" s="106"/>
      <c r="RF7523" s="106"/>
      <c r="RG7523" s="106"/>
      <c r="RH7523" s="106"/>
      <c r="RI7523" s="106"/>
      <c r="RJ7523" s="106"/>
      <c r="RK7523" s="106"/>
      <c r="RL7523" s="106"/>
    </row>
    <row r="7524" spans="462:480" x14ac:dyDescent="0.3">
      <c r="QT7524" s="106"/>
      <c r="QU7524" s="106"/>
      <c r="QV7524" s="106"/>
      <c r="QW7524" s="106"/>
      <c r="QX7524" s="106"/>
      <c r="QY7524" s="106"/>
      <c r="QZ7524" s="106"/>
      <c r="RA7524" s="106"/>
      <c r="RB7524" s="106"/>
      <c r="RC7524" s="106"/>
      <c r="RD7524" s="106"/>
      <c r="RE7524" s="106"/>
      <c r="RF7524" s="106"/>
      <c r="RG7524" s="106"/>
      <c r="RH7524" s="106"/>
      <c r="RI7524" s="106"/>
      <c r="RJ7524" s="106"/>
      <c r="RK7524" s="106"/>
      <c r="RL7524" s="106"/>
    </row>
    <row r="7525" spans="462:480" x14ac:dyDescent="0.3">
      <c r="QT7525" s="106"/>
      <c r="QU7525" s="106"/>
      <c r="QV7525" s="106"/>
      <c r="QW7525" s="106"/>
      <c r="QX7525" s="106"/>
      <c r="QY7525" s="106"/>
      <c r="QZ7525" s="106"/>
      <c r="RA7525" s="106"/>
      <c r="RB7525" s="106"/>
      <c r="RC7525" s="106"/>
      <c r="RD7525" s="106"/>
      <c r="RE7525" s="106"/>
      <c r="RF7525" s="106"/>
      <c r="RG7525" s="106"/>
      <c r="RH7525" s="106"/>
      <c r="RI7525" s="106"/>
      <c r="RJ7525" s="106"/>
      <c r="RK7525" s="106"/>
      <c r="RL7525" s="106"/>
    </row>
    <row r="7526" spans="462:480" x14ac:dyDescent="0.3">
      <c r="QT7526" s="106"/>
      <c r="QU7526" s="106"/>
      <c r="QV7526" s="106"/>
      <c r="QW7526" s="106"/>
      <c r="QX7526" s="106"/>
      <c r="QY7526" s="106"/>
      <c r="QZ7526" s="106"/>
      <c r="RA7526" s="106"/>
      <c r="RB7526" s="106"/>
      <c r="RC7526" s="106"/>
      <c r="RD7526" s="106"/>
      <c r="RE7526" s="106"/>
      <c r="RF7526" s="106"/>
      <c r="RG7526" s="106"/>
      <c r="RH7526" s="106"/>
      <c r="RI7526" s="106"/>
      <c r="RJ7526" s="106"/>
      <c r="RK7526" s="106"/>
      <c r="RL7526" s="106"/>
    </row>
    <row r="7527" spans="462:480" x14ac:dyDescent="0.3">
      <c r="QT7527" s="106"/>
      <c r="QU7527" s="106"/>
      <c r="QV7527" s="106"/>
      <c r="QW7527" s="106"/>
      <c r="QX7527" s="106"/>
      <c r="QY7527" s="106"/>
      <c r="QZ7527" s="106"/>
      <c r="RA7527" s="106"/>
      <c r="RB7527" s="106"/>
      <c r="RC7527" s="106"/>
      <c r="RD7527" s="106"/>
      <c r="RE7527" s="106"/>
      <c r="RF7527" s="106"/>
      <c r="RG7527" s="106"/>
      <c r="RH7527" s="106"/>
      <c r="RI7527" s="106"/>
      <c r="RJ7527" s="106"/>
      <c r="RK7527" s="106"/>
      <c r="RL7527" s="106"/>
    </row>
    <row r="7528" spans="462:480" x14ac:dyDescent="0.3">
      <c r="QT7528" s="106"/>
      <c r="QU7528" s="106"/>
      <c r="QV7528" s="106"/>
      <c r="QW7528" s="106"/>
      <c r="QX7528" s="106"/>
      <c r="QY7528" s="106"/>
      <c r="QZ7528" s="106"/>
      <c r="RA7528" s="106"/>
      <c r="RB7528" s="106"/>
      <c r="RC7528" s="106"/>
      <c r="RD7528" s="106"/>
      <c r="RE7528" s="106"/>
      <c r="RF7528" s="106"/>
      <c r="RG7528" s="106"/>
      <c r="RH7528" s="106"/>
      <c r="RI7528" s="106"/>
      <c r="RJ7528" s="106"/>
      <c r="RK7528" s="106"/>
      <c r="RL7528" s="106"/>
    </row>
    <row r="7529" spans="462:480" x14ac:dyDescent="0.3">
      <c r="QT7529" s="106"/>
      <c r="QU7529" s="106"/>
      <c r="QV7529" s="106"/>
      <c r="QW7529" s="106"/>
      <c r="QX7529" s="106"/>
      <c r="QY7529" s="106"/>
      <c r="QZ7529" s="106"/>
      <c r="RA7529" s="106"/>
      <c r="RB7529" s="106"/>
      <c r="RC7529" s="106"/>
      <c r="RD7529" s="106"/>
      <c r="RE7529" s="106"/>
      <c r="RF7529" s="106"/>
      <c r="RG7529" s="106"/>
      <c r="RH7529" s="106"/>
      <c r="RI7529" s="106"/>
      <c r="RJ7529" s="106"/>
      <c r="RK7529" s="106"/>
      <c r="RL7529" s="106"/>
    </row>
    <row r="7530" spans="462:480" x14ac:dyDescent="0.3">
      <c r="QT7530" s="106"/>
      <c r="QU7530" s="106"/>
      <c r="QV7530" s="106"/>
      <c r="QW7530" s="106"/>
      <c r="QX7530" s="106"/>
      <c r="QY7530" s="106"/>
      <c r="QZ7530" s="106"/>
      <c r="RA7530" s="106"/>
      <c r="RB7530" s="106"/>
      <c r="RC7530" s="106"/>
      <c r="RD7530" s="106"/>
      <c r="RE7530" s="106"/>
      <c r="RF7530" s="106"/>
      <c r="RG7530" s="106"/>
      <c r="RH7530" s="106"/>
      <c r="RI7530" s="106"/>
      <c r="RJ7530" s="106"/>
      <c r="RK7530" s="106"/>
      <c r="RL7530" s="106"/>
    </row>
    <row r="7531" spans="462:480" x14ac:dyDescent="0.3">
      <c r="QT7531" s="106"/>
      <c r="QU7531" s="106"/>
      <c r="QV7531" s="106"/>
      <c r="QW7531" s="106"/>
      <c r="QX7531" s="106"/>
      <c r="QY7531" s="106"/>
      <c r="QZ7531" s="106"/>
      <c r="RA7531" s="106"/>
      <c r="RB7531" s="106"/>
      <c r="RC7531" s="106"/>
      <c r="RD7531" s="106"/>
      <c r="RE7531" s="106"/>
      <c r="RF7531" s="106"/>
      <c r="RG7531" s="106"/>
      <c r="RH7531" s="106"/>
      <c r="RI7531" s="106"/>
      <c r="RJ7531" s="106"/>
      <c r="RK7531" s="106"/>
      <c r="RL7531" s="106"/>
    </row>
    <row r="7532" spans="462:480" x14ac:dyDescent="0.3">
      <c r="QT7532" s="106"/>
      <c r="QU7532" s="106"/>
      <c r="QV7532" s="106"/>
      <c r="QW7532" s="106"/>
      <c r="QX7532" s="106"/>
      <c r="QY7532" s="106"/>
      <c r="QZ7532" s="106"/>
      <c r="RA7532" s="106"/>
      <c r="RB7532" s="106"/>
      <c r="RC7532" s="106"/>
      <c r="RD7532" s="106"/>
      <c r="RE7532" s="106"/>
      <c r="RF7532" s="106"/>
      <c r="RG7532" s="106"/>
      <c r="RH7532" s="106"/>
      <c r="RI7532" s="106"/>
      <c r="RJ7532" s="106"/>
      <c r="RK7532" s="106"/>
      <c r="RL7532" s="106"/>
    </row>
    <row r="7533" spans="462:480" x14ac:dyDescent="0.3">
      <c r="QT7533" s="106"/>
      <c r="QU7533" s="106"/>
      <c r="QV7533" s="106"/>
      <c r="QW7533" s="106"/>
      <c r="QX7533" s="106"/>
      <c r="QY7533" s="106"/>
      <c r="QZ7533" s="106"/>
      <c r="RA7533" s="106"/>
      <c r="RB7533" s="106"/>
      <c r="RC7533" s="106"/>
      <c r="RD7533" s="106"/>
      <c r="RE7533" s="106"/>
      <c r="RF7533" s="106"/>
      <c r="RG7533" s="106"/>
      <c r="RH7533" s="106"/>
      <c r="RI7533" s="106"/>
      <c r="RJ7533" s="106"/>
      <c r="RK7533" s="106"/>
      <c r="RL7533" s="106"/>
    </row>
    <row r="7534" spans="462:480" x14ac:dyDescent="0.3">
      <c r="QT7534" s="106"/>
      <c r="QU7534" s="106"/>
      <c r="QV7534" s="106"/>
      <c r="QW7534" s="106"/>
      <c r="QX7534" s="106"/>
      <c r="QY7534" s="106"/>
      <c r="QZ7534" s="106"/>
      <c r="RA7534" s="106"/>
      <c r="RB7534" s="106"/>
      <c r="RC7534" s="106"/>
      <c r="RD7534" s="106"/>
      <c r="RE7534" s="106"/>
      <c r="RF7534" s="106"/>
      <c r="RG7534" s="106"/>
      <c r="RH7534" s="106"/>
      <c r="RI7534" s="106"/>
      <c r="RJ7534" s="106"/>
      <c r="RK7534" s="106"/>
      <c r="RL7534" s="106"/>
    </row>
    <row r="7535" spans="462:480" x14ac:dyDescent="0.3">
      <c r="QT7535" s="106"/>
      <c r="QU7535" s="106"/>
      <c r="QV7535" s="106"/>
      <c r="QW7535" s="106"/>
      <c r="QX7535" s="106"/>
      <c r="QY7535" s="106"/>
      <c r="QZ7535" s="106"/>
      <c r="RA7535" s="106"/>
      <c r="RB7535" s="106"/>
      <c r="RC7535" s="106"/>
      <c r="RD7535" s="106"/>
      <c r="RE7535" s="106"/>
      <c r="RF7535" s="106"/>
      <c r="RG7535" s="106"/>
      <c r="RH7535" s="106"/>
      <c r="RI7535" s="106"/>
      <c r="RJ7535" s="106"/>
      <c r="RK7535" s="106"/>
      <c r="RL7535" s="106"/>
    </row>
    <row r="7536" spans="462:480" x14ac:dyDescent="0.3">
      <c r="QT7536" s="106"/>
      <c r="QU7536" s="106"/>
      <c r="QV7536" s="106"/>
      <c r="QW7536" s="106"/>
      <c r="QX7536" s="106"/>
      <c r="QY7536" s="106"/>
      <c r="QZ7536" s="106"/>
      <c r="RA7536" s="106"/>
      <c r="RB7536" s="106"/>
      <c r="RC7536" s="106"/>
      <c r="RD7536" s="106"/>
      <c r="RE7536" s="106"/>
      <c r="RF7536" s="106"/>
      <c r="RG7536" s="106"/>
      <c r="RH7536" s="106"/>
      <c r="RI7536" s="106"/>
      <c r="RJ7536" s="106"/>
      <c r="RK7536" s="106"/>
      <c r="RL7536" s="106"/>
    </row>
    <row r="7537" spans="462:480" x14ac:dyDescent="0.3">
      <c r="QT7537" s="106"/>
      <c r="QU7537" s="106"/>
      <c r="QV7537" s="106"/>
      <c r="QW7537" s="106"/>
      <c r="QX7537" s="106"/>
      <c r="QY7537" s="106"/>
      <c r="QZ7537" s="106"/>
      <c r="RA7537" s="106"/>
      <c r="RB7537" s="106"/>
      <c r="RC7537" s="106"/>
      <c r="RD7537" s="106"/>
      <c r="RE7537" s="106"/>
      <c r="RF7537" s="106"/>
      <c r="RG7537" s="106"/>
      <c r="RH7537" s="106"/>
      <c r="RI7537" s="106"/>
      <c r="RJ7537" s="106"/>
      <c r="RK7537" s="106"/>
      <c r="RL7537" s="106"/>
    </row>
    <row r="7538" spans="462:480" x14ac:dyDescent="0.3">
      <c r="QT7538" s="106"/>
      <c r="QU7538" s="106"/>
      <c r="QV7538" s="106"/>
      <c r="QW7538" s="106"/>
      <c r="QX7538" s="106"/>
      <c r="QY7538" s="106"/>
      <c r="QZ7538" s="106"/>
      <c r="RA7538" s="106"/>
      <c r="RB7538" s="106"/>
      <c r="RC7538" s="106"/>
      <c r="RD7538" s="106"/>
      <c r="RE7538" s="106"/>
      <c r="RF7538" s="106"/>
      <c r="RG7538" s="106"/>
      <c r="RH7538" s="106"/>
      <c r="RI7538" s="106"/>
      <c r="RJ7538" s="106"/>
      <c r="RK7538" s="106"/>
      <c r="RL7538" s="106"/>
    </row>
    <row r="7539" spans="462:480" x14ac:dyDescent="0.3">
      <c r="QT7539" s="106"/>
      <c r="QU7539" s="106"/>
      <c r="QV7539" s="106"/>
      <c r="QW7539" s="106"/>
      <c r="QX7539" s="106"/>
      <c r="QY7539" s="106"/>
      <c r="QZ7539" s="106"/>
      <c r="RA7539" s="106"/>
      <c r="RB7539" s="106"/>
      <c r="RC7539" s="106"/>
      <c r="RD7539" s="106"/>
      <c r="RE7539" s="106"/>
      <c r="RF7539" s="106"/>
      <c r="RG7539" s="106"/>
      <c r="RH7539" s="106"/>
      <c r="RI7539" s="106"/>
      <c r="RJ7539" s="106"/>
      <c r="RK7539" s="106"/>
      <c r="RL7539" s="106"/>
    </row>
    <row r="7540" spans="462:480" x14ac:dyDescent="0.3">
      <c r="QT7540" s="106"/>
      <c r="QU7540" s="106"/>
      <c r="QV7540" s="106"/>
      <c r="QW7540" s="106"/>
      <c r="QX7540" s="106"/>
      <c r="QY7540" s="106"/>
      <c r="QZ7540" s="106"/>
      <c r="RA7540" s="106"/>
      <c r="RB7540" s="106"/>
      <c r="RC7540" s="106"/>
      <c r="RD7540" s="106"/>
      <c r="RE7540" s="106"/>
      <c r="RF7540" s="106"/>
      <c r="RG7540" s="106"/>
      <c r="RH7540" s="106"/>
      <c r="RI7540" s="106"/>
      <c r="RJ7540" s="106"/>
      <c r="RK7540" s="106"/>
      <c r="RL7540" s="106"/>
    </row>
    <row r="7541" spans="462:480" x14ac:dyDescent="0.3">
      <c r="QT7541" s="106"/>
      <c r="QU7541" s="106"/>
      <c r="QV7541" s="106"/>
      <c r="QW7541" s="106"/>
      <c r="QX7541" s="106"/>
      <c r="QY7541" s="106"/>
      <c r="QZ7541" s="106"/>
      <c r="RA7541" s="106"/>
      <c r="RB7541" s="106"/>
      <c r="RC7541" s="106"/>
      <c r="RD7541" s="106"/>
      <c r="RE7541" s="106"/>
      <c r="RF7541" s="106"/>
      <c r="RG7541" s="106"/>
      <c r="RH7541" s="106"/>
      <c r="RI7541" s="106"/>
      <c r="RJ7541" s="106"/>
      <c r="RK7541" s="106"/>
      <c r="RL7541" s="106"/>
    </row>
    <row r="7542" spans="462:480" x14ac:dyDescent="0.3">
      <c r="QT7542" s="106"/>
      <c r="QU7542" s="106"/>
      <c r="QV7542" s="106"/>
      <c r="QW7542" s="106"/>
      <c r="QX7542" s="106"/>
      <c r="QY7542" s="106"/>
      <c r="QZ7542" s="106"/>
      <c r="RA7542" s="106"/>
      <c r="RB7542" s="106"/>
      <c r="RC7542" s="106"/>
      <c r="RD7542" s="106"/>
      <c r="RE7542" s="106"/>
      <c r="RF7542" s="106"/>
      <c r="RG7542" s="106"/>
      <c r="RH7542" s="106"/>
      <c r="RI7542" s="106"/>
      <c r="RJ7542" s="106"/>
      <c r="RK7542" s="106"/>
      <c r="RL7542" s="106"/>
    </row>
    <row r="7543" spans="462:480" x14ac:dyDescent="0.3">
      <c r="QT7543" s="106"/>
      <c r="QU7543" s="106"/>
      <c r="QV7543" s="106"/>
      <c r="QW7543" s="106"/>
      <c r="QX7543" s="106"/>
      <c r="QY7543" s="106"/>
      <c r="QZ7543" s="106"/>
      <c r="RA7543" s="106"/>
      <c r="RB7543" s="106"/>
      <c r="RC7543" s="106"/>
      <c r="RD7543" s="106"/>
      <c r="RE7543" s="106"/>
      <c r="RF7543" s="106"/>
      <c r="RG7543" s="106"/>
      <c r="RH7543" s="106"/>
      <c r="RI7543" s="106"/>
      <c r="RJ7543" s="106"/>
      <c r="RK7543" s="106"/>
      <c r="RL7543" s="106"/>
    </row>
    <row r="7544" spans="462:480" x14ac:dyDescent="0.3">
      <c r="QT7544" s="106"/>
      <c r="QU7544" s="106"/>
      <c r="QV7544" s="106"/>
      <c r="QW7544" s="106"/>
      <c r="QX7544" s="106"/>
      <c r="QY7544" s="106"/>
      <c r="QZ7544" s="106"/>
      <c r="RA7544" s="106"/>
      <c r="RB7544" s="106"/>
      <c r="RC7544" s="106"/>
      <c r="RD7544" s="106"/>
      <c r="RE7544" s="106"/>
      <c r="RF7544" s="106"/>
      <c r="RG7544" s="106"/>
      <c r="RH7544" s="106"/>
      <c r="RI7544" s="106"/>
      <c r="RJ7544" s="106"/>
      <c r="RK7544" s="106"/>
      <c r="RL7544" s="106"/>
    </row>
    <row r="7545" spans="462:480" x14ac:dyDescent="0.3">
      <c r="QT7545" s="106"/>
      <c r="QU7545" s="106"/>
      <c r="QV7545" s="106"/>
      <c r="QW7545" s="106"/>
      <c r="QX7545" s="106"/>
      <c r="QY7545" s="106"/>
      <c r="QZ7545" s="106"/>
      <c r="RA7545" s="106"/>
      <c r="RB7545" s="106"/>
      <c r="RC7545" s="106"/>
      <c r="RD7545" s="106"/>
      <c r="RE7545" s="106"/>
      <c r="RF7545" s="106"/>
      <c r="RG7545" s="106"/>
      <c r="RH7545" s="106"/>
      <c r="RI7545" s="106"/>
      <c r="RJ7545" s="106"/>
      <c r="RK7545" s="106"/>
      <c r="RL7545" s="106"/>
    </row>
    <row r="7546" spans="462:480" x14ac:dyDescent="0.3">
      <c r="QT7546" s="106"/>
      <c r="QU7546" s="106"/>
      <c r="QV7546" s="106"/>
      <c r="QW7546" s="106"/>
      <c r="QX7546" s="106"/>
      <c r="QY7546" s="106"/>
      <c r="QZ7546" s="106"/>
      <c r="RA7546" s="106"/>
      <c r="RB7546" s="106"/>
      <c r="RC7546" s="106"/>
      <c r="RD7546" s="106"/>
      <c r="RE7546" s="106"/>
      <c r="RF7546" s="106"/>
      <c r="RG7546" s="106"/>
      <c r="RH7546" s="106"/>
      <c r="RI7546" s="106"/>
      <c r="RJ7546" s="106"/>
      <c r="RK7546" s="106"/>
      <c r="RL7546" s="106"/>
    </row>
    <row r="7547" spans="462:480" x14ac:dyDescent="0.3">
      <c r="QT7547" s="106"/>
      <c r="QU7547" s="106"/>
      <c r="QV7547" s="106"/>
      <c r="QW7547" s="106"/>
      <c r="QX7547" s="106"/>
      <c r="QY7547" s="106"/>
      <c r="QZ7547" s="106"/>
      <c r="RA7547" s="106"/>
      <c r="RB7547" s="106"/>
      <c r="RC7547" s="106"/>
      <c r="RD7547" s="106"/>
      <c r="RE7547" s="106"/>
      <c r="RF7547" s="106"/>
      <c r="RG7547" s="106"/>
      <c r="RH7547" s="106"/>
      <c r="RI7547" s="106"/>
      <c r="RJ7547" s="106"/>
      <c r="RK7547" s="106"/>
      <c r="RL7547" s="106"/>
    </row>
    <row r="7548" spans="462:480" x14ac:dyDescent="0.3">
      <c r="QT7548" s="106"/>
      <c r="QU7548" s="106"/>
      <c r="QV7548" s="106"/>
      <c r="QW7548" s="106"/>
      <c r="QX7548" s="106"/>
      <c r="QY7548" s="106"/>
      <c r="QZ7548" s="106"/>
      <c r="RA7548" s="106"/>
      <c r="RB7548" s="106"/>
      <c r="RC7548" s="106"/>
      <c r="RD7548" s="106"/>
      <c r="RE7548" s="106"/>
      <c r="RF7548" s="106"/>
      <c r="RG7548" s="106"/>
      <c r="RH7548" s="106"/>
      <c r="RI7548" s="106"/>
      <c r="RJ7548" s="106"/>
      <c r="RK7548" s="106"/>
      <c r="RL7548" s="106"/>
    </row>
    <row r="7549" spans="462:480" x14ac:dyDescent="0.3">
      <c r="QT7549" s="106"/>
      <c r="QU7549" s="106"/>
      <c r="QV7549" s="106"/>
      <c r="QW7549" s="106"/>
      <c r="QX7549" s="106"/>
      <c r="QY7549" s="106"/>
      <c r="QZ7549" s="106"/>
      <c r="RA7549" s="106"/>
      <c r="RB7549" s="106"/>
      <c r="RC7549" s="106"/>
      <c r="RD7549" s="106"/>
      <c r="RE7549" s="106"/>
      <c r="RF7549" s="106"/>
      <c r="RG7549" s="106"/>
      <c r="RH7549" s="106"/>
      <c r="RI7549" s="106"/>
      <c r="RJ7549" s="106"/>
      <c r="RK7549" s="106"/>
      <c r="RL7549" s="106"/>
    </row>
    <row r="7550" spans="462:480" x14ac:dyDescent="0.3">
      <c r="QT7550" s="106"/>
      <c r="QU7550" s="106"/>
      <c r="QV7550" s="106"/>
      <c r="QW7550" s="106"/>
      <c r="QX7550" s="106"/>
      <c r="QY7550" s="106"/>
      <c r="QZ7550" s="106"/>
      <c r="RA7550" s="106"/>
      <c r="RB7550" s="106"/>
      <c r="RC7550" s="106"/>
      <c r="RD7550" s="106"/>
      <c r="RE7550" s="106"/>
      <c r="RF7550" s="106"/>
      <c r="RG7550" s="106"/>
      <c r="RH7550" s="106"/>
      <c r="RI7550" s="106"/>
      <c r="RJ7550" s="106"/>
      <c r="RK7550" s="106"/>
      <c r="RL7550" s="106"/>
    </row>
    <row r="7551" spans="462:480" x14ac:dyDescent="0.3">
      <c r="QT7551" s="106"/>
      <c r="QU7551" s="106"/>
      <c r="QV7551" s="106"/>
      <c r="QW7551" s="106"/>
      <c r="QX7551" s="106"/>
      <c r="QY7551" s="106"/>
      <c r="QZ7551" s="106"/>
      <c r="RA7551" s="106"/>
      <c r="RB7551" s="106"/>
      <c r="RC7551" s="106"/>
      <c r="RD7551" s="106"/>
      <c r="RE7551" s="106"/>
      <c r="RF7551" s="106"/>
      <c r="RG7551" s="106"/>
      <c r="RH7551" s="106"/>
      <c r="RI7551" s="106"/>
      <c r="RJ7551" s="106"/>
      <c r="RK7551" s="106"/>
      <c r="RL7551" s="106"/>
    </row>
    <row r="7552" spans="462:480" x14ac:dyDescent="0.3">
      <c r="QT7552" s="106"/>
      <c r="QU7552" s="106"/>
      <c r="QV7552" s="106"/>
      <c r="QW7552" s="106"/>
      <c r="QX7552" s="106"/>
      <c r="QY7552" s="106"/>
      <c r="QZ7552" s="106"/>
      <c r="RA7552" s="106"/>
      <c r="RB7552" s="106"/>
      <c r="RC7552" s="106"/>
      <c r="RD7552" s="106"/>
      <c r="RE7552" s="106"/>
      <c r="RF7552" s="106"/>
      <c r="RG7552" s="106"/>
      <c r="RH7552" s="106"/>
      <c r="RI7552" s="106"/>
      <c r="RJ7552" s="106"/>
      <c r="RK7552" s="106"/>
      <c r="RL7552" s="106"/>
    </row>
    <row r="7553" spans="462:480" x14ac:dyDescent="0.3">
      <c r="QT7553" s="106"/>
      <c r="QU7553" s="106"/>
      <c r="QV7553" s="106"/>
      <c r="QW7553" s="106"/>
      <c r="QX7553" s="106"/>
      <c r="QY7553" s="106"/>
      <c r="QZ7553" s="106"/>
      <c r="RA7553" s="106"/>
      <c r="RB7553" s="106"/>
      <c r="RC7553" s="106"/>
      <c r="RD7553" s="106"/>
      <c r="RE7553" s="106"/>
      <c r="RF7553" s="106"/>
      <c r="RG7553" s="106"/>
      <c r="RH7553" s="106"/>
      <c r="RI7553" s="106"/>
      <c r="RJ7553" s="106"/>
      <c r="RK7553" s="106"/>
      <c r="RL7553" s="106"/>
    </row>
    <row r="7554" spans="462:480" x14ac:dyDescent="0.3">
      <c r="QT7554" s="106"/>
      <c r="QU7554" s="106"/>
      <c r="QV7554" s="106"/>
      <c r="QW7554" s="106"/>
      <c r="QX7554" s="106"/>
      <c r="QY7554" s="106"/>
      <c r="QZ7554" s="106"/>
      <c r="RA7554" s="106"/>
      <c r="RB7554" s="106"/>
      <c r="RC7554" s="106"/>
      <c r="RD7554" s="106"/>
      <c r="RE7554" s="106"/>
      <c r="RF7554" s="106"/>
      <c r="RG7554" s="106"/>
      <c r="RH7554" s="106"/>
      <c r="RI7554" s="106"/>
      <c r="RJ7554" s="106"/>
      <c r="RK7554" s="106"/>
      <c r="RL7554" s="106"/>
    </row>
    <row r="7555" spans="462:480" x14ac:dyDescent="0.3">
      <c r="QT7555" s="106"/>
      <c r="QU7555" s="106"/>
      <c r="QV7555" s="106"/>
      <c r="QW7555" s="106"/>
      <c r="QX7555" s="106"/>
      <c r="QY7555" s="106"/>
      <c r="QZ7555" s="106"/>
      <c r="RA7555" s="106"/>
      <c r="RB7555" s="106"/>
      <c r="RC7555" s="106"/>
      <c r="RD7555" s="106"/>
      <c r="RE7555" s="106"/>
      <c r="RF7555" s="106"/>
      <c r="RG7555" s="106"/>
      <c r="RH7555" s="106"/>
      <c r="RI7555" s="106"/>
      <c r="RJ7555" s="106"/>
      <c r="RK7555" s="106"/>
      <c r="RL7555" s="106"/>
    </row>
    <row r="7556" spans="462:480" x14ac:dyDescent="0.3">
      <c r="QT7556" s="106"/>
      <c r="QU7556" s="106"/>
      <c r="QV7556" s="106"/>
      <c r="QW7556" s="106"/>
      <c r="QX7556" s="106"/>
      <c r="QY7556" s="106"/>
      <c r="QZ7556" s="106"/>
      <c r="RA7556" s="106"/>
      <c r="RB7556" s="106"/>
      <c r="RC7556" s="106"/>
      <c r="RD7556" s="106"/>
      <c r="RE7556" s="106"/>
      <c r="RF7556" s="106"/>
      <c r="RG7556" s="106"/>
      <c r="RH7556" s="106"/>
      <c r="RI7556" s="106"/>
      <c r="RJ7556" s="106"/>
      <c r="RK7556" s="106"/>
      <c r="RL7556" s="106"/>
    </row>
    <row r="7557" spans="462:480" x14ac:dyDescent="0.3">
      <c r="QT7557" s="106"/>
      <c r="QU7557" s="106"/>
      <c r="QV7557" s="106"/>
      <c r="QW7557" s="106"/>
      <c r="QX7557" s="106"/>
      <c r="QY7557" s="106"/>
      <c r="QZ7557" s="106"/>
      <c r="RA7557" s="106"/>
      <c r="RB7557" s="106"/>
      <c r="RC7557" s="106"/>
      <c r="RD7557" s="106"/>
      <c r="RE7557" s="106"/>
      <c r="RF7557" s="106"/>
      <c r="RG7557" s="106"/>
      <c r="RH7557" s="106"/>
      <c r="RI7557" s="106"/>
      <c r="RJ7557" s="106"/>
      <c r="RK7557" s="106"/>
      <c r="RL7557" s="106"/>
    </row>
    <row r="7558" spans="462:480" x14ac:dyDescent="0.3">
      <c r="QT7558" s="106"/>
      <c r="QU7558" s="106"/>
      <c r="QV7558" s="106"/>
      <c r="QW7558" s="106"/>
      <c r="QX7558" s="106"/>
      <c r="QY7558" s="106"/>
      <c r="QZ7558" s="106"/>
      <c r="RA7558" s="106"/>
      <c r="RB7558" s="106"/>
      <c r="RC7558" s="106"/>
      <c r="RD7558" s="106"/>
      <c r="RE7558" s="106"/>
      <c r="RF7558" s="106"/>
      <c r="RG7558" s="106"/>
      <c r="RH7558" s="106"/>
      <c r="RI7558" s="106"/>
      <c r="RJ7558" s="106"/>
      <c r="RK7558" s="106"/>
      <c r="RL7558" s="106"/>
    </row>
    <row r="7559" spans="462:480" x14ac:dyDescent="0.3">
      <c r="QT7559" s="106"/>
      <c r="QU7559" s="106"/>
      <c r="QV7559" s="106"/>
      <c r="QW7559" s="106"/>
      <c r="QX7559" s="106"/>
      <c r="QY7559" s="106"/>
      <c r="QZ7559" s="106"/>
      <c r="RA7559" s="106"/>
      <c r="RB7559" s="106"/>
      <c r="RC7559" s="106"/>
      <c r="RD7559" s="106"/>
      <c r="RE7559" s="106"/>
      <c r="RF7559" s="106"/>
      <c r="RG7559" s="106"/>
      <c r="RH7559" s="106"/>
      <c r="RI7559" s="106"/>
      <c r="RJ7559" s="106"/>
      <c r="RK7559" s="106"/>
      <c r="RL7559" s="106"/>
    </row>
    <row r="7560" spans="462:480" x14ac:dyDescent="0.3">
      <c r="QT7560" s="106"/>
      <c r="QU7560" s="106"/>
      <c r="QV7560" s="106"/>
      <c r="QW7560" s="106"/>
      <c r="QX7560" s="106"/>
      <c r="QY7560" s="106"/>
      <c r="QZ7560" s="106"/>
      <c r="RA7560" s="106"/>
      <c r="RB7560" s="106"/>
      <c r="RC7560" s="106"/>
      <c r="RD7560" s="106"/>
      <c r="RE7560" s="106"/>
      <c r="RF7560" s="106"/>
      <c r="RG7560" s="106"/>
      <c r="RH7560" s="106"/>
      <c r="RI7560" s="106"/>
      <c r="RJ7560" s="106"/>
      <c r="RK7560" s="106"/>
      <c r="RL7560" s="106"/>
    </row>
    <row r="7561" spans="462:480" x14ac:dyDescent="0.3">
      <c r="QT7561" s="106"/>
      <c r="QU7561" s="106"/>
      <c r="QV7561" s="106"/>
      <c r="QW7561" s="106"/>
      <c r="QX7561" s="106"/>
      <c r="QY7561" s="106"/>
      <c r="QZ7561" s="106"/>
      <c r="RA7561" s="106"/>
      <c r="RB7561" s="106"/>
      <c r="RC7561" s="106"/>
      <c r="RD7561" s="106"/>
      <c r="RE7561" s="106"/>
      <c r="RF7561" s="106"/>
      <c r="RG7561" s="106"/>
      <c r="RH7561" s="106"/>
      <c r="RI7561" s="106"/>
      <c r="RJ7561" s="106"/>
      <c r="RK7561" s="106"/>
      <c r="RL7561" s="106"/>
    </row>
    <row r="7562" spans="462:480" x14ac:dyDescent="0.3">
      <c r="QT7562" s="106"/>
      <c r="QU7562" s="106"/>
      <c r="QV7562" s="106"/>
      <c r="QW7562" s="106"/>
      <c r="QX7562" s="106"/>
      <c r="QY7562" s="106"/>
      <c r="QZ7562" s="106"/>
      <c r="RA7562" s="106"/>
      <c r="RB7562" s="106"/>
      <c r="RC7562" s="106"/>
      <c r="RD7562" s="106"/>
      <c r="RE7562" s="106"/>
      <c r="RF7562" s="106"/>
      <c r="RG7562" s="106"/>
      <c r="RH7562" s="106"/>
      <c r="RI7562" s="106"/>
      <c r="RJ7562" s="106"/>
      <c r="RK7562" s="106"/>
      <c r="RL7562" s="106"/>
    </row>
    <row r="7563" spans="462:480" x14ac:dyDescent="0.3">
      <c r="QT7563" s="106"/>
      <c r="QU7563" s="106"/>
      <c r="QV7563" s="106"/>
      <c r="QW7563" s="106"/>
      <c r="QX7563" s="106"/>
      <c r="QY7563" s="106"/>
      <c r="QZ7563" s="106"/>
      <c r="RA7563" s="106"/>
      <c r="RB7563" s="106"/>
      <c r="RC7563" s="106"/>
      <c r="RD7563" s="106"/>
      <c r="RE7563" s="106"/>
      <c r="RF7563" s="106"/>
      <c r="RG7563" s="106"/>
      <c r="RH7563" s="106"/>
      <c r="RI7563" s="106"/>
      <c r="RJ7563" s="106"/>
      <c r="RK7563" s="106"/>
      <c r="RL7563" s="106"/>
    </row>
    <row r="7564" spans="462:480" x14ac:dyDescent="0.3">
      <c r="QT7564" s="106"/>
      <c r="QU7564" s="106"/>
      <c r="QV7564" s="106"/>
      <c r="QW7564" s="106"/>
      <c r="QX7564" s="106"/>
      <c r="QY7564" s="106"/>
      <c r="QZ7564" s="106"/>
      <c r="RA7564" s="106"/>
      <c r="RB7564" s="106"/>
      <c r="RC7564" s="106"/>
      <c r="RD7564" s="106"/>
      <c r="RE7564" s="106"/>
      <c r="RF7564" s="106"/>
      <c r="RG7564" s="106"/>
      <c r="RH7564" s="106"/>
      <c r="RI7564" s="106"/>
      <c r="RJ7564" s="106"/>
      <c r="RK7564" s="106"/>
      <c r="RL7564" s="106"/>
    </row>
    <row r="7565" spans="462:480" x14ac:dyDescent="0.3">
      <c r="QT7565" s="106"/>
      <c r="QU7565" s="106"/>
      <c r="QV7565" s="106"/>
      <c r="QW7565" s="106"/>
      <c r="QX7565" s="106"/>
      <c r="QY7565" s="106"/>
      <c r="QZ7565" s="106"/>
      <c r="RA7565" s="106"/>
      <c r="RB7565" s="106"/>
      <c r="RC7565" s="106"/>
      <c r="RD7565" s="106"/>
      <c r="RE7565" s="106"/>
      <c r="RF7565" s="106"/>
      <c r="RG7565" s="106"/>
      <c r="RH7565" s="106"/>
      <c r="RI7565" s="106"/>
      <c r="RJ7565" s="106"/>
      <c r="RK7565" s="106"/>
      <c r="RL7565" s="106"/>
    </row>
    <row r="7566" spans="462:480" x14ac:dyDescent="0.3">
      <c r="QT7566" s="106"/>
      <c r="QU7566" s="106"/>
      <c r="QV7566" s="106"/>
      <c r="QW7566" s="106"/>
      <c r="QX7566" s="106"/>
      <c r="QY7566" s="106"/>
      <c r="QZ7566" s="106"/>
      <c r="RA7566" s="106"/>
      <c r="RB7566" s="106"/>
      <c r="RC7566" s="106"/>
      <c r="RD7566" s="106"/>
      <c r="RE7566" s="106"/>
      <c r="RF7566" s="106"/>
      <c r="RG7566" s="106"/>
      <c r="RH7566" s="106"/>
      <c r="RI7566" s="106"/>
      <c r="RJ7566" s="106"/>
      <c r="RK7566" s="106"/>
      <c r="RL7566" s="106"/>
    </row>
    <row r="7567" spans="462:480" x14ac:dyDescent="0.3">
      <c r="QT7567" s="106"/>
      <c r="QU7567" s="106"/>
      <c r="QV7567" s="106"/>
      <c r="QW7567" s="106"/>
      <c r="QX7567" s="106"/>
      <c r="QY7567" s="106"/>
      <c r="QZ7567" s="106"/>
      <c r="RA7567" s="106"/>
      <c r="RB7567" s="106"/>
      <c r="RC7567" s="106"/>
      <c r="RD7567" s="106"/>
      <c r="RE7567" s="106"/>
      <c r="RF7567" s="106"/>
      <c r="RG7567" s="106"/>
      <c r="RH7567" s="106"/>
      <c r="RI7567" s="106"/>
      <c r="RJ7567" s="106"/>
      <c r="RK7567" s="106"/>
      <c r="RL7567" s="106"/>
    </row>
    <row r="7568" spans="462:480" x14ac:dyDescent="0.3">
      <c r="QT7568" s="106"/>
      <c r="QU7568" s="106"/>
      <c r="QV7568" s="106"/>
      <c r="QW7568" s="106"/>
      <c r="QX7568" s="106"/>
      <c r="QY7568" s="106"/>
      <c r="QZ7568" s="106"/>
      <c r="RA7568" s="106"/>
      <c r="RB7568" s="106"/>
      <c r="RC7568" s="106"/>
      <c r="RD7568" s="106"/>
      <c r="RE7568" s="106"/>
      <c r="RF7568" s="106"/>
      <c r="RG7568" s="106"/>
      <c r="RH7568" s="106"/>
      <c r="RI7568" s="106"/>
      <c r="RJ7568" s="106"/>
      <c r="RK7568" s="106"/>
      <c r="RL7568" s="106"/>
    </row>
    <row r="7569" spans="462:480" x14ac:dyDescent="0.3">
      <c r="QT7569" s="106"/>
      <c r="QU7569" s="106"/>
      <c r="QV7569" s="106"/>
      <c r="QW7569" s="106"/>
      <c r="QX7569" s="106"/>
      <c r="QY7569" s="106"/>
      <c r="QZ7569" s="106"/>
      <c r="RA7569" s="106"/>
      <c r="RB7569" s="106"/>
      <c r="RC7569" s="106"/>
      <c r="RD7569" s="106"/>
      <c r="RE7569" s="106"/>
      <c r="RF7569" s="106"/>
      <c r="RG7569" s="106"/>
      <c r="RH7569" s="106"/>
      <c r="RI7569" s="106"/>
      <c r="RJ7569" s="106"/>
      <c r="RK7569" s="106"/>
      <c r="RL7569" s="106"/>
    </row>
    <row r="7570" spans="462:480" x14ac:dyDescent="0.3">
      <c r="QT7570" s="106"/>
      <c r="QU7570" s="106"/>
      <c r="QV7570" s="106"/>
      <c r="QW7570" s="106"/>
      <c r="QX7570" s="106"/>
      <c r="QY7570" s="106"/>
      <c r="QZ7570" s="106"/>
      <c r="RA7570" s="106"/>
      <c r="RB7570" s="106"/>
      <c r="RC7570" s="106"/>
      <c r="RD7570" s="106"/>
      <c r="RE7570" s="106"/>
      <c r="RF7570" s="106"/>
      <c r="RG7570" s="106"/>
      <c r="RH7570" s="106"/>
      <c r="RI7570" s="106"/>
      <c r="RJ7570" s="106"/>
      <c r="RK7570" s="106"/>
      <c r="RL7570" s="106"/>
    </row>
    <row r="7571" spans="462:480" x14ac:dyDescent="0.3">
      <c r="QT7571" s="106"/>
      <c r="QU7571" s="106"/>
      <c r="QV7571" s="106"/>
      <c r="QW7571" s="106"/>
      <c r="QX7571" s="106"/>
      <c r="QY7571" s="106"/>
      <c r="QZ7571" s="106"/>
      <c r="RA7571" s="106"/>
      <c r="RB7571" s="106"/>
      <c r="RC7571" s="106"/>
      <c r="RD7571" s="106"/>
      <c r="RE7571" s="106"/>
      <c r="RF7571" s="106"/>
      <c r="RG7571" s="106"/>
      <c r="RH7571" s="106"/>
      <c r="RI7571" s="106"/>
      <c r="RJ7571" s="106"/>
      <c r="RK7571" s="106"/>
      <c r="RL7571" s="106"/>
    </row>
    <row r="7572" spans="462:480" x14ac:dyDescent="0.3">
      <c r="QT7572" s="106"/>
      <c r="QU7572" s="106"/>
      <c r="QV7572" s="106"/>
      <c r="QW7572" s="106"/>
      <c r="QX7572" s="106"/>
      <c r="QY7572" s="106"/>
      <c r="QZ7572" s="106"/>
      <c r="RA7572" s="106"/>
      <c r="RB7572" s="106"/>
      <c r="RC7572" s="106"/>
      <c r="RD7572" s="106"/>
      <c r="RE7572" s="106"/>
      <c r="RF7572" s="106"/>
      <c r="RG7572" s="106"/>
      <c r="RH7572" s="106"/>
      <c r="RI7572" s="106"/>
      <c r="RJ7572" s="106"/>
      <c r="RK7572" s="106"/>
      <c r="RL7572" s="106"/>
    </row>
    <row r="7573" spans="462:480" x14ac:dyDescent="0.3">
      <c r="QT7573" s="106"/>
      <c r="QU7573" s="106"/>
      <c r="QV7573" s="106"/>
      <c r="QW7573" s="106"/>
      <c r="QX7573" s="106"/>
      <c r="QY7573" s="106"/>
      <c r="QZ7573" s="106"/>
      <c r="RA7573" s="106"/>
      <c r="RB7573" s="106"/>
      <c r="RC7573" s="106"/>
      <c r="RD7573" s="106"/>
      <c r="RE7573" s="106"/>
      <c r="RF7573" s="106"/>
      <c r="RG7573" s="106"/>
      <c r="RH7573" s="106"/>
      <c r="RI7573" s="106"/>
      <c r="RJ7573" s="106"/>
      <c r="RK7573" s="106"/>
      <c r="RL7573" s="106"/>
    </row>
    <row r="7574" spans="462:480" x14ac:dyDescent="0.3">
      <c r="QT7574" s="106"/>
      <c r="QU7574" s="106"/>
      <c r="QV7574" s="106"/>
      <c r="QW7574" s="106"/>
      <c r="QX7574" s="106"/>
      <c r="QY7574" s="106"/>
      <c r="QZ7574" s="106"/>
      <c r="RA7574" s="106"/>
      <c r="RB7574" s="106"/>
      <c r="RC7574" s="106"/>
      <c r="RD7574" s="106"/>
      <c r="RE7574" s="106"/>
      <c r="RF7574" s="106"/>
      <c r="RG7574" s="106"/>
      <c r="RH7574" s="106"/>
      <c r="RI7574" s="106"/>
      <c r="RJ7574" s="106"/>
      <c r="RK7574" s="106"/>
      <c r="RL7574" s="106"/>
    </row>
    <row r="7575" spans="462:480" x14ac:dyDescent="0.3">
      <c r="QT7575" s="106"/>
      <c r="QU7575" s="106"/>
      <c r="QV7575" s="106"/>
      <c r="QW7575" s="106"/>
      <c r="QX7575" s="106"/>
      <c r="QY7575" s="106"/>
      <c r="QZ7575" s="106"/>
      <c r="RA7575" s="106"/>
      <c r="RB7575" s="106"/>
      <c r="RC7575" s="106"/>
      <c r="RD7575" s="106"/>
      <c r="RE7575" s="106"/>
      <c r="RF7575" s="106"/>
      <c r="RG7575" s="106"/>
      <c r="RH7575" s="106"/>
      <c r="RI7575" s="106"/>
      <c r="RJ7575" s="106"/>
      <c r="RK7575" s="106"/>
      <c r="RL7575" s="106"/>
    </row>
    <row r="7576" spans="462:480" x14ac:dyDescent="0.3">
      <c r="QT7576" s="106"/>
      <c r="QU7576" s="106"/>
      <c r="QV7576" s="106"/>
      <c r="QW7576" s="106"/>
      <c r="QX7576" s="106"/>
      <c r="QY7576" s="106"/>
      <c r="QZ7576" s="106"/>
      <c r="RA7576" s="106"/>
      <c r="RB7576" s="106"/>
      <c r="RC7576" s="106"/>
      <c r="RD7576" s="106"/>
      <c r="RE7576" s="106"/>
      <c r="RF7576" s="106"/>
      <c r="RG7576" s="106"/>
      <c r="RH7576" s="106"/>
      <c r="RI7576" s="106"/>
      <c r="RJ7576" s="106"/>
      <c r="RK7576" s="106"/>
      <c r="RL7576" s="106"/>
    </row>
    <row r="7577" spans="462:480" x14ac:dyDescent="0.3">
      <c r="QT7577" s="106"/>
      <c r="QU7577" s="106"/>
      <c r="QV7577" s="106"/>
      <c r="QW7577" s="106"/>
      <c r="QX7577" s="106"/>
      <c r="QY7577" s="106"/>
      <c r="QZ7577" s="106"/>
      <c r="RA7577" s="106"/>
      <c r="RB7577" s="106"/>
      <c r="RC7577" s="106"/>
      <c r="RD7577" s="106"/>
      <c r="RE7577" s="106"/>
      <c r="RF7577" s="106"/>
      <c r="RG7577" s="106"/>
      <c r="RH7577" s="106"/>
      <c r="RI7577" s="106"/>
      <c r="RJ7577" s="106"/>
      <c r="RK7577" s="106"/>
      <c r="RL7577" s="106"/>
    </row>
    <row r="7578" spans="462:480" x14ac:dyDescent="0.3">
      <c r="QT7578" s="106"/>
      <c r="QU7578" s="106"/>
      <c r="QV7578" s="106"/>
      <c r="QW7578" s="106"/>
      <c r="QX7578" s="106"/>
      <c r="QY7578" s="106"/>
      <c r="QZ7578" s="106"/>
      <c r="RA7578" s="106"/>
      <c r="RB7578" s="106"/>
      <c r="RC7578" s="106"/>
      <c r="RD7578" s="106"/>
      <c r="RE7578" s="106"/>
      <c r="RF7578" s="106"/>
      <c r="RG7578" s="106"/>
      <c r="RH7578" s="106"/>
      <c r="RI7578" s="106"/>
      <c r="RJ7578" s="106"/>
      <c r="RK7578" s="106"/>
      <c r="RL7578" s="106"/>
    </row>
    <row r="7579" spans="462:480" x14ac:dyDescent="0.3">
      <c r="QT7579" s="106"/>
      <c r="QU7579" s="106"/>
      <c r="QV7579" s="106"/>
      <c r="QW7579" s="106"/>
      <c r="QX7579" s="106"/>
      <c r="QY7579" s="106"/>
      <c r="QZ7579" s="106"/>
      <c r="RA7579" s="106"/>
      <c r="RB7579" s="106"/>
      <c r="RC7579" s="106"/>
      <c r="RD7579" s="106"/>
      <c r="RE7579" s="106"/>
      <c r="RF7579" s="106"/>
      <c r="RG7579" s="106"/>
      <c r="RH7579" s="106"/>
      <c r="RI7579" s="106"/>
      <c r="RJ7579" s="106"/>
      <c r="RK7579" s="106"/>
      <c r="RL7579" s="106"/>
    </row>
    <row r="7580" spans="462:480" x14ac:dyDescent="0.3">
      <c r="QT7580" s="106"/>
      <c r="QU7580" s="106"/>
      <c r="QV7580" s="106"/>
      <c r="QW7580" s="106"/>
      <c r="QX7580" s="106"/>
      <c r="QY7580" s="106"/>
      <c r="QZ7580" s="106"/>
      <c r="RA7580" s="106"/>
      <c r="RB7580" s="106"/>
      <c r="RC7580" s="106"/>
      <c r="RD7580" s="106"/>
      <c r="RE7580" s="106"/>
      <c r="RF7580" s="106"/>
      <c r="RG7580" s="106"/>
      <c r="RH7580" s="106"/>
      <c r="RI7580" s="106"/>
      <c r="RJ7580" s="106"/>
      <c r="RK7580" s="106"/>
      <c r="RL7580" s="106"/>
    </row>
    <row r="7581" spans="462:480" x14ac:dyDescent="0.3">
      <c r="QT7581" s="106"/>
      <c r="QU7581" s="106"/>
      <c r="QV7581" s="106"/>
      <c r="QW7581" s="106"/>
      <c r="QX7581" s="106"/>
      <c r="QY7581" s="106"/>
      <c r="QZ7581" s="106"/>
      <c r="RA7581" s="106"/>
      <c r="RB7581" s="106"/>
      <c r="RC7581" s="106"/>
      <c r="RD7581" s="106"/>
      <c r="RE7581" s="106"/>
      <c r="RF7581" s="106"/>
      <c r="RG7581" s="106"/>
      <c r="RH7581" s="106"/>
      <c r="RI7581" s="106"/>
      <c r="RJ7581" s="106"/>
      <c r="RK7581" s="106"/>
      <c r="RL7581" s="106"/>
    </row>
    <row r="7582" spans="462:480" x14ac:dyDescent="0.3">
      <c r="QT7582" s="106"/>
      <c r="QU7582" s="106"/>
      <c r="QV7582" s="106"/>
      <c r="QW7582" s="106"/>
      <c r="QX7582" s="106"/>
      <c r="QY7582" s="106"/>
      <c r="QZ7582" s="106"/>
      <c r="RA7582" s="106"/>
      <c r="RB7582" s="106"/>
      <c r="RC7582" s="106"/>
      <c r="RD7582" s="106"/>
      <c r="RE7582" s="106"/>
      <c r="RF7582" s="106"/>
      <c r="RG7582" s="106"/>
      <c r="RH7582" s="106"/>
      <c r="RI7582" s="106"/>
      <c r="RJ7582" s="106"/>
      <c r="RK7582" s="106"/>
      <c r="RL7582" s="106"/>
    </row>
    <row r="7583" spans="462:480" x14ac:dyDescent="0.3">
      <c r="QT7583" s="106"/>
      <c r="QU7583" s="106"/>
      <c r="QV7583" s="106"/>
      <c r="QW7583" s="106"/>
      <c r="QX7583" s="106"/>
      <c r="QY7583" s="106"/>
      <c r="QZ7583" s="106"/>
      <c r="RA7583" s="106"/>
      <c r="RB7583" s="106"/>
      <c r="RC7583" s="106"/>
      <c r="RD7583" s="106"/>
      <c r="RE7583" s="106"/>
      <c r="RF7583" s="106"/>
      <c r="RG7583" s="106"/>
      <c r="RH7583" s="106"/>
      <c r="RI7583" s="106"/>
      <c r="RJ7583" s="106"/>
      <c r="RK7583" s="106"/>
      <c r="RL7583" s="106"/>
    </row>
    <row r="7584" spans="462:480" x14ac:dyDescent="0.3">
      <c r="QT7584" s="106"/>
      <c r="QU7584" s="106"/>
      <c r="QV7584" s="106"/>
      <c r="QW7584" s="106"/>
      <c r="QX7584" s="106"/>
      <c r="QY7584" s="106"/>
      <c r="QZ7584" s="106"/>
      <c r="RA7584" s="106"/>
      <c r="RB7584" s="106"/>
      <c r="RC7584" s="106"/>
      <c r="RD7584" s="106"/>
      <c r="RE7584" s="106"/>
      <c r="RF7584" s="106"/>
      <c r="RG7584" s="106"/>
      <c r="RH7584" s="106"/>
      <c r="RI7584" s="106"/>
      <c r="RJ7584" s="106"/>
      <c r="RK7584" s="106"/>
      <c r="RL7584" s="106"/>
    </row>
    <row r="7585" spans="462:480" x14ac:dyDescent="0.3">
      <c r="QT7585" s="106"/>
      <c r="QU7585" s="106"/>
      <c r="QV7585" s="106"/>
      <c r="QW7585" s="106"/>
      <c r="QX7585" s="106"/>
      <c r="QY7585" s="106"/>
      <c r="QZ7585" s="106"/>
      <c r="RA7585" s="106"/>
      <c r="RB7585" s="106"/>
      <c r="RC7585" s="106"/>
      <c r="RD7585" s="106"/>
      <c r="RE7585" s="106"/>
      <c r="RF7585" s="106"/>
      <c r="RG7585" s="106"/>
      <c r="RH7585" s="106"/>
      <c r="RI7585" s="106"/>
      <c r="RJ7585" s="106"/>
      <c r="RK7585" s="106"/>
      <c r="RL7585" s="106"/>
    </row>
    <row r="7586" spans="462:480" x14ac:dyDescent="0.3">
      <c r="QT7586" s="106"/>
      <c r="QU7586" s="106"/>
      <c r="QV7586" s="106"/>
      <c r="QW7586" s="106"/>
      <c r="QX7586" s="106"/>
      <c r="QY7586" s="106"/>
      <c r="QZ7586" s="106"/>
      <c r="RA7586" s="106"/>
      <c r="RB7586" s="106"/>
      <c r="RC7586" s="106"/>
      <c r="RD7586" s="106"/>
      <c r="RE7586" s="106"/>
      <c r="RF7586" s="106"/>
      <c r="RG7586" s="106"/>
      <c r="RH7586" s="106"/>
      <c r="RI7586" s="106"/>
      <c r="RJ7586" s="106"/>
      <c r="RK7586" s="106"/>
      <c r="RL7586" s="106"/>
    </row>
    <row r="7587" spans="462:480" x14ac:dyDescent="0.3">
      <c r="QT7587" s="106"/>
      <c r="QU7587" s="106"/>
      <c r="QV7587" s="106"/>
      <c r="QW7587" s="106"/>
      <c r="QX7587" s="106"/>
      <c r="QY7587" s="106"/>
      <c r="QZ7587" s="106"/>
      <c r="RA7587" s="106"/>
      <c r="RB7587" s="106"/>
      <c r="RC7587" s="106"/>
      <c r="RD7587" s="106"/>
      <c r="RE7587" s="106"/>
      <c r="RF7587" s="106"/>
      <c r="RG7587" s="106"/>
      <c r="RH7587" s="106"/>
      <c r="RI7587" s="106"/>
      <c r="RJ7587" s="106"/>
      <c r="RK7587" s="106"/>
      <c r="RL7587" s="106"/>
    </row>
    <row r="7588" spans="462:480" x14ac:dyDescent="0.3">
      <c r="QT7588" s="106"/>
      <c r="QU7588" s="106"/>
      <c r="QV7588" s="106"/>
      <c r="QW7588" s="106"/>
      <c r="QX7588" s="106"/>
      <c r="QY7588" s="106"/>
      <c r="QZ7588" s="106"/>
      <c r="RA7588" s="106"/>
      <c r="RB7588" s="106"/>
      <c r="RC7588" s="106"/>
      <c r="RD7588" s="106"/>
      <c r="RE7588" s="106"/>
      <c r="RF7588" s="106"/>
      <c r="RG7588" s="106"/>
      <c r="RH7588" s="106"/>
      <c r="RI7588" s="106"/>
      <c r="RJ7588" s="106"/>
      <c r="RK7588" s="106"/>
      <c r="RL7588" s="106"/>
    </row>
    <row r="7589" spans="462:480" x14ac:dyDescent="0.3">
      <c r="QT7589" s="106"/>
      <c r="QU7589" s="106"/>
      <c r="QV7589" s="106"/>
      <c r="QW7589" s="106"/>
      <c r="QX7589" s="106"/>
      <c r="QY7589" s="106"/>
      <c r="QZ7589" s="106"/>
      <c r="RA7589" s="106"/>
      <c r="RB7589" s="106"/>
      <c r="RC7589" s="106"/>
      <c r="RD7589" s="106"/>
      <c r="RE7589" s="106"/>
      <c r="RF7589" s="106"/>
      <c r="RG7589" s="106"/>
      <c r="RH7589" s="106"/>
      <c r="RI7589" s="106"/>
      <c r="RJ7589" s="106"/>
      <c r="RK7589" s="106"/>
      <c r="RL7589" s="106"/>
    </row>
    <row r="7590" spans="462:480" x14ac:dyDescent="0.3">
      <c r="QT7590" s="106"/>
      <c r="QU7590" s="106"/>
      <c r="QV7590" s="106"/>
      <c r="QW7590" s="106"/>
      <c r="QX7590" s="106"/>
      <c r="QY7590" s="106"/>
      <c r="QZ7590" s="106"/>
      <c r="RA7590" s="106"/>
      <c r="RB7590" s="106"/>
      <c r="RC7590" s="106"/>
      <c r="RD7590" s="106"/>
      <c r="RE7590" s="106"/>
      <c r="RF7590" s="106"/>
      <c r="RG7590" s="106"/>
      <c r="RH7590" s="106"/>
      <c r="RI7590" s="106"/>
      <c r="RJ7590" s="106"/>
      <c r="RK7590" s="106"/>
      <c r="RL7590" s="106"/>
    </row>
    <row r="7591" spans="462:480" x14ac:dyDescent="0.3">
      <c r="QT7591" s="106"/>
      <c r="QU7591" s="106"/>
      <c r="QV7591" s="106"/>
      <c r="QW7591" s="106"/>
      <c r="QX7591" s="106"/>
      <c r="QY7591" s="106"/>
      <c r="QZ7591" s="106"/>
      <c r="RA7591" s="106"/>
      <c r="RB7591" s="106"/>
      <c r="RC7591" s="106"/>
      <c r="RD7591" s="106"/>
      <c r="RE7591" s="106"/>
      <c r="RF7591" s="106"/>
      <c r="RG7591" s="106"/>
      <c r="RH7591" s="106"/>
      <c r="RI7591" s="106"/>
      <c r="RJ7591" s="106"/>
      <c r="RK7591" s="106"/>
      <c r="RL7591" s="106"/>
    </row>
    <row r="7592" spans="462:480" x14ac:dyDescent="0.3">
      <c r="QT7592" s="106"/>
      <c r="QU7592" s="106"/>
      <c r="QV7592" s="106"/>
      <c r="QW7592" s="106"/>
      <c r="QX7592" s="106"/>
      <c r="QY7592" s="106"/>
      <c r="QZ7592" s="106"/>
      <c r="RA7592" s="106"/>
      <c r="RB7592" s="106"/>
      <c r="RC7592" s="106"/>
      <c r="RD7592" s="106"/>
      <c r="RE7592" s="106"/>
      <c r="RF7592" s="106"/>
      <c r="RG7592" s="106"/>
      <c r="RH7592" s="106"/>
      <c r="RI7592" s="106"/>
      <c r="RJ7592" s="106"/>
      <c r="RK7592" s="106"/>
      <c r="RL7592" s="106"/>
    </row>
    <row r="7593" spans="462:480" x14ac:dyDescent="0.3">
      <c r="QT7593" s="106"/>
      <c r="QU7593" s="106"/>
      <c r="QV7593" s="106"/>
      <c r="QW7593" s="106"/>
      <c r="QX7593" s="106"/>
      <c r="QY7593" s="106"/>
      <c r="QZ7593" s="106"/>
      <c r="RA7593" s="106"/>
      <c r="RB7593" s="106"/>
      <c r="RC7593" s="106"/>
      <c r="RD7593" s="106"/>
      <c r="RE7593" s="106"/>
      <c r="RF7593" s="106"/>
      <c r="RG7593" s="106"/>
      <c r="RH7593" s="106"/>
      <c r="RI7593" s="106"/>
      <c r="RJ7593" s="106"/>
      <c r="RK7593" s="106"/>
      <c r="RL7593" s="106"/>
    </row>
    <row r="7594" spans="462:480" x14ac:dyDescent="0.3">
      <c r="QT7594" s="106"/>
      <c r="QU7594" s="106"/>
      <c r="QV7594" s="106"/>
      <c r="QW7594" s="106"/>
      <c r="QX7594" s="106"/>
      <c r="QY7594" s="106"/>
      <c r="QZ7594" s="106"/>
      <c r="RA7594" s="106"/>
      <c r="RB7594" s="106"/>
      <c r="RC7594" s="106"/>
      <c r="RD7594" s="106"/>
      <c r="RE7594" s="106"/>
      <c r="RF7594" s="106"/>
      <c r="RG7594" s="106"/>
      <c r="RH7594" s="106"/>
      <c r="RI7594" s="106"/>
      <c r="RJ7594" s="106"/>
      <c r="RK7594" s="106"/>
      <c r="RL7594" s="106"/>
    </row>
    <row r="7595" spans="462:480" x14ac:dyDescent="0.3">
      <c r="QT7595" s="106"/>
      <c r="QU7595" s="106"/>
      <c r="QV7595" s="106"/>
      <c r="QW7595" s="106"/>
      <c r="QX7595" s="106"/>
      <c r="QY7595" s="106"/>
      <c r="QZ7595" s="106"/>
      <c r="RA7595" s="106"/>
      <c r="RB7595" s="106"/>
      <c r="RC7595" s="106"/>
      <c r="RD7595" s="106"/>
      <c r="RE7595" s="106"/>
      <c r="RF7595" s="106"/>
      <c r="RG7595" s="106"/>
      <c r="RH7595" s="106"/>
      <c r="RI7595" s="106"/>
      <c r="RJ7595" s="106"/>
      <c r="RK7595" s="106"/>
      <c r="RL7595" s="106"/>
    </row>
    <row r="7596" spans="462:480" x14ac:dyDescent="0.3">
      <c r="QT7596" s="106"/>
      <c r="QU7596" s="106"/>
      <c r="QV7596" s="106"/>
      <c r="QW7596" s="106"/>
      <c r="QX7596" s="106"/>
      <c r="QY7596" s="106"/>
      <c r="QZ7596" s="106"/>
      <c r="RA7596" s="106"/>
      <c r="RB7596" s="106"/>
      <c r="RC7596" s="106"/>
      <c r="RD7596" s="106"/>
      <c r="RE7596" s="106"/>
      <c r="RF7596" s="106"/>
      <c r="RG7596" s="106"/>
      <c r="RH7596" s="106"/>
      <c r="RI7596" s="106"/>
      <c r="RJ7596" s="106"/>
      <c r="RK7596" s="106"/>
      <c r="RL7596" s="106"/>
    </row>
    <row r="7597" spans="462:480" x14ac:dyDescent="0.3">
      <c r="QT7597" s="106"/>
      <c r="QU7597" s="106"/>
      <c r="QV7597" s="106"/>
      <c r="QW7597" s="106"/>
      <c r="QX7597" s="106"/>
      <c r="QY7597" s="106"/>
      <c r="QZ7597" s="106"/>
      <c r="RA7597" s="106"/>
      <c r="RB7597" s="106"/>
      <c r="RC7597" s="106"/>
      <c r="RD7597" s="106"/>
      <c r="RE7597" s="106"/>
      <c r="RF7597" s="106"/>
      <c r="RG7597" s="106"/>
      <c r="RH7597" s="106"/>
      <c r="RI7597" s="106"/>
      <c r="RJ7597" s="106"/>
      <c r="RK7597" s="106"/>
      <c r="RL7597" s="106"/>
    </row>
    <row r="7598" spans="462:480" x14ac:dyDescent="0.3">
      <c r="QT7598" s="106"/>
      <c r="QU7598" s="106"/>
      <c r="QV7598" s="106"/>
      <c r="QW7598" s="106"/>
      <c r="QX7598" s="106"/>
      <c r="QY7598" s="106"/>
      <c r="QZ7598" s="106"/>
      <c r="RA7598" s="106"/>
      <c r="RB7598" s="106"/>
      <c r="RC7598" s="106"/>
      <c r="RD7598" s="106"/>
      <c r="RE7598" s="106"/>
      <c r="RF7598" s="106"/>
      <c r="RG7598" s="106"/>
      <c r="RH7598" s="106"/>
      <c r="RI7598" s="106"/>
      <c r="RJ7598" s="106"/>
      <c r="RK7598" s="106"/>
      <c r="RL7598" s="106"/>
    </row>
    <row r="7599" spans="462:480" x14ac:dyDescent="0.3">
      <c r="QT7599" s="106"/>
      <c r="QU7599" s="106"/>
      <c r="QV7599" s="106"/>
      <c r="QW7599" s="106"/>
      <c r="QX7599" s="106"/>
      <c r="QY7599" s="106"/>
      <c r="QZ7599" s="106"/>
      <c r="RA7599" s="106"/>
      <c r="RB7599" s="106"/>
      <c r="RC7599" s="106"/>
      <c r="RD7599" s="106"/>
      <c r="RE7599" s="106"/>
      <c r="RF7599" s="106"/>
      <c r="RG7599" s="106"/>
      <c r="RH7599" s="106"/>
      <c r="RI7599" s="106"/>
      <c r="RJ7599" s="106"/>
      <c r="RK7599" s="106"/>
      <c r="RL7599" s="106"/>
    </row>
    <row r="7600" spans="462:480" x14ac:dyDescent="0.3">
      <c r="QT7600" s="106"/>
      <c r="QU7600" s="106"/>
      <c r="QV7600" s="106"/>
      <c r="QW7600" s="106"/>
      <c r="QX7600" s="106"/>
      <c r="QY7600" s="106"/>
      <c r="QZ7600" s="106"/>
      <c r="RA7600" s="106"/>
      <c r="RB7600" s="106"/>
      <c r="RC7600" s="106"/>
      <c r="RD7600" s="106"/>
      <c r="RE7600" s="106"/>
      <c r="RF7600" s="106"/>
      <c r="RG7600" s="106"/>
      <c r="RH7600" s="106"/>
      <c r="RI7600" s="106"/>
      <c r="RJ7600" s="106"/>
      <c r="RK7600" s="106"/>
      <c r="RL7600" s="106"/>
    </row>
    <row r="7601" spans="462:480" x14ac:dyDescent="0.3">
      <c r="QT7601" s="106"/>
      <c r="QU7601" s="106"/>
      <c r="QV7601" s="106"/>
      <c r="QW7601" s="106"/>
      <c r="QX7601" s="106"/>
      <c r="QY7601" s="106"/>
      <c r="QZ7601" s="106"/>
      <c r="RA7601" s="106"/>
      <c r="RB7601" s="106"/>
      <c r="RC7601" s="106"/>
      <c r="RD7601" s="106"/>
      <c r="RE7601" s="106"/>
      <c r="RF7601" s="106"/>
      <c r="RG7601" s="106"/>
      <c r="RH7601" s="106"/>
      <c r="RI7601" s="106"/>
      <c r="RJ7601" s="106"/>
      <c r="RK7601" s="106"/>
      <c r="RL7601" s="106"/>
    </row>
    <row r="7602" spans="462:480" x14ac:dyDescent="0.3">
      <c r="QT7602" s="106"/>
      <c r="QU7602" s="106"/>
      <c r="QV7602" s="106"/>
      <c r="QW7602" s="106"/>
      <c r="QX7602" s="106"/>
      <c r="QY7602" s="106"/>
      <c r="QZ7602" s="106"/>
      <c r="RA7602" s="106"/>
      <c r="RB7602" s="106"/>
      <c r="RC7602" s="106"/>
      <c r="RD7602" s="106"/>
      <c r="RE7602" s="106"/>
      <c r="RF7602" s="106"/>
      <c r="RG7602" s="106"/>
      <c r="RH7602" s="106"/>
      <c r="RI7602" s="106"/>
      <c r="RJ7602" s="106"/>
      <c r="RK7602" s="106"/>
      <c r="RL7602" s="106"/>
    </row>
    <row r="7603" spans="462:480" x14ac:dyDescent="0.3">
      <c r="QT7603" s="106"/>
      <c r="QU7603" s="106"/>
      <c r="QV7603" s="106"/>
      <c r="QW7603" s="106"/>
      <c r="QX7603" s="106"/>
      <c r="QY7603" s="106"/>
      <c r="QZ7603" s="106"/>
      <c r="RA7603" s="106"/>
      <c r="RB7603" s="106"/>
      <c r="RC7603" s="106"/>
      <c r="RD7603" s="106"/>
      <c r="RE7603" s="106"/>
      <c r="RF7603" s="106"/>
      <c r="RG7603" s="106"/>
      <c r="RH7603" s="106"/>
      <c r="RI7603" s="106"/>
      <c r="RJ7603" s="106"/>
      <c r="RK7603" s="106"/>
      <c r="RL7603" s="106"/>
    </row>
    <row r="7604" spans="462:480" x14ac:dyDescent="0.3">
      <c r="QT7604" s="106"/>
      <c r="QU7604" s="106"/>
      <c r="QV7604" s="106"/>
      <c r="QW7604" s="106"/>
      <c r="QX7604" s="106"/>
      <c r="QY7604" s="106"/>
      <c r="QZ7604" s="106"/>
      <c r="RA7604" s="106"/>
      <c r="RB7604" s="106"/>
      <c r="RC7604" s="106"/>
      <c r="RD7604" s="106"/>
      <c r="RE7604" s="106"/>
      <c r="RF7604" s="106"/>
      <c r="RG7604" s="106"/>
      <c r="RH7604" s="106"/>
      <c r="RI7604" s="106"/>
      <c r="RJ7604" s="106"/>
      <c r="RK7604" s="106"/>
      <c r="RL7604" s="106"/>
    </row>
    <row r="7605" spans="462:480" x14ac:dyDescent="0.3">
      <c r="QT7605" s="106"/>
      <c r="QU7605" s="106"/>
      <c r="QV7605" s="106"/>
      <c r="QW7605" s="106"/>
      <c r="QX7605" s="106"/>
      <c r="QY7605" s="106"/>
      <c r="QZ7605" s="106"/>
      <c r="RA7605" s="106"/>
      <c r="RB7605" s="106"/>
      <c r="RC7605" s="106"/>
      <c r="RD7605" s="106"/>
      <c r="RE7605" s="106"/>
      <c r="RF7605" s="106"/>
      <c r="RG7605" s="106"/>
      <c r="RH7605" s="106"/>
      <c r="RI7605" s="106"/>
      <c r="RJ7605" s="106"/>
      <c r="RK7605" s="106"/>
      <c r="RL7605" s="106"/>
    </row>
    <row r="7606" spans="462:480" x14ac:dyDescent="0.3">
      <c r="QT7606" s="106"/>
      <c r="QU7606" s="106"/>
      <c r="QV7606" s="106"/>
      <c r="QW7606" s="106"/>
      <c r="QX7606" s="106"/>
      <c r="QY7606" s="106"/>
      <c r="QZ7606" s="106"/>
      <c r="RA7606" s="106"/>
      <c r="RB7606" s="106"/>
      <c r="RC7606" s="106"/>
      <c r="RD7606" s="106"/>
      <c r="RE7606" s="106"/>
      <c r="RF7606" s="106"/>
      <c r="RG7606" s="106"/>
      <c r="RH7606" s="106"/>
      <c r="RI7606" s="106"/>
      <c r="RJ7606" s="106"/>
      <c r="RK7606" s="106"/>
      <c r="RL7606" s="106"/>
    </row>
    <row r="7607" spans="462:480" x14ac:dyDescent="0.3">
      <c r="QT7607" s="106"/>
      <c r="QU7607" s="106"/>
      <c r="QV7607" s="106"/>
      <c r="QW7607" s="106"/>
      <c r="QX7607" s="106"/>
      <c r="QY7607" s="106"/>
      <c r="QZ7607" s="106"/>
      <c r="RA7607" s="106"/>
      <c r="RB7607" s="106"/>
      <c r="RC7607" s="106"/>
      <c r="RD7607" s="106"/>
      <c r="RE7607" s="106"/>
      <c r="RF7607" s="106"/>
      <c r="RG7607" s="106"/>
      <c r="RH7607" s="106"/>
      <c r="RI7607" s="106"/>
      <c r="RJ7607" s="106"/>
      <c r="RK7607" s="106"/>
      <c r="RL7607" s="106"/>
    </row>
    <row r="7608" spans="462:480" x14ac:dyDescent="0.3">
      <c r="QT7608" s="106"/>
      <c r="QU7608" s="106"/>
      <c r="QV7608" s="106"/>
      <c r="QW7608" s="106"/>
      <c r="QX7608" s="106"/>
      <c r="QY7608" s="106"/>
      <c r="QZ7608" s="106"/>
      <c r="RA7608" s="106"/>
      <c r="RB7608" s="106"/>
      <c r="RC7608" s="106"/>
      <c r="RD7608" s="106"/>
      <c r="RE7608" s="106"/>
      <c r="RF7608" s="106"/>
      <c r="RG7608" s="106"/>
      <c r="RH7608" s="106"/>
      <c r="RI7608" s="106"/>
      <c r="RJ7608" s="106"/>
      <c r="RK7608" s="106"/>
      <c r="RL7608" s="106"/>
    </row>
    <row r="7609" spans="462:480" x14ac:dyDescent="0.3">
      <c r="QT7609" s="106"/>
      <c r="QU7609" s="106"/>
      <c r="QV7609" s="106"/>
      <c r="QW7609" s="106"/>
      <c r="QX7609" s="106"/>
      <c r="QY7609" s="106"/>
      <c r="QZ7609" s="106"/>
      <c r="RA7609" s="106"/>
      <c r="RB7609" s="106"/>
      <c r="RC7609" s="106"/>
      <c r="RD7609" s="106"/>
      <c r="RE7609" s="106"/>
      <c r="RF7609" s="106"/>
      <c r="RG7609" s="106"/>
      <c r="RH7609" s="106"/>
      <c r="RI7609" s="106"/>
      <c r="RJ7609" s="106"/>
      <c r="RK7609" s="106"/>
      <c r="RL7609" s="106"/>
    </row>
    <row r="7610" spans="462:480" x14ac:dyDescent="0.3">
      <c r="QT7610" s="106"/>
      <c r="QU7610" s="106"/>
      <c r="QV7610" s="106"/>
      <c r="QW7610" s="106"/>
      <c r="QX7610" s="106"/>
      <c r="QY7610" s="106"/>
      <c r="QZ7610" s="106"/>
      <c r="RA7610" s="106"/>
      <c r="RB7610" s="106"/>
      <c r="RC7610" s="106"/>
      <c r="RD7610" s="106"/>
      <c r="RE7610" s="106"/>
      <c r="RF7610" s="106"/>
      <c r="RG7610" s="106"/>
      <c r="RH7610" s="106"/>
      <c r="RI7610" s="106"/>
      <c r="RJ7610" s="106"/>
      <c r="RK7610" s="106"/>
      <c r="RL7610" s="106"/>
    </row>
    <row r="7611" spans="462:480" x14ac:dyDescent="0.3">
      <c r="QT7611" s="106"/>
      <c r="QU7611" s="106"/>
      <c r="QV7611" s="106"/>
      <c r="QW7611" s="106"/>
      <c r="QX7611" s="106"/>
      <c r="QY7611" s="106"/>
      <c r="QZ7611" s="106"/>
      <c r="RA7611" s="106"/>
      <c r="RB7611" s="106"/>
      <c r="RC7611" s="106"/>
      <c r="RD7611" s="106"/>
      <c r="RE7611" s="106"/>
      <c r="RF7611" s="106"/>
      <c r="RG7611" s="106"/>
      <c r="RH7611" s="106"/>
      <c r="RI7611" s="106"/>
      <c r="RJ7611" s="106"/>
      <c r="RK7611" s="106"/>
      <c r="RL7611" s="106"/>
    </row>
    <row r="7612" spans="462:480" x14ac:dyDescent="0.3">
      <c r="QT7612" s="106"/>
      <c r="QU7612" s="106"/>
      <c r="QV7612" s="106"/>
      <c r="QW7612" s="106"/>
      <c r="QX7612" s="106"/>
      <c r="QY7612" s="106"/>
      <c r="QZ7612" s="106"/>
      <c r="RA7612" s="106"/>
      <c r="RB7612" s="106"/>
      <c r="RC7612" s="106"/>
      <c r="RD7612" s="106"/>
      <c r="RE7612" s="106"/>
      <c r="RF7612" s="106"/>
      <c r="RG7612" s="106"/>
      <c r="RH7612" s="106"/>
      <c r="RI7612" s="106"/>
      <c r="RJ7612" s="106"/>
      <c r="RK7612" s="106"/>
      <c r="RL7612" s="106"/>
    </row>
    <row r="7613" spans="462:480" x14ac:dyDescent="0.3">
      <c r="QT7613" s="106"/>
      <c r="QU7613" s="106"/>
      <c r="QV7613" s="106"/>
      <c r="QW7613" s="106"/>
      <c r="QX7613" s="106"/>
      <c r="QY7613" s="106"/>
      <c r="QZ7613" s="106"/>
      <c r="RA7613" s="106"/>
      <c r="RB7613" s="106"/>
      <c r="RC7613" s="106"/>
      <c r="RD7613" s="106"/>
      <c r="RE7613" s="106"/>
      <c r="RF7613" s="106"/>
      <c r="RG7613" s="106"/>
      <c r="RH7613" s="106"/>
      <c r="RI7613" s="106"/>
      <c r="RJ7613" s="106"/>
      <c r="RK7613" s="106"/>
      <c r="RL7613" s="106"/>
    </row>
    <row r="7614" spans="462:480" x14ac:dyDescent="0.3">
      <c r="QT7614" s="106"/>
      <c r="QU7614" s="106"/>
      <c r="QV7614" s="106"/>
      <c r="QW7614" s="106"/>
      <c r="QX7614" s="106"/>
      <c r="QY7614" s="106"/>
      <c r="QZ7614" s="106"/>
      <c r="RA7614" s="106"/>
      <c r="RB7614" s="106"/>
      <c r="RC7614" s="106"/>
      <c r="RD7614" s="106"/>
      <c r="RE7614" s="106"/>
      <c r="RF7614" s="106"/>
      <c r="RG7614" s="106"/>
      <c r="RH7614" s="106"/>
      <c r="RI7614" s="106"/>
      <c r="RJ7614" s="106"/>
      <c r="RK7614" s="106"/>
      <c r="RL7614" s="106"/>
    </row>
    <row r="7615" spans="462:480" x14ac:dyDescent="0.3">
      <c r="QT7615" s="106"/>
      <c r="QU7615" s="106"/>
      <c r="QV7615" s="106"/>
      <c r="QW7615" s="106"/>
      <c r="QX7615" s="106"/>
      <c r="QY7615" s="106"/>
      <c r="QZ7615" s="106"/>
      <c r="RA7615" s="106"/>
      <c r="RB7615" s="106"/>
      <c r="RC7615" s="106"/>
      <c r="RD7615" s="106"/>
      <c r="RE7615" s="106"/>
      <c r="RF7615" s="106"/>
      <c r="RG7615" s="106"/>
      <c r="RH7615" s="106"/>
      <c r="RI7615" s="106"/>
      <c r="RJ7615" s="106"/>
      <c r="RK7615" s="106"/>
      <c r="RL7615" s="106"/>
    </row>
    <row r="7616" spans="462:480" x14ac:dyDescent="0.3">
      <c r="QT7616" s="106"/>
      <c r="QU7616" s="106"/>
      <c r="QV7616" s="106"/>
      <c r="QW7616" s="106"/>
      <c r="QX7616" s="106"/>
      <c r="QY7616" s="106"/>
      <c r="QZ7616" s="106"/>
      <c r="RA7616" s="106"/>
      <c r="RB7616" s="106"/>
      <c r="RC7616" s="106"/>
      <c r="RD7616" s="106"/>
      <c r="RE7616" s="106"/>
      <c r="RF7616" s="106"/>
      <c r="RG7616" s="106"/>
      <c r="RH7616" s="106"/>
      <c r="RI7616" s="106"/>
      <c r="RJ7616" s="106"/>
      <c r="RK7616" s="106"/>
      <c r="RL7616" s="106"/>
    </row>
    <row r="7617" spans="462:480" x14ac:dyDescent="0.3">
      <c r="QT7617" s="106"/>
      <c r="QU7617" s="106"/>
      <c r="QV7617" s="106"/>
      <c r="QW7617" s="106"/>
      <c r="QX7617" s="106"/>
      <c r="QY7617" s="106"/>
      <c r="QZ7617" s="106"/>
      <c r="RA7617" s="106"/>
      <c r="RB7617" s="106"/>
      <c r="RC7617" s="106"/>
      <c r="RD7617" s="106"/>
      <c r="RE7617" s="106"/>
      <c r="RF7617" s="106"/>
      <c r="RG7617" s="106"/>
      <c r="RH7617" s="106"/>
      <c r="RI7617" s="106"/>
      <c r="RJ7617" s="106"/>
      <c r="RK7617" s="106"/>
      <c r="RL7617" s="106"/>
    </row>
    <row r="7618" spans="462:480" x14ac:dyDescent="0.3">
      <c r="QT7618" s="106"/>
      <c r="QU7618" s="106"/>
      <c r="QV7618" s="106"/>
      <c r="QW7618" s="106"/>
      <c r="QX7618" s="106"/>
      <c r="QY7618" s="106"/>
      <c r="QZ7618" s="106"/>
      <c r="RA7618" s="106"/>
      <c r="RB7618" s="106"/>
      <c r="RC7618" s="106"/>
      <c r="RD7618" s="106"/>
      <c r="RE7618" s="106"/>
      <c r="RF7618" s="106"/>
      <c r="RG7618" s="106"/>
      <c r="RH7618" s="106"/>
      <c r="RI7618" s="106"/>
      <c r="RJ7618" s="106"/>
      <c r="RK7618" s="106"/>
      <c r="RL7618" s="106"/>
    </row>
    <row r="7619" spans="462:480" x14ac:dyDescent="0.3">
      <c r="QT7619" s="106"/>
      <c r="QU7619" s="106"/>
      <c r="QV7619" s="106"/>
      <c r="QW7619" s="106"/>
      <c r="QX7619" s="106"/>
      <c r="QY7619" s="106"/>
      <c r="QZ7619" s="106"/>
      <c r="RA7619" s="106"/>
      <c r="RB7619" s="106"/>
      <c r="RC7619" s="106"/>
      <c r="RD7619" s="106"/>
      <c r="RE7619" s="106"/>
      <c r="RF7619" s="106"/>
      <c r="RG7619" s="106"/>
      <c r="RH7619" s="106"/>
      <c r="RI7619" s="106"/>
      <c r="RJ7619" s="106"/>
      <c r="RK7619" s="106"/>
      <c r="RL7619" s="106"/>
    </row>
    <row r="7620" spans="462:480" x14ac:dyDescent="0.3">
      <c r="QT7620" s="106"/>
      <c r="QU7620" s="106"/>
      <c r="QV7620" s="106"/>
      <c r="QW7620" s="106"/>
      <c r="QX7620" s="106"/>
      <c r="QY7620" s="106"/>
      <c r="QZ7620" s="106"/>
      <c r="RA7620" s="106"/>
      <c r="RB7620" s="106"/>
      <c r="RC7620" s="106"/>
      <c r="RD7620" s="106"/>
      <c r="RE7620" s="106"/>
      <c r="RF7620" s="106"/>
      <c r="RG7620" s="106"/>
      <c r="RH7620" s="106"/>
      <c r="RI7620" s="106"/>
      <c r="RJ7620" s="106"/>
      <c r="RK7620" s="106"/>
      <c r="RL7620" s="106"/>
    </row>
    <row r="7621" spans="462:480" x14ac:dyDescent="0.3">
      <c r="QT7621" s="106"/>
      <c r="QU7621" s="106"/>
      <c r="QV7621" s="106"/>
      <c r="QW7621" s="106"/>
      <c r="QX7621" s="106"/>
      <c r="QY7621" s="106"/>
      <c r="QZ7621" s="106"/>
      <c r="RA7621" s="106"/>
      <c r="RB7621" s="106"/>
      <c r="RC7621" s="106"/>
      <c r="RD7621" s="106"/>
      <c r="RE7621" s="106"/>
      <c r="RF7621" s="106"/>
      <c r="RG7621" s="106"/>
      <c r="RH7621" s="106"/>
      <c r="RI7621" s="106"/>
      <c r="RJ7621" s="106"/>
      <c r="RK7621" s="106"/>
      <c r="RL7621" s="106"/>
    </row>
    <row r="7622" spans="462:480" x14ac:dyDescent="0.3">
      <c r="QT7622" s="106"/>
      <c r="QU7622" s="106"/>
      <c r="QV7622" s="106"/>
      <c r="QW7622" s="106"/>
      <c r="QX7622" s="106"/>
      <c r="QY7622" s="106"/>
      <c r="QZ7622" s="106"/>
      <c r="RA7622" s="106"/>
      <c r="RB7622" s="106"/>
      <c r="RC7622" s="106"/>
      <c r="RD7622" s="106"/>
      <c r="RE7622" s="106"/>
      <c r="RF7622" s="106"/>
      <c r="RG7622" s="106"/>
      <c r="RH7622" s="106"/>
      <c r="RI7622" s="106"/>
      <c r="RJ7622" s="106"/>
      <c r="RK7622" s="106"/>
      <c r="RL7622" s="106"/>
    </row>
    <row r="7623" spans="462:480" x14ac:dyDescent="0.3">
      <c r="QT7623" s="106"/>
      <c r="QU7623" s="106"/>
      <c r="QV7623" s="106"/>
      <c r="QW7623" s="106"/>
      <c r="QX7623" s="106"/>
      <c r="QY7623" s="106"/>
      <c r="QZ7623" s="106"/>
      <c r="RA7623" s="106"/>
      <c r="RB7623" s="106"/>
      <c r="RC7623" s="106"/>
      <c r="RD7623" s="106"/>
      <c r="RE7623" s="106"/>
      <c r="RF7623" s="106"/>
      <c r="RG7623" s="106"/>
      <c r="RH7623" s="106"/>
      <c r="RI7623" s="106"/>
      <c r="RJ7623" s="106"/>
      <c r="RK7623" s="106"/>
      <c r="RL7623" s="106"/>
    </row>
    <row r="7624" spans="462:480" x14ac:dyDescent="0.3">
      <c r="QT7624" s="106"/>
      <c r="QU7624" s="106"/>
      <c r="QV7624" s="106"/>
      <c r="QW7624" s="106"/>
      <c r="QX7624" s="106"/>
      <c r="QY7624" s="106"/>
      <c r="QZ7624" s="106"/>
      <c r="RA7624" s="106"/>
      <c r="RB7624" s="106"/>
      <c r="RC7624" s="106"/>
      <c r="RD7624" s="106"/>
      <c r="RE7624" s="106"/>
      <c r="RF7624" s="106"/>
      <c r="RG7624" s="106"/>
      <c r="RH7624" s="106"/>
      <c r="RI7624" s="106"/>
      <c r="RJ7624" s="106"/>
      <c r="RK7624" s="106"/>
      <c r="RL7624" s="106"/>
    </row>
    <row r="7625" spans="462:480" x14ac:dyDescent="0.3">
      <c r="QT7625" s="106"/>
      <c r="QU7625" s="106"/>
      <c r="QV7625" s="106"/>
      <c r="QW7625" s="106"/>
      <c r="QX7625" s="106"/>
      <c r="QY7625" s="106"/>
      <c r="QZ7625" s="106"/>
      <c r="RA7625" s="106"/>
      <c r="RB7625" s="106"/>
      <c r="RC7625" s="106"/>
      <c r="RD7625" s="106"/>
      <c r="RE7625" s="106"/>
      <c r="RF7625" s="106"/>
      <c r="RG7625" s="106"/>
      <c r="RH7625" s="106"/>
      <c r="RI7625" s="106"/>
      <c r="RJ7625" s="106"/>
      <c r="RK7625" s="106"/>
      <c r="RL7625" s="106"/>
    </row>
    <row r="7626" spans="462:480" x14ac:dyDescent="0.3">
      <c r="QT7626" s="106"/>
      <c r="QU7626" s="106"/>
      <c r="QV7626" s="106"/>
      <c r="QW7626" s="106"/>
      <c r="QX7626" s="106"/>
      <c r="QY7626" s="106"/>
      <c r="QZ7626" s="106"/>
      <c r="RA7626" s="106"/>
      <c r="RB7626" s="106"/>
      <c r="RC7626" s="106"/>
      <c r="RD7626" s="106"/>
      <c r="RE7626" s="106"/>
      <c r="RF7626" s="106"/>
      <c r="RG7626" s="106"/>
      <c r="RH7626" s="106"/>
      <c r="RI7626" s="106"/>
      <c r="RJ7626" s="106"/>
      <c r="RK7626" s="106"/>
      <c r="RL7626" s="106"/>
    </row>
    <row r="7627" spans="462:480" x14ac:dyDescent="0.3">
      <c r="QT7627" s="106"/>
      <c r="QU7627" s="106"/>
      <c r="QV7627" s="106"/>
      <c r="QW7627" s="106"/>
      <c r="QX7627" s="106"/>
      <c r="QY7627" s="106"/>
      <c r="QZ7627" s="106"/>
      <c r="RA7627" s="106"/>
      <c r="RB7627" s="106"/>
      <c r="RC7627" s="106"/>
      <c r="RD7627" s="106"/>
      <c r="RE7627" s="106"/>
      <c r="RF7627" s="106"/>
      <c r="RG7627" s="106"/>
      <c r="RH7627" s="106"/>
      <c r="RI7627" s="106"/>
      <c r="RJ7627" s="106"/>
      <c r="RK7627" s="106"/>
      <c r="RL7627" s="106"/>
    </row>
    <row r="7628" spans="462:480" x14ac:dyDescent="0.3">
      <c r="QT7628" s="106"/>
      <c r="QU7628" s="106"/>
      <c r="QV7628" s="106"/>
      <c r="QW7628" s="106"/>
      <c r="QX7628" s="106"/>
      <c r="QY7628" s="106"/>
      <c r="QZ7628" s="106"/>
      <c r="RA7628" s="106"/>
      <c r="RB7628" s="106"/>
      <c r="RC7628" s="106"/>
      <c r="RD7628" s="106"/>
      <c r="RE7628" s="106"/>
      <c r="RF7628" s="106"/>
      <c r="RG7628" s="106"/>
      <c r="RH7628" s="106"/>
      <c r="RI7628" s="106"/>
      <c r="RJ7628" s="106"/>
      <c r="RK7628" s="106"/>
      <c r="RL7628" s="106"/>
    </row>
    <row r="7629" spans="462:480" x14ac:dyDescent="0.3">
      <c r="QT7629" s="106"/>
      <c r="QU7629" s="106"/>
      <c r="QV7629" s="106"/>
      <c r="QW7629" s="106"/>
      <c r="QX7629" s="106"/>
      <c r="QY7629" s="106"/>
      <c r="QZ7629" s="106"/>
      <c r="RA7629" s="106"/>
      <c r="RB7629" s="106"/>
      <c r="RC7629" s="106"/>
      <c r="RD7629" s="106"/>
      <c r="RE7629" s="106"/>
      <c r="RF7629" s="106"/>
      <c r="RG7629" s="106"/>
      <c r="RH7629" s="106"/>
      <c r="RI7629" s="106"/>
      <c r="RJ7629" s="106"/>
      <c r="RK7629" s="106"/>
      <c r="RL7629" s="106"/>
    </row>
    <row r="7630" spans="462:480" x14ac:dyDescent="0.3">
      <c r="QT7630" s="106"/>
      <c r="QU7630" s="106"/>
      <c r="QV7630" s="106"/>
      <c r="QW7630" s="106"/>
      <c r="QX7630" s="106"/>
      <c r="QY7630" s="106"/>
      <c r="QZ7630" s="106"/>
      <c r="RA7630" s="106"/>
      <c r="RB7630" s="106"/>
      <c r="RC7630" s="106"/>
      <c r="RD7630" s="106"/>
      <c r="RE7630" s="106"/>
      <c r="RF7630" s="106"/>
      <c r="RG7630" s="106"/>
      <c r="RH7630" s="106"/>
      <c r="RI7630" s="106"/>
      <c r="RJ7630" s="106"/>
      <c r="RK7630" s="106"/>
      <c r="RL7630" s="106"/>
    </row>
    <row r="7631" spans="462:480" x14ac:dyDescent="0.3">
      <c r="QT7631" s="106"/>
      <c r="QU7631" s="106"/>
      <c r="QV7631" s="106"/>
      <c r="QW7631" s="106"/>
      <c r="QX7631" s="106"/>
      <c r="QY7631" s="106"/>
      <c r="QZ7631" s="106"/>
      <c r="RA7631" s="106"/>
      <c r="RB7631" s="106"/>
      <c r="RC7631" s="106"/>
      <c r="RD7631" s="106"/>
      <c r="RE7631" s="106"/>
      <c r="RF7631" s="106"/>
      <c r="RG7631" s="106"/>
      <c r="RH7631" s="106"/>
      <c r="RI7631" s="106"/>
      <c r="RJ7631" s="106"/>
      <c r="RK7631" s="106"/>
      <c r="RL7631" s="106"/>
    </row>
    <row r="7632" spans="462:480" x14ac:dyDescent="0.3">
      <c r="QT7632" s="106"/>
      <c r="QU7632" s="106"/>
      <c r="QV7632" s="106"/>
      <c r="QW7632" s="106"/>
      <c r="QX7632" s="106"/>
      <c r="QY7632" s="106"/>
      <c r="QZ7632" s="106"/>
      <c r="RA7632" s="106"/>
      <c r="RB7632" s="106"/>
      <c r="RC7632" s="106"/>
      <c r="RD7632" s="106"/>
      <c r="RE7632" s="106"/>
      <c r="RF7632" s="106"/>
      <c r="RG7632" s="106"/>
      <c r="RH7632" s="106"/>
      <c r="RI7632" s="106"/>
      <c r="RJ7632" s="106"/>
      <c r="RK7632" s="106"/>
      <c r="RL7632" s="106"/>
    </row>
    <row r="7633" spans="462:480" x14ac:dyDescent="0.3">
      <c r="QT7633" s="106"/>
      <c r="QU7633" s="106"/>
      <c r="QV7633" s="106"/>
      <c r="QW7633" s="106"/>
      <c r="QX7633" s="106"/>
      <c r="QY7633" s="106"/>
      <c r="QZ7633" s="106"/>
      <c r="RA7633" s="106"/>
      <c r="RB7633" s="106"/>
      <c r="RC7633" s="106"/>
      <c r="RD7633" s="106"/>
      <c r="RE7633" s="106"/>
      <c r="RF7633" s="106"/>
      <c r="RG7633" s="106"/>
      <c r="RH7633" s="106"/>
      <c r="RI7633" s="106"/>
      <c r="RJ7633" s="106"/>
      <c r="RK7633" s="106"/>
      <c r="RL7633" s="106"/>
    </row>
    <row r="7634" spans="462:480" x14ac:dyDescent="0.3">
      <c r="QT7634" s="106"/>
      <c r="QU7634" s="106"/>
      <c r="QV7634" s="106"/>
      <c r="QW7634" s="106"/>
      <c r="QX7634" s="106"/>
      <c r="QY7634" s="106"/>
      <c r="QZ7634" s="106"/>
      <c r="RA7634" s="106"/>
      <c r="RB7634" s="106"/>
      <c r="RC7634" s="106"/>
      <c r="RD7634" s="106"/>
      <c r="RE7634" s="106"/>
      <c r="RF7634" s="106"/>
      <c r="RG7634" s="106"/>
      <c r="RH7634" s="106"/>
      <c r="RI7634" s="106"/>
      <c r="RJ7634" s="106"/>
      <c r="RK7634" s="106"/>
      <c r="RL7634" s="106"/>
    </row>
    <row r="7635" spans="462:480" x14ac:dyDescent="0.3">
      <c r="QT7635" s="106"/>
      <c r="QU7635" s="106"/>
      <c r="QV7635" s="106"/>
      <c r="QW7635" s="106"/>
      <c r="QX7635" s="106"/>
      <c r="QY7635" s="106"/>
      <c r="QZ7635" s="106"/>
      <c r="RA7635" s="106"/>
      <c r="RB7635" s="106"/>
      <c r="RC7635" s="106"/>
      <c r="RD7635" s="106"/>
      <c r="RE7635" s="106"/>
      <c r="RF7635" s="106"/>
      <c r="RG7635" s="106"/>
      <c r="RH7635" s="106"/>
      <c r="RI7635" s="106"/>
      <c r="RJ7635" s="106"/>
      <c r="RK7635" s="106"/>
      <c r="RL7635" s="106"/>
    </row>
    <row r="7636" spans="462:480" x14ac:dyDescent="0.3">
      <c r="QT7636" s="106"/>
      <c r="QU7636" s="106"/>
      <c r="QV7636" s="106"/>
      <c r="QW7636" s="106"/>
      <c r="QX7636" s="106"/>
      <c r="QY7636" s="106"/>
      <c r="QZ7636" s="106"/>
      <c r="RA7636" s="106"/>
      <c r="RB7636" s="106"/>
      <c r="RC7636" s="106"/>
      <c r="RD7636" s="106"/>
      <c r="RE7636" s="106"/>
      <c r="RF7636" s="106"/>
      <c r="RG7636" s="106"/>
      <c r="RH7636" s="106"/>
      <c r="RI7636" s="106"/>
      <c r="RJ7636" s="106"/>
      <c r="RK7636" s="106"/>
      <c r="RL7636" s="106"/>
    </row>
    <row r="7637" spans="462:480" x14ac:dyDescent="0.3">
      <c r="QT7637" s="106"/>
      <c r="QU7637" s="106"/>
      <c r="QV7637" s="106"/>
      <c r="QW7637" s="106"/>
      <c r="QX7637" s="106"/>
      <c r="QY7637" s="106"/>
      <c r="QZ7637" s="106"/>
      <c r="RA7637" s="106"/>
      <c r="RB7637" s="106"/>
      <c r="RC7637" s="106"/>
      <c r="RD7637" s="106"/>
      <c r="RE7637" s="106"/>
      <c r="RF7637" s="106"/>
      <c r="RG7637" s="106"/>
      <c r="RH7637" s="106"/>
      <c r="RI7637" s="106"/>
      <c r="RJ7637" s="106"/>
      <c r="RK7637" s="106"/>
      <c r="RL7637" s="106"/>
    </row>
    <row r="7638" spans="462:480" x14ac:dyDescent="0.3">
      <c r="QT7638" s="106"/>
      <c r="QU7638" s="106"/>
      <c r="QV7638" s="106"/>
      <c r="QW7638" s="106"/>
      <c r="QX7638" s="106"/>
      <c r="QY7638" s="106"/>
      <c r="QZ7638" s="106"/>
      <c r="RA7638" s="106"/>
      <c r="RB7638" s="106"/>
      <c r="RC7638" s="106"/>
      <c r="RD7638" s="106"/>
      <c r="RE7638" s="106"/>
      <c r="RF7638" s="106"/>
      <c r="RG7638" s="106"/>
      <c r="RH7638" s="106"/>
      <c r="RI7638" s="106"/>
      <c r="RJ7638" s="106"/>
      <c r="RK7638" s="106"/>
      <c r="RL7638" s="106"/>
    </row>
    <row r="7639" spans="462:480" x14ac:dyDescent="0.3">
      <c r="QT7639" s="106"/>
      <c r="QU7639" s="106"/>
      <c r="QV7639" s="106"/>
      <c r="QW7639" s="106"/>
      <c r="QX7639" s="106"/>
      <c r="QY7639" s="106"/>
      <c r="QZ7639" s="106"/>
      <c r="RA7639" s="106"/>
      <c r="RB7639" s="106"/>
      <c r="RC7639" s="106"/>
      <c r="RD7639" s="106"/>
      <c r="RE7639" s="106"/>
      <c r="RF7639" s="106"/>
      <c r="RG7639" s="106"/>
      <c r="RH7639" s="106"/>
      <c r="RI7639" s="106"/>
      <c r="RJ7639" s="106"/>
      <c r="RK7639" s="106"/>
      <c r="RL7639" s="106"/>
    </row>
    <row r="7640" spans="462:480" x14ac:dyDescent="0.3">
      <c r="QT7640" s="106"/>
      <c r="QU7640" s="106"/>
      <c r="QV7640" s="106"/>
      <c r="QW7640" s="106"/>
      <c r="QX7640" s="106"/>
      <c r="QY7640" s="106"/>
      <c r="QZ7640" s="106"/>
      <c r="RA7640" s="106"/>
      <c r="RB7640" s="106"/>
      <c r="RC7640" s="106"/>
      <c r="RD7640" s="106"/>
      <c r="RE7640" s="106"/>
      <c r="RF7640" s="106"/>
      <c r="RG7640" s="106"/>
      <c r="RH7640" s="106"/>
      <c r="RI7640" s="106"/>
      <c r="RJ7640" s="106"/>
      <c r="RK7640" s="106"/>
      <c r="RL7640" s="106"/>
    </row>
    <row r="7641" spans="462:480" x14ac:dyDescent="0.3">
      <c r="QT7641" s="106"/>
      <c r="QU7641" s="106"/>
      <c r="QV7641" s="106"/>
      <c r="QW7641" s="106"/>
      <c r="QX7641" s="106"/>
      <c r="QY7641" s="106"/>
      <c r="QZ7641" s="106"/>
      <c r="RA7641" s="106"/>
      <c r="RB7641" s="106"/>
      <c r="RC7641" s="106"/>
      <c r="RD7641" s="106"/>
      <c r="RE7641" s="106"/>
      <c r="RF7641" s="106"/>
      <c r="RG7641" s="106"/>
      <c r="RH7641" s="106"/>
      <c r="RI7641" s="106"/>
      <c r="RJ7641" s="106"/>
      <c r="RK7641" s="106"/>
      <c r="RL7641" s="106"/>
    </row>
    <row r="7642" spans="462:480" x14ac:dyDescent="0.3">
      <c r="QT7642" s="106"/>
      <c r="QU7642" s="106"/>
      <c r="QV7642" s="106"/>
      <c r="QW7642" s="106"/>
      <c r="QX7642" s="106"/>
      <c r="QY7642" s="106"/>
      <c r="QZ7642" s="106"/>
      <c r="RA7642" s="106"/>
      <c r="RB7642" s="106"/>
      <c r="RC7642" s="106"/>
      <c r="RD7642" s="106"/>
      <c r="RE7642" s="106"/>
      <c r="RF7642" s="106"/>
      <c r="RG7642" s="106"/>
      <c r="RH7642" s="106"/>
      <c r="RI7642" s="106"/>
      <c r="RJ7642" s="106"/>
      <c r="RK7642" s="106"/>
      <c r="RL7642" s="106"/>
    </row>
    <row r="7643" spans="462:480" x14ac:dyDescent="0.3">
      <c r="QT7643" s="106"/>
      <c r="QU7643" s="106"/>
      <c r="QV7643" s="106"/>
      <c r="QW7643" s="106"/>
      <c r="QX7643" s="106"/>
      <c r="QY7643" s="106"/>
      <c r="QZ7643" s="106"/>
      <c r="RA7643" s="106"/>
      <c r="RB7643" s="106"/>
      <c r="RC7643" s="106"/>
      <c r="RD7643" s="106"/>
      <c r="RE7643" s="106"/>
      <c r="RF7643" s="106"/>
      <c r="RG7643" s="106"/>
      <c r="RH7643" s="106"/>
      <c r="RI7643" s="106"/>
      <c r="RJ7643" s="106"/>
      <c r="RK7643" s="106"/>
      <c r="RL7643" s="106"/>
    </row>
    <row r="7644" spans="462:480" x14ac:dyDescent="0.3">
      <c r="QT7644" s="106"/>
      <c r="QU7644" s="106"/>
      <c r="QV7644" s="106"/>
      <c r="QW7644" s="106"/>
      <c r="QX7644" s="106"/>
      <c r="QY7644" s="106"/>
      <c r="QZ7644" s="106"/>
      <c r="RA7644" s="106"/>
      <c r="RB7644" s="106"/>
      <c r="RC7644" s="106"/>
      <c r="RD7644" s="106"/>
      <c r="RE7644" s="106"/>
      <c r="RF7644" s="106"/>
      <c r="RG7644" s="106"/>
      <c r="RH7644" s="106"/>
      <c r="RI7644" s="106"/>
      <c r="RJ7644" s="106"/>
      <c r="RK7644" s="106"/>
      <c r="RL7644" s="106"/>
    </row>
    <row r="7645" spans="462:480" x14ac:dyDescent="0.3">
      <c r="QT7645" s="106"/>
      <c r="QU7645" s="106"/>
      <c r="QV7645" s="106"/>
      <c r="QW7645" s="106"/>
      <c r="QX7645" s="106"/>
      <c r="QY7645" s="106"/>
      <c r="QZ7645" s="106"/>
      <c r="RA7645" s="106"/>
      <c r="RB7645" s="106"/>
      <c r="RC7645" s="106"/>
      <c r="RD7645" s="106"/>
      <c r="RE7645" s="106"/>
      <c r="RF7645" s="106"/>
      <c r="RG7645" s="106"/>
      <c r="RH7645" s="106"/>
      <c r="RI7645" s="106"/>
      <c r="RJ7645" s="106"/>
      <c r="RK7645" s="106"/>
      <c r="RL7645" s="106"/>
    </row>
    <row r="7646" spans="462:480" x14ac:dyDescent="0.3">
      <c r="QT7646" s="106"/>
      <c r="QU7646" s="106"/>
      <c r="QV7646" s="106"/>
      <c r="QW7646" s="106"/>
      <c r="QX7646" s="106"/>
      <c r="QY7646" s="106"/>
      <c r="QZ7646" s="106"/>
      <c r="RA7646" s="106"/>
      <c r="RB7646" s="106"/>
      <c r="RC7646" s="106"/>
      <c r="RD7646" s="106"/>
      <c r="RE7646" s="106"/>
      <c r="RF7646" s="106"/>
      <c r="RG7646" s="106"/>
      <c r="RH7646" s="106"/>
      <c r="RI7646" s="106"/>
      <c r="RJ7646" s="106"/>
      <c r="RK7646" s="106"/>
      <c r="RL7646" s="106"/>
    </row>
    <row r="7647" spans="462:480" x14ac:dyDescent="0.3">
      <c r="QT7647" s="106"/>
      <c r="QU7647" s="106"/>
      <c r="QV7647" s="106"/>
      <c r="QW7647" s="106"/>
      <c r="QX7647" s="106"/>
      <c r="QY7647" s="106"/>
      <c r="QZ7647" s="106"/>
      <c r="RA7647" s="106"/>
      <c r="RB7647" s="106"/>
      <c r="RC7647" s="106"/>
      <c r="RD7647" s="106"/>
      <c r="RE7647" s="106"/>
      <c r="RF7647" s="106"/>
      <c r="RG7647" s="106"/>
      <c r="RH7647" s="106"/>
      <c r="RI7647" s="106"/>
      <c r="RJ7647" s="106"/>
      <c r="RK7647" s="106"/>
      <c r="RL7647" s="106"/>
    </row>
    <row r="7648" spans="462:480" x14ac:dyDescent="0.3">
      <c r="QT7648" s="106"/>
      <c r="QU7648" s="106"/>
      <c r="QV7648" s="106"/>
      <c r="QW7648" s="106"/>
      <c r="QX7648" s="106"/>
      <c r="QY7648" s="106"/>
      <c r="QZ7648" s="106"/>
      <c r="RA7648" s="106"/>
      <c r="RB7648" s="106"/>
      <c r="RC7648" s="106"/>
      <c r="RD7648" s="106"/>
      <c r="RE7648" s="106"/>
      <c r="RF7648" s="106"/>
      <c r="RG7648" s="106"/>
      <c r="RH7648" s="106"/>
      <c r="RI7648" s="106"/>
      <c r="RJ7648" s="106"/>
      <c r="RK7648" s="106"/>
      <c r="RL7648" s="106"/>
    </row>
    <row r="7649" spans="462:480" x14ac:dyDescent="0.3">
      <c r="QT7649" s="106"/>
      <c r="QU7649" s="106"/>
      <c r="QV7649" s="106"/>
      <c r="QW7649" s="106"/>
      <c r="QX7649" s="106"/>
      <c r="QY7649" s="106"/>
      <c r="QZ7649" s="106"/>
      <c r="RA7649" s="106"/>
      <c r="RB7649" s="106"/>
      <c r="RC7649" s="106"/>
      <c r="RD7649" s="106"/>
      <c r="RE7649" s="106"/>
      <c r="RF7649" s="106"/>
      <c r="RG7649" s="106"/>
      <c r="RH7649" s="106"/>
      <c r="RI7649" s="106"/>
      <c r="RJ7649" s="106"/>
      <c r="RK7649" s="106"/>
      <c r="RL7649" s="106"/>
    </row>
    <row r="7650" spans="462:480" x14ac:dyDescent="0.3">
      <c r="QT7650" s="106"/>
      <c r="QU7650" s="106"/>
      <c r="QV7650" s="106"/>
      <c r="QW7650" s="106"/>
      <c r="QX7650" s="106"/>
      <c r="QY7650" s="106"/>
      <c r="QZ7650" s="106"/>
      <c r="RA7650" s="106"/>
      <c r="RB7650" s="106"/>
      <c r="RC7650" s="106"/>
      <c r="RD7650" s="106"/>
      <c r="RE7650" s="106"/>
      <c r="RF7650" s="106"/>
      <c r="RG7650" s="106"/>
      <c r="RH7650" s="106"/>
      <c r="RI7650" s="106"/>
      <c r="RJ7650" s="106"/>
      <c r="RK7650" s="106"/>
      <c r="RL7650" s="106"/>
    </row>
    <row r="7651" spans="462:480" x14ac:dyDescent="0.3">
      <c r="QT7651" s="106"/>
      <c r="QU7651" s="106"/>
      <c r="QV7651" s="106"/>
      <c r="QW7651" s="106"/>
      <c r="QX7651" s="106"/>
      <c r="QY7651" s="106"/>
      <c r="QZ7651" s="106"/>
      <c r="RA7651" s="106"/>
      <c r="RB7651" s="106"/>
      <c r="RC7651" s="106"/>
      <c r="RD7651" s="106"/>
      <c r="RE7651" s="106"/>
      <c r="RF7651" s="106"/>
      <c r="RG7651" s="106"/>
      <c r="RH7651" s="106"/>
      <c r="RI7651" s="106"/>
      <c r="RJ7651" s="106"/>
      <c r="RK7651" s="106"/>
      <c r="RL7651" s="106"/>
    </row>
    <row r="7652" spans="462:480" x14ac:dyDescent="0.3">
      <c r="QT7652" s="106"/>
      <c r="QU7652" s="106"/>
      <c r="QV7652" s="106"/>
      <c r="QW7652" s="106"/>
      <c r="QX7652" s="106"/>
      <c r="QY7652" s="106"/>
      <c r="QZ7652" s="106"/>
      <c r="RA7652" s="106"/>
      <c r="RB7652" s="106"/>
      <c r="RC7652" s="106"/>
      <c r="RD7652" s="106"/>
      <c r="RE7652" s="106"/>
      <c r="RF7652" s="106"/>
      <c r="RG7652" s="106"/>
      <c r="RH7652" s="106"/>
      <c r="RI7652" s="106"/>
      <c r="RJ7652" s="106"/>
      <c r="RK7652" s="106"/>
      <c r="RL7652" s="106"/>
    </row>
    <row r="7653" spans="462:480" x14ac:dyDescent="0.3">
      <c r="QT7653" s="106"/>
      <c r="QU7653" s="106"/>
      <c r="QV7653" s="106"/>
      <c r="QW7653" s="106"/>
      <c r="QX7653" s="106"/>
      <c r="QY7653" s="106"/>
      <c r="QZ7653" s="106"/>
      <c r="RA7653" s="106"/>
      <c r="RB7653" s="106"/>
      <c r="RC7653" s="106"/>
      <c r="RD7653" s="106"/>
      <c r="RE7653" s="106"/>
      <c r="RF7653" s="106"/>
      <c r="RG7653" s="106"/>
      <c r="RH7653" s="106"/>
      <c r="RI7653" s="106"/>
      <c r="RJ7653" s="106"/>
      <c r="RK7653" s="106"/>
      <c r="RL7653" s="106"/>
    </row>
    <row r="7654" spans="462:480" x14ac:dyDescent="0.3">
      <c r="QT7654" s="106"/>
      <c r="QU7654" s="106"/>
      <c r="QV7654" s="106"/>
      <c r="QW7654" s="106"/>
      <c r="QX7654" s="106"/>
      <c r="QY7654" s="106"/>
      <c r="QZ7654" s="106"/>
      <c r="RA7654" s="106"/>
      <c r="RB7654" s="106"/>
      <c r="RC7654" s="106"/>
      <c r="RD7654" s="106"/>
      <c r="RE7654" s="106"/>
      <c r="RF7654" s="106"/>
      <c r="RG7654" s="106"/>
      <c r="RH7654" s="106"/>
      <c r="RI7654" s="106"/>
      <c r="RJ7654" s="106"/>
      <c r="RK7654" s="106"/>
      <c r="RL7654" s="106"/>
    </row>
    <row r="7655" spans="462:480" x14ac:dyDescent="0.3">
      <c r="QT7655" s="106"/>
      <c r="QU7655" s="106"/>
      <c r="QV7655" s="106"/>
      <c r="QW7655" s="106"/>
      <c r="QX7655" s="106"/>
      <c r="QY7655" s="106"/>
      <c r="QZ7655" s="106"/>
      <c r="RA7655" s="106"/>
      <c r="RB7655" s="106"/>
      <c r="RC7655" s="106"/>
      <c r="RD7655" s="106"/>
      <c r="RE7655" s="106"/>
      <c r="RF7655" s="106"/>
      <c r="RG7655" s="106"/>
      <c r="RH7655" s="106"/>
      <c r="RI7655" s="106"/>
      <c r="RJ7655" s="106"/>
      <c r="RK7655" s="106"/>
      <c r="RL7655" s="106"/>
    </row>
    <row r="7656" spans="462:480" x14ac:dyDescent="0.3">
      <c r="QT7656" s="106"/>
      <c r="QU7656" s="106"/>
      <c r="QV7656" s="106"/>
      <c r="QW7656" s="106"/>
      <c r="QX7656" s="106"/>
      <c r="QY7656" s="106"/>
      <c r="QZ7656" s="106"/>
      <c r="RA7656" s="106"/>
      <c r="RB7656" s="106"/>
      <c r="RC7656" s="106"/>
      <c r="RD7656" s="106"/>
      <c r="RE7656" s="106"/>
      <c r="RF7656" s="106"/>
      <c r="RG7656" s="106"/>
      <c r="RH7656" s="106"/>
      <c r="RI7656" s="106"/>
      <c r="RJ7656" s="106"/>
      <c r="RK7656" s="106"/>
      <c r="RL7656" s="106"/>
    </row>
    <row r="7657" spans="462:480" x14ac:dyDescent="0.3">
      <c r="QT7657" s="106"/>
      <c r="QU7657" s="106"/>
      <c r="QV7657" s="106"/>
      <c r="QW7657" s="106"/>
      <c r="QX7657" s="106"/>
      <c r="QY7657" s="106"/>
      <c r="QZ7657" s="106"/>
      <c r="RA7657" s="106"/>
      <c r="RB7657" s="106"/>
      <c r="RC7657" s="106"/>
      <c r="RD7657" s="106"/>
      <c r="RE7657" s="106"/>
      <c r="RF7657" s="106"/>
      <c r="RG7657" s="106"/>
      <c r="RH7657" s="106"/>
      <c r="RI7657" s="106"/>
      <c r="RJ7657" s="106"/>
      <c r="RK7657" s="106"/>
      <c r="RL7657" s="106"/>
    </row>
    <row r="7658" spans="462:480" x14ac:dyDescent="0.3">
      <c r="QT7658" s="106"/>
      <c r="QU7658" s="106"/>
      <c r="QV7658" s="106"/>
      <c r="QW7658" s="106"/>
      <c r="QX7658" s="106"/>
      <c r="QY7658" s="106"/>
      <c r="QZ7658" s="106"/>
      <c r="RA7658" s="106"/>
      <c r="RB7658" s="106"/>
      <c r="RC7658" s="106"/>
      <c r="RD7658" s="106"/>
      <c r="RE7658" s="106"/>
      <c r="RF7658" s="106"/>
      <c r="RG7658" s="106"/>
      <c r="RH7658" s="106"/>
      <c r="RI7658" s="106"/>
      <c r="RJ7658" s="106"/>
      <c r="RK7658" s="106"/>
      <c r="RL7658" s="106"/>
    </row>
    <row r="7659" spans="462:480" x14ac:dyDescent="0.3">
      <c r="QT7659" s="106"/>
      <c r="QU7659" s="106"/>
      <c r="QV7659" s="106"/>
      <c r="QW7659" s="106"/>
      <c r="QX7659" s="106"/>
      <c r="QY7659" s="106"/>
      <c r="QZ7659" s="106"/>
      <c r="RA7659" s="106"/>
      <c r="RB7659" s="106"/>
      <c r="RC7659" s="106"/>
      <c r="RD7659" s="106"/>
      <c r="RE7659" s="106"/>
      <c r="RF7659" s="106"/>
      <c r="RG7659" s="106"/>
      <c r="RH7659" s="106"/>
      <c r="RI7659" s="106"/>
      <c r="RJ7659" s="106"/>
      <c r="RK7659" s="106"/>
      <c r="RL7659" s="106"/>
    </row>
    <row r="7660" spans="462:480" x14ac:dyDescent="0.3">
      <c r="QT7660" s="106"/>
      <c r="QU7660" s="106"/>
      <c r="QV7660" s="106"/>
      <c r="QW7660" s="106"/>
      <c r="QX7660" s="106"/>
      <c r="QY7660" s="106"/>
      <c r="QZ7660" s="106"/>
      <c r="RA7660" s="106"/>
      <c r="RB7660" s="106"/>
      <c r="RC7660" s="106"/>
      <c r="RD7660" s="106"/>
      <c r="RE7660" s="106"/>
      <c r="RF7660" s="106"/>
      <c r="RG7660" s="106"/>
      <c r="RH7660" s="106"/>
      <c r="RI7660" s="106"/>
      <c r="RJ7660" s="106"/>
      <c r="RK7660" s="106"/>
      <c r="RL7660" s="106"/>
    </row>
    <row r="7661" spans="462:480" x14ac:dyDescent="0.3">
      <c r="QT7661" s="106"/>
      <c r="QU7661" s="106"/>
      <c r="QV7661" s="106"/>
      <c r="QW7661" s="106"/>
      <c r="QX7661" s="106"/>
      <c r="QY7661" s="106"/>
      <c r="QZ7661" s="106"/>
      <c r="RA7661" s="106"/>
      <c r="RB7661" s="106"/>
      <c r="RC7661" s="106"/>
      <c r="RD7661" s="106"/>
      <c r="RE7661" s="106"/>
      <c r="RF7661" s="106"/>
      <c r="RG7661" s="106"/>
      <c r="RH7661" s="106"/>
      <c r="RI7661" s="106"/>
      <c r="RJ7661" s="106"/>
      <c r="RK7661" s="106"/>
      <c r="RL7661" s="106"/>
    </row>
    <row r="7662" spans="462:480" x14ac:dyDescent="0.3">
      <c r="QT7662" s="106"/>
      <c r="QU7662" s="106"/>
      <c r="QV7662" s="106"/>
      <c r="QW7662" s="106"/>
      <c r="QX7662" s="106"/>
      <c r="QY7662" s="106"/>
      <c r="QZ7662" s="106"/>
      <c r="RA7662" s="106"/>
      <c r="RB7662" s="106"/>
      <c r="RC7662" s="106"/>
      <c r="RD7662" s="106"/>
      <c r="RE7662" s="106"/>
      <c r="RF7662" s="106"/>
      <c r="RG7662" s="106"/>
      <c r="RH7662" s="106"/>
      <c r="RI7662" s="106"/>
      <c r="RJ7662" s="106"/>
      <c r="RK7662" s="106"/>
      <c r="RL7662" s="106"/>
    </row>
    <row r="7663" spans="462:480" x14ac:dyDescent="0.3">
      <c r="QT7663" s="106"/>
      <c r="QU7663" s="106"/>
      <c r="QV7663" s="106"/>
      <c r="QW7663" s="106"/>
      <c r="QX7663" s="106"/>
      <c r="QY7663" s="106"/>
      <c r="QZ7663" s="106"/>
      <c r="RA7663" s="106"/>
      <c r="RB7663" s="106"/>
      <c r="RC7663" s="106"/>
      <c r="RD7663" s="106"/>
      <c r="RE7663" s="106"/>
      <c r="RF7663" s="106"/>
      <c r="RG7663" s="106"/>
      <c r="RH7663" s="106"/>
      <c r="RI7663" s="106"/>
      <c r="RJ7663" s="106"/>
      <c r="RK7663" s="106"/>
      <c r="RL7663" s="106"/>
    </row>
    <row r="7664" spans="462:480" x14ac:dyDescent="0.3">
      <c r="QT7664" s="106"/>
      <c r="QU7664" s="106"/>
      <c r="QV7664" s="106"/>
      <c r="QW7664" s="106"/>
      <c r="QX7664" s="106"/>
      <c r="QY7664" s="106"/>
      <c r="QZ7664" s="106"/>
      <c r="RA7664" s="106"/>
      <c r="RB7664" s="106"/>
      <c r="RC7664" s="106"/>
      <c r="RD7664" s="106"/>
      <c r="RE7664" s="106"/>
      <c r="RF7664" s="106"/>
      <c r="RG7664" s="106"/>
      <c r="RH7664" s="106"/>
      <c r="RI7664" s="106"/>
      <c r="RJ7664" s="106"/>
      <c r="RK7664" s="106"/>
      <c r="RL7664" s="106"/>
    </row>
    <row r="7665" spans="462:480" x14ac:dyDescent="0.3">
      <c r="QT7665" s="106"/>
      <c r="QU7665" s="106"/>
      <c r="QV7665" s="106"/>
      <c r="QW7665" s="106"/>
      <c r="QX7665" s="106"/>
      <c r="QY7665" s="106"/>
      <c r="QZ7665" s="106"/>
      <c r="RA7665" s="106"/>
      <c r="RB7665" s="106"/>
      <c r="RC7665" s="106"/>
      <c r="RD7665" s="106"/>
      <c r="RE7665" s="106"/>
      <c r="RF7665" s="106"/>
      <c r="RG7665" s="106"/>
      <c r="RH7665" s="106"/>
      <c r="RI7665" s="106"/>
      <c r="RJ7665" s="106"/>
      <c r="RK7665" s="106"/>
      <c r="RL7665" s="106"/>
    </row>
    <row r="7666" spans="462:480" x14ac:dyDescent="0.3">
      <c r="QT7666" s="106"/>
      <c r="QU7666" s="106"/>
      <c r="QV7666" s="106"/>
      <c r="QW7666" s="106"/>
      <c r="QX7666" s="106"/>
      <c r="QY7666" s="106"/>
      <c r="QZ7666" s="106"/>
      <c r="RA7666" s="106"/>
      <c r="RB7666" s="106"/>
      <c r="RC7666" s="106"/>
      <c r="RD7666" s="106"/>
      <c r="RE7666" s="106"/>
      <c r="RF7666" s="106"/>
      <c r="RG7666" s="106"/>
      <c r="RH7666" s="106"/>
      <c r="RI7666" s="106"/>
      <c r="RJ7666" s="106"/>
      <c r="RK7666" s="106"/>
      <c r="RL7666" s="106"/>
    </row>
    <row r="7667" spans="462:480" x14ac:dyDescent="0.3">
      <c r="QT7667" s="106"/>
      <c r="QU7667" s="106"/>
      <c r="QV7667" s="106"/>
      <c r="QW7667" s="106"/>
      <c r="QX7667" s="106"/>
      <c r="QY7667" s="106"/>
      <c r="QZ7667" s="106"/>
      <c r="RA7667" s="106"/>
      <c r="RB7667" s="106"/>
      <c r="RC7667" s="106"/>
      <c r="RD7667" s="106"/>
      <c r="RE7667" s="106"/>
      <c r="RF7667" s="106"/>
      <c r="RG7667" s="106"/>
      <c r="RH7667" s="106"/>
      <c r="RI7667" s="106"/>
      <c r="RJ7667" s="106"/>
      <c r="RK7667" s="106"/>
      <c r="RL7667" s="106"/>
    </row>
    <row r="7668" spans="462:480" x14ac:dyDescent="0.3">
      <c r="QT7668" s="106"/>
      <c r="QU7668" s="106"/>
      <c r="QV7668" s="106"/>
      <c r="QW7668" s="106"/>
      <c r="QX7668" s="106"/>
      <c r="QY7668" s="106"/>
      <c r="QZ7668" s="106"/>
      <c r="RA7668" s="106"/>
      <c r="RB7668" s="106"/>
      <c r="RC7668" s="106"/>
      <c r="RD7668" s="106"/>
      <c r="RE7668" s="106"/>
      <c r="RF7668" s="106"/>
      <c r="RG7668" s="106"/>
      <c r="RH7668" s="106"/>
      <c r="RI7668" s="106"/>
      <c r="RJ7668" s="106"/>
      <c r="RK7668" s="106"/>
      <c r="RL7668" s="106"/>
    </row>
    <row r="7669" spans="462:480" x14ac:dyDescent="0.3">
      <c r="QT7669" s="106"/>
      <c r="QU7669" s="106"/>
      <c r="QV7669" s="106"/>
      <c r="QW7669" s="106"/>
      <c r="QX7669" s="106"/>
      <c r="QY7669" s="106"/>
      <c r="QZ7669" s="106"/>
      <c r="RA7669" s="106"/>
      <c r="RB7669" s="106"/>
      <c r="RC7669" s="106"/>
      <c r="RD7669" s="106"/>
      <c r="RE7669" s="106"/>
      <c r="RF7669" s="106"/>
      <c r="RG7669" s="106"/>
      <c r="RH7669" s="106"/>
      <c r="RI7669" s="106"/>
      <c r="RJ7669" s="106"/>
      <c r="RK7669" s="106"/>
      <c r="RL7669" s="106"/>
    </row>
    <row r="7670" spans="462:480" x14ac:dyDescent="0.3">
      <c r="QT7670" s="106"/>
      <c r="QU7670" s="106"/>
      <c r="QV7670" s="106"/>
      <c r="QW7670" s="106"/>
      <c r="QX7670" s="106"/>
      <c r="QY7670" s="106"/>
      <c r="QZ7670" s="106"/>
      <c r="RA7670" s="106"/>
      <c r="RB7670" s="106"/>
      <c r="RC7670" s="106"/>
      <c r="RD7670" s="106"/>
      <c r="RE7670" s="106"/>
      <c r="RF7670" s="106"/>
      <c r="RG7670" s="106"/>
      <c r="RH7670" s="106"/>
      <c r="RI7670" s="106"/>
      <c r="RJ7670" s="106"/>
      <c r="RK7670" s="106"/>
      <c r="RL7670" s="106"/>
    </row>
    <row r="7671" spans="462:480" x14ac:dyDescent="0.3">
      <c r="QT7671" s="106"/>
      <c r="QU7671" s="106"/>
      <c r="QV7671" s="106"/>
      <c r="QW7671" s="106"/>
      <c r="QX7671" s="106"/>
      <c r="QY7671" s="106"/>
      <c r="QZ7671" s="106"/>
      <c r="RA7671" s="106"/>
      <c r="RB7671" s="106"/>
      <c r="RC7671" s="106"/>
      <c r="RD7671" s="106"/>
      <c r="RE7671" s="106"/>
      <c r="RF7671" s="106"/>
      <c r="RG7671" s="106"/>
      <c r="RH7671" s="106"/>
      <c r="RI7671" s="106"/>
      <c r="RJ7671" s="106"/>
      <c r="RK7671" s="106"/>
      <c r="RL7671" s="106"/>
    </row>
    <row r="7672" spans="462:480" x14ac:dyDescent="0.3">
      <c r="QT7672" s="106"/>
      <c r="QU7672" s="106"/>
      <c r="QV7672" s="106"/>
      <c r="QW7672" s="106"/>
      <c r="QX7672" s="106"/>
      <c r="QY7672" s="106"/>
      <c r="QZ7672" s="106"/>
      <c r="RA7672" s="106"/>
      <c r="RB7672" s="106"/>
      <c r="RC7672" s="106"/>
      <c r="RD7672" s="106"/>
      <c r="RE7672" s="106"/>
      <c r="RF7672" s="106"/>
      <c r="RG7672" s="106"/>
      <c r="RH7672" s="106"/>
      <c r="RI7672" s="106"/>
      <c r="RJ7672" s="106"/>
      <c r="RK7672" s="106"/>
      <c r="RL7672" s="106"/>
    </row>
    <row r="7673" spans="462:480" x14ac:dyDescent="0.3">
      <c r="QT7673" s="106"/>
      <c r="QU7673" s="106"/>
      <c r="QV7673" s="106"/>
      <c r="QW7673" s="106"/>
      <c r="QX7673" s="106"/>
      <c r="QY7673" s="106"/>
      <c r="QZ7673" s="106"/>
      <c r="RA7673" s="106"/>
      <c r="RB7673" s="106"/>
      <c r="RC7673" s="106"/>
      <c r="RD7673" s="106"/>
      <c r="RE7673" s="106"/>
      <c r="RF7673" s="106"/>
      <c r="RG7673" s="106"/>
      <c r="RH7673" s="106"/>
      <c r="RI7673" s="106"/>
      <c r="RJ7673" s="106"/>
      <c r="RK7673" s="106"/>
      <c r="RL7673" s="106"/>
    </row>
    <row r="7674" spans="462:480" x14ac:dyDescent="0.3">
      <c r="QT7674" s="106"/>
      <c r="QU7674" s="106"/>
      <c r="QV7674" s="106"/>
      <c r="QW7674" s="106"/>
      <c r="QX7674" s="106"/>
      <c r="QY7674" s="106"/>
      <c r="QZ7674" s="106"/>
      <c r="RA7674" s="106"/>
      <c r="RB7674" s="106"/>
      <c r="RC7674" s="106"/>
      <c r="RD7674" s="106"/>
      <c r="RE7674" s="106"/>
      <c r="RF7674" s="106"/>
      <c r="RG7674" s="106"/>
      <c r="RH7674" s="106"/>
      <c r="RI7674" s="106"/>
      <c r="RJ7674" s="106"/>
      <c r="RK7674" s="106"/>
      <c r="RL7674" s="106"/>
    </row>
    <row r="7675" spans="462:480" x14ac:dyDescent="0.3">
      <c r="QT7675" s="106"/>
      <c r="QU7675" s="106"/>
      <c r="QV7675" s="106"/>
      <c r="QW7675" s="106"/>
      <c r="QX7675" s="106"/>
      <c r="QY7675" s="106"/>
      <c r="QZ7675" s="106"/>
      <c r="RA7675" s="106"/>
      <c r="RB7675" s="106"/>
      <c r="RC7675" s="106"/>
      <c r="RD7675" s="106"/>
      <c r="RE7675" s="106"/>
      <c r="RF7675" s="106"/>
      <c r="RG7675" s="106"/>
      <c r="RH7675" s="106"/>
      <c r="RI7675" s="106"/>
      <c r="RJ7675" s="106"/>
      <c r="RK7675" s="106"/>
      <c r="RL7675" s="106"/>
    </row>
    <row r="7676" spans="462:480" x14ac:dyDescent="0.3">
      <c r="QT7676" s="106"/>
      <c r="QU7676" s="106"/>
      <c r="QV7676" s="106"/>
      <c r="QW7676" s="106"/>
      <c r="QX7676" s="106"/>
      <c r="QY7676" s="106"/>
      <c r="QZ7676" s="106"/>
      <c r="RA7676" s="106"/>
      <c r="RB7676" s="106"/>
      <c r="RC7676" s="106"/>
      <c r="RD7676" s="106"/>
      <c r="RE7676" s="106"/>
      <c r="RF7676" s="106"/>
      <c r="RG7676" s="106"/>
      <c r="RH7676" s="106"/>
      <c r="RI7676" s="106"/>
      <c r="RJ7676" s="106"/>
      <c r="RK7676" s="106"/>
      <c r="RL7676" s="106"/>
    </row>
    <row r="7677" spans="462:480" x14ac:dyDescent="0.3">
      <c r="QT7677" s="106"/>
      <c r="QU7677" s="106"/>
      <c r="QV7677" s="106"/>
      <c r="QW7677" s="106"/>
      <c r="QX7677" s="106"/>
      <c r="QY7677" s="106"/>
      <c r="QZ7677" s="106"/>
      <c r="RA7677" s="106"/>
      <c r="RB7677" s="106"/>
      <c r="RC7677" s="106"/>
      <c r="RD7677" s="106"/>
      <c r="RE7677" s="106"/>
      <c r="RF7677" s="106"/>
      <c r="RG7677" s="106"/>
      <c r="RH7677" s="106"/>
      <c r="RI7677" s="106"/>
      <c r="RJ7677" s="106"/>
      <c r="RK7677" s="106"/>
      <c r="RL7677" s="106"/>
    </row>
    <row r="7678" spans="462:480" x14ac:dyDescent="0.3">
      <c r="QT7678" s="106"/>
      <c r="QU7678" s="106"/>
      <c r="QV7678" s="106"/>
      <c r="QW7678" s="106"/>
      <c r="QX7678" s="106"/>
      <c r="QY7678" s="106"/>
      <c r="QZ7678" s="106"/>
      <c r="RA7678" s="106"/>
      <c r="RB7678" s="106"/>
      <c r="RC7678" s="106"/>
      <c r="RD7678" s="106"/>
      <c r="RE7678" s="106"/>
      <c r="RF7678" s="106"/>
      <c r="RG7678" s="106"/>
      <c r="RH7678" s="106"/>
      <c r="RI7678" s="106"/>
      <c r="RJ7678" s="106"/>
      <c r="RK7678" s="106"/>
      <c r="RL7678" s="106"/>
    </row>
    <row r="7679" spans="462:480" x14ac:dyDescent="0.3">
      <c r="QT7679" s="106"/>
      <c r="QU7679" s="106"/>
      <c r="QV7679" s="106"/>
      <c r="QW7679" s="106"/>
      <c r="QX7679" s="106"/>
      <c r="QY7679" s="106"/>
      <c r="QZ7679" s="106"/>
      <c r="RA7679" s="106"/>
      <c r="RB7679" s="106"/>
      <c r="RC7679" s="106"/>
      <c r="RD7679" s="106"/>
      <c r="RE7679" s="106"/>
      <c r="RF7679" s="106"/>
      <c r="RG7679" s="106"/>
      <c r="RH7679" s="106"/>
      <c r="RI7679" s="106"/>
      <c r="RJ7679" s="106"/>
      <c r="RK7679" s="106"/>
      <c r="RL7679" s="106"/>
    </row>
    <row r="7680" spans="462:480" x14ac:dyDescent="0.3">
      <c r="QT7680" s="106"/>
      <c r="QU7680" s="106"/>
      <c r="QV7680" s="106"/>
      <c r="QW7680" s="106"/>
      <c r="QX7680" s="106"/>
      <c r="QY7680" s="106"/>
      <c r="QZ7680" s="106"/>
      <c r="RA7680" s="106"/>
      <c r="RB7680" s="106"/>
      <c r="RC7680" s="106"/>
      <c r="RD7680" s="106"/>
      <c r="RE7680" s="106"/>
      <c r="RF7680" s="106"/>
      <c r="RG7680" s="106"/>
      <c r="RH7680" s="106"/>
      <c r="RI7680" s="106"/>
      <c r="RJ7680" s="106"/>
      <c r="RK7680" s="106"/>
      <c r="RL7680" s="106"/>
    </row>
    <row r="7681" spans="462:480" x14ac:dyDescent="0.3">
      <c r="QT7681" s="106"/>
      <c r="QU7681" s="106"/>
      <c r="QV7681" s="106"/>
      <c r="QW7681" s="106"/>
      <c r="QX7681" s="106"/>
      <c r="QY7681" s="106"/>
      <c r="QZ7681" s="106"/>
      <c r="RA7681" s="106"/>
      <c r="RB7681" s="106"/>
      <c r="RC7681" s="106"/>
      <c r="RD7681" s="106"/>
      <c r="RE7681" s="106"/>
      <c r="RF7681" s="106"/>
      <c r="RG7681" s="106"/>
      <c r="RH7681" s="106"/>
      <c r="RI7681" s="106"/>
      <c r="RJ7681" s="106"/>
      <c r="RK7681" s="106"/>
      <c r="RL7681" s="106"/>
    </row>
    <row r="7682" spans="462:480" x14ac:dyDescent="0.3">
      <c r="QT7682" s="106"/>
      <c r="QU7682" s="106"/>
      <c r="QV7682" s="106"/>
      <c r="QW7682" s="106"/>
      <c r="QX7682" s="106"/>
      <c r="QY7682" s="106"/>
      <c r="QZ7682" s="106"/>
      <c r="RA7682" s="106"/>
      <c r="RB7682" s="106"/>
      <c r="RC7682" s="106"/>
      <c r="RD7682" s="106"/>
      <c r="RE7682" s="106"/>
      <c r="RF7682" s="106"/>
      <c r="RG7682" s="106"/>
      <c r="RH7682" s="106"/>
      <c r="RI7682" s="106"/>
      <c r="RJ7682" s="106"/>
      <c r="RK7682" s="106"/>
      <c r="RL7682" s="106"/>
    </row>
    <row r="7683" spans="462:480" x14ac:dyDescent="0.3">
      <c r="QT7683" s="106"/>
      <c r="QU7683" s="106"/>
      <c r="QV7683" s="106"/>
      <c r="QW7683" s="106"/>
      <c r="QX7683" s="106"/>
      <c r="QY7683" s="106"/>
      <c r="QZ7683" s="106"/>
      <c r="RA7683" s="106"/>
      <c r="RB7683" s="106"/>
      <c r="RC7683" s="106"/>
      <c r="RD7683" s="106"/>
      <c r="RE7683" s="106"/>
      <c r="RF7683" s="106"/>
      <c r="RG7683" s="106"/>
      <c r="RH7683" s="106"/>
      <c r="RI7683" s="106"/>
      <c r="RJ7683" s="106"/>
      <c r="RK7683" s="106"/>
      <c r="RL7683" s="106"/>
    </row>
    <row r="7684" spans="462:480" x14ac:dyDescent="0.3">
      <c r="QT7684" s="106"/>
      <c r="QU7684" s="106"/>
      <c r="QV7684" s="106"/>
      <c r="QW7684" s="106"/>
      <c r="QX7684" s="106"/>
      <c r="QY7684" s="106"/>
      <c r="QZ7684" s="106"/>
      <c r="RA7684" s="106"/>
      <c r="RB7684" s="106"/>
      <c r="RC7684" s="106"/>
      <c r="RD7684" s="106"/>
      <c r="RE7684" s="106"/>
      <c r="RF7684" s="106"/>
      <c r="RG7684" s="106"/>
      <c r="RH7684" s="106"/>
      <c r="RI7684" s="106"/>
      <c r="RJ7684" s="106"/>
      <c r="RK7684" s="106"/>
      <c r="RL7684" s="106"/>
    </row>
    <row r="7685" spans="462:480" x14ac:dyDescent="0.3">
      <c r="QT7685" s="106"/>
      <c r="QU7685" s="106"/>
      <c r="QV7685" s="106"/>
      <c r="QW7685" s="106"/>
      <c r="QX7685" s="106"/>
      <c r="QY7685" s="106"/>
      <c r="QZ7685" s="106"/>
      <c r="RA7685" s="106"/>
      <c r="RB7685" s="106"/>
      <c r="RC7685" s="106"/>
      <c r="RD7685" s="106"/>
      <c r="RE7685" s="106"/>
      <c r="RF7685" s="106"/>
      <c r="RG7685" s="106"/>
      <c r="RH7685" s="106"/>
      <c r="RI7685" s="106"/>
      <c r="RJ7685" s="106"/>
      <c r="RK7685" s="106"/>
      <c r="RL7685" s="106"/>
    </row>
    <row r="7686" spans="462:480" x14ac:dyDescent="0.3">
      <c r="QT7686" s="106"/>
      <c r="QU7686" s="106"/>
      <c r="QV7686" s="106"/>
      <c r="QW7686" s="106"/>
      <c r="QX7686" s="106"/>
      <c r="QY7686" s="106"/>
      <c r="QZ7686" s="106"/>
      <c r="RA7686" s="106"/>
      <c r="RB7686" s="106"/>
      <c r="RC7686" s="106"/>
      <c r="RD7686" s="106"/>
      <c r="RE7686" s="106"/>
      <c r="RF7686" s="106"/>
      <c r="RG7686" s="106"/>
      <c r="RH7686" s="106"/>
      <c r="RI7686" s="106"/>
      <c r="RJ7686" s="106"/>
      <c r="RK7686" s="106"/>
      <c r="RL7686" s="106"/>
    </row>
    <row r="7687" spans="462:480" x14ac:dyDescent="0.3">
      <c r="QT7687" s="106"/>
      <c r="QU7687" s="106"/>
      <c r="QV7687" s="106"/>
      <c r="QW7687" s="106"/>
      <c r="QX7687" s="106"/>
      <c r="QY7687" s="106"/>
      <c r="QZ7687" s="106"/>
      <c r="RA7687" s="106"/>
      <c r="RB7687" s="106"/>
      <c r="RC7687" s="106"/>
      <c r="RD7687" s="106"/>
      <c r="RE7687" s="106"/>
      <c r="RF7687" s="106"/>
      <c r="RG7687" s="106"/>
      <c r="RH7687" s="106"/>
      <c r="RI7687" s="106"/>
      <c r="RJ7687" s="106"/>
      <c r="RK7687" s="106"/>
      <c r="RL7687" s="106"/>
    </row>
    <row r="7688" spans="462:480" x14ac:dyDescent="0.3">
      <c r="QT7688" s="106"/>
      <c r="QU7688" s="106"/>
      <c r="QV7688" s="106"/>
      <c r="QW7688" s="106"/>
      <c r="QX7688" s="106"/>
      <c r="QY7688" s="106"/>
      <c r="QZ7688" s="106"/>
      <c r="RA7688" s="106"/>
      <c r="RB7688" s="106"/>
      <c r="RC7688" s="106"/>
      <c r="RD7688" s="106"/>
      <c r="RE7688" s="106"/>
      <c r="RF7688" s="106"/>
      <c r="RG7688" s="106"/>
      <c r="RH7688" s="106"/>
      <c r="RI7688" s="106"/>
      <c r="RJ7688" s="106"/>
      <c r="RK7688" s="106"/>
      <c r="RL7688" s="106"/>
    </row>
    <row r="7689" spans="462:480" x14ac:dyDescent="0.3">
      <c r="QT7689" s="106"/>
      <c r="QU7689" s="106"/>
      <c r="QV7689" s="106"/>
      <c r="QW7689" s="106"/>
      <c r="QX7689" s="106"/>
      <c r="QY7689" s="106"/>
      <c r="QZ7689" s="106"/>
      <c r="RA7689" s="106"/>
      <c r="RB7689" s="106"/>
      <c r="RC7689" s="106"/>
      <c r="RD7689" s="106"/>
      <c r="RE7689" s="106"/>
      <c r="RF7689" s="106"/>
      <c r="RG7689" s="106"/>
      <c r="RH7689" s="106"/>
      <c r="RI7689" s="106"/>
      <c r="RJ7689" s="106"/>
      <c r="RK7689" s="106"/>
      <c r="RL7689" s="106"/>
    </row>
    <row r="7690" spans="462:480" x14ac:dyDescent="0.3">
      <c r="QT7690" s="106"/>
      <c r="QU7690" s="106"/>
      <c r="QV7690" s="106"/>
      <c r="QW7690" s="106"/>
      <c r="QX7690" s="106"/>
      <c r="QY7690" s="106"/>
      <c r="QZ7690" s="106"/>
      <c r="RA7690" s="106"/>
      <c r="RB7690" s="106"/>
      <c r="RC7690" s="106"/>
      <c r="RD7690" s="106"/>
      <c r="RE7690" s="106"/>
      <c r="RF7690" s="106"/>
      <c r="RG7690" s="106"/>
      <c r="RH7690" s="106"/>
      <c r="RI7690" s="106"/>
      <c r="RJ7690" s="106"/>
      <c r="RK7690" s="106"/>
      <c r="RL7690" s="106"/>
    </row>
    <row r="7691" spans="462:480" x14ac:dyDescent="0.3">
      <c r="QT7691" s="106"/>
      <c r="QU7691" s="106"/>
      <c r="QV7691" s="106"/>
      <c r="QW7691" s="106"/>
      <c r="QX7691" s="106"/>
      <c r="QY7691" s="106"/>
      <c r="QZ7691" s="106"/>
      <c r="RA7691" s="106"/>
      <c r="RB7691" s="106"/>
      <c r="RC7691" s="106"/>
      <c r="RD7691" s="106"/>
      <c r="RE7691" s="106"/>
      <c r="RF7691" s="106"/>
      <c r="RG7691" s="106"/>
      <c r="RH7691" s="106"/>
      <c r="RI7691" s="106"/>
      <c r="RJ7691" s="106"/>
      <c r="RK7691" s="106"/>
      <c r="RL7691" s="106"/>
    </row>
    <row r="7692" spans="462:480" x14ac:dyDescent="0.3">
      <c r="QT7692" s="106"/>
      <c r="QU7692" s="106"/>
      <c r="QV7692" s="106"/>
      <c r="QW7692" s="106"/>
      <c r="QX7692" s="106"/>
      <c r="QY7692" s="106"/>
      <c r="QZ7692" s="106"/>
      <c r="RA7692" s="106"/>
      <c r="RB7692" s="106"/>
      <c r="RC7692" s="106"/>
      <c r="RD7692" s="106"/>
      <c r="RE7692" s="106"/>
      <c r="RF7692" s="106"/>
      <c r="RG7692" s="106"/>
      <c r="RH7692" s="106"/>
      <c r="RI7692" s="106"/>
      <c r="RJ7692" s="106"/>
      <c r="RK7692" s="106"/>
      <c r="RL7692" s="106"/>
    </row>
    <row r="7693" spans="462:480" x14ac:dyDescent="0.3">
      <c r="QT7693" s="106"/>
      <c r="QU7693" s="106"/>
      <c r="QV7693" s="106"/>
      <c r="QW7693" s="106"/>
      <c r="QX7693" s="106"/>
      <c r="QY7693" s="106"/>
      <c r="QZ7693" s="106"/>
      <c r="RA7693" s="106"/>
      <c r="RB7693" s="106"/>
      <c r="RC7693" s="106"/>
      <c r="RD7693" s="106"/>
      <c r="RE7693" s="106"/>
      <c r="RF7693" s="106"/>
      <c r="RG7693" s="106"/>
      <c r="RH7693" s="106"/>
      <c r="RI7693" s="106"/>
      <c r="RJ7693" s="106"/>
      <c r="RK7693" s="106"/>
      <c r="RL7693" s="106"/>
    </row>
    <row r="7694" spans="462:480" x14ac:dyDescent="0.3">
      <c r="QT7694" s="106"/>
      <c r="QU7694" s="106"/>
      <c r="QV7694" s="106"/>
      <c r="QW7694" s="106"/>
      <c r="QX7694" s="106"/>
      <c r="QY7694" s="106"/>
      <c r="QZ7694" s="106"/>
      <c r="RA7694" s="106"/>
      <c r="RB7694" s="106"/>
      <c r="RC7694" s="106"/>
      <c r="RD7694" s="106"/>
      <c r="RE7694" s="106"/>
      <c r="RF7694" s="106"/>
      <c r="RG7694" s="106"/>
      <c r="RH7694" s="106"/>
      <c r="RI7694" s="106"/>
      <c r="RJ7694" s="106"/>
      <c r="RK7694" s="106"/>
      <c r="RL7694" s="106"/>
    </row>
    <row r="7695" spans="462:480" x14ac:dyDescent="0.3">
      <c r="QT7695" s="106"/>
      <c r="QU7695" s="106"/>
      <c r="QV7695" s="106"/>
      <c r="QW7695" s="106"/>
      <c r="QX7695" s="106"/>
      <c r="QY7695" s="106"/>
      <c r="QZ7695" s="106"/>
      <c r="RA7695" s="106"/>
      <c r="RB7695" s="106"/>
      <c r="RC7695" s="106"/>
      <c r="RD7695" s="106"/>
      <c r="RE7695" s="106"/>
      <c r="RF7695" s="106"/>
      <c r="RG7695" s="106"/>
      <c r="RH7695" s="106"/>
      <c r="RI7695" s="106"/>
      <c r="RJ7695" s="106"/>
      <c r="RK7695" s="106"/>
      <c r="RL7695" s="106"/>
    </row>
    <row r="7696" spans="462:480" x14ac:dyDescent="0.3">
      <c r="QT7696" s="106"/>
      <c r="QU7696" s="106"/>
      <c r="QV7696" s="106"/>
      <c r="QW7696" s="106"/>
      <c r="QX7696" s="106"/>
      <c r="QY7696" s="106"/>
      <c r="QZ7696" s="106"/>
      <c r="RA7696" s="106"/>
      <c r="RB7696" s="106"/>
      <c r="RC7696" s="106"/>
      <c r="RD7696" s="106"/>
      <c r="RE7696" s="106"/>
      <c r="RF7696" s="106"/>
      <c r="RG7696" s="106"/>
      <c r="RH7696" s="106"/>
      <c r="RI7696" s="106"/>
      <c r="RJ7696" s="106"/>
      <c r="RK7696" s="106"/>
      <c r="RL7696" s="106"/>
    </row>
    <row r="7697" spans="462:480" x14ac:dyDescent="0.3">
      <c r="QT7697" s="106"/>
      <c r="QU7697" s="106"/>
      <c r="QV7697" s="106"/>
      <c r="QW7697" s="106"/>
      <c r="QX7697" s="106"/>
      <c r="QY7697" s="106"/>
      <c r="QZ7697" s="106"/>
      <c r="RA7697" s="106"/>
      <c r="RB7697" s="106"/>
      <c r="RC7697" s="106"/>
      <c r="RD7697" s="106"/>
      <c r="RE7697" s="106"/>
      <c r="RF7697" s="106"/>
      <c r="RG7697" s="106"/>
      <c r="RH7697" s="106"/>
      <c r="RI7697" s="106"/>
      <c r="RJ7697" s="106"/>
      <c r="RK7697" s="106"/>
      <c r="RL7697" s="106"/>
    </row>
    <row r="7698" spans="462:480" x14ac:dyDescent="0.3">
      <c r="QT7698" s="106"/>
      <c r="QU7698" s="106"/>
      <c r="QV7698" s="106"/>
      <c r="QW7698" s="106"/>
      <c r="QX7698" s="106"/>
      <c r="QY7698" s="106"/>
      <c r="QZ7698" s="106"/>
      <c r="RA7698" s="106"/>
      <c r="RB7698" s="106"/>
      <c r="RC7698" s="106"/>
      <c r="RD7698" s="106"/>
      <c r="RE7698" s="106"/>
      <c r="RF7698" s="106"/>
      <c r="RG7698" s="106"/>
      <c r="RH7698" s="106"/>
      <c r="RI7698" s="106"/>
      <c r="RJ7698" s="106"/>
      <c r="RK7698" s="106"/>
      <c r="RL7698" s="106"/>
    </row>
    <row r="7699" spans="462:480" x14ac:dyDescent="0.3">
      <c r="QT7699" s="106"/>
      <c r="QU7699" s="106"/>
      <c r="QV7699" s="106"/>
      <c r="QW7699" s="106"/>
      <c r="QX7699" s="106"/>
      <c r="QY7699" s="106"/>
      <c r="QZ7699" s="106"/>
      <c r="RA7699" s="106"/>
      <c r="RB7699" s="106"/>
      <c r="RC7699" s="106"/>
      <c r="RD7699" s="106"/>
      <c r="RE7699" s="106"/>
      <c r="RF7699" s="106"/>
      <c r="RG7699" s="106"/>
      <c r="RH7699" s="106"/>
      <c r="RI7699" s="106"/>
      <c r="RJ7699" s="106"/>
      <c r="RK7699" s="106"/>
      <c r="RL7699" s="106"/>
    </row>
    <row r="7700" spans="462:480" x14ac:dyDescent="0.3">
      <c r="QT7700" s="106"/>
      <c r="QU7700" s="106"/>
      <c r="QV7700" s="106"/>
      <c r="QW7700" s="106"/>
      <c r="QX7700" s="106"/>
      <c r="QY7700" s="106"/>
      <c r="QZ7700" s="106"/>
      <c r="RA7700" s="106"/>
      <c r="RB7700" s="106"/>
      <c r="RC7700" s="106"/>
      <c r="RD7700" s="106"/>
      <c r="RE7700" s="106"/>
      <c r="RF7700" s="106"/>
      <c r="RG7700" s="106"/>
      <c r="RH7700" s="106"/>
      <c r="RI7700" s="106"/>
      <c r="RJ7700" s="106"/>
      <c r="RK7700" s="106"/>
      <c r="RL7700" s="106"/>
    </row>
    <row r="7701" spans="462:480" x14ac:dyDescent="0.3">
      <c r="QT7701" s="106"/>
      <c r="QU7701" s="106"/>
      <c r="QV7701" s="106"/>
      <c r="QW7701" s="106"/>
      <c r="QX7701" s="106"/>
      <c r="QY7701" s="106"/>
      <c r="QZ7701" s="106"/>
      <c r="RA7701" s="106"/>
      <c r="RB7701" s="106"/>
      <c r="RC7701" s="106"/>
      <c r="RD7701" s="106"/>
      <c r="RE7701" s="106"/>
      <c r="RF7701" s="106"/>
      <c r="RG7701" s="106"/>
      <c r="RH7701" s="106"/>
      <c r="RI7701" s="106"/>
      <c r="RJ7701" s="106"/>
      <c r="RK7701" s="106"/>
      <c r="RL7701" s="106"/>
    </row>
    <row r="7702" spans="462:480" x14ac:dyDescent="0.3">
      <c r="QT7702" s="106"/>
      <c r="QU7702" s="106"/>
      <c r="QV7702" s="106"/>
      <c r="QW7702" s="106"/>
      <c r="QX7702" s="106"/>
      <c r="QY7702" s="106"/>
      <c r="QZ7702" s="106"/>
      <c r="RA7702" s="106"/>
      <c r="RB7702" s="106"/>
      <c r="RC7702" s="106"/>
      <c r="RD7702" s="106"/>
      <c r="RE7702" s="106"/>
      <c r="RF7702" s="106"/>
      <c r="RG7702" s="106"/>
      <c r="RH7702" s="106"/>
      <c r="RI7702" s="106"/>
      <c r="RJ7702" s="106"/>
      <c r="RK7702" s="106"/>
      <c r="RL7702" s="106"/>
    </row>
    <row r="7703" spans="462:480" x14ac:dyDescent="0.3">
      <c r="QT7703" s="106"/>
      <c r="QU7703" s="106"/>
      <c r="QV7703" s="106"/>
      <c r="QW7703" s="106"/>
      <c r="QX7703" s="106"/>
      <c r="QY7703" s="106"/>
      <c r="QZ7703" s="106"/>
      <c r="RA7703" s="106"/>
      <c r="RB7703" s="106"/>
      <c r="RC7703" s="106"/>
      <c r="RD7703" s="106"/>
      <c r="RE7703" s="106"/>
      <c r="RF7703" s="106"/>
      <c r="RG7703" s="106"/>
      <c r="RH7703" s="106"/>
      <c r="RI7703" s="106"/>
      <c r="RJ7703" s="106"/>
      <c r="RK7703" s="106"/>
      <c r="RL7703" s="106"/>
    </row>
    <row r="7704" spans="462:480" x14ac:dyDescent="0.3">
      <c r="QT7704" s="106"/>
      <c r="QU7704" s="106"/>
      <c r="QV7704" s="106"/>
      <c r="QW7704" s="106"/>
      <c r="QX7704" s="106"/>
      <c r="QY7704" s="106"/>
      <c r="QZ7704" s="106"/>
      <c r="RA7704" s="106"/>
      <c r="RB7704" s="106"/>
      <c r="RC7704" s="106"/>
      <c r="RD7704" s="106"/>
      <c r="RE7704" s="106"/>
      <c r="RF7704" s="106"/>
      <c r="RG7704" s="106"/>
      <c r="RH7704" s="106"/>
      <c r="RI7704" s="106"/>
      <c r="RJ7704" s="106"/>
      <c r="RK7704" s="106"/>
      <c r="RL7704" s="106"/>
    </row>
    <row r="7705" spans="462:480" x14ac:dyDescent="0.3">
      <c r="QT7705" s="106"/>
      <c r="QU7705" s="106"/>
      <c r="QV7705" s="106"/>
      <c r="QW7705" s="106"/>
      <c r="QX7705" s="106"/>
      <c r="QY7705" s="106"/>
      <c r="QZ7705" s="106"/>
      <c r="RA7705" s="106"/>
      <c r="RB7705" s="106"/>
      <c r="RC7705" s="106"/>
      <c r="RD7705" s="106"/>
      <c r="RE7705" s="106"/>
      <c r="RF7705" s="106"/>
      <c r="RG7705" s="106"/>
      <c r="RH7705" s="106"/>
      <c r="RI7705" s="106"/>
      <c r="RJ7705" s="106"/>
      <c r="RK7705" s="106"/>
      <c r="RL7705" s="106"/>
    </row>
    <row r="7706" spans="462:480" x14ac:dyDescent="0.3">
      <c r="QT7706" s="106"/>
      <c r="QU7706" s="106"/>
      <c r="QV7706" s="106"/>
      <c r="QW7706" s="106"/>
      <c r="QX7706" s="106"/>
      <c r="QY7706" s="106"/>
      <c r="QZ7706" s="106"/>
      <c r="RA7706" s="106"/>
      <c r="RB7706" s="106"/>
      <c r="RC7706" s="106"/>
      <c r="RD7706" s="106"/>
      <c r="RE7706" s="106"/>
      <c r="RF7706" s="106"/>
      <c r="RG7706" s="106"/>
      <c r="RH7706" s="106"/>
      <c r="RI7706" s="106"/>
      <c r="RJ7706" s="106"/>
      <c r="RK7706" s="106"/>
      <c r="RL7706" s="106"/>
    </row>
    <row r="7707" spans="462:480" x14ac:dyDescent="0.3">
      <c r="QT7707" s="106"/>
      <c r="QU7707" s="106"/>
      <c r="QV7707" s="106"/>
      <c r="QW7707" s="106"/>
      <c r="QX7707" s="106"/>
      <c r="QY7707" s="106"/>
      <c r="QZ7707" s="106"/>
      <c r="RA7707" s="106"/>
      <c r="RB7707" s="106"/>
      <c r="RC7707" s="106"/>
      <c r="RD7707" s="106"/>
      <c r="RE7707" s="106"/>
      <c r="RF7707" s="106"/>
      <c r="RG7707" s="106"/>
      <c r="RH7707" s="106"/>
      <c r="RI7707" s="106"/>
      <c r="RJ7707" s="106"/>
      <c r="RK7707" s="106"/>
      <c r="RL7707" s="106"/>
    </row>
    <row r="7708" spans="462:480" x14ac:dyDescent="0.3">
      <c r="QT7708" s="106"/>
      <c r="QU7708" s="106"/>
      <c r="QV7708" s="106"/>
      <c r="QW7708" s="106"/>
      <c r="QX7708" s="106"/>
      <c r="QY7708" s="106"/>
      <c r="QZ7708" s="106"/>
      <c r="RA7708" s="106"/>
      <c r="RB7708" s="106"/>
      <c r="RC7708" s="106"/>
      <c r="RD7708" s="106"/>
      <c r="RE7708" s="106"/>
      <c r="RF7708" s="106"/>
      <c r="RG7708" s="106"/>
      <c r="RH7708" s="106"/>
      <c r="RI7708" s="106"/>
      <c r="RJ7708" s="106"/>
      <c r="RK7708" s="106"/>
      <c r="RL7708" s="106"/>
    </row>
    <row r="7709" spans="462:480" x14ac:dyDescent="0.3">
      <c r="QT7709" s="106"/>
      <c r="QU7709" s="106"/>
      <c r="QV7709" s="106"/>
      <c r="QW7709" s="106"/>
      <c r="QX7709" s="106"/>
      <c r="QY7709" s="106"/>
      <c r="QZ7709" s="106"/>
      <c r="RA7709" s="106"/>
      <c r="RB7709" s="106"/>
      <c r="RC7709" s="106"/>
      <c r="RD7709" s="106"/>
      <c r="RE7709" s="106"/>
      <c r="RF7709" s="106"/>
      <c r="RG7709" s="106"/>
      <c r="RH7709" s="106"/>
      <c r="RI7709" s="106"/>
      <c r="RJ7709" s="106"/>
      <c r="RK7709" s="106"/>
      <c r="RL7709" s="106"/>
    </row>
    <row r="7710" spans="462:480" x14ac:dyDescent="0.3">
      <c r="QT7710" s="106"/>
      <c r="QU7710" s="106"/>
      <c r="QV7710" s="106"/>
      <c r="QW7710" s="106"/>
      <c r="QX7710" s="106"/>
      <c r="QY7710" s="106"/>
      <c r="QZ7710" s="106"/>
      <c r="RA7710" s="106"/>
      <c r="RB7710" s="106"/>
      <c r="RC7710" s="106"/>
      <c r="RD7710" s="106"/>
      <c r="RE7710" s="106"/>
      <c r="RF7710" s="106"/>
      <c r="RG7710" s="106"/>
      <c r="RH7710" s="106"/>
      <c r="RI7710" s="106"/>
      <c r="RJ7710" s="106"/>
      <c r="RK7710" s="106"/>
      <c r="RL7710" s="106"/>
    </row>
    <row r="7711" spans="462:480" x14ac:dyDescent="0.3">
      <c r="QT7711" s="106"/>
      <c r="QU7711" s="106"/>
      <c r="QV7711" s="106"/>
      <c r="QW7711" s="106"/>
      <c r="QX7711" s="106"/>
      <c r="QY7711" s="106"/>
      <c r="QZ7711" s="106"/>
      <c r="RA7711" s="106"/>
      <c r="RB7711" s="106"/>
      <c r="RC7711" s="106"/>
      <c r="RD7711" s="106"/>
      <c r="RE7711" s="106"/>
      <c r="RF7711" s="106"/>
      <c r="RG7711" s="106"/>
      <c r="RH7711" s="106"/>
      <c r="RI7711" s="106"/>
      <c r="RJ7711" s="106"/>
      <c r="RK7711" s="106"/>
      <c r="RL7711" s="106"/>
    </row>
    <row r="7712" spans="462:480" x14ac:dyDescent="0.3">
      <c r="QT7712" s="106"/>
      <c r="QU7712" s="106"/>
      <c r="QV7712" s="106"/>
      <c r="QW7712" s="106"/>
      <c r="QX7712" s="106"/>
      <c r="QY7712" s="106"/>
      <c r="QZ7712" s="106"/>
      <c r="RA7712" s="106"/>
      <c r="RB7712" s="106"/>
      <c r="RC7712" s="106"/>
      <c r="RD7712" s="106"/>
      <c r="RE7712" s="106"/>
      <c r="RF7712" s="106"/>
      <c r="RG7712" s="106"/>
      <c r="RH7712" s="106"/>
      <c r="RI7712" s="106"/>
      <c r="RJ7712" s="106"/>
      <c r="RK7712" s="106"/>
      <c r="RL7712" s="106"/>
    </row>
    <row r="7713" spans="462:480" x14ac:dyDescent="0.3">
      <c r="QT7713" s="106"/>
      <c r="QU7713" s="106"/>
      <c r="QV7713" s="106"/>
      <c r="QW7713" s="106"/>
      <c r="QX7713" s="106"/>
      <c r="QY7713" s="106"/>
      <c r="QZ7713" s="106"/>
      <c r="RA7713" s="106"/>
      <c r="RB7713" s="106"/>
      <c r="RC7713" s="106"/>
      <c r="RD7713" s="106"/>
      <c r="RE7713" s="106"/>
      <c r="RF7713" s="106"/>
      <c r="RG7713" s="106"/>
      <c r="RH7713" s="106"/>
      <c r="RI7713" s="106"/>
      <c r="RJ7713" s="106"/>
      <c r="RK7713" s="106"/>
      <c r="RL7713" s="106"/>
    </row>
    <row r="7714" spans="462:480" x14ac:dyDescent="0.3">
      <c r="QT7714" s="106"/>
      <c r="QU7714" s="106"/>
      <c r="QV7714" s="106"/>
      <c r="QW7714" s="106"/>
      <c r="QX7714" s="106"/>
      <c r="QY7714" s="106"/>
      <c r="QZ7714" s="106"/>
      <c r="RA7714" s="106"/>
      <c r="RB7714" s="106"/>
      <c r="RC7714" s="106"/>
      <c r="RD7714" s="106"/>
      <c r="RE7714" s="106"/>
      <c r="RF7714" s="106"/>
      <c r="RG7714" s="106"/>
      <c r="RH7714" s="106"/>
      <c r="RI7714" s="106"/>
      <c r="RJ7714" s="106"/>
      <c r="RK7714" s="106"/>
      <c r="RL7714" s="106"/>
    </row>
    <row r="7715" spans="462:480" x14ac:dyDescent="0.3">
      <c r="QT7715" s="106"/>
      <c r="QU7715" s="106"/>
      <c r="QV7715" s="106"/>
      <c r="QW7715" s="106"/>
      <c r="QX7715" s="106"/>
      <c r="QY7715" s="106"/>
      <c r="QZ7715" s="106"/>
      <c r="RA7715" s="106"/>
      <c r="RB7715" s="106"/>
      <c r="RC7715" s="106"/>
      <c r="RD7715" s="106"/>
      <c r="RE7715" s="106"/>
      <c r="RF7715" s="106"/>
      <c r="RG7715" s="106"/>
      <c r="RH7715" s="106"/>
      <c r="RI7715" s="106"/>
      <c r="RJ7715" s="106"/>
      <c r="RK7715" s="106"/>
      <c r="RL7715" s="106"/>
    </row>
    <row r="7716" spans="462:480" x14ac:dyDescent="0.3">
      <c r="QT7716" s="106"/>
      <c r="QU7716" s="106"/>
      <c r="QV7716" s="106"/>
      <c r="QW7716" s="106"/>
      <c r="QX7716" s="106"/>
      <c r="QY7716" s="106"/>
      <c r="QZ7716" s="106"/>
      <c r="RA7716" s="106"/>
      <c r="RB7716" s="106"/>
      <c r="RC7716" s="106"/>
      <c r="RD7716" s="106"/>
      <c r="RE7716" s="106"/>
      <c r="RF7716" s="106"/>
      <c r="RG7716" s="106"/>
      <c r="RH7716" s="106"/>
      <c r="RI7716" s="106"/>
      <c r="RJ7716" s="106"/>
      <c r="RK7716" s="106"/>
      <c r="RL7716" s="106"/>
    </row>
    <row r="7717" spans="462:480" x14ac:dyDescent="0.3">
      <c r="QT7717" s="106"/>
      <c r="QU7717" s="106"/>
      <c r="QV7717" s="106"/>
      <c r="QW7717" s="106"/>
      <c r="QX7717" s="106"/>
      <c r="QY7717" s="106"/>
      <c r="QZ7717" s="106"/>
      <c r="RA7717" s="106"/>
      <c r="RB7717" s="106"/>
      <c r="RC7717" s="106"/>
      <c r="RD7717" s="106"/>
      <c r="RE7717" s="106"/>
      <c r="RF7717" s="106"/>
      <c r="RG7717" s="106"/>
      <c r="RH7717" s="106"/>
      <c r="RI7717" s="106"/>
      <c r="RJ7717" s="106"/>
      <c r="RK7717" s="106"/>
      <c r="RL7717" s="106"/>
    </row>
    <row r="7718" spans="462:480" x14ac:dyDescent="0.3">
      <c r="QT7718" s="106"/>
      <c r="QU7718" s="106"/>
      <c r="QV7718" s="106"/>
      <c r="QW7718" s="106"/>
      <c r="QX7718" s="106"/>
      <c r="QY7718" s="106"/>
      <c r="QZ7718" s="106"/>
      <c r="RA7718" s="106"/>
      <c r="RB7718" s="106"/>
      <c r="RC7718" s="106"/>
      <c r="RD7718" s="106"/>
      <c r="RE7718" s="106"/>
      <c r="RF7718" s="106"/>
      <c r="RG7718" s="106"/>
      <c r="RH7718" s="106"/>
      <c r="RI7718" s="106"/>
      <c r="RJ7718" s="106"/>
      <c r="RK7718" s="106"/>
      <c r="RL7718" s="106"/>
    </row>
    <row r="7719" spans="462:480" x14ac:dyDescent="0.3">
      <c r="QT7719" s="106"/>
      <c r="QU7719" s="106"/>
      <c r="QV7719" s="106"/>
      <c r="QW7719" s="106"/>
      <c r="QX7719" s="106"/>
      <c r="QY7719" s="106"/>
      <c r="QZ7719" s="106"/>
      <c r="RA7719" s="106"/>
      <c r="RB7719" s="106"/>
      <c r="RC7719" s="106"/>
      <c r="RD7719" s="106"/>
      <c r="RE7719" s="106"/>
      <c r="RF7719" s="106"/>
      <c r="RG7719" s="106"/>
      <c r="RH7719" s="106"/>
      <c r="RI7719" s="106"/>
      <c r="RJ7719" s="106"/>
      <c r="RK7719" s="106"/>
      <c r="RL7719" s="106"/>
    </row>
    <row r="7720" spans="462:480" x14ac:dyDescent="0.3">
      <c r="QT7720" s="106"/>
      <c r="QU7720" s="106"/>
      <c r="QV7720" s="106"/>
      <c r="QW7720" s="106"/>
      <c r="QX7720" s="106"/>
      <c r="QY7720" s="106"/>
      <c r="QZ7720" s="106"/>
      <c r="RA7720" s="106"/>
      <c r="RB7720" s="106"/>
      <c r="RC7720" s="106"/>
      <c r="RD7720" s="106"/>
      <c r="RE7720" s="106"/>
      <c r="RF7720" s="106"/>
      <c r="RG7720" s="106"/>
      <c r="RH7720" s="106"/>
      <c r="RI7720" s="106"/>
      <c r="RJ7720" s="106"/>
      <c r="RK7720" s="106"/>
      <c r="RL7720" s="106"/>
    </row>
    <row r="7721" spans="462:480" x14ac:dyDescent="0.3">
      <c r="QT7721" s="106"/>
      <c r="QU7721" s="106"/>
      <c r="QV7721" s="106"/>
      <c r="QW7721" s="106"/>
      <c r="QX7721" s="106"/>
      <c r="QY7721" s="106"/>
      <c r="QZ7721" s="106"/>
      <c r="RA7721" s="106"/>
      <c r="RB7721" s="106"/>
      <c r="RC7721" s="106"/>
      <c r="RD7721" s="106"/>
      <c r="RE7721" s="106"/>
      <c r="RF7721" s="106"/>
      <c r="RG7721" s="106"/>
      <c r="RH7721" s="106"/>
      <c r="RI7721" s="106"/>
      <c r="RJ7721" s="106"/>
      <c r="RK7721" s="106"/>
      <c r="RL7721" s="106"/>
    </row>
    <row r="7722" spans="462:480" x14ac:dyDescent="0.3">
      <c r="QT7722" s="106"/>
      <c r="QU7722" s="106"/>
      <c r="QV7722" s="106"/>
      <c r="QW7722" s="106"/>
      <c r="QX7722" s="106"/>
      <c r="QY7722" s="106"/>
      <c r="QZ7722" s="106"/>
      <c r="RA7722" s="106"/>
      <c r="RB7722" s="106"/>
      <c r="RC7722" s="106"/>
      <c r="RD7722" s="106"/>
      <c r="RE7722" s="106"/>
      <c r="RF7722" s="106"/>
      <c r="RG7722" s="106"/>
      <c r="RH7722" s="106"/>
      <c r="RI7722" s="106"/>
      <c r="RJ7722" s="106"/>
      <c r="RK7722" s="106"/>
      <c r="RL7722" s="106"/>
    </row>
    <row r="7723" spans="462:480" x14ac:dyDescent="0.3">
      <c r="QT7723" s="106"/>
      <c r="QU7723" s="106"/>
      <c r="QV7723" s="106"/>
      <c r="QW7723" s="106"/>
      <c r="QX7723" s="106"/>
      <c r="QY7723" s="106"/>
      <c r="QZ7723" s="106"/>
      <c r="RA7723" s="106"/>
      <c r="RB7723" s="106"/>
      <c r="RC7723" s="106"/>
      <c r="RD7723" s="106"/>
      <c r="RE7723" s="106"/>
      <c r="RF7723" s="106"/>
      <c r="RG7723" s="106"/>
      <c r="RH7723" s="106"/>
      <c r="RI7723" s="106"/>
      <c r="RJ7723" s="106"/>
      <c r="RK7723" s="106"/>
      <c r="RL7723" s="106"/>
    </row>
    <row r="7724" spans="462:480" x14ac:dyDescent="0.3">
      <c r="QT7724" s="106"/>
      <c r="QU7724" s="106"/>
      <c r="QV7724" s="106"/>
      <c r="QW7724" s="106"/>
      <c r="QX7724" s="106"/>
      <c r="QY7724" s="106"/>
      <c r="QZ7724" s="106"/>
      <c r="RA7724" s="106"/>
      <c r="RB7724" s="106"/>
      <c r="RC7724" s="106"/>
      <c r="RD7724" s="106"/>
      <c r="RE7724" s="106"/>
      <c r="RF7724" s="106"/>
      <c r="RG7724" s="106"/>
      <c r="RH7724" s="106"/>
      <c r="RI7724" s="106"/>
      <c r="RJ7724" s="106"/>
      <c r="RK7724" s="106"/>
      <c r="RL7724" s="106"/>
    </row>
    <row r="7725" spans="462:480" x14ac:dyDescent="0.3">
      <c r="QT7725" s="106"/>
      <c r="QU7725" s="106"/>
      <c r="QV7725" s="106"/>
      <c r="QW7725" s="106"/>
      <c r="QX7725" s="106"/>
      <c r="QY7725" s="106"/>
      <c r="QZ7725" s="106"/>
      <c r="RA7725" s="106"/>
      <c r="RB7725" s="106"/>
      <c r="RC7725" s="106"/>
      <c r="RD7725" s="106"/>
      <c r="RE7725" s="106"/>
      <c r="RF7725" s="106"/>
      <c r="RG7725" s="106"/>
      <c r="RH7725" s="106"/>
      <c r="RI7725" s="106"/>
      <c r="RJ7725" s="106"/>
      <c r="RK7725" s="106"/>
      <c r="RL7725" s="106"/>
    </row>
    <row r="7726" spans="462:480" x14ac:dyDescent="0.3">
      <c r="QT7726" s="106"/>
      <c r="QU7726" s="106"/>
      <c r="QV7726" s="106"/>
      <c r="QW7726" s="106"/>
      <c r="QX7726" s="106"/>
      <c r="QY7726" s="106"/>
      <c r="QZ7726" s="106"/>
      <c r="RA7726" s="106"/>
      <c r="RB7726" s="106"/>
      <c r="RC7726" s="106"/>
      <c r="RD7726" s="106"/>
      <c r="RE7726" s="106"/>
      <c r="RF7726" s="106"/>
      <c r="RG7726" s="106"/>
      <c r="RH7726" s="106"/>
      <c r="RI7726" s="106"/>
      <c r="RJ7726" s="106"/>
      <c r="RK7726" s="106"/>
      <c r="RL7726" s="106"/>
    </row>
    <row r="7727" spans="462:480" x14ac:dyDescent="0.3">
      <c r="QT7727" s="106"/>
      <c r="QU7727" s="106"/>
      <c r="QV7727" s="106"/>
      <c r="QW7727" s="106"/>
      <c r="QX7727" s="106"/>
      <c r="QY7727" s="106"/>
      <c r="QZ7727" s="106"/>
      <c r="RA7727" s="106"/>
      <c r="RB7727" s="106"/>
      <c r="RC7727" s="106"/>
      <c r="RD7727" s="106"/>
      <c r="RE7727" s="106"/>
      <c r="RF7727" s="106"/>
      <c r="RG7727" s="106"/>
      <c r="RH7727" s="106"/>
      <c r="RI7727" s="106"/>
      <c r="RJ7727" s="106"/>
      <c r="RK7727" s="106"/>
      <c r="RL7727" s="106"/>
    </row>
    <row r="7728" spans="462:480" x14ac:dyDescent="0.3">
      <c r="QT7728" s="106"/>
      <c r="QU7728" s="106"/>
      <c r="QV7728" s="106"/>
      <c r="QW7728" s="106"/>
      <c r="QX7728" s="106"/>
      <c r="QY7728" s="106"/>
      <c r="QZ7728" s="106"/>
      <c r="RA7728" s="106"/>
      <c r="RB7728" s="106"/>
      <c r="RC7728" s="106"/>
      <c r="RD7728" s="106"/>
      <c r="RE7728" s="106"/>
      <c r="RF7728" s="106"/>
      <c r="RG7728" s="106"/>
      <c r="RH7728" s="106"/>
      <c r="RI7728" s="106"/>
      <c r="RJ7728" s="106"/>
      <c r="RK7728" s="106"/>
      <c r="RL7728" s="106"/>
    </row>
    <row r="7729" spans="462:480" x14ac:dyDescent="0.3">
      <c r="QT7729" s="106"/>
      <c r="QU7729" s="106"/>
      <c r="QV7729" s="106"/>
      <c r="QW7729" s="106"/>
      <c r="QX7729" s="106"/>
      <c r="QY7729" s="106"/>
      <c r="QZ7729" s="106"/>
      <c r="RA7729" s="106"/>
      <c r="RB7729" s="106"/>
      <c r="RC7729" s="106"/>
      <c r="RD7729" s="106"/>
      <c r="RE7729" s="106"/>
      <c r="RF7729" s="106"/>
      <c r="RG7729" s="106"/>
      <c r="RH7729" s="106"/>
      <c r="RI7729" s="106"/>
      <c r="RJ7729" s="106"/>
      <c r="RK7729" s="106"/>
      <c r="RL7729" s="106"/>
    </row>
    <row r="7730" spans="462:480" x14ac:dyDescent="0.3">
      <c r="QT7730" s="106"/>
      <c r="QU7730" s="106"/>
      <c r="QV7730" s="106"/>
      <c r="QW7730" s="106"/>
      <c r="QX7730" s="106"/>
      <c r="QY7730" s="106"/>
      <c r="QZ7730" s="106"/>
      <c r="RA7730" s="106"/>
      <c r="RB7730" s="106"/>
      <c r="RC7730" s="106"/>
      <c r="RD7730" s="106"/>
      <c r="RE7730" s="106"/>
      <c r="RF7730" s="106"/>
      <c r="RG7730" s="106"/>
      <c r="RH7730" s="106"/>
      <c r="RI7730" s="106"/>
      <c r="RJ7730" s="106"/>
      <c r="RK7730" s="106"/>
      <c r="RL7730" s="106"/>
    </row>
    <row r="7731" spans="462:480" x14ac:dyDescent="0.3">
      <c r="QT7731" s="106"/>
      <c r="QU7731" s="106"/>
      <c r="QV7731" s="106"/>
      <c r="QW7731" s="106"/>
      <c r="QX7731" s="106"/>
      <c r="QY7731" s="106"/>
      <c r="QZ7731" s="106"/>
      <c r="RA7731" s="106"/>
      <c r="RB7731" s="106"/>
      <c r="RC7731" s="106"/>
      <c r="RD7731" s="106"/>
      <c r="RE7731" s="106"/>
      <c r="RF7731" s="106"/>
      <c r="RG7731" s="106"/>
      <c r="RH7731" s="106"/>
      <c r="RI7731" s="106"/>
      <c r="RJ7731" s="106"/>
      <c r="RK7731" s="106"/>
      <c r="RL7731" s="106"/>
    </row>
    <row r="7732" spans="462:480" x14ac:dyDescent="0.3">
      <c r="QT7732" s="106"/>
      <c r="QU7732" s="106"/>
      <c r="QV7732" s="106"/>
      <c r="QW7732" s="106"/>
      <c r="QX7732" s="106"/>
      <c r="QY7732" s="106"/>
      <c r="QZ7732" s="106"/>
      <c r="RA7732" s="106"/>
      <c r="RB7732" s="106"/>
      <c r="RC7732" s="106"/>
      <c r="RD7732" s="106"/>
      <c r="RE7732" s="106"/>
      <c r="RF7732" s="106"/>
      <c r="RG7732" s="106"/>
      <c r="RH7732" s="106"/>
      <c r="RI7732" s="106"/>
      <c r="RJ7732" s="106"/>
      <c r="RK7732" s="106"/>
      <c r="RL7732" s="106"/>
    </row>
    <row r="7733" spans="462:480" x14ac:dyDescent="0.3">
      <c r="QT7733" s="106"/>
      <c r="QU7733" s="106"/>
      <c r="QV7733" s="106"/>
      <c r="QW7733" s="106"/>
      <c r="QX7733" s="106"/>
      <c r="QY7733" s="106"/>
      <c r="QZ7733" s="106"/>
      <c r="RA7733" s="106"/>
      <c r="RB7733" s="106"/>
      <c r="RC7733" s="106"/>
      <c r="RD7733" s="106"/>
      <c r="RE7733" s="106"/>
      <c r="RF7733" s="106"/>
      <c r="RG7733" s="106"/>
      <c r="RH7733" s="106"/>
      <c r="RI7733" s="106"/>
      <c r="RJ7733" s="106"/>
      <c r="RK7733" s="106"/>
      <c r="RL7733" s="106"/>
    </row>
    <row r="7734" spans="462:480" x14ac:dyDescent="0.3">
      <c r="QT7734" s="106"/>
      <c r="QU7734" s="106"/>
      <c r="QV7734" s="106"/>
      <c r="QW7734" s="106"/>
      <c r="QX7734" s="106"/>
      <c r="QY7734" s="106"/>
      <c r="QZ7734" s="106"/>
      <c r="RA7734" s="106"/>
      <c r="RB7734" s="106"/>
      <c r="RC7734" s="106"/>
      <c r="RD7734" s="106"/>
      <c r="RE7734" s="106"/>
      <c r="RF7734" s="106"/>
      <c r="RG7734" s="106"/>
      <c r="RH7734" s="106"/>
      <c r="RI7734" s="106"/>
      <c r="RJ7734" s="106"/>
      <c r="RK7734" s="106"/>
      <c r="RL7734" s="106"/>
    </row>
    <row r="7735" spans="462:480" x14ac:dyDescent="0.3">
      <c r="QT7735" s="106"/>
      <c r="QU7735" s="106"/>
      <c r="QV7735" s="106"/>
      <c r="QW7735" s="106"/>
      <c r="QX7735" s="106"/>
      <c r="QY7735" s="106"/>
      <c r="QZ7735" s="106"/>
      <c r="RA7735" s="106"/>
      <c r="RB7735" s="106"/>
      <c r="RC7735" s="106"/>
      <c r="RD7735" s="106"/>
      <c r="RE7735" s="106"/>
      <c r="RF7735" s="106"/>
      <c r="RG7735" s="106"/>
      <c r="RH7735" s="106"/>
      <c r="RI7735" s="106"/>
      <c r="RJ7735" s="106"/>
      <c r="RK7735" s="106"/>
      <c r="RL7735" s="106"/>
    </row>
    <row r="7736" spans="462:480" x14ac:dyDescent="0.3">
      <c r="QT7736" s="106"/>
      <c r="QU7736" s="106"/>
      <c r="QV7736" s="106"/>
      <c r="QW7736" s="106"/>
      <c r="QX7736" s="106"/>
      <c r="QY7736" s="106"/>
      <c r="QZ7736" s="106"/>
      <c r="RA7736" s="106"/>
      <c r="RB7736" s="106"/>
      <c r="RC7736" s="106"/>
      <c r="RD7736" s="106"/>
      <c r="RE7736" s="106"/>
      <c r="RF7736" s="106"/>
      <c r="RG7736" s="106"/>
      <c r="RH7736" s="106"/>
      <c r="RI7736" s="106"/>
      <c r="RJ7736" s="106"/>
      <c r="RK7736" s="106"/>
      <c r="RL7736" s="106"/>
    </row>
    <row r="7737" spans="462:480" x14ac:dyDescent="0.3">
      <c r="QT7737" s="106"/>
      <c r="QU7737" s="106"/>
      <c r="QV7737" s="106"/>
      <c r="QW7737" s="106"/>
      <c r="QX7737" s="106"/>
      <c r="QY7737" s="106"/>
      <c r="QZ7737" s="106"/>
      <c r="RA7737" s="106"/>
      <c r="RB7737" s="106"/>
      <c r="RC7737" s="106"/>
      <c r="RD7737" s="106"/>
      <c r="RE7737" s="106"/>
      <c r="RF7737" s="106"/>
      <c r="RG7737" s="106"/>
      <c r="RH7737" s="106"/>
      <c r="RI7737" s="106"/>
      <c r="RJ7737" s="106"/>
      <c r="RK7737" s="106"/>
      <c r="RL7737" s="106"/>
    </row>
    <row r="7738" spans="462:480" x14ac:dyDescent="0.3">
      <c r="QT7738" s="106"/>
      <c r="QU7738" s="106"/>
      <c r="QV7738" s="106"/>
      <c r="QW7738" s="106"/>
      <c r="QX7738" s="106"/>
      <c r="QY7738" s="106"/>
      <c r="QZ7738" s="106"/>
      <c r="RA7738" s="106"/>
      <c r="RB7738" s="106"/>
      <c r="RC7738" s="106"/>
      <c r="RD7738" s="106"/>
      <c r="RE7738" s="106"/>
      <c r="RF7738" s="106"/>
      <c r="RG7738" s="106"/>
      <c r="RH7738" s="106"/>
      <c r="RI7738" s="106"/>
      <c r="RJ7738" s="106"/>
      <c r="RK7738" s="106"/>
      <c r="RL7738" s="106"/>
    </row>
    <row r="7739" spans="462:480" x14ac:dyDescent="0.3">
      <c r="QT7739" s="106"/>
      <c r="QU7739" s="106"/>
      <c r="QV7739" s="106"/>
      <c r="QW7739" s="106"/>
      <c r="QX7739" s="106"/>
      <c r="QY7739" s="106"/>
      <c r="QZ7739" s="106"/>
      <c r="RA7739" s="106"/>
      <c r="RB7739" s="106"/>
      <c r="RC7739" s="106"/>
      <c r="RD7739" s="106"/>
      <c r="RE7739" s="106"/>
      <c r="RF7739" s="106"/>
      <c r="RG7739" s="106"/>
      <c r="RH7739" s="106"/>
      <c r="RI7739" s="106"/>
      <c r="RJ7739" s="106"/>
      <c r="RK7739" s="106"/>
      <c r="RL7739" s="106"/>
    </row>
    <row r="7740" spans="462:480" x14ac:dyDescent="0.3">
      <c r="QT7740" s="106"/>
      <c r="QU7740" s="106"/>
      <c r="QV7740" s="106"/>
      <c r="QW7740" s="106"/>
      <c r="QX7740" s="106"/>
      <c r="QY7740" s="106"/>
      <c r="QZ7740" s="106"/>
      <c r="RA7740" s="106"/>
      <c r="RB7740" s="106"/>
      <c r="RC7740" s="106"/>
      <c r="RD7740" s="106"/>
      <c r="RE7740" s="106"/>
      <c r="RF7740" s="106"/>
      <c r="RG7740" s="106"/>
      <c r="RH7740" s="106"/>
      <c r="RI7740" s="106"/>
      <c r="RJ7740" s="106"/>
      <c r="RK7740" s="106"/>
      <c r="RL7740" s="106"/>
    </row>
    <row r="7741" spans="462:480" x14ac:dyDescent="0.3">
      <c r="QT7741" s="106"/>
      <c r="QU7741" s="106"/>
      <c r="QV7741" s="106"/>
      <c r="QW7741" s="106"/>
      <c r="QX7741" s="106"/>
      <c r="QY7741" s="106"/>
      <c r="QZ7741" s="106"/>
      <c r="RA7741" s="106"/>
      <c r="RB7741" s="106"/>
      <c r="RC7741" s="106"/>
      <c r="RD7741" s="106"/>
      <c r="RE7741" s="106"/>
      <c r="RF7741" s="106"/>
      <c r="RG7741" s="106"/>
      <c r="RH7741" s="106"/>
      <c r="RI7741" s="106"/>
      <c r="RJ7741" s="106"/>
      <c r="RK7741" s="106"/>
      <c r="RL7741" s="106"/>
    </row>
    <row r="7742" spans="462:480" x14ac:dyDescent="0.3">
      <c r="QT7742" s="106"/>
      <c r="QU7742" s="106"/>
      <c r="QV7742" s="106"/>
      <c r="QW7742" s="106"/>
      <c r="QX7742" s="106"/>
      <c r="QY7742" s="106"/>
      <c r="QZ7742" s="106"/>
      <c r="RA7742" s="106"/>
      <c r="RB7742" s="106"/>
      <c r="RC7742" s="106"/>
      <c r="RD7742" s="106"/>
      <c r="RE7742" s="106"/>
      <c r="RF7742" s="106"/>
      <c r="RG7742" s="106"/>
      <c r="RH7742" s="106"/>
      <c r="RI7742" s="106"/>
      <c r="RJ7742" s="106"/>
      <c r="RK7742" s="106"/>
      <c r="RL7742" s="106"/>
    </row>
    <row r="7743" spans="462:480" x14ac:dyDescent="0.3">
      <c r="QT7743" s="106"/>
      <c r="QU7743" s="106"/>
      <c r="QV7743" s="106"/>
      <c r="QW7743" s="106"/>
      <c r="QX7743" s="106"/>
      <c r="QY7743" s="106"/>
      <c r="QZ7743" s="106"/>
      <c r="RA7743" s="106"/>
      <c r="RB7743" s="106"/>
      <c r="RC7743" s="106"/>
      <c r="RD7743" s="106"/>
      <c r="RE7743" s="106"/>
      <c r="RF7743" s="106"/>
      <c r="RG7743" s="106"/>
      <c r="RH7743" s="106"/>
      <c r="RI7743" s="106"/>
      <c r="RJ7743" s="106"/>
      <c r="RK7743" s="106"/>
      <c r="RL7743" s="106"/>
    </row>
    <row r="7744" spans="462:480" x14ac:dyDescent="0.3">
      <c r="QT7744" s="106"/>
      <c r="QU7744" s="106"/>
      <c r="QV7744" s="106"/>
      <c r="QW7744" s="106"/>
      <c r="QX7744" s="106"/>
      <c r="QY7744" s="106"/>
      <c r="QZ7744" s="106"/>
      <c r="RA7744" s="106"/>
      <c r="RB7744" s="106"/>
      <c r="RC7744" s="106"/>
      <c r="RD7744" s="106"/>
      <c r="RE7744" s="106"/>
      <c r="RF7744" s="106"/>
      <c r="RG7744" s="106"/>
      <c r="RH7744" s="106"/>
      <c r="RI7744" s="106"/>
      <c r="RJ7744" s="106"/>
      <c r="RK7744" s="106"/>
      <c r="RL7744" s="106"/>
    </row>
    <row r="7745" spans="462:480" x14ac:dyDescent="0.3">
      <c r="QT7745" s="106"/>
      <c r="QU7745" s="106"/>
      <c r="QV7745" s="106"/>
      <c r="QW7745" s="106"/>
      <c r="QX7745" s="106"/>
      <c r="QY7745" s="106"/>
      <c r="QZ7745" s="106"/>
      <c r="RA7745" s="106"/>
      <c r="RB7745" s="106"/>
      <c r="RC7745" s="106"/>
      <c r="RD7745" s="106"/>
      <c r="RE7745" s="106"/>
      <c r="RF7745" s="106"/>
      <c r="RG7745" s="106"/>
      <c r="RH7745" s="106"/>
      <c r="RI7745" s="106"/>
      <c r="RJ7745" s="106"/>
      <c r="RK7745" s="106"/>
      <c r="RL7745" s="106"/>
    </row>
    <row r="7746" spans="462:480" x14ac:dyDescent="0.3">
      <c r="QT7746" s="106"/>
      <c r="QU7746" s="106"/>
      <c r="QV7746" s="106"/>
      <c r="QW7746" s="106"/>
      <c r="QX7746" s="106"/>
      <c r="QY7746" s="106"/>
      <c r="QZ7746" s="106"/>
      <c r="RA7746" s="106"/>
      <c r="RB7746" s="106"/>
      <c r="RC7746" s="106"/>
      <c r="RD7746" s="106"/>
      <c r="RE7746" s="106"/>
      <c r="RF7746" s="106"/>
      <c r="RG7746" s="106"/>
      <c r="RH7746" s="106"/>
      <c r="RI7746" s="106"/>
      <c r="RJ7746" s="106"/>
      <c r="RK7746" s="106"/>
      <c r="RL7746" s="106"/>
    </row>
    <row r="7747" spans="462:480" x14ac:dyDescent="0.3">
      <c r="QT7747" s="106"/>
      <c r="QU7747" s="106"/>
      <c r="QV7747" s="106"/>
      <c r="QW7747" s="106"/>
      <c r="QX7747" s="106"/>
      <c r="QY7747" s="106"/>
      <c r="QZ7747" s="106"/>
      <c r="RA7747" s="106"/>
      <c r="RB7747" s="106"/>
      <c r="RC7747" s="106"/>
      <c r="RD7747" s="106"/>
      <c r="RE7747" s="106"/>
      <c r="RF7747" s="106"/>
      <c r="RG7747" s="106"/>
      <c r="RH7747" s="106"/>
      <c r="RI7747" s="106"/>
      <c r="RJ7747" s="106"/>
      <c r="RK7747" s="106"/>
      <c r="RL7747" s="106"/>
    </row>
    <row r="7748" spans="462:480" x14ac:dyDescent="0.3">
      <c r="QT7748" s="106"/>
      <c r="QU7748" s="106"/>
      <c r="QV7748" s="106"/>
      <c r="QW7748" s="106"/>
      <c r="QX7748" s="106"/>
      <c r="QY7748" s="106"/>
      <c r="QZ7748" s="106"/>
      <c r="RA7748" s="106"/>
      <c r="RB7748" s="106"/>
      <c r="RC7748" s="106"/>
      <c r="RD7748" s="106"/>
      <c r="RE7748" s="106"/>
      <c r="RF7748" s="106"/>
      <c r="RG7748" s="106"/>
      <c r="RH7748" s="106"/>
      <c r="RI7748" s="106"/>
      <c r="RJ7748" s="106"/>
      <c r="RK7748" s="106"/>
      <c r="RL7748" s="106"/>
    </row>
    <row r="7749" spans="462:480" x14ac:dyDescent="0.3">
      <c r="QT7749" s="106"/>
      <c r="QU7749" s="106"/>
      <c r="QV7749" s="106"/>
      <c r="QW7749" s="106"/>
      <c r="QX7749" s="106"/>
      <c r="QY7749" s="106"/>
      <c r="QZ7749" s="106"/>
      <c r="RA7749" s="106"/>
      <c r="RB7749" s="106"/>
      <c r="RC7749" s="106"/>
      <c r="RD7749" s="106"/>
      <c r="RE7749" s="106"/>
      <c r="RF7749" s="106"/>
      <c r="RG7749" s="106"/>
      <c r="RH7749" s="106"/>
      <c r="RI7749" s="106"/>
      <c r="RJ7749" s="106"/>
      <c r="RK7749" s="106"/>
      <c r="RL7749" s="106"/>
    </row>
    <row r="7750" spans="462:480" x14ac:dyDescent="0.3">
      <c r="QT7750" s="106"/>
      <c r="QU7750" s="106"/>
      <c r="QV7750" s="106"/>
      <c r="QW7750" s="106"/>
      <c r="QX7750" s="106"/>
      <c r="QY7750" s="106"/>
      <c r="QZ7750" s="106"/>
      <c r="RA7750" s="106"/>
      <c r="RB7750" s="106"/>
      <c r="RC7750" s="106"/>
      <c r="RD7750" s="106"/>
      <c r="RE7750" s="106"/>
      <c r="RF7750" s="106"/>
      <c r="RG7750" s="106"/>
      <c r="RH7750" s="106"/>
      <c r="RI7750" s="106"/>
      <c r="RJ7750" s="106"/>
      <c r="RK7750" s="106"/>
      <c r="RL7750" s="106"/>
    </row>
    <row r="7751" spans="462:480" x14ac:dyDescent="0.3">
      <c r="QT7751" s="106"/>
      <c r="QU7751" s="106"/>
      <c r="QV7751" s="106"/>
      <c r="QW7751" s="106"/>
      <c r="QX7751" s="106"/>
      <c r="QY7751" s="106"/>
      <c r="QZ7751" s="106"/>
      <c r="RA7751" s="106"/>
      <c r="RB7751" s="106"/>
      <c r="RC7751" s="106"/>
      <c r="RD7751" s="106"/>
      <c r="RE7751" s="106"/>
      <c r="RF7751" s="106"/>
      <c r="RG7751" s="106"/>
      <c r="RH7751" s="106"/>
      <c r="RI7751" s="106"/>
      <c r="RJ7751" s="106"/>
      <c r="RK7751" s="106"/>
      <c r="RL7751" s="106"/>
    </row>
    <row r="7752" spans="462:480" x14ac:dyDescent="0.3">
      <c r="QT7752" s="106"/>
      <c r="QU7752" s="106"/>
      <c r="QV7752" s="106"/>
      <c r="QW7752" s="106"/>
      <c r="QX7752" s="106"/>
      <c r="QY7752" s="106"/>
      <c r="QZ7752" s="106"/>
      <c r="RA7752" s="106"/>
      <c r="RB7752" s="106"/>
      <c r="RC7752" s="106"/>
      <c r="RD7752" s="106"/>
      <c r="RE7752" s="106"/>
      <c r="RF7752" s="106"/>
      <c r="RG7752" s="106"/>
      <c r="RH7752" s="106"/>
      <c r="RI7752" s="106"/>
      <c r="RJ7752" s="106"/>
      <c r="RK7752" s="106"/>
      <c r="RL7752" s="106"/>
    </row>
    <row r="7753" spans="462:480" x14ac:dyDescent="0.3">
      <c r="QT7753" s="106"/>
      <c r="QU7753" s="106"/>
      <c r="QV7753" s="106"/>
      <c r="QW7753" s="106"/>
      <c r="QX7753" s="106"/>
      <c r="QY7753" s="106"/>
      <c r="QZ7753" s="106"/>
      <c r="RA7753" s="106"/>
      <c r="RB7753" s="106"/>
      <c r="RC7753" s="106"/>
      <c r="RD7753" s="106"/>
      <c r="RE7753" s="106"/>
      <c r="RF7753" s="106"/>
      <c r="RG7753" s="106"/>
      <c r="RH7753" s="106"/>
      <c r="RI7753" s="106"/>
      <c r="RJ7753" s="106"/>
      <c r="RK7753" s="106"/>
      <c r="RL7753" s="106"/>
    </row>
    <row r="7754" spans="462:480" x14ac:dyDescent="0.3">
      <c r="QT7754" s="106"/>
      <c r="QU7754" s="106"/>
      <c r="QV7754" s="106"/>
      <c r="QW7754" s="106"/>
      <c r="QX7754" s="106"/>
      <c r="QY7754" s="106"/>
      <c r="QZ7754" s="106"/>
      <c r="RA7754" s="106"/>
      <c r="RB7754" s="106"/>
      <c r="RC7754" s="106"/>
      <c r="RD7754" s="106"/>
      <c r="RE7754" s="106"/>
      <c r="RF7754" s="106"/>
      <c r="RG7754" s="106"/>
      <c r="RH7754" s="106"/>
      <c r="RI7754" s="106"/>
      <c r="RJ7754" s="106"/>
      <c r="RK7754" s="106"/>
      <c r="RL7754" s="106"/>
    </row>
    <row r="7755" spans="462:480" x14ac:dyDescent="0.3">
      <c r="QT7755" s="106"/>
      <c r="QU7755" s="106"/>
      <c r="QV7755" s="106"/>
      <c r="QW7755" s="106"/>
      <c r="QX7755" s="106"/>
      <c r="QY7755" s="106"/>
      <c r="QZ7755" s="106"/>
      <c r="RA7755" s="106"/>
      <c r="RB7755" s="106"/>
      <c r="RC7755" s="106"/>
      <c r="RD7755" s="106"/>
      <c r="RE7755" s="106"/>
      <c r="RF7755" s="106"/>
      <c r="RG7755" s="106"/>
      <c r="RH7755" s="106"/>
      <c r="RI7755" s="106"/>
      <c r="RJ7755" s="106"/>
      <c r="RK7755" s="106"/>
      <c r="RL7755" s="106"/>
    </row>
    <row r="7756" spans="462:480" x14ac:dyDescent="0.3">
      <c r="QT7756" s="106"/>
      <c r="QU7756" s="106"/>
      <c r="QV7756" s="106"/>
      <c r="QW7756" s="106"/>
      <c r="QX7756" s="106"/>
      <c r="QY7756" s="106"/>
      <c r="QZ7756" s="106"/>
      <c r="RA7756" s="106"/>
      <c r="RB7756" s="106"/>
      <c r="RC7756" s="106"/>
      <c r="RD7756" s="106"/>
      <c r="RE7756" s="106"/>
      <c r="RF7756" s="106"/>
      <c r="RG7756" s="106"/>
      <c r="RH7756" s="106"/>
      <c r="RI7756" s="106"/>
      <c r="RJ7756" s="106"/>
      <c r="RK7756" s="106"/>
      <c r="RL7756" s="106"/>
    </row>
    <row r="7757" spans="462:480" x14ac:dyDescent="0.3">
      <c r="QT7757" s="106"/>
      <c r="QU7757" s="106"/>
      <c r="QV7757" s="106"/>
      <c r="QW7757" s="106"/>
      <c r="QX7757" s="106"/>
      <c r="QY7757" s="106"/>
      <c r="QZ7757" s="106"/>
      <c r="RA7757" s="106"/>
      <c r="RB7757" s="106"/>
      <c r="RC7757" s="106"/>
      <c r="RD7757" s="106"/>
      <c r="RE7757" s="106"/>
      <c r="RF7757" s="106"/>
      <c r="RG7757" s="106"/>
      <c r="RH7757" s="106"/>
      <c r="RI7757" s="106"/>
      <c r="RJ7757" s="106"/>
      <c r="RK7757" s="106"/>
      <c r="RL7757" s="106"/>
    </row>
    <row r="7758" spans="462:480" x14ac:dyDescent="0.3">
      <c r="QT7758" s="106"/>
      <c r="QU7758" s="106"/>
      <c r="QV7758" s="106"/>
      <c r="QW7758" s="106"/>
      <c r="QX7758" s="106"/>
      <c r="QY7758" s="106"/>
      <c r="QZ7758" s="106"/>
      <c r="RA7758" s="106"/>
      <c r="RB7758" s="106"/>
      <c r="RC7758" s="106"/>
      <c r="RD7758" s="106"/>
      <c r="RE7758" s="106"/>
      <c r="RF7758" s="106"/>
      <c r="RG7758" s="106"/>
      <c r="RH7758" s="106"/>
      <c r="RI7758" s="106"/>
      <c r="RJ7758" s="106"/>
      <c r="RK7758" s="106"/>
      <c r="RL7758" s="106"/>
    </row>
    <row r="7759" spans="462:480" x14ac:dyDescent="0.3">
      <c r="QT7759" s="106"/>
      <c r="QU7759" s="106"/>
      <c r="QV7759" s="106"/>
      <c r="QW7759" s="106"/>
      <c r="QX7759" s="106"/>
      <c r="QY7759" s="106"/>
      <c r="QZ7759" s="106"/>
      <c r="RA7759" s="106"/>
      <c r="RB7759" s="106"/>
      <c r="RC7759" s="106"/>
      <c r="RD7759" s="106"/>
      <c r="RE7759" s="106"/>
      <c r="RF7759" s="106"/>
      <c r="RG7759" s="106"/>
      <c r="RH7759" s="106"/>
      <c r="RI7759" s="106"/>
      <c r="RJ7759" s="106"/>
      <c r="RK7759" s="106"/>
      <c r="RL7759" s="106"/>
    </row>
    <row r="7760" spans="462:480" x14ac:dyDescent="0.3">
      <c r="QT7760" s="106"/>
      <c r="QU7760" s="106"/>
      <c r="QV7760" s="106"/>
      <c r="QW7760" s="106"/>
      <c r="QX7760" s="106"/>
      <c r="QY7760" s="106"/>
      <c r="QZ7760" s="106"/>
      <c r="RA7760" s="106"/>
      <c r="RB7760" s="106"/>
      <c r="RC7760" s="106"/>
      <c r="RD7760" s="106"/>
      <c r="RE7760" s="106"/>
      <c r="RF7760" s="106"/>
      <c r="RG7760" s="106"/>
      <c r="RH7760" s="106"/>
      <c r="RI7760" s="106"/>
      <c r="RJ7760" s="106"/>
      <c r="RK7760" s="106"/>
      <c r="RL7760" s="106"/>
    </row>
    <row r="7761" spans="462:480" x14ac:dyDescent="0.3">
      <c r="QT7761" s="106"/>
      <c r="QU7761" s="106"/>
      <c r="QV7761" s="106"/>
      <c r="QW7761" s="106"/>
      <c r="QX7761" s="106"/>
      <c r="QY7761" s="106"/>
      <c r="QZ7761" s="106"/>
      <c r="RA7761" s="106"/>
      <c r="RB7761" s="106"/>
      <c r="RC7761" s="106"/>
      <c r="RD7761" s="106"/>
      <c r="RE7761" s="106"/>
      <c r="RF7761" s="106"/>
      <c r="RG7761" s="106"/>
      <c r="RH7761" s="106"/>
      <c r="RI7761" s="106"/>
      <c r="RJ7761" s="106"/>
      <c r="RK7761" s="106"/>
      <c r="RL7761" s="106"/>
    </row>
    <row r="7762" spans="462:480" x14ac:dyDescent="0.3">
      <c r="QT7762" s="106"/>
      <c r="QU7762" s="106"/>
      <c r="QV7762" s="106"/>
      <c r="QW7762" s="106"/>
      <c r="QX7762" s="106"/>
      <c r="QY7762" s="106"/>
      <c r="QZ7762" s="106"/>
      <c r="RA7762" s="106"/>
      <c r="RB7762" s="106"/>
      <c r="RC7762" s="106"/>
      <c r="RD7762" s="106"/>
      <c r="RE7762" s="106"/>
      <c r="RF7762" s="106"/>
      <c r="RG7762" s="106"/>
      <c r="RH7762" s="106"/>
      <c r="RI7762" s="106"/>
      <c r="RJ7762" s="106"/>
      <c r="RK7762" s="106"/>
      <c r="RL7762" s="106"/>
    </row>
    <row r="7763" spans="462:480" x14ac:dyDescent="0.3">
      <c r="QT7763" s="106"/>
      <c r="QU7763" s="106"/>
      <c r="QV7763" s="106"/>
      <c r="QW7763" s="106"/>
      <c r="QX7763" s="106"/>
      <c r="QY7763" s="106"/>
      <c r="QZ7763" s="106"/>
      <c r="RA7763" s="106"/>
      <c r="RB7763" s="106"/>
      <c r="RC7763" s="106"/>
      <c r="RD7763" s="106"/>
      <c r="RE7763" s="106"/>
      <c r="RF7763" s="106"/>
      <c r="RG7763" s="106"/>
      <c r="RH7763" s="106"/>
      <c r="RI7763" s="106"/>
      <c r="RJ7763" s="106"/>
      <c r="RK7763" s="106"/>
      <c r="RL7763" s="106"/>
    </row>
    <row r="7764" spans="462:480" x14ac:dyDescent="0.3">
      <c r="QT7764" s="106"/>
      <c r="QU7764" s="106"/>
      <c r="QV7764" s="106"/>
      <c r="QW7764" s="106"/>
      <c r="QX7764" s="106"/>
      <c r="QY7764" s="106"/>
      <c r="QZ7764" s="106"/>
      <c r="RA7764" s="106"/>
      <c r="RB7764" s="106"/>
      <c r="RC7764" s="106"/>
      <c r="RD7764" s="106"/>
      <c r="RE7764" s="106"/>
      <c r="RF7764" s="106"/>
      <c r="RG7764" s="106"/>
      <c r="RH7764" s="106"/>
      <c r="RI7764" s="106"/>
      <c r="RJ7764" s="106"/>
      <c r="RK7764" s="106"/>
      <c r="RL7764" s="106"/>
    </row>
    <row r="7765" spans="462:480" x14ac:dyDescent="0.3">
      <c r="QT7765" s="106"/>
      <c r="QU7765" s="106"/>
      <c r="QV7765" s="106"/>
      <c r="QW7765" s="106"/>
      <c r="QX7765" s="106"/>
      <c r="QY7765" s="106"/>
      <c r="QZ7765" s="106"/>
      <c r="RA7765" s="106"/>
      <c r="RB7765" s="106"/>
      <c r="RC7765" s="106"/>
      <c r="RD7765" s="106"/>
      <c r="RE7765" s="106"/>
      <c r="RF7765" s="106"/>
      <c r="RG7765" s="106"/>
      <c r="RH7765" s="106"/>
      <c r="RI7765" s="106"/>
      <c r="RJ7765" s="106"/>
      <c r="RK7765" s="106"/>
      <c r="RL7765" s="106"/>
    </row>
    <row r="7766" spans="462:480" x14ac:dyDescent="0.3">
      <c r="QT7766" s="106"/>
      <c r="QU7766" s="106"/>
      <c r="QV7766" s="106"/>
      <c r="QW7766" s="106"/>
      <c r="QX7766" s="106"/>
      <c r="QY7766" s="106"/>
      <c r="QZ7766" s="106"/>
      <c r="RA7766" s="106"/>
      <c r="RB7766" s="106"/>
      <c r="RC7766" s="106"/>
      <c r="RD7766" s="106"/>
      <c r="RE7766" s="106"/>
      <c r="RF7766" s="106"/>
      <c r="RG7766" s="106"/>
      <c r="RH7766" s="106"/>
      <c r="RI7766" s="106"/>
      <c r="RJ7766" s="106"/>
      <c r="RK7766" s="106"/>
      <c r="RL7766" s="106"/>
    </row>
    <row r="7767" spans="462:480" x14ac:dyDescent="0.3">
      <c r="QT7767" s="106"/>
      <c r="QU7767" s="106"/>
      <c r="QV7767" s="106"/>
      <c r="QW7767" s="106"/>
      <c r="QX7767" s="106"/>
      <c r="QY7767" s="106"/>
      <c r="QZ7767" s="106"/>
      <c r="RA7767" s="106"/>
      <c r="RB7767" s="106"/>
      <c r="RC7767" s="106"/>
      <c r="RD7767" s="106"/>
      <c r="RE7767" s="106"/>
      <c r="RF7767" s="106"/>
      <c r="RG7767" s="106"/>
      <c r="RH7767" s="106"/>
      <c r="RI7767" s="106"/>
      <c r="RJ7767" s="106"/>
      <c r="RK7767" s="106"/>
      <c r="RL7767" s="106"/>
    </row>
    <row r="7768" spans="462:480" x14ac:dyDescent="0.3">
      <c r="QT7768" s="106"/>
      <c r="QU7768" s="106"/>
      <c r="QV7768" s="106"/>
      <c r="QW7768" s="106"/>
      <c r="QX7768" s="106"/>
      <c r="QY7768" s="106"/>
      <c r="QZ7768" s="106"/>
      <c r="RA7768" s="106"/>
      <c r="RB7768" s="106"/>
      <c r="RC7768" s="106"/>
      <c r="RD7768" s="106"/>
      <c r="RE7768" s="106"/>
      <c r="RF7768" s="106"/>
      <c r="RG7768" s="106"/>
      <c r="RH7768" s="106"/>
      <c r="RI7768" s="106"/>
      <c r="RJ7768" s="106"/>
      <c r="RK7768" s="106"/>
      <c r="RL7768" s="106"/>
    </row>
    <row r="7769" spans="462:480" x14ac:dyDescent="0.3">
      <c r="QT7769" s="106"/>
      <c r="QU7769" s="106"/>
      <c r="QV7769" s="106"/>
      <c r="QW7769" s="106"/>
      <c r="QX7769" s="106"/>
      <c r="QY7769" s="106"/>
      <c r="QZ7769" s="106"/>
      <c r="RA7769" s="106"/>
      <c r="RB7769" s="106"/>
      <c r="RC7769" s="106"/>
      <c r="RD7769" s="106"/>
      <c r="RE7769" s="106"/>
      <c r="RF7769" s="106"/>
      <c r="RG7769" s="106"/>
      <c r="RH7769" s="106"/>
      <c r="RI7769" s="106"/>
      <c r="RJ7769" s="106"/>
      <c r="RK7769" s="106"/>
      <c r="RL7769" s="106"/>
    </row>
    <row r="7770" spans="462:480" x14ac:dyDescent="0.3">
      <c r="QT7770" s="106"/>
      <c r="QU7770" s="106"/>
      <c r="QV7770" s="106"/>
      <c r="QW7770" s="106"/>
      <c r="QX7770" s="106"/>
      <c r="QY7770" s="106"/>
      <c r="QZ7770" s="106"/>
      <c r="RA7770" s="106"/>
      <c r="RB7770" s="106"/>
      <c r="RC7770" s="106"/>
      <c r="RD7770" s="106"/>
      <c r="RE7770" s="106"/>
      <c r="RF7770" s="106"/>
      <c r="RG7770" s="106"/>
      <c r="RH7770" s="106"/>
      <c r="RI7770" s="106"/>
      <c r="RJ7770" s="106"/>
      <c r="RK7770" s="106"/>
      <c r="RL7770" s="106"/>
    </row>
    <row r="7771" spans="462:480" x14ac:dyDescent="0.3">
      <c r="QT7771" s="106"/>
      <c r="QU7771" s="106"/>
      <c r="QV7771" s="106"/>
      <c r="QW7771" s="106"/>
      <c r="QX7771" s="106"/>
      <c r="QY7771" s="106"/>
      <c r="QZ7771" s="106"/>
      <c r="RA7771" s="106"/>
      <c r="RB7771" s="106"/>
      <c r="RC7771" s="106"/>
      <c r="RD7771" s="106"/>
      <c r="RE7771" s="106"/>
      <c r="RF7771" s="106"/>
      <c r="RG7771" s="106"/>
      <c r="RH7771" s="106"/>
      <c r="RI7771" s="106"/>
      <c r="RJ7771" s="106"/>
      <c r="RK7771" s="106"/>
      <c r="RL7771" s="106"/>
    </row>
    <row r="7772" spans="462:480" x14ac:dyDescent="0.3">
      <c r="QT7772" s="106"/>
      <c r="QU7772" s="106"/>
      <c r="QV7772" s="106"/>
      <c r="QW7772" s="106"/>
      <c r="QX7772" s="106"/>
      <c r="QY7772" s="106"/>
      <c r="QZ7772" s="106"/>
      <c r="RA7772" s="106"/>
      <c r="RB7772" s="106"/>
      <c r="RC7772" s="106"/>
      <c r="RD7772" s="106"/>
      <c r="RE7772" s="106"/>
      <c r="RF7772" s="106"/>
      <c r="RG7772" s="106"/>
      <c r="RH7772" s="106"/>
      <c r="RI7772" s="106"/>
      <c r="RJ7772" s="106"/>
      <c r="RK7772" s="106"/>
      <c r="RL7772" s="106"/>
    </row>
    <row r="7773" spans="462:480" x14ac:dyDescent="0.3">
      <c r="QT7773" s="106"/>
      <c r="QU7773" s="106"/>
      <c r="QV7773" s="106"/>
      <c r="QW7773" s="106"/>
      <c r="QX7773" s="106"/>
      <c r="QY7773" s="106"/>
      <c r="QZ7773" s="106"/>
      <c r="RA7773" s="106"/>
      <c r="RB7773" s="106"/>
      <c r="RC7773" s="106"/>
      <c r="RD7773" s="106"/>
      <c r="RE7773" s="106"/>
      <c r="RF7773" s="106"/>
      <c r="RG7773" s="106"/>
      <c r="RH7773" s="106"/>
      <c r="RI7773" s="106"/>
      <c r="RJ7773" s="106"/>
      <c r="RK7773" s="106"/>
      <c r="RL7773" s="106"/>
    </row>
    <row r="7774" spans="462:480" x14ac:dyDescent="0.3">
      <c r="QT7774" s="106"/>
      <c r="QU7774" s="106"/>
      <c r="QV7774" s="106"/>
      <c r="QW7774" s="106"/>
      <c r="QX7774" s="106"/>
      <c r="QY7774" s="106"/>
      <c r="QZ7774" s="106"/>
      <c r="RA7774" s="106"/>
      <c r="RB7774" s="106"/>
      <c r="RC7774" s="106"/>
      <c r="RD7774" s="106"/>
      <c r="RE7774" s="106"/>
      <c r="RF7774" s="106"/>
      <c r="RG7774" s="106"/>
      <c r="RH7774" s="106"/>
      <c r="RI7774" s="106"/>
      <c r="RJ7774" s="106"/>
      <c r="RK7774" s="106"/>
      <c r="RL7774" s="106"/>
    </row>
    <row r="7775" spans="462:480" x14ac:dyDescent="0.3">
      <c r="QT7775" s="106"/>
      <c r="QU7775" s="106"/>
      <c r="QV7775" s="106"/>
      <c r="QW7775" s="106"/>
      <c r="QX7775" s="106"/>
      <c r="QY7775" s="106"/>
      <c r="QZ7775" s="106"/>
      <c r="RA7775" s="106"/>
      <c r="RB7775" s="106"/>
      <c r="RC7775" s="106"/>
      <c r="RD7775" s="106"/>
      <c r="RE7775" s="106"/>
      <c r="RF7775" s="106"/>
      <c r="RG7775" s="106"/>
      <c r="RH7775" s="106"/>
      <c r="RI7775" s="106"/>
      <c r="RJ7775" s="106"/>
      <c r="RK7775" s="106"/>
      <c r="RL7775" s="106"/>
    </row>
    <row r="7776" spans="462:480" x14ac:dyDescent="0.3">
      <c r="QT7776" s="106"/>
      <c r="QU7776" s="106"/>
      <c r="QV7776" s="106"/>
      <c r="QW7776" s="106"/>
      <c r="QX7776" s="106"/>
      <c r="QY7776" s="106"/>
      <c r="QZ7776" s="106"/>
      <c r="RA7776" s="106"/>
      <c r="RB7776" s="106"/>
      <c r="RC7776" s="106"/>
      <c r="RD7776" s="106"/>
      <c r="RE7776" s="106"/>
      <c r="RF7776" s="106"/>
      <c r="RG7776" s="106"/>
      <c r="RH7776" s="106"/>
      <c r="RI7776" s="106"/>
      <c r="RJ7776" s="106"/>
      <c r="RK7776" s="106"/>
      <c r="RL7776" s="106"/>
    </row>
    <row r="7777" spans="462:480" x14ac:dyDescent="0.3">
      <c r="QT7777" s="106"/>
      <c r="QU7777" s="106"/>
      <c r="QV7777" s="106"/>
      <c r="QW7777" s="106"/>
      <c r="QX7777" s="106"/>
      <c r="QY7777" s="106"/>
      <c r="QZ7777" s="106"/>
      <c r="RA7777" s="106"/>
      <c r="RB7777" s="106"/>
      <c r="RC7777" s="106"/>
      <c r="RD7777" s="106"/>
      <c r="RE7777" s="106"/>
      <c r="RF7777" s="106"/>
      <c r="RG7777" s="106"/>
      <c r="RH7777" s="106"/>
      <c r="RI7777" s="106"/>
      <c r="RJ7777" s="106"/>
      <c r="RK7777" s="106"/>
      <c r="RL7777" s="106"/>
    </row>
    <row r="7778" spans="462:480" x14ac:dyDescent="0.3">
      <c r="QT7778" s="106"/>
      <c r="QU7778" s="106"/>
      <c r="QV7778" s="106"/>
      <c r="QW7778" s="106"/>
      <c r="QX7778" s="106"/>
      <c r="QY7778" s="106"/>
      <c r="QZ7778" s="106"/>
      <c r="RA7778" s="106"/>
      <c r="RB7778" s="106"/>
      <c r="RC7778" s="106"/>
      <c r="RD7778" s="106"/>
      <c r="RE7778" s="106"/>
      <c r="RF7778" s="106"/>
      <c r="RG7778" s="106"/>
      <c r="RH7778" s="106"/>
      <c r="RI7778" s="106"/>
      <c r="RJ7778" s="106"/>
      <c r="RK7778" s="106"/>
      <c r="RL7778" s="106"/>
    </row>
    <row r="7779" spans="462:480" x14ac:dyDescent="0.3">
      <c r="QT7779" s="106"/>
      <c r="QU7779" s="106"/>
      <c r="QV7779" s="106"/>
      <c r="QW7779" s="106"/>
      <c r="QX7779" s="106"/>
      <c r="QY7779" s="106"/>
      <c r="QZ7779" s="106"/>
      <c r="RA7779" s="106"/>
      <c r="RB7779" s="106"/>
      <c r="RC7779" s="106"/>
      <c r="RD7779" s="106"/>
      <c r="RE7779" s="106"/>
      <c r="RF7779" s="106"/>
      <c r="RG7779" s="106"/>
      <c r="RH7779" s="106"/>
      <c r="RI7779" s="106"/>
      <c r="RJ7779" s="106"/>
      <c r="RK7779" s="106"/>
      <c r="RL7779" s="106"/>
    </row>
    <row r="7780" spans="462:480" x14ac:dyDescent="0.3">
      <c r="QT7780" s="106"/>
      <c r="QU7780" s="106"/>
      <c r="QV7780" s="106"/>
      <c r="QW7780" s="106"/>
      <c r="QX7780" s="106"/>
      <c r="QY7780" s="106"/>
      <c r="QZ7780" s="106"/>
      <c r="RA7780" s="106"/>
      <c r="RB7780" s="106"/>
      <c r="RC7780" s="106"/>
      <c r="RD7780" s="106"/>
      <c r="RE7780" s="106"/>
      <c r="RF7780" s="106"/>
      <c r="RG7780" s="106"/>
      <c r="RH7780" s="106"/>
      <c r="RI7780" s="106"/>
      <c r="RJ7780" s="106"/>
      <c r="RK7780" s="106"/>
      <c r="RL7780" s="106"/>
    </row>
    <row r="7781" spans="462:480" x14ac:dyDescent="0.3">
      <c r="QT7781" s="106"/>
      <c r="QU7781" s="106"/>
      <c r="QV7781" s="106"/>
      <c r="QW7781" s="106"/>
      <c r="QX7781" s="106"/>
      <c r="QY7781" s="106"/>
      <c r="QZ7781" s="106"/>
      <c r="RA7781" s="106"/>
      <c r="RB7781" s="106"/>
      <c r="RC7781" s="106"/>
      <c r="RD7781" s="106"/>
      <c r="RE7781" s="106"/>
      <c r="RF7781" s="106"/>
      <c r="RG7781" s="106"/>
      <c r="RH7781" s="106"/>
      <c r="RI7781" s="106"/>
      <c r="RJ7781" s="106"/>
      <c r="RK7781" s="106"/>
      <c r="RL7781" s="106"/>
    </row>
    <row r="7782" spans="462:480" x14ac:dyDescent="0.3">
      <c r="QT7782" s="106"/>
      <c r="QU7782" s="106"/>
      <c r="QV7782" s="106"/>
      <c r="QW7782" s="106"/>
      <c r="QX7782" s="106"/>
      <c r="QY7782" s="106"/>
      <c r="QZ7782" s="106"/>
      <c r="RA7782" s="106"/>
      <c r="RB7782" s="106"/>
      <c r="RC7782" s="106"/>
      <c r="RD7782" s="106"/>
      <c r="RE7782" s="106"/>
      <c r="RF7782" s="106"/>
      <c r="RG7782" s="106"/>
      <c r="RH7782" s="106"/>
      <c r="RI7782" s="106"/>
      <c r="RJ7782" s="106"/>
      <c r="RK7782" s="106"/>
      <c r="RL7782" s="106"/>
    </row>
    <row r="7783" spans="462:480" x14ac:dyDescent="0.3">
      <c r="QT7783" s="106"/>
      <c r="QU7783" s="106"/>
      <c r="QV7783" s="106"/>
      <c r="QW7783" s="106"/>
      <c r="QX7783" s="106"/>
      <c r="QY7783" s="106"/>
      <c r="QZ7783" s="106"/>
      <c r="RA7783" s="106"/>
      <c r="RB7783" s="106"/>
      <c r="RC7783" s="106"/>
      <c r="RD7783" s="106"/>
      <c r="RE7783" s="106"/>
      <c r="RF7783" s="106"/>
      <c r="RG7783" s="106"/>
      <c r="RH7783" s="106"/>
      <c r="RI7783" s="106"/>
      <c r="RJ7783" s="106"/>
      <c r="RK7783" s="106"/>
      <c r="RL7783" s="106"/>
    </row>
    <row r="7784" spans="462:480" x14ac:dyDescent="0.3">
      <c r="QT7784" s="106"/>
      <c r="QU7784" s="106"/>
      <c r="QV7784" s="106"/>
      <c r="QW7784" s="106"/>
      <c r="QX7784" s="106"/>
      <c r="QY7784" s="106"/>
      <c r="QZ7784" s="106"/>
      <c r="RA7784" s="106"/>
      <c r="RB7784" s="106"/>
      <c r="RC7784" s="106"/>
      <c r="RD7784" s="106"/>
      <c r="RE7784" s="106"/>
      <c r="RF7784" s="106"/>
      <c r="RG7784" s="106"/>
      <c r="RH7784" s="106"/>
      <c r="RI7784" s="106"/>
      <c r="RJ7784" s="106"/>
      <c r="RK7784" s="106"/>
      <c r="RL7784" s="106"/>
    </row>
    <row r="7785" spans="462:480" x14ac:dyDescent="0.3">
      <c r="QT7785" s="106"/>
      <c r="QU7785" s="106"/>
      <c r="QV7785" s="106"/>
      <c r="QW7785" s="106"/>
      <c r="QX7785" s="106"/>
      <c r="QY7785" s="106"/>
      <c r="QZ7785" s="106"/>
      <c r="RA7785" s="106"/>
      <c r="RB7785" s="106"/>
      <c r="RC7785" s="106"/>
      <c r="RD7785" s="106"/>
      <c r="RE7785" s="106"/>
      <c r="RF7785" s="106"/>
      <c r="RG7785" s="106"/>
      <c r="RH7785" s="106"/>
      <c r="RI7785" s="106"/>
      <c r="RJ7785" s="106"/>
      <c r="RK7785" s="106"/>
      <c r="RL7785" s="106"/>
    </row>
    <row r="7786" spans="462:480" x14ac:dyDescent="0.3">
      <c r="QT7786" s="106"/>
      <c r="QU7786" s="106"/>
      <c r="QV7786" s="106"/>
      <c r="QW7786" s="106"/>
      <c r="QX7786" s="106"/>
      <c r="QY7786" s="106"/>
      <c r="QZ7786" s="106"/>
      <c r="RA7786" s="106"/>
      <c r="RB7786" s="106"/>
      <c r="RC7786" s="106"/>
      <c r="RD7786" s="106"/>
      <c r="RE7786" s="106"/>
      <c r="RF7786" s="106"/>
      <c r="RG7786" s="106"/>
      <c r="RH7786" s="106"/>
      <c r="RI7786" s="106"/>
      <c r="RJ7786" s="106"/>
      <c r="RK7786" s="106"/>
      <c r="RL7786" s="106"/>
    </row>
    <row r="7787" spans="462:480" x14ac:dyDescent="0.3">
      <c r="QT7787" s="106"/>
      <c r="QU7787" s="106"/>
      <c r="QV7787" s="106"/>
      <c r="QW7787" s="106"/>
      <c r="QX7787" s="106"/>
      <c r="QY7787" s="106"/>
      <c r="QZ7787" s="106"/>
      <c r="RA7787" s="106"/>
      <c r="RB7787" s="106"/>
      <c r="RC7787" s="106"/>
      <c r="RD7787" s="106"/>
      <c r="RE7787" s="106"/>
      <c r="RF7787" s="106"/>
      <c r="RG7787" s="106"/>
      <c r="RH7787" s="106"/>
      <c r="RI7787" s="106"/>
      <c r="RJ7787" s="106"/>
      <c r="RK7787" s="106"/>
      <c r="RL7787" s="106"/>
    </row>
    <row r="7788" spans="462:480" x14ac:dyDescent="0.3">
      <c r="QT7788" s="106"/>
      <c r="QU7788" s="106"/>
      <c r="QV7788" s="106"/>
      <c r="QW7788" s="106"/>
      <c r="QX7788" s="106"/>
      <c r="QY7788" s="106"/>
      <c r="QZ7788" s="106"/>
      <c r="RA7788" s="106"/>
      <c r="RB7788" s="106"/>
      <c r="RC7788" s="106"/>
      <c r="RD7788" s="106"/>
      <c r="RE7788" s="106"/>
      <c r="RF7788" s="106"/>
      <c r="RG7788" s="106"/>
      <c r="RH7788" s="106"/>
      <c r="RI7788" s="106"/>
      <c r="RJ7788" s="106"/>
      <c r="RK7788" s="106"/>
      <c r="RL7788" s="106"/>
    </row>
    <row r="7789" spans="462:480" x14ac:dyDescent="0.3">
      <c r="QT7789" s="106"/>
      <c r="QU7789" s="106"/>
      <c r="QV7789" s="106"/>
      <c r="QW7789" s="106"/>
      <c r="QX7789" s="106"/>
      <c r="QY7789" s="106"/>
      <c r="QZ7789" s="106"/>
      <c r="RA7789" s="106"/>
      <c r="RB7789" s="106"/>
      <c r="RC7789" s="106"/>
      <c r="RD7789" s="106"/>
      <c r="RE7789" s="106"/>
      <c r="RF7789" s="106"/>
      <c r="RG7789" s="106"/>
      <c r="RH7789" s="106"/>
      <c r="RI7789" s="106"/>
      <c r="RJ7789" s="106"/>
      <c r="RK7789" s="106"/>
      <c r="RL7789" s="106"/>
    </row>
    <row r="7790" spans="462:480" x14ac:dyDescent="0.3">
      <c r="QT7790" s="106"/>
      <c r="QU7790" s="106"/>
      <c r="QV7790" s="106"/>
      <c r="QW7790" s="106"/>
      <c r="QX7790" s="106"/>
      <c r="QY7790" s="106"/>
      <c r="QZ7790" s="106"/>
      <c r="RA7790" s="106"/>
      <c r="RB7790" s="106"/>
      <c r="RC7790" s="106"/>
      <c r="RD7790" s="106"/>
      <c r="RE7790" s="106"/>
      <c r="RF7790" s="106"/>
      <c r="RG7790" s="106"/>
      <c r="RH7790" s="106"/>
      <c r="RI7790" s="106"/>
      <c r="RJ7790" s="106"/>
      <c r="RK7790" s="106"/>
      <c r="RL7790" s="106"/>
    </row>
    <row r="7791" spans="462:480" x14ac:dyDescent="0.3">
      <c r="QT7791" s="106"/>
      <c r="QU7791" s="106"/>
      <c r="QV7791" s="106"/>
      <c r="QW7791" s="106"/>
      <c r="QX7791" s="106"/>
      <c r="QY7791" s="106"/>
      <c r="QZ7791" s="106"/>
      <c r="RA7791" s="106"/>
      <c r="RB7791" s="106"/>
      <c r="RC7791" s="106"/>
      <c r="RD7791" s="106"/>
      <c r="RE7791" s="106"/>
      <c r="RF7791" s="106"/>
      <c r="RG7791" s="106"/>
      <c r="RH7791" s="106"/>
      <c r="RI7791" s="106"/>
      <c r="RJ7791" s="106"/>
      <c r="RK7791" s="106"/>
      <c r="RL7791" s="106"/>
    </row>
    <row r="7792" spans="462:480" x14ac:dyDescent="0.3">
      <c r="QT7792" s="106"/>
      <c r="QU7792" s="106"/>
      <c r="QV7792" s="106"/>
      <c r="QW7792" s="106"/>
      <c r="QX7792" s="106"/>
      <c r="QY7792" s="106"/>
      <c r="QZ7792" s="106"/>
      <c r="RA7792" s="106"/>
      <c r="RB7792" s="106"/>
      <c r="RC7792" s="106"/>
      <c r="RD7792" s="106"/>
      <c r="RE7792" s="106"/>
      <c r="RF7792" s="106"/>
      <c r="RG7792" s="106"/>
      <c r="RH7792" s="106"/>
      <c r="RI7792" s="106"/>
      <c r="RJ7792" s="106"/>
      <c r="RK7792" s="106"/>
      <c r="RL7792" s="106"/>
    </row>
    <row r="7793" spans="462:480" x14ac:dyDescent="0.3">
      <c r="QT7793" s="106"/>
      <c r="QU7793" s="106"/>
      <c r="QV7793" s="106"/>
      <c r="QW7793" s="106"/>
      <c r="QX7793" s="106"/>
      <c r="QY7793" s="106"/>
      <c r="QZ7793" s="106"/>
      <c r="RA7793" s="106"/>
      <c r="RB7793" s="106"/>
      <c r="RC7793" s="106"/>
      <c r="RD7793" s="106"/>
      <c r="RE7793" s="106"/>
      <c r="RF7793" s="106"/>
      <c r="RG7793" s="106"/>
      <c r="RH7793" s="106"/>
      <c r="RI7793" s="106"/>
      <c r="RJ7793" s="106"/>
      <c r="RK7793" s="106"/>
      <c r="RL7793" s="106"/>
    </row>
    <row r="7794" spans="462:480" x14ac:dyDescent="0.3">
      <c r="QT7794" s="106"/>
      <c r="QU7794" s="106"/>
      <c r="QV7794" s="106"/>
      <c r="QW7794" s="106"/>
      <c r="QX7794" s="106"/>
      <c r="QY7794" s="106"/>
      <c r="QZ7794" s="106"/>
      <c r="RA7794" s="106"/>
      <c r="RB7794" s="106"/>
      <c r="RC7794" s="106"/>
      <c r="RD7794" s="106"/>
      <c r="RE7794" s="106"/>
      <c r="RF7794" s="106"/>
      <c r="RG7794" s="106"/>
      <c r="RH7794" s="106"/>
      <c r="RI7794" s="106"/>
      <c r="RJ7794" s="106"/>
      <c r="RK7794" s="106"/>
      <c r="RL7794" s="106"/>
    </row>
    <row r="7795" spans="462:480" x14ac:dyDescent="0.3">
      <c r="QT7795" s="106"/>
      <c r="QU7795" s="106"/>
      <c r="QV7795" s="106"/>
      <c r="QW7795" s="106"/>
      <c r="QX7795" s="106"/>
      <c r="QY7795" s="106"/>
      <c r="QZ7795" s="106"/>
      <c r="RA7795" s="106"/>
      <c r="RB7795" s="106"/>
      <c r="RC7795" s="106"/>
      <c r="RD7795" s="106"/>
      <c r="RE7795" s="106"/>
      <c r="RF7795" s="106"/>
      <c r="RG7795" s="106"/>
      <c r="RH7795" s="106"/>
      <c r="RI7795" s="106"/>
      <c r="RJ7795" s="106"/>
      <c r="RK7795" s="106"/>
      <c r="RL7795" s="106"/>
    </row>
    <row r="7796" spans="462:480" x14ac:dyDescent="0.3">
      <c r="QT7796" s="106"/>
      <c r="QU7796" s="106"/>
      <c r="QV7796" s="106"/>
      <c r="QW7796" s="106"/>
      <c r="QX7796" s="106"/>
      <c r="QY7796" s="106"/>
      <c r="QZ7796" s="106"/>
      <c r="RA7796" s="106"/>
      <c r="RB7796" s="106"/>
      <c r="RC7796" s="106"/>
      <c r="RD7796" s="106"/>
      <c r="RE7796" s="106"/>
      <c r="RF7796" s="106"/>
      <c r="RG7796" s="106"/>
      <c r="RH7796" s="106"/>
      <c r="RI7796" s="106"/>
      <c r="RJ7796" s="106"/>
      <c r="RK7796" s="106"/>
      <c r="RL7796" s="106"/>
    </row>
    <row r="7797" spans="462:480" x14ac:dyDescent="0.3">
      <c r="QT7797" s="106"/>
      <c r="QU7797" s="106"/>
      <c r="QV7797" s="106"/>
      <c r="QW7797" s="106"/>
      <c r="QX7797" s="106"/>
      <c r="QY7797" s="106"/>
      <c r="QZ7797" s="106"/>
      <c r="RA7797" s="106"/>
      <c r="RB7797" s="106"/>
      <c r="RC7797" s="106"/>
      <c r="RD7797" s="106"/>
      <c r="RE7797" s="106"/>
      <c r="RF7797" s="106"/>
      <c r="RG7797" s="106"/>
      <c r="RH7797" s="106"/>
      <c r="RI7797" s="106"/>
      <c r="RJ7797" s="106"/>
      <c r="RK7797" s="106"/>
      <c r="RL7797" s="106"/>
    </row>
    <row r="7798" spans="462:480" x14ac:dyDescent="0.3">
      <c r="QT7798" s="106"/>
      <c r="QU7798" s="106"/>
      <c r="QV7798" s="106"/>
      <c r="QW7798" s="106"/>
      <c r="QX7798" s="106"/>
      <c r="QY7798" s="106"/>
      <c r="QZ7798" s="106"/>
      <c r="RA7798" s="106"/>
      <c r="RB7798" s="106"/>
      <c r="RC7798" s="106"/>
      <c r="RD7798" s="106"/>
      <c r="RE7798" s="106"/>
      <c r="RF7798" s="106"/>
      <c r="RG7798" s="106"/>
      <c r="RH7798" s="106"/>
      <c r="RI7798" s="106"/>
      <c r="RJ7798" s="106"/>
      <c r="RK7798" s="106"/>
      <c r="RL7798" s="106"/>
    </row>
    <row r="7799" spans="462:480" x14ac:dyDescent="0.3">
      <c r="QT7799" s="106"/>
      <c r="QU7799" s="106"/>
      <c r="QV7799" s="106"/>
      <c r="QW7799" s="106"/>
      <c r="QX7799" s="106"/>
      <c r="QY7799" s="106"/>
      <c r="QZ7799" s="106"/>
      <c r="RA7799" s="106"/>
      <c r="RB7799" s="106"/>
      <c r="RC7799" s="106"/>
      <c r="RD7799" s="106"/>
      <c r="RE7799" s="106"/>
      <c r="RF7799" s="106"/>
      <c r="RG7799" s="106"/>
      <c r="RH7799" s="106"/>
      <c r="RI7799" s="106"/>
      <c r="RJ7799" s="106"/>
      <c r="RK7799" s="106"/>
      <c r="RL7799" s="106"/>
    </row>
    <row r="7800" spans="462:480" x14ac:dyDescent="0.3">
      <c r="QT7800" s="106"/>
      <c r="QU7800" s="106"/>
      <c r="QV7800" s="106"/>
      <c r="QW7800" s="106"/>
      <c r="QX7800" s="106"/>
      <c r="QY7800" s="106"/>
      <c r="QZ7800" s="106"/>
      <c r="RA7800" s="106"/>
      <c r="RB7800" s="106"/>
      <c r="RC7800" s="106"/>
      <c r="RD7800" s="106"/>
      <c r="RE7800" s="106"/>
      <c r="RF7800" s="106"/>
      <c r="RG7800" s="106"/>
      <c r="RH7800" s="106"/>
      <c r="RI7800" s="106"/>
      <c r="RJ7800" s="106"/>
      <c r="RK7800" s="106"/>
      <c r="RL7800" s="106"/>
    </row>
    <row r="7801" spans="462:480" x14ac:dyDescent="0.3">
      <c r="QT7801" s="106"/>
      <c r="QU7801" s="106"/>
      <c r="QV7801" s="106"/>
      <c r="QW7801" s="106"/>
      <c r="QX7801" s="106"/>
      <c r="QY7801" s="106"/>
      <c r="QZ7801" s="106"/>
      <c r="RA7801" s="106"/>
      <c r="RB7801" s="106"/>
      <c r="RC7801" s="106"/>
      <c r="RD7801" s="106"/>
      <c r="RE7801" s="106"/>
      <c r="RF7801" s="106"/>
      <c r="RG7801" s="106"/>
      <c r="RH7801" s="106"/>
      <c r="RI7801" s="106"/>
      <c r="RJ7801" s="106"/>
      <c r="RK7801" s="106"/>
      <c r="RL7801" s="106"/>
    </row>
    <row r="7802" spans="462:480" x14ac:dyDescent="0.3">
      <c r="QT7802" s="106"/>
      <c r="QU7802" s="106"/>
      <c r="QV7802" s="106"/>
      <c r="QW7802" s="106"/>
      <c r="QX7802" s="106"/>
      <c r="QY7802" s="106"/>
      <c r="QZ7802" s="106"/>
      <c r="RA7802" s="106"/>
      <c r="RB7802" s="106"/>
      <c r="RC7802" s="106"/>
      <c r="RD7802" s="106"/>
      <c r="RE7802" s="106"/>
      <c r="RF7802" s="106"/>
      <c r="RG7802" s="106"/>
      <c r="RH7802" s="106"/>
      <c r="RI7802" s="106"/>
      <c r="RJ7802" s="106"/>
      <c r="RK7802" s="106"/>
      <c r="RL7802" s="106"/>
    </row>
    <row r="7803" spans="462:480" x14ac:dyDescent="0.3">
      <c r="QT7803" s="106"/>
      <c r="QU7803" s="106"/>
      <c r="QV7803" s="106"/>
      <c r="QW7803" s="106"/>
      <c r="QX7803" s="106"/>
      <c r="QY7803" s="106"/>
      <c r="QZ7803" s="106"/>
      <c r="RA7803" s="106"/>
      <c r="RB7803" s="106"/>
      <c r="RC7803" s="106"/>
      <c r="RD7803" s="106"/>
      <c r="RE7803" s="106"/>
      <c r="RF7803" s="106"/>
      <c r="RG7803" s="106"/>
      <c r="RH7803" s="106"/>
      <c r="RI7803" s="106"/>
      <c r="RJ7803" s="106"/>
      <c r="RK7803" s="106"/>
      <c r="RL7803" s="106"/>
    </row>
    <row r="7804" spans="462:480" x14ac:dyDescent="0.3">
      <c r="QT7804" s="106"/>
      <c r="QU7804" s="106"/>
      <c r="QV7804" s="106"/>
      <c r="QW7804" s="106"/>
      <c r="QX7804" s="106"/>
      <c r="QY7804" s="106"/>
      <c r="QZ7804" s="106"/>
      <c r="RA7804" s="106"/>
      <c r="RB7804" s="106"/>
      <c r="RC7804" s="106"/>
      <c r="RD7804" s="106"/>
      <c r="RE7804" s="106"/>
      <c r="RF7804" s="106"/>
      <c r="RG7804" s="106"/>
      <c r="RH7804" s="106"/>
      <c r="RI7804" s="106"/>
      <c r="RJ7804" s="106"/>
      <c r="RK7804" s="106"/>
      <c r="RL7804" s="106"/>
    </row>
    <row r="7805" spans="462:480" x14ac:dyDescent="0.3">
      <c r="QT7805" s="106"/>
      <c r="QU7805" s="106"/>
      <c r="QV7805" s="106"/>
      <c r="QW7805" s="106"/>
      <c r="QX7805" s="106"/>
      <c r="QY7805" s="106"/>
      <c r="QZ7805" s="106"/>
      <c r="RA7805" s="106"/>
      <c r="RB7805" s="106"/>
      <c r="RC7805" s="106"/>
      <c r="RD7805" s="106"/>
      <c r="RE7805" s="106"/>
      <c r="RF7805" s="106"/>
      <c r="RG7805" s="106"/>
      <c r="RH7805" s="106"/>
      <c r="RI7805" s="106"/>
      <c r="RJ7805" s="106"/>
      <c r="RK7805" s="106"/>
      <c r="RL7805" s="106"/>
    </row>
    <row r="7806" spans="462:480" x14ac:dyDescent="0.3">
      <c r="QT7806" s="106"/>
      <c r="QU7806" s="106"/>
      <c r="QV7806" s="106"/>
      <c r="QW7806" s="106"/>
      <c r="QX7806" s="106"/>
      <c r="QY7806" s="106"/>
      <c r="QZ7806" s="106"/>
      <c r="RA7806" s="106"/>
      <c r="RB7806" s="106"/>
      <c r="RC7806" s="106"/>
      <c r="RD7806" s="106"/>
      <c r="RE7806" s="106"/>
      <c r="RF7806" s="106"/>
      <c r="RG7806" s="106"/>
      <c r="RH7806" s="106"/>
      <c r="RI7806" s="106"/>
      <c r="RJ7806" s="106"/>
      <c r="RK7806" s="106"/>
      <c r="RL7806" s="106"/>
    </row>
    <row r="7807" spans="462:480" x14ac:dyDescent="0.3">
      <c r="QT7807" s="106"/>
      <c r="QU7807" s="106"/>
      <c r="QV7807" s="106"/>
      <c r="QW7807" s="106"/>
      <c r="QX7807" s="106"/>
      <c r="QY7807" s="106"/>
      <c r="QZ7807" s="106"/>
      <c r="RA7807" s="106"/>
      <c r="RB7807" s="106"/>
      <c r="RC7807" s="106"/>
      <c r="RD7807" s="106"/>
      <c r="RE7807" s="106"/>
      <c r="RF7807" s="106"/>
      <c r="RG7807" s="106"/>
      <c r="RH7807" s="106"/>
      <c r="RI7807" s="106"/>
      <c r="RJ7807" s="106"/>
      <c r="RK7807" s="106"/>
      <c r="RL7807" s="106"/>
    </row>
    <row r="7808" spans="462:480" x14ac:dyDescent="0.3">
      <c r="QT7808" s="106"/>
      <c r="QU7808" s="106"/>
      <c r="QV7808" s="106"/>
      <c r="QW7808" s="106"/>
      <c r="QX7808" s="106"/>
      <c r="QY7808" s="106"/>
      <c r="QZ7808" s="106"/>
      <c r="RA7808" s="106"/>
      <c r="RB7808" s="106"/>
      <c r="RC7808" s="106"/>
      <c r="RD7808" s="106"/>
      <c r="RE7808" s="106"/>
      <c r="RF7808" s="106"/>
      <c r="RG7808" s="106"/>
      <c r="RH7808" s="106"/>
      <c r="RI7808" s="106"/>
      <c r="RJ7808" s="106"/>
      <c r="RK7808" s="106"/>
      <c r="RL7808" s="106"/>
    </row>
    <row r="7809" spans="462:480" x14ac:dyDescent="0.3">
      <c r="QT7809" s="106"/>
      <c r="QU7809" s="106"/>
      <c r="QV7809" s="106"/>
      <c r="QW7809" s="106"/>
      <c r="QX7809" s="106"/>
      <c r="QY7809" s="106"/>
      <c r="QZ7809" s="106"/>
      <c r="RA7809" s="106"/>
      <c r="RB7809" s="106"/>
      <c r="RC7809" s="106"/>
      <c r="RD7809" s="106"/>
      <c r="RE7809" s="106"/>
      <c r="RF7809" s="106"/>
      <c r="RG7809" s="106"/>
      <c r="RH7809" s="106"/>
      <c r="RI7809" s="106"/>
      <c r="RJ7809" s="106"/>
      <c r="RK7809" s="106"/>
      <c r="RL7809" s="106"/>
    </row>
    <row r="7810" spans="462:480" x14ac:dyDescent="0.3">
      <c r="QT7810" s="106"/>
      <c r="QU7810" s="106"/>
      <c r="QV7810" s="106"/>
      <c r="QW7810" s="106"/>
      <c r="QX7810" s="106"/>
      <c r="QY7810" s="106"/>
      <c r="QZ7810" s="106"/>
      <c r="RA7810" s="106"/>
      <c r="RB7810" s="106"/>
      <c r="RC7810" s="106"/>
      <c r="RD7810" s="106"/>
      <c r="RE7810" s="106"/>
      <c r="RF7810" s="106"/>
      <c r="RG7810" s="106"/>
      <c r="RH7810" s="106"/>
      <c r="RI7810" s="106"/>
      <c r="RJ7810" s="106"/>
      <c r="RK7810" s="106"/>
      <c r="RL7810" s="106"/>
    </row>
    <row r="7811" spans="462:480" x14ac:dyDescent="0.3">
      <c r="QT7811" s="106"/>
      <c r="QU7811" s="106"/>
      <c r="QV7811" s="106"/>
      <c r="QW7811" s="106"/>
      <c r="QX7811" s="106"/>
      <c r="QY7811" s="106"/>
      <c r="QZ7811" s="106"/>
      <c r="RA7811" s="106"/>
      <c r="RB7811" s="106"/>
      <c r="RC7811" s="106"/>
      <c r="RD7811" s="106"/>
      <c r="RE7811" s="106"/>
      <c r="RF7811" s="106"/>
      <c r="RG7811" s="106"/>
      <c r="RH7811" s="106"/>
      <c r="RI7811" s="106"/>
      <c r="RJ7811" s="106"/>
      <c r="RK7811" s="106"/>
      <c r="RL7811" s="106"/>
    </row>
    <row r="7812" spans="462:480" x14ac:dyDescent="0.3">
      <c r="QT7812" s="106"/>
      <c r="QU7812" s="106"/>
      <c r="QV7812" s="106"/>
      <c r="QW7812" s="106"/>
      <c r="QX7812" s="106"/>
      <c r="QY7812" s="106"/>
      <c r="QZ7812" s="106"/>
      <c r="RA7812" s="106"/>
      <c r="RB7812" s="106"/>
      <c r="RC7812" s="106"/>
      <c r="RD7812" s="106"/>
      <c r="RE7812" s="106"/>
      <c r="RF7812" s="106"/>
      <c r="RG7812" s="106"/>
      <c r="RH7812" s="106"/>
      <c r="RI7812" s="106"/>
      <c r="RJ7812" s="106"/>
      <c r="RK7812" s="106"/>
      <c r="RL7812" s="106"/>
    </row>
    <row r="7813" spans="462:480" x14ac:dyDescent="0.3">
      <c r="QT7813" s="106"/>
      <c r="QU7813" s="106"/>
      <c r="QV7813" s="106"/>
      <c r="QW7813" s="106"/>
      <c r="QX7813" s="106"/>
      <c r="QY7813" s="106"/>
      <c r="QZ7813" s="106"/>
      <c r="RA7813" s="106"/>
      <c r="RB7813" s="106"/>
      <c r="RC7813" s="106"/>
      <c r="RD7813" s="106"/>
      <c r="RE7813" s="106"/>
      <c r="RF7813" s="106"/>
      <c r="RG7813" s="106"/>
      <c r="RH7813" s="106"/>
      <c r="RI7813" s="106"/>
      <c r="RJ7813" s="106"/>
      <c r="RK7813" s="106"/>
      <c r="RL7813" s="106"/>
    </row>
    <row r="7814" spans="462:480" x14ac:dyDescent="0.3">
      <c r="QT7814" s="106"/>
      <c r="QU7814" s="106"/>
      <c r="QV7814" s="106"/>
      <c r="QW7814" s="106"/>
      <c r="QX7814" s="106"/>
      <c r="QY7814" s="106"/>
      <c r="QZ7814" s="106"/>
      <c r="RA7814" s="106"/>
      <c r="RB7814" s="106"/>
      <c r="RC7814" s="106"/>
      <c r="RD7814" s="106"/>
      <c r="RE7814" s="106"/>
      <c r="RF7814" s="106"/>
      <c r="RG7814" s="106"/>
      <c r="RH7814" s="106"/>
      <c r="RI7814" s="106"/>
      <c r="RJ7814" s="106"/>
      <c r="RK7814" s="106"/>
      <c r="RL7814" s="106"/>
    </row>
    <row r="7815" spans="462:480" x14ac:dyDescent="0.3">
      <c r="QT7815" s="106"/>
      <c r="QU7815" s="106"/>
      <c r="QV7815" s="106"/>
      <c r="QW7815" s="106"/>
      <c r="QX7815" s="106"/>
      <c r="QY7815" s="106"/>
      <c r="QZ7815" s="106"/>
      <c r="RA7815" s="106"/>
      <c r="RB7815" s="106"/>
      <c r="RC7815" s="106"/>
      <c r="RD7815" s="106"/>
      <c r="RE7815" s="106"/>
      <c r="RF7815" s="106"/>
      <c r="RG7815" s="106"/>
      <c r="RH7815" s="106"/>
      <c r="RI7815" s="106"/>
      <c r="RJ7815" s="106"/>
      <c r="RK7815" s="106"/>
      <c r="RL7815" s="106"/>
    </row>
    <row r="7816" spans="462:480" x14ac:dyDescent="0.3">
      <c r="QT7816" s="106"/>
      <c r="QU7816" s="106"/>
      <c r="QV7816" s="106"/>
      <c r="QW7816" s="106"/>
      <c r="QX7816" s="106"/>
      <c r="QY7816" s="106"/>
      <c r="QZ7816" s="106"/>
      <c r="RA7816" s="106"/>
      <c r="RB7816" s="106"/>
      <c r="RC7816" s="106"/>
      <c r="RD7816" s="106"/>
      <c r="RE7816" s="106"/>
      <c r="RF7816" s="106"/>
      <c r="RG7816" s="106"/>
      <c r="RH7816" s="106"/>
      <c r="RI7816" s="106"/>
      <c r="RJ7816" s="106"/>
      <c r="RK7816" s="106"/>
      <c r="RL7816" s="106"/>
    </row>
    <row r="7817" spans="462:480" x14ac:dyDescent="0.3">
      <c r="QT7817" s="106"/>
      <c r="QU7817" s="106"/>
      <c r="QV7817" s="106"/>
      <c r="QW7817" s="106"/>
      <c r="QX7817" s="106"/>
      <c r="QY7817" s="106"/>
      <c r="QZ7817" s="106"/>
      <c r="RA7817" s="106"/>
      <c r="RB7817" s="106"/>
      <c r="RC7817" s="106"/>
      <c r="RD7817" s="106"/>
      <c r="RE7817" s="106"/>
      <c r="RF7817" s="106"/>
      <c r="RG7817" s="106"/>
      <c r="RH7817" s="106"/>
      <c r="RI7817" s="106"/>
      <c r="RJ7817" s="106"/>
      <c r="RK7817" s="106"/>
      <c r="RL7817" s="106"/>
    </row>
    <row r="7818" spans="462:480" x14ac:dyDescent="0.3">
      <c r="QT7818" s="106"/>
      <c r="QU7818" s="106"/>
      <c r="QV7818" s="106"/>
      <c r="QW7818" s="106"/>
      <c r="QX7818" s="106"/>
      <c r="QY7818" s="106"/>
      <c r="QZ7818" s="106"/>
      <c r="RA7818" s="106"/>
      <c r="RB7818" s="106"/>
      <c r="RC7818" s="106"/>
      <c r="RD7818" s="106"/>
      <c r="RE7818" s="106"/>
      <c r="RF7818" s="106"/>
      <c r="RG7818" s="106"/>
      <c r="RH7818" s="106"/>
      <c r="RI7818" s="106"/>
      <c r="RJ7818" s="106"/>
      <c r="RK7818" s="106"/>
      <c r="RL7818" s="106"/>
    </row>
    <row r="7819" spans="462:480" x14ac:dyDescent="0.3">
      <c r="QT7819" s="106"/>
      <c r="QU7819" s="106"/>
      <c r="QV7819" s="106"/>
      <c r="QW7819" s="106"/>
      <c r="QX7819" s="106"/>
      <c r="QY7819" s="106"/>
      <c r="QZ7819" s="106"/>
      <c r="RA7819" s="106"/>
      <c r="RB7819" s="106"/>
      <c r="RC7819" s="106"/>
      <c r="RD7819" s="106"/>
      <c r="RE7819" s="106"/>
      <c r="RF7819" s="106"/>
      <c r="RG7819" s="106"/>
      <c r="RH7819" s="106"/>
      <c r="RI7819" s="106"/>
      <c r="RJ7819" s="106"/>
      <c r="RK7819" s="106"/>
      <c r="RL7819" s="106"/>
    </row>
    <row r="7820" spans="462:480" x14ac:dyDescent="0.3">
      <c r="QT7820" s="106"/>
      <c r="QU7820" s="106"/>
      <c r="QV7820" s="106"/>
      <c r="QW7820" s="106"/>
      <c r="QX7820" s="106"/>
      <c r="QY7820" s="106"/>
      <c r="QZ7820" s="106"/>
      <c r="RA7820" s="106"/>
      <c r="RB7820" s="106"/>
      <c r="RC7820" s="106"/>
      <c r="RD7820" s="106"/>
      <c r="RE7820" s="106"/>
      <c r="RF7820" s="106"/>
      <c r="RG7820" s="106"/>
      <c r="RH7820" s="106"/>
      <c r="RI7820" s="106"/>
      <c r="RJ7820" s="106"/>
      <c r="RK7820" s="106"/>
      <c r="RL7820" s="106"/>
    </row>
    <row r="7821" spans="462:480" x14ac:dyDescent="0.3">
      <c r="QT7821" s="106"/>
      <c r="QU7821" s="106"/>
      <c r="QV7821" s="106"/>
      <c r="QW7821" s="106"/>
      <c r="QX7821" s="106"/>
      <c r="QY7821" s="106"/>
      <c r="QZ7821" s="106"/>
      <c r="RA7821" s="106"/>
      <c r="RB7821" s="106"/>
      <c r="RC7821" s="106"/>
      <c r="RD7821" s="106"/>
      <c r="RE7821" s="106"/>
      <c r="RF7821" s="106"/>
      <c r="RG7821" s="106"/>
      <c r="RH7821" s="106"/>
      <c r="RI7821" s="106"/>
      <c r="RJ7821" s="106"/>
      <c r="RK7821" s="106"/>
      <c r="RL7821" s="106"/>
    </row>
    <row r="7822" spans="462:480" x14ac:dyDescent="0.3">
      <c r="QT7822" s="106"/>
      <c r="QU7822" s="106"/>
      <c r="QV7822" s="106"/>
      <c r="QW7822" s="106"/>
      <c r="QX7822" s="106"/>
      <c r="QY7822" s="106"/>
      <c r="QZ7822" s="106"/>
      <c r="RA7822" s="106"/>
      <c r="RB7822" s="106"/>
      <c r="RC7822" s="106"/>
      <c r="RD7822" s="106"/>
      <c r="RE7822" s="106"/>
      <c r="RF7822" s="106"/>
      <c r="RG7822" s="106"/>
      <c r="RH7822" s="106"/>
      <c r="RI7822" s="106"/>
      <c r="RJ7822" s="106"/>
      <c r="RK7822" s="106"/>
      <c r="RL7822" s="106"/>
    </row>
    <row r="7823" spans="462:480" x14ac:dyDescent="0.3">
      <c r="QT7823" s="106"/>
      <c r="QU7823" s="106"/>
      <c r="QV7823" s="106"/>
      <c r="QW7823" s="106"/>
      <c r="QX7823" s="106"/>
      <c r="QY7823" s="106"/>
      <c r="QZ7823" s="106"/>
      <c r="RA7823" s="106"/>
      <c r="RB7823" s="106"/>
      <c r="RC7823" s="106"/>
      <c r="RD7823" s="106"/>
      <c r="RE7823" s="106"/>
      <c r="RF7823" s="106"/>
      <c r="RG7823" s="106"/>
      <c r="RH7823" s="106"/>
      <c r="RI7823" s="106"/>
      <c r="RJ7823" s="106"/>
      <c r="RK7823" s="106"/>
      <c r="RL7823" s="106"/>
    </row>
    <row r="7824" spans="462:480" x14ac:dyDescent="0.3">
      <c r="QT7824" s="106"/>
      <c r="QU7824" s="106"/>
      <c r="QV7824" s="106"/>
      <c r="QW7824" s="106"/>
      <c r="QX7824" s="106"/>
      <c r="QY7824" s="106"/>
      <c r="QZ7824" s="106"/>
      <c r="RA7824" s="106"/>
      <c r="RB7824" s="106"/>
      <c r="RC7824" s="106"/>
      <c r="RD7824" s="106"/>
      <c r="RE7824" s="106"/>
      <c r="RF7824" s="106"/>
      <c r="RG7824" s="106"/>
      <c r="RH7824" s="106"/>
      <c r="RI7824" s="106"/>
      <c r="RJ7824" s="106"/>
      <c r="RK7824" s="106"/>
      <c r="RL7824" s="106"/>
    </row>
    <row r="7825" spans="462:480" x14ac:dyDescent="0.3">
      <c r="QT7825" s="106"/>
      <c r="QU7825" s="106"/>
      <c r="QV7825" s="106"/>
      <c r="QW7825" s="106"/>
      <c r="QX7825" s="106"/>
      <c r="QY7825" s="106"/>
      <c r="QZ7825" s="106"/>
      <c r="RA7825" s="106"/>
      <c r="RB7825" s="106"/>
      <c r="RC7825" s="106"/>
      <c r="RD7825" s="106"/>
      <c r="RE7825" s="106"/>
      <c r="RF7825" s="106"/>
      <c r="RG7825" s="106"/>
      <c r="RH7825" s="106"/>
      <c r="RI7825" s="106"/>
      <c r="RJ7825" s="106"/>
      <c r="RK7825" s="106"/>
      <c r="RL7825" s="106"/>
    </row>
    <row r="7826" spans="462:480" x14ac:dyDescent="0.3">
      <c r="QT7826" s="106"/>
      <c r="QU7826" s="106"/>
      <c r="QV7826" s="106"/>
      <c r="QW7826" s="106"/>
      <c r="QX7826" s="106"/>
      <c r="QY7826" s="106"/>
      <c r="QZ7826" s="106"/>
      <c r="RA7826" s="106"/>
      <c r="RB7826" s="106"/>
      <c r="RC7826" s="106"/>
      <c r="RD7826" s="106"/>
      <c r="RE7826" s="106"/>
      <c r="RF7826" s="106"/>
      <c r="RG7826" s="106"/>
      <c r="RH7826" s="106"/>
      <c r="RI7826" s="106"/>
      <c r="RJ7826" s="106"/>
      <c r="RK7826" s="106"/>
      <c r="RL7826" s="106"/>
    </row>
    <row r="7827" spans="462:480" x14ac:dyDescent="0.3">
      <c r="QT7827" s="106"/>
      <c r="QU7827" s="106"/>
      <c r="QV7827" s="106"/>
      <c r="QW7827" s="106"/>
      <c r="QX7827" s="106"/>
      <c r="QY7827" s="106"/>
      <c r="QZ7827" s="106"/>
      <c r="RA7827" s="106"/>
      <c r="RB7827" s="106"/>
      <c r="RC7827" s="106"/>
      <c r="RD7827" s="106"/>
      <c r="RE7827" s="106"/>
      <c r="RF7827" s="106"/>
      <c r="RG7827" s="106"/>
      <c r="RH7827" s="106"/>
      <c r="RI7827" s="106"/>
      <c r="RJ7827" s="106"/>
      <c r="RK7827" s="106"/>
      <c r="RL7827" s="106"/>
    </row>
    <row r="7828" spans="462:480" x14ac:dyDescent="0.3">
      <c r="QT7828" s="106"/>
      <c r="QU7828" s="106"/>
      <c r="QV7828" s="106"/>
      <c r="QW7828" s="106"/>
      <c r="QX7828" s="106"/>
      <c r="QY7828" s="106"/>
      <c r="QZ7828" s="106"/>
      <c r="RA7828" s="106"/>
      <c r="RB7828" s="106"/>
      <c r="RC7828" s="106"/>
      <c r="RD7828" s="106"/>
      <c r="RE7828" s="106"/>
      <c r="RF7828" s="106"/>
      <c r="RG7828" s="106"/>
      <c r="RH7828" s="106"/>
      <c r="RI7828" s="106"/>
      <c r="RJ7828" s="106"/>
      <c r="RK7828" s="106"/>
      <c r="RL7828" s="106"/>
    </row>
    <row r="7829" spans="462:480" x14ac:dyDescent="0.3">
      <c r="QT7829" s="106"/>
      <c r="QU7829" s="106"/>
      <c r="QV7829" s="106"/>
      <c r="QW7829" s="106"/>
      <c r="QX7829" s="106"/>
      <c r="QY7829" s="106"/>
      <c r="QZ7829" s="106"/>
      <c r="RA7829" s="106"/>
      <c r="RB7829" s="106"/>
      <c r="RC7829" s="106"/>
      <c r="RD7829" s="106"/>
      <c r="RE7829" s="106"/>
      <c r="RF7829" s="106"/>
      <c r="RG7829" s="106"/>
      <c r="RH7829" s="106"/>
      <c r="RI7829" s="106"/>
      <c r="RJ7829" s="106"/>
      <c r="RK7829" s="106"/>
      <c r="RL7829" s="106"/>
    </row>
    <row r="7830" spans="462:480" x14ac:dyDescent="0.3">
      <c r="QT7830" s="106"/>
      <c r="QU7830" s="106"/>
      <c r="QV7830" s="106"/>
      <c r="QW7830" s="106"/>
      <c r="QX7830" s="106"/>
      <c r="QY7830" s="106"/>
      <c r="QZ7830" s="106"/>
      <c r="RA7830" s="106"/>
      <c r="RB7830" s="106"/>
      <c r="RC7830" s="106"/>
      <c r="RD7830" s="106"/>
      <c r="RE7830" s="106"/>
      <c r="RF7830" s="106"/>
      <c r="RG7830" s="106"/>
      <c r="RH7830" s="106"/>
      <c r="RI7830" s="106"/>
      <c r="RJ7830" s="106"/>
      <c r="RK7830" s="106"/>
      <c r="RL7830" s="106"/>
    </row>
    <row r="7831" spans="462:480" x14ac:dyDescent="0.3">
      <c r="QT7831" s="106"/>
      <c r="QU7831" s="106"/>
      <c r="QV7831" s="106"/>
      <c r="QW7831" s="106"/>
      <c r="QX7831" s="106"/>
      <c r="QY7831" s="106"/>
      <c r="QZ7831" s="106"/>
      <c r="RA7831" s="106"/>
      <c r="RB7831" s="106"/>
      <c r="RC7831" s="106"/>
      <c r="RD7831" s="106"/>
      <c r="RE7831" s="106"/>
      <c r="RF7831" s="106"/>
      <c r="RG7831" s="106"/>
      <c r="RH7831" s="106"/>
      <c r="RI7831" s="106"/>
      <c r="RJ7831" s="106"/>
      <c r="RK7831" s="106"/>
      <c r="RL7831" s="106"/>
    </row>
    <row r="7832" spans="462:480" x14ac:dyDescent="0.3">
      <c r="QT7832" s="106"/>
      <c r="QU7832" s="106"/>
      <c r="QV7832" s="106"/>
      <c r="QW7832" s="106"/>
      <c r="QX7832" s="106"/>
      <c r="QY7832" s="106"/>
      <c r="QZ7832" s="106"/>
      <c r="RA7832" s="106"/>
      <c r="RB7832" s="106"/>
      <c r="RC7832" s="106"/>
      <c r="RD7832" s="106"/>
      <c r="RE7832" s="106"/>
      <c r="RF7832" s="106"/>
      <c r="RG7832" s="106"/>
      <c r="RH7832" s="106"/>
      <c r="RI7832" s="106"/>
      <c r="RJ7832" s="106"/>
      <c r="RK7832" s="106"/>
      <c r="RL7832" s="106"/>
    </row>
    <row r="7833" spans="462:480" x14ac:dyDescent="0.3">
      <c r="QT7833" s="106"/>
      <c r="QU7833" s="106"/>
      <c r="QV7833" s="106"/>
      <c r="QW7833" s="106"/>
      <c r="QX7833" s="106"/>
      <c r="QY7833" s="106"/>
      <c r="QZ7833" s="106"/>
      <c r="RA7833" s="106"/>
      <c r="RB7833" s="106"/>
      <c r="RC7833" s="106"/>
      <c r="RD7833" s="106"/>
      <c r="RE7833" s="106"/>
      <c r="RF7833" s="106"/>
      <c r="RG7833" s="106"/>
      <c r="RH7833" s="106"/>
      <c r="RI7833" s="106"/>
      <c r="RJ7833" s="106"/>
      <c r="RK7833" s="106"/>
      <c r="RL7833" s="106"/>
    </row>
    <row r="7834" spans="462:480" x14ac:dyDescent="0.3">
      <c r="QT7834" s="106"/>
      <c r="QU7834" s="106"/>
      <c r="QV7834" s="106"/>
      <c r="QW7834" s="106"/>
      <c r="QX7834" s="106"/>
      <c r="QY7834" s="106"/>
      <c r="QZ7834" s="106"/>
      <c r="RA7834" s="106"/>
      <c r="RB7834" s="106"/>
      <c r="RC7834" s="106"/>
      <c r="RD7834" s="106"/>
      <c r="RE7834" s="106"/>
      <c r="RF7834" s="106"/>
      <c r="RG7834" s="106"/>
      <c r="RH7834" s="106"/>
      <c r="RI7834" s="106"/>
      <c r="RJ7834" s="106"/>
      <c r="RK7834" s="106"/>
      <c r="RL7834" s="106"/>
    </row>
    <row r="7835" spans="462:480" x14ac:dyDescent="0.3">
      <c r="QT7835" s="106"/>
      <c r="QU7835" s="106"/>
      <c r="QV7835" s="106"/>
      <c r="QW7835" s="106"/>
      <c r="QX7835" s="106"/>
      <c r="QY7835" s="106"/>
      <c r="QZ7835" s="106"/>
      <c r="RA7835" s="106"/>
      <c r="RB7835" s="106"/>
      <c r="RC7835" s="106"/>
      <c r="RD7835" s="106"/>
      <c r="RE7835" s="106"/>
      <c r="RF7835" s="106"/>
      <c r="RG7835" s="106"/>
      <c r="RH7835" s="106"/>
      <c r="RI7835" s="106"/>
      <c r="RJ7835" s="106"/>
      <c r="RK7835" s="106"/>
      <c r="RL7835" s="106"/>
    </row>
    <row r="7836" spans="462:480" x14ac:dyDescent="0.3">
      <c r="QT7836" s="106"/>
      <c r="QU7836" s="106"/>
      <c r="QV7836" s="106"/>
      <c r="QW7836" s="106"/>
      <c r="QX7836" s="106"/>
      <c r="QY7836" s="106"/>
      <c r="QZ7836" s="106"/>
      <c r="RA7836" s="106"/>
      <c r="RB7836" s="106"/>
      <c r="RC7836" s="106"/>
      <c r="RD7836" s="106"/>
      <c r="RE7836" s="106"/>
      <c r="RF7836" s="106"/>
      <c r="RG7836" s="106"/>
      <c r="RH7836" s="106"/>
      <c r="RI7836" s="106"/>
      <c r="RJ7836" s="106"/>
      <c r="RK7836" s="106"/>
      <c r="RL7836" s="106"/>
    </row>
    <row r="7837" spans="462:480" x14ac:dyDescent="0.3">
      <c r="QT7837" s="106"/>
      <c r="QU7837" s="106"/>
      <c r="QV7837" s="106"/>
      <c r="QW7837" s="106"/>
      <c r="QX7837" s="106"/>
      <c r="QY7837" s="106"/>
      <c r="QZ7837" s="106"/>
      <c r="RA7837" s="106"/>
      <c r="RB7837" s="106"/>
      <c r="RC7837" s="106"/>
      <c r="RD7837" s="106"/>
      <c r="RE7837" s="106"/>
      <c r="RF7837" s="106"/>
      <c r="RG7837" s="106"/>
      <c r="RH7837" s="106"/>
      <c r="RI7837" s="106"/>
      <c r="RJ7837" s="106"/>
      <c r="RK7837" s="106"/>
      <c r="RL7837" s="106"/>
    </row>
    <row r="7838" spans="462:480" x14ac:dyDescent="0.3">
      <c r="QT7838" s="106"/>
      <c r="QU7838" s="106"/>
      <c r="QV7838" s="106"/>
      <c r="QW7838" s="106"/>
      <c r="QX7838" s="106"/>
      <c r="QY7838" s="106"/>
      <c r="QZ7838" s="106"/>
      <c r="RA7838" s="106"/>
      <c r="RB7838" s="106"/>
      <c r="RC7838" s="106"/>
      <c r="RD7838" s="106"/>
      <c r="RE7838" s="106"/>
      <c r="RF7838" s="106"/>
      <c r="RG7838" s="106"/>
      <c r="RH7838" s="106"/>
      <c r="RI7838" s="106"/>
      <c r="RJ7838" s="106"/>
      <c r="RK7838" s="106"/>
      <c r="RL7838" s="106"/>
    </row>
    <row r="7839" spans="462:480" x14ac:dyDescent="0.3">
      <c r="QT7839" s="106"/>
      <c r="QU7839" s="106"/>
      <c r="QV7839" s="106"/>
      <c r="QW7839" s="106"/>
      <c r="QX7839" s="106"/>
      <c r="QY7839" s="106"/>
      <c r="QZ7839" s="106"/>
      <c r="RA7839" s="106"/>
      <c r="RB7839" s="106"/>
      <c r="RC7839" s="106"/>
      <c r="RD7839" s="106"/>
      <c r="RE7839" s="106"/>
      <c r="RF7839" s="106"/>
      <c r="RG7839" s="106"/>
      <c r="RH7839" s="106"/>
      <c r="RI7839" s="106"/>
      <c r="RJ7839" s="106"/>
      <c r="RK7839" s="106"/>
      <c r="RL7839" s="106"/>
    </row>
    <row r="7840" spans="462:480" x14ac:dyDescent="0.3">
      <c r="QT7840" s="106"/>
      <c r="QU7840" s="106"/>
      <c r="QV7840" s="106"/>
      <c r="QW7840" s="106"/>
      <c r="QX7840" s="106"/>
      <c r="QY7840" s="106"/>
      <c r="QZ7840" s="106"/>
      <c r="RA7840" s="106"/>
      <c r="RB7840" s="106"/>
      <c r="RC7840" s="106"/>
      <c r="RD7840" s="106"/>
      <c r="RE7840" s="106"/>
      <c r="RF7840" s="106"/>
      <c r="RG7840" s="106"/>
      <c r="RH7840" s="106"/>
      <c r="RI7840" s="106"/>
      <c r="RJ7840" s="106"/>
      <c r="RK7840" s="106"/>
      <c r="RL7840" s="106"/>
    </row>
    <row r="7841" spans="462:480" x14ac:dyDescent="0.3">
      <c r="QT7841" s="106"/>
      <c r="QU7841" s="106"/>
      <c r="QV7841" s="106"/>
      <c r="QW7841" s="106"/>
      <c r="QX7841" s="106"/>
      <c r="QY7841" s="106"/>
      <c r="QZ7841" s="106"/>
      <c r="RA7841" s="106"/>
      <c r="RB7841" s="106"/>
      <c r="RC7841" s="106"/>
      <c r="RD7841" s="106"/>
      <c r="RE7841" s="106"/>
      <c r="RF7841" s="106"/>
      <c r="RG7841" s="106"/>
      <c r="RH7841" s="106"/>
      <c r="RI7841" s="106"/>
      <c r="RJ7841" s="106"/>
      <c r="RK7841" s="106"/>
      <c r="RL7841" s="106"/>
    </row>
    <row r="7842" spans="462:480" x14ac:dyDescent="0.3">
      <c r="QT7842" s="106"/>
      <c r="QU7842" s="106"/>
      <c r="QV7842" s="106"/>
      <c r="QW7842" s="106"/>
      <c r="QX7842" s="106"/>
      <c r="QY7842" s="106"/>
      <c r="QZ7842" s="106"/>
      <c r="RA7842" s="106"/>
      <c r="RB7842" s="106"/>
      <c r="RC7842" s="106"/>
      <c r="RD7842" s="106"/>
      <c r="RE7842" s="106"/>
      <c r="RF7842" s="106"/>
      <c r="RG7842" s="106"/>
      <c r="RH7842" s="106"/>
      <c r="RI7842" s="106"/>
      <c r="RJ7842" s="106"/>
      <c r="RK7842" s="106"/>
      <c r="RL7842" s="106"/>
    </row>
    <row r="7843" spans="462:480" x14ac:dyDescent="0.3">
      <c r="QT7843" s="106"/>
      <c r="QU7843" s="106"/>
      <c r="QV7843" s="106"/>
      <c r="QW7843" s="106"/>
      <c r="QX7843" s="106"/>
      <c r="QY7843" s="106"/>
      <c r="QZ7843" s="106"/>
      <c r="RA7843" s="106"/>
      <c r="RB7843" s="106"/>
      <c r="RC7843" s="106"/>
      <c r="RD7843" s="106"/>
      <c r="RE7843" s="106"/>
      <c r="RF7843" s="106"/>
      <c r="RG7843" s="106"/>
      <c r="RH7843" s="106"/>
      <c r="RI7843" s="106"/>
      <c r="RJ7843" s="106"/>
      <c r="RK7843" s="106"/>
      <c r="RL7843" s="106"/>
    </row>
    <row r="7844" spans="462:480" x14ac:dyDescent="0.3">
      <c r="QT7844" s="106"/>
      <c r="QU7844" s="106"/>
      <c r="QV7844" s="106"/>
      <c r="QW7844" s="106"/>
      <c r="QX7844" s="106"/>
      <c r="QY7844" s="106"/>
      <c r="QZ7844" s="106"/>
      <c r="RA7844" s="106"/>
      <c r="RB7844" s="106"/>
      <c r="RC7844" s="106"/>
      <c r="RD7844" s="106"/>
      <c r="RE7844" s="106"/>
      <c r="RF7844" s="106"/>
      <c r="RG7844" s="106"/>
      <c r="RH7844" s="106"/>
      <c r="RI7844" s="106"/>
      <c r="RJ7844" s="106"/>
      <c r="RK7844" s="106"/>
      <c r="RL7844" s="106"/>
    </row>
    <row r="7845" spans="462:480" x14ac:dyDescent="0.3">
      <c r="QT7845" s="106"/>
      <c r="QU7845" s="106"/>
      <c r="QV7845" s="106"/>
      <c r="QW7845" s="106"/>
      <c r="QX7845" s="106"/>
      <c r="QY7845" s="106"/>
      <c r="QZ7845" s="106"/>
      <c r="RA7845" s="106"/>
      <c r="RB7845" s="106"/>
      <c r="RC7845" s="106"/>
      <c r="RD7845" s="106"/>
      <c r="RE7845" s="106"/>
      <c r="RF7845" s="106"/>
      <c r="RG7845" s="106"/>
      <c r="RH7845" s="106"/>
      <c r="RI7845" s="106"/>
      <c r="RJ7845" s="106"/>
      <c r="RK7845" s="106"/>
      <c r="RL7845" s="106"/>
    </row>
    <row r="7846" spans="462:480" x14ac:dyDescent="0.3">
      <c r="QT7846" s="106"/>
      <c r="QU7846" s="106"/>
      <c r="QV7846" s="106"/>
      <c r="QW7846" s="106"/>
      <c r="QX7846" s="106"/>
      <c r="QY7846" s="106"/>
      <c r="QZ7846" s="106"/>
      <c r="RA7846" s="106"/>
      <c r="RB7846" s="106"/>
      <c r="RC7846" s="106"/>
      <c r="RD7846" s="106"/>
      <c r="RE7846" s="106"/>
      <c r="RF7846" s="106"/>
      <c r="RG7846" s="106"/>
      <c r="RH7846" s="106"/>
      <c r="RI7846" s="106"/>
      <c r="RJ7846" s="106"/>
      <c r="RK7846" s="106"/>
      <c r="RL7846" s="106"/>
    </row>
    <row r="7847" spans="462:480" x14ac:dyDescent="0.3">
      <c r="QT7847" s="106"/>
      <c r="QU7847" s="106"/>
      <c r="QV7847" s="106"/>
      <c r="QW7847" s="106"/>
      <c r="QX7847" s="106"/>
      <c r="QY7847" s="106"/>
      <c r="QZ7847" s="106"/>
      <c r="RA7847" s="106"/>
      <c r="RB7847" s="106"/>
      <c r="RC7847" s="106"/>
      <c r="RD7847" s="106"/>
      <c r="RE7847" s="106"/>
      <c r="RF7847" s="106"/>
      <c r="RG7847" s="106"/>
      <c r="RH7847" s="106"/>
      <c r="RI7847" s="106"/>
      <c r="RJ7847" s="106"/>
      <c r="RK7847" s="106"/>
      <c r="RL7847" s="106"/>
    </row>
    <row r="7848" spans="462:480" x14ac:dyDescent="0.3">
      <c r="QT7848" s="106"/>
      <c r="QU7848" s="106"/>
      <c r="QV7848" s="106"/>
      <c r="QW7848" s="106"/>
      <c r="QX7848" s="106"/>
      <c r="QY7848" s="106"/>
      <c r="QZ7848" s="106"/>
      <c r="RA7848" s="106"/>
      <c r="RB7848" s="106"/>
      <c r="RC7848" s="106"/>
      <c r="RD7848" s="106"/>
      <c r="RE7848" s="106"/>
      <c r="RF7848" s="106"/>
      <c r="RG7848" s="106"/>
      <c r="RH7848" s="106"/>
      <c r="RI7848" s="106"/>
      <c r="RJ7848" s="106"/>
      <c r="RK7848" s="106"/>
      <c r="RL7848" s="106"/>
    </row>
    <row r="7849" spans="462:480" x14ac:dyDescent="0.3">
      <c r="QT7849" s="106"/>
      <c r="QU7849" s="106"/>
      <c r="QV7849" s="106"/>
      <c r="QW7849" s="106"/>
      <c r="QX7849" s="106"/>
      <c r="QY7849" s="106"/>
      <c r="QZ7849" s="106"/>
      <c r="RA7849" s="106"/>
      <c r="RB7849" s="106"/>
      <c r="RC7849" s="106"/>
      <c r="RD7849" s="106"/>
      <c r="RE7849" s="106"/>
      <c r="RF7849" s="106"/>
      <c r="RG7849" s="106"/>
      <c r="RH7849" s="106"/>
      <c r="RI7849" s="106"/>
      <c r="RJ7849" s="106"/>
      <c r="RK7849" s="106"/>
      <c r="RL7849" s="106"/>
    </row>
    <row r="7850" spans="462:480" x14ac:dyDescent="0.3">
      <c r="QT7850" s="106"/>
      <c r="QU7850" s="106"/>
      <c r="QV7850" s="106"/>
      <c r="QW7850" s="106"/>
      <c r="QX7850" s="106"/>
      <c r="QY7850" s="106"/>
      <c r="QZ7850" s="106"/>
      <c r="RA7850" s="106"/>
      <c r="RB7850" s="106"/>
      <c r="RC7850" s="106"/>
      <c r="RD7850" s="106"/>
      <c r="RE7850" s="106"/>
      <c r="RF7850" s="106"/>
      <c r="RG7850" s="106"/>
      <c r="RH7850" s="106"/>
      <c r="RI7850" s="106"/>
      <c r="RJ7850" s="106"/>
      <c r="RK7850" s="106"/>
      <c r="RL7850" s="106"/>
    </row>
    <row r="7851" spans="462:480" x14ac:dyDescent="0.3">
      <c r="QT7851" s="106"/>
      <c r="QU7851" s="106"/>
      <c r="QV7851" s="106"/>
      <c r="QW7851" s="106"/>
      <c r="QX7851" s="106"/>
      <c r="QY7851" s="106"/>
      <c r="QZ7851" s="106"/>
      <c r="RA7851" s="106"/>
      <c r="RB7851" s="106"/>
      <c r="RC7851" s="106"/>
      <c r="RD7851" s="106"/>
      <c r="RE7851" s="106"/>
      <c r="RF7851" s="106"/>
      <c r="RG7851" s="106"/>
      <c r="RH7851" s="106"/>
      <c r="RI7851" s="106"/>
      <c r="RJ7851" s="106"/>
      <c r="RK7851" s="106"/>
      <c r="RL7851" s="106"/>
    </row>
    <row r="7852" spans="462:480" x14ac:dyDescent="0.3">
      <c r="QT7852" s="106"/>
      <c r="QU7852" s="106"/>
      <c r="QV7852" s="106"/>
      <c r="QW7852" s="106"/>
      <c r="QX7852" s="106"/>
      <c r="QY7852" s="106"/>
      <c r="QZ7852" s="106"/>
      <c r="RA7852" s="106"/>
      <c r="RB7852" s="106"/>
      <c r="RC7852" s="106"/>
      <c r="RD7852" s="106"/>
      <c r="RE7852" s="106"/>
      <c r="RF7852" s="106"/>
      <c r="RG7852" s="106"/>
      <c r="RH7852" s="106"/>
      <c r="RI7852" s="106"/>
      <c r="RJ7852" s="106"/>
      <c r="RK7852" s="106"/>
      <c r="RL7852" s="106"/>
    </row>
    <row r="7853" spans="462:480" x14ac:dyDescent="0.3">
      <c r="QT7853" s="106"/>
      <c r="QU7853" s="106"/>
      <c r="QV7853" s="106"/>
      <c r="QW7853" s="106"/>
      <c r="QX7853" s="106"/>
      <c r="QY7853" s="106"/>
      <c r="QZ7853" s="106"/>
      <c r="RA7853" s="106"/>
      <c r="RB7853" s="106"/>
      <c r="RC7853" s="106"/>
      <c r="RD7853" s="106"/>
      <c r="RE7853" s="106"/>
      <c r="RF7853" s="106"/>
      <c r="RG7853" s="106"/>
      <c r="RH7853" s="106"/>
      <c r="RI7853" s="106"/>
      <c r="RJ7853" s="106"/>
      <c r="RK7853" s="106"/>
      <c r="RL7853" s="106"/>
    </row>
    <row r="7854" spans="462:480" x14ac:dyDescent="0.3">
      <c r="QT7854" s="106"/>
      <c r="QU7854" s="106"/>
      <c r="QV7854" s="106"/>
      <c r="QW7854" s="106"/>
      <c r="QX7854" s="106"/>
      <c r="QY7854" s="106"/>
      <c r="QZ7854" s="106"/>
      <c r="RA7854" s="106"/>
      <c r="RB7854" s="106"/>
      <c r="RC7854" s="106"/>
      <c r="RD7854" s="106"/>
      <c r="RE7854" s="106"/>
      <c r="RF7854" s="106"/>
      <c r="RG7854" s="106"/>
      <c r="RH7854" s="106"/>
      <c r="RI7854" s="106"/>
      <c r="RJ7854" s="106"/>
      <c r="RK7854" s="106"/>
      <c r="RL7854" s="106"/>
    </row>
    <row r="7855" spans="462:480" x14ac:dyDescent="0.3">
      <c r="QT7855" s="106"/>
      <c r="QU7855" s="106"/>
      <c r="QV7855" s="106"/>
      <c r="QW7855" s="106"/>
      <c r="QX7855" s="106"/>
      <c r="QY7855" s="106"/>
      <c r="QZ7855" s="106"/>
      <c r="RA7855" s="106"/>
      <c r="RB7855" s="106"/>
      <c r="RC7855" s="106"/>
      <c r="RD7855" s="106"/>
      <c r="RE7855" s="106"/>
      <c r="RF7855" s="106"/>
      <c r="RG7855" s="106"/>
      <c r="RH7855" s="106"/>
      <c r="RI7855" s="106"/>
      <c r="RJ7855" s="106"/>
      <c r="RK7855" s="106"/>
      <c r="RL7855" s="106"/>
    </row>
    <row r="7856" spans="462:480" x14ac:dyDescent="0.3">
      <c r="QT7856" s="106"/>
      <c r="QU7856" s="106"/>
      <c r="QV7856" s="106"/>
      <c r="QW7856" s="106"/>
      <c r="QX7856" s="106"/>
      <c r="QY7856" s="106"/>
      <c r="QZ7856" s="106"/>
      <c r="RA7856" s="106"/>
      <c r="RB7856" s="106"/>
      <c r="RC7856" s="106"/>
      <c r="RD7856" s="106"/>
      <c r="RE7856" s="106"/>
      <c r="RF7856" s="106"/>
      <c r="RG7856" s="106"/>
      <c r="RH7856" s="106"/>
      <c r="RI7856" s="106"/>
      <c r="RJ7856" s="106"/>
      <c r="RK7856" s="106"/>
      <c r="RL7856" s="106"/>
    </row>
    <row r="7857" spans="462:480" x14ac:dyDescent="0.3">
      <c r="QT7857" s="106"/>
      <c r="QU7857" s="106"/>
      <c r="QV7857" s="106"/>
      <c r="QW7857" s="106"/>
      <c r="QX7857" s="106"/>
      <c r="QY7857" s="106"/>
      <c r="QZ7857" s="106"/>
      <c r="RA7857" s="106"/>
      <c r="RB7857" s="106"/>
      <c r="RC7857" s="106"/>
      <c r="RD7857" s="106"/>
      <c r="RE7857" s="106"/>
      <c r="RF7857" s="106"/>
      <c r="RG7857" s="106"/>
      <c r="RH7857" s="106"/>
      <c r="RI7857" s="106"/>
      <c r="RJ7857" s="106"/>
      <c r="RK7857" s="106"/>
      <c r="RL7857" s="106"/>
    </row>
    <row r="7858" spans="462:480" x14ac:dyDescent="0.3">
      <c r="QT7858" s="106"/>
      <c r="QU7858" s="106"/>
      <c r="QV7858" s="106"/>
      <c r="QW7858" s="106"/>
      <c r="QX7858" s="106"/>
      <c r="QY7858" s="106"/>
      <c r="QZ7858" s="106"/>
      <c r="RA7858" s="106"/>
      <c r="RB7858" s="106"/>
      <c r="RC7858" s="106"/>
      <c r="RD7858" s="106"/>
      <c r="RE7858" s="106"/>
      <c r="RF7858" s="106"/>
      <c r="RG7858" s="106"/>
      <c r="RH7858" s="106"/>
      <c r="RI7858" s="106"/>
      <c r="RJ7858" s="106"/>
      <c r="RK7858" s="106"/>
      <c r="RL7858" s="106"/>
    </row>
    <row r="7859" spans="462:480" x14ac:dyDescent="0.3">
      <c r="QT7859" s="106"/>
      <c r="QU7859" s="106"/>
      <c r="QV7859" s="106"/>
      <c r="QW7859" s="106"/>
      <c r="QX7859" s="106"/>
      <c r="QY7859" s="106"/>
      <c r="QZ7859" s="106"/>
      <c r="RA7859" s="106"/>
      <c r="RB7859" s="106"/>
      <c r="RC7859" s="106"/>
      <c r="RD7859" s="106"/>
      <c r="RE7859" s="106"/>
      <c r="RF7859" s="106"/>
      <c r="RG7859" s="106"/>
      <c r="RH7859" s="106"/>
      <c r="RI7859" s="106"/>
      <c r="RJ7859" s="106"/>
      <c r="RK7859" s="106"/>
      <c r="RL7859" s="106"/>
    </row>
    <row r="7860" spans="462:480" x14ac:dyDescent="0.3">
      <c r="QT7860" s="106"/>
      <c r="QU7860" s="106"/>
      <c r="QV7860" s="106"/>
      <c r="QW7860" s="106"/>
      <c r="QX7860" s="106"/>
      <c r="QY7860" s="106"/>
      <c r="QZ7860" s="106"/>
      <c r="RA7860" s="106"/>
      <c r="RB7860" s="106"/>
      <c r="RC7860" s="106"/>
      <c r="RD7860" s="106"/>
      <c r="RE7860" s="106"/>
      <c r="RF7860" s="106"/>
      <c r="RG7860" s="106"/>
      <c r="RH7860" s="106"/>
      <c r="RI7860" s="106"/>
      <c r="RJ7860" s="106"/>
      <c r="RK7860" s="106"/>
      <c r="RL7860" s="106"/>
    </row>
    <row r="7861" spans="462:480" x14ac:dyDescent="0.3">
      <c r="QT7861" s="106"/>
      <c r="QU7861" s="106"/>
      <c r="QV7861" s="106"/>
      <c r="QW7861" s="106"/>
      <c r="QX7861" s="106"/>
      <c r="QY7861" s="106"/>
      <c r="QZ7861" s="106"/>
      <c r="RA7861" s="106"/>
      <c r="RB7861" s="106"/>
      <c r="RC7861" s="106"/>
      <c r="RD7861" s="106"/>
      <c r="RE7861" s="106"/>
      <c r="RF7861" s="106"/>
      <c r="RG7861" s="106"/>
      <c r="RH7861" s="106"/>
      <c r="RI7861" s="106"/>
      <c r="RJ7861" s="106"/>
      <c r="RK7861" s="106"/>
      <c r="RL7861" s="106"/>
    </row>
    <row r="7862" spans="462:480" x14ac:dyDescent="0.3">
      <c r="QT7862" s="106"/>
      <c r="QU7862" s="106"/>
      <c r="QV7862" s="106"/>
      <c r="QW7862" s="106"/>
      <c r="QX7862" s="106"/>
      <c r="QY7862" s="106"/>
      <c r="QZ7862" s="106"/>
      <c r="RA7862" s="106"/>
      <c r="RB7862" s="106"/>
      <c r="RC7862" s="106"/>
      <c r="RD7862" s="106"/>
      <c r="RE7862" s="106"/>
      <c r="RF7862" s="106"/>
      <c r="RG7862" s="106"/>
      <c r="RH7862" s="106"/>
      <c r="RI7862" s="106"/>
      <c r="RJ7862" s="106"/>
      <c r="RK7862" s="106"/>
      <c r="RL7862" s="106"/>
    </row>
    <row r="7863" spans="462:480" x14ac:dyDescent="0.3">
      <c r="QT7863" s="106"/>
      <c r="QU7863" s="106"/>
      <c r="QV7863" s="106"/>
      <c r="QW7863" s="106"/>
      <c r="QX7863" s="106"/>
      <c r="QY7863" s="106"/>
      <c r="QZ7863" s="106"/>
      <c r="RA7863" s="106"/>
      <c r="RB7863" s="106"/>
      <c r="RC7863" s="106"/>
      <c r="RD7863" s="106"/>
      <c r="RE7863" s="106"/>
      <c r="RF7863" s="106"/>
      <c r="RG7863" s="106"/>
      <c r="RH7863" s="106"/>
      <c r="RI7863" s="106"/>
      <c r="RJ7863" s="106"/>
      <c r="RK7863" s="106"/>
      <c r="RL7863" s="106"/>
    </row>
    <row r="7864" spans="462:480" x14ac:dyDescent="0.3">
      <c r="QT7864" s="106"/>
      <c r="QU7864" s="106"/>
      <c r="QV7864" s="106"/>
      <c r="QW7864" s="106"/>
      <c r="QX7864" s="106"/>
      <c r="QY7864" s="106"/>
      <c r="QZ7864" s="106"/>
      <c r="RA7864" s="106"/>
      <c r="RB7864" s="106"/>
      <c r="RC7864" s="106"/>
      <c r="RD7864" s="106"/>
      <c r="RE7864" s="106"/>
      <c r="RF7864" s="106"/>
      <c r="RG7864" s="106"/>
      <c r="RH7864" s="106"/>
      <c r="RI7864" s="106"/>
      <c r="RJ7864" s="106"/>
      <c r="RK7864" s="106"/>
      <c r="RL7864" s="106"/>
    </row>
    <row r="7865" spans="462:480" x14ac:dyDescent="0.3">
      <c r="QT7865" s="106"/>
      <c r="QU7865" s="106"/>
      <c r="QV7865" s="106"/>
      <c r="QW7865" s="106"/>
      <c r="QX7865" s="106"/>
      <c r="QY7865" s="106"/>
      <c r="QZ7865" s="106"/>
      <c r="RA7865" s="106"/>
      <c r="RB7865" s="106"/>
      <c r="RC7865" s="106"/>
      <c r="RD7865" s="106"/>
      <c r="RE7865" s="106"/>
      <c r="RF7865" s="106"/>
      <c r="RG7865" s="106"/>
      <c r="RH7865" s="106"/>
      <c r="RI7865" s="106"/>
      <c r="RJ7865" s="106"/>
      <c r="RK7865" s="106"/>
      <c r="RL7865" s="106"/>
    </row>
    <row r="7866" spans="462:480" x14ac:dyDescent="0.3">
      <c r="QT7866" s="106"/>
      <c r="QU7866" s="106"/>
      <c r="QV7866" s="106"/>
      <c r="QW7866" s="106"/>
      <c r="QX7866" s="106"/>
      <c r="QY7866" s="106"/>
      <c r="QZ7866" s="106"/>
      <c r="RA7866" s="106"/>
      <c r="RB7866" s="106"/>
      <c r="RC7866" s="106"/>
      <c r="RD7866" s="106"/>
      <c r="RE7866" s="106"/>
      <c r="RF7866" s="106"/>
      <c r="RG7866" s="106"/>
      <c r="RH7866" s="106"/>
      <c r="RI7866" s="106"/>
      <c r="RJ7866" s="106"/>
      <c r="RK7866" s="106"/>
      <c r="RL7866" s="106"/>
    </row>
    <row r="7867" spans="462:480" x14ac:dyDescent="0.3">
      <c r="QT7867" s="106"/>
      <c r="QU7867" s="106"/>
      <c r="QV7867" s="106"/>
      <c r="QW7867" s="106"/>
      <c r="QX7867" s="106"/>
      <c r="QY7867" s="106"/>
      <c r="QZ7867" s="106"/>
      <c r="RA7867" s="106"/>
      <c r="RB7867" s="106"/>
      <c r="RC7867" s="106"/>
      <c r="RD7867" s="106"/>
      <c r="RE7867" s="106"/>
      <c r="RF7867" s="106"/>
      <c r="RG7867" s="106"/>
      <c r="RH7867" s="106"/>
      <c r="RI7867" s="106"/>
      <c r="RJ7867" s="106"/>
      <c r="RK7867" s="106"/>
      <c r="RL7867" s="106"/>
    </row>
    <row r="7868" spans="462:480" x14ac:dyDescent="0.3">
      <c r="QT7868" s="106"/>
      <c r="QU7868" s="106"/>
      <c r="QV7868" s="106"/>
      <c r="QW7868" s="106"/>
      <c r="QX7868" s="106"/>
      <c r="QY7868" s="106"/>
      <c r="QZ7868" s="106"/>
      <c r="RA7868" s="106"/>
      <c r="RB7868" s="106"/>
      <c r="RC7868" s="106"/>
      <c r="RD7868" s="106"/>
      <c r="RE7868" s="106"/>
      <c r="RF7868" s="106"/>
      <c r="RG7868" s="106"/>
      <c r="RH7868" s="106"/>
      <c r="RI7868" s="106"/>
      <c r="RJ7868" s="106"/>
      <c r="RK7868" s="106"/>
      <c r="RL7868" s="106"/>
    </row>
    <row r="7869" spans="462:480" x14ac:dyDescent="0.3">
      <c r="QT7869" s="106"/>
      <c r="QU7869" s="106"/>
      <c r="QV7869" s="106"/>
      <c r="QW7869" s="106"/>
      <c r="QX7869" s="106"/>
      <c r="QY7869" s="106"/>
      <c r="QZ7869" s="106"/>
      <c r="RA7869" s="106"/>
      <c r="RB7869" s="106"/>
      <c r="RC7869" s="106"/>
      <c r="RD7869" s="106"/>
      <c r="RE7869" s="106"/>
      <c r="RF7869" s="106"/>
      <c r="RG7869" s="106"/>
      <c r="RH7869" s="106"/>
      <c r="RI7869" s="106"/>
      <c r="RJ7869" s="106"/>
      <c r="RK7869" s="106"/>
      <c r="RL7869" s="106"/>
    </row>
    <row r="7870" spans="462:480" x14ac:dyDescent="0.3">
      <c r="QT7870" s="106"/>
      <c r="QU7870" s="106"/>
      <c r="QV7870" s="106"/>
      <c r="QW7870" s="106"/>
      <c r="QX7870" s="106"/>
      <c r="QY7870" s="106"/>
      <c r="QZ7870" s="106"/>
      <c r="RA7870" s="106"/>
      <c r="RB7870" s="106"/>
      <c r="RC7870" s="106"/>
      <c r="RD7870" s="106"/>
      <c r="RE7870" s="106"/>
      <c r="RF7870" s="106"/>
      <c r="RG7870" s="106"/>
      <c r="RH7870" s="106"/>
      <c r="RI7870" s="106"/>
      <c r="RJ7870" s="106"/>
      <c r="RK7870" s="106"/>
      <c r="RL7870" s="106"/>
    </row>
    <row r="7871" spans="462:480" x14ac:dyDescent="0.3">
      <c r="QT7871" s="106"/>
      <c r="QU7871" s="106"/>
      <c r="QV7871" s="106"/>
      <c r="QW7871" s="106"/>
      <c r="QX7871" s="106"/>
      <c r="QY7871" s="106"/>
      <c r="QZ7871" s="106"/>
      <c r="RA7871" s="106"/>
      <c r="RB7871" s="106"/>
      <c r="RC7871" s="106"/>
      <c r="RD7871" s="106"/>
      <c r="RE7871" s="106"/>
      <c r="RF7871" s="106"/>
      <c r="RG7871" s="106"/>
      <c r="RH7871" s="106"/>
      <c r="RI7871" s="106"/>
      <c r="RJ7871" s="106"/>
      <c r="RK7871" s="106"/>
      <c r="RL7871" s="106"/>
    </row>
    <row r="7872" spans="462:480" x14ac:dyDescent="0.3">
      <c r="QT7872" s="106"/>
      <c r="QU7872" s="106"/>
      <c r="QV7872" s="106"/>
      <c r="QW7872" s="106"/>
      <c r="QX7872" s="106"/>
      <c r="QY7872" s="106"/>
      <c r="QZ7872" s="106"/>
      <c r="RA7872" s="106"/>
      <c r="RB7872" s="106"/>
      <c r="RC7872" s="106"/>
      <c r="RD7872" s="106"/>
      <c r="RE7872" s="106"/>
      <c r="RF7872" s="106"/>
      <c r="RG7872" s="106"/>
      <c r="RH7872" s="106"/>
      <c r="RI7872" s="106"/>
      <c r="RJ7872" s="106"/>
      <c r="RK7872" s="106"/>
      <c r="RL7872" s="106"/>
    </row>
    <row r="7873" spans="462:480" x14ac:dyDescent="0.3">
      <c r="QT7873" s="106"/>
      <c r="QU7873" s="106"/>
      <c r="QV7873" s="106"/>
      <c r="QW7873" s="106"/>
      <c r="QX7873" s="106"/>
      <c r="QY7873" s="106"/>
      <c r="QZ7873" s="106"/>
      <c r="RA7873" s="106"/>
      <c r="RB7873" s="106"/>
      <c r="RC7873" s="106"/>
      <c r="RD7873" s="106"/>
      <c r="RE7873" s="106"/>
      <c r="RF7873" s="106"/>
      <c r="RG7873" s="106"/>
      <c r="RH7873" s="106"/>
      <c r="RI7873" s="106"/>
      <c r="RJ7873" s="106"/>
      <c r="RK7873" s="106"/>
      <c r="RL7873" s="106"/>
    </row>
    <row r="7874" spans="462:480" x14ac:dyDescent="0.3">
      <c r="QT7874" s="106"/>
      <c r="QU7874" s="106"/>
      <c r="QV7874" s="106"/>
      <c r="QW7874" s="106"/>
      <c r="QX7874" s="106"/>
      <c r="QY7874" s="106"/>
      <c r="QZ7874" s="106"/>
      <c r="RA7874" s="106"/>
      <c r="RB7874" s="106"/>
      <c r="RC7874" s="106"/>
      <c r="RD7874" s="106"/>
      <c r="RE7874" s="106"/>
      <c r="RF7874" s="106"/>
      <c r="RG7874" s="106"/>
      <c r="RH7874" s="106"/>
      <c r="RI7874" s="106"/>
      <c r="RJ7874" s="106"/>
      <c r="RK7874" s="106"/>
      <c r="RL7874" s="106"/>
    </row>
    <row r="7875" spans="462:480" x14ac:dyDescent="0.3">
      <c r="QT7875" s="106"/>
      <c r="QU7875" s="106"/>
      <c r="QV7875" s="106"/>
      <c r="QW7875" s="106"/>
      <c r="QX7875" s="106"/>
      <c r="QY7875" s="106"/>
      <c r="QZ7875" s="106"/>
      <c r="RA7875" s="106"/>
      <c r="RB7875" s="106"/>
      <c r="RC7875" s="106"/>
      <c r="RD7875" s="106"/>
      <c r="RE7875" s="106"/>
      <c r="RF7875" s="106"/>
      <c r="RG7875" s="106"/>
      <c r="RH7875" s="106"/>
      <c r="RI7875" s="106"/>
      <c r="RJ7875" s="106"/>
      <c r="RK7875" s="106"/>
      <c r="RL7875" s="106"/>
    </row>
    <row r="7876" spans="462:480" x14ac:dyDescent="0.3">
      <c r="QT7876" s="106"/>
      <c r="QU7876" s="106"/>
      <c r="QV7876" s="106"/>
      <c r="QW7876" s="106"/>
      <c r="QX7876" s="106"/>
      <c r="QY7876" s="106"/>
      <c r="QZ7876" s="106"/>
      <c r="RA7876" s="106"/>
      <c r="RB7876" s="106"/>
      <c r="RC7876" s="106"/>
      <c r="RD7876" s="106"/>
      <c r="RE7876" s="106"/>
      <c r="RF7876" s="106"/>
      <c r="RG7876" s="106"/>
      <c r="RH7876" s="106"/>
      <c r="RI7876" s="106"/>
      <c r="RJ7876" s="106"/>
      <c r="RK7876" s="106"/>
      <c r="RL7876" s="106"/>
    </row>
    <row r="7877" spans="462:480" x14ac:dyDescent="0.3">
      <c r="QT7877" s="106"/>
      <c r="QU7877" s="106"/>
      <c r="QV7877" s="106"/>
      <c r="QW7877" s="106"/>
      <c r="QX7877" s="106"/>
      <c r="QY7877" s="106"/>
      <c r="QZ7877" s="106"/>
      <c r="RA7877" s="106"/>
      <c r="RB7877" s="106"/>
      <c r="RC7877" s="106"/>
      <c r="RD7877" s="106"/>
      <c r="RE7877" s="106"/>
      <c r="RF7877" s="106"/>
      <c r="RG7877" s="106"/>
      <c r="RH7877" s="106"/>
      <c r="RI7877" s="106"/>
      <c r="RJ7877" s="106"/>
      <c r="RK7877" s="106"/>
      <c r="RL7877" s="106"/>
    </row>
    <row r="7878" spans="462:480" x14ac:dyDescent="0.3">
      <c r="QT7878" s="106"/>
      <c r="QU7878" s="106"/>
      <c r="QV7878" s="106"/>
      <c r="QW7878" s="106"/>
      <c r="QX7878" s="106"/>
      <c r="QY7878" s="106"/>
      <c r="QZ7878" s="106"/>
      <c r="RA7878" s="106"/>
      <c r="RB7878" s="106"/>
      <c r="RC7878" s="106"/>
      <c r="RD7878" s="106"/>
      <c r="RE7878" s="106"/>
      <c r="RF7878" s="106"/>
      <c r="RG7878" s="106"/>
      <c r="RH7878" s="106"/>
      <c r="RI7878" s="106"/>
      <c r="RJ7878" s="106"/>
      <c r="RK7878" s="106"/>
      <c r="RL7878" s="106"/>
    </row>
    <row r="7879" spans="462:480" x14ac:dyDescent="0.3">
      <c r="QT7879" s="106"/>
      <c r="QU7879" s="106"/>
      <c r="QV7879" s="106"/>
      <c r="QW7879" s="106"/>
      <c r="QX7879" s="106"/>
      <c r="QY7879" s="106"/>
      <c r="QZ7879" s="106"/>
      <c r="RA7879" s="106"/>
      <c r="RB7879" s="106"/>
      <c r="RC7879" s="106"/>
      <c r="RD7879" s="106"/>
      <c r="RE7879" s="106"/>
      <c r="RF7879" s="106"/>
      <c r="RG7879" s="106"/>
      <c r="RH7879" s="106"/>
      <c r="RI7879" s="106"/>
      <c r="RJ7879" s="106"/>
      <c r="RK7879" s="106"/>
      <c r="RL7879" s="106"/>
    </row>
    <row r="7880" spans="462:480" x14ac:dyDescent="0.3">
      <c r="QT7880" s="106"/>
      <c r="QU7880" s="106"/>
      <c r="QV7880" s="106"/>
      <c r="QW7880" s="106"/>
      <c r="QX7880" s="106"/>
      <c r="QY7880" s="106"/>
      <c r="QZ7880" s="106"/>
      <c r="RA7880" s="106"/>
      <c r="RB7880" s="106"/>
      <c r="RC7880" s="106"/>
      <c r="RD7880" s="106"/>
      <c r="RE7880" s="106"/>
      <c r="RF7880" s="106"/>
      <c r="RG7880" s="106"/>
      <c r="RH7880" s="106"/>
      <c r="RI7880" s="106"/>
      <c r="RJ7880" s="106"/>
      <c r="RK7880" s="106"/>
      <c r="RL7880" s="106"/>
    </row>
    <row r="7881" spans="462:480" x14ac:dyDescent="0.3">
      <c r="QT7881" s="106"/>
      <c r="QU7881" s="106"/>
      <c r="QV7881" s="106"/>
      <c r="QW7881" s="106"/>
      <c r="QX7881" s="106"/>
      <c r="QY7881" s="106"/>
      <c r="QZ7881" s="106"/>
      <c r="RA7881" s="106"/>
      <c r="RB7881" s="106"/>
      <c r="RC7881" s="106"/>
      <c r="RD7881" s="106"/>
      <c r="RE7881" s="106"/>
      <c r="RF7881" s="106"/>
      <c r="RG7881" s="106"/>
      <c r="RH7881" s="106"/>
      <c r="RI7881" s="106"/>
      <c r="RJ7881" s="106"/>
      <c r="RK7881" s="106"/>
      <c r="RL7881" s="106"/>
    </row>
    <row r="7882" spans="462:480" x14ac:dyDescent="0.3">
      <c r="QT7882" s="106"/>
      <c r="QU7882" s="106"/>
      <c r="QV7882" s="106"/>
      <c r="QW7882" s="106"/>
      <c r="QX7882" s="106"/>
      <c r="QY7882" s="106"/>
      <c r="QZ7882" s="106"/>
      <c r="RA7882" s="106"/>
      <c r="RB7882" s="106"/>
      <c r="RC7882" s="106"/>
      <c r="RD7882" s="106"/>
      <c r="RE7882" s="106"/>
      <c r="RF7882" s="106"/>
      <c r="RG7882" s="106"/>
      <c r="RH7882" s="106"/>
      <c r="RI7882" s="106"/>
      <c r="RJ7882" s="106"/>
      <c r="RK7882" s="106"/>
      <c r="RL7882" s="106"/>
    </row>
    <row r="7883" spans="462:480" x14ac:dyDescent="0.3">
      <c r="QT7883" s="106"/>
      <c r="QU7883" s="106"/>
      <c r="QV7883" s="106"/>
      <c r="QW7883" s="106"/>
      <c r="QX7883" s="106"/>
      <c r="QY7883" s="106"/>
      <c r="QZ7883" s="106"/>
      <c r="RA7883" s="106"/>
      <c r="RB7883" s="106"/>
      <c r="RC7883" s="106"/>
      <c r="RD7883" s="106"/>
      <c r="RE7883" s="106"/>
      <c r="RF7883" s="106"/>
      <c r="RG7883" s="106"/>
      <c r="RH7883" s="106"/>
      <c r="RI7883" s="106"/>
      <c r="RJ7883" s="106"/>
      <c r="RK7883" s="106"/>
      <c r="RL7883" s="106"/>
    </row>
    <row r="7884" spans="462:480" x14ac:dyDescent="0.3">
      <c r="QT7884" s="106"/>
      <c r="QU7884" s="106"/>
      <c r="QV7884" s="106"/>
      <c r="QW7884" s="106"/>
      <c r="QX7884" s="106"/>
      <c r="QY7884" s="106"/>
      <c r="QZ7884" s="106"/>
      <c r="RA7884" s="106"/>
      <c r="RB7884" s="106"/>
      <c r="RC7884" s="106"/>
      <c r="RD7884" s="106"/>
      <c r="RE7884" s="106"/>
      <c r="RF7884" s="106"/>
      <c r="RG7884" s="106"/>
      <c r="RH7884" s="106"/>
      <c r="RI7884" s="106"/>
      <c r="RJ7884" s="106"/>
      <c r="RK7884" s="106"/>
      <c r="RL7884" s="106"/>
    </row>
    <row r="7885" spans="462:480" x14ac:dyDescent="0.3">
      <c r="QT7885" s="106"/>
      <c r="QU7885" s="106"/>
      <c r="QV7885" s="106"/>
      <c r="QW7885" s="106"/>
      <c r="QX7885" s="106"/>
      <c r="QY7885" s="106"/>
      <c r="QZ7885" s="106"/>
      <c r="RA7885" s="106"/>
      <c r="RB7885" s="106"/>
      <c r="RC7885" s="106"/>
      <c r="RD7885" s="106"/>
      <c r="RE7885" s="106"/>
      <c r="RF7885" s="106"/>
      <c r="RG7885" s="106"/>
      <c r="RH7885" s="106"/>
      <c r="RI7885" s="106"/>
      <c r="RJ7885" s="106"/>
      <c r="RK7885" s="106"/>
      <c r="RL7885" s="106"/>
    </row>
    <row r="7886" spans="462:480" x14ac:dyDescent="0.3">
      <c r="QT7886" s="106"/>
      <c r="QU7886" s="106"/>
      <c r="QV7886" s="106"/>
      <c r="QW7886" s="106"/>
      <c r="QX7886" s="106"/>
      <c r="QY7886" s="106"/>
      <c r="QZ7886" s="106"/>
      <c r="RA7886" s="106"/>
      <c r="RB7886" s="106"/>
      <c r="RC7886" s="106"/>
      <c r="RD7886" s="106"/>
      <c r="RE7886" s="106"/>
      <c r="RF7886" s="106"/>
      <c r="RG7886" s="106"/>
      <c r="RH7886" s="106"/>
      <c r="RI7886" s="106"/>
      <c r="RJ7886" s="106"/>
      <c r="RK7886" s="106"/>
      <c r="RL7886" s="106"/>
    </row>
    <row r="7887" spans="462:480" x14ac:dyDescent="0.3">
      <c r="QT7887" s="106"/>
      <c r="QU7887" s="106"/>
      <c r="QV7887" s="106"/>
      <c r="QW7887" s="106"/>
      <c r="QX7887" s="106"/>
      <c r="QY7887" s="106"/>
      <c r="QZ7887" s="106"/>
      <c r="RA7887" s="106"/>
      <c r="RB7887" s="106"/>
      <c r="RC7887" s="106"/>
      <c r="RD7887" s="106"/>
      <c r="RE7887" s="106"/>
      <c r="RF7887" s="106"/>
      <c r="RG7887" s="106"/>
      <c r="RH7887" s="106"/>
      <c r="RI7887" s="106"/>
      <c r="RJ7887" s="106"/>
      <c r="RK7887" s="106"/>
      <c r="RL7887" s="106"/>
    </row>
    <row r="7888" spans="462:480" x14ac:dyDescent="0.3">
      <c r="QT7888" s="106"/>
      <c r="QU7888" s="106"/>
      <c r="QV7888" s="106"/>
      <c r="QW7888" s="106"/>
      <c r="QX7888" s="106"/>
      <c r="QY7888" s="106"/>
      <c r="QZ7888" s="106"/>
      <c r="RA7888" s="106"/>
      <c r="RB7888" s="106"/>
      <c r="RC7888" s="106"/>
      <c r="RD7888" s="106"/>
      <c r="RE7888" s="106"/>
      <c r="RF7888" s="106"/>
      <c r="RG7888" s="106"/>
      <c r="RH7888" s="106"/>
      <c r="RI7888" s="106"/>
      <c r="RJ7888" s="106"/>
      <c r="RK7888" s="106"/>
      <c r="RL7888" s="106"/>
    </row>
    <row r="7889" spans="462:480" x14ac:dyDescent="0.3">
      <c r="QT7889" s="106"/>
      <c r="QU7889" s="106"/>
      <c r="QV7889" s="106"/>
      <c r="QW7889" s="106"/>
      <c r="QX7889" s="106"/>
      <c r="QY7889" s="106"/>
      <c r="QZ7889" s="106"/>
      <c r="RA7889" s="106"/>
      <c r="RB7889" s="106"/>
      <c r="RC7889" s="106"/>
      <c r="RD7889" s="106"/>
      <c r="RE7889" s="106"/>
      <c r="RF7889" s="106"/>
      <c r="RG7889" s="106"/>
      <c r="RH7889" s="106"/>
      <c r="RI7889" s="106"/>
      <c r="RJ7889" s="106"/>
      <c r="RK7889" s="106"/>
      <c r="RL7889" s="106"/>
    </row>
    <row r="7890" spans="462:480" x14ac:dyDescent="0.3">
      <c r="QT7890" s="106"/>
      <c r="QU7890" s="106"/>
      <c r="QV7890" s="106"/>
      <c r="QW7890" s="106"/>
      <c r="QX7890" s="106"/>
      <c r="QY7890" s="106"/>
      <c r="QZ7890" s="106"/>
      <c r="RA7890" s="106"/>
      <c r="RB7890" s="106"/>
      <c r="RC7890" s="106"/>
      <c r="RD7890" s="106"/>
      <c r="RE7890" s="106"/>
      <c r="RF7890" s="106"/>
      <c r="RG7890" s="106"/>
      <c r="RH7890" s="106"/>
      <c r="RI7890" s="106"/>
      <c r="RJ7890" s="106"/>
      <c r="RK7890" s="106"/>
      <c r="RL7890" s="106"/>
    </row>
    <row r="7891" spans="462:480" x14ac:dyDescent="0.3">
      <c r="QT7891" s="106"/>
      <c r="QU7891" s="106"/>
      <c r="QV7891" s="106"/>
      <c r="QW7891" s="106"/>
      <c r="QX7891" s="106"/>
      <c r="QY7891" s="106"/>
      <c r="QZ7891" s="106"/>
      <c r="RA7891" s="106"/>
      <c r="RB7891" s="106"/>
      <c r="RC7891" s="106"/>
      <c r="RD7891" s="106"/>
      <c r="RE7891" s="106"/>
      <c r="RF7891" s="106"/>
      <c r="RG7891" s="106"/>
      <c r="RH7891" s="106"/>
      <c r="RI7891" s="106"/>
      <c r="RJ7891" s="106"/>
      <c r="RK7891" s="106"/>
      <c r="RL7891" s="106"/>
    </row>
    <row r="7892" spans="462:480" x14ac:dyDescent="0.3">
      <c r="QT7892" s="106"/>
      <c r="QU7892" s="106"/>
      <c r="QV7892" s="106"/>
      <c r="QW7892" s="106"/>
      <c r="QX7892" s="106"/>
      <c r="QY7892" s="106"/>
      <c r="QZ7892" s="106"/>
      <c r="RA7892" s="106"/>
      <c r="RB7892" s="106"/>
      <c r="RC7892" s="106"/>
      <c r="RD7892" s="106"/>
      <c r="RE7892" s="106"/>
      <c r="RF7892" s="106"/>
      <c r="RG7892" s="106"/>
      <c r="RH7892" s="106"/>
      <c r="RI7892" s="106"/>
      <c r="RJ7892" s="106"/>
      <c r="RK7892" s="106"/>
      <c r="RL7892" s="106"/>
    </row>
    <row r="7893" spans="462:480" x14ac:dyDescent="0.3">
      <c r="QT7893" s="106"/>
      <c r="QU7893" s="106"/>
      <c r="QV7893" s="106"/>
      <c r="QW7893" s="106"/>
      <c r="QX7893" s="106"/>
      <c r="QY7893" s="106"/>
      <c r="QZ7893" s="106"/>
      <c r="RA7893" s="106"/>
      <c r="RB7893" s="106"/>
      <c r="RC7893" s="106"/>
      <c r="RD7893" s="106"/>
      <c r="RE7893" s="106"/>
      <c r="RF7893" s="106"/>
      <c r="RG7893" s="106"/>
      <c r="RH7893" s="106"/>
      <c r="RI7893" s="106"/>
      <c r="RJ7893" s="106"/>
      <c r="RK7893" s="106"/>
      <c r="RL7893" s="106"/>
    </row>
    <row r="7894" spans="462:480" x14ac:dyDescent="0.3">
      <c r="QT7894" s="106"/>
      <c r="QU7894" s="106"/>
      <c r="QV7894" s="106"/>
      <c r="QW7894" s="106"/>
      <c r="QX7894" s="106"/>
      <c r="QY7894" s="106"/>
      <c r="QZ7894" s="106"/>
      <c r="RA7894" s="106"/>
      <c r="RB7894" s="106"/>
      <c r="RC7894" s="106"/>
      <c r="RD7894" s="106"/>
      <c r="RE7894" s="106"/>
      <c r="RF7894" s="106"/>
      <c r="RG7894" s="106"/>
      <c r="RH7894" s="106"/>
      <c r="RI7894" s="106"/>
      <c r="RJ7894" s="106"/>
      <c r="RK7894" s="106"/>
      <c r="RL7894" s="106"/>
    </row>
    <row r="7895" spans="462:480" x14ac:dyDescent="0.3">
      <c r="QT7895" s="106"/>
      <c r="QU7895" s="106"/>
      <c r="QV7895" s="106"/>
      <c r="QW7895" s="106"/>
      <c r="QX7895" s="106"/>
      <c r="QY7895" s="106"/>
      <c r="QZ7895" s="106"/>
      <c r="RA7895" s="106"/>
      <c r="RB7895" s="106"/>
      <c r="RC7895" s="106"/>
      <c r="RD7895" s="106"/>
      <c r="RE7895" s="106"/>
      <c r="RF7895" s="106"/>
      <c r="RG7895" s="106"/>
      <c r="RH7895" s="106"/>
      <c r="RI7895" s="106"/>
      <c r="RJ7895" s="106"/>
      <c r="RK7895" s="106"/>
      <c r="RL7895" s="106"/>
    </row>
    <row r="7896" spans="462:480" x14ac:dyDescent="0.3">
      <c r="QT7896" s="106"/>
      <c r="QU7896" s="106"/>
      <c r="QV7896" s="106"/>
      <c r="QW7896" s="106"/>
      <c r="QX7896" s="106"/>
      <c r="QY7896" s="106"/>
      <c r="QZ7896" s="106"/>
      <c r="RA7896" s="106"/>
      <c r="RB7896" s="106"/>
      <c r="RC7896" s="106"/>
      <c r="RD7896" s="106"/>
      <c r="RE7896" s="106"/>
      <c r="RF7896" s="106"/>
      <c r="RG7896" s="106"/>
      <c r="RH7896" s="106"/>
      <c r="RI7896" s="106"/>
      <c r="RJ7896" s="106"/>
      <c r="RK7896" s="106"/>
      <c r="RL7896" s="106"/>
    </row>
    <row r="7897" spans="462:480" x14ac:dyDescent="0.3">
      <c r="QT7897" s="106"/>
      <c r="QU7897" s="106"/>
      <c r="QV7897" s="106"/>
      <c r="QW7897" s="106"/>
      <c r="QX7897" s="106"/>
      <c r="QY7897" s="106"/>
      <c r="QZ7897" s="106"/>
      <c r="RA7897" s="106"/>
      <c r="RB7897" s="106"/>
      <c r="RC7897" s="106"/>
      <c r="RD7897" s="106"/>
      <c r="RE7897" s="106"/>
      <c r="RF7897" s="106"/>
      <c r="RG7897" s="106"/>
      <c r="RH7897" s="106"/>
      <c r="RI7897" s="106"/>
      <c r="RJ7897" s="106"/>
      <c r="RK7897" s="106"/>
      <c r="RL7897" s="106"/>
    </row>
    <row r="7898" spans="462:480" x14ac:dyDescent="0.3">
      <c r="QT7898" s="106"/>
      <c r="QU7898" s="106"/>
      <c r="QV7898" s="106"/>
      <c r="QW7898" s="106"/>
      <c r="QX7898" s="106"/>
      <c r="QY7898" s="106"/>
      <c r="QZ7898" s="106"/>
      <c r="RA7898" s="106"/>
      <c r="RB7898" s="106"/>
      <c r="RC7898" s="106"/>
      <c r="RD7898" s="106"/>
      <c r="RE7898" s="106"/>
      <c r="RF7898" s="106"/>
      <c r="RG7898" s="106"/>
      <c r="RH7898" s="106"/>
      <c r="RI7898" s="106"/>
      <c r="RJ7898" s="106"/>
      <c r="RK7898" s="106"/>
      <c r="RL7898" s="106"/>
    </row>
    <row r="7899" spans="462:480" x14ac:dyDescent="0.3">
      <c r="QT7899" s="106"/>
      <c r="QU7899" s="106"/>
      <c r="QV7899" s="106"/>
      <c r="QW7899" s="106"/>
      <c r="QX7899" s="106"/>
      <c r="QY7899" s="106"/>
      <c r="QZ7899" s="106"/>
      <c r="RA7899" s="106"/>
      <c r="RB7899" s="106"/>
      <c r="RC7899" s="106"/>
      <c r="RD7899" s="106"/>
      <c r="RE7899" s="106"/>
      <c r="RF7899" s="106"/>
      <c r="RG7899" s="106"/>
      <c r="RH7899" s="106"/>
      <c r="RI7899" s="106"/>
      <c r="RJ7899" s="106"/>
      <c r="RK7899" s="106"/>
      <c r="RL7899" s="106"/>
    </row>
    <row r="7900" spans="462:480" x14ac:dyDescent="0.3">
      <c r="QT7900" s="106"/>
      <c r="QU7900" s="106"/>
      <c r="QV7900" s="106"/>
      <c r="QW7900" s="106"/>
      <c r="QX7900" s="106"/>
      <c r="QY7900" s="106"/>
      <c r="QZ7900" s="106"/>
      <c r="RA7900" s="106"/>
      <c r="RB7900" s="106"/>
      <c r="RC7900" s="106"/>
      <c r="RD7900" s="106"/>
      <c r="RE7900" s="106"/>
      <c r="RF7900" s="106"/>
      <c r="RG7900" s="106"/>
      <c r="RH7900" s="106"/>
      <c r="RI7900" s="106"/>
      <c r="RJ7900" s="106"/>
      <c r="RK7900" s="106"/>
      <c r="RL7900" s="106"/>
    </row>
    <row r="7901" spans="462:480" x14ac:dyDescent="0.3">
      <c r="QT7901" s="106"/>
      <c r="QU7901" s="106"/>
      <c r="QV7901" s="106"/>
      <c r="QW7901" s="106"/>
      <c r="QX7901" s="106"/>
      <c r="QY7901" s="106"/>
      <c r="QZ7901" s="106"/>
      <c r="RA7901" s="106"/>
      <c r="RB7901" s="106"/>
      <c r="RC7901" s="106"/>
      <c r="RD7901" s="106"/>
      <c r="RE7901" s="106"/>
      <c r="RF7901" s="106"/>
      <c r="RG7901" s="106"/>
      <c r="RH7901" s="106"/>
      <c r="RI7901" s="106"/>
      <c r="RJ7901" s="106"/>
      <c r="RK7901" s="106"/>
      <c r="RL7901" s="106"/>
    </row>
    <row r="7902" spans="462:480" x14ac:dyDescent="0.3">
      <c r="QT7902" s="106"/>
      <c r="QU7902" s="106"/>
      <c r="QV7902" s="106"/>
      <c r="QW7902" s="106"/>
      <c r="QX7902" s="106"/>
      <c r="QY7902" s="106"/>
      <c r="QZ7902" s="106"/>
      <c r="RA7902" s="106"/>
      <c r="RB7902" s="106"/>
      <c r="RC7902" s="106"/>
      <c r="RD7902" s="106"/>
      <c r="RE7902" s="106"/>
      <c r="RF7902" s="106"/>
      <c r="RG7902" s="106"/>
      <c r="RH7902" s="106"/>
      <c r="RI7902" s="106"/>
      <c r="RJ7902" s="106"/>
      <c r="RK7902" s="106"/>
      <c r="RL7902" s="106"/>
    </row>
    <row r="7903" spans="462:480" x14ac:dyDescent="0.3">
      <c r="QT7903" s="106"/>
      <c r="QU7903" s="106"/>
      <c r="QV7903" s="106"/>
      <c r="QW7903" s="106"/>
      <c r="QX7903" s="106"/>
      <c r="QY7903" s="106"/>
      <c r="QZ7903" s="106"/>
      <c r="RA7903" s="106"/>
      <c r="RB7903" s="106"/>
      <c r="RC7903" s="106"/>
      <c r="RD7903" s="106"/>
      <c r="RE7903" s="106"/>
      <c r="RF7903" s="106"/>
      <c r="RG7903" s="106"/>
      <c r="RH7903" s="106"/>
      <c r="RI7903" s="106"/>
      <c r="RJ7903" s="106"/>
      <c r="RK7903" s="106"/>
      <c r="RL7903" s="106"/>
    </row>
    <row r="7904" spans="462:480" x14ac:dyDescent="0.3">
      <c r="QT7904" s="106"/>
      <c r="QU7904" s="106"/>
      <c r="QV7904" s="106"/>
      <c r="QW7904" s="106"/>
      <c r="QX7904" s="106"/>
      <c r="QY7904" s="106"/>
      <c r="QZ7904" s="106"/>
      <c r="RA7904" s="106"/>
      <c r="RB7904" s="106"/>
      <c r="RC7904" s="106"/>
      <c r="RD7904" s="106"/>
      <c r="RE7904" s="106"/>
      <c r="RF7904" s="106"/>
      <c r="RG7904" s="106"/>
      <c r="RH7904" s="106"/>
      <c r="RI7904" s="106"/>
      <c r="RJ7904" s="106"/>
      <c r="RK7904" s="106"/>
      <c r="RL7904" s="106"/>
    </row>
    <row r="7905" spans="462:480" x14ac:dyDescent="0.3">
      <c r="QT7905" s="106"/>
      <c r="QU7905" s="106"/>
      <c r="QV7905" s="106"/>
      <c r="QW7905" s="106"/>
      <c r="QX7905" s="106"/>
      <c r="QY7905" s="106"/>
      <c r="QZ7905" s="106"/>
      <c r="RA7905" s="106"/>
      <c r="RB7905" s="106"/>
      <c r="RC7905" s="106"/>
      <c r="RD7905" s="106"/>
      <c r="RE7905" s="106"/>
      <c r="RF7905" s="106"/>
      <c r="RG7905" s="106"/>
      <c r="RH7905" s="106"/>
      <c r="RI7905" s="106"/>
      <c r="RJ7905" s="106"/>
      <c r="RK7905" s="106"/>
      <c r="RL7905" s="106"/>
    </row>
    <row r="7906" spans="462:480" x14ac:dyDescent="0.3">
      <c r="QT7906" s="106"/>
      <c r="QU7906" s="106"/>
      <c r="QV7906" s="106"/>
      <c r="QW7906" s="106"/>
      <c r="QX7906" s="106"/>
      <c r="QY7906" s="106"/>
      <c r="QZ7906" s="106"/>
      <c r="RA7906" s="106"/>
      <c r="RB7906" s="106"/>
      <c r="RC7906" s="106"/>
      <c r="RD7906" s="106"/>
      <c r="RE7906" s="106"/>
      <c r="RF7906" s="106"/>
      <c r="RG7906" s="106"/>
      <c r="RH7906" s="106"/>
      <c r="RI7906" s="106"/>
      <c r="RJ7906" s="106"/>
      <c r="RK7906" s="106"/>
      <c r="RL7906" s="106"/>
    </row>
    <row r="7907" spans="462:480" x14ac:dyDescent="0.3">
      <c r="QT7907" s="106"/>
      <c r="QU7907" s="106"/>
      <c r="QV7907" s="106"/>
      <c r="QW7907" s="106"/>
      <c r="QX7907" s="106"/>
      <c r="QY7907" s="106"/>
      <c r="QZ7907" s="106"/>
      <c r="RA7907" s="106"/>
      <c r="RB7907" s="106"/>
      <c r="RC7907" s="106"/>
      <c r="RD7907" s="106"/>
      <c r="RE7907" s="106"/>
      <c r="RF7907" s="106"/>
      <c r="RG7907" s="106"/>
      <c r="RH7907" s="106"/>
      <c r="RI7907" s="106"/>
      <c r="RJ7907" s="106"/>
      <c r="RK7907" s="106"/>
      <c r="RL7907" s="106"/>
    </row>
    <row r="7908" spans="462:480" x14ac:dyDescent="0.3">
      <c r="QT7908" s="106"/>
      <c r="QU7908" s="106"/>
      <c r="QV7908" s="106"/>
      <c r="QW7908" s="106"/>
      <c r="QX7908" s="106"/>
      <c r="QY7908" s="106"/>
      <c r="QZ7908" s="106"/>
      <c r="RA7908" s="106"/>
      <c r="RB7908" s="106"/>
      <c r="RC7908" s="106"/>
      <c r="RD7908" s="106"/>
      <c r="RE7908" s="106"/>
      <c r="RF7908" s="106"/>
      <c r="RG7908" s="106"/>
      <c r="RH7908" s="106"/>
      <c r="RI7908" s="106"/>
      <c r="RJ7908" s="106"/>
      <c r="RK7908" s="106"/>
      <c r="RL7908" s="106"/>
    </row>
    <row r="7909" spans="462:480" x14ac:dyDescent="0.3">
      <c r="QT7909" s="106"/>
      <c r="QU7909" s="106"/>
      <c r="QV7909" s="106"/>
      <c r="QW7909" s="106"/>
      <c r="QX7909" s="106"/>
      <c r="QY7909" s="106"/>
      <c r="QZ7909" s="106"/>
      <c r="RA7909" s="106"/>
      <c r="RB7909" s="106"/>
      <c r="RC7909" s="106"/>
      <c r="RD7909" s="106"/>
      <c r="RE7909" s="106"/>
      <c r="RF7909" s="106"/>
      <c r="RG7909" s="106"/>
      <c r="RH7909" s="106"/>
      <c r="RI7909" s="106"/>
      <c r="RJ7909" s="106"/>
      <c r="RK7909" s="106"/>
      <c r="RL7909" s="106"/>
    </row>
    <row r="7910" spans="462:480" x14ac:dyDescent="0.3">
      <c r="QT7910" s="106"/>
      <c r="QU7910" s="106"/>
      <c r="QV7910" s="106"/>
      <c r="QW7910" s="106"/>
      <c r="QX7910" s="106"/>
      <c r="QY7910" s="106"/>
      <c r="QZ7910" s="106"/>
      <c r="RA7910" s="106"/>
      <c r="RB7910" s="106"/>
      <c r="RC7910" s="106"/>
      <c r="RD7910" s="106"/>
      <c r="RE7910" s="106"/>
      <c r="RF7910" s="106"/>
      <c r="RG7910" s="106"/>
      <c r="RH7910" s="106"/>
      <c r="RI7910" s="106"/>
      <c r="RJ7910" s="106"/>
      <c r="RK7910" s="106"/>
      <c r="RL7910" s="106"/>
    </row>
    <row r="7911" spans="462:480" x14ac:dyDescent="0.3">
      <c r="QT7911" s="106"/>
      <c r="QU7911" s="106"/>
      <c r="QV7911" s="106"/>
      <c r="QW7911" s="106"/>
      <c r="QX7911" s="106"/>
      <c r="QY7911" s="106"/>
      <c r="QZ7911" s="106"/>
      <c r="RA7911" s="106"/>
      <c r="RB7911" s="106"/>
      <c r="RC7911" s="106"/>
      <c r="RD7911" s="106"/>
      <c r="RE7911" s="106"/>
      <c r="RF7911" s="106"/>
      <c r="RG7911" s="106"/>
      <c r="RH7911" s="106"/>
      <c r="RI7911" s="106"/>
      <c r="RJ7911" s="106"/>
      <c r="RK7911" s="106"/>
      <c r="RL7911" s="106"/>
    </row>
    <row r="7912" spans="462:480" x14ac:dyDescent="0.3">
      <c r="QT7912" s="106"/>
      <c r="QU7912" s="106"/>
      <c r="QV7912" s="106"/>
      <c r="QW7912" s="106"/>
      <c r="QX7912" s="106"/>
      <c r="QY7912" s="106"/>
      <c r="QZ7912" s="106"/>
      <c r="RA7912" s="106"/>
      <c r="RB7912" s="106"/>
      <c r="RC7912" s="106"/>
      <c r="RD7912" s="106"/>
      <c r="RE7912" s="106"/>
      <c r="RF7912" s="106"/>
      <c r="RG7912" s="106"/>
      <c r="RH7912" s="106"/>
      <c r="RI7912" s="106"/>
      <c r="RJ7912" s="106"/>
      <c r="RK7912" s="106"/>
      <c r="RL7912" s="106"/>
    </row>
    <row r="7913" spans="462:480" x14ac:dyDescent="0.3">
      <c r="QT7913" s="106"/>
      <c r="QU7913" s="106"/>
      <c r="QV7913" s="106"/>
      <c r="QW7913" s="106"/>
      <c r="QX7913" s="106"/>
      <c r="QY7913" s="106"/>
      <c r="QZ7913" s="106"/>
      <c r="RA7913" s="106"/>
      <c r="RB7913" s="106"/>
      <c r="RC7913" s="106"/>
      <c r="RD7913" s="106"/>
      <c r="RE7913" s="106"/>
      <c r="RF7913" s="106"/>
      <c r="RG7913" s="106"/>
      <c r="RH7913" s="106"/>
      <c r="RI7913" s="106"/>
      <c r="RJ7913" s="106"/>
      <c r="RK7913" s="106"/>
      <c r="RL7913" s="106"/>
    </row>
    <row r="7914" spans="462:480" x14ac:dyDescent="0.3">
      <c r="QT7914" s="106"/>
      <c r="QU7914" s="106"/>
      <c r="QV7914" s="106"/>
      <c r="QW7914" s="106"/>
      <c r="QX7914" s="106"/>
      <c r="QY7914" s="106"/>
      <c r="QZ7914" s="106"/>
      <c r="RA7914" s="106"/>
      <c r="RB7914" s="106"/>
      <c r="RC7914" s="106"/>
      <c r="RD7914" s="106"/>
      <c r="RE7914" s="106"/>
      <c r="RF7914" s="106"/>
      <c r="RG7914" s="106"/>
      <c r="RH7914" s="106"/>
      <c r="RI7914" s="106"/>
      <c r="RJ7914" s="106"/>
      <c r="RK7914" s="106"/>
      <c r="RL7914" s="106"/>
    </row>
    <row r="7915" spans="462:480" x14ac:dyDescent="0.3">
      <c r="QT7915" s="106"/>
      <c r="QU7915" s="106"/>
      <c r="QV7915" s="106"/>
      <c r="QW7915" s="106"/>
      <c r="QX7915" s="106"/>
      <c r="QY7915" s="106"/>
      <c r="QZ7915" s="106"/>
      <c r="RA7915" s="106"/>
      <c r="RB7915" s="106"/>
      <c r="RC7915" s="106"/>
      <c r="RD7915" s="106"/>
      <c r="RE7915" s="106"/>
      <c r="RF7915" s="106"/>
      <c r="RG7915" s="106"/>
      <c r="RH7915" s="106"/>
      <c r="RI7915" s="106"/>
      <c r="RJ7915" s="106"/>
      <c r="RK7915" s="106"/>
      <c r="RL7915" s="106"/>
    </row>
    <row r="7916" spans="462:480" x14ac:dyDescent="0.3">
      <c r="QT7916" s="106"/>
      <c r="QU7916" s="106"/>
      <c r="QV7916" s="106"/>
      <c r="QW7916" s="106"/>
      <c r="QX7916" s="106"/>
      <c r="QY7916" s="106"/>
      <c r="QZ7916" s="106"/>
      <c r="RA7916" s="106"/>
      <c r="RB7916" s="106"/>
      <c r="RC7916" s="106"/>
      <c r="RD7916" s="106"/>
      <c r="RE7916" s="106"/>
      <c r="RF7916" s="106"/>
      <c r="RG7916" s="106"/>
      <c r="RH7916" s="106"/>
      <c r="RI7916" s="106"/>
      <c r="RJ7916" s="106"/>
      <c r="RK7916" s="106"/>
      <c r="RL7916" s="106"/>
    </row>
    <row r="7917" spans="462:480" x14ac:dyDescent="0.3">
      <c r="QT7917" s="106"/>
      <c r="QU7917" s="106"/>
      <c r="QV7917" s="106"/>
      <c r="QW7917" s="106"/>
      <c r="QX7917" s="106"/>
      <c r="QY7917" s="106"/>
      <c r="QZ7917" s="106"/>
      <c r="RA7917" s="106"/>
      <c r="RB7917" s="106"/>
      <c r="RC7917" s="106"/>
      <c r="RD7917" s="106"/>
      <c r="RE7917" s="106"/>
      <c r="RF7917" s="106"/>
      <c r="RG7917" s="106"/>
      <c r="RH7917" s="106"/>
      <c r="RI7917" s="106"/>
      <c r="RJ7917" s="106"/>
      <c r="RK7917" s="106"/>
      <c r="RL7917" s="106"/>
    </row>
    <row r="7918" spans="462:480" x14ac:dyDescent="0.3">
      <c r="QT7918" s="106"/>
      <c r="QU7918" s="106"/>
      <c r="QV7918" s="106"/>
      <c r="QW7918" s="106"/>
      <c r="QX7918" s="106"/>
      <c r="QY7918" s="106"/>
      <c r="QZ7918" s="106"/>
      <c r="RA7918" s="106"/>
      <c r="RB7918" s="106"/>
      <c r="RC7918" s="106"/>
      <c r="RD7918" s="106"/>
      <c r="RE7918" s="106"/>
      <c r="RF7918" s="106"/>
      <c r="RG7918" s="106"/>
      <c r="RH7918" s="106"/>
      <c r="RI7918" s="106"/>
      <c r="RJ7918" s="106"/>
      <c r="RK7918" s="106"/>
      <c r="RL7918" s="106"/>
    </row>
    <row r="7919" spans="462:480" x14ac:dyDescent="0.3">
      <c r="QT7919" s="106"/>
      <c r="QU7919" s="106"/>
      <c r="QV7919" s="106"/>
      <c r="QW7919" s="106"/>
      <c r="QX7919" s="106"/>
      <c r="QY7919" s="106"/>
      <c r="QZ7919" s="106"/>
      <c r="RA7919" s="106"/>
      <c r="RB7919" s="106"/>
      <c r="RC7919" s="106"/>
      <c r="RD7919" s="106"/>
      <c r="RE7919" s="106"/>
      <c r="RF7919" s="106"/>
      <c r="RG7919" s="106"/>
      <c r="RH7919" s="106"/>
      <c r="RI7919" s="106"/>
      <c r="RJ7919" s="106"/>
      <c r="RK7919" s="106"/>
      <c r="RL7919" s="106"/>
    </row>
    <row r="7920" spans="462:480" x14ac:dyDescent="0.3">
      <c r="QT7920" s="106"/>
      <c r="QU7920" s="106"/>
      <c r="QV7920" s="106"/>
      <c r="QW7920" s="106"/>
      <c r="QX7920" s="106"/>
      <c r="QY7920" s="106"/>
      <c r="QZ7920" s="106"/>
      <c r="RA7920" s="106"/>
      <c r="RB7920" s="106"/>
      <c r="RC7920" s="106"/>
      <c r="RD7920" s="106"/>
      <c r="RE7920" s="106"/>
      <c r="RF7920" s="106"/>
      <c r="RG7920" s="106"/>
      <c r="RH7920" s="106"/>
      <c r="RI7920" s="106"/>
      <c r="RJ7920" s="106"/>
      <c r="RK7920" s="106"/>
      <c r="RL7920" s="106"/>
    </row>
    <row r="7921" spans="462:480" x14ac:dyDescent="0.3">
      <c r="QT7921" s="106"/>
      <c r="QU7921" s="106"/>
      <c r="QV7921" s="106"/>
      <c r="QW7921" s="106"/>
      <c r="QX7921" s="106"/>
      <c r="QY7921" s="106"/>
      <c r="QZ7921" s="106"/>
      <c r="RA7921" s="106"/>
      <c r="RB7921" s="106"/>
      <c r="RC7921" s="106"/>
      <c r="RD7921" s="106"/>
      <c r="RE7921" s="106"/>
      <c r="RF7921" s="106"/>
      <c r="RG7921" s="106"/>
      <c r="RH7921" s="106"/>
      <c r="RI7921" s="106"/>
      <c r="RJ7921" s="106"/>
      <c r="RK7921" s="106"/>
      <c r="RL7921" s="106"/>
    </row>
    <row r="7922" spans="462:480" x14ac:dyDescent="0.3">
      <c r="QT7922" s="106"/>
      <c r="QU7922" s="106"/>
      <c r="QV7922" s="106"/>
      <c r="QW7922" s="106"/>
      <c r="QX7922" s="106"/>
      <c r="QY7922" s="106"/>
      <c r="QZ7922" s="106"/>
      <c r="RA7922" s="106"/>
      <c r="RB7922" s="106"/>
      <c r="RC7922" s="106"/>
      <c r="RD7922" s="106"/>
      <c r="RE7922" s="106"/>
      <c r="RF7922" s="106"/>
      <c r="RG7922" s="106"/>
      <c r="RH7922" s="106"/>
      <c r="RI7922" s="106"/>
      <c r="RJ7922" s="106"/>
      <c r="RK7922" s="106"/>
      <c r="RL7922" s="106"/>
    </row>
    <row r="7923" spans="462:480" x14ac:dyDescent="0.3">
      <c r="QT7923" s="106"/>
      <c r="QU7923" s="106"/>
      <c r="QV7923" s="106"/>
      <c r="QW7923" s="106"/>
      <c r="QX7923" s="106"/>
      <c r="QY7923" s="106"/>
      <c r="QZ7923" s="106"/>
      <c r="RA7923" s="106"/>
      <c r="RB7923" s="106"/>
      <c r="RC7923" s="106"/>
      <c r="RD7923" s="106"/>
      <c r="RE7923" s="106"/>
      <c r="RF7923" s="106"/>
      <c r="RG7923" s="106"/>
      <c r="RH7923" s="106"/>
      <c r="RI7923" s="106"/>
      <c r="RJ7923" s="106"/>
      <c r="RK7923" s="106"/>
      <c r="RL7923" s="106"/>
    </row>
    <row r="7924" spans="462:480" x14ac:dyDescent="0.3">
      <c r="QT7924" s="106"/>
      <c r="QU7924" s="106"/>
      <c r="QV7924" s="106"/>
      <c r="QW7924" s="106"/>
      <c r="QX7924" s="106"/>
      <c r="QY7924" s="106"/>
      <c r="QZ7924" s="106"/>
      <c r="RA7924" s="106"/>
      <c r="RB7924" s="106"/>
      <c r="RC7924" s="106"/>
      <c r="RD7924" s="106"/>
      <c r="RE7924" s="106"/>
      <c r="RF7924" s="106"/>
      <c r="RG7924" s="106"/>
      <c r="RH7924" s="106"/>
      <c r="RI7924" s="106"/>
      <c r="RJ7924" s="106"/>
      <c r="RK7924" s="106"/>
      <c r="RL7924" s="106"/>
    </row>
    <row r="7925" spans="462:480" x14ac:dyDescent="0.3">
      <c r="QT7925" s="106"/>
      <c r="QU7925" s="106"/>
      <c r="QV7925" s="106"/>
      <c r="QW7925" s="106"/>
      <c r="QX7925" s="106"/>
      <c r="QY7925" s="106"/>
      <c r="QZ7925" s="106"/>
      <c r="RA7925" s="106"/>
      <c r="RB7925" s="106"/>
      <c r="RC7925" s="106"/>
      <c r="RD7925" s="106"/>
      <c r="RE7925" s="106"/>
      <c r="RF7925" s="106"/>
      <c r="RG7925" s="106"/>
      <c r="RH7925" s="106"/>
      <c r="RI7925" s="106"/>
      <c r="RJ7925" s="106"/>
      <c r="RK7925" s="106"/>
      <c r="RL7925" s="106"/>
    </row>
    <row r="7926" spans="462:480" x14ac:dyDescent="0.3">
      <c r="QT7926" s="106"/>
      <c r="QU7926" s="106"/>
      <c r="QV7926" s="106"/>
      <c r="QW7926" s="106"/>
      <c r="QX7926" s="106"/>
      <c r="QY7926" s="106"/>
      <c r="QZ7926" s="106"/>
      <c r="RA7926" s="106"/>
      <c r="RB7926" s="106"/>
      <c r="RC7926" s="106"/>
      <c r="RD7926" s="106"/>
      <c r="RE7926" s="106"/>
      <c r="RF7926" s="106"/>
      <c r="RG7926" s="106"/>
      <c r="RH7926" s="106"/>
      <c r="RI7926" s="106"/>
      <c r="RJ7926" s="106"/>
      <c r="RK7926" s="106"/>
      <c r="RL7926" s="106"/>
    </row>
    <row r="7927" spans="462:480" x14ac:dyDescent="0.3">
      <c r="QT7927" s="106"/>
      <c r="QU7927" s="106"/>
      <c r="QV7927" s="106"/>
      <c r="QW7927" s="106"/>
      <c r="QX7927" s="106"/>
      <c r="QY7927" s="106"/>
      <c r="QZ7927" s="106"/>
      <c r="RA7927" s="106"/>
      <c r="RB7927" s="106"/>
      <c r="RC7927" s="106"/>
      <c r="RD7927" s="106"/>
      <c r="RE7927" s="106"/>
      <c r="RF7927" s="106"/>
      <c r="RG7927" s="106"/>
      <c r="RH7927" s="106"/>
      <c r="RI7927" s="106"/>
      <c r="RJ7927" s="106"/>
      <c r="RK7927" s="106"/>
      <c r="RL7927" s="106"/>
    </row>
    <row r="7928" spans="462:480" x14ac:dyDescent="0.3">
      <c r="QT7928" s="106"/>
      <c r="QU7928" s="106"/>
      <c r="QV7928" s="106"/>
      <c r="QW7928" s="106"/>
      <c r="QX7928" s="106"/>
      <c r="QY7928" s="106"/>
      <c r="QZ7928" s="106"/>
      <c r="RA7928" s="106"/>
      <c r="RB7928" s="106"/>
      <c r="RC7928" s="106"/>
      <c r="RD7928" s="106"/>
      <c r="RE7928" s="106"/>
      <c r="RF7928" s="106"/>
      <c r="RG7928" s="106"/>
      <c r="RH7928" s="106"/>
      <c r="RI7928" s="106"/>
      <c r="RJ7928" s="106"/>
      <c r="RK7928" s="106"/>
      <c r="RL7928" s="106"/>
    </row>
    <row r="7929" spans="462:480" x14ac:dyDescent="0.3">
      <c r="QT7929" s="106"/>
      <c r="QU7929" s="106"/>
      <c r="QV7929" s="106"/>
      <c r="QW7929" s="106"/>
      <c r="QX7929" s="106"/>
      <c r="QY7929" s="106"/>
      <c r="QZ7929" s="106"/>
      <c r="RA7929" s="106"/>
      <c r="RB7929" s="106"/>
      <c r="RC7929" s="106"/>
      <c r="RD7929" s="106"/>
      <c r="RE7929" s="106"/>
      <c r="RF7929" s="106"/>
      <c r="RG7929" s="106"/>
      <c r="RH7929" s="106"/>
      <c r="RI7929" s="106"/>
      <c r="RJ7929" s="106"/>
      <c r="RK7929" s="106"/>
      <c r="RL7929" s="106"/>
    </row>
    <row r="7930" spans="462:480" x14ac:dyDescent="0.3">
      <c r="QT7930" s="106"/>
      <c r="QU7930" s="106"/>
      <c r="QV7930" s="106"/>
      <c r="QW7930" s="106"/>
      <c r="QX7930" s="106"/>
      <c r="QY7930" s="106"/>
      <c r="QZ7930" s="106"/>
      <c r="RA7930" s="106"/>
      <c r="RB7930" s="106"/>
      <c r="RC7930" s="106"/>
      <c r="RD7930" s="106"/>
      <c r="RE7930" s="106"/>
      <c r="RF7930" s="106"/>
      <c r="RG7930" s="106"/>
      <c r="RH7930" s="106"/>
      <c r="RI7930" s="106"/>
      <c r="RJ7930" s="106"/>
      <c r="RK7930" s="106"/>
      <c r="RL7930" s="106"/>
    </row>
    <row r="7931" spans="462:480" x14ac:dyDescent="0.3">
      <c r="QT7931" s="106"/>
      <c r="QU7931" s="106"/>
      <c r="QV7931" s="106"/>
      <c r="QW7931" s="106"/>
      <c r="QX7931" s="106"/>
      <c r="QY7931" s="106"/>
      <c r="QZ7931" s="106"/>
      <c r="RA7931" s="106"/>
      <c r="RB7931" s="106"/>
      <c r="RC7931" s="106"/>
      <c r="RD7931" s="106"/>
      <c r="RE7931" s="106"/>
      <c r="RF7931" s="106"/>
      <c r="RG7931" s="106"/>
      <c r="RH7931" s="106"/>
      <c r="RI7931" s="106"/>
      <c r="RJ7931" s="106"/>
      <c r="RK7931" s="106"/>
      <c r="RL7931" s="106"/>
    </row>
    <row r="7932" spans="462:480" x14ac:dyDescent="0.3">
      <c r="QT7932" s="106"/>
      <c r="QU7932" s="106"/>
      <c r="QV7932" s="106"/>
      <c r="QW7932" s="106"/>
      <c r="QX7932" s="106"/>
      <c r="QY7932" s="106"/>
      <c r="QZ7932" s="106"/>
      <c r="RA7932" s="106"/>
      <c r="RB7932" s="106"/>
      <c r="RC7932" s="106"/>
      <c r="RD7932" s="106"/>
      <c r="RE7932" s="106"/>
      <c r="RF7932" s="106"/>
      <c r="RG7932" s="106"/>
      <c r="RH7932" s="106"/>
      <c r="RI7932" s="106"/>
      <c r="RJ7932" s="106"/>
      <c r="RK7932" s="106"/>
      <c r="RL7932" s="106"/>
    </row>
    <row r="7933" spans="462:480" x14ac:dyDescent="0.3">
      <c r="QT7933" s="106"/>
      <c r="QU7933" s="106"/>
      <c r="QV7933" s="106"/>
      <c r="QW7933" s="106"/>
      <c r="QX7933" s="106"/>
      <c r="QY7933" s="106"/>
      <c r="QZ7933" s="106"/>
      <c r="RA7933" s="106"/>
      <c r="RB7933" s="106"/>
      <c r="RC7933" s="106"/>
      <c r="RD7933" s="106"/>
      <c r="RE7933" s="106"/>
      <c r="RF7933" s="106"/>
      <c r="RG7933" s="106"/>
      <c r="RH7933" s="106"/>
      <c r="RI7933" s="106"/>
      <c r="RJ7933" s="106"/>
      <c r="RK7933" s="106"/>
      <c r="RL7933" s="106"/>
    </row>
    <row r="7934" spans="462:480" x14ac:dyDescent="0.3">
      <c r="QT7934" s="106"/>
      <c r="QU7934" s="106"/>
      <c r="QV7934" s="106"/>
      <c r="QW7934" s="106"/>
      <c r="QX7934" s="106"/>
      <c r="QY7934" s="106"/>
      <c r="QZ7934" s="106"/>
      <c r="RA7934" s="106"/>
      <c r="RB7934" s="106"/>
      <c r="RC7934" s="106"/>
      <c r="RD7934" s="106"/>
      <c r="RE7934" s="106"/>
      <c r="RF7934" s="106"/>
      <c r="RG7934" s="106"/>
      <c r="RH7934" s="106"/>
      <c r="RI7934" s="106"/>
      <c r="RJ7934" s="106"/>
      <c r="RK7934" s="106"/>
      <c r="RL7934" s="106"/>
    </row>
    <row r="7935" spans="462:480" x14ac:dyDescent="0.3">
      <c r="QT7935" s="106"/>
      <c r="QU7935" s="106"/>
      <c r="QV7935" s="106"/>
      <c r="QW7935" s="106"/>
      <c r="QX7935" s="106"/>
      <c r="QY7935" s="106"/>
      <c r="QZ7935" s="106"/>
      <c r="RA7935" s="106"/>
      <c r="RB7935" s="106"/>
      <c r="RC7935" s="106"/>
      <c r="RD7935" s="106"/>
      <c r="RE7935" s="106"/>
      <c r="RF7935" s="106"/>
      <c r="RG7935" s="106"/>
      <c r="RH7935" s="106"/>
      <c r="RI7935" s="106"/>
      <c r="RJ7935" s="106"/>
      <c r="RK7935" s="106"/>
      <c r="RL7935" s="106"/>
    </row>
    <row r="7936" spans="462:480" x14ac:dyDescent="0.3">
      <c r="QT7936" s="106"/>
      <c r="QU7936" s="106"/>
      <c r="QV7936" s="106"/>
      <c r="QW7936" s="106"/>
      <c r="QX7936" s="106"/>
      <c r="QY7936" s="106"/>
      <c r="QZ7936" s="106"/>
      <c r="RA7936" s="106"/>
      <c r="RB7936" s="106"/>
      <c r="RC7936" s="106"/>
      <c r="RD7936" s="106"/>
      <c r="RE7936" s="106"/>
      <c r="RF7936" s="106"/>
      <c r="RG7936" s="106"/>
      <c r="RH7936" s="106"/>
      <c r="RI7936" s="106"/>
      <c r="RJ7936" s="106"/>
      <c r="RK7936" s="106"/>
      <c r="RL7936" s="106"/>
    </row>
    <row r="7937" spans="462:480" x14ac:dyDescent="0.3">
      <c r="QT7937" s="106"/>
      <c r="QU7937" s="106"/>
      <c r="QV7937" s="106"/>
      <c r="QW7937" s="106"/>
      <c r="QX7937" s="106"/>
      <c r="QY7937" s="106"/>
      <c r="QZ7937" s="106"/>
      <c r="RA7937" s="106"/>
      <c r="RB7937" s="106"/>
      <c r="RC7937" s="106"/>
      <c r="RD7937" s="106"/>
      <c r="RE7937" s="106"/>
      <c r="RF7937" s="106"/>
      <c r="RG7937" s="106"/>
      <c r="RH7937" s="106"/>
      <c r="RI7937" s="106"/>
      <c r="RJ7937" s="106"/>
      <c r="RK7937" s="106"/>
      <c r="RL7937" s="106"/>
    </row>
    <row r="7938" spans="462:480" x14ac:dyDescent="0.3">
      <c r="QT7938" s="106"/>
      <c r="QU7938" s="106"/>
      <c r="QV7938" s="106"/>
      <c r="QW7938" s="106"/>
      <c r="QX7938" s="106"/>
      <c r="QY7938" s="106"/>
      <c r="QZ7938" s="106"/>
      <c r="RA7938" s="106"/>
      <c r="RB7938" s="106"/>
      <c r="RC7938" s="106"/>
      <c r="RD7938" s="106"/>
      <c r="RE7938" s="106"/>
      <c r="RF7938" s="106"/>
      <c r="RG7938" s="106"/>
      <c r="RH7938" s="106"/>
      <c r="RI7938" s="106"/>
      <c r="RJ7938" s="106"/>
      <c r="RK7938" s="106"/>
      <c r="RL7938" s="106"/>
    </row>
    <row r="7939" spans="462:480" x14ac:dyDescent="0.3">
      <c r="QT7939" s="106"/>
      <c r="QU7939" s="106"/>
      <c r="QV7939" s="106"/>
      <c r="QW7939" s="106"/>
      <c r="QX7939" s="106"/>
      <c r="QY7939" s="106"/>
      <c r="QZ7939" s="106"/>
      <c r="RA7939" s="106"/>
      <c r="RB7939" s="106"/>
      <c r="RC7939" s="106"/>
      <c r="RD7939" s="106"/>
      <c r="RE7939" s="106"/>
      <c r="RF7939" s="106"/>
      <c r="RG7939" s="106"/>
      <c r="RH7939" s="106"/>
      <c r="RI7939" s="106"/>
      <c r="RJ7939" s="106"/>
      <c r="RK7939" s="106"/>
      <c r="RL7939" s="106"/>
    </row>
    <row r="7940" spans="462:480" x14ac:dyDescent="0.3">
      <c r="QT7940" s="106"/>
      <c r="QU7940" s="106"/>
      <c r="QV7940" s="106"/>
      <c r="QW7940" s="106"/>
      <c r="QX7940" s="106"/>
      <c r="QY7940" s="106"/>
      <c r="QZ7940" s="106"/>
      <c r="RA7940" s="106"/>
      <c r="RB7940" s="106"/>
      <c r="RC7940" s="106"/>
      <c r="RD7940" s="106"/>
      <c r="RE7940" s="106"/>
      <c r="RF7940" s="106"/>
      <c r="RG7940" s="106"/>
      <c r="RH7940" s="106"/>
      <c r="RI7940" s="106"/>
      <c r="RJ7940" s="106"/>
      <c r="RK7940" s="106"/>
      <c r="RL7940" s="106"/>
    </row>
    <row r="7941" spans="462:480" x14ac:dyDescent="0.3">
      <c r="QT7941" s="106"/>
      <c r="QU7941" s="106"/>
      <c r="QV7941" s="106"/>
      <c r="QW7941" s="106"/>
      <c r="QX7941" s="106"/>
      <c r="QY7941" s="106"/>
      <c r="QZ7941" s="106"/>
      <c r="RA7941" s="106"/>
      <c r="RB7941" s="106"/>
      <c r="RC7941" s="106"/>
      <c r="RD7941" s="106"/>
      <c r="RE7941" s="106"/>
      <c r="RF7941" s="106"/>
      <c r="RG7941" s="106"/>
      <c r="RH7941" s="106"/>
      <c r="RI7941" s="106"/>
      <c r="RJ7941" s="106"/>
      <c r="RK7941" s="106"/>
      <c r="RL7941" s="106"/>
    </row>
    <row r="7942" spans="462:480" x14ac:dyDescent="0.3">
      <c r="QT7942" s="106"/>
      <c r="QU7942" s="106"/>
      <c r="QV7942" s="106"/>
      <c r="QW7942" s="106"/>
      <c r="QX7942" s="106"/>
      <c r="QY7942" s="106"/>
      <c r="QZ7942" s="106"/>
      <c r="RA7942" s="106"/>
      <c r="RB7942" s="106"/>
      <c r="RC7942" s="106"/>
      <c r="RD7942" s="106"/>
      <c r="RE7942" s="106"/>
      <c r="RF7942" s="106"/>
      <c r="RG7942" s="106"/>
      <c r="RH7942" s="106"/>
      <c r="RI7942" s="106"/>
      <c r="RJ7942" s="106"/>
      <c r="RK7942" s="106"/>
      <c r="RL7942" s="106"/>
    </row>
    <row r="7943" spans="462:480" x14ac:dyDescent="0.3">
      <c r="QT7943" s="106"/>
      <c r="QU7943" s="106"/>
      <c r="QV7943" s="106"/>
      <c r="QW7943" s="106"/>
      <c r="QX7943" s="106"/>
      <c r="QY7943" s="106"/>
      <c r="QZ7943" s="106"/>
      <c r="RA7943" s="106"/>
      <c r="RB7943" s="106"/>
      <c r="RC7943" s="106"/>
      <c r="RD7943" s="106"/>
      <c r="RE7943" s="106"/>
      <c r="RF7943" s="106"/>
      <c r="RG7943" s="106"/>
      <c r="RH7943" s="106"/>
      <c r="RI7943" s="106"/>
      <c r="RJ7943" s="106"/>
      <c r="RK7943" s="106"/>
      <c r="RL7943" s="106"/>
    </row>
    <row r="7944" spans="462:480" x14ac:dyDescent="0.3">
      <c r="QT7944" s="106"/>
      <c r="QU7944" s="106"/>
      <c r="QV7944" s="106"/>
      <c r="QW7944" s="106"/>
      <c r="QX7944" s="106"/>
      <c r="QY7944" s="106"/>
      <c r="QZ7944" s="106"/>
      <c r="RA7944" s="106"/>
      <c r="RB7944" s="106"/>
      <c r="RC7944" s="106"/>
      <c r="RD7944" s="106"/>
      <c r="RE7944" s="106"/>
      <c r="RF7944" s="106"/>
      <c r="RG7944" s="106"/>
      <c r="RH7944" s="106"/>
      <c r="RI7944" s="106"/>
      <c r="RJ7944" s="106"/>
      <c r="RK7944" s="106"/>
      <c r="RL7944" s="106"/>
    </row>
    <row r="7945" spans="462:480" x14ac:dyDescent="0.3">
      <c r="QT7945" s="106"/>
      <c r="QU7945" s="106"/>
      <c r="QV7945" s="106"/>
      <c r="QW7945" s="106"/>
      <c r="QX7945" s="106"/>
      <c r="QY7945" s="106"/>
      <c r="QZ7945" s="106"/>
      <c r="RA7945" s="106"/>
      <c r="RB7945" s="106"/>
      <c r="RC7945" s="106"/>
      <c r="RD7945" s="106"/>
      <c r="RE7945" s="106"/>
      <c r="RF7945" s="106"/>
      <c r="RG7945" s="106"/>
      <c r="RH7945" s="106"/>
      <c r="RI7945" s="106"/>
      <c r="RJ7945" s="106"/>
      <c r="RK7945" s="106"/>
      <c r="RL7945" s="106"/>
    </row>
    <row r="7946" spans="462:480" x14ac:dyDescent="0.3">
      <c r="QT7946" s="106"/>
      <c r="QU7946" s="106"/>
      <c r="QV7946" s="106"/>
      <c r="QW7946" s="106"/>
      <c r="QX7946" s="106"/>
      <c r="QY7946" s="106"/>
      <c r="QZ7946" s="106"/>
      <c r="RA7946" s="106"/>
      <c r="RB7946" s="106"/>
      <c r="RC7946" s="106"/>
      <c r="RD7946" s="106"/>
      <c r="RE7946" s="106"/>
      <c r="RF7946" s="106"/>
      <c r="RG7946" s="106"/>
      <c r="RH7946" s="106"/>
      <c r="RI7946" s="106"/>
      <c r="RJ7946" s="106"/>
      <c r="RK7946" s="106"/>
      <c r="RL7946" s="106"/>
    </row>
    <row r="7947" spans="462:480" x14ac:dyDescent="0.3">
      <c r="QT7947" s="106"/>
      <c r="QU7947" s="106"/>
      <c r="QV7947" s="106"/>
      <c r="QW7947" s="106"/>
      <c r="QX7947" s="106"/>
      <c r="QY7947" s="106"/>
      <c r="QZ7947" s="106"/>
      <c r="RA7947" s="106"/>
      <c r="RB7947" s="106"/>
      <c r="RC7947" s="106"/>
      <c r="RD7947" s="106"/>
      <c r="RE7947" s="106"/>
      <c r="RF7947" s="106"/>
      <c r="RG7947" s="106"/>
      <c r="RH7947" s="106"/>
      <c r="RI7947" s="106"/>
      <c r="RJ7947" s="106"/>
      <c r="RK7947" s="106"/>
      <c r="RL7947" s="106"/>
    </row>
    <row r="7948" spans="462:480" x14ac:dyDescent="0.3">
      <c r="QT7948" s="106"/>
      <c r="QU7948" s="106"/>
      <c r="QV7948" s="106"/>
      <c r="QW7948" s="106"/>
      <c r="QX7948" s="106"/>
      <c r="QY7948" s="106"/>
      <c r="QZ7948" s="106"/>
      <c r="RA7948" s="106"/>
      <c r="RB7948" s="106"/>
      <c r="RC7948" s="106"/>
      <c r="RD7948" s="106"/>
      <c r="RE7948" s="106"/>
      <c r="RF7948" s="106"/>
      <c r="RG7948" s="106"/>
      <c r="RH7948" s="106"/>
      <c r="RI7948" s="106"/>
      <c r="RJ7948" s="106"/>
      <c r="RK7948" s="106"/>
      <c r="RL7948" s="106"/>
    </row>
    <row r="7949" spans="462:480" x14ac:dyDescent="0.3">
      <c r="QT7949" s="106"/>
      <c r="QU7949" s="106"/>
      <c r="QV7949" s="106"/>
      <c r="QW7949" s="106"/>
      <c r="QX7949" s="106"/>
      <c r="QY7949" s="106"/>
      <c r="QZ7949" s="106"/>
      <c r="RA7949" s="106"/>
      <c r="RB7949" s="106"/>
      <c r="RC7949" s="106"/>
      <c r="RD7949" s="106"/>
      <c r="RE7949" s="106"/>
      <c r="RF7949" s="106"/>
      <c r="RG7949" s="106"/>
      <c r="RH7949" s="106"/>
      <c r="RI7949" s="106"/>
      <c r="RJ7949" s="106"/>
      <c r="RK7949" s="106"/>
      <c r="RL7949" s="106"/>
    </row>
    <row r="7950" spans="462:480" x14ac:dyDescent="0.3">
      <c r="QT7950" s="106"/>
      <c r="QU7950" s="106"/>
      <c r="QV7950" s="106"/>
      <c r="QW7950" s="106"/>
      <c r="QX7950" s="106"/>
      <c r="QY7950" s="106"/>
      <c r="QZ7950" s="106"/>
      <c r="RA7950" s="106"/>
      <c r="RB7950" s="106"/>
      <c r="RC7950" s="106"/>
      <c r="RD7950" s="106"/>
      <c r="RE7950" s="106"/>
      <c r="RF7950" s="106"/>
      <c r="RG7950" s="106"/>
      <c r="RH7950" s="106"/>
      <c r="RI7950" s="106"/>
      <c r="RJ7950" s="106"/>
      <c r="RK7950" s="106"/>
      <c r="RL7950" s="106"/>
    </row>
    <row r="7951" spans="462:480" x14ac:dyDescent="0.3">
      <c r="QT7951" s="106"/>
      <c r="QU7951" s="106"/>
      <c r="QV7951" s="106"/>
      <c r="QW7951" s="106"/>
      <c r="QX7951" s="106"/>
      <c r="QY7951" s="106"/>
      <c r="QZ7951" s="106"/>
      <c r="RA7951" s="106"/>
      <c r="RB7951" s="106"/>
      <c r="RC7951" s="106"/>
      <c r="RD7951" s="106"/>
      <c r="RE7951" s="106"/>
      <c r="RF7951" s="106"/>
      <c r="RG7951" s="106"/>
      <c r="RH7951" s="106"/>
      <c r="RI7951" s="106"/>
      <c r="RJ7951" s="106"/>
      <c r="RK7951" s="106"/>
      <c r="RL7951" s="106"/>
    </row>
    <row r="7952" spans="462:480" x14ac:dyDescent="0.3">
      <c r="QT7952" s="106"/>
      <c r="QU7952" s="106"/>
      <c r="QV7952" s="106"/>
      <c r="QW7952" s="106"/>
      <c r="QX7952" s="106"/>
      <c r="QY7952" s="106"/>
      <c r="QZ7952" s="106"/>
      <c r="RA7952" s="106"/>
      <c r="RB7952" s="106"/>
      <c r="RC7952" s="106"/>
      <c r="RD7952" s="106"/>
      <c r="RE7952" s="106"/>
      <c r="RF7952" s="106"/>
      <c r="RG7952" s="106"/>
      <c r="RH7952" s="106"/>
      <c r="RI7952" s="106"/>
      <c r="RJ7952" s="106"/>
      <c r="RK7952" s="106"/>
      <c r="RL7952" s="106"/>
    </row>
    <row r="7953" spans="462:480" x14ac:dyDescent="0.3">
      <c r="QT7953" s="106"/>
      <c r="QU7953" s="106"/>
      <c r="QV7953" s="106"/>
      <c r="QW7953" s="106"/>
      <c r="QX7953" s="106"/>
      <c r="QY7953" s="106"/>
      <c r="QZ7953" s="106"/>
      <c r="RA7953" s="106"/>
      <c r="RB7953" s="106"/>
      <c r="RC7953" s="106"/>
      <c r="RD7953" s="106"/>
      <c r="RE7953" s="106"/>
      <c r="RF7953" s="106"/>
      <c r="RG7953" s="106"/>
      <c r="RH7953" s="106"/>
      <c r="RI7953" s="106"/>
      <c r="RJ7953" s="106"/>
      <c r="RK7953" s="106"/>
      <c r="RL7953" s="106"/>
    </row>
    <row r="7954" spans="462:480" x14ac:dyDescent="0.3">
      <c r="QT7954" s="106"/>
      <c r="QU7954" s="106"/>
      <c r="QV7954" s="106"/>
      <c r="QW7954" s="106"/>
      <c r="QX7954" s="106"/>
      <c r="QY7954" s="106"/>
      <c r="QZ7954" s="106"/>
      <c r="RA7954" s="106"/>
      <c r="RB7954" s="106"/>
      <c r="RC7954" s="106"/>
      <c r="RD7954" s="106"/>
      <c r="RE7954" s="106"/>
      <c r="RF7954" s="106"/>
      <c r="RG7954" s="106"/>
      <c r="RH7954" s="106"/>
      <c r="RI7954" s="106"/>
      <c r="RJ7954" s="106"/>
      <c r="RK7954" s="106"/>
      <c r="RL7954" s="106"/>
    </row>
    <row r="7955" spans="462:480" x14ac:dyDescent="0.3">
      <c r="QT7955" s="106"/>
      <c r="QU7955" s="106"/>
      <c r="QV7955" s="106"/>
      <c r="QW7955" s="106"/>
      <c r="QX7955" s="106"/>
      <c r="QY7955" s="106"/>
      <c r="QZ7955" s="106"/>
      <c r="RA7955" s="106"/>
      <c r="RB7955" s="106"/>
      <c r="RC7955" s="106"/>
      <c r="RD7955" s="106"/>
      <c r="RE7955" s="106"/>
      <c r="RF7955" s="106"/>
      <c r="RG7955" s="106"/>
      <c r="RH7955" s="106"/>
      <c r="RI7955" s="106"/>
      <c r="RJ7955" s="106"/>
      <c r="RK7955" s="106"/>
      <c r="RL7955" s="106"/>
    </row>
    <row r="7956" spans="462:480" x14ac:dyDescent="0.3">
      <c r="QT7956" s="106"/>
      <c r="QU7956" s="106"/>
      <c r="QV7956" s="106"/>
      <c r="QW7956" s="106"/>
      <c r="QX7956" s="106"/>
      <c r="QY7956" s="106"/>
      <c r="QZ7956" s="106"/>
      <c r="RA7956" s="106"/>
      <c r="RB7956" s="106"/>
      <c r="RC7956" s="106"/>
      <c r="RD7956" s="106"/>
      <c r="RE7956" s="106"/>
      <c r="RF7956" s="106"/>
      <c r="RG7956" s="106"/>
      <c r="RH7956" s="106"/>
      <c r="RI7956" s="106"/>
      <c r="RJ7956" s="106"/>
      <c r="RK7956" s="106"/>
      <c r="RL7956" s="106"/>
    </row>
    <row r="7957" spans="462:480" x14ac:dyDescent="0.3">
      <c r="QT7957" s="106"/>
      <c r="QU7957" s="106"/>
      <c r="QV7957" s="106"/>
      <c r="QW7957" s="106"/>
      <c r="QX7957" s="106"/>
      <c r="QY7957" s="106"/>
      <c r="QZ7957" s="106"/>
      <c r="RA7957" s="106"/>
      <c r="RB7957" s="106"/>
      <c r="RC7957" s="106"/>
      <c r="RD7957" s="106"/>
      <c r="RE7957" s="106"/>
      <c r="RF7957" s="106"/>
      <c r="RG7957" s="106"/>
      <c r="RH7957" s="106"/>
      <c r="RI7957" s="106"/>
      <c r="RJ7957" s="106"/>
      <c r="RK7957" s="106"/>
      <c r="RL7957" s="106"/>
    </row>
    <row r="7958" spans="462:480" x14ac:dyDescent="0.3">
      <c r="QT7958" s="106"/>
      <c r="QU7958" s="106"/>
      <c r="QV7958" s="106"/>
      <c r="QW7958" s="106"/>
      <c r="QX7958" s="106"/>
      <c r="QY7958" s="106"/>
      <c r="QZ7958" s="106"/>
      <c r="RA7958" s="106"/>
      <c r="RB7958" s="106"/>
      <c r="RC7958" s="106"/>
      <c r="RD7958" s="106"/>
      <c r="RE7958" s="106"/>
      <c r="RF7958" s="106"/>
      <c r="RG7958" s="106"/>
      <c r="RH7958" s="106"/>
      <c r="RI7958" s="106"/>
      <c r="RJ7958" s="106"/>
      <c r="RK7958" s="106"/>
      <c r="RL7958" s="106"/>
    </row>
    <row r="7959" spans="462:480" x14ac:dyDescent="0.3">
      <c r="QT7959" s="106"/>
      <c r="QU7959" s="106"/>
      <c r="QV7959" s="106"/>
      <c r="QW7959" s="106"/>
      <c r="QX7959" s="106"/>
      <c r="QY7959" s="106"/>
      <c r="QZ7959" s="106"/>
      <c r="RA7959" s="106"/>
      <c r="RB7959" s="106"/>
      <c r="RC7959" s="106"/>
      <c r="RD7959" s="106"/>
      <c r="RE7959" s="106"/>
      <c r="RF7959" s="106"/>
      <c r="RG7959" s="106"/>
      <c r="RH7959" s="106"/>
      <c r="RI7959" s="106"/>
      <c r="RJ7959" s="106"/>
      <c r="RK7959" s="106"/>
      <c r="RL7959" s="106"/>
    </row>
    <row r="7960" spans="462:480" x14ac:dyDescent="0.3">
      <c r="QT7960" s="106"/>
      <c r="QU7960" s="106"/>
      <c r="QV7960" s="106"/>
      <c r="QW7960" s="106"/>
      <c r="QX7960" s="106"/>
      <c r="QY7960" s="106"/>
      <c r="QZ7960" s="106"/>
      <c r="RA7960" s="106"/>
      <c r="RB7960" s="106"/>
      <c r="RC7960" s="106"/>
      <c r="RD7960" s="106"/>
      <c r="RE7960" s="106"/>
      <c r="RF7960" s="106"/>
      <c r="RG7960" s="106"/>
      <c r="RH7960" s="106"/>
      <c r="RI7960" s="106"/>
      <c r="RJ7960" s="106"/>
      <c r="RK7960" s="106"/>
      <c r="RL7960" s="106"/>
    </row>
    <row r="7961" spans="462:480" x14ac:dyDescent="0.3">
      <c r="QT7961" s="106"/>
      <c r="QU7961" s="106"/>
      <c r="QV7961" s="106"/>
      <c r="QW7961" s="106"/>
      <c r="QX7961" s="106"/>
      <c r="QY7961" s="106"/>
      <c r="QZ7961" s="106"/>
      <c r="RA7961" s="106"/>
      <c r="RB7961" s="106"/>
      <c r="RC7961" s="106"/>
      <c r="RD7961" s="106"/>
      <c r="RE7961" s="106"/>
      <c r="RF7961" s="106"/>
      <c r="RG7961" s="106"/>
      <c r="RH7961" s="106"/>
      <c r="RI7961" s="106"/>
      <c r="RJ7961" s="106"/>
      <c r="RK7961" s="106"/>
      <c r="RL7961" s="106"/>
    </row>
    <row r="7962" spans="462:480" x14ac:dyDescent="0.3">
      <c r="QT7962" s="106"/>
      <c r="QU7962" s="106"/>
      <c r="QV7962" s="106"/>
      <c r="QW7962" s="106"/>
      <c r="QX7962" s="106"/>
      <c r="QY7962" s="106"/>
      <c r="QZ7962" s="106"/>
      <c r="RA7962" s="106"/>
      <c r="RB7962" s="106"/>
      <c r="RC7962" s="106"/>
      <c r="RD7962" s="106"/>
      <c r="RE7962" s="106"/>
      <c r="RF7962" s="106"/>
      <c r="RG7962" s="106"/>
      <c r="RH7962" s="106"/>
      <c r="RI7962" s="106"/>
      <c r="RJ7962" s="106"/>
      <c r="RK7962" s="106"/>
      <c r="RL7962" s="106"/>
    </row>
    <row r="7963" spans="462:480" x14ac:dyDescent="0.3">
      <c r="QT7963" s="106"/>
      <c r="QU7963" s="106"/>
      <c r="QV7963" s="106"/>
      <c r="QW7963" s="106"/>
      <c r="QX7963" s="106"/>
      <c r="QY7963" s="106"/>
      <c r="QZ7963" s="106"/>
      <c r="RA7963" s="106"/>
      <c r="RB7963" s="106"/>
      <c r="RC7963" s="106"/>
      <c r="RD7963" s="106"/>
      <c r="RE7963" s="106"/>
      <c r="RF7963" s="106"/>
      <c r="RG7963" s="106"/>
      <c r="RH7963" s="106"/>
      <c r="RI7963" s="106"/>
      <c r="RJ7963" s="106"/>
      <c r="RK7963" s="106"/>
      <c r="RL7963" s="106"/>
    </row>
    <row r="7964" spans="462:480" x14ac:dyDescent="0.3">
      <c r="QT7964" s="106"/>
      <c r="QU7964" s="106"/>
      <c r="QV7964" s="106"/>
      <c r="QW7964" s="106"/>
      <c r="QX7964" s="106"/>
      <c r="QY7964" s="106"/>
      <c r="QZ7964" s="106"/>
      <c r="RA7964" s="106"/>
      <c r="RB7964" s="106"/>
      <c r="RC7964" s="106"/>
      <c r="RD7964" s="106"/>
      <c r="RE7964" s="106"/>
      <c r="RF7964" s="106"/>
      <c r="RG7964" s="106"/>
      <c r="RH7964" s="106"/>
      <c r="RI7964" s="106"/>
      <c r="RJ7964" s="106"/>
      <c r="RK7964" s="106"/>
      <c r="RL7964" s="106"/>
    </row>
    <row r="7965" spans="462:480" x14ac:dyDescent="0.3">
      <c r="QT7965" s="106"/>
      <c r="QU7965" s="106"/>
      <c r="QV7965" s="106"/>
      <c r="QW7965" s="106"/>
      <c r="QX7965" s="106"/>
      <c r="QY7965" s="106"/>
      <c r="QZ7965" s="106"/>
      <c r="RA7965" s="106"/>
      <c r="RB7965" s="106"/>
      <c r="RC7965" s="106"/>
      <c r="RD7965" s="106"/>
      <c r="RE7965" s="106"/>
      <c r="RF7965" s="106"/>
      <c r="RG7965" s="106"/>
      <c r="RH7965" s="106"/>
      <c r="RI7965" s="106"/>
      <c r="RJ7965" s="106"/>
      <c r="RK7965" s="106"/>
      <c r="RL7965" s="106"/>
    </row>
    <row r="7966" spans="462:480" x14ac:dyDescent="0.3">
      <c r="QT7966" s="106"/>
      <c r="QU7966" s="106"/>
      <c r="QV7966" s="106"/>
      <c r="QW7966" s="106"/>
      <c r="QX7966" s="106"/>
      <c r="QY7966" s="106"/>
      <c r="QZ7966" s="106"/>
      <c r="RA7966" s="106"/>
      <c r="RB7966" s="106"/>
      <c r="RC7966" s="106"/>
      <c r="RD7966" s="106"/>
      <c r="RE7966" s="106"/>
      <c r="RF7966" s="106"/>
      <c r="RG7966" s="106"/>
      <c r="RH7966" s="106"/>
      <c r="RI7966" s="106"/>
      <c r="RJ7966" s="106"/>
      <c r="RK7966" s="106"/>
      <c r="RL7966" s="106"/>
    </row>
    <row r="7967" spans="462:480" x14ac:dyDescent="0.3">
      <c r="QT7967" s="106"/>
      <c r="QU7967" s="106"/>
      <c r="QV7967" s="106"/>
      <c r="QW7967" s="106"/>
      <c r="QX7967" s="106"/>
      <c r="QY7967" s="106"/>
      <c r="QZ7967" s="106"/>
      <c r="RA7967" s="106"/>
      <c r="RB7967" s="106"/>
      <c r="RC7967" s="106"/>
      <c r="RD7967" s="106"/>
      <c r="RE7967" s="106"/>
      <c r="RF7967" s="106"/>
      <c r="RG7967" s="106"/>
      <c r="RH7967" s="106"/>
      <c r="RI7967" s="106"/>
      <c r="RJ7967" s="106"/>
      <c r="RK7967" s="106"/>
      <c r="RL7967" s="106"/>
    </row>
    <row r="7968" spans="462:480" x14ac:dyDescent="0.3">
      <c r="QT7968" s="106"/>
      <c r="QU7968" s="106"/>
      <c r="QV7968" s="106"/>
      <c r="QW7968" s="106"/>
      <c r="QX7968" s="106"/>
      <c r="QY7968" s="106"/>
      <c r="QZ7968" s="106"/>
      <c r="RA7968" s="106"/>
      <c r="RB7968" s="106"/>
      <c r="RC7968" s="106"/>
      <c r="RD7968" s="106"/>
      <c r="RE7968" s="106"/>
      <c r="RF7968" s="106"/>
      <c r="RG7968" s="106"/>
      <c r="RH7968" s="106"/>
      <c r="RI7968" s="106"/>
      <c r="RJ7968" s="106"/>
      <c r="RK7968" s="106"/>
      <c r="RL7968" s="106"/>
    </row>
    <row r="7969" spans="462:480" x14ac:dyDescent="0.3">
      <c r="QT7969" s="106"/>
      <c r="QU7969" s="106"/>
      <c r="QV7969" s="106"/>
      <c r="QW7969" s="106"/>
      <c r="QX7969" s="106"/>
      <c r="QY7969" s="106"/>
      <c r="QZ7969" s="106"/>
      <c r="RA7969" s="106"/>
      <c r="RB7969" s="106"/>
      <c r="RC7969" s="106"/>
      <c r="RD7969" s="106"/>
      <c r="RE7969" s="106"/>
      <c r="RF7969" s="106"/>
      <c r="RG7969" s="106"/>
      <c r="RH7969" s="106"/>
      <c r="RI7969" s="106"/>
      <c r="RJ7969" s="106"/>
      <c r="RK7969" s="106"/>
      <c r="RL7969" s="106"/>
    </row>
    <row r="7970" spans="462:480" x14ac:dyDescent="0.3">
      <c r="QT7970" s="106"/>
      <c r="QU7970" s="106"/>
      <c r="QV7970" s="106"/>
      <c r="QW7970" s="106"/>
      <c r="QX7970" s="106"/>
      <c r="QY7970" s="106"/>
      <c r="QZ7970" s="106"/>
      <c r="RA7970" s="106"/>
      <c r="RB7970" s="106"/>
      <c r="RC7970" s="106"/>
      <c r="RD7970" s="106"/>
      <c r="RE7970" s="106"/>
      <c r="RF7970" s="106"/>
      <c r="RG7970" s="106"/>
      <c r="RH7970" s="106"/>
      <c r="RI7970" s="106"/>
      <c r="RJ7970" s="106"/>
      <c r="RK7970" s="106"/>
      <c r="RL7970" s="106"/>
    </row>
    <row r="7971" spans="462:480" x14ac:dyDescent="0.3">
      <c r="QT7971" s="106"/>
      <c r="QU7971" s="106"/>
      <c r="QV7971" s="106"/>
      <c r="QW7971" s="106"/>
      <c r="QX7971" s="106"/>
      <c r="QY7971" s="106"/>
      <c r="QZ7971" s="106"/>
      <c r="RA7971" s="106"/>
      <c r="RB7971" s="106"/>
      <c r="RC7971" s="106"/>
      <c r="RD7971" s="106"/>
      <c r="RE7971" s="106"/>
      <c r="RF7971" s="106"/>
      <c r="RG7971" s="106"/>
      <c r="RH7971" s="106"/>
      <c r="RI7971" s="106"/>
      <c r="RJ7971" s="106"/>
      <c r="RK7971" s="106"/>
      <c r="RL7971" s="106"/>
    </row>
    <row r="7972" spans="462:480" x14ac:dyDescent="0.3">
      <c r="QT7972" s="106"/>
      <c r="QU7972" s="106"/>
      <c r="QV7972" s="106"/>
      <c r="QW7972" s="106"/>
      <c r="QX7972" s="106"/>
      <c r="QY7972" s="106"/>
      <c r="QZ7972" s="106"/>
      <c r="RA7972" s="106"/>
      <c r="RB7972" s="106"/>
      <c r="RC7972" s="106"/>
      <c r="RD7972" s="106"/>
      <c r="RE7972" s="106"/>
      <c r="RF7972" s="106"/>
      <c r="RG7972" s="106"/>
      <c r="RH7972" s="106"/>
      <c r="RI7972" s="106"/>
      <c r="RJ7972" s="106"/>
      <c r="RK7972" s="106"/>
      <c r="RL7972" s="106"/>
    </row>
    <row r="7973" spans="462:480" x14ac:dyDescent="0.3">
      <c r="QT7973" s="106"/>
      <c r="QU7973" s="106"/>
      <c r="QV7973" s="106"/>
      <c r="QW7973" s="106"/>
      <c r="QX7973" s="106"/>
      <c r="QY7973" s="106"/>
      <c r="QZ7973" s="106"/>
      <c r="RA7973" s="106"/>
      <c r="RB7973" s="106"/>
      <c r="RC7973" s="106"/>
      <c r="RD7973" s="106"/>
      <c r="RE7973" s="106"/>
      <c r="RF7973" s="106"/>
      <c r="RG7973" s="106"/>
      <c r="RH7973" s="106"/>
      <c r="RI7973" s="106"/>
      <c r="RJ7973" s="106"/>
      <c r="RK7973" s="106"/>
      <c r="RL7973" s="106"/>
    </row>
    <row r="7974" spans="462:480" x14ac:dyDescent="0.3">
      <c r="QT7974" s="106"/>
      <c r="QU7974" s="106"/>
      <c r="QV7974" s="106"/>
      <c r="QW7974" s="106"/>
      <c r="QX7974" s="106"/>
      <c r="QY7974" s="106"/>
      <c r="QZ7974" s="106"/>
      <c r="RA7974" s="106"/>
      <c r="RB7974" s="106"/>
      <c r="RC7974" s="106"/>
      <c r="RD7974" s="106"/>
      <c r="RE7974" s="106"/>
      <c r="RF7974" s="106"/>
      <c r="RG7974" s="106"/>
      <c r="RH7974" s="106"/>
      <c r="RI7974" s="106"/>
      <c r="RJ7974" s="106"/>
      <c r="RK7974" s="106"/>
      <c r="RL7974" s="106"/>
    </row>
    <row r="7975" spans="462:480" x14ac:dyDescent="0.3">
      <c r="QT7975" s="106"/>
      <c r="QU7975" s="106"/>
      <c r="QV7975" s="106"/>
      <c r="QW7975" s="106"/>
      <c r="QX7975" s="106"/>
      <c r="QY7975" s="106"/>
      <c r="QZ7975" s="106"/>
      <c r="RA7975" s="106"/>
      <c r="RB7975" s="106"/>
      <c r="RC7975" s="106"/>
      <c r="RD7975" s="106"/>
      <c r="RE7975" s="106"/>
      <c r="RF7975" s="106"/>
      <c r="RG7975" s="106"/>
      <c r="RH7975" s="106"/>
      <c r="RI7975" s="106"/>
      <c r="RJ7975" s="106"/>
      <c r="RK7975" s="106"/>
      <c r="RL7975" s="106"/>
    </row>
    <row r="7976" spans="462:480" x14ac:dyDescent="0.3">
      <c r="QT7976" s="106"/>
      <c r="QU7976" s="106"/>
      <c r="QV7976" s="106"/>
      <c r="QW7976" s="106"/>
      <c r="QX7976" s="106"/>
      <c r="QY7976" s="106"/>
      <c r="QZ7976" s="106"/>
      <c r="RA7976" s="106"/>
      <c r="RB7976" s="106"/>
      <c r="RC7976" s="106"/>
      <c r="RD7976" s="106"/>
      <c r="RE7976" s="106"/>
      <c r="RF7976" s="106"/>
      <c r="RG7976" s="106"/>
      <c r="RH7976" s="106"/>
      <c r="RI7976" s="106"/>
      <c r="RJ7976" s="106"/>
      <c r="RK7976" s="106"/>
      <c r="RL7976" s="106"/>
    </row>
    <row r="7977" spans="462:480" x14ac:dyDescent="0.3">
      <c r="QT7977" s="106"/>
      <c r="QU7977" s="106"/>
      <c r="QV7977" s="106"/>
      <c r="QW7977" s="106"/>
      <c r="QX7977" s="106"/>
      <c r="QY7977" s="106"/>
      <c r="QZ7977" s="106"/>
      <c r="RA7977" s="106"/>
      <c r="RB7977" s="106"/>
      <c r="RC7977" s="106"/>
      <c r="RD7977" s="106"/>
      <c r="RE7977" s="106"/>
      <c r="RF7977" s="106"/>
      <c r="RG7977" s="106"/>
      <c r="RH7977" s="106"/>
      <c r="RI7977" s="106"/>
      <c r="RJ7977" s="106"/>
      <c r="RK7977" s="106"/>
      <c r="RL7977" s="106"/>
    </row>
    <row r="7978" spans="462:480" x14ac:dyDescent="0.3">
      <c r="QT7978" s="106"/>
      <c r="QU7978" s="106"/>
      <c r="QV7978" s="106"/>
      <c r="QW7978" s="106"/>
      <c r="QX7978" s="106"/>
      <c r="QY7978" s="106"/>
      <c r="QZ7978" s="106"/>
      <c r="RA7978" s="106"/>
      <c r="RB7978" s="106"/>
      <c r="RC7978" s="106"/>
      <c r="RD7978" s="106"/>
      <c r="RE7978" s="106"/>
      <c r="RF7978" s="106"/>
      <c r="RG7978" s="106"/>
      <c r="RH7978" s="106"/>
      <c r="RI7978" s="106"/>
      <c r="RJ7978" s="106"/>
      <c r="RK7978" s="106"/>
      <c r="RL7978" s="106"/>
    </row>
    <row r="7979" spans="462:480" x14ac:dyDescent="0.3">
      <c r="QT7979" s="106"/>
      <c r="QU7979" s="106"/>
      <c r="QV7979" s="106"/>
      <c r="QW7979" s="106"/>
      <c r="QX7979" s="106"/>
      <c r="QY7979" s="106"/>
      <c r="QZ7979" s="106"/>
      <c r="RA7979" s="106"/>
      <c r="RB7979" s="106"/>
      <c r="RC7979" s="106"/>
      <c r="RD7979" s="106"/>
      <c r="RE7979" s="106"/>
      <c r="RF7979" s="106"/>
      <c r="RG7979" s="106"/>
      <c r="RH7979" s="106"/>
      <c r="RI7979" s="106"/>
      <c r="RJ7979" s="106"/>
      <c r="RK7979" s="106"/>
      <c r="RL7979" s="106"/>
    </row>
    <row r="7980" spans="462:480" x14ac:dyDescent="0.3">
      <c r="QT7980" s="106"/>
      <c r="QU7980" s="106"/>
      <c r="QV7980" s="106"/>
      <c r="QW7980" s="106"/>
      <c r="QX7980" s="106"/>
      <c r="QY7980" s="106"/>
      <c r="QZ7980" s="106"/>
      <c r="RA7980" s="106"/>
      <c r="RB7980" s="106"/>
      <c r="RC7980" s="106"/>
      <c r="RD7980" s="106"/>
      <c r="RE7980" s="106"/>
      <c r="RF7980" s="106"/>
      <c r="RG7980" s="106"/>
      <c r="RH7980" s="106"/>
      <c r="RI7980" s="106"/>
      <c r="RJ7980" s="106"/>
      <c r="RK7980" s="106"/>
      <c r="RL7980" s="106"/>
    </row>
    <row r="7981" spans="462:480" x14ac:dyDescent="0.3">
      <c r="QT7981" s="106"/>
      <c r="QU7981" s="106"/>
      <c r="QV7981" s="106"/>
      <c r="QW7981" s="106"/>
      <c r="QX7981" s="106"/>
      <c r="QY7981" s="106"/>
      <c r="QZ7981" s="106"/>
      <c r="RA7981" s="106"/>
      <c r="RB7981" s="106"/>
      <c r="RC7981" s="106"/>
      <c r="RD7981" s="106"/>
      <c r="RE7981" s="106"/>
      <c r="RF7981" s="106"/>
      <c r="RG7981" s="106"/>
      <c r="RH7981" s="106"/>
      <c r="RI7981" s="106"/>
      <c r="RJ7981" s="106"/>
      <c r="RK7981" s="106"/>
      <c r="RL7981" s="106"/>
    </row>
    <row r="7982" spans="462:480" x14ac:dyDescent="0.3">
      <c r="QT7982" s="106"/>
      <c r="QU7982" s="106"/>
      <c r="QV7982" s="106"/>
      <c r="QW7982" s="106"/>
      <c r="QX7982" s="106"/>
      <c r="QY7982" s="106"/>
      <c r="QZ7982" s="106"/>
      <c r="RA7982" s="106"/>
      <c r="RB7982" s="106"/>
      <c r="RC7982" s="106"/>
      <c r="RD7982" s="106"/>
      <c r="RE7982" s="106"/>
      <c r="RF7982" s="106"/>
      <c r="RG7982" s="106"/>
      <c r="RH7982" s="106"/>
      <c r="RI7982" s="106"/>
      <c r="RJ7982" s="106"/>
      <c r="RK7982" s="106"/>
      <c r="RL7982" s="106"/>
    </row>
    <row r="7983" spans="462:480" x14ac:dyDescent="0.3">
      <c r="QT7983" s="106"/>
      <c r="QU7983" s="106"/>
      <c r="QV7983" s="106"/>
      <c r="QW7983" s="106"/>
      <c r="QX7983" s="106"/>
      <c r="QY7983" s="106"/>
      <c r="QZ7983" s="106"/>
      <c r="RA7983" s="106"/>
      <c r="RB7983" s="106"/>
      <c r="RC7983" s="106"/>
      <c r="RD7983" s="106"/>
      <c r="RE7983" s="106"/>
      <c r="RF7983" s="106"/>
      <c r="RG7983" s="106"/>
      <c r="RH7983" s="106"/>
      <c r="RI7983" s="106"/>
      <c r="RJ7983" s="106"/>
      <c r="RK7983" s="106"/>
      <c r="RL7983" s="106"/>
    </row>
    <row r="7984" spans="462:480" x14ac:dyDescent="0.3">
      <c r="QT7984" s="106"/>
      <c r="QU7984" s="106"/>
      <c r="QV7984" s="106"/>
      <c r="QW7984" s="106"/>
      <c r="QX7984" s="106"/>
      <c r="QY7984" s="106"/>
      <c r="QZ7984" s="106"/>
      <c r="RA7984" s="106"/>
      <c r="RB7984" s="106"/>
      <c r="RC7984" s="106"/>
      <c r="RD7984" s="106"/>
      <c r="RE7984" s="106"/>
      <c r="RF7984" s="106"/>
      <c r="RG7984" s="106"/>
      <c r="RH7984" s="106"/>
      <c r="RI7984" s="106"/>
      <c r="RJ7984" s="106"/>
      <c r="RK7984" s="106"/>
      <c r="RL7984" s="106"/>
    </row>
    <row r="7985" spans="462:480" x14ac:dyDescent="0.3">
      <c r="QT7985" s="106"/>
      <c r="QU7985" s="106"/>
      <c r="QV7985" s="106"/>
      <c r="QW7985" s="106"/>
      <c r="QX7985" s="106"/>
      <c r="QY7985" s="106"/>
      <c r="QZ7985" s="106"/>
      <c r="RA7985" s="106"/>
      <c r="RB7985" s="106"/>
      <c r="RC7985" s="106"/>
      <c r="RD7985" s="106"/>
      <c r="RE7985" s="106"/>
      <c r="RF7985" s="106"/>
      <c r="RG7985" s="106"/>
      <c r="RH7985" s="106"/>
      <c r="RI7985" s="106"/>
      <c r="RJ7985" s="106"/>
      <c r="RK7985" s="106"/>
      <c r="RL7985" s="106"/>
    </row>
    <row r="7986" spans="462:480" x14ac:dyDescent="0.3">
      <c r="QT7986" s="106"/>
      <c r="QU7986" s="106"/>
      <c r="QV7986" s="106"/>
      <c r="QW7986" s="106"/>
      <c r="QX7986" s="106"/>
      <c r="QY7986" s="106"/>
      <c r="QZ7986" s="106"/>
      <c r="RA7986" s="106"/>
      <c r="RB7986" s="106"/>
      <c r="RC7986" s="106"/>
      <c r="RD7986" s="106"/>
      <c r="RE7986" s="106"/>
      <c r="RF7986" s="106"/>
      <c r="RG7986" s="106"/>
      <c r="RH7986" s="106"/>
      <c r="RI7986" s="106"/>
      <c r="RJ7986" s="106"/>
      <c r="RK7986" s="106"/>
      <c r="RL7986" s="106"/>
    </row>
    <row r="7987" spans="462:480" x14ac:dyDescent="0.3">
      <c r="QT7987" s="106"/>
      <c r="QU7987" s="106"/>
      <c r="QV7987" s="106"/>
      <c r="QW7987" s="106"/>
      <c r="QX7987" s="106"/>
      <c r="QY7987" s="106"/>
      <c r="QZ7987" s="106"/>
      <c r="RA7987" s="106"/>
      <c r="RB7987" s="106"/>
      <c r="RC7987" s="106"/>
      <c r="RD7987" s="106"/>
      <c r="RE7987" s="106"/>
      <c r="RF7987" s="106"/>
      <c r="RG7987" s="106"/>
      <c r="RH7987" s="106"/>
      <c r="RI7987" s="106"/>
      <c r="RJ7987" s="106"/>
      <c r="RK7987" s="106"/>
      <c r="RL7987" s="106"/>
    </row>
    <row r="7988" spans="462:480" x14ac:dyDescent="0.3">
      <c r="QT7988" s="106"/>
      <c r="QU7988" s="106"/>
      <c r="QV7988" s="106"/>
      <c r="QW7988" s="106"/>
      <c r="QX7988" s="106"/>
      <c r="QY7988" s="106"/>
      <c r="QZ7988" s="106"/>
      <c r="RA7988" s="106"/>
      <c r="RB7988" s="106"/>
      <c r="RC7988" s="106"/>
      <c r="RD7988" s="106"/>
      <c r="RE7988" s="106"/>
      <c r="RF7988" s="106"/>
      <c r="RG7988" s="106"/>
      <c r="RH7988" s="106"/>
      <c r="RI7988" s="106"/>
      <c r="RJ7988" s="106"/>
      <c r="RK7988" s="106"/>
      <c r="RL7988" s="106"/>
    </row>
    <row r="7989" spans="462:480" x14ac:dyDescent="0.3">
      <c r="QT7989" s="106"/>
      <c r="QU7989" s="106"/>
      <c r="QV7989" s="106"/>
      <c r="QW7989" s="106"/>
      <c r="QX7989" s="106"/>
      <c r="QY7989" s="106"/>
      <c r="QZ7989" s="106"/>
      <c r="RA7989" s="106"/>
      <c r="RB7989" s="106"/>
      <c r="RC7989" s="106"/>
      <c r="RD7989" s="106"/>
      <c r="RE7989" s="106"/>
      <c r="RF7989" s="106"/>
      <c r="RG7989" s="106"/>
      <c r="RH7989" s="106"/>
      <c r="RI7989" s="106"/>
      <c r="RJ7989" s="106"/>
      <c r="RK7989" s="106"/>
      <c r="RL7989" s="106"/>
    </row>
    <row r="7990" spans="462:480" x14ac:dyDescent="0.3">
      <c r="QT7990" s="106"/>
      <c r="QU7990" s="106"/>
      <c r="QV7990" s="106"/>
      <c r="QW7990" s="106"/>
      <c r="QX7990" s="106"/>
      <c r="QY7990" s="106"/>
      <c r="QZ7990" s="106"/>
      <c r="RA7990" s="106"/>
      <c r="RB7990" s="106"/>
      <c r="RC7990" s="106"/>
      <c r="RD7990" s="106"/>
      <c r="RE7990" s="106"/>
      <c r="RF7990" s="106"/>
      <c r="RG7990" s="106"/>
      <c r="RH7990" s="106"/>
      <c r="RI7990" s="106"/>
      <c r="RJ7990" s="106"/>
      <c r="RK7990" s="106"/>
      <c r="RL7990" s="106"/>
    </row>
    <row r="7991" spans="462:480" x14ac:dyDescent="0.3">
      <c r="QT7991" s="106"/>
      <c r="QU7991" s="106"/>
      <c r="QV7991" s="106"/>
      <c r="QW7991" s="106"/>
      <c r="QX7991" s="106"/>
      <c r="QY7991" s="106"/>
      <c r="QZ7991" s="106"/>
      <c r="RA7991" s="106"/>
      <c r="RB7991" s="106"/>
      <c r="RC7991" s="106"/>
      <c r="RD7991" s="106"/>
      <c r="RE7991" s="106"/>
      <c r="RF7991" s="106"/>
      <c r="RG7991" s="106"/>
      <c r="RH7991" s="106"/>
      <c r="RI7991" s="106"/>
      <c r="RJ7991" s="106"/>
      <c r="RK7991" s="106"/>
      <c r="RL7991" s="106"/>
    </row>
    <row r="7992" spans="462:480" x14ac:dyDescent="0.3">
      <c r="QT7992" s="106"/>
      <c r="QU7992" s="106"/>
      <c r="QV7992" s="106"/>
      <c r="QW7992" s="106"/>
      <c r="QX7992" s="106"/>
      <c r="QY7992" s="106"/>
      <c r="QZ7992" s="106"/>
      <c r="RA7992" s="106"/>
      <c r="RB7992" s="106"/>
      <c r="RC7992" s="106"/>
      <c r="RD7992" s="106"/>
      <c r="RE7992" s="106"/>
      <c r="RF7992" s="106"/>
      <c r="RG7992" s="106"/>
      <c r="RH7992" s="106"/>
      <c r="RI7992" s="106"/>
      <c r="RJ7992" s="106"/>
      <c r="RK7992" s="106"/>
      <c r="RL7992" s="106"/>
    </row>
    <row r="7993" spans="462:480" x14ac:dyDescent="0.3">
      <c r="QT7993" s="106"/>
      <c r="QU7993" s="106"/>
      <c r="QV7993" s="106"/>
      <c r="QW7993" s="106"/>
      <c r="QX7993" s="106"/>
      <c r="QY7993" s="106"/>
      <c r="QZ7993" s="106"/>
      <c r="RA7993" s="106"/>
      <c r="RB7993" s="106"/>
      <c r="RC7993" s="106"/>
      <c r="RD7993" s="106"/>
      <c r="RE7993" s="106"/>
      <c r="RF7993" s="106"/>
      <c r="RG7993" s="106"/>
      <c r="RH7993" s="106"/>
      <c r="RI7993" s="106"/>
      <c r="RJ7993" s="106"/>
      <c r="RK7993" s="106"/>
      <c r="RL7993" s="106"/>
    </row>
    <row r="7994" spans="462:480" x14ac:dyDescent="0.3">
      <c r="QT7994" s="106"/>
      <c r="QU7994" s="106"/>
      <c r="QV7994" s="106"/>
      <c r="QW7994" s="106"/>
      <c r="QX7994" s="106"/>
      <c r="QY7994" s="106"/>
      <c r="QZ7994" s="106"/>
      <c r="RA7994" s="106"/>
      <c r="RB7994" s="106"/>
      <c r="RC7994" s="106"/>
      <c r="RD7994" s="106"/>
      <c r="RE7994" s="106"/>
      <c r="RF7994" s="106"/>
      <c r="RG7994" s="106"/>
      <c r="RH7994" s="106"/>
      <c r="RI7994" s="106"/>
      <c r="RJ7994" s="106"/>
      <c r="RK7994" s="106"/>
      <c r="RL7994" s="106"/>
    </row>
    <row r="7995" spans="462:480" x14ac:dyDescent="0.3">
      <c r="QT7995" s="106"/>
      <c r="QU7995" s="106"/>
      <c r="QV7995" s="106"/>
      <c r="QW7995" s="106"/>
      <c r="QX7995" s="106"/>
      <c r="QY7995" s="106"/>
      <c r="QZ7995" s="106"/>
      <c r="RA7995" s="106"/>
      <c r="RB7995" s="106"/>
      <c r="RC7995" s="106"/>
      <c r="RD7995" s="106"/>
      <c r="RE7995" s="106"/>
      <c r="RF7995" s="106"/>
      <c r="RG7995" s="106"/>
      <c r="RH7995" s="106"/>
      <c r="RI7995" s="106"/>
      <c r="RJ7995" s="106"/>
      <c r="RK7995" s="106"/>
      <c r="RL7995" s="106"/>
    </row>
    <row r="7996" spans="462:480" x14ac:dyDescent="0.3">
      <c r="QT7996" s="106"/>
      <c r="QU7996" s="106"/>
      <c r="QV7996" s="106"/>
      <c r="QW7996" s="106"/>
      <c r="QX7996" s="106"/>
      <c r="QY7996" s="106"/>
      <c r="QZ7996" s="106"/>
      <c r="RA7996" s="106"/>
      <c r="RB7996" s="106"/>
      <c r="RC7996" s="106"/>
      <c r="RD7996" s="106"/>
      <c r="RE7996" s="106"/>
      <c r="RF7996" s="106"/>
      <c r="RG7996" s="106"/>
      <c r="RH7996" s="106"/>
      <c r="RI7996" s="106"/>
      <c r="RJ7996" s="106"/>
      <c r="RK7996" s="106"/>
      <c r="RL7996" s="106"/>
    </row>
    <row r="7997" spans="462:480" x14ac:dyDescent="0.3">
      <c r="QT7997" s="106"/>
      <c r="QU7997" s="106"/>
      <c r="QV7997" s="106"/>
      <c r="QW7997" s="106"/>
      <c r="QX7997" s="106"/>
      <c r="QY7997" s="106"/>
      <c r="QZ7997" s="106"/>
      <c r="RA7997" s="106"/>
      <c r="RB7997" s="106"/>
      <c r="RC7997" s="106"/>
      <c r="RD7997" s="106"/>
      <c r="RE7997" s="106"/>
      <c r="RF7997" s="106"/>
      <c r="RG7997" s="106"/>
      <c r="RH7997" s="106"/>
      <c r="RI7997" s="106"/>
      <c r="RJ7997" s="106"/>
      <c r="RK7997" s="106"/>
      <c r="RL7997" s="106"/>
    </row>
    <row r="7998" spans="462:480" x14ac:dyDescent="0.3">
      <c r="QT7998" s="106"/>
      <c r="QU7998" s="106"/>
      <c r="QV7998" s="106"/>
      <c r="QW7998" s="106"/>
      <c r="QX7998" s="106"/>
      <c r="QY7998" s="106"/>
      <c r="QZ7998" s="106"/>
      <c r="RA7998" s="106"/>
      <c r="RB7998" s="106"/>
      <c r="RC7998" s="106"/>
      <c r="RD7998" s="106"/>
      <c r="RE7998" s="106"/>
      <c r="RF7998" s="106"/>
      <c r="RG7998" s="106"/>
      <c r="RH7998" s="106"/>
      <c r="RI7998" s="106"/>
      <c r="RJ7998" s="106"/>
      <c r="RK7998" s="106"/>
      <c r="RL7998" s="106"/>
    </row>
    <row r="7999" spans="462:480" x14ac:dyDescent="0.3">
      <c r="QT7999" s="106"/>
      <c r="QU7999" s="106"/>
      <c r="QV7999" s="106"/>
      <c r="QW7999" s="106"/>
      <c r="QX7999" s="106"/>
      <c r="QY7999" s="106"/>
      <c r="QZ7999" s="106"/>
      <c r="RA7999" s="106"/>
      <c r="RB7999" s="106"/>
      <c r="RC7999" s="106"/>
      <c r="RD7999" s="106"/>
      <c r="RE7999" s="106"/>
      <c r="RF7999" s="106"/>
      <c r="RG7999" s="106"/>
      <c r="RH7999" s="106"/>
      <c r="RI7999" s="106"/>
      <c r="RJ7999" s="106"/>
      <c r="RK7999" s="106"/>
      <c r="RL7999" s="106"/>
    </row>
    <row r="8000" spans="462:480" x14ac:dyDescent="0.3">
      <c r="QT8000" s="106"/>
      <c r="QU8000" s="106"/>
      <c r="QV8000" s="106"/>
      <c r="QW8000" s="106"/>
      <c r="QX8000" s="106"/>
      <c r="QY8000" s="106"/>
      <c r="QZ8000" s="106"/>
      <c r="RA8000" s="106"/>
      <c r="RB8000" s="106"/>
      <c r="RC8000" s="106"/>
      <c r="RD8000" s="106"/>
      <c r="RE8000" s="106"/>
      <c r="RF8000" s="106"/>
      <c r="RG8000" s="106"/>
      <c r="RH8000" s="106"/>
      <c r="RI8000" s="106"/>
      <c r="RJ8000" s="106"/>
      <c r="RK8000" s="106"/>
      <c r="RL8000" s="106"/>
    </row>
    <row r="8001" spans="462:480" x14ac:dyDescent="0.3">
      <c r="QT8001" s="106"/>
      <c r="QU8001" s="106"/>
      <c r="QV8001" s="106"/>
      <c r="QW8001" s="106"/>
      <c r="QX8001" s="106"/>
      <c r="QY8001" s="106"/>
      <c r="QZ8001" s="106"/>
      <c r="RA8001" s="106"/>
      <c r="RB8001" s="106"/>
      <c r="RC8001" s="106"/>
      <c r="RD8001" s="106"/>
      <c r="RE8001" s="106"/>
      <c r="RF8001" s="106"/>
      <c r="RG8001" s="106"/>
      <c r="RH8001" s="106"/>
      <c r="RI8001" s="106"/>
      <c r="RJ8001" s="106"/>
      <c r="RK8001" s="106"/>
      <c r="RL8001" s="106"/>
    </row>
    <row r="8002" spans="462:480" x14ac:dyDescent="0.3">
      <c r="QT8002" s="106"/>
      <c r="QU8002" s="106"/>
      <c r="QV8002" s="106"/>
      <c r="QW8002" s="106"/>
      <c r="QX8002" s="106"/>
      <c r="QY8002" s="106"/>
      <c r="QZ8002" s="106"/>
      <c r="RA8002" s="106"/>
      <c r="RB8002" s="106"/>
      <c r="RC8002" s="106"/>
      <c r="RD8002" s="106"/>
      <c r="RE8002" s="106"/>
      <c r="RF8002" s="106"/>
      <c r="RG8002" s="106"/>
      <c r="RH8002" s="106"/>
      <c r="RI8002" s="106"/>
      <c r="RJ8002" s="106"/>
      <c r="RK8002" s="106"/>
      <c r="RL8002" s="106"/>
    </row>
    <row r="8003" spans="462:480" x14ac:dyDescent="0.3">
      <c r="QT8003" s="106"/>
      <c r="QU8003" s="106"/>
      <c r="QV8003" s="106"/>
      <c r="QW8003" s="106"/>
      <c r="QX8003" s="106"/>
      <c r="QY8003" s="106"/>
      <c r="QZ8003" s="106"/>
      <c r="RA8003" s="106"/>
      <c r="RB8003" s="106"/>
      <c r="RC8003" s="106"/>
      <c r="RD8003" s="106"/>
      <c r="RE8003" s="106"/>
      <c r="RF8003" s="106"/>
      <c r="RG8003" s="106"/>
      <c r="RH8003" s="106"/>
      <c r="RI8003" s="106"/>
      <c r="RJ8003" s="106"/>
      <c r="RK8003" s="106"/>
      <c r="RL8003" s="106"/>
    </row>
    <row r="8004" spans="462:480" x14ac:dyDescent="0.3">
      <c r="QT8004" s="106"/>
      <c r="QU8004" s="106"/>
      <c r="QV8004" s="106"/>
      <c r="QW8004" s="106"/>
      <c r="QX8004" s="106"/>
      <c r="QY8004" s="106"/>
      <c r="QZ8004" s="106"/>
      <c r="RA8004" s="106"/>
      <c r="RB8004" s="106"/>
      <c r="RC8004" s="106"/>
      <c r="RD8004" s="106"/>
      <c r="RE8004" s="106"/>
      <c r="RF8004" s="106"/>
      <c r="RG8004" s="106"/>
      <c r="RH8004" s="106"/>
      <c r="RI8004" s="106"/>
      <c r="RJ8004" s="106"/>
      <c r="RK8004" s="106"/>
      <c r="RL8004" s="106"/>
    </row>
    <row r="8005" spans="462:480" x14ac:dyDescent="0.3">
      <c r="QT8005" s="106"/>
      <c r="QU8005" s="106"/>
      <c r="QV8005" s="106"/>
      <c r="QW8005" s="106"/>
      <c r="QX8005" s="106"/>
      <c r="QY8005" s="106"/>
      <c r="QZ8005" s="106"/>
      <c r="RA8005" s="106"/>
      <c r="RB8005" s="106"/>
      <c r="RC8005" s="106"/>
      <c r="RD8005" s="106"/>
      <c r="RE8005" s="106"/>
      <c r="RF8005" s="106"/>
      <c r="RG8005" s="106"/>
      <c r="RH8005" s="106"/>
      <c r="RI8005" s="106"/>
      <c r="RJ8005" s="106"/>
      <c r="RK8005" s="106"/>
      <c r="RL8005" s="106"/>
    </row>
    <row r="8006" spans="462:480" x14ac:dyDescent="0.3">
      <c r="QT8006" s="106"/>
      <c r="QU8006" s="106"/>
      <c r="QV8006" s="106"/>
      <c r="QW8006" s="106"/>
      <c r="QX8006" s="106"/>
      <c r="QY8006" s="106"/>
      <c r="QZ8006" s="106"/>
      <c r="RA8006" s="106"/>
      <c r="RB8006" s="106"/>
      <c r="RC8006" s="106"/>
      <c r="RD8006" s="106"/>
      <c r="RE8006" s="106"/>
      <c r="RF8006" s="106"/>
      <c r="RG8006" s="106"/>
      <c r="RH8006" s="106"/>
      <c r="RI8006" s="106"/>
      <c r="RJ8006" s="106"/>
      <c r="RK8006" s="106"/>
      <c r="RL8006" s="106"/>
    </row>
    <row r="8007" spans="462:480" x14ac:dyDescent="0.3">
      <c r="QT8007" s="106"/>
      <c r="QU8007" s="106"/>
      <c r="QV8007" s="106"/>
      <c r="QW8007" s="106"/>
      <c r="QX8007" s="106"/>
      <c r="QY8007" s="106"/>
      <c r="QZ8007" s="106"/>
      <c r="RA8007" s="106"/>
      <c r="RB8007" s="106"/>
      <c r="RC8007" s="106"/>
      <c r="RD8007" s="106"/>
      <c r="RE8007" s="106"/>
      <c r="RF8007" s="106"/>
      <c r="RG8007" s="106"/>
      <c r="RH8007" s="106"/>
      <c r="RI8007" s="106"/>
      <c r="RJ8007" s="106"/>
      <c r="RK8007" s="106"/>
      <c r="RL8007" s="106"/>
    </row>
    <row r="8008" spans="462:480" x14ac:dyDescent="0.3">
      <c r="QT8008" s="106"/>
      <c r="QU8008" s="106"/>
      <c r="QV8008" s="106"/>
      <c r="QW8008" s="106"/>
      <c r="QX8008" s="106"/>
      <c r="QY8008" s="106"/>
      <c r="QZ8008" s="106"/>
      <c r="RA8008" s="106"/>
      <c r="RB8008" s="106"/>
      <c r="RC8008" s="106"/>
      <c r="RD8008" s="106"/>
      <c r="RE8008" s="106"/>
      <c r="RF8008" s="106"/>
      <c r="RG8008" s="106"/>
      <c r="RH8008" s="106"/>
      <c r="RI8008" s="106"/>
      <c r="RJ8008" s="106"/>
      <c r="RK8008" s="106"/>
      <c r="RL8008" s="106"/>
    </row>
    <row r="8009" spans="462:480" x14ac:dyDescent="0.3">
      <c r="QT8009" s="106"/>
      <c r="QU8009" s="106"/>
      <c r="QV8009" s="106"/>
      <c r="QW8009" s="106"/>
      <c r="QX8009" s="106"/>
      <c r="QY8009" s="106"/>
      <c r="QZ8009" s="106"/>
      <c r="RA8009" s="106"/>
      <c r="RB8009" s="106"/>
      <c r="RC8009" s="106"/>
      <c r="RD8009" s="106"/>
      <c r="RE8009" s="106"/>
      <c r="RF8009" s="106"/>
      <c r="RG8009" s="106"/>
      <c r="RH8009" s="106"/>
      <c r="RI8009" s="106"/>
      <c r="RJ8009" s="106"/>
      <c r="RK8009" s="106"/>
      <c r="RL8009" s="106"/>
    </row>
    <row r="8010" spans="462:480" x14ac:dyDescent="0.3">
      <c r="QT8010" s="106"/>
      <c r="QU8010" s="106"/>
      <c r="QV8010" s="106"/>
      <c r="QW8010" s="106"/>
      <c r="QX8010" s="106"/>
      <c r="QY8010" s="106"/>
      <c r="QZ8010" s="106"/>
      <c r="RA8010" s="106"/>
      <c r="RB8010" s="106"/>
      <c r="RC8010" s="106"/>
      <c r="RD8010" s="106"/>
      <c r="RE8010" s="106"/>
      <c r="RF8010" s="106"/>
      <c r="RG8010" s="106"/>
      <c r="RH8010" s="106"/>
      <c r="RI8010" s="106"/>
      <c r="RJ8010" s="106"/>
      <c r="RK8010" s="106"/>
      <c r="RL8010" s="106"/>
    </row>
    <row r="8011" spans="462:480" x14ac:dyDescent="0.3">
      <c r="QT8011" s="106"/>
      <c r="QU8011" s="106"/>
      <c r="QV8011" s="106"/>
      <c r="QW8011" s="106"/>
      <c r="QX8011" s="106"/>
      <c r="QY8011" s="106"/>
      <c r="QZ8011" s="106"/>
      <c r="RA8011" s="106"/>
      <c r="RB8011" s="106"/>
      <c r="RC8011" s="106"/>
      <c r="RD8011" s="106"/>
      <c r="RE8011" s="106"/>
      <c r="RF8011" s="106"/>
      <c r="RG8011" s="106"/>
      <c r="RH8011" s="106"/>
      <c r="RI8011" s="106"/>
      <c r="RJ8011" s="106"/>
      <c r="RK8011" s="106"/>
      <c r="RL8011" s="106"/>
    </row>
    <row r="8012" spans="462:480" x14ac:dyDescent="0.3">
      <c r="QT8012" s="106"/>
      <c r="QU8012" s="106"/>
      <c r="QV8012" s="106"/>
      <c r="QW8012" s="106"/>
      <c r="QX8012" s="106"/>
      <c r="QY8012" s="106"/>
      <c r="QZ8012" s="106"/>
      <c r="RA8012" s="106"/>
      <c r="RB8012" s="106"/>
      <c r="RC8012" s="106"/>
      <c r="RD8012" s="106"/>
      <c r="RE8012" s="106"/>
      <c r="RF8012" s="106"/>
      <c r="RG8012" s="106"/>
      <c r="RH8012" s="106"/>
      <c r="RI8012" s="106"/>
      <c r="RJ8012" s="106"/>
      <c r="RK8012" s="106"/>
      <c r="RL8012" s="106"/>
    </row>
    <row r="8013" spans="462:480" x14ac:dyDescent="0.3">
      <c r="QT8013" s="106"/>
      <c r="QU8013" s="106"/>
      <c r="QV8013" s="106"/>
      <c r="QW8013" s="106"/>
      <c r="QX8013" s="106"/>
      <c r="QY8013" s="106"/>
      <c r="QZ8013" s="106"/>
      <c r="RA8013" s="106"/>
      <c r="RB8013" s="106"/>
      <c r="RC8013" s="106"/>
      <c r="RD8013" s="106"/>
      <c r="RE8013" s="106"/>
      <c r="RF8013" s="106"/>
      <c r="RG8013" s="106"/>
      <c r="RH8013" s="106"/>
      <c r="RI8013" s="106"/>
      <c r="RJ8013" s="106"/>
      <c r="RK8013" s="106"/>
      <c r="RL8013" s="106"/>
    </row>
    <row r="8014" spans="462:480" x14ac:dyDescent="0.3">
      <c r="QT8014" s="106"/>
      <c r="QU8014" s="106"/>
      <c r="QV8014" s="106"/>
      <c r="QW8014" s="106"/>
      <c r="QX8014" s="106"/>
      <c r="QY8014" s="106"/>
      <c r="QZ8014" s="106"/>
      <c r="RA8014" s="106"/>
      <c r="RB8014" s="106"/>
      <c r="RC8014" s="106"/>
      <c r="RD8014" s="106"/>
      <c r="RE8014" s="106"/>
      <c r="RF8014" s="106"/>
      <c r="RG8014" s="106"/>
      <c r="RH8014" s="106"/>
      <c r="RI8014" s="106"/>
      <c r="RJ8014" s="106"/>
      <c r="RK8014" s="106"/>
      <c r="RL8014" s="106"/>
    </row>
    <row r="8015" spans="462:480" x14ac:dyDescent="0.3">
      <c r="QT8015" s="106"/>
      <c r="QU8015" s="106"/>
      <c r="QV8015" s="106"/>
      <c r="QW8015" s="106"/>
      <c r="QX8015" s="106"/>
      <c r="QY8015" s="106"/>
      <c r="QZ8015" s="106"/>
      <c r="RA8015" s="106"/>
      <c r="RB8015" s="106"/>
      <c r="RC8015" s="106"/>
      <c r="RD8015" s="106"/>
      <c r="RE8015" s="106"/>
      <c r="RF8015" s="106"/>
      <c r="RG8015" s="106"/>
      <c r="RH8015" s="106"/>
      <c r="RI8015" s="106"/>
      <c r="RJ8015" s="106"/>
      <c r="RK8015" s="106"/>
      <c r="RL8015" s="106"/>
    </row>
    <row r="8016" spans="462:480" x14ac:dyDescent="0.3">
      <c r="QT8016" s="106"/>
      <c r="QU8016" s="106"/>
      <c r="QV8016" s="106"/>
      <c r="QW8016" s="106"/>
      <c r="QX8016" s="106"/>
      <c r="QY8016" s="106"/>
      <c r="QZ8016" s="106"/>
      <c r="RA8016" s="106"/>
      <c r="RB8016" s="106"/>
      <c r="RC8016" s="106"/>
      <c r="RD8016" s="106"/>
      <c r="RE8016" s="106"/>
      <c r="RF8016" s="106"/>
      <c r="RG8016" s="106"/>
      <c r="RH8016" s="106"/>
      <c r="RI8016" s="106"/>
      <c r="RJ8016" s="106"/>
      <c r="RK8016" s="106"/>
      <c r="RL8016" s="106"/>
    </row>
    <row r="8017" spans="462:480" x14ac:dyDescent="0.3">
      <c r="QT8017" s="106"/>
      <c r="QU8017" s="106"/>
      <c r="QV8017" s="106"/>
      <c r="QW8017" s="106"/>
      <c r="QX8017" s="106"/>
      <c r="QY8017" s="106"/>
      <c r="QZ8017" s="106"/>
      <c r="RA8017" s="106"/>
      <c r="RB8017" s="106"/>
      <c r="RC8017" s="106"/>
      <c r="RD8017" s="106"/>
      <c r="RE8017" s="106"/>
      <c r="RF8017" s="106"/>
      <c r="RG8017" s="106"/>
      <c r="RH8017" s="106"/>
      <c r="RI8017" s="106"/>
      <c r="RJ8017" s="106"/>
      <c r="RK8017" s="106"/>
      <c r="RL8017" s="106"/>
    </row>
    <row r="8018" spans="462:480" x14ac:dyDescent="0.3">
      <c r="QT8018" s="106"/>
      <c r="QU8018" s="106"/>
      <c r="QV8018" s="106"/>
      <c r="QW8018" s="106"/>
      <c r="QX8018" s="106"/>
      <c r="QY8018" s="106"/>
      <c r="QZ8018" s="106"/>
      <c r="RA8018" s="106"/>
      <c r="RB8018" s="106"/>
      <c r="RC8018" s="106"/>
      <c r="RD8018" s="106"/>
      <c r="RE8018" s="106"/>
      <c r="RF8018" s="106"/>
      <c r="RG8018" s="106"/>
      <c r="RH8018" s="106"/>
      <c r="RI8018" s="106"/>
      <c r="RJ8018" s="106"/>
      <c r="RK8018" s="106"/>
      <c r="RL8018" s="106"/>
    </row>
    <row r="8019" spans="462:480" x14ac:dyDescent="0.3">
      <c r="QT8019" s="106"/>
      <c r="QU8019" s="106"/>
      <c r="QV8019" s="106"/>
      <c r="QW8019" s="106"/>
      <c r="QX8019" s="106"/>
      <c r="QY8019" s="106"/>
      <c r="QZ8019" s="106"/>
      <c r="RA8019" s="106"/>
      <c r="RB8019" s="106"/>
      <c r="RC8019" s="106"/>
      <c r="RD8019" s="106"/>
      <c r="RE8019" s="106"/>
      <c r="RF8019" s="106"/>
      <c r="RG8019" s="106"/>
      <c r="RH8019" s="106"/>
      <c r="RI8019" s="106"/>
      <c r="RJ8019" s="106"/>
      <c r="RK8019" s="106"/>
      <c r="RL8019" s="106"/>
    </row>
    <row r="8020" spans="462:480" x14ac:dyDescent="0.3">
      <c r="QT8020" s="106"/>
      <c r="QU8020" s="106"/>
      <c r="QV8020" s="106"/>
      <c r="QW8020" s="106"/>
      <c r="QX8020" s="106"/>
      <c r="QY8020" s="106"/>
      <c r="QZ8020" s="106"/>
      <c r="RA8020" s="106"/>
      <c r="RB8020" s="106"/>
      <c r="RC8020" s="106"/>
      <c r="RD8020" s="106"/>
      <c r="RE8020" s="106"/>
      <c r="RF8020" s="106"/>
      <c r="RG8020" s="106"/>
      <c r="RH8020" s="106"/>
      <c r="RI8020" s="106"/>
      <c r="RJ8020" s="106"/>
      <c r="RK8020" s="106"/>
      <c r="RL8020" s="106"/>
    </row>
    <row r="8021" spans="462:480" x14ac:dyDescent="0.3">
      <c r="QT8021" s="106"/>
      <c r="QU8021" s="106"/>
      <c r="QV8021" s="106"/>
      <c r="QW8021" s="106"/>
      <c r="QX8021" s="106"/>
      <c r="QY8021" s="106"/>
      <c r="QZ8021" s="106"/>
      <c r="RA8021" s="106"/>
      <c r="RB8021" s="106"/>
      <c r="RC8021" s="106"/>
      <c r="RD8021" s="106"/>
      <c r="RE8021" s="106"/>
      <c r="RF8021" s="106"/>
      <c r="RG8021" s="106"/>
      <c r="RH8021" s="106"/>
      <c r="RI8021" s="106"/>
      <c r="RJ8021" s="106"/>
      <c r="RK8021" s="106"/>
      <c r="RL8021" s="106"/>
    </row>
    <row r="8022" spans="462:480" x14ac:dyDescent="0.3">
      <c r="QT8022" s="106"/>
      <c r="QU8022" s="106"/>
      <c r="QV8022" s="106"/>
      <c r="QW8022" s="106"/>
      <c r="QX8022" s="106"/>
      <c r="QY8022" s="106"/>
      <c r="QZ8022" s="106"/>
      <c r="RA8022" s="106"/>
      <c r="RB8022" s="106"/>
      <c r="RC8022" s="106"/>
      <c r="RD8022" s="106"/>
      <c r="RE8022" s="106"/>
      <c r="RF8022" s="106"/>
      <c r="RG8022" s="106"/>
      <c r="RH8022" s="106"/>
      <c r="RI8022" s="106"/>
      <c r="RJ8022" s="106"/>
      <c r="RK8022" s="106"/>
      <c r="RL8022" s="106"/>
    </row>
    <row r="8023" spans="462:480" x14ac:dyDescent="0.3">
      <c r="QT8023" s="106"/>
      <c r="QU8023" s="106"/>
      <c r="QV8023" s="106"/>
      <c r="QW8023" s="106"/>
      <c r="QX8023" s="106"/>
      <c r="QY8023" s="106"/>
      <c r="QZ8023" s="106"/>
      <c r="RA8023" s="106"/>
      <c r="RB8023" s="106"/>
      <c r="RC8023" s="106"/>
      <c r="RD8023" s="106"/>
      <c r="RE8023" s="106"/>
      <c r="RF8023" s="106"/>
      <c r="RG8023" s="106"/>
      <c r="RH8023" s="106"/>
      <c r="RI8023" s="106"/>
      <c r="RJ8023" s="106"/>
      <c r="RK8023" s="106"/>
      <c r="RL8023" s="106"/>
    </row>
    <row r="8024" spans="462:480" x14ac:dyDescent="0.3">
      <c r="QT8024" s="106"/>
      <c r="QU8024" s="106"/>
      <c r="QV8024" s="106"/>
      <c r="QW8024" s="106"/>
      <c r="QX8024" s="106"/>
      <c r="QY8024" s="106"/>
      <c r="QZ8024" s="106"/>
      <c r="RA8024" s="106"/>
      <c r="RB8024" s="106"/>
      <c r="RC8024" s="106"/>
      <c r="RD8024" s="106"/>
      <c r="RE8024" s="106"/>
      <c r="RF8024" s="106"/>
      <c r="RG8024" s="106"/>
      <c r="RH8024" s="106"/>
      <c r="RI8024" s="106"/>
      <c r="RJ8024" s="106"/>
      <c r="RK8024" s="106"/>
      <c r="RL8024" s="106"/>
    </row>
    <row r="8025" spans="462:480" x14ac:dyDescent="0.3">
      <c r="QT8025" s="106"/>
      <c r="QU8025" s="106"/>
      <c r="QV8025" s="106"/>
      <c r="QW8025" s="106"/>
      <c r="QX8025" s="106"/>
      <c r="QY8025" s="106"/>
      <c r="QZ8025" s="106"/>
      <c r="RA8025" s="106"/>
      <c r="RB8025" s="106"/>
      <c r="RC8025" s="106"/>
      <c r="RD8025" s="106"/>
      <c r="RE8025" s="106"/>
      <c r="RF8025" s="106"/>
      <c r="RG8025" s="106"/>
      <c r="RH8025" s="106"/>
      <c r="RI8025" s="106"/>
      <c r="RJ8025" s="106"/>
      <c r="RK8025" s="106"/>
      <c r="RL8025" s="106"/>
    </row>
    <row r="8026" spans="462:480" x14ac:dyDescent="0.3">
      <c r="QT8026" s="106"/>
      <c r="QU8026" s="106"/>
      <c r="QV8026" s="106"/>
      <c r="QW8026" s="106"/>
      <c r="QX8026" s="106"/>
      <c r="QY8026" s="106"/>
      <c r="QZ8026" s="106"/>
      <c r="RA8026" s="106"/>
      <c r="RB8026" s="106"/>
      <c r="RC8026" s="106"/>
      <c r="RD8026" s="106"/>
      <c r="RE8026" s="106"/>
      <c r="RF8026" s="106"/>
      <c r="RG8026" s="106"/>
      <c r="RH8026" s="106"/>
      <c r="RI8026" s="106"/>
      <c r="RJ8026" s="106"/>
      <c r="RK8026" s="106"/>
      <c r="RL8026" s="106"/>
    </row>
    <row r="8027" spans="462:480" x14ac:dyDescent="0.3">
      <c r="QT8027" s="106"/>
      <c r="QU8027" s="106"/>
      <c r="QV8027" s="106"/>
      <c r="QW8027" s="106"/>
      <c r="QX8027" s="106"/>
      <c r="QY8027" s="106"/>
      <c r="QZ8027" s="106"/>
      <c r="RA8027" s="106"/>
      <c r="RB8027" s="106"/>
      <c r="RC8027" s="106"/>
      <c r="RD8027" s="106"/>
      <c r="RE8027" s="106"/>
      <c r="RF8027" s="106"/>
      <c r="RG8027" s="106"/>
      <c r="RH8027" s="106"/>
      <c r="RI8027" s="106"/>
      <c r="RJ8027" s="106"/>
      <c r="RK8027" s="106"/>
      <c r="RL8027" s="106"/>
    </row>
    <row r="8028" spans="462:480" x14ac:dyDescent="0.3">
      <c r="QT8028" s="106"/>
      <c r="QU8028" s="106"/>
      <c r="QV8028" s="106"/>
      <c r="QW8028" s="106"/>
      <c r="QX8028" s="106"/>
      <c r="QY8028" s="106"/>
      <c r="QZ8028" s="106"/>
      <c r="RA8028" s="106"/>
      <c r="RB8028" s="106"/>
      <c r="RC8028" s="106"/>
      <c r="RD8028" s="106"/>
      <c r="RE8028" s="106"/>
      <c r="RF8028" s="106"/>
      <c r="RG8028" s="106"/>
      <c r="RH8028" s="106"/>
      <c r="RI8028" s="106"/>
      <c r="RJ8028" s="106"/>
      <c r="RK8028" s="106"/>
      <c r="RL8028" s="106"/>
    </row>
    <row r="8029" spans="462:480" x14ac:dyDescent="0.3">
      <c r="QT8029" s="106"/>
      <c r="QU8029" s="106"/>
      <c r="QV8029" s="106"/>
      <c r="QW8029" s="106"/>
      <c r="QX8029" s="106"/>
      <c r="QY8029" s="106"/>
      <c r="QZ8029" s="106"/>
      <c r="RA8029" s="106"/>
      <c r="RB8029" s="106"/>
      <c r="RC8029" s="106"/>
      <c r="RD8029" s="106"/>
      <c r="RE8029" s="106"/>
      <c r="RF8029" s="106"/>
      <c r="RG8029" s="106"/>
      <c r="RH8029" s="106"/>
      <c r="RI8029" s="106"/>
      <c r="RJ8029" s="106"/>
      <c r="RK8029" s="106"/>
      <c r="RL8029" s="106"/>
    </row>
    <row r="8030" spans="462:480" x14ac:dyDescent="0.3">
      <c r="QT8030" s="106"/>
      <c r="QU8030" s="106"/>
      <c r="QV8030" s="106"/>
      <c r="QW8030" s="106"/>
      <c r="QX8030" s="106"/>
      <c r="QY8030" s="106"/>
      <c r="QZ8030" s="106"/>
      <c r="RA8030" s="106"/>
      <c r="RB8030" s="106"/>
      <c r="RC8030" s="106"/>
      <c r="RD8030" s="106"/>
      <c r="RE8030" s="106"/>
      <c r="RF8030" s="106"/>
      <c r="RG8030" s="106"/>
      <c r="RH8030" s="106"/>
      <c r="RI8030" s="106"/>
      <c r="RJ8030" s="106"/>
      <c r="RK8030" s="106"/>
      <c r="RL8030" s="106"/>
    </row>
    <row r="8031" spans="462:480" x14ac:dyDescent="0.3">
      <c r="QT8031" s="106"/>
      <c r="QU8031" s="106"/>
      <c r="QV8031" s="106"/>
      <c r="QW8031" s="106"/>
      <c r="QX8031" s="106"/>
      <c r="QY8031" s="106"/>
      <c r="QZ8031" s="106"/>
      <c r="RA8031" s="106"/>
      <c r="RB8031" s="106"/>
      <c r="RC8031" s="106"/>
      <c r="RD8031" s="106"/>
      <c r="RE8031" s="106"/>
      <c r="RF8031" s="106"/>
      <c r="RG8031" s="106"/>
      <c r="RH8031" s="106"/>
      <c r="RI8031" s="106"/>
      <c r="RJ8031" s="106"/>
      <c r="RK8031" s="106"/>
      <c r="RL8031" s="106"/>
    </row>
    <row r="8032" spans="462:480" x14ac:dyDescent="0.3">
      <c r="QT8032" s="106"/>
      <c r="QU8032" s="106"/>
      <c r="QV8032" s="106"/>
      <c r="QW8032" s="106"/>
      <c r="QX8032" s="106"/>
      <c r="QY8032" s="106"/>
      <c r="QZ8032" s="106"/>
      <c r="RA8032" s="106"/>
      <c r="RB8032" s="106"/>
      <c r="RC8032" s="106"/>
      <c r="RD8032" s="106"/>
      <c r="RE8032" s="106"/>
      <c r="RF8032" s="106"/>
      <c r="RG8032" s="106"/>
      <c r="RH8032" s="106"/>
      <c r="RI8032" s="106"/>
      <c r="RJ8032" s="106"/>
      <c r="RK8032" s="106"/>
      <c r="RL8032" s="106"/>
    </row>
    <row r="8033" spans="462:480" x14ac:dyDescent="0.3">
      <c r="QT8033" s="106"/>
      <c r="QU8033" s="106"/>
      <c r="QV8033" s="106"/>
      <c r="QW8033" s="106"/>
      <c r="QX8033" s="106"/>
      <c r="QY8033" s="106"/>
      <c r="QZ8033" s="106"/>
      <c r="RA8033" s="106"/>
      <c r="RB8033" s="106"/>
      <c r="RC8033" s="106"/>
      <c r="RD8033" s="106"/>
      <c r="RE8033" s="106"/>
      <c r="RF8033" s="106"/>
      <c r="RG8033" s="106"/>
      <c r="RH8033" s="106"/>
      <c r="RI8033" s="106"/>
      <c r="RJ8033" s="106"/>
      <c r="RK8033" s="106"/>
      <c r="RL8033" s="106"/>
    </row>
    <row r="8034" spans="462:480" x14ac:dyDescent="0.3">
      <c r="QT8034" s="106"/>
      <c r="QU8034" s="106"/>
      <c r="QV8034" s="106"/>
      <c r="QW8034" s="106"/>
      <c r="QX8034" s="106"/>
      <c r="QY8034" s="106"/>
      <c r="QZ8034" s="106"/>
      <c r="RA8034" s="106"/>
      <c r="RB8034" s="106"/>
      <c r="RC8034" s="106"/>
      <c r="RD8034" s="106"/>
      <c r="RE8034" s="106"/>
      <c r="RF8034" s="106"/>
      <c r="RG8034" s="106"/>
      <c r="RH8034" s="106"/>
      <c r="RI8034" s="106"/>
      <c r="RJ8034" s="106"/>
      <c r="RK8034" s="106"/>
      <c r="RL8034" s="106"/>
    </row>
    <row r="8035" spans="462:480" x14ac:dyDescent="0.3">
      <c r="QT8035" s="106"/>
      <c r="QU8035" s="106"/>
      <c r="QV8035" s="106"/>
      <c r="QW8035" s="106"/>
      <c r="QX8035" s="106"/>
      <c r="QY8035" s="106"/>
      <c r="QZ8035" s="106"/>
      <c r="RA8035" s="106"/>
      <c r="RB8035" s="106"/>
      <c r="RC8035" s="106"/>
      <c r="RD8035" s="106"/>
      <c r="RE8035" s="106"/>
      <c r="RF8035" s="106"/>
      <c r="RG8035" s="106"/>
      <c r="RH8035" s="106"/>
      <c r="RI8035" s="106"/>
      <c r="RJ8035" s="106"/>
      <c r="RK8035" s="106"/>
      <c r="RL8035" s="106"/>
    </row>
    <row r="8036" spans="462:480" x14ac:dyDescent="0.3">
      <c r="QT8036" s="106"/>
      <c r="QU8036" s="106"/>
      <c r="QV8036" s="106"/>
      <c r="QW8036" s="106"/>
      <c r="QX8036" s="106"/>
      <c r="QY8036" s="106"/>
      <c r="QZ8036" s="106"/>
      <c r="RA8036" s="106"/>
      <c r="RB8036" s="106"/>
      <c r="RC8036" s="106"/>
      <c r="RD8036" s="106"/>
      <c r="RE8036" s="106"/>
      <c r="RF8036" s="106"/>
      <c r="RG8036" s="106"/>
      <c r="RH8036" s="106"/>
      <c r="RI8036" s="106"/>
      <c r="RJ8036" s="106"/>
      <c r="RK8036" s="106"/>
      <c r="RL8036" s="106"/>
    </row>
    <row r="8037" spans="462:480" x14ac:dyDescent="0.3">
      <c r="QT8037" s="106"/>
      <c r="QU8037" s="106"/>
      <c r="QV8037" s="106"/>
      <c r="QW8037" s="106"/>
      <c r="QX8037" s="106"/>
      <c r="QY8037" s="106"/>
      <c r="QZ8037" s="106"/>
      <c r="RA8037" s="106"/>
      <c r="RB8037" s="106"/>
      <c r="RC8037" s="106"/>
      <c r="RD8037" s="106"/>
      <c r="RE8037" s="106"/>
      <c r="RF8037" s="106"/>
      <c r="RG8037" s="106"/>
      <c r="RH8037" s="106"/>
      <c r="RI8037" s="106"/>
      <c r="RJ8037" s="106"/>
      <c r="RK8037" s="106"/>
      <c r="RL8037" s="106"/>
    </row>
    <row r="8038" spans="462:480" x14ac:dyDescent="0.3">
      <c r="QT8038" s="106"/>
      <c r="QU8038" s="106"/>
      <c r="QV8038" s="106"/>
      <c r="QW8038" s="106"/>
      <c r="QX8038" s="106"/>
      <c r="QY8038" s="106"/>
      <c r="QZ8038" s="106"/>
      <c r="RA8038" s="106"/>
      <c r="RB8038" s="106"/>
      <c r="RC8038" s="106"/>
      <c r="RD8038" s="106"/>
      <c r="RE8038" s="106"/>
      <c r="RF8038" s="106"/>
      <c r="RG8038" s="106"/>
      <c r="RH8038" s="106"/>
      <c r="RI8038" s="106"/>
      <c r="RJ8038" s="106"/>
      <c r="RK8038" s="106"/>
      <c r="RL8038" s="106"/>
    </row>
    <row r="8039" spans="462:480" x14ac:dyDescent="0.3">
      <c r="QT8039" s="106"/>
      <c r="QU8039" s="106"/>
      <c r="QV8039" s="106"/>
      <c r="QW8039" s="106"/>
      <c r="QX8039" s="106"/>
      <c r="QY8039" s="106"/>
      <c r="QZ8039" s="106"/>
      <c r="RA8039" s="106"/>
      <c r="RB8039" s="106"/>
      <c r="RC8039" s="106"/>
      <c r="RD8039" s="106"/>
      <c r="RE8039" s="106"/>
      <c r="RF8039" s="106"/>
      <c r="RG8039" s="106"/>
      <c r="RH8039" s="106"/>
      <c r="RI8039" s="106"/>
      <c r="RJ8039" s="106"/>
      <c r="RK8039" s="106"/>
      <c r="RL8039" s="106"/>
    </row>
    <row r="8040" spans="462:480" x14ac:dyDescent="0.3">
      <c r="QT8040" s="106"/>
      <c r="QU8040" s="106"/>
      <c r="QV8040" s="106"/>
      <c r="QW8040" s="106"/>
      <c r="QX8040" s="106"/>
      <c r="QY8040" s="106"/>
      <c r="QZ8040" s="106"/>
      <c r="RA8040" s="106"/>
      <c r="RB8040" s="106"/>
      <c r="RC8040" s="106"/>
      <c r="RD8040" s="106"/>
      <c r="RE8040" s="106"/>
      <c r="RF8040" s="106"/>
      <c r="RG8040" s="106"/>
      <c r="RH8040" s="106"/>
      <c r="RI8040" s="106"/>
      <c r="RJ8040" s="106"/>
      <c r="RK8040" s="106"/>
      <c r="RL8040" s="106"/>
    </row>
    <row r="8041" spans="462:480" x14ac:dyDescent="0.3">
      <c r="QT8041" s="106"/>
      <c r="QU8041" s="106"/>
      <c r="QV8041" s="106"/>
      <c r="QW8041" s="106"/>
      <c r="QX8041" s="106"/>
      <c r="QY8041" s="106"/>
      <c r="QZ8041" s="106"/>
      <c r="RA8041" s="106"/>
      <c r="RB8041" s="106"/>
      <c r="RC8041" s="106"/>
      <c r="RD8041" s="106"/>
      <c r="RE8041" s="106"/>
      <c r="RF8041" s="106"/>
      <c r="RG8041" s="106"/>
      <c r="RH8041" s="106"/>
      <c r="RI8041" s="106"/>
      <c r="RJ8041" s="106"/>
      <c r="RK8041" s="106"/>
      <c r="RL8041" s="106"/>
    </row>
    <row r="8042" spans="462:480" x14ac:dyDescent="0.3">
      <c r="QT8042" s="106"/>
      <c r="QU8042" s="106"/>
      <c r="QV8042" s="106"/>
      <c r="QW8042" s="106"/>
      <c r="QX8042" s="106"/>
      <c r="QY8042" s="106"/>
      <c r="QZ8042" s="106"/>
      <c r="RA8042" s="106"/>
      <c r="RB8042" s="106"/>
      <c r="RC8042" s="106"/>
      <c r="RD8042" s="106"/>
      <c r="RE8042" s="106"/>
      <c r="RF8042" s="106"/>
      <c r="RG8042" s="106"/>
      <c r="RH8042" s="106"/>
      <c r="RI8042" s="106"/>
      <c r="RJ8042" s="106"/>
      <c r="RK8042" s="106"/>
      <c r="RL8042" s="106"/>
    </row>
    <row r="8043" spans="462:480" x14ac:dyDescent="0.3">
      <c r="QT8043" s="106"/>
      <c r="QU8043" s="106"/>
      <c r="QV8043" s="106"/>
      <c r="QW8043" s="106"/>
      <c r="QX8043" s="106"/>
      <c r="QY8043" s="106"/>
      <c r="QZ8043" s="106"/>
      <c r="RA8043" s="106"/>
      <c r="RB8043" s="106"/>
      <c r="RC8043" s="106"/>
      <c r="RD8043" s="106"/>
      <c r="RE8043" s="106"/>
      <c r="RF8043" s="106"/>
      <c r="RG8043" s="106"/>
      <c r="RH8043" s="106"/>
      <c r="RI8043" s="106"/>
      <c r="RJ8043" s="106"/>
      <c r="RK8043" s="106"/>
      <c r="RL8043" s="106"/>
    </row>
    <row r="8044" spans="462:480" x14ac:dyDescent="0.3">
      <c r="QT8044" s="106"/>
      <c r="QU8044" s="106"/>
      <c r="QV8044" s="106"/>
      <c r="QW8044" s="106"/>
      <c r="QX8044" s="106"/>
      <c r="QY8044" s="106"/>
      <c r="QZ8044" s="106"/>
      <c r="RA8044" s="106"/>
      <c r="RB8044" s="106"/>
      <c r="RC8044" s="106"/>
      <c r="RD8044" s="106"/>
      <c r="RE8044" s="106"/>
      <c r="RF8044" s="106"/>
      <c r="RG8044" s="106"/>
      <c r="RH8044" s="106"/>
      <c r="RI8044" s="106"/>
      <c r="RJ8044" s="106"/>
      <c r="RK8044" s="106"/>
      <c r="RL8044" s="106"/>
    </row>
    <row r="8045" spans="462:480" x14ac:dyDescent="0.3">
      <c r="QT8045" s="106"/>
      <c r="QU8045" s="106"/>
      <c r="QV8045" s="106"/>
      <c r="QW8045" s="106"/>
      <c r="QX8045" s="106"/>
      <c r="QY8045" s="106"/>
      <c r="QZ8045" s="106"/>
      <c r="RA8045" s="106"/>
      <c r="RB8045" s="106"/>
      <c r="RC8045" s="106"/>
      <c r="RD8045" s="106"/>
      <c r="RE8045" s="106"/>
      <c r="RF8045" s="106"/>
      <c r="RG8045" s="106"/>
      <c r="RH8045" s="106"/>
      <c r="RI8045" s="106"/>
      <c r="RJ8045" s="106"/>
      <c r="RK8045" s="106"/>
      <c r="RL8045" s="106"/>
    </row>
    <row r="8046" spans="462:480" x14ac:dyDescent="0.3">
      <c r="QT8046" s="106"/>
      <c r="QU8046" s="106"/>
      <c r="QV8046" s="106"/>
      <c r="QW8046" s="106"/>
      <c r="QX8046" s="106"/>
      <c r="QY8046" s="106"/>
      <c r="QZ8046" s="106"/>
      <c r="RA8046" s="106"/>
      <c r="RB8046" s="106"/>
      <c r="RC8046" s="106"/>
      <c r="RD8046" s="106"/>
      <c r="RE8046" s="106"/>
      <c r="RF8046" s="106"/>
      <c r="RG8046" s="106"/>
      <c r="RH8046" s="106"/>
      <c r="RI8046" s="106"/>
      <c r="RJ8046" s="106"/>
      <c r="RK8046" s="106"/>
      <c r="RL8046" s="106"/>
    </row>
    <row r="8047" spans="462:480" x14ac:dyDescent="0.3">
      <c r="QT8047" s="106"/>
      <c r="QU8047" s="106"/>
      <c r="QV8047" s="106"/>
      <c r="QW8047" s="106"/>
      <c r="QX8047" s="106"/>
      <c r="QY8047" s="106"/>
      <c r="QZ8047" s="106"/>
      <c r="RA8047" s="106"/>
      <c r="RB8047" s="106"/>
      <c r="RC8047" s="106"/>
      <c r="RD8047" s="106"/>
      <c r="RE8047" s="106"/>
      <c r="RF8047" s="106"/>
      <c r="RG8047" s="106"/>
      <c r="RH8047" s="106"/>
      <c r="RI8047" s="106"/>
      <c r="RJ8047" s="106"/>
      <c r="RK8047" s="106"/>
      <c r="RL8047" s="106"/>
    </row>
    <row r="8048" spans="462:480" x14ac:dyDescent="0.3">
      <c r="QT8048" s="106"/>
      <c r="QU8048" s="106"/>
      <c r="QV8048" s="106"/>
      <c r="QW8048" s="106"/>
      <c r="QX8048" s="106"/>
      <c r="QY8048" s="106"/>
      <c r="QZ8048" s="106"/>
      <c r="RA8048" s="106"/>
      <c r="RB8048" s="106"/>
      <c r="RC8048" s="106"/>
      <c r="RD8048" s="106"/>
      <c r="RE8048" s="106"/>
      <c r="RF8048" s="106"/>
      <c r="RG8048" s="106"/>
      <c r="RH8048" s="106"/>
      <c r="RI8048" s="106"/>
      <c r="RJ8048" s="106"/>
      <c r="RK8048" s="106"/>
      <c r="RL8048" s="106"/>
    </row>
    <row r="8049" spans="462:480" x14ac:dyDescent="0.3">
      <c r="QT8049" s="106"/>
      <c r="QU8049" s="106"/>
      <c r="QV8049" s="106"/>
      <c r="QW8049" s="106"/>
      <c r="QX8049" s="106"/>
      <c r="QY8049" s="106"/>
      <c r="QZ8049" s="106"/>
      <c r="RA8049" s="106"/>
      <c r="RB8049" s="106"/>
      <c r="RC8049" s="106"/>
      <c r="RD8049" s="106"/>
      <c r="RE8049" s="106"/>
      <c r="RF8049" s="106"/>
      <c r="RG8049" s="106"/>
      <c r="RH8049" s="106"/>
      <c r="RI8049" s="106"/>
      <c r="RJ8049" s="106"/>
      <c r="RK8049" s="106"/>
      <c r="RL8049" s="106"/>
    </row>
    <row r="8050" spans="462:480" x14ac:dyDescent="0.3">
      <c r="QT8050" s="106"/>
      <c r="QU8050" s="106"/>
      <c r="QV8050" s="106"/>
      <c r="QW8050" s="106"/>
      <c r="QX8050" s="106"/>
      <c r="QY8050" s="106"/>
      <c r="QZ8050" s="106"/>
      <c r="RA8050" s="106"/>
      <c r="RB8050" s="106"/>
      <c r="RC8050" s="106"/>
      <c r="RD8050" s="106"/>
      <c r="RE8050" s="106"/>
      <c r="RF8050" s="106"/>
      <c r="RG8050" s="106"/>
      <c r="RH8050" s="106"/>
      <c r="RI8050" s="106"/>
      <c r="RJ8050" s="106"/>
      <c r="RK8050" s="106"/>
      <c r="RL8050" s="106"/>
    </row>
    <row r="8051" spans="462:480" x14ac:dyDescent="0.3">
      <c r="QT8051" s="106"/>
      <c r="QU8051" s="106"/>
      <c r="QV8051" s="106"/>
      <c r="QW8051" s="106"/>
      <c r="QX8051" s="106"/>
      <c r="QY8051" s="106"/>
      <c r="QZ8051" s="106"/>
      <c r="RA8051" s="106"/>
      <c r="RB8051" s="106"/>
      <c r="RC8051" s="106"/>
      <c r="RD8051" s="106"/>
      <c r="RE8051" s="106"/>
      <c r="RF8051" s="106"/>
      <c r="RG8051" s="106"/>
      <c r="RH8051" s="106"/>
      <c r="RI8051" s="106"/>
      <c r="RJ8051" s="106"/>
      <c r="RK8051" s="106"/>
      <c r="RL8051" s="106"/>
    </row>
    <row r="8052" spans="462:480" x14ac:dyDescent="0.3">
      <c r="QT8052" s="106"/>
      <c r="QU8052" s="106"/>
      <c r="QV8052" s="106"/>
      <c r="QW8052" s="106"/>
      <c r="QX8052" s="106"/>
      <c r="QY8052" s="106"/>
      <c r="QZ8052" s="106"/>
      <c r="RA8052" s="106"/>
      <c r="RB8052" s="106"/>
      <c r="RC8052" s="106"/>
      <c r="RD8052" s="106"/>
      <c r="RE8052" s="106"/>
      <c r="RF8052" s="106"/>
      <c r="RG8052" s="106"/>
      <c r="RH8052" s="106"/>
      <c r="RI8052" s="106"/>
      <c r="RJ8052" s="106"/>
      <c r="RK8052" s="106"/>
      <c r="RL8052" s="106"/>
    </row>
    <row r="8053" spans="462:480" x14ac:dyDescent="0.3">
      <c r="QT8053" s="106"/>
      <c r="QU8053" s="106"/>
      <c r="QV8053" s="106"/>
      <c r="QW8053" s="106"/>
      <c r="QX8053" s="106"/>
      <c r="QY8053" s="106"/>
      <c r="QZ8053" s="106"/>
      <c r="RA8053" s="106"/>
      <c r="RB8053" s="106"/>
      <c r="RC8053" s="106"/>
      <c r="RD8053" s="106"/>
      <c r="RE8053" s="106"/>
      <c r="RF8053" s="106"/>
      <c r="RG8053" s="106"/>
      <c r="RH8053" s="106"/>
      <c r="RI8053" s="106"/>
      <c r="RJ8053" s="106"/>
      <c r="RK8053" s="106"/>
      <c r="RL8053" s="106"/>
    </row>
    <row r="8054" spans="462:480" x14ac:dyDescent="0.3">
      <c r="QT8054" s="106"/>
      <c r="QU8054" s="106"/>
      <c r="QV8054" s="106"/>
      <c r="QW8054" s="106"/>
      <c r="QX8054" s="106"/>
      <c r="QY8054" s="106"/>
      <c r="QZ8054" s="106"/>
      <c r="RA8054" s="106"/>
      <c r="RB8054" s="106"/>
      <c r="RC8054" s="106"/>
      <c r="RD8054" s="106"/>
      <c r="RE8054" s="106"/>
      <c r="RF8054" s="106"/>
      <c r="RG8054" s="106"/>
      <c r="RH8054" s="106"/>
      <c r="RI8054" s="106"/>
      <c r="RJ8054" s="106"/>
      <c r="RK8054" s="106"/>
      <c r="RL8054" s="106"/>
    </row>
    <row r="8055" spans="462:480" x14ac:dyDescent="0.3">
      <c r="QT8055" s="106"/>
      <c r="QU8055" s="106"/>
      <c r="QV8055" s="106"/>
      <c r="QW8055" s="106"/>
      <c r="QX8055" s="106"/>
      <c r="QY8055" s="106"/>
      <c r="QZ8055" s="106"/>
      <c r="RA8055" s="106"/>
      <c r="RB8055" s="106"/>
      <c r="RC8055" s="106"/>
      <c r="RD8055" s="106"/>
      <c r="RE8055" s="106"/>
      <c r="RF8055" s="106"/>
      <c r="RG8055" s="106"/>
      <c r="RH8055" s="106"/>
      <c r="RI8055" s="106"/>
      <c r="RJ8055" s="106"/>
      <c r="RK8055" s="106"/>
      <c r="RL8055" s="106"/>
    </row>
    <row r="8056" spans="462:480" x14ac:dyDescent="0.3">
      <c r="QT8056" s="106"/>
      <c r="QU8056" s="106"/>
      <c r="QV8056" s="106"/>
      <c r="QW8056" s="106"/>
      <c r="QX8056" s="106"/>
      <c r="QY8056" s="106"/>
      <c r="QZ8056" s="106"/>
      <c r="RA8056" s="106"/>
      <c r="RB8056" s="106"/>
      <c r="RC8056" s="106"/>
      <c r="RD8056" s="106"/>
      <c r="RE8056" s="106"/>
      <c r="RF8056" s="106"/>
      <c r="RG8056" s="106"/>
      <c r="RH8056" s="106"/>
      <c r="RI8056" s="106"/>
      <c r="RJ8056" s="106"/>
      <c r="RK8056" s="106"/>
      <c r="RL8056" s="106"/>
    </row>
    <row r="8057" spans="462:480" x14ac:dyDescent="0.3">
      <c r="QT8057" s="106"/>
      <c r="QU8057" s="106"/>
      <c r="QV8057" s="106"/>
      <c r="QW8057" s="106"/>
      <c r="QX8057" s="106"/>
      <c r="QY8057" s="106"/>
      <c r="QZ8057" s="106"/>
      <c r="RA8057" s="106"/>
      <c r="RB8057" s="106"/>
      <c r="RC8057" s="106"/>
      <c r="RD8057" s="106"/>
      <c r="RE8057" s="106"/>
      <c r="RF8057" s="106"/>
      <c r="RG8057" s="106"/>
      <c r="RH8057" s="106"/>
      <c r="RI8057" s="106"/>
      <c r="RJ8057" s="106"/>
      <c r="RK8057" s="106"/>
      <c r="RL8057" s="106"/>
    </row>
    <row r="8058" spans="462:480" x14ac:dyDescent="0.3">
      <c r="QT8058" s="106"/>
      <c r="QU8058" s="106"/>
      <c r="QV8058" s="106"/>
      <c r="QW8058" s="106"/>
      <c r="QX8058" s="106"/>
      <c r="QY8058" s="106"/>
      <c r="QZ8058" s="106"/>
      <c r="RA8058" s="106"/>
      <c r="RB8058" s="106"/>
      <c r="RC8058" s="106"/>
      <c r="RD8058" s="106"/>
      <c r="RE8058" s="106"/>
      <c r="RF8058" s="106"/>
      <c r="RG8058" s="106"/>
      <c r="RH8058" s="106"/>
      <c r="RI8058" s="106"/>
      <c r="RJ8058" s="106"/>
      <c r="RK8058" s="106"/>
      <c r="RL8058" s="106"/>
    </row>
    <row r="8059" spans="462:480" x14ac:dyDescent="0.3">
      <c r="QT8059" s="106"/>
      <c r="QU8059" s="106"/>
      <c r="QV8059" s="106"/>
      <c r="QW8059" s="106"/>
      <c r="QX8059" s="106"/>
      <c r="QY8059" s="106"/>
      <c r="QZ8059" s="106"/>
      <c r="RA8059" s="106"/>
      <c r="RB8059" s="106"/>
      <c r="RC8059" s="106"/>
      <c r="RD8059" s="106"/>
      <c r="RE8059" s="106"/>
      <c r="RF8059" s="106"/>
      <c r="RG8059" s="106"/>
      <c r="RH8059" s="106"/>
      <c r="RI8059" s="106"/>
      <c r="RJ8059" s="106"/>
      <c r="RK8059" s="106"/>
      <c r="RL8059" s="106"/>
    </row>
    <row r="8060" spans="462:480" x14ac:dyDescent="0.3">
      <c r="QT8060" s="106"/>
      <c r="QU8060" s="106"/>
      <c r="QV8060" s="106"/>
      <c r="QW8060" s="106"/>
      <c r="QX8060" s="106"/>
      <c r="QY8060" s="106"/>
      <c r="QZ8060" s="106"/>
      <c r="RA8060" s="106"/>
      <c r="RB8060" s="106"/>
      <c r="RC8060" s="106"/>
      <c r="RD8060" s="106"/>
      <c r="RE8060" s="106"/>
      <c r="RF8060" s="106"/>
      <c r="RG8060" s="106"/>
      <c r="RH8060" s="106"/>
      <c r="RI8060" s="106"/>
      <c r="RJ8060" s="106"/>
      <c r="RK8060" s="106"/>
      <c r="RL8060" s="106"/>
    </row>
    <row r="8061" spans="462:480" x14ac:dyDescent="0.3">
      <c r="QT8061" s="106"/>
      <c r="QU8061" s="106"/>
      <c r="QV8061" s="106"/>
      <c r="QW8061" s="106"/>
      <c r="QX8061" s="106"/>
      <c r="QY8061" s="106"/>
      <c r="QZ8061" s="106"/>
      <c r="RA8061" s="106"/>
      <c r="RB8061" s="106"/>
      <c r="RC8061" s="106"/>
      <c r="RD8061" s="106"/>
      <c r="RE8061" s="106"/>
      <c r="RF8061" s="106"/>
      <c r="RG8061" s="106"/>
      <c r="RH8061" s="106"/>
      <c r="RI8061" s="106"/>
      <c r="RJ8061" s="106"/>
      <c r="RK8061" s="106"/>
      <c r="RL8061" s="106"/>
    </row>
    <row r="8062" spans="462:480" x14ac:dyDescent="0.3">
      <c r="QT8062" s="106"/>
      <c r="QU8062" s="106"/>
      <c r="QV8062" s="106"/>
      <c r="QW8062" s="106"/>
      <c r="QX8062" s="106"/>
      <c r="QY8062" s="106"/>
      <c r="QZ8062" s="106"/>
      <c r="RA8062" s="106"/>
      <c r="RB8062" s="106"/>
      <c r="RC8062" s="106"/>
      <c r="RD8062" s="106"/>
      <c r="RE8062" s="106"/>
      <c r="RF8062" s="106"/>
      <c r="RG8062" s="106"/>
      <c r="RH8062" s="106"/>
      <c r="RI8062" s="106"/>
      <c r="RJ8062" s="106"/>
      <c r="RK8062" s="106"/>
      <c r="RL8062" s="106"/>
    </row>
    <row r="8063" spans="462:480" x14ac:dyDescent="0.3">
      <c r="QT8063" s="106"/>
      <c r="QU8063" s="106"/>
      <c r="QV8063" s="106"/>
      <c r="QW8063" s="106"/>
      <c r="QX8063" s="106"/>
      <c r="QY8063" s="106"/>
      <c r="QZ8063" s="106"/>
      <c r="RA8063" s="106"/>
      <c r="RB8063" s="106"/>
      <c r="RC8063" s="106"/>
      <c r="RD8063" s="106"/>
      <c r="RE8063" s="106"/>
      <c r="RF8063" s="106"/>
      <c r="RG8063" s="106"/>
      <c r="RH8063" s="106"/>
      <c r="RI8063" s="106"/>
      <c r="RJ8063" s="106"/>
      <c r="RK8063" s="106"/>
      <c r="RL8063" s="106"/>
    </row>
    <row r="8064" spans="462:480" x14ac:dyDescent="0.3">
      <c r="QT8064" s="106"/>
      <c r="QU8064" s="106"/>
      <c r="QV8064" s="106"/>
      <c r="QW8064" s="106"/>
      <c r="QX8064" s="106"/>
      <c r="QY8064" s="106"/>
      <c r="QZ8064" s="106"/>
      <c r="RA8064" s="106"/>
      <c r="RB8064" s="106"/>
      <c r="RC8064" s="106"/>
      <c r="RD8064" s="106"/>
      <c r="RE8064" s="106"/>
      <c r="RF8064" s="106"/>
      <c r="RG8064" s="106"/>
      <c r="RH8064" s="106"/>
      <c r="RI8064" s="106"/>
      <c r="RJ8064" s="106"/>
      <c r="RK8064" s="106"/>
      <c r="RL8064" s="106"/>
    </row>
    <row r="8065" spans="462:480" x14ac:dyDescent="0.3">
      <c r="QT8065" s="106"/>
      <c r="QU8065" s="106"/>
      <c r="QV8065" s="106"/>
      <c r="QW8065" s="106"/>
      <c r="QX8065" s="106"/>
      <c r="QY8065" s="106"/>
      <c r="QZ8065" s="106"/>
      <c r="RA8065" s="106"/>
      <c r="RB8065" s="106"/>
      <c r="RC8065" s="106"/>
      <c r="RD8065" s="106"/>
      <c r="RE8065" s="106"/>
      <c r="RF8065" s="106"/>
      <c r="RG8065" s="106"/>
      <c r="RH8065" s="106"/>
      <c r="RI8065" s="106"/>
      <c r="RJ8065" s="106"/>
      <c r="RK8065" s="106"/>
      <c r="RL8065" s="106"/>
    </row>
    <row r="8066" spans="462:480" x14ac:dyDescent="0.3">
      <c r="QT8066" s="106"/>
      <c r="QU8066" s="106"/>
      <c r="QV8066" s="106"/>
      <c r="QW8066" s="106"/>
      <c r="QX8066" s="106"/>
      <c r="QY8066" s="106"/>
      <c r="QZ8066" s="106"/>
      <c r="RA8066" s="106"/>
      <c r="RB8066" s="106"/>
      <c r="RC8066" s="106"/>
      <c r="RD8066" s="106"/>
      <c r="RE8066" s="106"/>
      <c r="RF8066" s="106"/>
      <c r="RG8066" s="106"/>
      <c r="RH8066" s="106"/>
      <c r="RI8066" s="106"/>
      <c r="RJ8066" s="106"/>
      <c r="RK8066" s="106"/>
      <c r="RL8066" s="106"/>
    </row>
    <row r="8067" spans="462:480" x14ac:dyDescent="0.3">
      <c r="QT8067" s="106"/>
      <c r="QU8067" s="106"/>
      <c r="QV8067" s="106"/>
      <c r="QW8067" s="106"/>
      <c r="QX8067" s="106"/>
      <c r="QY8067" s="106"/>
      <c r="QZ8067" s="106"/>
      <c r="RA8067" s="106"/>
      <c r="RB8067" s="106"/>
      <c r="RC8067" s="106"/>
      <c r="RD8067" s="106"/>
      <c r="RE8067" s="106"/>
      <c r="RF8067" s="106"/>
      <c r="RG8067" s="106"/>
      <c r="RH8067" s="106"/>
      <c r="RI8067" s="106"/>
      <c r="RJ8067" s="106"/>
      <c r="RK8067" s="106"/>
      <c r="RL8067" s="106"/>
    </row>
    <row r="8068" spans="462:480" x14ac:dyDescent="0.3">
      <c r="QT8068" s="106"/>
      <c r="QU8068" s="106"/>
      <c r="QV8068" s="106"/>
      <c r="QW8068" s="106"/>
      <c r="QX8068" s="106"/>
      <c r="QY8068" s="106"/>
      <c r="QZ8068" s="106"/>
      <c r="RA8068" s="106"/>
      <c r="RB8068" s="106"/>
      <c r="RC8068" s="106"/>
      <c r="RD8068" s="106"/>
      <c r="RE8068" s="106"/>
      <c r="RF8068" s="106"/>
      <c r="RG8068" s="106"/>
      <c r="RH8068" s="106"/>
      <c r="RI8068" s="106"/>
      <c r="RJ8068" s="106"/>
      <c r="RK8068" s="106"/>
      <c r="RL8068" s="106"/>
    </row>
    <row r="8069" spans="462:480" x14ac:dyDescent="0.3">
      <c r="QT8069" s="106"/>
      <c r="QU8069" s="106"/>
      <c r="QV8069" s="106"/>
      <c r="QW8069" s="106"/>
      <c r="QX8069" s="106"/>
      <c r="QY8069" s="106"/>
      <c r="QZ8069" s="106"/>
      <c r="RA8069" s="106"/>
      <c r="RB8069" s="106"/>
      <c r="RC8069" s="106"/>
      <c r="RD8069" s="106"/>
      <c r="RE8069" s="106"/>
      <c r="RF8069" s="106"/>
      <c r="RG8069" s="106"/>
      <c r="RH8069" s="106"/>
      <c r="RI8069" s="106"/>
      <c r="RJ8069" s="106"/>
      <c r="RK8069" s="106"/>
      <c r="RL8069" s="106"/>
    </row>
    <row r="8070" spans="462:480" x14ac:dyDescent="0.3">
      <c r="QT8070" s="106"/>
      <c r="QU8070" s="106"/>
      <c r="QV8070" s="106"/>
      <c r="QW8070" s="106"/>
      <c r="QX8070" s="106"/>
      <c r="QY8070" s="106"/>
      <c r="QZ8070" s="106"/>
      <c r="RA8070" s="106"/>
      <c r="RB8070" s="106"/>
      <c r="RC8070" s="106"/>
      <c r="RD8070" s="106"/>
      <c r="RE8070" s="106"/>
      <c r="RF8070" s="106"/>
      <c r="RG8070" s="106"/>
      <c r="RH8070" s="106"/>
      <c r="RI8070" s="106"/>
      <c r="RJ8070" s="106"/>
      <c r="RK8070" s="106"/>
      <c r="RL8070" s="106"/>
    </row>
    <row r="8071" spans="462:480" x14ac:dyDescent="0.3">
      <c r="QT8071" s="106"/>
      <c r="QU8071" s="106"/>
      <c r="QV8071" s="106"/>
      <c r="QW8071" s="106"/>
      <c r="QX8071" s="106"/>
      <c r="QY8071" s="106"/>
      <c r="QZ8071" s="106"/>
      <c r="RA8071" s="106"/>
      <c r="RB8071" s="106"/>
      <c r="RC8071" s="106"/>
      <c r="RD8071" s="106"/>
      <c r="RE8071" s="106"/>
      <c r="RF8071" s="106"/>
      <c r="RG8071" s="106"/>
      <c r="RH8071" s="106"/>
      <c r="RI8071" s="106"/>
      <c r="RJ8071" s="106"/>
      <c r="RK8071" s="106"/>
      <c r="RL8071" s="106"/>
    </row>
    <row r="8072" spans="462:480" x14ac:dyDescent="0.3">
      <c r="QT8072" s="106"/>
      <c r="QU8072" s="106"/>
      <c r="QV8072" s="106"/>
      <c r="QW8072" s="106"/>
      <c r="QX8072" s="106"/>
      <c r="QY8072" s="106"/>
      <c r="QZ8072" s="106"/>
      <c r="RA8072" s="106"/>
      <c r="RB8072" s="106"/>
      <c r="RC8072" s="106"/>
      <c r="RD8072" s="106"/>
      <c r="RE8072" s="106"/>
      <c r="RF8072" s="106"/>
      <c r="RG8072" s="106"/>
      <c r="RH8072" s="106"/>
      <c r="RI8072" s="106"/>
      <c r="RJ8072" s="106"/>
      <c r="RK8072" s="106"/>
      <c r="RL8072" s="106"/>
    </row>
    <row r="8073" spans="462:480" x14ac:dyDescent="0.3">
      <c r="QT8073" s="106"/>
      <c r="QU8073" s="106"/>
      <c r="QV8073" s="106"/>
      <c r="QW8073" s="106"/>
      <c r="QX8073" s="106"/>
      <c r="QY8073" s="106"/>
      <c r="QZ8073" s="106"/>
      <c r="RA8073" s="106"/>
      <c r="RB8073" s="106"/>
      <c r="RC8073" s="106"/>
      <c r="RD8073" s="106"/>
      <c r="RE8073" s="106"/>
      <c r="RF8073" s="106"/>
      <c r="RG8073" s="106"/>
      <c r="RH8073" s="106"/>
      <c r="RI8073" s="106"/>
      <c r="RJ8073" s="106"/>
      <c r="RK8073" s="106"/>
      <c r="RL8073" s="106"/>
    </row>
    <row r="8074" spans="462:480" x14ac:dyDescent="0.3">
      <c r="QT8074" s="106"/>
      <c r="QU8074" s="106"/>
      <c r="QV8074" s="106"/>
      <c r="QW8074" s="106"/>
      <c r="QX8074" s="106"/>
      <c r="QY8074" s="106"/>
      <c r="QZ8074" s="106"/>
      <c r="RA8074" s="106"/>
      <c r="RB8074" s="106"/>
      <c r="RC8074" s="106"/>
      <c r="RD8074" s="106"/>
      <c r="RE8074" s="106"/>
      <c r="RF8074" s="106"/>
      <c r="RG8074" s="106"/>
      <c r="RH8074" s="106"/>
      <c r="RI8074" s="106"/>
      <c r="RJ8074" s="106"/>
      <c r="RK8074" s="106"/>
      <c r="RL8074" s="106"/>
    </row>
    <row r="8075" spans="462:480" x14ac:dyDescent="0.3">
      <c r="QT8075" s="106"/>
      <c r="QU8075" s="106"/>
      <c r="QV8075" s="106"/>
      <c r="QW8075" s="106"/>
      <c r="QX8075" s="106"/>
      <c r="QY8075" s="106"/>
      <c r="QZ8075" s="106"/>
      <c r="RA8075" s="106"/>
      <c r="RB8075" s="106"/>
      <c r="RC8075" s="106"/>
      <c r="RD8075" s="106"/>
      <c r="RE8075" s="106"/>
      <c r="RF8075" s="106"/>
      <c r="RG8075" s="106"/>
      <c r="RH8075" s="106"/>
      <c r="RI8075" s="106"/>
      <c r="RJ8075" s="106"/>
      <c r="RK8075" s="106"/>
      <c r="RL8075" s="106"/>
    </row>
    <row r="8076" spans="462:480" x14ac:dyDescent="0.3">
      <c r="QT8076" s="106"/>
      <c r="QU8076" s="106"/>
      <c r="QV8076" s="106"/>
      <c r="QW8076" s="106"/>
      <c r="QX8076" s="106"/>
      <c r="QY8076" s="106"/>
      <c r="QZ8076" s="106"/>
      <c r="RA8076" s="106"/>
      <c r="RB8076" s="106"/>
      <c r="RC8076" s="106"/>
      <c r="RD8076" s="106"/>
      <c r="RE8076" s="106"/>
      <c r="RF8076" s="106"/>
      <c r="RG8076" s="106"/>
      <c r="RH8076" s="106"/>
      <c r="RI8076" s="106"/>
      <c r="RJ8076" s="106"/>
      <c r="RK8076" s="106"/>
      <c r="RL8076" s="106"/>
    </row>
    <row r="8077" spans="462:480" x14ac:dyDescent="0.3">
      <c r="QT8077" s="106"/>
      <c r="QU8077" s="106"/>
      <c r="QV8077" s="106"/>
      <c r="QW8077" s="106"/>
      <c r="QX8077" s="106"/>
      <c r="QY8077" s="106"/>
      <c r="QZ8077" s="106"/>
      <c r="RA8077" s="106"/>
      <c r="RB8077" s="106"/>
      <c r="RC8077" s="106"/>
      <c r="RD8077" s="106"/>
      <c r="RE8077" s="106"/>
      <c r="RF8077" s="106"/>
      <c r="RG8077" s="106"/>
      <c r="RH8077" s="106"/>
      <c r="RI8077" s="106"/>
      <c r="RJ8077" s="106"/>
      <c r="RK8077" s="106"/>
      <c r="RL8077" s="106"/>
    </row>
    <row r="8078" spans="462:480" x14ac:dyDescent="0.3">
      <c r="QT8078" s="106"/>
      <c r="QU8078" s="106"/>
      <c r="QV8078" s="106"/>
      <c r="QW8078" s="106"/>
      <c r="QX8078" s="106"/>
      <c r="QY8078" s="106"/>
      <c r="QZ8078" s="106"/>
      <c r="RA8078" s="106"/>
      <c r="RB8078" s="106"/>
      <c r="RC8078" s="106"/>
      <c r="RD8078" s="106"/>
      <c r="RE8078" s="106"/>
      <c r="RF8078" s="106"/>
      <c r="RG8078" s="106"/>
      <c r="RH8078" s="106"/>
      <c r="RI8078" s="106"/>
      <c r="RJ8078" s="106"/>
      <c r="RK8078" s="106"/>
      <c r="RL8078" s="106"/>
    </row>
    <row r="8079" spans="462:480" x14ac:dyDescent="0.3">
      <c r="QT8079" s="106"/>
      <c r="QU8079" s="106"/>
      <c r="QV8079" s="106"/>
      <c r="QW8079" s="106"/>
      <c r="QX8079" s="106"/>
      <c r="QY8079" s="106"/>
      <c r="QZ8079" s="106"/>
      <c r="RA8079" s="106"/>
      <c r="RB8079" s="106"/>
      <c r="RC8079" s="106"/>
      <c r="RD8079" s="106"/>
      <c r="RE8079" s="106"/>
      <c r="RF8079" s="106"/>
      <c r="RG8079" s="106"/>
      <c r="RH8079" s="106"/>
      <c r="RI8079" s="106"/>
      <c r="RJ8079" s="106"/>
      <c r="RK8079" s="106"/>
      <c r="RL8079" s="106"/>
    </row>
    <row r="8080" spans="462:480" x14ac:dyDescent="0.3">
      <c r="QT8080" s="106"/>
      <c r="QU8080" s="106"/>
      <c r="QV8080" s="106"/>
      <c r="QW8080" s="106"/>
      <c r="QX8080" s="106"/>
      <c r="QY8080" s="106"/>
      <c r="QZ8080" s="106"/>
      <c r="RA8080" s="106"/>
      <c r="RB8080" s="106"/>
      <c r="RC8080" s="106"/>
      <c r="RD8080" s="106"/>
      <c r="RE8080" s="106"/>
      <c r="RF8080" s="106"/>
      <c r="RG8080" s="106"/>
      <c r="RH8080" s="106"/>
      <c r="RI8080" s="106"/>
      <c r="RJ8080" s="106"/>
      <c r="RK8080" s="106"/>
      <c r="RL8080" s="106"/>
    </row>
    <row r="8081" spans="462:480" x14ac:dyDescent="0.3">
      <c r="QT8081" s="106"/>
      <c r="QU8081" s="106"/>
      <c r="QV8081" s="106"/>
      <c r="QW8081" s="106"/>
      <c r="QX8081" s="106"/>
      <c r="QY8081" s="106"/>
      <c r="QZ8081" s="106"/>
      <c r="RA8081" s="106"/>
      <c r="RB8081" s="106"/>
      <c r="RC8081" s="106"/>
      <c r="RD8081" s="106"/>
      <c r="RE8081" s="106"/>
      <c r="RF8081" s="106"/>
      <c r="RG8081" s="106"/>
      <c r="RH8081" s="106"/>
      <c r="RI8081" s="106"/>
      <c r="RJ8081" s="106"/>
      <c r="RK8081" s="106"/>
      <c r="RL8081" s="106"/>
    </row>
    <row r="8082" spans="462:480" x14ac:dyDescent="0.3">
      <c r="QT8082" s="106"/>
      <c r="QU8082" s="106"/>
      <c r="QV8082" s="106"/>
      <c r="QW8082" s="106"/>
      <c r="QX8082" s="106"/>
      <c r="QY8082" s="106"/>
      <c r="QZ8082" s="106"/>
      <c r="RA8082" s="106"/>
      <c r="RB8082" s="106"/>
      <c r="RC8082" s="106"/>
      <c r="RD8082" s="106"/>
      <c r="RE8082" s="106"/>
      <c r="RF8082" s="106"/>
      <c r="RG8082" s="106"/>
      <c r="RH8082" s="106"/>
      <c r="RI8082" s="106"/>
      <c r="RJ8082" s="106"/>
      <c r="RK8082" s="106"/>
      <c r="RL8082" s="106"/>
    </row>
    <row r="8083" spans="462:480" x14ac:dyDescent="0.3">
      <c r="QT8083" s="106"/>
      <c r="QU8083" s="106"/>
      <c r="QV8083" s="106"/>
      <c r="QW8083" s="106"/>
      <c r="QX8083" s="106"/>
      <c r="QY8083" s="106"/>
      <c r="QZ8083" s="106"/>
      <c r="RA8083" s="106"/>
      <c r="RB8083" s="106"/>
      <c r="RC8083" s="106"/>
      <c r="RD8083" s="106"/>
      <c r="RE8083" s="106"/>
      <c r="RF8083" s="106"/>
      <c r="RG8083" s="106"/>
      <c r="RH8083" s="106"/>
      <c r="RI8083" s="106"/>
      <c r="RJ8083" s="106"/>
      <c r="RK8083" s="106"/>
      <c r="RL8083" s="106"/>
    </row>
    <row r="8084" spans="462:480" x14ac:dyDescent="0.3">
      <c r="QT8084" s="106"/>
      <c r="QU8084" s="106"/>
      <c r="QV8084" s="106"/>
      <c r="QW8084" s="106"/>
      <c r="QX8084" s="106"/>
      <c r="QY8084" s="106"/>
      <c r="QZ8084" s="106"/>
      <c r="RA8084" s="106"/>
      <c r="RB8084" s="106"/>
      <c r="RC8084" s="106"/>
      <c r="RD8084" s="106"/>
      <c r="RE8084" s="106"/>
      <c r="RF8084" s="106"/>
      <c r="RG8084" s="106"/>
      <c r="RH8084" s="106"/>
      <c r="RI8084" s="106"/>
      <c r="RJ8084" s="106"/>
      <c r="RK8084" s="106"/>
      <c r="RL8084" s="106"/>
    </row>
    <row r="8085" spans="462:480" x14ac:dyDescent="0.3">
      <c r="QT8085" s="106"/>
      <c r="QU8085" s="106"/>
      <c r="QV8085" s="106"/>
      <c r="QW8085" s="106"/>
      <c r="QX8085" s="106"/>
      <c r="QY8085" s="106"/>
      <c r="QZ8085" s="106"/>
      <c r="RA8085" s="106"/>
      <c r="RB8085" s="106"/>
      <c r="RC8085" s="106"/>
      <c r="RD8085" s="106"/>
      <c r="RE8085" s="106"/>
      <c r="RF8085" s="106"/>
      <c r="RG8085" s="106"/>
      <c r="RH8085" s="106"/>
      <c r="RI8085" s="106"/>
      <c r="RJ8085" s="106"/>
      <c r="RK8085" s="106"/>
      <c r="RL8085" s="106"/>
    </row>
    <row r="8086" spans="462:480" x14ac:dyDescent="0.3">
      <c r="QT8086" s="106"/>
      <c r="QU8086" s="106"/>
      <c r="QV8086" s="106"/>
      <c r="QW8086" s="106"/>
      <c r="QX8086" s="106"/>
      <c r="QY8086" s="106"/>
      <c r="QZ8086" s="106"/>
      <c r="RA8086" s="106"/>
      <c r="RB8086" s="106"/>
      <c r="RC8086" s="106"/>
      <c r="RD8086" s="106"/>
      <c r="RE8086" s="106"/>
      <c r="RF8086" s="106"/>
      <c r="RG8086" s="106"/>
      <c r="RH8086" s="106"/>
      <c r="RI8086" s="106"/>
      <c r="RJ8086" s="106"/>
      <c r="RK8086" s="106"/>
      <c r="RL8086" s="106"/>
    </row>
    <row r="8087" spans="462:480" x14ac:dyDescent="0.3">
      <c r="QT8087" s="106"/>
      <c r="QU8087" s="106"/>
      <c r="QV8087" s="106"/>
      <c r="QW8087" s="106"/>
      <c r="QX8087" s="106"/>
      <c r="QY8087" s="106"/>
      <c r="QZ8087" s="106"/>
      <c r="RA8087" s="106"/>
      <c r="RB8087" s="106"/>
      <c r="RC8087" s="106"/>
      <c r="RD8087" s="106"/>
      <c r="RE8087" s="106"/>
      <c r="RF8087" s="106"/>
      <c r="RG8087" s="106"/>
      <c r="RH8087" s="106"/>
      <c r="RI8087" s="106"/>
      <c r="RJ8087" s="106"/>
      <c r="RK8087" s="106"/>
      <c r="RL8087" s="106"/>
    </row>
    <row r="8088" spans="462:480" x14ac:dyDescent="0.3">
      <c r="QT8088" s="106"/>
      <c r="QU8088" s="106"/>
      <c r="QV8088" s="106"/>
      <c r="QW8088" s="106"/>
      <c r="QX8088" s="106"/>
      <c r="QY8088" s="106"/>
      <c r="QZ8088" s="106"/>
      <c r="RA8088" s="106"/>
      <c r="RB8088" s="106"/>
      <c r="RC8088" s="106"/>
      <c r="RD8088" s="106"/>
      <c r="RE8088" s="106"/>
      <c r="RF8088" s="106"/>
      <c r="RG8088" s="106"/>
      <c r="RH8088" s="106"/>
      <c r="RI8088" s="106"/>
      <c r="RJ8088" s="106"/>
      <c r="RK8088" s="106"/>
      <c r="RL8088" s="106"/>
    </row>
    <row r="8089" spans="462:480" x14ac:dyDescent="0.3">
      <c r="QT8089" s="106"/>
      <c r="QU8089" s="106"/>
      <c r="QV8089" s="106"/>
      <c r="QW8089" s="106"/>
      <c r="QX8089" s="106"/>
      <c r="QY8089" s="106"/>
      <c r="QZ8089" s="106"/>
      <c r="RA8089" s="106"/>
      <c r="RB8089" s="106"/>
      <c r="RC8089" s="106"/>
      <c r="RD8089" s="106"/>
      <c r="RE8089" s="106"/>
      <c r="RF8089" s="106"/>
      <c r="RG8089" s="106"/>
      <c r="RH8089" s="106"/>
      <c r="RI8089" s="106"/>
      <c r="RJ8089" s="106"/>
      <c r="RK8089" s="106"/>
      <c r="RL8089" s="106"/>
    </row>
    <row r="8090" spans="462:480" x14ac:dyDescent="0.3">
      <c r="QT8090" s="106"/>
      <c r="QU8090" s="106"/>
      <c r="QV8090" s="106"/>
      <c r="QW8090" s="106"/>
      <c r="QX8090" s="106"/>
      <c r="QY8090" s="106"/>
      <c r="QZ8090" s="106"/>
      <c r="RA8090" s="106"/>
      <c r="RB8090" s="106"/>
      <c r="RC8090" s="106"/>
      <c r="RD8090" s="106"/>
      <c r="RE8090" s="106"/>
      <c r="RF8090" s="106"/>
      <c r="RG8090" s="106"/>
      <c r="RH8090" s="106"/>
      <c r="RI8090" s="106"/>
      <c r="RJ8090" s="106"/>
      <c r="RK8090" s="106"/>
      <c r="RL8090" s="106"/>
    </row>
    <row r="8091" spans="462:480" x14ac:dyDescent="0.3">
      <c r="QT8091" s="106"/>
      <c r="QU8091" s="106"/>
      <c r="QV8091" s="106"/>
      <c r="QW8091" s="106"/>
      <c r="QX8091" s="106"/>
      <c r="QY8091" s="106"/>
      <c r="QZ8091" s="106"/>
      <c r="RA8091" s="106"/>
      <c r="RB8091" s="106"/>
      <c r="RC8091" s="106"/>
      <c r="RD8091" s="106"/>
      <c r="RE8091" s="106"/>
      <c r="RF8091" s="106"/>
      <c r="RG8091" s="106"/>
      <c r="RH8091" s="106"/>
      <c r="RI8091" s="106"/>
      <c r="RJ8091" s="106"/>
      <c r="RK8091" s="106"/>
      <c r="RL8091" s="106"/>
    </row>
    <row r="8092" spans="462:480" x14ac:dyDescent="0.3">
      <c r="QT8092" s="106"/>
      <c r="QU8092" s="106"/>
      <c r="QV8092" s="106"/>
      <c r="QW8092" s="106"/>
      <c r="QX8092" s="106"/>
      <c r="QY8092" s="106"/>
      <c r="QZ8092" s="106"/>
      <c r="RA8092" s="106"/>
      <c r="RB8092" s="106"/>
      <c r="RC8092" s="106"/>
      <c r="RD8092" s="106"/>
      <c r="RE8092" s="106"/>
      <c r="RF8092" s="106"/>
      <c r="RG8092" s="106"/>
      <c r="RH8092" s="106"/>
      <c r="RI8092" s="106"/>
      <c r="RJ8092" s="106"/>
      <c r="RK8092" s="106"/>
      <c r="RL8092" s="106"/>
    </row>
    <row r="8093" spans="462:480" x14ac:dyDescent="0.3">
      <c r="QT8093" s="106"/>
      <c r="QU8093" s="106"/>
      <c r="QV8093" s="106"/>
      <c r="QW8093" s="106"/>
      <c r="QX8093" s="106"/>
      <c r="QY8093" s="106"/>
      <c r="QZ8093" s="106"/>
      <c r="RA8093" s="106"/>
      <c r="RB8093" s="106"/>
      <c r="RC8093" s="106"/>
      <c r="RD8093" s="106"/>
      <c r="RE8093" s="106"/>
      <c r="RF8093" s="106"/>
      <c r="RG8093" s="106"/>
      <c r="RH8093" s="106"/>
      <c r="RI8093" s="106"/>
      <c r="RJ8093" s="106"/>
      <c r="RK8093" s="106"/>
      <c r="RL8093" s="106"/>
    </row>
    <row r="8094" spans="462:480" x14ac:dyDescent="0.3">
      <c r="QT8094" s="106"/>
      <c r="QU8094" s="106"/>
      <c r="QV8094" s="106"/>
      <c r="QW8094" s="106"/>
      <c r="QX8094" s="106"/>
      <c r="QY8094" s="106"/>
      <c r="QZ8094" s="106"/>
      <c r="RA8094" s="106"/>
      <c r="RB8094" s="106"/>
      <c r="RC8094" s="106"/>
      <c r="RD8094" s="106"/>
      <c r="RE8094" s="106"/>
      <c r="RF8094" s="106"/>
      <c r="RG8094" s="106"/>
      <c r="RH8094" s="106"/>
      <c r="RI8094" s="106"/>
      <c r="RJ8094" s="106"/>
      <c r="RK8094" s="106"/>
      <c r="RL8094" s="106"/>
    </row>
    <row r="8095" spans="462:480" x14ac:dyDescent="0.3">
      <c r="QT8095" s="106"/>
      <c r="QU8095" s="106"/>
      <c r="QV8095" s="106"/>
      <c r="QW8095" s="106"/>
      <c r="QX8095" s="106"/>
      <c r="QY8095" s="106"/>
      <c r="QZ8095" s="106"/>
      <c r="RA8095" s="106"/>
      <c r="RB8095" s="106"/>
      <c r="RC8095" s="106"/>
      <c r="RD8095" s="106"/>
      <c r="RE8095" s="106"/>
      <c r="RF8095" s="106"/>
      <c r="RG8095" s="106"/>
      <c r="RH8095" s="106"/>
      <c r="RI8095" s="106"/>
      <c r="RJ8095" s="106"/>
      <c r="RK8095" s="106"/>
      <c r="RL8095" s="106"/>
    </row>
    <row r="8096" spans="462:480" x14ac:dyDescent="0.3">
      <c r="QT8096" s="106"/>
      <c r="QU8096" s="106"/>
      <c r="QV8096" s="106"/>
      <c r="QW8096" s="106"/>
      <c r="QX8096" s="106"/>
      <c r="QY8096" s="106"/>
      <c r="QZ8096" s="106"/>
      <c r="RA8096" s="106"/>
      <c r="RB8096" s="106"/>
      <c r="RC8096" s="106"/>
      <c r="RD8096" s="106"/>
      <c r="RE8096" s="106"/>
      <c r="RF8096" s="106"/>
      <c r="RG8096" s="106"/>
      <c r="RH8096" s="106"/>
      <c r="RI8096" s="106"/>
      <c r="RJ8096" s="106"/>
      <c r="RK8096" s="106"/>
      <c r="RL8096" s="106"/>
    </row>
    <row r="8097" spans="462:480" x14ac:dyDescent="0.3">
      <c r="QT8097" s="106"/>
      <c r="QU8097" s="106"/>
      <c r="QV8097" s="106"/>
      <c r="QW8097" s="106"/>
      <c r="QX8097" s="106"/>
      <c r="QY8097" s="106"/>
      <c r="QZ8097" s="106"/>
      <c r="RA8097" s="106"/>
      <c r="RB8097" s="106"/>
      <c r="RC8097" s="106"/>
      <c r="RD8097" s="106"/>
      <c r="RE8097" s="106"/>
      <c r="RF8097" s="106"/>
      <c r="RG8097" s="106"/>
      <c r="RH8097" s="106"/>
      <c r="RI8097" s="106"/>
      <c r="RJ8097" s="106"/>
      <c r="RK8097" s="106"/>
      <c r="RL8097" s="106"/>
    </row>
    <row r="8098" spans="462:480" x14ac:dyDescent="0.3">
      <c r="QT8098" s="106"/>
      <c r="QU8098" s="106"/>
      <c r="QV8098" s="106"/>
      <c r="QW8098" s="106"/>
      <c r="QX8098" s="106"/>
      <c r="QY8098" s="106"/>
      <c r="QZ8098" s="106"/>
      <c r="RA8098" s="106"/>
      <c r="RB8098" s="106"/>
      <c r="RC8098" s="106"/>
      <c r="RD8098" s="106"/>
      <c r="RE8098" s="106"/>
      <c r="RF8098" s="106"/>
      <c r="RG8098" s="106"/>
      <c r="RH8098" s="106"/>
      <c r="RI8098" s="106"/>
      <c r="RJ8098" s="106"/>
      <c r="RK8098" s="106"/>
      <c r="RL8098" s="106"/>
    </row>
    <row r="8099" spans="462:480" x14ac:dyDescent="0.3">
      <c r="QT8099" s="106"/>
      <c r="QU8099" s="106"/>
      <c r="QV8099" s="106"/>
      <c r="QW8099" s="106"/>
      <c r="QX8099" s="106"/>
      <c r="QY8099" s="106"/>
      <c r="QZ8099" s="106"/>
      <c r="RA8099" s="106"/>
      <c r="RB8099" s="106"/>
      <c r="RC8099" s="106"/>
      <c r="RD8099" s="106"/>
      <c r="RE8099" s="106"/>
      <c r="RF8099" s="106"/>
      <c r="RG8099" s="106"/>
      <c r="RH8099" s="106"/>
      <c r="RI8099" s="106"/>
      <c r="RJ8099" s="106"/>
      <c r="RK8099" s="106"/>
      <c r="RL8099" s="106"/>
    </row>
    <row r="8100" spans="462:480" x14ac:dyDescent="0.3">
      <c r="QT8100" s="106"/>
      <c r="QU8100" s="106"/>
      <c r="QV8100" s="106"/>
      <c r="QW8100" s="106"/>
      <c r="QX8100" s="106"/>
      <c r="QY8100" s="106"/>
      <c r="QZ8100" s="106"/>
      <c r="RA8100" s="106"/>
      <c r="RB8100" s="106"/>
      <c r="RC8100" s="106"/>
      <c r="RD8100" s="106"/>
      <c r="RE8100" s="106"/>
      <c r="RF8100" s="106"/>
      <c r="RG8100" s="106"/>
      <c r="RH8100" s="106"/>
      <c r="RI8100" s="106"/>
      <c r="RJ8100" s="106"/>
      <c r="RK8100" s="106"/>
      <c r="RL8100" s="106"/>
    </row>
    <row r="8101" spans="462:480" x14ac:dyDescent="0.3">
      <c r="QT8101" s="106"/>
      <c r="QU8101" s="106"/>
      <c r="QV8101" s="106"/>
      <c r="QW8101" s="106"/>
      <c r="QX8101" s="106"/>
      <c r="QY8101" s="106"/>
      <c r="QZ8101" s="106"/>
      <c r="RA8101" s="106"/>
      <c r="RB8101" s="106"/>
      <c r="RC8101" s="106"/>
      <c r="RD8101" s="106"/>
      <c r="RE8101" s="106"/>
      <c r="RF8101" s="106"/>
      <c r="RG8101" s="106"/>
      <c r="RH8101" s="106"/>
      <c r="RI8101" s="106"/>
      <c r="RJ8101" s="106"/>
      <c r="RK8101" s="106"/>
      <c r="RL8101" s="106"/>
    </row>
    <row r="8102" spans="462:480" x14ac:dyDescent="0.3">
      <c r="QT8102" s="106"/>
      <c r="QU8102" s="106"/>
      <c r="QV8102" s="106"/>
      <c r="QW8102" s="106"/>
      <c r="QX8102" s="106"/>
      <c r="QY8102" s="106"/>
      <c r="QZ8102" s="106"/>
      <c r="RA8102" s="106"/>
      <c r="RB8102" s="106"/>
      <c r="RC8102" s="106"/>
      <c r="RD8102" s="106"/>
      <c r="RE8102" s="106"/>
      <c r="RF8102" s="106"/>
      <c r="RG8102" s="106"/>
      <c r="RH8102" s="106"/>
      <c r="RI8102" s="106"/>
      <c r="RJ8102" s="106"/>
      <c r="RK8102" s="106"/>
      <c r="RL8102" s="106"/>
    </row>
    <row r="8103" spans="462:480" x14ac:dyDescent="0.3">
      <c r="QT8103" s="106"/>
      <c r="QU8103" s="106"/>
      <c r="QV8103" s="106"/>
      <c r="QW8103" s="106"/>
      <c r="QX8103" s="106"/>
      <c r="QY8103" s="106"/>
      <c r="QZ8103" s="106"/>
      <c r="RA8103" s="106"/>
      <c r="RB8103" s="106"/>
      <c r="RC8103" s="106"/>
      <c r="RD8103" s="106"/>
      <c r="RE8103" s="106"/>
      <c r="RF8103" s="106"/>
      <c r="RG8103" s="106"/>
      <c r="RH8103" s="106"/>
      <c r="RI8103" s="106"/>
      <c r="RJ8103" s="106"/>
      <c r="RK8103" s="106"/>
      <c r="RL8103" s="106"/>
    </row>
    <row r="8104" spans="462:480" x14ac:dyDescent="0.3">
      <c r="QT8104" s="106"/>
      <c r="QU8104" s="106"/>
      <c r="QV8104" s="106"/>
      <c r="QW8104" s="106"/>
      <c r="QX8104" s="106"/>
      <c r="QY8104" s="106"/>
      <c r="QZ8104" s="106"/>
      <c r="RA8104" s="106"/>
      <c r="RB8104" s="106"/>
      <c r="RC8104" s="106"/>
      <c r="RD8104" s="106"/>
      <c r="RE8104" s="106"/>
      <c r="RF8104" s="106"/>
      <c r="RG8104" s="106"/>
      <c r="RH8104" s="106"/>
      <c r="RI8104" s="106"/>
      <c r="RJ8104" s="106"/>
      <c r="RK8104" s="106"/>
      <c r="RL8104" s="106"/>
    </row>
    <row r="8105" spans="462:480" x14ac:dyDescent="0.3">
      <c r="QT8105" s="106"/>
      <c r="QU8105" s="106"/>
      <c r="QV8105" s="106"/>
      <c r="QW8105" s="106"/>
      <c r="QX8105" s="106"/>
      <c r="QY8105" s="106"/>
      <c r="QZ8105" s="106"/>
      <c r="RA8105" s="106"/>
      <c r="RB8105" s="106"/>
      <c r="RC8105" s="106"/>
      <c r="RD8105" s="106"/>
      <c r="RE8105" s="106"/>
      <c r="RF8105" s="106"/>
      <c r="RG8105" s="106"/>
      <c r="RH8105" s="106"/>
      <c r="RI8105" s="106"/>
      <c r="RJ8105" s="106"/>
      <c r="RK8105" s="106"/>
      <c r="RL8105" s="106"/>
    </row>
    <row r="8106" spans="462:480" x14ac:dyDescent="0.3">
      <c r="QT8106" s="106"/>
      <c r="QU8106" s="106"/>
      <c r="QV8106" s="106"/>
      <c r="QW8106" s="106"/>
      <c r="QX8106" s="106"/>
      <c r="QY8106" s="106"/>
      <c r="QZ8106" s="106"/>
      <c r="RA8106" s="106"/>
      <c r="RB8106" s="106"/>
      <c r="RC8106" s="106"/>
      <c r="RD8106" s="106"/>
      <c r="RE8106" s="106"/>
      <c r="RF8106" s="106"/>
      <c r="RG8106" s="106"/>
      <c r="RH8106" s="106"/>
      <c r="RI8106" s="106"/>
      <c r="RJ8106" s="106"/>
      <c r="RK8106" s="106"/>
      <c r="RL8106" s="106"/>
    </row>
    <row r="8107" spans="462:480" x14ac:dyDescent="0.3">
      <c r="QT8107" s="106"/>
      <c r="QU8107" s="106"/>
      <c r="QV8107" s="106"/>
      <c r="QW8107" s="106"/>
      <c r="QX8107" s="106"/>
      <c r="QY8107" s="106"/>
      <c r="QZ8107" s="106"/>
      <c r="RA8107" s="106"/>
      <c r="RB8107" s="106"/>
      <c r="RC8107" s="106"/>
      <c r="RD8107" s="106"/>
      <c r="RE8107" s="106"/>
      <c r="RF8107" s="106"/>
      <c r="RG8107" s="106"/>
      <c r="RH8107" s="106"/>
      <c r="RI8107" s="106"/>
      <c r="RJ8107" s="106"/>
      <c r="RK8107" s="106"/>
      <c r="RL8107" s="106"/>
    </row>
    <row r="8108" spans="462:480" x14ac:dyDescent="0.3">
      <c r="QT8108" s="106"/>
      <c r="QU8108" s="106"/>
      <c r="QV8108" s="106"/>
      <c r="QW8108" s="106"/>
      <c r="QX8108" s="106"/>
      <c r="QY8108" s="106"/>
      <c r="QZ8108" s="106"/>
      <c r="RA8108" s="106"/>
      <c r="RB8108" s="106"/>
      <c r="RC8108" s="106"/>
      <c r="RD8108" s="106"/>
      <c r="RE8108" s="106"/>
      <c r="RF8108" s="106"/>
      <c r="RG8108" s="106"/>
      <c r="RH8108" s="106"/>
      <c r="RI8108" s="106"/>
      <c r="RJ8108" s="106"/>
      <c r="RK8108" s="106"/>
      <c r="RL8108" s="106"/>
    </row>
    <row r="8109" spans="462:480" x14ac:dyDescent="0.3">
      <c r="QT8109" s="106"/>
      <c r="QU8109" s="106"/>
      <c r="QV8109" s="106"/>
      <c r="QW8109" s="106"/>
      <c r="QX8109" s="106"/>
      <c r="QY8109" s="106"/>
      <c r="QZ8109" s="106"/>
      <c r="RA8109" s="106"/>
      <c r="RB8109" s="106"/>
      <c r="RC8109" s="106"/>
      <c r="RD8109" s="106"/>
      <c r="RE8109" s="106"/>
      <c r="RF8109" s="106"/>
      <c r="RG8109" s="106"/>
      <c r="RH8109" s="106"/>
      <c r="RI8109" s="106"/>
      <c r="RJ8109" s="106"/>
      <c r="RK8109" s="106"/>
      <c r="RL8109" s="106"/>
    </row>
    <row r="8110" spans="462:480" x14ac:dyDescent="0.3">
      <c r="QT8110" s="106"/>
      <c r="QU8110" s="106"/>
      <c r="QV8110" s="106"/>
      <c r="QW8110" s="106"/>
      <c r="QX8110" s="106"/>
      <c r="QY8110" s="106"/>
      <c r="QZ8110" s="106"/>
      <c r="RA8110" s="106"/>
      <c r="RB8110" s="106"/>
      <c r="RC8110" s="106"/>
      <c r="RD8110" s="106"/>
      <c r="RE8110" s="106"/>
      <c r="RF8110" s="106"/>
      <c r="RG8110" s="106"/>
      <c r="RH8110" s="106"/>
      <c r="RI8110" s="106"/>
      <c r="RJ8110" s="106"/>
      <c r="RK8110" s="106"/>
      <c r="RL8110" s="106"/>
    </row>
    <row r="8111" spans="462:480" x14ac:dyDescent="0.3">
      <c r="QT8111" s="106"/>
      <c r="QU8111" s="106"/>
      <c r="QV8111" s="106"/>
      <c r="QW8111" s="106"/>
      <c r="QX8111" s="106"/>
      <c r="QY8111" s="106"/>
      <c r="QZ8111" s="106"/>
      <c r="RA8111" s="106"/>
      <c r="RB8111" s="106"/>
      <c r="RC8111" s="106"/>
      <c r="RD8111" s="106"/>
      <c r="RE8111" s="106"/>
      <c r="RF8111" s="106"/>
      <c r="RG8111" s="106"/>
      <c r="RH8111" s="106"/>
      <c r="RI8111" s="106"/>
      <c r="RJ8111" s="106"/>
      <c r="RK8111" s="106"/>
      <c r="RL8111" s="106"/>
    </row>
    <row r="8112" spans="462:480" x14ac:dyDescent="0.3">
      <c r="QT8112" s="106"/>
      <c r="QU8112" s="106"/>
      <c r="QV8112" s="106"/>
      <c r="QW8112" s="106"/>
      <c r="QX8112" s="106"/>
      <c r="QY8112" s="106"/>
      <c r="QZ8112" s="106"/>
      <c r="RA8112" s="106"/>
      <c r="RB8112" s="106"/>
      <c r="RC8112" s="106"/>
      <c r="RD8112" s="106"/>
      <c r="RE8112" s="106"/>
      <c r="RF8112" s="106"/>
      <c r="RG8112" s="106"/>
      <c r="RH8112" s="106"/>
      <c r="RI8112" s="106"/>
      <c r="RJ8112" s="106"/>
      <c r="RK8112" s="106"/>
      <c r="RL8112" s="106"/>
    </row>
    <row r="8113" spans="462:480" x14ac:dyDescent="0.3">
      <c r="QT8113" s="106"/>
      <c r="QU8113" s="106"/>
      <c r="QV8113" s="106"/>
      <c r="QW8113" s="106"/>
      <c r="QX8113" s="106"/>
      <c r="QY8113" s="106"/>
      <c r="QZ8113" s="106"/>
      <c r="RA8113" s="106"/>
      <c r="RB8113" s="106"/>
      <c r="RC8113" s="106"/>
      <c r="RD8113" s="106"/>
      <c r="RE8113" s="106"/>
      <c r="RF8113" s="106"/>
      <c r="RG8113" s="106"/>
      <c r="RH8113" s="106"/>
      <c r="RI8113" s="106"/>
      <c r="RJ8113" s="106"/>
      <c r="RK8113" s="106"/>
      <c r="RL8113" s="106"/>
    </row>
    <row r="8114" spans="462:480" x14ac:dyDescent="0.3">
      <c r="QT8114" s="106"/>
      <c r="QU8114" s="106"/>
      <c r="QV8114" s="106"/>
      <c r="QW8114" s="106"/>
      <c r="QX8114" s="106"/>
      <c r="QY8114" s="106"/>
      <c r="QZ8114" s="106"/>
      <c r="RA8114" s="106"/>
      <c r="RB8114" s="106"/>
      <c r="RC8114" s="106"/>
      <c r="RD8114" s="106"/>
      <c r="RE8114" s="106"/>
      <c r="RF8114" s="106"/>
      <c r="RG8114" s="106"/>
      <c r="RH8114" s="106"/>
      <c r="RI8114" s="106"/>
      <c r="RJ8114" s="106"/>
      <c r="RK8114" s="106"/>
      <c r="RL8114" s="106"/>
    </row>
    <row r="8115" spans="462:480" x14ac:dyDescent="0.3">
      <c r="QT8115" s="106"/>
      <c r="QU8115" s="106"/>
      <c r="QV8115" s="106"/>
      <c r="QW8115" s="106"/>
      <c r="QX8115" s="106"/>
      <c r="QY8115" s="106"/>
      <c r="QZ8115" s="106"/>
      <c r="RA8115" s="106"/>
      <c r="RB8115" s="106"/>
      <c r="RC8115" s="106"/>
      <c r="RD8115" s="106"/>
      <c r="RE8115" s="106"/>
      <c r="RF8115" s="106"/>
      <c r="RG8115" s="106"/>
      <c r="RH8115" s="106"/>
      <c r="RI8115" s="106"/>
      <c r="RJ8115" s="106"/>
      <c r="RK8115" s="106"/>
      <c r="RL8115" s="106"/>
    </row>
    <row r="8116" spans="462:480" x14ac:dyDescent="0.3">
      <c r="QT8116" s="106"/>
      <c r="QU8116" s="106"/>
      <c r="QV8116" s="106"/>
      <c r="QW8116" s="106"/>
      <c r="QX8116" s="106"/>
      <c r="QY8116" s="106"/>
      <c r="QZ8116" s="106"/>
      <c r="RA8116" s="106"/>
      <c r="RB8116" s="106"/>
      <c r="RC8116" s="106"/>
      <c r="RD8116" s="106"/>
      <c r="RE8116" s="106"/>
      <c r="RF8116" s="106"/>
      <c r="RG8116" s="106"/>
      <c r="RH8116" s="106"/>
      <c r="RI8116" s="106"/>
      <c r="RJ8116" s="106"/>
      <c r="RK8116" s="106"/>
      <c r="RL8116" s="106"/>
    </row>
    <row r="8117" spans="462:480" x14ac:dyDescent="0.3">
      <c r="QT8117" s="106"/>
      <c r="QU8117" s="106"/>
      <c r="QV8117" s="106"/>
      <c r="QW8117" s="106"/>
      <c r="QX8117" s="106"/>
      <c r="QY8117" s="106"/>
      <c r="QZ8117" s="106"/>
      <c r="RA8117" s="106"/>
      <c r="RB8117" s="106"/>
      <c r="RC8117" s="106"/>
      <c r="RD8117" s="106"/>
      <c r="RE8117" s="106"/>
      <c r="RF8117" s="106"/>
      <c r="RG8117" s="106"/>
      <c r="RH8117" s="106"/>
      <c r="RI8117" s="106"/>
      <c r="RJ8117" s="106"/>
      <c r="RK8117" s="106"/>
      <c r="RL8117" s="106"/>
    </row>
    <row r="8118" spans="462:480" x14ac:dyDescent="0.3">
      <c r="QT8118" s="106"/>
      <c r="QU8118" s="106"/>
      <c r="QV8118" s="106"/>
      <c r="QW8118" s="106"/>
      <c r="QX8118" s="106"/>
      <c r="QY8118" s="106"/>
      <c r="QZ8118" s="106"/>
      <c r="RA8118" s="106"/>
      <c r="RB8118" s="106"/>
      <c r="RC8118" s="106"/>
      <c r="RD8118" s="106"/>
      <c r="RE8118" s="106"/>
      <c r="RF8118" s="106"/>
      <c r="RG8118" s="106"/>
      <c r="RH8118" s="106"/>
      <c r="RI8118" s="106"/>
      <c r="RJ8118" s="106"/>
      <c r="RK8118" s="106"/>
      <c r="RL8118" s="106"/>
    </row>
    <row r="8119" spans="462:480" x14ac:dyDescent="0.3">
      <c r="QT8119" s="106"/>
      <c r="QU8119" s="106"/>
      <c r="QV8119" s="106"/>
      <c r="QW8119" s="106"/>
      <c r="QX8119" s="106"/>
      <c r="QY8119" s="106"/>
      <c r="QZ8119" s="106"/>
      <c r="RA8119" s="106"/>
      <c r="RB8119" s="106"/>
      <c r="RC8119" s="106"/>
      <c r="RD8119" s="106"/>
      <c r="RE8119" s="106"/>
      <c r="RF8119" s="106"/>
      <c r="RG8119" s="106"/>
      <c r="RH8119" s="106"/>
      <c r="RI8119" s="106"/>
      <c r="RJ8119" s="106"/>
      <c r="RK8119" s="106"/>
      <c r="RL8119" s="106"/>
    </row>
    <row r="8120" spans="462:480" x14ac:dyDescent="0.3">
      <c r="QT8120" s="106"/>
      <c r="QU8120" s="106"/>
      <c r="QV8120" s="106"/>
      <c r="QW8120" s="106"/>
      <c r="QX8120" s="106"/>
      <c r="QY8120" s="106"/>
      <c r="QZ8120" s="106"/>
      <c r="RA8120" s="106"/>
      <c r="RB8120" s="106"/>
      <c r="RC8120" s="106"/>
      <c r="RD8120" s="106"/>
      <c r="RE8120" s="106"/>
      <c r="RF8120" s="106"/>
      <c r="RG8120" s="106"/>
      <c r="RH8120" s="106"/>
      <c r="RI8120" s="106"/>
      <c r="RJ8120" s="106"/>
      <c r="RK8120" s="106"/>
      <c r="RL8120" s="106"/>
    </row>
    <row r="8121" spans="462:480" x14ac:dyDescent="0.3">
      <c r="QT8121" s="106"/>
      <c r="QU8121" s="106"/>
      <c r="QV8121" s="106"/>
      <c r="QW8121" s="106"/>
      <c r="QX8121" s="106"/>
      <c r="QY8121" s="106"/>
      <c r="QZ8121" s="106"/>
      <c r="RA8121" s="106"/>
      <c r="RB8121" s="106"/>
      <c r="RC8121" s="106"/>
      <c r="RD8121" s="106"/>
      <c r="RE8121" s="106"/>
      <c r="RF8121" s="106"/>
      <c r="RG8121" s="106"/>
      <c r="RH8121" s="106"/>
      <c r="RI8121" s="106"/>
      <c r="RJ8121" s="106"/>
      <c r="RK8121" s="106"/>
      <c r="RL8121" s="106"/>
    </row>
    <row r="8122" spans="462:480" x14ac:dyDescent="0.3">
      <c r="QT8122" s="106"/>
      <c r="QU8122" s="106"/>
      <c r="QV8122" s="106"/>
      <c r="QW8122" s="106"/>
      <c r="QX8122" s="106"/>
      <c r="QY8122" s="106"/>
      <c r="QZ8122" s="106"/>
      <c r="RA8122" s="106"/>
      <c r="RB8122" s="106"/>
      <c r="RC8122" s="106"/>
      <c r="RD8122" s="106"/>
      <c r="RE8122" s="106"/>
      <c r="RF8122" s="106"/>
      <c r="RG8122" s="106"/>
      <c r="RH8122" s="106"/>
      <c r="RI8122" s="106"/>
      <c r="RJ8122" s="106"/>
      <c r="RK8122" s="106"/>
      <c r="RL8122" s="106"/>
    </row>
    <row r="8123" spans="462:480" x14ac:dyDescent="0.3">
      <c r="QT8123" s="106"/>
      <c r="QU8123" s="106"/>
      <c r="QV8123" s="106"/>
      <c r="QW8123" s="106"/>
      <c r="QX8123" s="106"/>
      <c r="QY8123" s="106"/>
      <c r="QZ8123" s="106"/>
      <c r="RA8123" s="106"/>
      <c r="RB8123" s="106"/>
      <c r="RC8123" s="106"/>
      <c r="RD8123" s="106"/>
      <c r="RE8123" s="106"/>
      <c r="RF8123" s="106"/>
      <c r="RG8123" s="106"/>
      <c r="RH8123" s="106"/>
      <c r="RI8123" s="106"/>
      <c r="RJ8123" s="106"/>
      <c r="RK8123" s="106"/>
      <c r="RL8123" s="106"/>
    </row>
    <row r="8124" spans="462:480" x14ac:dyDescent="0.3">
      <c r="QT8124" s="106"/>
      <c r="QU8124" s="106"/>
      <c r="QV8124" s="106"/>
      <c r="QW8124" s="106"/>
      <c r="QX8124" s="106"/>
      <c r="QY8124" s="106"/>
      <c r="QZ8124" s="106"/>
      <c r="RA8124" s="106"/>
      <c r="RB8124" s="106"/>
      <c r="RC8124" s="106"/>
      <c r="RD8124" s="106"/>
      <c r="RE8124" s="106"/>
      <c r="RF8124" s="106"/>
      <c r="RG8124" s="106"/>
      <c r="RH8124" s="106"/>
      <c r="RI8124" s="106"/>
      <c r="RJ8124" s="106"/>
      <c r="RK8124" s="106"/>
      <c r="RL8124" s="106"/>
    </row>
    <row r="8125" spans="462:480" x14ac:dyDescent="0.3">
      <c r="QT8125" s="106"/>
      <c r="QU8125" s="106"/>
      <c r="QV8125" s="106"/>
      <c r="QW8125" s="106"/>
      <c r="QX8125" s="106"/>
      <c r="QY8125" s="106"/>
      <c r="QZ8125" s="106"/>
      <c r="RA8125" s="106"/>
      <c r="RB8125" s="106"/>
      <c r="RC8125" s="106"/>
      <c r="RD8125" s="106"/>
      <c r="RE8125" s="106"/>
      <c r="RF8125" s="106"/>
      <c r="RG8125" s="106"/>
      <c r="RH8125" s="106"/>
      <c r="RI8125" s="106"/>
      <c r="RJ8125" s="106"/>
      <c r="RK8125" s="106"/>
      <c r="RL8125" s="106"/>
    </row>
    <row r="8126" spans="462:480" x14ac:dyDescent="0.3">
      <c r="QT8126" s="106"/>
      <c r="QU8126" s="106"/>
      <c r="QV8126" s="106"/>
      <c r="QW8126" s="106"/>
      <c r="QX8126" s="106"/>
      <c r="QY8126" s="106"/>
      <c r="QZ8126" s="106"/>
      <c r="RA8126" s="106"/>
      <c r="RB8126" s="106"/>
      <c r="RC8126" s="106"/>
      <c r="RD8126" s="106"/>
      <c r="RE8126" s="106"/>
      <c r="RF8126" s="106"/>
      <c r="RG8126" s="106"/>
      <c r="RH8126" s="106"/>
      <c r="RI8126" s="106"/>
      <c r="RJ8126" s="106"/>
      <c r="RK8126" s="106"/>
      <c r="RL8126" s="106"/>
    </row>
    <row r="8127" spans="462:480" x14ac:dyDescent="0.3">
      <c r="QT8127" s="106"/>
      <c r="QU8127" s="106"/>
      <c r="QV8127" s="106"/>
      <c r="QW8127" s="106"/>
      <c r="QX8127" s="106"/>
      <c r="QY8127" s="106"/>
      <c r="QZ8127" s="106"/>
      <c r="RA8127" s="106"/>
      <c r="RB8127" s="106"/>
      <c r="RC8127" s="106"/>
      <c r="RD8127" s="106"/>
      <c r="RE8127" s="106"/>
      <c r="RF8127" s="106"/>
      <c r="RG8127" s="106"/>
      <c r="RH8127" s="106"/>
      <c r="RI8127" s="106"/>
      <c r="RJ8127" s="106"/>
      <c r="RK8127" s="106"/>
      <c r="RL8127" s="106"/>
    </row>
    <row r="8128" spans="462:480" x14ac:dyDescent="0.3">
      <c r="QT8128" s="106"/>
      <c r="QU8128" s="106"/>
      <c r="QV8128" s="106"/>
      <c r="QW8128" s="106"/>
      <c r="QX8128" s="106"/>
      <c r="QY8128" s="106"/>
      <c r="QZ8128" s="106"/>
      <c r="RA8128" s="106"/>
      <c r="RB8128" s="106"/>
      <c r="RC8128" s="106"/>
      <c r="RD8128" s="106"/>
      <c r="RE8128" s="106"/>
      <c r="RF8128" s="106"/>
      <c r="RG8128" s="106"/>
      <c r="RH8128" s="106"/>
      <c r="RI8128" s="106"/>
      <c r="RJ8128" s="106"/>
      <c r="RK8128" s="106"/>
      <c r="RL8128" s="106"/>
    </row>
    <row r="8129" spans="462:480" x14ac:dyDescent="0.3">
      <c r="QT8129" s="106"/>
      <c r="QU8129" s="106"/>
      <c r="QV8129" s="106"/>
      <c r="QW8129" s="106"/>
      <c r="QX8129" s="106"/>
      <c r="QY8129" s="106"/>
      <c r="QZ8129" s="106"/>
      <c r="RA8129" s="106"/>
      <c r="RB8129" s="106"/>
      <c r="RC8129" s="106"/>
      <c r="RD8129" s="106"/>
      <c r="RE8129" s="106"/>
      <c r="RF8129" s="106"/>
      <c r="RG8129" s="106"/>
      <c r="RH8129" s="106"/>
      <c r="RI8129" s="106"/>
      <c r="RJ8129" s="106"/>
      <c r="RK8129" s="106"/>
      <c r="RL8129" s="106"/>
    </row>
    <row r="8130" spans="462:480" x14ac:dyDescent="0.3">
      <c r="QT8130" s="106"/>
      <c r="QU8130" s="106"/>
      <c r="QV8130" s="106"/>
      <c r="QW8130" s="106"/>
      <c r="QX8130" s="106"/>
      <c r="QY8130" s="106"/>
      <c r="QZ8130" s="106"/>
      <c r="RA8130" s="106"/>
      <c r="RB8130" s="106"/>
      <c r="RC8130" s="106"/>
      <c r="RD8130" s="106"/>
      <c r="RE8130" s="106"/>
      <c r="RF8130" s="106"/>
      <c r="RG8130" s="106"/>
      <c r="RH8130" s="106"/>
      <c r="RI8130" s="106"/>
      <c r="RJ8130" s="106"/>
      <c r="RK8130" s="106"/>
      <c r="RL8130" s="106"/>
    </row>
    <row r="8131" spans="462:480" x14ac:dyDescent="0.3">
      <c r="QT8131" s="106"/>
      <c r="QU8131" s="106"/>
      <c r="QV8131" s="106"/>
      <c r="QW8131" s="106"/>
      <c r="QX8131" s="106"/>
      <c r="QY8131" s="106"/>
      <c r="QZ8131" s="106"/>
      <c r="RA8131" s="106"/>
      <c r="RB8131" s="106"/>
      <c r="RC8131" s="106"/>
      <c r="RD8131" s="106"/>
      <c r="RE8131" s="106"/>
      <c r="RF8131" s="106"/>
      <c r="RG8131" s="106"/>
      <c r="RH8131" s="106"/>
      <c r="RI8131" s="106"/>
      <c r="RJ8131" s="106"/>
      <c r="RK8131" s="106"/>
      <c r="RL8131" s="106"/>
    </row>
    <row r="8132" spans="462:480" x14ac:dyDescent="0.3">
      <c r="QT8132" s="106"/>
      <c r="QU8132" s="106"/>
      <c r="QV8132" s="106"/>
      <c r="QW8132" s="106"/>
      <c r="QX8132" s="106"/>
      <c r="QY8132" s="106"/>
      <c r="QZ8132" s="106"/>
      <c r="RA8132" s="106"/>
      <c r="RB8132" s="106"/>
      <c r="RC8132" s="106"/>
      <c r="RD8132" s="106"/>
      <c r="RE8132" s="106"/>
      <c r="RF8132" s="106"/>
      <c r="RG8132" s="106"/>
      <c r="RH8132" s="106"/>
      <c r="RI8132" s="106"/>
      <c r="RJ8132" s="106"/>
      <c r="RK8132" s="106"/>
      <c r="RL8132" s="106"/>
    </row>
    <row r="8133" spans="462:480" x14ac:dyDescent="0.3">
      <c r="QT8133" s="106"/>
      <c r="QU8133" s="106"/>
      <c r="QV8133" s="106"/>
      <c r="QW8133" s="106"/>
      <c r="QX8133" s="106"/>
      <c r="QY8133" s="106"/>
      <c r="QZ8133" s="106"/>
      <c r="RA8133" s="106"/>
      <c r="RB8133" s="106"/>
      <c r="RC8133" s="106"/>
      <c r="RD8133" s="106"/>
      <c r="RE8133" s="106"/>
      <c r="RF8133" s="106"/>
      <c r="RG8133" s="106"/>
      <c r="RH8133" s="106"/>
      <c r="RI8133" s="106"/>
      <c r="RJ8133" s="106"/>
      <c r="RK8133" s="106"/>
      <c r="RL8133" s="106"/>
    </row>
    <row r="8134" spans="462:480" x14ac:dyDescent="0.3">
      <c r="QT8134" s="106"/>
      <c r="QU8134" s="106"/>
      <c r="QV8134" s="106"/>
      <c r="QW8134" s="106"/>
      <c r="QX8134" s="106"/>
      <c r="QY8134" s="106"/>
      <c r="QZ8134" s="106"/>
      <c r="RA8134" s="106"/>
      <c r="RB8134" s="106"/>
      <c r="RC8134" s="106"/>
      <c r="RD8134" s="106"/>
      <c r="RE8134" s="106"/>
      <c r="RF8134" s="106"/>
      <c r="RG8134" s="106"/>
      <c r="RH8134" s="106"/>
      <c r="RI8134" s="106"/>
      <c r="RJ8134" s="106"/>
      <c r="RK8134" s="106"/>
      <c r="RL8134" s="106"/>
    </row>
    <row r="8135" spans="462:480" x14ac:dyDescent="0.3">
      <c r="QT8135" s="106"/>
      <c r="QU8135" s="106"/>
      <c r="QV8135" s="106"/>
      <c r="QW8135" s="106"/>
      <c r="QX8135" s="106"/>
      <c r="QY8135" s="106"/>
      <c r="QZ8135" s="106"/>
      <c r="RA8135" s="106"/>
      <c r="RB8135" s="106"/>
      <c r="RC8135" s="106"/>
      <c r="RD8135" s="106"/>
      <c r="RE8135" s="106"/>
      <c r="RF8135" s="106"/>
      <c r="RG8135" s="106"/>
      <c r="RH8135" s="106"/>
      <c r="RI8135" s="106"/>
      <c r="RJ8135" s="106"/>
      <c r="RK8135" s="106"/>
      <c r="RL8135" s="106"/>
    </row>
    <row r="8136" spans="462:480" x14ac:dyDescent="0.3">
      <c r="QT8136" s="106"/>
      <c r="QU8136" s="106"/>
      <c r="QV8136" s="106"/>
      <c r="QW8136" s="106"/>
      <c r="QX8136" s="106"/>
      <c r="QY8136" s="106"/>
      <c r="QZ8136" s="106"/>
      <c r="RA8136" s="106"/>
      <c r="RB8136" s="106"/>
      <c r="RC8136" s="106"/>
      <c r="RD8136" s="106"/>
      <c r="RE8136" s="106"/>
      <c r="RF8136" s="106"/>
      <c r="RG8136" s="106"/>
      <c r="RH8136" s="106"/>
      <c r="RI8136" s="106"/>
      <c r="RJ8136" s="106"/>
      <c r="RK8136" s="106"/>
      <c r="RL8136" s="106"/>
    </row>
    <row r="8137" spans="462:480" x14ac:dyDescent="0.3">
      <c r="QT8137" s="106"/>
      <c r="QU8137" s="106"/>
      <c r="QV8137" s="106"/>
      <c r="QW8137" s="106"/>
      <c r="QX8137" s="106"/>
      <c r="QY8137" s="106"/>
      <c r="QZ8137" s="106"/>
      <c r="RA8137" s="106"/>
      <c r="RB8137" s="106"/>
      <c r="RC8137" s="106"/>
      <c r="RD8137" s="106"/>
      <c r="RE8137" s="106"/>
      <c r="RF8137" s="106"/>
      <c r="RG8137" s="106"/>
      <c r="RH8137" s="106"/>
      <c r="RI8137" s="106"/>
      <c r="RJ8137" s="106"/>
      <c r="RK8137" s="106"/>
      <c r="RL8137" s="106"/>
    </row>
    <row r="8138" spans="462:480" x14ac:dyDescent="0.3">
      <c r="QT8138" s="106"/>
      <c r="QU8138" s="106"/>
      <c r="QV8138" s="106"/>
      <c r="QW8138" s="106"/>
      <c r="QX8138" s="106"/>
      <c r="QY8138" s="106"/>
      <c r="QZ8138" s="106"/>
      <c r="RA8138" s="106"/>
      <c r="RB8138" s="106"/>
      <c r="RC8138" s="106"/>
      <c r="RD8138" s="106"/>
      <c r="RE8138" s="106"/>
      <c r="RF8138" s="106"/>
      <c r="RG8138" s="106"/>
      <c r="RH8138" s="106"/>
      <c r="RI8138" s="106"/>
      <c r="RJ8138" s="106"/>
      <c r="RK8138" s="106"/>
      <c r="RL8138" s="106"/>
    </row>
    <row r="8139" spans="462:480" x14ac:dyDescent="0.3">
      <c r="QT8139" s="106"/>
      <c r="QU8139" s="106"/>
      <c r="QV8139" s="106"/>
      <c r="QW8139" s="106"/>
      <c r="QX8139" s="106"/>
      <c r="QY8139" s="106"/>
      <c r="QZ8139" s="106"/>
      <c r="RA8139" s="106"/>
      <c r="RB8139" s="106"/>
      <c r="RC8139" s="106"/>
      <c r="RD8139" s="106"/>
      <c r="RE8139" s="106"/>
      <c r="RF8139" s="106"/>
      <c r="RG8139" s="106"/>
      <c r="RH8139" s="106"/>
      <c r="RI8139" s="106"/>
      <c r="RJ8139" s="106"/>
      <c r="RK8139" s="106"/>
      <c r="RL8139" s="106"/>
    </row>
    <row r="8140" spans="462:480" x14ac:dyDescent="0.3">
      <c r="QT8140" s="106"/>
      <c r="QU8140" s="106"/>
      <c r="QV8140" s="106"/>
      <c r="QW8140" s="106"/>
      <c r="QX8140" s="106"/>
      <c r="QY8140" s="106"/>
      <c r="QZ8140" s="106"/>
      <c r="RA8140" s="106"/>
      <c r="RB8140" s="106"/>
      <c r="RC8140" s="106"/>
      <c r="RD8140" s="106"/>
      <c r="RE8140" s="106"/>
      <c r="RF8140" s="106"/>
      <c r="RG8140" s="106"/>
      <c r="RH8140" s="106"/>
      <c r="RI8140" s="106"/>
      <c r="RJ8140" s="106"/>
      <c r="RK8140" s="106"/>
      <c r="RL8140" s="106"/>
    </row>
    <row r="8141" spans="462:480" x14ac:dyDescent="0.3">
      <c r="QT8141" s="106"/>
      <c r="QU8141" s="106"/>
      <c r="QV8141" s="106"/>
      <c r="QW8141" s="106"/>
      <c r="QX8141" s="106"/>
      <c r="QY8141" s="106"/>
      <c r="QZ8141" s="106"/>
      <c r="RA8141" s="106"/>
      <c r="RB8141" s="106"/>
      <c r="RC8141" s="106"/>
      <c r="RD8141" s="106"/>
      <c r="RE8141" s="106"/>
      <c r="RF8141" s="106"/>
      <c r="RG8141" s="106"/>
      <c r="RH8141" s="106"/>
      <c r="RI8141" s="106"/>
      <c r="RJ8141" s="106"/>
      <c r="RK8141" s="106"/>
      <c r="RL8141" s="106"/>
    </row>
    <row r="8142" spans="462:480" x14ac:dyDescent="0.3">
      <c r="QT8142" s="106"/>
      <c r="QU8142" s="106"/>
      <c r="QV8142" s="106"/>
      <c r="QW8142" s="106"/>
      <c r="QX8142" s="106"/>
      <c r="QY8142" s="106"/>
      <c r="QZ8142" s="106"/>
      <c r="RA8142" s="106"/>
      <c r="RB8142" s="106"/>
      <c r="RC8142" s="106"/>
      <c r="RD8142" s="106"/>
      <c r="RE8142" s="106"/>
      <c r="RF8142" s="106"/>
      <c r="RG8142" s="106"/>
      <c r="RH8142" s="106"/>
      <c r="RI8142" s="106"/>
      <c r="RJ8142" s="106"/>
      <c r="RK8142" s="106"/>
      <c r="RL8142" s="106"/>
    </row>
    <row r="8143" spans="462:480" x14ac:dyDescent="0.3">
      <c r="QT8143" s="106"/>
      <c r="QU8143" s="106"/>
      <c r="QV8143" s="106"/>
      <c r="QW8143" s="106"/>
      <c r="QX8143" s="106"/>
      <c r="QY8143" s="106"/>
      <c r="QZ8143" s="106"/>
      <c r="RA8143" s="106"/>
      <c r="RB8143" s="106"/>
      <c r="RC8143" s="106"/>
      <c r="RD8143" s="106"/>
      <c r="RE8143" s="106"/>
      <c r="RF8143" s="106"/>
      <c r="RG8143" s="106"/>
      <c r="RH8143" s="106"/>
      <c r="RI8143" s="106"/>
      <c r="RJ8143" s="106"/>
      <c r="RK8143" s="106"/>
      <c r="RL8143" s="106"/>
    </row>
    <row r="8144" spans="462:480" x14ac:dyDescent="0.3">
      <c r="QT8144" s="106"/>
      <c r="QU8144" s="106"/>
      <c r="QV8144" s="106"/>
      <c r="QW8144" s="106"/>
      <c r="QX8144" s="106"/>
      <c r="QY8144" s="106"/>
      <c r="QZ8144" s="106"/>
      <c r="RA8144" s="106"/>
      <c r="RB8144" s="106"/>
      <c r="RC8144" s="106"/>
      <c r="RD8144" s="106"/>
      <c r="RE8144" s="106"/>
      <c r="RF8144" s="106"/>
      <c r="RG8144" s="106"/>
      <c r="RH8144" s="106"/>
      <c r="RI8144" s="106"/>
      <c r="RJ8144" s="106"/>
      <c r="RK8144" s="106"/>
      <c r="RL8144" s="106"/>
    </row>
    <row r="8145" spans="462:480" x14ac:dyDescent="0.3">
      <c r="QT8145" s="106"/>
      <c r="QU8145" s="106"/>
      <c r="QV8145" s="106"/>
      <c r="QW8145" s="106"/>
      <c r="QX8145" s="106"/>
      <c r="QY8145" s="106"/>
      <c r="QZ8145" s="106"/>
      <c r="RA8145" s="106"/>
      <c r="RB8145" s="106"/>
      <c r="RC8145" s="106"/>
      <c r="RD8145" s="106"/>
      <c r="RE8145" s="106"/>
      <c r="RF8145" s="106"/>
      <c r="RG8145" s="106"/>
      <c r="RH8145" s="106"/>
      <c r="RI8145" s="106"/>
      <c r="RJ8145" s="106"/>
      <c r="RK8145" s="106"/>
      <c r="RL8145" s="106"/>
    </row>
    <row r="8146" spans="462:480" x14ac:dyDescent="0.3">
      <c r="QT8146" s="106"/>
      <c r="QU8146" s="106"/>
      <c r="QV8146" s="106"/>
      <c r="QW8146" s="106"/>
      <c r="QX8146" s="106"/>
      <c r="QY8146" s="106"/>
      <c r="QZ8146" s="106"/>
      <c r="RA8146" s="106"/>
      <c r="RB8146" s="106"/>
      <c r="RC8146" s="106"/>
      <c r="RD8146" s="106"/>
      <c r="RE8146" s="106"/>
      <c r="RF8146" s="106"/>
      <c r="RG8146" s="106"/>
      <c r="RH8146" s="106"/>
      <c r="RI8146" s="106"/>
      <c r="RJ8146" s="106"/>
      <c r="RK8146" s="106"/>
      <c r="RL8146" s="106"/>
    </row>
    <row r="8147" spans="462:480" x14ac:dyDescent="0.3">
      <c r="QT8147" s="106"/>
      <c r="QU8147" s="106"/>
      <c r="QV8147" s="106"/>
      <c r="QW8147" s="106"/>
      <c r="QX8147" s="106"/>
      <c r="QY8147" s="106"/>
      <c r="QZ8147" s="106"/>
      <c r="RA8147" s="106"/>
      <c r="RB8147" s="106"/>
      <c r="RC8147" s="106"/>
      <c r="RD8147" s="106"/>
      <c r="RE8147" s="106"/>
      <c r="RF8147" s="106"/>
      <c r="RG8147" s="106"/>
      <c r="RH8147" s="106"/>
      <c r="RI8147" s="106"/>
      <c r="RJ8147" s="106"/>
      <c r="RK8147" s="106"/>
      <c r="RL8147" s="106"/>
    </row>
    <row r="8148" spans="462:480" x14ac:dyDescent="0.3">
      <c r="QT8148" s="106"/>
      <c r="QU8148" s="106"/>
      <c r="QV8148" s="106"/>
      <c r="QW8148" s="106"/>
      <c r="QX8148" s="106"/>
      <c r="QY8148" s="106"/>
      <c r="QZ8148" s="106"/>
      <c r="RA8148" s="106"/>
      <c r="RB8148" s="106"/>
      <c r="RC8148" s="106"/>
      <c r="RD8148" s="106"/>
      <c r="RE8148" s="106"/>
      <c r="RF8148" s="106"/>
      <c r="RG8148" s="106"/>
      <c r="RH8148" s="106"/>
      <c r="RI8148" s="106"/>
      <c r="RJ8148" s="106"/>
      <c r="RK8148" s="106"/>
      <c r="RL8148" s="106"/>
    </row>
    <row r="8149" spans="462:480" x14ac:dyDescent="0.3">
      <c r="QT8149" s="106"/>
      <c r="QU8149" s="106"/>
      <c r="QV8149" s="106"/>
      <c r="QW8149" s="106"/>
      <c r="QX8149" s="106"/>
      <c r="QY8149" s="106"/>
      <c r="QZ8149" s="106"/>
      <c r="RA8149" s="106"/>
      <c r="RB8149" s="106"/>
      <c r="RC8149" s="106"/>
      <c r="RD8149" s="106"/>
      <c r="RE8149" s="106"/>
      <c r="RF8149" s="106"/>
      <c r="RG8149" s="106"/>
      <c r="RH8149" s="106"/>
      <c r="RI8149" s="106"/>
      <c r="RJ8149" s="106"/>
      <c r="RK8149" s="106"/>
      <c r="RL8149" s="106"/>
    </row>
    <row r="8150" spans="462:480" x14ac:dyDescent="0.3">
      <c r="QT8150" s="106"/>
      <c r="QU8150" s="106"/>
      <c r="QV8150" s="106"/>
      <c r="QW8150" s="106"/>
      <c r="QX8150" s="106"/>
      <c r="QY8150" s="106"/>
      <c r="QZ8150" s="106"/>
      <c r="RA8150" s="106"/>
      <c r="RB8150" s="106"/>
      <c r="RC8150" s="106"/>
      <c r="RD8150" s="106"/>
      <c r="RE8150" s="106"/>
      <c r="RF8150" s="106"/>
      <c r="RG8150" s="106"/>
      <c r="RH8150" s="106"/>
      <c r="RI8150" s="106"/>
      <c r="RJ8150" s="106"/>
      <c r="RK8150" s="106"/>
      <c r="RL8150" s="106"/>
    </row>
    <row r="8151" spans="462:480" x14ac:dyDescent="0.3">
      <c r="QT8151" s="106"/>
      <c r="QU8151" s="106"/>
      <c r="QV8151" s="106"/>
      <c r="QW8151" s="106"/>
      <c r="QX8151" s="106"/>
      <c r="QY8151" s="106"/>
      <c r="QZ8151" s="106"/>
      <c r="RA8151" s="106"/>
      <c r="RB8151" s="106"/>
      <c r="RC8151" s="106"/>
      <c r="RD8151" s="106"/>
      <c r="RE8151" s="106"/>
      <c r="RF8151" s="106"/>
      <c r="RG8151" s="106"/>
      <c r="RH8151" s="106"/>
      <c r="RI8151" s="106"/>
      <c r="RJ8151" s="106"/>
      <c r="RK8151" s="106"/>
      <c r="RL8151" s="106"/>
    </row>
    <row r="8152" spans="462:480" x14ac:dyDescent="0.3">
      <c r="QT8152" s="106"/>
      <c r="QU8152" s="106"/>
      <c r="QV8152" s="106"/>
      <c r="QW8152" s="106"/>
      <c r="QX8152" s="106"/>
      <c r="QY8152" s="106"/>
      <c r="QZ8152" s="106"/>
      <c r="RA8152" s="106"/>
      <c r="RB8152" s="106"/>
      <c r="RC8152" s="106"/>
      <c r="RD8152" s="106"/>
      <c r="RE8152" s="106"/>
      <c r="RF8152" s="106"/>
      <c r="RG8152" s="106"/>
      <c r="RH8152" s="106"/>
      <c r="RI8152" s="106"/>
      <c r="RJ8152" s="106"/>
      <c r="RK8152" s="106"/>
      <c r="RL8152" s="106"/>
    </row>
    <row r="8153" spans="462:480" x14ac:dyDescent="0.3">
      <c r="QT8153" s="106"/>
      <c r="QU8153" s="106"/>
      <c r="QV8153" s="106"/>
      <c r="QW8153" s="106"/>
      <c r="QX8153" s="106"/>
      <c r="QY8153" s="106"/>
      <c r="QZ8153" s="106"/>
      <c r="RA8153" s="106"/>
      <c r="RB8153" s="106"/>
      <c r="RC8153" s="106"/>
      <c r="RD8153" s="106"/>
      <c r="RE8153" s="106"/>
      <c r="RF8153" s="106"/>
      <c r="RG8153" s="106"/>
      <c r="RH8153" s="106"/>
      <c r="RI8153" s="106"/>
      <c r="RJ8153" s="106"/>
      <c r="RK8153" s="106"/>
      <c r="RL8153" s="106"/>
    </row>
    <row r="8154" spans="462:480" x14ac:dyDescent="0.3">
      <c r="QT8154" s="106"/>
      <c r="QU8154" s="106"/>
      <c r="QV8154" s="106"/>
      <c r="QW8154" s="106"/>
      <c r="QX8154" s="106"/>
      <c r="QY8154" s="106"/>
      <c r="QZ8154" s="106"/>
      <c r="RA8154" s="106"/>
      <c r="RB8154" s="106"/>
      <c r="RC8154" s="106"/>
      <c r="RD8154" s="106"/>
      <c r="RE8154" s="106"/>
      <c r="RF8154" s="106"/>
      <c r="RG8154" s="106"/>
      <c r="RH8154" s="106"/>
      <c r="RI8154" s="106"/>
      <c r="RJ8154" s="106"/>
      <c r="RK8154" s="106"/>
      <c r="RL8154" s="106"/>
    </row>
    <row r="8155" spans="462:480" x14ac:dyDescent="0.3">
      <c r="QT8155" s="106"/>
      <c r="QU8155" s="106"/>
      <c r="QV8155" s="106"/>
      <c r="QW8155" s="106"/>
      <c r="QX8155" s="106"/>
      <c r="QY8155" s="106"/>
      <c r="QZ8155" s="106"/>
      <c r="RA8155" s="106"/>
      <c r="RB8155" s="106"/>
      <c r="RC8155" s="106"/>
      <c r="RD8155" s="106"/>
      <c r="RE8155" s="106"/>
      <c r="RF8155" s="106"/>
      <c r="RG8155" s="106"/>
      <c r="RH8155" s="106"/>
      <c r="RI8155" s="106"/>
      <c r="RJ8155" s="106"/>
      <c r="RK8155" s="106"/>
      <c r="RL8155" s="106"/>
    </row>
    <row r="8156" spans="462:480" x14ac:dyDescent="0.3">
      <c r="QT8156" s="106"/>
      <c r="QU8156" s="106"/>
      <c r="QV8156" s="106"/>
      <c r="QW8156" s="106"/>
      <c r="QX8156" s="106"/>
      <c r="QY8156" s="106"/>
      <c r="QZ8156" s="106"/>
      <c r="RA8156" s="106"/>
      <c r="RB8156" s="106"/>
      <c r="RC8156" s="106"/>
      <c r="RD8156" s="106"/>
      <c r="RE8156" s="106"/>
      <c r="RF8156" s="106"/>
      <c r="RG8156" s="106"/>
      <c r="RH8156" s="106"/>
      <c r="RI8156" s="106"/>
      <c r="RJ8156" s="106"/>
      <c r="RK8156" s="106"/>
      <c r="RL8156" s="106"/>
    </row>
    <row r="8157" spans="462:480" x14ac:dyDescent="0.3">
      <c r="QT8157" s="106"/>
      <c r="QU8157" s="106"/>
      <c r="QV8157" s="106"/>
      <c r="QW8157" s="106"/>
      <c r="QX8157" s="106"/>
      <c r="QY8157" s="106"/>
      <c r="QZ8157" s="106"/>
      <c r="RA8157" s="106"/>
      <c r="RB8157" s="106"/>
      <c r="RC8157" s="106"/>
      <c r="RD8157" s="106"/>
      <c r="RE8157" s="106"/>
      <c r="RF8157" s="106"/>
      <c r="RG8157" s="106"/>
      <c r="RH8157" s="106"/>
      <c r="RI8157" s="106"/>
      <c r="RJ8157" s="106"/>
      <c r="RK8157" s="106"/>
      <c r="RL8157" s="106"/>
    </row>
    <row r="8158" spans="462:480" x14ac:dyDescent="0.3">
      <c r="QT8158" s="106"/>
      <c r="QU8158" s="106"/>
      <c r="QV8158" s="106"/>
      <c r="QW8158" s="106"/>
      <c r="QX8158" s="106"/>
      <c r="QY8158" s="106"/>
      <c r="QZ8158" s="106"/>
      <c r="RA8158" s="106"/>
      <c r="RB8158" s="106"/>
      <c r="RC8158" s="106"/>
      <c r="RD8158" s="106"/>
      <c r="RE8158" s="106"/>
      <c r="RF8158" s="106"/>
      <c r="RG8158" s="106"/>
      <c r="RH8158" s="106"/>
      <c r="RI8158" s="106"/>
      <c r="RJ8158" s="106"/>
      <c r="RK8158" s="106"/>
      <c r="RL8158" s="106"/>
    </row>
    <row r="8159" spans="462:480" x14ac:dyDescent="0.3">
      <c r="QT8159" s="106"/>
      <c r="QU8159" s="106"/>
      <c r="QV8159" s="106"/>
      <c r="QW8159" s="106"/>
      <c r="QX8159" s="106"/>
      <c r="QY8159" s="106"/>
      <c r="QZ8159" s="106"/>
      <c r="RA8159" s="106"/>
      <c r="RB8159" s="106"/>
      <c r="RC8159" s="106"/>
      <c r="RD8159" s="106"/>
      <c r="RE8159" s="106"/>
      <c r="RF8159" s="106"/>
      <c r="RG8159" s="106"/>
      <c r="RH8159" s="106"/>
      <c r="RI8159" s="106"/>
      <c r="RJ8159" s="106"/>
      <c r="RK8159" s="106"/>
      <c r="RL8159" s="106"/>
    </row>
    <row r="8160" spans="462:480" x14ac:dyDescent="0.3">
      <c r="QT8160" s="106"/>
      <c r="QU8160" s="106"/>
      <c r="QV8160" s="106"/>
      <c r="QW8160" s="106"/>
      <c r="QX8160" s="106"/>
      <c r="QY8160" s="106"/>
      <c r="QZ8160" s="106"/>
      <c r="RA8160" s="106"/>
      <c r="RB8160" s="106"/>
      <c r="RC8160" s="106"/>
      <c r="RD8160" s="106"/>
      <c r="RE8160" s="106"/>
      <c r="RF8160" s="106"/>
      <c r="RG8160" s="106"/>
      <c r="RH8160" s="106"/>
      <c r="RI8160" s="106"/>
      <c r="RJ8160" s="106"/>
      <c r="RK8160" s="106"/>
      <c r="RL8160" s="106"/>
    </row>
    <row r="8161" spans="462:480" x14ac:dyDescent="0.3">
      <c r="QT8161" s="106"/>
      <c r="QU8161" s="106"/>
      <c r="QV8161" s="106"/>
      <c r="QW8161" s="106"/>
      <c r="QX8161" s="106"/>
      <c r="QY8161" s="106"/>
      <c r="QZ8161" s="106"/>
      <c r="RA8161" s="106"/>
      <c r="RB8161" s="106"/>
      <c r="RC8161" s="106"/>
      <c r="RD8161" s="106"/>
      <c r="RE8161" s="106"/>
      <c r="RF8161" s="106"/>
      <c r="RG8161" s="106"/>
      <c r="RH8161" s="106"/>
      <c r="RI8161" s="106"/>
      <c r="RJ8161" s="106"/>
      <c r="RK8161" s="106"/>
      <c r="RL8161" s="106"/>
    </row>
    <row r="8162" spans="462:480" x14ac:dyDescent="0.3">
      <c r="QT8162" s="106"/>
      <c r="QU8162" s="106"/>
      <c r="QV8162" s="106"/>
      <c r="QW8162" s="106"/>
      <c r="QX8162" s="106"/>
      <c r="QY8162" s="106"/>
      <c r="QZ8162" s="106"/>
      <c r="RA8162" s="106"/>
      <c r="RB8162" s="106"/>
      <c r="RC8162" s="106"/>
      <c r="RD8162" s="106"/>
      <c r="RE8162" s="106"/>
      <c r="RF8162" s="106"/>
      <c r="RG8162" s="106"/>
      <c r="RH8162" s="106"/>
      <c r="RI8162" s="106"/>
      <c r="RJ8162" s="106"/>
      <c r="RK8162" s="106"/>
      <c r="RL8162" s="106"/>
    </row>
    <row r="8163" spans="462:480" x14ac:dyDescent="0.3">
      <c r="QT8163" s="106"/>
      <c r="QU8163" s="106"/>
      <c r="QV8163" s="106"/>
      <c r="QW8163" s="106"/>
      <c r="QX8163" s="106"/>
      <c r="QY8163" s="106"/>
      <c r="QZ8163" s="106"/>
      <c r="RA8163" s="106"/>
      <c r="RB8163" s="106"/>
      <c r="RC8163" s="106"/>
      <c r="RD8163" s="106"/>
      <c r="RE8163" s="106"/>
      <c r="RF8163" s="106"/>
      <c r="RG8163" s="106"/>
      <c r="RH8163" s="106"/>
      <c r="RI8163" s="106"/>
      <c r="RJ8163" s="106"/>
      <c r="RK8163" s="106"/>
      <c r="RL8163" s="106"/>
    </row>
    <row r="8164" spans="462:480" x14ac:dyDescent="0.3">
      <c r="QT8164" s="106"/>
      <c r="QU8164" s="106"/>
      <c r="QV8164" s="106"/>
      <c r="QW8164" s="106"/>
      <c r="QX8164" s="106"/>
      <c r="QY8164" s="106"/>
      <c r="QZ8164" s="106"/>
      <c r="RA8164" s="106"/>
      <c r="RB8164" s="106"/>
      <c r="RC8164" s="106"/>
      <c r="RD8164" s="106"/>
      <c r="RE8164" s="106"/>
      <c r="RF8164" s="106"/>
      <c r="RG8164" s="106"/>
      <c r="RH8164" s="106"/>
      <c r="RI8164" s="106"/>
      <c r="RJ8164" s="106"/>
      <c r="RK8164" s="106"/>
      <c r="RL8164" s="106"/>
    </row>
    <row r="8165" spans="462:480" x14ac:dyDescent="0.3">
      <c r="QT8165" s="106"/>
      <c r="QU8165" s="106"/>
      <c r="QV8165" s="106"/>
      <c r="QW8165" s="106"/>
      <c r="QX8165" s="106"/>
      <c r="QY8165" s="106"/>
      <c r="QZ8165" s="106"/>
      <c r="RA8165" s="106"/>
      <c r="RB8165" s="106"/>
      <c r="RC8165" s="106"/>
      <c r="RD8165" s="106"/>
      <c r="RE8165" s="106"/>
      <c r="RF8165" s="106"/>
      <c r="RG8165" s="106"/>
      <c r="RH8165" s="106"/>
      <c r="RI8165" s="106"/>
      <c r="RJ8165" s="106"/>
      <c r="RK8165" s="106"/>
      <c r="RL8165" s="106"/>
    </row>
    <row r="8166" spans="462:480" x14ac:dyDescent="0.3">
      <c r="QT8166" s="106"/>
      <c r="QU8166" s="106"/>
      <c r="QV8166" s="106"/>
      <c r="QW8166" s="106"/>
      <c r="QX8166" s="106"/>
      <c r="QY8166" s="106"/>
      <c r="QZ8166" s="106"/>
      <c r="RA8166" s="106"/>
      <c r="RB8166" s="106"/>
      <c r="RC8166" s="106"/>
      <c r="RD8166" s="106"/>
      <c r="RE8166" s="106"/>
      <c r="RF8166" s="106"/>
      <c r="RG8166" s="106"/>
      <c r="RH8166" s="106"/>
      <c r="RI8166" s="106"/>
      <c r="RJ8166" s="106"/>
      <c r="RK8166" s="106"/>
      <c r="RL8166" s="106"/>
    </row>
    <row r="8167" spans="462:480" x14ac:dyDescent="0.3">
      <c r="QT8167" s="106"/>
      <c r="QU8167" s="106"/>
      <c r="QV8167" s="106"/>
      <c r="QW8167" s="106"/>
      <c r="QX8167" s="106"/>
      <c r="QY8167" s="106"/>
      <c r="QZ8167" s="106"/>
      <c r="RA8167" s="106"/>
      <c r="RB8167" s="106"/>
      <c r="RC8167" s="106"/>
      <c r="RD8167" s="106"/>
      <c r="RE8167" s="106"/>
      <c r="RF8167" s="106"/>
      <c r="RG8167" s="106"/>
      <c r="RH8167" s="106"/>
      <c r="RI8167" s="106"/>
      <c r="RJ8167" s="106"/>
      <c r="RK8167" s="106"/>
      <c r="RL8167" s="106"/>
    </row>
    <row r="8168" spans="462:480" x14ac:dyDescent="0.3">
      <c r="QT8168" s="106"/>
      <c r="QU8168" s="106"/>
      <c r="QV8168" s="106"/>
      <c r="QW8168" s="106"/>
      <c r="QX8168" s="106"/>
      <c r="QY8168" s="106"/>
      <c r="QZ8168" s="106"/>
      <c r="RA8168" s="106"/>
      <c r="RB8168" s="106"/>
      <c r="RC8168" s="106"/>
      <c r="RD8168" s="106"/>
      <c r="RE8168" s="106"/>
      <c r="RF8168" s="106"/>
      <c r="RG8168" s="106"/>
      <c r="RH8168" s="106"/>
      <c r="RI8168" s="106"/>
      <c r="RJ8168" s="106"/>
      <c r="RK8168" s="106"/>
      <c r="RL8168" s="106"/>
    </row>
    <row r="8169" spans="462:480" x14ac:dyDescent="0.3">
      <c r="QT8169" s="106"/>
      <c r="QU8169" s="106"/>
      <c r="QV8169" s="106"/>
      <c r="QW8169" s="106"/>
      <c r="QX8169" s="106"/>
      <c r="QY8169" s="106"/>
      <c r="QZ8169" s="106"/>
      <c r="RA8169" s="106"/>
      <c r="RB8169" s="106"/>
      <c r="RC8169" s="106"/>
      <c r="RD8169" s="106"/>
      <c r="RE8169" s="106"/>
      <c r="RF8169" s="106"/>
      <c r="RG8169" s="106"/>
      <c r="RH8169" s="106"/>
      <c r="RI8169" s="106"/>
      <c r="RJ8169" s="106"/>
      <c r="RK8169" s="106"/>
      <c r="RL8169" s="106"/>
    </row>
    <row r="8170" spans="462:480" x14ac:dyDescent="0.3">
      <c r="QT8170" s="106"/>
      <c r="QU8170" s="106"/>
      <c r="QV8170" s="106"/>
      <c r="QW8170" s="106"/>
      <c r="QX8170" s="106"/>
      <c r="QY8170" s="106"/>
      <c r="QZ8170" s="106"/>
      <c r="RA8170" s="106"/>
      <c r="RB8170" s="106"/>
      <c r="RC8170" s="106"/>
      <c r="RD8170" s="106"/>
      <c r="RE8170" s="106"/>
      <c r="RF8170" s="106"/>
      <c r="RG8170" s="106"/>
      <c r="RH8170" s="106"/>
      <c r="RI8170" s="106"/>
      <c r="RJ8170" s="106"/>
      <c r="RK8170" s="106"/>
      <c r="RL8170" s="106"/>
    </row>
    <row r="8171" spans="462:480" x14ac:dyDescent="0.3">
      <c r="QT8171" s="106"/>
      <c r="QU8171" s="106"/>
      <c r="QV8171" s="106"/>
      <c r="QW8171" s="106"/>
      <c r="QX8171" s="106"/>
      <c r="QY8171" s="106"/>
      <c r="QZ8171" s="106"/>
      <c r="RA8171" s="106"/>
      <c r="RB8171" s="106"/>
      <c r="RC8171" s="106"/>
      <c r="RD8171" s="106"/>
      <c r="RE8171" s="106"/>
      <c r="RF8171" s="106"/>
      <c r="RG8171" s="106"/>
      <c r="RH8171" s="106"/>
      <c r="RI8171" s="106"/>
      <c r="RJ8171" s="106"/>
      <c r="RK8171" s="106"/>
      <c r="RL8171" s="106"/>
    </row>
    <row r="8172" spans="462:480" x14ac:dyDescent="0.3">
      <c r="QT8172" s="106"/>
      <c r="QU8172" s="106"/>
      <c r="QV8172" s="106"/>
      <c r="QW8172" s="106"/>
      <c r="QX8172" s="106"/>
      <c r="QY8172" s="106"/>
      <c r="QZ8172" s="106"/>
      <c r="RA8172" s="106"/>
      <c r="RB8172" s="106"/>
      <c r="RC8172" s="106"/>
      <c r="RD8172" s="106"/>
      <c r="RE8172" s="106"/>
      <c r="RF8172" s="106"/>
      <c r="RG8172" s="106"/>
      <c r="RH8172" s="106"/>
      <c r="RI8172" s="106"/>
      <c r="RJ8172" s="106"/>
      <c r="RK8172" s="106"/>
      <c r="RL8172" s="106"/>
    </row>
    <row r="8173" spans="462:480" x14ac:dyDescent="0.3">
      <c r="QT8173" s="106"/>
      <c r="QU8173" s="106"/>
      <c r="QV8173" s="106"/>
      <c r="QW8173" s="106"/>
      <c r="QX8173" s="106"/>
      <c r="QY8173" s="106"/>
      <c r="QZ8173" s="106"/>
      <c r="RA8173" s="106"/>
      <c r="RB8173" s="106"/>
      <c r="RC8173" s="106"/>
      <c r="RD8173" s="106"/>
      <c r="RE8173" s="106"/>
      <c r="RF8173" s="106"/>
      <c r="RG8173" s="106"/>
      <c r="RH8173" s="106"/>
      <c r="RI8173" s="106"/>
      <c r="RJ8173" s="106"/>
      <c r="RK8173" s="106"/>
      <c r="RL8173" s="106"/>
    </row>
    <row r="8174" spans="462:480" x14ac:dyDescent="0.3">
      <c r="QT8174" s="106"/>
      <c r="QU8174" s="106"/>
      <c r="QV8174" s="106"/>
      <c r="QW8174" s="106"/>
      <c r="QX8174" s="106"/>
      <c r="QY8174" s="106"/>
      <c r="QZ8174" s="106"/>
      <c r="RA8174" s="106"/>
      <c r="RB8174" s="106"/>
      <c r="RC8174" s="106"/>
      <c r="RD8174" s="106"/>
      <c r="RE8174" s="106"/>
      <c r="RF8174" s="106"/>
      <c r="RG8174" s="106"/>
      <c r="RH8174" s="106"/>
      <c r="RI8174" s="106"/>
      <c r="RJ8174" s="106"/>
      <c r="RK8174" s="106"/>
      <c r="RL8174" s="106"/>
    </row>
    <row r="8175" spans="462:480" x14ac:dyDescent="0.3">
      <c r="QT8175" s="106"/>
      <c r="QU8175" s="106"/>
      <c r="QV8175" s="106"/>
      <c r="QW8175" s="106"/>
      <c r="QX8175" s="106"/>
      <c r="QY8175" s="106"/>
      <c r="QZ8175" s="106"/>
      <c r="RA8175" s="106"/>
      <c r="RB8175" s="106"/>
      <c r="RC8175" s="106"/>
      <c r="RD8175" s="106"/>
      <c r="RE8175" s="106"/>
      <c r="RF8175" s="106"/>
      <c r="RG8175" s="106"/>
      <c r="RH8175" s="106"/>
      <c r="RI8175" s="106"/>
      <c r="RJ8175" s="106"/>
      <c r="RK8175" s="106"/>
      <c r="RL8175" s="106"/>
    </row>
    <row r="8176" spans="462:480" x14ac:dyDescent="0.3">
      <c r="QT8176" s="106"/>
      <c r="QU8176" s="106"/>
      <c r="QV8176" s="106"/>
      <c r="QW8176" s="106"/>
      <c r="QX8176" s="106"/>
      <c r="QY8176" s="106"/>
      <c r="QZ8176" s="106"/>
      <c r="RA8176" s="106"/>
      <c r="RB8176" s="106"/>
      <c r="RC8176" s="106"/>
      <c r="RD8176" s="106"/>
      <c r="RE8176" s="106"/>
      <c r="RF8176" s="106"/>
      <c r="RG8176" s="106"/>
      <c r="RH8176" s="106"/>
      <c r="RI8176" s="106"/>
      <c r="RJ8176" s="106"/>
      <c r="RK8176" s="106"/>
      <c r="RL8176" s="106"/>
    </row>
    <row r="8177" spans="462:480" x14ac:dyDescent="0.3">
      <c r="QT8177" s="106"/>
      <c r="QU8177" s="106"/>
      <c r="QV8177" s="106"/>
      <c r="QW8177" s="106"/>
      <c r="QX8177" s="106"/>
      <c r="QY8177" s="106"/>
      <c r="QZ8177" s="106"/>
      <c r="RA8177" s="106"/>
      <c r="RB8177" s="106"/>
      <c r="RC8177" s="106"/>
      <c r="RD8177" s="106"/>
      <c r="RE8177" s="106"/>
      <c r="RF8177" s="106"/>
      <c r="RG8177" s="106"/>
      <c r="RH8177" s="106"/>
      <c r="RI8177" s="106"/>
      <c r="RJ8177" s="106"/>
      <c r="RK8177" s="106"/>
      <c r="RL8177" s="106"/>
    </row>
    <row r="8178" spans="462:480" x14ac:dyDescent="0.3">
      <c r="QT8178" s="106"/>
      <c r="QU8178" s="106"/>
      <c r="QV8178" s="106"/>
      <c r="QW8178" s="106"/>
      <c r="QX8178" s="106"/>
      <c r="QY8178" s="106"/>
      <c r="QZ8178" s="106"/>
      <c r="RA8178" s="106"/>
      <c r="RB8178" s="106"/>
      <c r="RC8178" s="106"/>
      <c r="RD8178" s="106"/>
      <c r="RE8178" s="106"/>
      <c r="RF8178" s="106"/>
      <c r="RG8178" s="106"/>
      <c r="RH8178" s="106"/>
      <c r="RI8178" s="106"/>
      <c r="RJ8178" s="106"/>
      <c r="RK8178" s="106"/>
      <c r="RL8178" s="106"/>
    </row>
    <row r="8179" spans="462:480" x14ac:dyDescent="0.3">
      <c r="QT8179" s="106"/>
      <c r="QU8179" s="106"/>
      <c r="QV8179" s="106"/>
      <c r="QW8179" s="106"/>
      <c r="QX8179" s="106"/>
      <c r="QY8179" s="106"/>
      <c r="QZ8179" s="106"/>
      <c r="RA8179" s="106"/>
      <c r="RB8179" s="106"/>
      <c r="RC8179" s="106"/>
      <c r="RD8179" s="106"/>
      <c r="RE8179" s="106"/>
      <c r="RF8179" s="106"/>
      <c r="RG8179" s="106"/>
      <c r="RH8179" s="106"/>
      <c r="RI8179" s="106"/>
      <c r="RJ8179" s="106"/>
      <c r="RK8179" s="106"/>
      <c r="RL8179" s="106"/>
    </row>
    <row r="8180" spans="462:480" x14ac:dyDescent="0.3">
      <c r="QT8180" s="106"/>
      <c r="QU8180" s="106"/>
      <c r="QV8180" s="106"/>
      <c r="QW8180" s="106"/>
      <c r="QX8180" s="106"/>
      <c r="QY8180" s="106"/>
      <c r="QZ8180" s="106"/>
      <c r="RA8180" s="106"/>
      <c r="RB8180" s="106"/>
      <c r="RC8180" s="106"/>
      <c r="RD8180" s="106"/>
      <c r="RE8180" s="106"/>
      <c r="RF8180" s="106"/>
      <c r="RG8180" s="106"/>
      <c r="RH8180" s="106"/>
      <c r="RI8180" s="106"/>
      <c r="RJ8180" s="106"/>
      <c r="RK8180" s="106"/>
      <c r="RL8180" s="106"/>
    </row>
    <row r="8181" spans="462:480" x14ac:dyDescent="0.3">
      <c r="QT8181" s="106"/>
      <c r="QU8181" s="106"/>
      <c r="QV8181" s="106"/>
      <c r="QW8181" s="106"/>
      <c r="QX8181" s="106"/>
      <c r="QY8181" s="106"/>
      <c r="QZ8181" s="106"/>
      <c r="RA8181" s="106"/>
      <c r="RB8181" s="106"/>
      <c r="RC8181" s="106"/>
      <c r="RD8181" s="106"/>
      <c r="RE8181" s="106"/>
      <c r="RF8181" s="106"/>
      <c r="RG8181" s="106"/>
      <c r="RH8181" s="106"/>
      <c r="RI8181" s="106"/>
      <c r="RJ8181" s="106"/>
      <c r="RK8181" s="106"/>
      <c r="RL8181" s="106"/>
    </row>
    <row r="8182" spans="462:480" x14ac:dyDescent="0.3">
      <c r="QT8182" s="106"/>
      <c r="QU8182" s="106"/>
      <c r="QV8182" s="106"/>
      <c r="QW8182" s="106"/>
      <c r="QX8182" s="106"/>
      <c r="QY8182" s="106"/>
      <c r="QZ8182" s="106"/>
      <c r="RA8182" s="106"/>
      <c r="RB8182" s="106"/>
      <c r="RC8182" s="106"/>
      <c r="RD8182" s="106"/>
      <c r="RE8182" s="106"/>
      <c r="RF8182" s="106"/>
      <c r="RG8182" s="106"/>
      <c r="RH8182" s="106"/>
      <c r="RI8182" s="106"/>
      <c r="RJ8182" s="106"/>
      <c r="RK8182" s="106"/>
      <c r="RL8182" s="106"/>
    </row>
    <row r="8183" spans="462:480" x14ac:dyDescent="0.3">
      <c r="QT8183" s="106"/>
      <c r="QU8183" s="106"/>
      <c r="QV8183" s="106"/>
      <c r="QW8183" s="106"/>
      <c r="QX8183" s="106"/>
      <c r="QY8183" s="106"/>
      <c r="QZ8183" s="106"/>
      <c r="RA8183" s="106"/>
      <c r="RB8183" s="106"/>
      <c r="RC8183" s="106"/>
      <c r="RD8183" s="106"/>
      <c r="RE8183" s="106"/>
      <c r="RF8183" s="106"/>
      <c r="RG8183" s="106"/>
      <c r="RH8183" s="106"/>
      <c r="RI8183" s="106"/>
      <c r="RJ8183" s="106"/>
      <c r="RK8183" s="106"/>
      <c r="RL8183" s="106"/>
    </row>
    <row r="8184" spans="462:480" x14ac:dyDescent="0.3">
      <c r="QT8184" s="106"/>
      <c r="QU8184" s="106"/>
      <c r="QV8184" s="106"/>
      <c r="QW8184" s="106"/>
      <c r="QX8184" s="106"/>
      <c r="QY8184" s="106"/>
      <c r="QZ8184" s="106"/>
      <c r="RA8184" s="106"/>
      <c r="RB8184" s="106"/>
      <c r="RC8184" s="106"/>
      <c r="RD8184" s="106"/>
      <c r="RE8184" s="106"/>
      <c r="RF8184" s="106"/>
      <c r="RG8184" s="106"/>
      <c r="RH8184" s="106"/>
      <c r="RI8184" s="106"/>
      <c r="RJ8184" s="106"/>
      <c r="RK8184" s="106"/>
      <c r="RL8184" s="106"/>
    </row>
    <row r="8185" spans="462:480" x14ac:dyDescent="0.3">
      <c r="QT8185" s="106"/>
      <c r="QU8185" s="106"/>
      <c r="QV8185" s="106"/>
      <c r="QW8185" s="106"/>
      <c r="QX8185" s="106"/>
      <c r="QY8185" s="106"/>
      <c r="QZ8185" s="106"/>
      <c r="RA8185" s="106"/>
      <c r="RB8185" s="106"/>
      <c r="RC8185" s="106"/>
      <c r="RD8185" s="106"/>
      <c r="RE8185" s="106"/>
      <c r="RF8185" s="106"/>
      <c r="RG8185" s="106"/>
      <c r="RH8185" s="106"/>
      <c r="RI8185" s="106"/>
      <c r="RJ8185" s="106"/>
      <c r="RK8185" s="106"/>
      <c r="RL8185" s="106"/>
    </row>
    <row r="8186" spans="462:480" x14ac:dyDescent="0.3">
      <c r="QT8186" s="106"/>
      <c r="QU8186" s="106"/>
      <c r="QV8186" s="106"/>
      <c r="QW8186" s="106"/>
      <c r="QX8186" s="106"/>
      <c r="QY8186" s="106"/>
      <c r="QZ8186" s="106"/>
      <c r="RA8186" s="106"/>
      <c r="RB8186" s="106"/>
      <c r="RC8186" s="106"/>
      <c r="RD8186" s="106"/>
      <c r="RE8186" s="106"/>
      <c r="RF8186" s="106"/>
      <c r="RG8186" s="106"/>
      <c r="RH8186" s="106"/>
      <c r="RI8186" s="106"/>
      <c r="RJ8186" s="106"/>
      <c r="RK8186" s="106"/>
      <c r="RL8186" s="106"/>
    </row>
    <row r="8187" spans="462:480" x14ac:dyDescent="0.3">
      <c r="QT8187" s="106"/>
      <c r="QU8187" s="106"/>
      <c r="QV8187" s="106"/>
      <c r="QW8187" s="106"/>
      <c r="QX8187" s="106"/>
      <c r="QY8187" s="106"/>
      <c r="QZ8187" s="106"/>
      <c r="RA8187" s="106"/>
      <c r="RB8187" s="106"/>
      <c r="RC8187" s="106"/>
      <c r="RD8187" s="106"/>
      <c r="RE8187" s="106"/>
      <c r="RF8187" s="106"/>
      <c r="RG8187" s="106"/>
      <c r="RH8187" s="106"/>
      <c r="RI8187" s="106"/>
      <c r="RJ8187" s="106"/>
      <c r="RK8187" s="106"/>
      <c r="RL8187" s="106"/>
    </row>
    <row r="8188" spans="462:480" x14ac:dyDescent="0.3">
      <c r="QT8188" s="106"/>
      <c r="QU8188" s="106"/>
      <c r="QV8188" s="106"/>
      <c r="QW8188" s="106"/>
      <c r="QX8188" s="106"/>
      <c r="QY8188" s="106"/>
      <c r="QZ8188" s="106"/>
      <c r="RA8188" s="106"/>
      <c r="RB8188" s="106"/>
      <c r="RC8188" s="106"/>
      <c r="RD8188" s="106"/>
      <c r="RE8188" s="106"/>
      <c r="RF8188" s="106"/>
      <c r="RG8188" s="106"/>
      <c r="RH8188" s="106"/>
      <c r="RI8188" s="106"/>
      <c r="RJ8188" s="106"/>
      <c r="RK8188" s="106"/>
      <c r="RL8188" s="106"/>
    </row>
    <row r="8189" spans="462:480" x14ac:dyDescent="0.3">
      <c r="QT8189" s="106"/>
      <c r="QU8189" s="106"/>
      <c r="QV8189" s="106"/>
      <c r="QW8189" s="106"/>
      <c r="QX8189" s="106"/>
      <c r="QY8189" s="106"/>
      <c r="QZ8189" s="106"/>
      <c r="RA8189" s="106"/>
      <c r="RB8189" s="106"/>
      <c r="RC8189" s="106"/>
      <c r="RD8189" s="106"/>
      <c r="RE8189" s="106"/>
      <c r="RF8189" s="106"/>
      <c r="RG8189" s="106"/>
      <c r="RH8189" s="106"/>
      <c r="RI8189" s="106"/>
      <c r="RJ8189" s="106"/>
      <c r="RK8189" s="106"/>
      <c r="RL8189" s="106"/>
    </row>
    <row r="8190" spans="462:480" x14ac:dyDescent="0.3">
      <c r="QT8190" s="106"/>
      <c r="QU8190" s="106"/>
      <c r="QV8190" s="106"/>
      <c r="QW8190" s="106"/>
      <c r="QX8190" s="106"/>
      <c r="QY8190" s="106"/>
      <c r="QZ8190" s="106"/>
      <c r="RA8190" s="106"/>
      <c r="RB8190" s="106"/>
      <c r="RC8190" s="106"/>
      <c r="RD8190" s="106"/>
      <c r="RE8190" s="106"/>
      <c r="RF8190" s="106"/>
      <c r="RG8190" s="106"/>
      <c r="RH8190" s="106"/>
      <c r="RI8190" s="106"/>
      <c r="RJ8190" s="106"/>
      <c r="RK8190" s="106"/>
      <c r="RL8190" s="106"/>
    </row>
    <row r="8191" spans="462:480" x14ac:dyDescent="0.3">
      <c r="QT8191" s="106"/>
      <c r="QU8191" s="106"/>
      <c r="QV8191" s="106"/>
      <c r="QW8191" s="106"/>
      <c r="QX8191" s="106"/>
      <c r="QY8191" s="106"/>
      <c r="QZ8191" s="106"/>
      <c r="RA8191" s="106"/>
      <c r="RB8191" s="106"/>
      <c r="RC8191" s="106"/>
      <c r="RD8191" s="106"/>
      <c r="RE8191" s="106"/>
      <c r="RF8191" s="106"/>
      <c r="RG8191" s="106"/>
      <c r="RH8191" s="106"/>
      <c r="RI8191" s="106"/>
      <c r="RJ8191" s="106"/>
      <c r="RK8191" s="106"/>
      <c r="RL8191" s="106"/>
    </row>
    <row r="8192" spans="462:480" x14ac:dyDescent="0.3">
      <c r="QT8192" s="106"/>
      <c r="QU8192" s="106"/>
      <c r="QV8192" s="106"/>
      <c r="QW8192" s="106"/>
      <c r="QX8192" s="106"/>
      <c r="QY8192" s="106"/>
      <c r="QZ8192" s="106"/>
      <c r="RA8192" s="106"/>
      <c r="RB8192" s="106"/>
      <c r="RC8192" s="106"/>
      <c r="RD8192" s="106"/>
      <c r="RE8192" s="106"/>
      <c r="RF8192" s="106"/>
      <c r="RG8192" s="106"/>
      <c r="RH8192" s="106"/>
      <c r="RI8192" s="106"/>
      <c r="RJ8192" s="106"/>
      <c r="RK8192" s="106"/>
      <c r="RL8192" s="106"/>
    </row>
    <row r="8193" spans="462:480" x14ac:dyDescent="0.3">
      <c r="QT8193" s="106"/>
      <c r="QU8193" s="106"/>
      <c r="QV8193" s="106"/>
      <c r="QW8193" s="106"/>
      <c r="QX8193" s="106"/>
      <c r="QY8193" s="106"/>
      <c r="QZ8193" s="106"/>
      <c r="RA8193" s="106"/>
      <c r="RB8193" s="106"/>
      <c r="RC8193" s="106"/>
      <c r="RD8193" s="106"/>
      <c r="RE8193" s="106"/>
      <c r="RF8193" s="106"/>
      <c r="RG8193" s="106"/>
      <c r="RH8193" s="106"/>
      <c r="RI8193" s="106"/>
      <c r="RJ8193" s="106"/>
      <c r="RK8193" s="106"/>
      <c r="RL8193" s="106"/>
    </row>
    <row r="8194" spans="462:480" x14ac:dyDescent="0.3">
      <c r="QT8194" s="106"/>
      <c r="QU8194" s="106"/>
      <c r="QV8194" s="106"/>
      <c r="QW8194" s="106"/>
      <c r="QX8194" s="106"/>
      <c r="QY8194" s="106"/>
      <c r="QZ8194" s="106"/>
      <c r="RA8194" s="106"/>
      <c r="RB8194" s="106"/>
      <c r="RC8194" s="106"/>
      <c r="RD8194" s="106"/>
      <c r="RE8194" s="106"/>
      <c r="RF8194" s="106"/>
      <c r="RG8194" s="106"/>
      <c r="RH8194" s="106"/>
      <c r="RI8194" s="106"/>
      <c r="RJ8194" s="106"/>
      <c r="RK8194" s="106"/>
      <c r="RL8194" s="106"/>
    </row>
    <row r="8195" spans="462:480" x14ac:dyDescent="0.3">
      <c r="QT8195" s="106"/>
      <c r="QU8195" s="106"/>
      <c r="QV8195" s="106"/>
      <c r="QW8195" s="106"/>
      <c r="QX8195" s="106"/>
      <c r="QY8195" s="106"/>
      <c r="QZ8195" s="106"/>
      <c r="RA8195" s="106"/>
      <c r="RB8195" s="106"/>
      <c r="RC8195" s="106"/>
      <c r="RD8195" s="106"/>
      <c r="RE8195" s="106"/>
      <c r="RF8195" s="106"/>
      <c r="RG8195" s="106"/>
      <c r="RH8195" s="106"/>
      <c r="RI8195" s="106"/>
      <c r="RJ8195" s="106"/>
      <c r="RK8195" s="106"/>
      <c r="RL8195" s="106"/>
    </row>
    <row r="8196" spans="462:480" x14ac:dyDescent="0.3">
      <c r="QT8196" s="106"/>
      <c r="QU8196" s="106"/>
      <c r="QV8196" s="106"/>
      <c r="QW8196" s="106"/>
      <c r="QX8196" s="106"/>
      <c r="QY8196" s="106"/>
      <c r="QZ8196" s="106"/>
      <c r="RA8196" s="106"/>
      <c r="RB8196" s="106"/>
      <c r="RC8196" s="106"/>
      <c r="RD8196" s="106"/>
      <c r="RE8196" s="106"/>
      <c r="RF8196" s="106"/>
      <c r="RG8196" s="106"/>
      <c r="RH8196" s="106"/>
      <c r="RI8196" s="106"/>
      <c r="RJ8196" s="106"/>
      <c r="RK8196" s="106"/>
      <c r="RL8196" s="106"/>
    </row>
    <row r="8197" spans="462:480" x14ac:dyDescent="0.3">
      <c r="QT8197" s="106"/>
      <c r="QU8197" s="106"/>
      <c r="QV8197" s="106"/>
      <c r="QW8197" s="106"/>
      <c r="QX8197" s="106"/>
      <c r="QY8197" s="106"/>
      <c r="QZ8197" s="106"/>
      <c r="RA8197" s="106"/>
      <c r="RB8197" s="106"/>
      <c r="RC8197" s="106"/>
      <c r="RD8197" s="106"/>
      <c r="RE8197" s="106"/>
      <c r="RF8197" s="106"/>
      <c r="RG8197" s="106"/>
      <c r="RH8197" s="106"/>
      <c r="RI8197" s="106"/>
      <c r="RJ8197" s="106"/>
      <c r="RK8197" s="106"/>
      <c r="RL8197" s="106"/>
    </row>
    <row r="8198" spans="462:480" x14ac:dyDescent="0.3">
      <c r="QT8198" s="106"/>
      <c r="QU8198" s="106"/>
      <c r="QV8198" s="106"/>
      <c r="QW8198" s="106"/>
      <c r="QX8198" s="106"/>
      <c r="QY8198" s="106"/>
      <c r="QZ8198" s="106"/>
      <c r="RA8198" s="106"/>
      <c r="RB8198" s="106"/>
      <c r="RC8198" s="106"/>
      <c r="RD8198" s="106"/>
      <c r="RE8198" s="106"/>
      <c r="RF8198" s="106"/>
      <c r="RG8198" s="106"/>
      <c r="RH8198" s="106"/>
      <c r="RI8198" s="106"/>
      <c r="RJ8198" s="106"/>
      <c r="RK8198" s="106"/>
      <c r="RL8198" s="106"/>
    </row>
    <row r="8199" spans="462:480" x14ac:dyDescent="0.3">
      <c r="QT8199" s="106"/>
      <c r="QU8199" s="106"/>
      <c r="QV8199" s="106"/>
      <c r="QW8199" s="106"/>
      <c r="QX8199" s="106"/>
      <c r="QY8199" s="106"/>
      <c r="QZ8199" s="106"/>
      <c r="RA8199" s="106"/>
      <c r="RB8199" s="106"/>
      <c r="RC8199" s="106"/>
      <c r="RD8199" s="106"/>
      <c r="RE8199" s="106"/>
      <c r="RF8199" s="106"/>
      <c r="RG8199" s="106"/>
      <c r="RH8199" s="106"/>
      <c r="RI8199" s="106"/>
      <c r="RJ8199" s="106"/>
      <c r="RK8199" s="106"/>
      <c r="RL8199" s="106"/>
    </row>
    <row r="8200" spans="462:480" x14ac:dyDescent="0.3">
      <c r="QT8200" s="106"/>
      <c r="QU8200" s="106"/>
      <c r="QV8200" s="106"/>
      <c r="QW8200" s="106"/>
      <c r="QX8200" s="106"/>
      <c r="QY8200" s="106"/>
      <c r="QZ8200" s="106"/>
      <c r="RA8200" s="106"/>
      <c r="RB8200" s="106"/>
      <c r="RC8200" s="106"/>
      <c r="RD8200" s="106"/>
      <c r="RE8200" s="106"/>
      <c r="RF8200" s="106"/>
      <c r="RG8200" s="106"/>
      <c r="RH8200" s="106"/>
      <c r="RI8200" s="106"/>
      <c r="RJ8200" s="106"/>
      <c r="RK8200" s="106"/>
      <c r="RL8200" s="106"/>
    </row>
    <row r="8201" spans="462:480" x14ac:dyDescent="0.3">
      <c r="QT8201" s="106"/>
      <c r="QU8201" s="106"/>
      <c r="QV8201" s="106"/>
      <c r="QW8201" s="106"/>
      <c r="QX8201" s="106"/>
      <c r="QY8201" s="106"/>
      <c r="QZ8201" s="106"/>
      <c r="RA8201" s="106"/>
      <c r="RB8201" s="106"/>
      <c r="RC8201" s="106"/>
      <c r="RD8201" s="106"/>
      <c r="RE8201" s="106"/>
      <c r="RF8201" s="106"/>
      <c r="RG8201" s="106"/>
      <c r="RH8201" s="106"/>
      <c r="RI8201" s="106"/>
      <c r="RJ8201" s="106"/>
      <c r="RK8201" s="106"/>
      <c r="RL8201" s="106"/>
    </row>
    <row r="8202" spans="462:480" x14ac:dyDescent="0.3">
      <c r="QT8202" s="106"/>
      <c r="QU8202" s="106"/>
      <c r="QV8202" s="106"/>
      <c r="QW8202" s="106"/>
      <c r="QX8202" s="106"/>
      <c r="QY8202" s="106"/>
      <c r="QZ8202" s="106"/>
      <c r="RA8202" s="106"/>
      <c r="RB8202" s="106"/>
      <c r="RC8202" s="106"/>
      <c r="RD8202" s="106"/>
      <c r="RE8202" s="106"/>
      <c r="RF8202" s="106"/>
      <c r="RG8202" s="106"/>
      <c r="RH8202" s="106"/>
      <c r="RI8202" s="106"/>
      <c r="RJ8202" s="106"/>
      <c r="RK8202" s="106"/>
      <c r="RL8202" s="106"/>
    </row>
    <row r="8203" spans="462:480" x14ac:dyDescent="0.3">
      <c r="QT8203" s="106"/>
      <c r="QU8203" s="106"/>
      <c r="QV8203" s="106"/>
      <c r="QW8203" s="106"/>
      <c r="QX8203" s="106"/>
      <c r="QY8203" s="106"/>
      <c r="QZ8203" s="106"/>
      <c r="RA8203" s="106"/>
      <c r="RB8203" s="106"/>
      <c r="RC8203" s="106"/>
      <c r="RD8203" s="106"/>
      <c r="RE8203" s="106"/>
      <c r="RF8203" s="106"/>
      <c r="RG8203" s="106"/>
      <c r="RH8203" s="106"/>
      <c r="RI8203" s="106"/>
      <c r="RJ8203" s="106"/>
      <c r="RK8203" s="106"/>
      <c r="RL8203" s="106"/>
    </row>
    <row r="8204" spans="462:480" x14ac:dyDescent="0.3">
      <c r="QT8204" s="106"/>
      <c r="QU8204" s="106"/>
      <c r="QV8204" s="106"/>
      <c r="QW8204" s="106"/>
      <c r="QX8204" s="106"/>
      <c r="QY8204" s="106"/>
      <c r="QZ8204" s="106"/>
      <c r="RA8204" s="106"/>
      <c r="RB8204" s="106"/>
      <c r="RC8204" s="106"/>
      <c r="RD8204" s="106"/>
      <c r="RE8204" s="106"/>
      <c r="RF8204" s="106"/>
      <c r="RG8204" s="106"/>
      <c r="RH8204" s="106"/>
      <c r="RI8204" s="106"/>
      <c r="RJ8204" s="106"/>
      <c r="RK8204" s="106"/>
      <c r="RL8204" s="106"/>
    </row>
    <row r="8205" spans="462:480" x14ac:dyDescent="0.3">
      <c r="QT8205" s="106"/>
      <c r="QU8205" s="106"/>
      <c r="QV8205" s="106"/>
      <c r="QW8205" s="106"/>
      <c r="QX8205" s="106"/>
      <c r="QY8205" s="106"/>
      <c r="QZ8205" s="106"/>
      <c r="RA8205" s="106"/>
      <c r="RB8205" s="106"/>
      <c r="RC8205" s="106"/>
      <c r="RD8205" s="106"/>
      <c r="RE8205" s="106"/>
      <c r="RF8205" s="106"/>
      <c r="RG8205" s="106"/>
      <c r="RH8205" s="106"/>
      <c r="RI8205" s="106"/>
      <c r="RJ8205" s="106"/>
      <c r="RK8205" s="106"/>
      <c r="RL8205" s="106"/>
    </row>
    <row r="8206" spans="462:480" x14ac:dyDescent="0.3">
      <c r="QT8206" s="106"/>
      <c r="QU8206" s="106"/>
      <c r="QV8206" s="106"/>
      <c r="QW8206" s="106"/>
      <c r="QX8206" s="106"/>
      <c r="QY8206" s="106"/>
      <c r="QZ8206" s="106"/>
      <c r="RA8206" s="106"/>
      <c r="RB8206" s="106"/>
      <c r="RC8206" s="106"/>
      <c r="RD8206" s="106"/>
      <c r="RE8206" s="106"/>
      <c r="RF8206" s="106"/>
      <c r="RG8206" s="106"/>
      <c r="RH8206" s="106"/>
      <c r="RI8206" s="106"/>
      <c r="RJ8206" s="106"/>
      <c r="RK8206" s="106"/>
      <c r="RL8206" s="106"/>
    </row>
    <row r="8207" spans="462:480" x14ac:dyDescent="0.3">
      <c r="QT8207" s="106"/>
      <c r="QU8207" s="106"/>
      <c r="QV8207" s="106"/>
      <c r="QW8207" s="106"/>
      <c r="QX8207" s="106"/>
      <c r="QY8207" s="106"/>
      <c r="QZ8207" s="106"/>
      <c r="RA8207" s="106"/>
      <c r="RB8207" s="106"/>
      <c r="RC8207" s="106"/>
      <c r="RD8207" s="106"/>
      <c r="RE8207" s="106"/>
      <c r="RF8207" s="106"/>
      <c r="RG8207" s="106"/>
      <c r="RH8207" s="106"/>
      <c r="RI8207" s="106"/>
      <c r="RJ8207" s="106"/>
      <c r="RK8207" s="106"/>
      <c r="RL8207" s="106"/>
    </row>
    <row r="8208" spans="462:480" x14ac:dyDescent="0.3">
      <c r="QT8208" s="106"/>
      <c r="QU8208" s="106"/>
      <c r="QV8208" s="106"/>
      <c r="QW8208" s="106"/>
      <c r="QX8208" s="106"/>
      <c r="QY8208" s="106"/>
      <c r="QZ8208" s="106"/>
      <c r="RA8208" s="106"/>
      <c r="RB8208" s="106"/>
      <c r="RC8208" s="106"/>
      <c r="RD8208" s="106"/>
      <c r="RE8208" s="106"/>
      <c r="RF8208" s="106"/>
      <c r="RG8208" s="106"/>
      <c r="RH8208" s="106"/>
      <c r="RI8208" s="106"/>
      <c r="RJ8208" s="106"/>
      <c r="RK8208" s="106"/>
      <c r="RL8208" s="106"/>
    </row>
    <row r="8209" spans="462:480" x14ac:dyDescent="0.3">
      <c r="QT8209" s="106"/>
      <c r="QU8209" s="106"/>
      <c r="QV8209" s="106"/>
      <c r="QW8209" s="106"/>
      <c r="QX8209" s="106"/>
      <c r="QY8209" s="106"/>
      <c r="QZ8209" s="106"/>
      <c r="RA8209" s="106"/>
      <c r="RB8209" s="106"/>
      <c r="RC8209" s="106"/>
      <c r="RD8209" s="106"/>
      <c r="RE8209" s="106"/>
      <c r="RF8209" s="106"/>
      <c r="RG8209" s="106"/>
      <c r="RH8209" s="106"/>
      <c r="RI8209" s="106"/>
      <c r="RJ8209" s="106"/>
      <c r="RK8209" s="106"/>
      <c r="RL8209" s="106"/>
    </row>
    <row r="8210" spans="462:480" x14ac:dyDescent="0.3">
      <c r="QT8210" s="106"/>
      <c r="QU8210" s="106"/>
      <c r="QV8210" s="106"/>
      <c r="QW8210" s="106"/>
      <c r="QX8210" s="106"/>
      <c r="QY8210" s="106"/>
      <c r="QZ8210" s="106"/>
      <c r="RA8210" s="106"/>
      <c r="RB8210" s="106"/>
      <c r="RC8210" s="106"/>
      <c r="RD8210" s="106"/>
      <c r="RE8210" s="106"/>
      <c r="RF8210" s="106"/>
      <c r="RG8210" s="106"/>
      <c r="RH8210" s="106"/>
      <c r="RI8210" s="106"/>
      <c r="RJ8210" s="106"/>
      <c r="RK8210" s="106"/>
      <c r="RL8210" s="106"/>
    </row>
    <row r="8211" spans="462:480" x14ac:dyDescent="0.3">
      <c r="QT8211" s="106"/>
      <c r="QU8211" s="106"/>
      <c r="QV8211" s="106"/>
      <c r="QW8211" s="106"/>
      <c r="QX8211" s="106"/>
      <c r="QY8211" s="106"/>
      <c r="QZ8211" s="106"/>
      <c r="RA8211" s="106"/>
      <c r="RB8211" s="106"/>
      <c r="RC8211" s="106"/>
      <c r="RD8211" s="106"/>
      <c r="RE8211" s="106"/>
      <c r="RF8211" s="106"/>
      <c r="RG8211" s="106"/>
      <c r="RH8211" s="106"/>
      <c r="RI8211" s="106"/>
      <c r="RJ8211" s="106"/>
      <c r="RK8211" s="106"/>
      <c r="RL8211" s="106"/>
    </row>
    <row r="8212" spans="462:480" x14ac:dyDescent="0.3">
      <c r="QT8212" s="106"/>
      <c r="QU8212" s="106"/>
      <c r="QV8212" s="106"/>
      <c r="QW8212" s="106"/>
      <c r="QX8212" s="106"/>
      <c r="QY8212" s="106"/>
      <c r="QZ8212" s="106"/>
      <c r="RA8212" s="106"/>
      <c r="RB8212" s="106"/>
      <c r="RC8212" s="106"/>
      <c r="RD8212" s="106"/>
      <c r="RE8212" s="106"/>
      <c r="RF8212" s="106"/>
      <c r="RG8212" s="106"/>
      <c r="RH8212" s="106"/>
      <c r="RI8212" s="106"/>
      <c r="RJ8212" s="106"/>
      <c r="RK8212" s="106"/>
      <c r="RL8212" s="106"/>
    </row>
    <row r="8213" spans="462:480" x14ac:dyDescent="0.3">
      <c r="QT8213" s="106"/>
      <c r="QU8213" s="106"/>
      <c r="QV8213" s="106"/>
      <c r="QW8213" s="106"/>
      <c r="QX8213" s="106"/>
      <c r="QY8213" s="106"/>
      <c r="QZ8213" s="106"/>
      <c r="RA8213" s="106"/>
      <c r="RB8213" s="106"/>
      <c r="RC8213" s="106"/>
      <c r="RD8213" s="106"/>
      <c r="RE8213" s="106"/>
      <c r="RF8213" s="106"/>
      <c r="RG8213" s="106"/>
      <c r="RH8213" s="106"/>
      <c r="RI8213" s="106"/>
      <c r="RJ8213" s="106"/>
      <c r="RK8213" s="106"/>
      <c r="RL8213" s="106"/>
    </row>
    <row r="8214" spans="462:480" x14ac:dyDescent="0.3">
      <c r="QT8214" s="106"/>
      <c r="QU8214" s="106"/>
      <c r="QV8214" s="106"/>
      <c r="QW8214" s="106"/>
      <c r="QX8214" s="106"/>
      <c r="QY8214" s="106"/>
      <c r="QZ8214" s="106"/>
      <c r="RA8214" s="106"/>
      <c r="RB8214" s="106"/>
      <c r="RC8214" s="106"/>
      <c r="RD8214" s="106"/>
      <c r="RE8214" s="106"/>
      <c r="RF8214" s="106"/>
      <c r="RG8214" s="106"/>
      <c r="RH8214" s="106"/>
      <c r="RI8214" s="106"/>
      <c r="RJ8214" s="106"/>
      <c r="RK8214" s="106"/>
      <c r="RL8214" s="106"/>
    </row>
    <row r="8215" spans="462:480" x14ac:dyDescent="0.3">
      <c r="QT8215" s="106"/>
      <c r="QU8215" s="106"/>
      <c r="QV8215" s="106"/>
      <c r="QW8215" s="106"/>
      <c r="QX8215" s="106"/>
      <c r="QY8215" s="106"/>
      <c r="QZ8215" s="106"/>
      <c r="RA8215" s="106"/>
      <c r="RB8215" s="106"/>
      <c r="RC8215" s="106"/>
      <c r="RD8215" s="106"/>
      <c r="RE8215" s="106"/>
      <c r="RF8215" s="106"/>
      <c r="RG8215" s="106"/>
      <c r="RH8215" s="106"/>
      <c r="RI8215" s="106"/>
      <c r="RJ8215" s="106"/>
      <c r="RK8215" s="106"/>
      <c r="RL8215" s="106"/>
    </row>
    <row r="8216" spans="462:480" x14ac:dyDescent="0.3">
      <c r="QT8216" s="106"/>
      <c r="QU8216" s="106"/>
      <c r="QV8216" s="106"/>
      <c r="QW8216" s="106"/>
      <c r="QX8216" s="106"/>
      <c r="QY8216" s="106"/>
      <c r="QZ8216" s="106"/>
      <c r="RA8216" s="106"/>
      <c r="RB8216" s="106"/>
      <c r="RC8216" s="106"/>
      <c r="RD8216" s="106"/>
      <c r="RE8216" s="106"/>
      <c r="RF8216" s="106"/>
      <c r="RG8216" s="106"/>
      <c r="RH8216" s="106"/>
      <c r="RI8216" s="106"/>
      <c r="RJ8216" s="106"/>
      <c r="RK8216" s="106"/>
      <c r="RL8216" s="106"/>
    </row>
    <row r="8217" spans="462:480" x14ac:dyDescent="0.3">
      <c r="QT8217" s="106"/>
      <c r="QU8217" s="106"/>
      <c r="QV8217" s="106"/>
      <c r="QW8217" s="106"/>
      <c r="QX8217" s="106"/>
      <c r="QY8217" s="106"/>
      <c r="QZ8217" s="106"/>
      <c r="RA8217" s="106"/>
      <c r="RB8217" s="106"/>
      <c r="RC8217" s="106"/>
      <c r="RD8217" s="106"/>
      <c r="RE8217" s="106"/>
      <c r="RF8217" s="106"/>
      <c r="RG8217" s="106"/>
      <c r="RH8217" s="106"/>
      <c r="RI8217" s="106"/>
      <c r="RJ8217" s="106"/>
      <c r="RK8217" s="106"/>
      <c r="RL8217" s="106"/>
    </row>
    <row r="8218" spans="462:480" x14ac:dyDescent="0.3">
      <c r="QT8218" s="106"/>
      <c r="QU8218" s="106"/>
      <c r="QV8218" s="106"/>
      <c r="QW8218" s="106"/>
      <c r="QX8218" s="106"/>
      <c r="QY8218" s="106"/>
      <c r="QZ8218" s="106"/>
      <c r="RA8218" s="106"/>
      <c r="RB8218" s="106"/>
      <c r="RC8218" s="106"/>
      <c r="RD8218" s="106"/>
      <c r="RE8218" s="106"/>
      <c r="RF8218" s="106"/>
      <c r="RG8218" s="106"/>
      <c r="RH8218" s="106"/>
      <c r="RI8218" s="106"/>
      <c r="RJ8218" s="106"/>
      <c r="RK8218" s="106"/>
      <c r="RL8218" s="106"/>
    </row>
    <row r="8219" spans="462:480" x14ac:dyDescent="0.3">
      <c r="QT8219" s="106"/>
      <c r="QU8219" s="106"/>
      <c r="QV8219" s="106"/>
      <c r="QW8219" s="106"/>
      <c r="QX8219" s="106"/>
      <c r="QY8219" s="106"/>
      <c r="QZ8219" s="106"/>
      <c r="RA8219" s="106"/>
      <c r="RB8219" s="106"/>
      <c r="RC8219" s="106"/>
      <c r="RD8219" s="106"/>
      <c r="RE8219" s="106"/>
      <c r="RF8219" s="106"/>
      <c r="RG8219" s="106"/>
      <c r="RH8219" s="106"/>
      <c r="RI8219" s="106"/>
      <c r="RJ8219" s="106"/>
      <c r="RK8219" s="106"/>
      <c r="RL8219" s="106"/>
    </row>
    <row r="8220" spans="462:480" x14ac:dyDescent="0.3">
      <c r="QT8220" s="106"/>
      <c r="QU8220" s="106"/>
      <c r="QV8220" s="106"/>
      <c r="QW8220" s="106"/>
      <c r="QX8220" s="106"/>
      <c r="QY8220" s="106"/>
      <c r="QZ8220" s="106"/>
      <c r="RA8220" s="106"/>
      <c r="RB8220" s="106"/>
      <c r="RC8220" s="106"/>
      <c r="RD8220" s="106"/>
      <c r="RE8220" s="106"/>
      <c r="RF8220" s="106"/>
      <c r="RG8220" s="106"/>
      <c r="RH8220" s="106"/>
      <c r="RI8220" s="106"/>
      <c r="RJ8220" s="106"/>
      <c r="RK8220" s="106"/>
      <c r="RL8220" s="106"/>
    </row>
    <row r="8221" spans="462:480" x14ac:dyDescent="0.3">
      <c r="QT8221" s="106"/>
      <c r="QU8221" s="106"/>
      <c r="QV8221" s="106"/>
      <c r="QW8221" s="106"/>
      <c r="QX8221" s="106"/>
      <c r="QY8221" s="106"/>
      <c r="QZ8221" s="106"/>
      <c r="RA8221" s="106"/>
      <c r="RB8221" s="106"/>
      <c r="RC8221" s="106"/>
      <c r="RD8221" s="106"/>
      <c r="RE8221" s="106"/>
      <c r="RF8221" s="106"/>
      <c r="RG8221" s="106"/>
      <c r="RH8221" s="106"/>
      <c r="RI8221" s="106"/>
      <c r="RJ8221" s="106"/>
      <c r="RK8221" s="106"/>
      <c r="RL8221" s="106"/>
    </row>
    <row r="8222" spans="462:480" x14ac:dyDescent="0.3">
      <c r="QT8222" s="106"/>
      <c r="QU8222" s="106"/>
      <c r="QV8222" s="106"/>
      <c r="QW8222" s="106"/>
      <c r="QX8222" s="106"/>
      <c r="QY8222" s="106"/>
      <c r="QZ8222" s="106"/>
      <c r="RA8222" s="106"/>
      <c r="RB8222" s="106"/>
      <c r="RC8222" s="106"/>
      <c r="RD8222" s="106"/>
      <c r="RE8222" s="106"/>
      <c r="RF8222" s="106"/>
      <c r="RG8222" s="106"/>
      <c r="RH8222" s="106"/>
      <c r="RI8222" s="106"/>
      <c r="RJ8222" s="106"/>
      <c r="RK8222" s="106"/>
      <c r="RL8222" s="106"/>
    </row>
    <row r="8223" spans="462:480" x14ac:dyDescent="0.3">
      <c r="QT8223" s="106"/>
      <c r="QU8223" s="106"/>
      <c r="QV8223" s="106"/>
      <c r="QW8223" s="106"/>
      <c r="QX8223" s="106"/>
      <c r="QY8223" s="106"/>
      <c r="QZ8223" s="106"/>
      <c r="RA8223" s="106"/>
      <c r="RB8223" s="106"/>
      <c r="RC8223" s="106"/>
      <c r="RD8223" s="106"/>
      <c r="RE8223" s="106"/>
      <c r="RF8223" s="106"/>
      <c r="RG8223" s="106"/>
      <c r="RH8223" s="106"/>
      <c r="RI8223" s="106"/>
      <c r="RJ8223" s="106"/>
      <c r="RK8223" s="106"/>
      <c r="RL8223" s="106"/>
    </row>
    <row r="8224" spans="462:480" x14ac:dyDescent="0.3">
      <c r="QT8224" s="106"/>
      <c r="QU8224" s="106"/>
      <c r="QV8224" s="106"/>
      <c r="QW8224" s="106"/>
      <c r="QX8224" s="106"/>
      <c r="QY8224" s="106"/>
      <c r="QZ8224" s="106"/>
      <c r="RA8224" s="106"/>
      <c r="RB8224" s="106"/>
      <c r="RC8224" s="106"/>
      <c r="RD8224" s="106"/>
      <c r="RE8224" s="106"/>
      <c r="RF8224" s="106"/>
      <c r="RG8224" s="106"/>
      <c r="RH8224" s="106"/>
      <c r="RI8224" s="106"/>
      <c r="RJ8224" s="106"/>
      <c r="RK8224" s="106"/>
      <c r="RL8224" s="106"/>
    </row>
    <row r="8225" spans="462:480" x14ac:dyDescent="0.3">
      <c r="QT8225" s="106"/>
      <c r="QU8225" s="106"/>
      <c r="QV8225" s="106"/>
      <c r="QW8225" s="106"/>
      <c r="QX8225" s="106"/>
      <c r="QY8225" s="106"/>
      <c r="QZ8225" s="106"/>
      <c r="RA8225" s="106"/>
      <c r="RB8225" s="106"/>
      <c r="RC8225" s="106"/>
      <c r="RD8225" s="106"/>
      <c r="RE8225" s="106"/>
      <c r="RF8225" s="106"/>
      <c r="RG8225" s="106"/>
      <c r="RH8225" s="106"/>
      <c r="RI8225" s="106"/>
      <c r="RJ8225" s="106"/>
      <c r="RK8225" s="106"/>
      <c r="RL8225" s="106"/>
    </row>
    <row r="8226" spans="462:480" x14ac:dyDescent="0.3">
      <c r="QT8226" s="106"/>
      <c r="QU8226" s="106"/>
      <c r="QV8226" s="106"/>
      <c r="QW8226" s="106"/>
      <c r="QX8226" s="106"/>
      <c r="QY8226" s="106"/>
      <c r="QZ8226" s="106"/>
      <c r="RA8226" s="106"/>
      <c r="RB8226" s="106"/>
      <c r="RC8226" s="106"/>
      <c r="RD8226" s="106"/>
      <c r="RE8226" s="106"/>
      <c r="RF8226" s="106"/>
      <c r="RG8226" s="106"/>
      <c r="RH8226" s="106"/>
      <c r="RI8226" s="106"/>
      <c r="RJ8226" s="106"/>
      <c r="RK8226" s="106"/>
      <c r="RL8226" s="106"/>
    </row>
    <row r="8227" spans="462:480" x14ac:dyDescent="0.3">
      <c r="QT8227" s="106"/>
      <c r="QU8227" s="106"/>
      <c r="QV8227" s="106"/>
      <c r="QW8227" s="106"/>
      <c r="QX8227" s="106"/>
      <c r="QY8227" s="106"/>
      <c r="QZ8227" s="106"/>
      <c r="RA8227" s="106"/>
      <c r="RB8227" s="106"/>
      <c r="RC8227" s="106"/>
      <c r="RD8227" s="106"/>
      <c r="RE8227" s="106"/>
      <c r="RF8227" s="106"/>
      <c r="RG8227" s="106"/>
      <c r="RH8227" s="106"/>
      <c r="RI8227" s="106"/>
      <c r="RJ8227" s="106"/>
      <c r="RK8227" s="106"/>
      <c r="RL8227" s="106"/>
    </row>
    <row r="8228" spans="462:480" x14ac:dyDescent="0.3">
      <c r="QT8228" s="106"/>
      <c r="QU8228" s="106"/>
      <c r="QV8228" s="106"/>
      <c r="QW8228" s="106"/>
      <c r="QX8228" s="106"/>
      <c r="QY8228" s="106"/>
      <c r="QZ8228" s="106"/>
      <c r="RA8228" s="106"/>
      <c r="RB8228" s="106"/>
      <c r="RC8228" s="106"/>
      <c r="RD8228" s="106"/>
      <c r="RE8228" s="106"/>
      <c r="RF8228" s="106"/>
      <c r="RG8228" s="106"/>
      <c r="RH8228" s="106"/>
      <c r="RI8228" s="106"/>
      <c r="RJ8228" s="106"/>
      <c r="RK8228" s="106"/>
      <c r="RL8228" s="106"/>
    </row>
    <row r="8229" spans="462:480" x14ac:dyDescent="0.3">
      <c r="QT8229" s="106"/>
      <c r="QU8229" s="106"/>
      <c r="QV8229" s="106"/>
      <c r="QW8229" s="106"/>
      <c r="QX8229" s="106"/>
      <c r="QY8229" s="106"/>
      <c r="QZ8229" s="106"/>
      <c r="RA8229" s="106"/>
      <c r="RB8229" s="106"/>
      <c r="RC8229" s="106"/>
      <c r="RD8229" s="106"/>
      <c r="RE8229" s="106"/>
      <c r="RF8229" s="106"/>
      <c r="RG8229" s="106"/>
      <c r="RH8229" s="106"/>
      <c r="RI8229" s="106"/>
      <c r="RJ8229" s="106"/>
      <c r="RK8229" s="106"/>
      <c r="RL8229" s="106"/>
    </row>
    <row r="8230" spans="462:480" x14ac:dyDescent="0.3">
      <c r="QT8230" s="106"/>
      <c r="QU8230" s="106"/>
      <c r="QV8230" s="106"/>
      <c r="QW8230" s="106"/>
      <c r="QX8230" s="106"/>
      <c r="QY8230" s="106"/>
      <c r="QZ8230" s="106"/>
      <c r="RA8230" s="106"/>
      <c r="RB8230" s="106"/>
      <c r="RC8230" s="106"/>
      <c r="RD8230" s="106"/>
      <c r="RE8230" s="106"/>
      <c r="RF8230" s="106"/>
      <c r="RG8230" s="106"/>
      <c r="RH8230" s="106"/>
      <c r="RI8230" s="106"/>
      <c r="RJ8230" s="106"/>
      <c r="RK8230" s="106"/>
      <c r="RL8230" s="106"/>
    </row>
    <row r="8231" spans="462:480" x14ac:dyDescent="0.3">
      <c r="QT8231" s="106"/>
      <c r="QU8231" s="106"/>
      <c r="QV8231" s="106"/>
      <c r="QW8231" s="106"/>
      <c r="QX8231" s="106"/>
      <c r="QY8231" s="106"/>
      <c r="QZ8231" s="106"/>
      <c r="RA8231" s="106"/>
      <c r="RB8231" s="106"/>
      <c r="RC8231" s="106"/>
      <c r="RD8231" s="106"/>
      <c r="RE8231" s="106"/>
      <c r="RF8231" s="106"/>
      <c r="RG8231" s="106"/>
      <c r="RH8231" s="106"/>
      <c r="RI8231" s="106"/>
      <c r="RJ8231" s="106"/>
      <c r="RK8231" s="106"/>
      <c r="RL8231" s="106"/>
    </row>
    <row r="8232" spans="462:480" x14ac:dyDescent="0.3">
      <c r="QT8232" s="106"/>
      <c r="QU8232" s="106"/>
      <c r="QV8232" s="106"/>
      <c r="QW8232" s="106"/>
      <c r="QX8232" s="106"/>
      <c r="QY8232" s="106"/>
      <c r="QZ8232" s="106"/>
      <c r="RA8232" s="106"/>
      <c r="RB8232" s="106"/>
      <c r="RC8232" s="106"/>
      <c r="RD8232" s="106"/>
      <c r="RE8232" s="106"/>
      <c r="RF8232" s="106"/>
      <c r="RG8232" s="106"/>
      <c r="RH8232" s="106"/>
      <c r="RI8232" s="106"/>
      <c r="RJ8232" s="106"/>
      <c r="RK8232" s="106"/>
      <c r="RL8232" s="106"/>
    </row>
    <row r="8233" spans="462:480" x14ac:dyDescent="0.3">
      <c r="QT8233" s="106"/>
      <c r="QU8233" s="106"/>
      <c r="QV8233" s="106"/>
      <c r="QW8233" s="106"/>
      <c r="QX8233" s="106"/>
      <c r="QY8233" s="106"/>
      <c r="QZ8233" s="106"/>
      <c r="RA8233" s="106"/>
      <c r="RB8233" s="106"/>
      <c r="RC8233" s="106"/>
      <c r="RD8233" s="106"/>
      <c r="RE8233" s="106"/>
      <c r="RF8233" s="106"/>
      <c r="RG8233" s="106"/>
      <c r="RH8233" s="106"/>
      <c r="RI8233" s="106"/>
      <c r="RJ8233" s="106"/>
      <c r="RK8233" s="106"/>
      <c r="RL8233" s="106"/>
    </row>
    <row r="8234" spans="462:480" x14ac:dyDescent="0.3">
      <c r="QT8234" s="106"/>
      <c r="QU8234" s="106"/>
      <c r="QV8234" s="106"/>
      <c r="QW8234" s="106"/>
      <c r="QX8234" s="106"/>
      <c r="QY8234" s="106"/>
      <c r="QZ8234" s="106"/>
      <c r="RA8234" s="106"/>
      <c r="RB8234" s="106"/>
      <c r="RC8234" s="106"/>
      <c r="RD8234" s="106"/>
      <c r="RE8234" s="106"/>
      <c r="RF8234" s="106"/>
      <c r="RG8234" s="106"/>
      <c r="RH8234" s="106"/>
      <c r="RI8234" s="106"/>
      <c r="RJ8234" s="106"/>
      <c r="RK8234" s="106"/>
      <c r="RL8234" s="106"/>
    </row>
    <row r="8235" spans="462:480" x14ac:dyDescent="0.3">
      <c r="QT8235" s="106"/>
      <c r="QU8235" s="106"/>
      <c r="QV8235" s="106"/>
      <c r="QW8235" s="106"/>
      <c r="QX8235" s="106"/>
      <c r="QY8235" s="106"/>
      <c r="QZ8235" s="106"/>
      <c r="RA8235" s="106"/>
      <c r="RB8235" s="106"/>
      <c r="RC8235" s="106"/>
      <c r="RD8235" s="106"/>
      <c r="RE8235" s="106"/>
      <c r="RF8235" s="106"/>
      <c r="RG8235" s="106"/>
      <c r="RH8235" s="106"/>
      <c r="RI8235" s="106"/>
      <c r="RJ8235" s="106"/>
      <c r="RK8235" s="106"/>
      <c r="RL8235" s="106"/>
    </row>
    <row r="8236" spans="462:480" x14ac:dyDescent="0.3">
      <c r="QT8236" s="106"/>
      <c r="QU8236" s="106"/>
      <c r="QV8236" s="106"/>
      <c r="QW8236" s="106"/>
      <c r="QX8236" s="106"/>
      <c r="QY8236" s="106"/>
      <c r="QZ8236" s="106"/>
      <c r="RA8236" s="106"/>
      <c r="RB8236" s="106"/>
      <c r="RC8236" s="106"/>
      <c r="RD8236" s="106"/>
      <c r="RE8236" s="106"/>
      <c r="RF8236" s="106"/>
      <c r="RG8236" s="106"/>
      <c r="RH8236" s="106"/>
      <c r="RI8236" s="106"/>
      <c r="RJ8236" s="106"/>
      <c r="RK8236" s="106"/>
      <c r="RL8236" s="106"/>
    </row>
    <row r="8237" spans="462:480" x14ac:dyDescent="0.3">
      <c r="QT8237" s="106"/>
      <c r="QU8237" s="106"/>
      <c r="QV8237" s="106"/>
      <c r="QW8237" s="106"/>
      <c r="QX8237" s="106"/>
      <c r="QY8237" s="106"/>
      <c r="QZ8237" s="106"/>
      <c r="RA8237" s="106"/>
      <c r="RB8237" s="106"/>
      <c r="RC8237" s="106"/>
      <c r="RD8237" s="106"/>
      <c r="RE8237" s="106"/>
      <c r="RF8237" s="106"/>
      <c r="RG8237" s="106"/>
      <c r="RH8237" s="106"/>
      <c r="RI8237" s="106"/>
      <c r="RJ8237" s="106"/>
      <c r="RK8237" s="106"/>
      <c r="RL8237" s="106"/>
    </row>
    <row r="8238" spans="462:480" x14ac:dyDescent="0.3">
      <c r="QT8238" s="106"/>
      <c r="QU8238" s="106"/>
      <c r="QV8238" s="106"/>
      <c r="QW8238" s="106"/>
      <c r="QX8238" s="106"/>
      <c r="QY8238" s="106"/>
      <c r="QZ8238" s="106"/>
      <c r="RA8238" s="106"/>
      <c r="RB8238" s="106"/>
      <c r="RC8238" s="106"/>
      <c r="RD8238" s="106"/>
      <c r="RE8238" s="106"/>
      <c r="RF8238" s="106"/>
      <c r="RG8238" s="106"/>
      <c r="RH8238" s="106"/>
      <c r="RI8238" s="106"/>
      <c r="RJ8238" s="106"/>
      <c r="RK8238" s="106"/>
      <c r="RL8238" s="106"/>
    </row>
    <row r="8239" spans="462:480" x14ac:dyDescent="0.3">
      <c r="QT8239" s="106"/>
      <c r="QU8239" s="106"/>
      <c r="QV8239" s="106"/>
      <c r="QW8239" s="106"/>
      <c r="QX8239" s="106"/>
      <c r="QY8239" s="106"/>
      <c r="QZ8239" s="106"/>
      <c r="RA8239" s="106"/>
      <c r="RB8239" s="106"/>
      <c r="RC8239" s="106"/>
      <c r="RD8239" s="106"/>
      <c r="RE8239" s="106"/>
      <c r="RF8239" s="106"/>
      <c r="RG8239" s="106"/>
      <c r="RH8239" s="106"/>
      <c r="RI8239" s="106"/>
      <c r="RJ8239" s="106"/>
      <c r="RK8239" s="106"/>
      <c r="RL8239" s="106"/>
    </row>
    <row r="8240" spans="462:480" x14ac:dyDescent="0.3">
      <c r="QT8240" s="106"/>
      <c r="QU8240" s="106"/>
      <c r="QV8240" s="106"/>
      <c r="QW8240" s="106"/>
      <c r="QX8240" s="106"/>
      <c r="QY8240" s="106"/>
      <c r="QZ8240" s="106"/>
      <c r="RA8240" s="106"/>
      <c r="RB8240" s="106"/>
      <c r="RC8240" s="106"/>
      <c r="RD8240" s="106"/>
      <c r="RE8240" s="106"/>
      <c r="RF8240" s="106"/>
      <c r="RG8240" s="106"/>
      <c r="RH8240" s="106"/>
      <c r="RI8240" s="106"/>
      <c r="RJ8240" s="106"/>
      <c r="RK8240" s="106"/>
      <c r="RL8240" s="106"/>
    </row>
    <row r="8241" spans="462:480" x14ac:dyDescent="0.3">
      <c r="QT8241" s="106"/>
      <c r="QU8241" s="106"/>
      <c r="QV8241" s="106"/>
      <c r="QW8241" s="106"/>
      <c r="QX8241" s="106"/>
      <c r="QY8241" s="106"/>
      <c r="QZ8241" s="106"/>
      <c r="RA8241" s="106"/>
      <c r="RB8241" s="106"/>
      <c r="RC8241" s="106"/>
      <c r="RD8241" s="106"/>
      <c r="RE8241" s="106"/>
      <c r="RF8241" s="106"/>
      <c r="RG8241" s="106"/>
      <c r="RH8241" s="106"/>
      <c r="RI8241" s="106"/>
      <c r="RJ8241" s="106"/>
      <c r="RK8241" s="106"/>
      <c r="RL8241" s="106"/>
    </row>
    <row r="8242" spans="462:480" x14ac:dyDescent="0.3">
      <c r="QT8242" s="106"/>
      <c r="QU8242" s="106"/>
      <c r="QV8242" s="106"/>
      <c r="QW8242" s="106"/>
      <c r="QX8242" s="106"/>
      <c r="QY8242" s="106"/>
      <c r="QZ8242" s="106"/>
      <c r="RA8242" s="106"/>
      <c r="RB8242" s="106"/>
      <c r="RC8242" s="106"/>
      <c r="RD8242" s="106"/>
      <c r="RE8242" s="106"/>
      <c r="RF8242" s="106"/>
      <c r="RG8242" s="106"/>
      <c r="RH8242" s="106"/>
      <c r="RI8242" s="106"/>
      <c r="RJ8242" s="106"/>
      <c r="RK8242" s="106"/>
      <c r="RL8242" s="106"/>
    </row>
    <row r="8243" spans="462:480" x14ac:dyDescent="0.3">
      <c r="QT8243" s="106"/>
      <c r="QU8243" s="106"/>
      <c r="QV8243" s="106"/>
      <c r="QW8243" s="106"/>
      <c r="QX8243" s="106"/>
      <c r="QY8243" s="106"/>
      <c r="QZ8243" s="106"/>
      <c r="RA8243" s="106"/>
      <c r="RB8243" s="106"/>
      <c r="RC8243" s="106"/>
      <c r="RD8243" s="106"/>
      <c r="RE8243" s="106"/>
      <c r="RF8243" s="106"/>
      <c r="RG8243" s="106"/>
      <c r="RH8243" s="106"/>
      <c r="RI8243" s="106"/>
      <c r="RJ8243" s="106"/>
      <c r="RK8243" s="106"/>
      <c r="RL8243" s="106"/>
    </row>
    <row r="8244" spans="462:480" x14ac:dyDescent="0.3">
      <c r="QT8244" s="106"/>
      <c r="QU8244" s="106"/>
      <c r="QV8244" s="106"/>
      <c r="QW8244" s="106"/>
      <c r="QX8244" s="106"/>
      <c r="QY8244" s="106"/>
      <c r="QZ8244" s="106"/>
      <c r="RA8244" s="106"/>
      <c r="RB8244" s="106"/>
      <c r="RC8244" s="106"/>
      <c r="RD8244" s="106"/>
      <c r="RE8244" s="106"/>
      <c r="RF8244" s="106"/>
      <c r="RG8244" s="106"/>
      <c r="RH8244" s="106"/>
      <c r="RI8244" s="106"/>
      <c r="RJ8244" s="106"/>
      <c r="RK8244" s="106"/>
      <c r="RL8244" s="106"/>
    </row>
    <row r="8245" spans="462:480" x14ac:dyDescent="0.3">
      <c r="QT8245" s="106"/>
      <c r="QU8245" s="106"/>
      <c r="QV8245" s="106"/>
      <c r="QW8245" s="106"/>
      <c r="QX8245" s="106"/>
      <c r="QY8245" s="106"/>
      <c r="QZ8245" s="106"/>
      <c r="RA8245" s="106"/>
      <c r="RB8245" s="106"/>
      <c r="RC8245" s="106"/>
      <c r="RD8245" s="106"/>
      <c r="RE8245" s="106"/>
      <c r="RF8245" s="106"/>
      <c r="RG8245" s="106"/>
      <c r="RH8245" s="106"/>
      <c r="RI8245" s="106"/>
      <c r="RJ8245" s="106"/>
      <c r="RK8245" s="106"/>
      <c r="RL8245" s="106"/>
    </row>
    <row r="8246" spans="462:480" x14ac:dyDescent="0.3">
      <c r="QT8246" s="106"/>
      <c r="QU8246" s="106"/>
      <c r="QV8246" s="106"/>
      <c r="QW8246" s="106"/>
      <c r="QX8246" s="106"/>
      <c r="QY8246" s="106"/>
      <c r="QZ8246" s="106"/>
      <c r="RA8246" s="106"/>
      <c r="RB8246" s="106"/>
      <c r="RC8246" s="106"/>
      <c r="RD8246" s="106"/>
      <c r="RE8246" s="106"/>
      <c r="RF8246" s="106"/>
      <c r="RG8246" s="106"/>
      <c r="RH8246" s="106"/>
      <c r="RI8246" s="106"/>
      <c r="RJ8246" s="106"/>
      <c r="RK8246" s="106"/>
      <c r="RL8246" s="106"/>
    </row>
    <row r="8247" spans="462:480" x14ac:dyDescent="0.3">
      <c r="QT8247" s="106"/>
      <c r="QU8247" s="106"/>
      <c r="QV8247" s="106"/>
      <c r="QW8247" s="106"/>
      <c r="QX8247" s="106"/>
      <c r="QY8247" s="106"/>
      <c r="QZ8247" s="106"/>
      <c r="RA8247" s="106"/>
      <c r="RB8247" s="106"/>
      <c r="RC8247" s="106"/>
      <c r="RD8247" s="106"/>
      <c r="RE8247" s="106"/>
      <c r="RF8247" s="106"/>
      <c r="RG8247" s="106"/>
      <c r="RH8247" s="106"/>
      <c r="RI8247" s="106"/>
      <c r="RJ8247" s="106"/>
      <c r="RK8247" s="106"/>
      <c r="RL8247" s="106"/>
    </row>
    <row r="8248" spans="462:480" x14ac:dyDescent="0.3">
      <c r="QT8248" s="106"/>
      <c r="QU8248" s="106"/>
      <c r="QV8248" s="106"/>
      <c r="QW8248" s="106"/>
      <c r="QX8248" s="106"/>
      <c r="QY8248" s="106"/>
      <c r="QZ8248" s="106"/>
      <c r="RA8248" s="106"/>
      <c r="RB8248" s="106"/>
      <c r="RC8248" s="106"/>
      <c r="RD8248" s="106"/>
      <c r="RE8248" s="106"/>
      <c r="RF8248" s="106"/>
      <c r="RG8248" s="106"/>
      <c r="RH8248" s="106"/>
      <c r="RI8248" s="106"/>
      <c r="RJ8248" s="106"/>
      <c r="RK8248" s="106"/>
      <c r="RL8248" s="106"/>
    </row>
    <row r="8249" spans="462:480" x14ac:dyDescent="0.3">
      <c r="QT8249" s="106"/>
      <c r="QU8249" s="106"/>
      <c r="QV8249" s="106"/>
      <c r="QW8249" s="106"/>
      <c r="QX8249" s="106"/>
      <c r="QY8249" s="106"/>
      <c r="QZ8249" s="106"/>
      <c r="RA8249" s="106"/>
      <c r="RB8249" s="106"/>
      <c r="RC8249" s="106"/>
      <c r="RD8249" s="106"/>
      <c r="RE8249" s="106"/>
      <c r="RF8249" s="106"/>
      <c r="RG8249" s="106"/>
      <c r="RH8249" s="106"/>
      <c r="RI8249" s="106"/>
      <c r="RJ8249" s="106"/>
      <c r="RK8249" s="106"/>
      <c r="RL8249" s="106"/>
    </row>
    <row r="8250" spans="462:480" x14ac:dyDescent="0.3">
      <c r="QT8250" s="106"/>
      <c r="QU8250" s="106"/>
      <c r="QV8250" s="106"/>
      <c r="QW8250" s="106"/>
      <c r="QX8250" s="106"/>
      <c r="QY8250" s="106"/>
      <c r="QZ8250" s="106"/>
      <c r="RA8250" s="106"/>
      <c r="RB8250" s="106"/>
      <c r="RC8250" s="106"/>
      <c r="RD8250" s="106"/>
      <c r="RE8250" s="106"/>
      <c r="RF8250" s="106"/>
      <c r="RG8250" s="106"/>
      <c r="RH8250" s="106"/>
      <c r="RI8250" s="106"/>
      <c r="RJ8250" s="106"/>
      <c r="RK8250" s="106"/>
      <c r="RL8250" s="106"/>
    </row>
    <row r="8251" spans="462:480" x14ac:dyDescent="0.3">
      <c r="QT8251" s="106"/>
      <c r="QU8251" s="106"/>
      <c r="QV8251" s="106"/>
      <c r="QW8251" s="106"/>
      <c r="QX8251" s="106"/>
      <c r="QY8251" s="106"/>
      <c r="QZ8251" s="106"/>
      <c r="RA8251" s="106"/>
      <c r="RB8251" s="106"/>
      <c r="RC8251" s="106"/>
      <c r="RD8251" s="106"/>
      <c r="RE8251" s="106"/>
      <c r="RF8251" s="106"/>
      <c r="RG8251" s="106"/>
      <c r="RH8251" s="106"/>
      <c r="RI8251" s="106"/>
      <c r="RJ8251" s="106"/>
      <c r="RK8251" s="106"/>
      <c r="RL8251" s="106"/>
    </row>
    <row r="8252" spans="462:480" x14ac:dyDescent="0.3">
      <c r="QT8252" s="106"/>
      <c r="QU8252" s="106"/>
      <c r="QV8252" s="106"/>
      <c r="QW8252" s="106"/>
      <c r="QX8252" s="106"/>
      <c r="QY8252" s="106"/>
      <c r="QZ8252" s="106"/>
      <c r="RA8252" s="106"/>
      <c r="RB8252" s="106"/>
      <c r="RC8252" s="106"/>
      <c r="RD8252" s="106"/>
      <c r="RE8252" s="106"/>
      <c r="RF8252" s="106"/>
      <c r="RG8252" s="106"/>
      <c r="RH8252" s="106"/>
      <c r="RI8252" s="106"/>
      <c r="RJ8252" s="106"/>
      <c r="RK8252" s="106"/>
      <c r="RL8252" s="106"/>
    </row>
    <row r="8253" spans="462:480" x14ac:dyDescent="0.3">
      <c r="QT8253" s="106"/>
      <c r="QU8253" s="106"/>
      <c r="QV8253" s="106"/>
      <c r="QW8253" s="106"/>
      <c r="QX8253" s="106"/>
      <c r="QY8253" s="106"/>
      <c r="QZ8253" s="106"/>
      <c r="RA8253" s="106"/>
      <c r="RB8253" s="106"/>
      <c r="RC8253" s="106"/>
      <c r="RD8253" s="106"/>
      <c r="RE8253" s="106"/>
      <c r="RF8253" s="106"/>
      <c r="RG8253" s="106"/>
      <c r="RH8253" s="106"/>
      <c r="RI8253" s="106"/>
      <c r="RJ8253" s="106"/>
      <c r="RK8253" s="106"/>
      <c r="RL8253" s="106"/>
    </row>
    <row r="8254" spans="462:480" x14ac:dyDescent="0.3">
      <c r="QT8254" s="106"/>
      <c r="QU8254" s="106"/>
      <c r="QV8254" s="106"/>
      <c r="QW8254" s="106"/>
      <c r="QX8254" s="106"/>
      <c r="QY8254" s="106"/>
      <c r="QZ8254" s="106"/>
      <c r="RA8254" s="106"/>
      <c r="RB8254" s="106"/>
      <c r="RC8254" s="106"/>
      <c r="RD8254" s="106"/>
      <c r="RE8254" s="106"/>
      <c r="RF8254" s="106"/>
      <c r="RG8254" s="106"/>
      <c r="RH8254" s="106"/>
      <c r="RI8254" s="106"/>
      <c r="RJ8254" s="106"/>
      <c r="RK8254" s="106"/>
      <c r="RL8254" s="106"/>
    </row>
    <row r="8255" spans="462:480" x14ac:dyDescent="0.3">
      <c r="QT8255" s="106"/>
      <c r="QU8255" s="106"/>
      <c r="QV8255" s="106"/>
      <c r="QW8255" s="106"/>
      <c r="QX8255" s="106"/>
      <c r="QY8255" s="106"/>
      <c r="QZ8255" s="106"/>
      <c r="RA8255" s="106"/>
      <c r="RB8255" s="106"/>
      <c r="RC8255" s="106"/>
      <c r="RD8255" s="106"/>
      <c r="RE8255" s="106"/>
      <c r="RF8255" s="106"/>
      <c r="RG8255" s="106"/>
      <c r="RH8255" s="106"/>
      <c r="RI8255" s="106"/>
      <c r="RJ8255" s="106"/>
      <c r="RK8255" s="106"/>
      <c r="RL8255" s="106"/>
    </row>
    <row r="8256" spans="462:480" x14ac:dyDescent="0.3">
      <c r="QT8256" s="106"/>
      <c r="QU8256" s="106"/>
      <c r="QV8256" s="106"/>
      <c r="QW8256" s="106"/>
      <c r="QX8256" s="106"/>
      <c r="QY8256" s="106"/>
      <c r="QZ8256" s="106"/>
      <c r="RA8256" s="106"/>
      <c r="RB8256" s="106"/>
      <c r="RC8256" s="106"/>
      <c r="RD8256" s="106"/>
      <c r="RE8256" s="106"/>
      <c r="RF8256" s="106"/>
      <c r="RG8256" s="106"/>
      <c r="RH8256" s="106"/>
      <c r="RI8256" s="106"/>
      <c r="RJ8256" s="106"/>
      <c r="RK8256" s="106"/>
      <c r="RL8256" s="106"/>
    </row>
    <row r="8257" spans="462:480" x14ac:dyDescent="0.3">
      <c r="QT8257" s="106"/>
      <c r="QU8257" s="106"/>
      <c r="QV8257" s="106"/>
      <c r="QW8257" s="106"/>
      <c r="QX8257" s="106"/>
      <c r="QY8257" s="106"/>
      <c r="QZ8257" s="106"/>
      <c r="RA8257" s="106"/>
      <c r="RB8257" s="106"/>
      <c r="RC8257" s="106"/>
      <c r="RD8257" s="106"/>
      <c r="RE8257" s="106"/>
      <c r="RF8257" s="106"/>
      <c r="RG8257" s="106"/>
      <c r="RH8257" s="106"/>
      <c r="RI8257" s="106"/>
      <c r="RJ8257" s="106"/>
      <c r="RK8257" s="106"/>
      <c r="RL8257" s="106"/>
    </row>
    <row r="8258" spans="462:480" x14ac:dyDescent="0.3">
      <c r="QT8258" s="106"/>
      <c r="QU8258" s="106"/>
      <c r="QV8258" s="106"/>
      <c r="QW8258" s="106"/>
      <c r="QX8258" s="106"/>
      <c r="QY8258" s="106"/>
      <c r="QZ8258" s="106"/>
      <c r="RA8258" s="106"/>
      <c r="RB8258" s="106"/>
      <c r="RC8258" s="106"/>
      <c r="RD8258" s="106"/>
      <c r="RE8258" s="106"/>
      <c r="RF8258" s="106"/>
      <c r="RG8258" s="106"/>
      <c r="RH8258" s="106"/>
      <c r="RI8258" s="106"/>
      <c r="RJ8258" s="106"/>
      <c r="RK8258" s="106"/>
      <c r="RL8258" s="106"/>
    </row>
    <row r="8259" spans="462:480" x14ac:dyDescent="0.3">
      <c r="QT8259" s="106"/>
      <c r="QU8259" s="106"/>
      <c r="QV8259" s="106"/>
      <c r="QW8259" s="106"/>
      <c r="QX8259" s="106"/>
      <c r="QY8259" s="106"/>
      <c r="QZ8259" s="106"/>
      <c r="RA8259" s="106"/>
      <c r="RB8259" s="106"/>
      <c r="RC8259" s="106"/>
      <c r="RD8259" s="106"/>
      <c r="RE8259" s="106"/>
      <c r="RF8259" s="106"/>
      <c r="RG8259" s="106"/>
      <c r="RH8259" s="106"/>
      <c r="RI8259" s="106"/>
      <c r="RJ8259" s="106"/>
      <c r="RK8259" s="106"/>
      <c r="RL8259" s="106"/>
    </row>
    <row r="8260" spans="462:480" x14ac:dyDescent="0.3">
      <c r="QT8260" s="106"/>
      <c r="QU8260" s="106"/>
      <c r="QV8260" s="106"/>
      <c r="QW8260" s="106"/>
      <c r="QX8260" s="106"/>
      <c r="QY8260" s="106"/>
      <c r="QZ8260" s="106"/>
      <c r="RA8260" s="106"/>
      <c r="RB8260" s="106"/>
      <c r="RC8260" s="106"/>
      <c r="RD8260" s="106"/>
      <c r="RE8260" s="106"/>
      <c r="RF8260" s="106"/>
      <c r="RG8260" s="106"/>
      <c r="RH8260" s="106"/>
      <c r="RI8260" s="106"/>
      <c r="RJ8260" s="106"/>
      <c r="RK8260" s="106"/>
      <c r="RL8260" s="106"/>
    </row>
    <row r="8261" spans="462:480" x14ac:dyDescent="0.3">
      <c r="QT8261" s="106"/>
      <c r="QU8261" s="106"/>
      <c r="QV8261" s="106"/>
      <c r="QW8261" s="106"/>
      <c r="QX8261" s="106"/>
      <c r="QY8261" s="106"/>
      <c r="QZ8261" s="106"/>
      <c r="RA8261" s="106"/>
      <c r="RB8261" s="106"/>
      <c r="RC8261" s="106"/>
      <c r="RD8261" s="106"/>
      <c r="RE8261" s="106"/>
      <c r="RF8261" s="106"/>
      <c r="RG8261" s="106"/>
      <c r="RH8261" s="106"/>
      <c r="RI8261" s="106"/>
      <c r="RJ8261" s="106"/>
      <c r="RK8261" s="106"/>
      <c r="RL8261" s="106"/>
    </row>
    <row r="8262" spans="462:480" x14ac:dyDescent="0.3">
      <c r="QT8262" s="106"/>
      <c r="QU8262" s="106"/>
      <c r="QV8262" s="106"/>
      <c r="QW8262" s="106"/>
      <c r="QX8262" s="106"/>
      <c r="QY8262" s="106"/>
      <c r="QZ8262" s="106"/>
      <c r="RA8262" s="106"/>
      <c r="RB8262" s="106"/>
      <c r="RC8262" s="106"/>
      <c r="RD8262" s="106"/>
      <c r="RE8262" s="106"/>
      <c r="RF8262" s="106"/>
      <c r="RG8262" s="106"/>
      <c r="RH8262" s="106"/>
      <c r="RI8262" s="106"/>
      <c r="RJ8262" s="106"/>
      <c r="RK8262" s="106"/>
      <c r="RL8262" s="106"/>
    </row>
    <row r="8263" spans="462:480" x14ac:dyDescent="0.3">
      <c r="QT8263" s="106"/>
      <c r="QU8263" s="106"/>
      <c r="QV8263" s="106"/>
      <c r="QW8263" s="106"/>
      <c r="QX8263" s="106"/>
      <c r="QY8263" s="106"/>
      <c r="QZ8263" s="106"/>
      <c r="RA8263" s="106"/>
      <c r="RB8263" s="106"/>
      <c r="RC8263" s="106"/>
      <c r="RD8263" s="106"/>
      <c r="RE8263" s="106"/>
      <c r="RF8263" s="106"/>
      <c r="RG8263" s="106"/>
      <c r="RH8263" s="106"/>
      <c r="RI8263" s="106"/>
      <c r="RJ8263" s="106"/>
      <c r="RK8263" s="106"/>
      <c r="RL8263" s="106"/>
    </row>
    <row r="8264" spans="462:480" x14ac:dyDescent="0.3">
      <c r="QT8264" s="106"/>
      <c r="QU8264" s="106"/>
      <c r="QV8264" s="106"/>
      <c r="QW8264" s="106"/>
      <c r="QX8264" s="106"/>
      <c r="QY8264" s="106"/>
      <c r="QZ8264" s="106"/>
      <c r="RA8264" s="106"/>
      <c r="RB8264" s="106"/>
      <c r="RC8264" s="106"/>
      <c r="RD8264" s="106"/>
      <c r="RE8264" s="106"/>
      <c r="RF8264" s="106"/>
      <c r="RG8264" s="106"/>
      <c r="RH8264" s="106"/>
      <c r="RI8264" s="106"/>
      <c r="RJ8264" s="106"/>
      <c r="RK8264" s="106"/>
      <c r="RL8264" s="106"/>
    </row>
    <row r="8265" spans="462:480" x14ac:dyDescent="0.3">
      <c r="QT8265" s="106"/>
      <c r="QU8265" s="106"/>
      <c r="QV8265" s="106"/>
      <c r="QW8265" s="106"/>
      <c r="QX8265" s="106"/>
      <c r="QY8265" s="106"/>
      <c r="QZ8265" s="106"/>
      <c r="RA8265" s="106"/>
      <c r="RB8265" s="106"/>
      <c r="RC8265" s="106"/>
      <c r="RD8265" s="106"/>
      <c r="RE8265" s="106"/>
      <c r="RF8265" s="106"/>
      <c r="RG8265" s="106"/>
      <c r="RH8265" s="106"/>
      <c r="RI8265" s="106"/>
      <c r="RJ8265" s="106"/>
      <c r="RK8265" s="106"/>
      <c r="RL8265" s="106"/>
    </row>
    <row r="8266" spans="462:480" x14ac:dyDescent="0.3">
      <c r="QT8266" s="106"/>
      <c r="QU8266" s="106"/>
      <c r="QV8266" s="106"/>
      <c r="QW8266" s="106"/>
      <c r="QX8266" s="106"/>
      <c r="QY8266" s="106"/>
      <c r="QZ8266" s="106"/>
      <c r="RA8266" s="106"/>
      <c r="RB8266" s="106"/>
      <c r="RC8266" s="106"/>
      <c r="RD8266" s="106"/>
      <c r="RE8266" s="106"/>
      <c r="RF8266" s="106"/>
      <c r="RG8266" s="106"/>
      <c r="RH8266" s="106"/>
      <c r="RI8266" s="106"/>
      <c r="RJ8266" s="106"/>
      <c r="RK8266" s="106"/>
      <c r="RL8266" s="106"/>
    </row>
    <row r="8267" spans="462:480" x14ac:dyDescent="0.3">
      <c r="QT8267" s="106"/>
      <c r="QU8267" s="106"/>
      <c r="QV8267" s="106"/>
      <c r="QW8267" s="106"/>
      <c r="QX8267" s="106"/>
      <c r="QY8267" s="106"/>
      <c r="QZ8267" s="106"/>
      <c r="RA8267" s="106"/>
      <c r="RB8267" s="106"/>
      <c r="RC8267" s="106"/>
      <c r="RD8267" s="106"/>
      <c r="RE8267" s="106"/>
      <c r="RF8267" s="106"/>
      <c r="RG8267" s="106"/>
      <c r="RH8267" s="106"/>
      <c r="RI8267" s="106"/>
      <c r="RJ8267" s="106"/>
      <c r="RK8267" s="106"/>
      <c r="RL8267" s="106"/>
    </row>
    <row r="8268" spans="462:480" x14ac:dyDescent="0.3">
      <c r="QT8268" s="106"/>
      <c r="QU8268" s="106"/>
      <c r="QV8268" s="106"/>
      <c r="QW8268" s="106"/>
      <c r="QX8268" s="106"/>
      <c r="QY8268" s="106"/>
      <c r="QZ8268" s="106"/>
      <c r="RA8268" s="106"/>
      <c r="RB8268" s="106"/>
      <c r="RC8268" s="106"/>
      <c r="RD8268" s="106"/>
      <c r="RE8268" s="106"/>
      <c r="RF8268" s="106"/>
      <c r="RG8268" s="106"/>
      <c r="RH8268" s="106"/>
      <c r="RI8268" s="106"/>
      <c r="RJ8268" s="106"/>
      <c r="RK8268" s="106"/>
      <c r="RL8268" s="106"/>
    </row>
    <row r="8269" spans="462:480" x14ac:dyDescent="0.3">
      <c r="QT8269" s="106"/>
      <c r="QU8269" s="106"/>
      <c r="QV8269" s="106"/>
      <c r="QW8269" s="106"/>
      <c r="QX8269" s="106"/>
      <c r="QY8269" s="106"/>
      <c r="QZ8269" s="106"/>
      <c r="RA8269" s="106"/>
      <c r="RB8269" s="106"/>
      <c r="RC8269" s="106"/>
      <c r="RD8269" s="106"/>
      <c r="RE8269" s="106"/>
      <c r="RF8269" s="106"/>
      <c r="RG8269" s="106"/>
      <c r="RH8269" s="106"/>
      <c r="RI8269" s="106"/>
      <c r="RJ8269" s="106"/>
      <c r="RK8269" s="106"/>
      <c r="RL8269" s="106"/>
    </row>
    <row r="8270" spans="462:480" x14ac:dyDescent="0.3">
      <c r="QT8270" s="106"/>
      <c r="QU8270" s="106"/>
      <c r="QV8270" s="106"/>
      <c r="QW8270" s="106"/>
      <c r="QX8270" s="106"/>
      <c r="QY8270" s="106"/>
      <c r="QZ8270" s="106"/>
      <c r="RA8270" s="106"/>
      <c r="RB8270" s="106"/>
      <c r="RC8270" s="106"/>
      <c r="RD8270" s="106"/>
      <c r="RE8270" s="106"/>
      <c r="RF8270" s="106"/>
      <c r="RG8270" s="106"/>
      <c r="RH8270" s="106"/>
      <c r="RI8270" s="106"/>
      <c r="RJ8270" s="106"/>
      <c r="RK8270" s="106"/>
      <c r="RL8270" s="106"/>
    </row>
    <row r="8271" spans="462:480" x14ac:dyDescent="0.3">
      <c r="QT8271" s="106"/>
      <c r="QU8271" s="106"/>
      <c r="QV8271" s="106"/>
      <c r="QW8271" s="106"/>
      <c r="QX8271" s="106"/>
      <c r="QY8271" s="106"/>
      <c r="QZ8271" s="106"/>
      <c r="RA8271" s="106"/>
      <c r="RB8271" s="106"/>
      <c r="RC8271" s="106"/>
      <c r="RD8271" s="106"/>
      <c r="RE8271" s="106"/>
      <c r="RF8271" s="106"/>
      <c r="RG8271" s="106"/>
      <c r="RH8271" s="106"/>
      <c r="RI8271" s="106"/>
      <c r="RJ8271" s="106"/>
      <c r="RK8271" s="106"/>
      <c r="RL8271" s="106"/>
    </row>
    <row r="8272" spans="462:480" x14ac:dyDescent="0.3">
      <c r="QT8272" s="106"/>
      <c r="QU8272" s="106"/>
      <c r="QV8272" s="106"/>
      <c r="QW8272" s="106"/>
      <c r="QX8272" s="106"/>
      <c r="QY8272" s="106"/>
      <c r="QZ8272" s="106"/>
      <c r="RA8272" s="106"/>
      <c r="RB8272" s="106"/>
      <c r="RC8272" s="106"/>
      <c r="RD8272" s="106"/>
      <c r="RE8272" s="106"/>
      <c r="RF8272" s="106"/>
      <c r="RG8272" s="106"/>
      <c r="RH8272" s="106"/>
      <c r="RI8272" s="106"/>
      <c r="RJ8272" s="106"/>
      <c r="RK8272" s="106"/>
      <c r="RL8272" s="106"/>
    </row>
    <row r="8273" spans="462:480" x14ac:dyDescent="0.3">
      <c r="QT8273" s="106"/>
      <c r="QU8273" s="106"/>
      <c r="QV8273" s="106"/>
      <c r="QW8273" s="106"/>
      <c r="QX8273" s="106"/>
      <c r="QY8273" s="106"/>
      <c r="QZ8273" s="106"/>
      <c r="RA8273" s="106"/>
      <c r="RB8273" s="106"/>
      <c r="RC8273" s="106"/>
      <c r="RD8273" s="106"/>
      <c r="RE8273" s="106"/>
      <c r="RF8273" s="106"/>
      <c r="RG8273" s="106"/>
      <c r="RH8273" s="106"/>
      <c r="RI8273" s="106"/>
      <c r="RJ8273" s="106"/>
      <c r="RK8273" s="106"/>
      <c r="RL8273" s="106"/>
    </row>
    <row r="8274" spans="462:480" x14ac:dyDescent="0.3">
      <c r="QT8274" s="106"/>
      <c r="QU8274" s="106"/>
      <c r="QV8274" s="106"/>
      <c r="QW8274" s="106"/>
      <c r="QX8274" s="106"/>
      <c r="QY8274" s="106"/>
      <c r="QZ8274" s="106"/>
      <c r="RA8274" s="106"/>
      <c r="RB8274" s="106"/>
      <c r="RC8274" s="106"/>
      <c r="RD8274" s="106"/>
      <c r="RE8274" s="106"/>
      <c r="RF8274" s="106"/>
      <c r="RG8274" s="106"/>
      <c r="RH8274" s="106"/>
      <c r="RI8274" s="106"/>
      <c r="RJ8274" s="106"/>
      <c r="RK8274" s="106"/>
      <c r="RL8274" s="106"/>
    </row>
    <row r="8275" spans="462:480" x14ac:dyDescent="0.3">
      <c r="QT8275" s="106"/>
      <c r="QU8275" s="106"/>
      <c r="QV8275" s="106"/>
      <c r="QW8275" s="106"/>
      <c r="QX8275" s="106"/>
      <c r="QY8275" s="106"/>
      <c r="QZ8275" s="106"/>
      <c r="RA8275" s="106"/>
      <c r="RB8275" s="106"/>
      <c r="RC8275" s="106"/>
      <c r="RD8275" s="106"/>
      <c r="RE8275" s="106"/>
      <c r="RF8275" s="106"/>
      <c r="RG8275" s="106"/>
      <c r="RH8275" s="106"/>
      <c r="RI8275" s="106"/>
      <c r="RJ8275" s="106"/>
      <c r="RK8275" s="106"/>
      <c r="RL8275" s="106"/>
    </row>
    <row r="8276" spans="462:480" x14ac:dyDescent="0.3">
      <c r="QT8276" s="106"/>
      <c r="QU8276" s="106"/>
      <c r="QV8276" s="106"/>
      <c r="QW8276" s="106"/>
      <c r="QX8276" s="106"/>
      <c r="QY8276" s="106"/>
      <c r="QZ8276" s="106"/>
      <c r="RA8276" s="106"/>
      <c r="RB8276" s="106"/>
      <c r="RC8276" s="106"/>
      <c r="RD8276" s="106"/>
      <c r="RE8276" s="106"/>
      <c r="RF8276" s="106"/>
      <c r="RG8276" s="106"/>
      <c r="RH8276" s="106"/>
      <c r="RI8276" s="106"/>
      <c r="RJ8276" s="106"/>
      <c r="RK8276" s="106"/>
      <c r="RL8276" s="106"/>
    </row>
    <row r="8277" spans="462:480" x14ac:dyDescent="0.3">
      <c r="QT8277" s="106"/>
      <c r="QU8277" s="106"/>
      <c r="QV8277" s="106"/>
      <c r="QW8277" s="106"/>
      <c r="QX8277" s="106"/>
      <c r="QY8277" s="106"/>
      <c r="QZ8277" s="106"/>
      <c r="RA8277" s="106"/>
      <c r="RB8277" s="106"/>
      <c r="RC8277" s="106"/>
      <c r="RD8277" s="106"/>
      <c r="RE8277" s="106"/>
      <c r="RF8277" s="106"/>
      <c r="RG8277" s="106"/>
      <c r="RH8277" s="106"/>
      <c r="RI8277" s="106"/>
      <c r="RJ8277" s="106"/>
      <c r="RK8277" s="106"/>
      <c r="RL8277" s="106"/>
    </row>
    <row r="8278" spans="462:480" x14ac:dyDescent="0.3">
      <c r="QT8278" s="106"/>
      <c r="QU8278" s="106"/>
      <c r="QV8278" s="106"/>
      <c r="QW8278" s="106"/>
      <c r="QX8278" s="106"/>
      <c r="QY8278" s="106"/>
      <c r="QZ8278" s="106"/>
      <c r="RA8278" s="106"/>
      <c r="RB8278" s="106"/>
      <c r="RC8278" s="106"/>
      <c r="RD8278" s="106"/>
      <c r="RE8278" s="106"/>
      <c r="RF8278" s="106"/>
      <c r="RG8278" s="106"/>
      <c r="RH8278" s="106"/>
      <c r="RI8278" s="106"/>
      <c r="RJ8278" s="106"/>
      <c r="RK8278" s="106"/>
      <c r="RL8278" s="106"/>
    </row>
    <row r="8279" spans="462:480" x14ac:dyDescent="0.3">
      <c r="QT8279" s="106"/>
      <c r="QU8279" s="106"/>
      <c r="QV8279" s="106"/>
      <c r="QW8279" s="106"/>
      <c r="QX8279" s="106"/>
      <c r="QY8279" s="106"/>
      <c r="QZ8279" s="106"/>
      <c r="RA8279" s="106"/>
      <c r="RB8279" s="106"/>
      <c r="RC8279" s="106"/>
      <c r="RD8279" s="106"/>
      <c r="RE8279" s="106"/>
      <c r="RF8279" s="106"/>
      <c r="RG8279" s="106"/>
      <c r="RH8279" s="106"/>
      <c r="RI8279" s="106"/>
      <c r="RJ8279" s="106"/>
      <c r="RK8279" s="106"/>
      <c r="RL8279" s="106"/>
    </row>
    <row r="8280" spans="462:480" x14ac:dyDescent="0.3">
      <c r="QT8280" s="106"/>
      <c r="QU8280" s="106"/>
      <c r="QV8280" s="106"/>
      <c r="QW8280" s="106"/>
      <c r="QX8280" s="106"/>
      <c r="QY8280" s="106"/>
      <c r="QZ8280" s="106"/>
      <c r="RA8280" s="106"/>
      <c r="RB8280" s="106"/>
      <c r="RC8280" s="106"/>
      <c r="RD8280" s="106"/>
      <c r="RE8280" s="106"/>
      <c r="RF8280" s="106"/>
      <c r="RG8280" s="106"/>
      <c r="RH8280" s="106"/>
      <c r="RI8280" s="106"/>
      <c r="RJ8280" s="106"/>
      <c r="RK8280" s="106"/>
      <c r="RL8280" s="106"/>
    </row>
    <row r="8281" spans="462:480" x14ac:dyDescent="0.3">
      <c r="QT8281" s="106"/>
      <c r="QU8281" s="106"/>
      <c r="QV8281" s="106"/>
      <c r="QW8281" s="106"/>
      <c r="QX8281" s="106"/>
      <c r="QY8281" s="106"/>
      <c r="QZ8281" s="106"/>
      <c r="RA8281" s="106"/>
      <c r="RB8281" s="106"/>
      <c r="RC8281" s="106"/>
      <c r="RD8281" s="106"/>
      <c r="RE8281" s="106"/>
      <c r="RF8281" s="106"/>
      <c r="RG8281" s="106"/>
      <c r="RH8281" s="106"/>
      <c r="RI8281" s="106"/>
      <c r="RJ8281" s="106"/>
      <c r="RK8281" s="106"/>
      <c r="RL8281" s="106"/>
    </row>
    <row r="8282" spans="462:480" x14ac:dyDescent="0.3">
      <c r="QT8282" s="106"/>
      <c r="QU8282" s="106"/>
      <c r="QV8282" s="106"/>
      <c r="QW8282" s="106"/>
      <c r="QX8282" s="106"/>
      <c r="QY8282" s="106"/>
      <c r="QZ8282" s="106"/>
      <c r="RA8282" s="106"/>
      <c r="RB8282" s="106"/>
      <c r="RC8282" s="106"/>
      <c r="RD8282" s="106"/>
      <c r="RE8282" s="106"/>
      <c r="RF8282" s="106"/>
      <c r="RG8282" s="106"/>
      <c r="RH8282" s="106"/>
      <c r="RI8282" s="106"/>
      <c r="RJ8282" s="106"/>
      <c r="RK8282" s="106"/>
      <c r="RL8282" s="106"/>
    </row>
    <row r="8283" spans="462:480" x14ac:dyDescent="0.3">
      <c r="QT8283" s="106"/>
      <c r="QU8283" s="106"/>
      <c r="QV8283" s="106"/>
      <c r="QW8283" s="106"/>
      <c r="QX8283" s="106"/>
      <c r="QY8283" s="106"/>
      <c r="QZ8283" s="106"/>
      <c r="RA8283" s="106"/>
      <c r="RB8283" s="106"/>
      <c r="RC8283" s="106"/>
      <c r="RD8283" s="106"/>
      <c r="RE8283" s="106"/>
      <c r="RF8283" s="106"/>
      <c r="RG8283" s="106"/>
      <c r="RH8283" s="106"/>
      <c r="RI8283" s="106"/>
      <c r="RJ8283" s="106"/>
      <c r="RK8283" s="106"/>
      <c r="RL8283" s="106"/>
    </row>
    <row r="8284" spans="462:480" x14ac:dyDescent="0.3">
      <c r="QT8284" s="106"/>
      <c r="QU8284" s="106"/>
      <c r="QV8284" s="106"/>
      <c r="QW8284" s="106"/>
      <c r="QX8284" s="106"/>
      <c r="QY8284" s="106"/>
      <c r="QZ8284" s="106"/>
      <c r="RA8284" s="106"/>
      <c r="RB8284" s="106"/>
      <c r="RC8284" s="106"/>
      <c r="RD8284" s="106"/>
      <c r="RE8284" s="106"/>
      <c r="RF8284" s="106"/>
      <c r="RG8284" s="106"/>
      <c r="RH8284" s="106"/>
      <c r="RI8284" s="106"/>
      <c r="RJ8284" s="106"/>
      <c r="RK8284" s="106"/>
      <c r="RL8284" s="106"/>
    </row>
    <row r="8285" spans="462:480" x14ac:dyDescent="0.3">
      <c r="QT8285" s="106"/>
      <c r="QU8285" s="106"/>
      <c r="QV8285" s="106"/>
      <c r="QW8285" s="106"/>
      <c r="QX8285" s="106"/>
      <c r="QY8285" s="106"/>
      <c r="QZ8285" s="106"/>
      <c r="RA8285" s="106"/>
      <c r="RB8285" s="106"/>
      <c r="RC8285" s="106"/>
      <c r="RD8285" s="106"/>
      <c r="RE8285" s="106"/>
      <c r="RF8285" s="106"/>
      <c r="RG8285" s="106"/>
      <c r="RH8285" s="106"/>
      <c r="RI8285" s="106"/>
      <c r="RJ8285" s="106"/>
      <c r="RK8285" s="106"/>
      <c r="RL8285" s="106"/>
    </row>
    <row r="8286" spans="462:480" x14ac:dyDescent="0.3">
      <c r="QT8286" s="106"/>
      <c r="QU8286" s="106"/>
      <c r="QV8286" s="106"/>
      <c r="QW8286" s="106"/>
      <c r="QX8286" s="106"/>
      <c r="QY8286" s="106"/>
      <c r="QZ8286" s="106"/>
      <c r="RA8286" s="106"/>
      <c r="RB8286" s="106"/>
      <c r="RC8286" s="106"/>
      <c r="RD8286" s="106"/>
      <c r="RE8286" s="106"/>
      <c r="RF8286" s="106"/>
      <c r="RG8286" s="106"/>
      <c r="RH8286" s="106"/>
      <c r="RI8286" s="106"/>
      <c r="RJ8286" s="106"/>
      <c r="RK8286" s="106"/>
      <c r="RL8286" s="106"/>
    </row>
    <row r="8287" spans="462:480" x14ac:dyDescent="0.3">
      <c r="QT8287" s="106"/>
      <c r="QU8287" s="106"/>
      <c r="QV8287" s="106"/>
      <c r="QW8287" s="106"/>
      <c r="QX8287" s="106"/>
      <c r="QY8287" s="106"/>
      <c r="QZ8287" s="106"/>
      <c r="RA8287" s="106"/>
      <c r="RB8287" s="106"/>
      <c r="RC8287" s="106"/>
      <c r="RD8287" s="106"/>
      <c r="RE8287" s="106"/>
      <c r="RF8287" s="106"/>
      <c r="RG8287" s="106"/>
      <c r="RH8287" s="106"/>
      <c r="RI8287" s="106"/>
      <c r="RJ8287" s="106"/>
      <c r="RK8287" s="106"/>
      <c r="RL8287" s="106"/>
    </row>
    <row r="8288" spans="462:480" x14ac:dyDescent="0.3">
      <c r="QT8288" s="106"/>
      <c r="QU8288" s="106"/>
      <c r="QV8288" s="106"/>
      <c r="QW8288" s="106"/>
      <c r="QX8288" s="106"/>
      <c r="QY8288" s="106"/>
      <c r="QZ8288" s="106"/>
      <c r="RA8288" s="106"/>
      <c r="RB8288" s="106"/>
      <c r="RC8288" s="106"/>
      <c r="RD8288" s="106"/>
      <c r="RE8288" s="106"/>
      <c r="RF8288" s="106"/>
      <c r="RG8288" s="106"/>
      <c r="RH8288" s="106"/>
      <c r="RI8288" s="106"/>
      <c r="RJ8288" s="106"/>
      <c r="RK8288" s="106"/>
      <c r="RL8288" s="106"/>
    </row>
    <row r="8289" spans="462:480" x14ac:dyDescent="0.3">
      <c r="QT8289" s="106"/>
      <c r="QU8289" s="106"/>
      <c r="QV8289" s="106"/>
      <c r="QW8289" s="106"/>
      <c r="QX8289" s="106"/>
      <c r="QY8289" s="106"/>
      <c r="QZ8289" s="106"/>
      <c r="RA8289" s="106"/>
      <c r="RB8289" s="106"/>
      <c r="RC8289" s="106"/>
      <c r="RD8289" s="106"/>
      <c r="RE8289" s="106"/>
      <c r="RF8289" s="106"/>
      <c r="RG8289" s="106"/>
      <c r="RH8289" s="106"/>
      <c r="RI8289" s="106"/>
      <c r="RJ8289" s="106"/>
      <c r="RK8289" s="106"/>
      <c r="RL8289" s="106"/>
    </row>
    <row r="8290" spans="462:480" x14ac:dyDescent="0.3">
      <c r="QT8290" s="106"/>
      <c r="QU8290" s="106"/>
      <c r="QV8290" s="106"/>
      <c r="QW8290" s="106"/>
      <c r="QX8290" s="106"/>
      <c r="QY8290" s="106"/>
      <c r="QZ8290" s="106"/>
      <c r="RA8290" s="106"/>
      <c r="RB8290" s="106"/>
      <c r="RC8290" s="106"/>
      <c r="RD8290" s="106"/>
      <c r="RE8290" s="106"/>
      <c r="RF8290" s="106"/>
      <c r="RG8290" s="106"/>
      <c r="RH8290" s="106"/>
      <c r="RI8290" s="106"/>
      <c r="RJ8290" s="106"/>
      <c r="RK8290" s="106"/>
      <c r="RL8290" s="106"/>
    </row>
    <row r="8291" spans="462:480" x14ac:dyDescent="0.3">
      <c r="QT8291" s="106"/>
      <c r="QU8291" s="106"/>
      <c r="QV8291" s="106"/>
      <c r="QW8291" s="106"/>
      <c r="QX8291" s="106"/>
      <c r="QY8291" s="106"/>
      <c r="QZ8291" s="106"/>
      <c r="RA8291" s="106"/>
      <c r="RB8291" s="106"/>
      <c r="RC8291" s="106"/>
      <c r="RD8291" s="106"/>
      <c r="RE8291" s="106"/>
      <c r="RF8291" s="106"/>
      <c r="RG8291" s="106"/>
      <c r="RH8291" s="106"/>
      <c r="RI8291" s="106"/>
      <c r="RJ8291" s="106"/>
      <c r="RK8291" s="106"/>
      <c r="RL8291" s="106"/>
    </row>
    <row r="8292" spans="462:480" x14ac:dyDescent="0.3">
      <c r="QT8292" s="106"/>
      <c r="QU8292" s="106"/>
      <c r="QV8292" s="106"/>
      <c r="QW8292" s="106"/>
      <c r="QX8292" s="106"/>
      <c r="QY8292" s="106"/>
      <c r="QZ8292" s="106"/>
      <c r="RA8292" s="106"/>
      <c r="RB8292" s="106"/>
      <c r="RC8292" s="106"/>
      <c r="RD8292" s="106"/>
      <c r="RE8292" s="106"/>
      <c r="RF8292" s="106"/>
      <c r="RG8292" s="106"/>
      <c r="RH8292" s="106"/>
      <c r="RI8292" s="106"/>
      <c r="RJ8292" s="106"/>
      <c r="RK8292" s="106"/>
      <c r="RL8292" s="106"/>
    </row>
    <row r="8293" spans="462:480" x14ac:dyDescent="0.3">
      <c r="QT8293" s="106"/>
      <c r="QU8293" s="106"/>
      <c r="QV8293" s="106"/>
      <c r="QW8293" s="106"/>
      <c r="QX8293" s="106"/>
      <c r="QY8293" s="106"/>
      <c r="QZ8293" s="106"/>
      <c r="RA8293" s="106"/>
      <c r="RB8293" s="106"/>
      <c r="RC8293" s="106"/>
      <c r="RD8293" s="106"/>
      <c r="RE8293" s="106"/>
      <c r="RF8293" s="106"/>
      <c r="RG8293" s="106"/>
      <c r="RH8293" s="106"/>
      <c r="RI8293" s="106"/>
      <c r="RJ8293" s="106"/>
      <c r="RK8293" s="106"/>
      <c r="RL8293" s="106"/>
    </row>
    <row r="8294" spans="462:480" x14ac:dyDescent="0.3">
      <c r="QT8294" s="106"/>
      <c r="QU8294" s="106"/>
      <c r="QV8294" s="106"/>
      <c r="QW8294" s="106"/>
      <c r="QX8294" s="106"/>
      <c r="QY8294" s="106"/>
      <c r="QZ8294" s="106"/>
      <c r="RA8294" s="106"/>
      <c r="RB8294" s="106"/>
      <c r="RC8294" s="106"/>
      <c r="RD8294" s="106"/>
      <c r="RE8294" s="106"/>
      <c r="RF8294" s="106"/>
      <c r="RG8294" s="106"/>
      <c r="RH8294" s="106"/>
      <c r="RI8294" s="106"/>
      <c r="RJ8294" s="106"/>
      <c r="RK8294" s="106"/>
      <c r="RL8294" s="106"/>
    </row>
    <row r="8295" spans="462:480" x14ac:dyDescent="0.3">
      <c r="QT8295" s="106"/>
      <c r="QU8295" s="106"/>
      <c r="QV8295" s="106"/>
      <c r="QW8295" s="106"/>
      <c r="QX8295" s="106"/>
      <c r="QY8295" s="106"/>
      <c r="QZ8295" s="106"/>
      <c r="RA8295" s="106"/>
      <c r="RB8295" s="106"/>
      <c r="RC8295" s="106"/>
      <c r="RD8295" s="106"/>
      <c r="RE8295" s="106"/>
      <c r="RF8295" s="106"/>
      <c r="RG8295" s="106"/>
      <c r="RH8295" s="106"/>
      <c r="RI8295" s="106"/>
      <c r="RJ8295" s="106"/>
      <c r="RK8295" s="106"/>
      <c r="RL8295" s="106"/>
    </row>
    <row r="8296" spans="462:480" x14ac:dyDescent="0.3">
      <c r="QT8296" s="106"/>
      <c r="QU8296" s="106"/>
      <c r="QV8296" s="106"/>
      <c r="QW8296" s="106"/>
      <c r="QX8296" s="106"/>
      <c r="QY8296" s="106"/>
      <c r="QZ8296" s="106"/>
      <c r="RA8296" s="106"/>
      <c r="RB8296" s="106"/>
      <c r="RC8296" s="106"/>
      <c r="RD8296" s="106"/>
      <c r="RE8296" s="106"/>
      <c r="RF8296" s="106"/>
      <c r="RG8296" s="106"/>
      <c r="RH8296" s="106"/>
      <c r="RI8296" s="106"/>
      <c r="RJ8296" s="106"/>
      <c r="RK8296" s="106"/>
      <c r="RL8296" s="106"/>
    </row>
    <row r="8297" spans="462:480" x14ac:dyDescent="0.3">
      <c r="QT8297" s="106"/>
      <c r="QU8297" s="106"/>
      <c r="QV8297" s="106"/>
      <c r="QW8297" s="106"/>
      <c r="QX8297" s="106"/>
      <c r="QY8297" s="106"/>
      <c r="QZ8297" s="106"/>
      <c r="RA8297" s="106"/>
      <c r="RB8297" s="106"/>
      <c r="RC8297" s="106"/>
      <c r="RD8297" s="106"/>
      <c r="RE8297" s="106"/>
      <c r="RF8297" s="106"/>
      <c r="RG8297" s="106"/>
      <c r="RH8297" s="106"/>
      <c r="RI8297" s="106"/>
      <c r="RJ8297" s="106"/>
      <c r="RK8297" s="106"/>
      <c r="RL8297" s="106"/>
    </row>
    <row r="8298" spans="462:480" x14ac:dyDescent="0.3">
      <c r="QT8298" s="106"/>
      <c r="QU8298" s="106"/>
      <c r="QV8298" s="106"/>
      <c r="QW8298" s="106"/>
      <c r="QX8298" s="106"/>
      <c r="QY8298" s="106"/>
      <c r="QZ8298" s="106"/>
      <c r="RA8298" s="106"/>
      <c r="RB8298" s="106"/>
      <c r="RC8298" s="106"/>
      <c r="RD8298" s="106"/>
      <c r="RE8298" s="106"/>
      <c r="RF8298" s="106"/>
      <c r="RG8298" s="106"/>
      <c r="RH8298" s="106"/>
      <c r="RI8298" s="106"/>
      <c r="RJ8298" s="106"/>
      <c r="RK8298" s="106"/>
      <c r="RL8298" s="106"/>
    </row>
    <row r="8299" spans="462:480" x14ac:dyDescent="0.3">
      <c r="QT8299" s="106"/>
      <c r="QU8299" s="106"/>
      <c r="QV8299" s="106"/>
      <c r="QW8299" s="106"/>
      <c r="QX8299" s="106"/>
      <c r="QY8299" s="106"/>
      <c r="QZ8299" s="106"/>
      <c r="RA8299" s="106"/>
      <c r="RB8299" s="106"/>
      <c r="RC8299" s="106"/>
      <c r="RD8299" s="106"/>
      <c r="RE8299" s="106"/>
      <c r="RF8299" s="106"/>
      <c r="RG8299" s="106"/>
      <c r="RH8299" s="106"/>
      <c r="RI8299" s="106"/>
      <c r="RJ8299" s="106"/>
      <c r="RK8299" s="106"/>
      <c r="RL8299" s="106"/>
    </row>
    <row r="8300" spans="462:480" x14ac:dyDescent="0.3">
      <c r="QT8300" s="106"/>
      <c r="QU8300" s="106"/>
      <c r="QV8300" s="106"/>
      <c r="QW8300" s="106"/>
      <c r="QX8300" s="106"/>
      <c r="QY8300" s="106"/>
      <c r="QZ8300" s="106"/>
      <c r="RA8300" s="106"/>
      <c r="RB8300" s="106"/>
      <c r="RC8300" s="106"/>
      <c r="RD8300" s="106"/>
      <c r="RE8300" s="106"/>
      <c r="RF8300" s="106"/>
      <c r="RG8300" s="106"/>
      <c r="RH8300" s="106"/>
      <c r="RI8300" s="106"/>
      <c r="RJ8300" s="106"/>
      <c r="RK8300" s="106"/>
      <c r="RL8300" s="106"/>
    </row>
    <row r="8301" spans="462:480" x14ac:dyDescent="0.3">
      <c r="QT8301" s="106"/>
      <c r="QU8301" s="106"/>
      <c r="QV8301" s="106"/>
      <c r="QW8301" s="106"/>
      <c r="QX8301" s="106"/>
      <c r="QY8301" s="106"/>
      <c r="QZ8301" s="106"/>
      <c r="RA8301" s="106"/>
      <c r="RB8301" s="106"/>
      <c r="RC8301" s="106"/>
      <c r="RD8301" s="106"/>
      <c r="RE8301" s="106"/>
      <c r="RF8301" s="106"/>
      <c r="RG8301" s="106"/>
      <c r="RH8301" s="106"/>
      <c r="RI8301" s="106"/>
      <c r="RJ8301" s="106"/>
      <c r="RK8301" s="106"/>
      <c r="RL8301" s="106"/>
    </row>
    <row r="8302" spans="462:480" x14ac:dyDescent="0.3">
      <c r="QT8302" s="106"/>
      <c r="QU8302" s="106"/>
      <c r="QV8302" s="106"/>
      <c r="QW8302" s="106"/>
      <c r="QX8302" s="106"/>
      <c r="QY8302" s="106"/>
      <c r="QZ8302" s="106"/>
      <c r="RA8302" s="106"/>
      <c r="RB8302" s="106"/>
      <c r="RC8302" s="106"/>
      <c r="RD8302" s="106"/>
      <c r="RE8302" s="106"/>
      <c r="RF8302" s="106"/>
      <c r="RG8302" s="106"/>
      <c r="RH8302" s="106"/>
      <c r="RI8302" s="106"/>
      <c r="RJ8302" s="106"/>
      <c r="RK8302" s="106"/>
      <c r="RL8302" s="106"/>
    </row>
    <row r="8303" spans="462:480" x14ac:dyDescent="0.3">
      <c r="QT8303" s="106"/>
      <c r="QU8303" s="106"/>
      <c r="QV8303" s="106"/>
      <c r="QW8303" s="106"/>
      <c r="QX8303" s="106"/>
      <c r="QY8303" s="106"/>
      <c r="QZ8303" s="106"/>
      <c r="RA8303" s="106"/>
      <c r="RB8303" s="106"/>
      <c r="RC8303" s="106"/>
      <c r="RD8303" s="106"/>
      <c r="RE8303" s="106"/>
      <c r="RF8303" s="106"/>
      <c r="RG8303" s="106"/>
      <c r="RH8303" s="106"/>
      <c r="RI8303" s="106"/>
      <c r="RJ8303" s="106"/>
      <c r="RK8303" s="106"/>
      <c r="RL8303" s="106"/>
    </row>
    <row r="8304" spans="462:480" x14ac:dyDescent="0.3">
      <c r="QT8304" s="106"/>
      <c r="QU8304" s="106"/>
      <c r="QV8304" s="106"/>
      <c r="QW8304" s="106"/>
      <c r="QX8304" s="106"/>
      <c r="QY8304" s="106"/>
      <c r="QZ8304" s="106"/>
      <c r="RA8304" s="106"/>
      <c r="RB8304" s="106"/>
      <c r="RC8304" s="106"/>
      <c r="RD8304" s="106"/>
      <c r="RE8304" s="106"/>
      <c r="RF8304" s="106"/>
      <c r="RG8304" s="106"/>
      <c r="RH8304" s="106"/>
      <c r="RI8304" s="106"/>
      <c r="RJ8304" s="106"/>
      <c r="RK8304" s="106"/>
      <c r="RL8304" s="106"/>
    </row>
    <row r="8305" spans="462:480" x14ac:dyDescent="0.3">
      <c r="QT8305" s="106"/>
      <c r="QU8305" s="106"/>
      <c r="QV8305" s="106"/>
      <c r="QW8305" s="106"/>
      <c r="QX8305" s="106"/>
      <c r="QY8305" s="106"/>
      <c r="QZ8305" s="106"/>
      <c r="RA8305" s="106"/>
      <c r="RB8305" s="106"/>
      <c r="RC8305" s="106"/>
      <c r="RD8305" s="106"/>
      <c r="RE8305" s="106"/>
      <c r="RF8305" s="106"/>
      <c r="RG8305" s="106"/>
      <c r="RH8305" s="106"/>
      <c r="RI8305" s="106"/>
      <c r="RJ8305" s="106"/>
      <c r="RK8305" s="106"/>
      <c r="RL8305" s="106"/>
    </row>
    <row r="8306" spans="462:480" x14ac:dyDescent="0.3">
      <c r="QT8306" s="106"/>
      <c r="QU8306" s="106"/>
      <c r="QV8306" s="106"/>
      <c r="QW8306" s="106"/>
      <c r="QX8306" s="106"/>
      <c r="QY8306" s="106"/>
      <c r="QZ8306" s="106"/>
      <c r="RA8306" s="106"/>
      <c r="RB8306" s="106"/>
      <c r="RC8306" s="106"/>
      <c r="RD8306" s="106"/>
      <c r="RE8306" s="106"/>
      <c r="RF8306" s="106"/>
      <c r="RG8306" s="106"/>
      <c r="RH8306" s="106"/>
      <c r="RI8306" s="106"/>
      <c r="RJ8306" s="106"/>
      <c r="RK8306" s="106"/>
      <c r="RL8306" s="106"/>
    </row>
    <row r="8307" spans="462:480" x14ac:dyDescent="0.3">
      <c r="QT8307" s="106"/>
      <c r="QU8307" s="106"/>
      <c r="QV8307" s="106"/>
      <c r="QW8307" s="106"/>
      <c r="QX8307" s="106"/>
      <c r="QY8307" s="106"/>
      <c r="QZ8307" s="106"/>
      <c r="RA8307" s="106"/>
      <c r="RB8307" s="106"/>
      <c r="RC8307" s="106"/>
      <c r="RD8307" s="106"/>
      <c r="RE8307" s="106"/>
      <c r="RF8307" s="106"/>
      <c r="RG8307" s="106"/>
      <c r="RH8307" s="106"/>
      <c r="RI8307" s="106"/>
      <c r="RJ8307" s="106"/>
      <c r="RK8307" s="106"/>
      <c r="RL8307" s="106"/>
    </row>
    <row r="8308" spans="462:480" x14ac:dyDescent="0.3">
      <c r="QT8308" s="106"/>
      <c r="QU8308" s="106"/>
      <c r="QV8308" s="106"/>
      <c r="QW8308" s="106"/>
      <c r="QX8308" s="106"/>
      <c r="QY8308" s="106"/>
      <c r="QZ8308" s="106"/>
      <c r="RA8308" s="106"/>
      <c r="RB8308" s="106"/>
      <c r="RC8308" s="106"/>
      <c r="RD8308" s="106"/>
      <c r="RE8308" s="106"/>
      <c r="RF8308" s="106"/>
      <c r="RG8308" s="106"/>
      <c r="RH8308" s="106"/>
      <c r="RI8308" s="106"/>
      <c r="RJ8308" s="106"/>
      <c r="RK8308" s="106"/>
      <c r="RL8308" s="106"/>
    </row>
    <row r="8309" spans="462:480" x14ac:dyDescent="0.3">
      <c r="QT8309" s="106"/>
      <c r="QU8309" s="106"/>
      <c r="QV8309" s="106"/>
      <c r="QW8309" s="106"/>
      <c r="QX8309" s="106"/>
      <c r="QY8309" s="106"/>
      <c r="QZ8309" s="106"/>
      <c r="RA8309" s="106"/>
      <c r="RB8309" s="106"/>
      <c r="RC8309" s="106"/>
      <c r="RD8309" s="106"/>
      <c r="RE8309" s="106"/>
      <c r="RF8309" s="106"/>
      <c r="RG8309" s="106"/>
      <c r="RH8309" s="106"/>
      <c r="RI8309" s="106"/>
      <c r="RJ8309" s="106"/>
      <c r="RK8309" s="106"/>
      <c r="RL8309" s="106"/>
    </row>
    <row r="8310" spans="462:480" x14ac:dyDescent="0.3">
      <c r="QT8310" s="106"/>
      <c r="QU8310" s="106"/>
      <c r="QV8310" s="106"/>
      <c r="QW8310" s="106"/>
      <c r="QX8310" s="106"/>
      <c r="QY8310" s="106"/>
      <c r="QZ8310" s="106"/>
      <c r="RA8310" s="106"/>
      <c r="RB8310" s="106"/>
      <c r="RC8310" s="106"/>
      <c r="RD8310" s="106"/>
      <c r="RE8310" s="106"/>
      <c r="RF8310" s="106"/>
      <c r="RG8310" s="106"/>
      <c r="RH8310" s="106"/>
      <c r="RI8310" s="106"/>
      <c r="RJ8310" s="106"/>
      <c r="RK8310" s="106"/>
      <c r="RL8310" s="106"/>
    </row>
    <row r="8311" spans="462:480" x14ac:dyDescent="0.3">
      <c r="QT8311" s="106"/>
      <c r="QU8311" s="106"/>
      <c r="QV8311" s="106"/>
      <c r="QW8311" s="106"/>
      <c r="QX8311" s="106"/>
      <c r="QY8311" s="106"/>
      <c r="QZ8311" s="106"/>
      <c r="RA8311" s="106"/>
      <c r="RB8311" s="106"/>
      <c r="RC8311" s="106"/>
      <c r="RD8311" s="106"/>
      <c r="RE8311" s="106"/>
      <c r="RF8311" s="106"/>
      <c r="RG8311" s="106"/>
      <c r="RH8311" s="106"/>
      <c r="RI8311" s="106"/>
      <c r="RJ8311" s="106"/>
      <c r="RK8311" s="106"/>
      <c r="RL8311" s="106"/>
    </row>
    <row r="8312" spans="462:480" x14ac:dyDescent="0.3">
      <c r="QT8312" s="106"/>
      <c r="QU8312" s="106"/>
      <c r="QV8312" s="106"/>
      <c r="QW8312" s="106"/>
      <c r="QX8312" s="106"/>
      <c r="QY8312" s="106"/>
      <c r="QZ8312" s="106"/>
      <c r="RA8312" s="106"/>
      <c r="RB8312" s="106"/>
      <c r="RC8312" s="106"/>
      <c r="RD8312" s="106"/>
      <c r="RE8312" s="106"/>
      <c r="RF8312" s="106"/>
      <c r="RG8312" s="106"/>
      <c r="RH8312" s="106"/>
      <c r="RI8312" s="106"/>
      <c r="RJ8312" s="106"/>
      <c r="RK8312" s="106"/>
      <c r="RL8312" s="106"/>
    </row>
    <row r="8313" spans="462:480" x14ac:dyDescent="0.3">
      <c r="QT8313" s="106"/>
      <c r="QU8313" s="106"/>
      <c r="QV8313" s="106"/>
      <c r="QW8313" s="106"/>
      <c r="QX8313" s="106"/>
      <c r="QY8313" s="106"/>
      <c r="QZ8313" s="106"/>
      <c r="RA8313" s="106"/>
      <c r="RB8313" s="106"/>
      <c r="RC8313" s="106"/>
      <c r="RD8313" s="106"/>
      <c r="RE8313" s="106"/>
      <c r="RF8313" s="106"/>
      <c r="RG8313" s="106"/>
      <c r="RH8313" s="106"/>
      <c r="RI8313" s="106"/>
      <c r="RJ8313" s="106"/>
      <c r="RK8313" s="106"/>
      <c r="RL8313" s="106"/>
    </row>
    <row r="8314" spans="462:480" x14ac:dyDescent="0.3">
      <c r="QT8314" s="106"/>
      <c r="QU8314" s="106"/>
      <c r="QV8314" s="106"/>
      <c r="QW8314" s="106"/>
      <c r="QX8314" s="106"/>
      <c r="QY8314" s="106"/>
      <c r="QZ8314" s="106"/>
      <c r="RA8314" s="106"/>
      <c r="RB8314" s="106"/>
      <c r="RC8314" s="106"/>
      <c r="RD8314" s="106"/>
      <c r="RE8314" s="106"/>
      <c r="RF8314" s="106"/>
      <c r="RG8314" s="106"/>
      <c r="RH8314" s="106"/>
      <c r="RI8314" s="106"/>
      <c r="RJ8314" s="106"/>
      <c r="RK8314" s="106"/>
      <c r="RL8314" s="106"/>
    </row>
    <row r="8315" spans="462:480" x14ac:dyDescent="0.3">
      <c r="QT8315" s="106"/>
      <c r="QU8315" s="106"/>
      <c r="QV8315" s="106"/>
      <c r="QW8315" s="106"/>
      <c r="QX8315" s="106"/>
      <c r="QY8315" s="106"/>
      <c r="QZ8315" s="106"/>
      <c r="RA8315" s="106"/>
      <c r="RB8315" s="106"/>
      <c r="RC8315" s="106"/>
      <c r="RD8315" s="106"/>
      <c r="RE8315" s="106"/>
      <c r="RF8315" s="106"/>
      <c r="RG8315" s="106"/>
      <c r="RH8315" s="106"/>
      <c r="RI8315" s="106"/>
      <c r="RJ8315" s="106"/>
      <c r="RK8315" s="106"/>
      <c r="RL8315" s="106"/>
    </row>
    <row r="8316" spans="462:480" x14ac:dyDescent="0.3">
      <c r="QT8316" s="106"/>
      <c r="QU8316" s="106"/>
      <c r="QV8316" s="106"/>
      <c r="QW8316" s="106"/>
      <c r="QX8316" s="106"/>
      <c r="QY8316" s="106"/>
      <c r="QZ8316" s="106"/>
      <c r="RA8316" s="106"/>
      <c r="RB8316" s="106"/>
      <c r="RC8316" s="106"/>
      <c r="RD8316" s="106"/>
      <c r="RE8316" s="106"/>
      <c r="RF8316" s="106"/>
      <c r="RG8316" s="106"/>
      <c r="RH8316" s="106"/>
      <c r="RI8316" s="106"/>
      <c r="RJ8316" s="106"/>
      <c r="RK8316" s="106"/>
      <c r="RL8316" s="106"/>
    </row>
    <row r="8317" spans="462:480" x14ac:dyDescent="0.3">
      <c r="QT8317" s="106"/>
      <c r="QU8317" s="106"/>
      <c r="QV8317" s="106"/>
      <c r="QW8317" s="106"/>
      <c r="QX8317" s="106"/>
      <c r="QY8317" s="106"/>
      <c r="QZ8317" s="106"/>
      <c r="RA8317" s="106"/>
      <c r="RB8317" s="106"/>
      <c r="RC8317" s="106"/>
      <c r="RD8317" s="106"/>
      <c r="RE8317" s="106"/>
      <c r="RF8317" s="106"/>
      <c r="RG8317" s="106"/>
      <c r="RH8317" s="106"/>
      <c r="RI8317" s="106"/>
      <c r="RJ8317" s="106"/>
      <c r="RK8317" s="106"/>
      <c r="RL8317" s="106"/>
    </row>
    <row r="8318" spans="462:480" x14ac:dyDescent="0.3">
      <c r="QT8318" s="106"/>
      <c r="QU8318" s="106"/>
      <c r="QV8318" s="106"/>
      <c r="QW8318" s="106"/>
      <c r="QX8318" s="106"/>
      <c r="QY8318" s="106"/>
      <c r="QZ8318" s="106"/>
      <c r="RA8318" s="106"/>
      <c r="RB8318" s="106"/>
      <c r="RC8318" s="106"/>
      <c r="RD8318" s="106"/>
      <c r="RE8318" s="106"/>
      <c r="RF8318" s="106"/>
      <c r="RG8318" s="106"/>
      <c r="RH8318" s="106"/>
      <c r="RI8318" s="106"/>
      <c r="RJ8318" s="106"/>
      <c r="RK8318" s="106"/>
      <c r="RL8318" s="106"/>
    </row>
    <row r="8319" spans="462:480" x14ac:dyDescent="0.3">
      <c r="QT8319" s="106"/>
      <c r="QU8319" s="106"/>
      <c r="QV8319" s="106"/>
      <c r="QW8319" s="106"/>
      <c r="QX8319" s="106"/>
      <c r="QY8319" s="106"/>
      <c r="QZ8319" s="106"/>
      <c r="RA8319" s="106"/>
      <c r="RB8319" s="106"/>
      <c r="RC8319" s="106"/>
      <c r="RD8319" s="106"/>
      <c r="RE8319" s="106"/>
      <c r="RF8319" s="106"/>
      <c r="RG8319" s="106"/>
      <c r="RH8319" s="106"/>
      <c r="RI8319" s="106"/>
      <c r="RJ8319" s="106"/>
      <c r="RK8319" s="106"/>
      <c r="RL8319" s="106"/>
    </row>
    <row r="8320" spans="462:480" x14ac:dyDescent="0.3">
      <c r="QT8320" s="106"/>
      <c r="QU8320" s="106"/>
      <c r="QV8320" s="106"/>
      <c r="QW8320" s="106"/>
      <c r="QX8320" s="106"/>
      <c r="QY8320" s="106"/>
      <c r="QZ8320" s="106"/>
      <c r="RA8320" s="106"/>
      <c r="RB8320" s="106"/>
      <c r="RC8320" s="106"/>
      <c r="RD8320" s="106"/>
      <c r="RE8320" s="106"/>
      <c r="RF8320" s="106"/>
      <c r="RG8320" s="106"/>
      <c r="RH8320" s="106"/>
      <c r="RI8320" s="106"/>
      <c r="RJ8320" s="106"/>
      <c r="RK8320" s="106"/>
      <c r="RL8320" s="106"/>
    </row>
    <row r="8321" spans="462:480" x14ac:dyDescent="0.3">
      <c r="QT8321" s="106"/>
      <c r="QU8321" s="106"/>
      <c r="QV8321" s="106"/>
      <c r="QW8321" s="106"/>
      <c r="QX8321" s="106"/>
      <c r="QY8321" s="106"/>
      <c r="QZ8321" s="106"/>
      <c r="RA8321" s="106"/>
      <c r="RB8321" s="106"/>
      <c r="RC8321" s="106"/>
      <c r="RD8321" s="106"/>
      <c r="RE8321" s="106"/>
      <c r="RF8321" s="106"/>
      <c r="RG8321" s="106"/>
      <c r="RH8321" s="106"/>
      <c r="RI8321" s="106"/>
      <c r="RJ8321" s="106"/>
      <c r="RK8321" s="106"/>
      <c r="RL8321" s="106"/>
    </row>
    <row r="8322" spans="462:480" x14ac:dyDescent="0.3">
      <c r="QT8322" s="106"/>
      <c r="QU8322" s="106"/>
      <c r="QV8322" s="106"/>
      <c r="QW8322" s="106"/>
      <c r="QX8322" s="106"/>
      <c r="QY8322" s="106"/>
      <c r="QZ8322" s="106"/>
      <c r="RA8322" s="106"/>
      <c r="RB8322" s="106"/>
      <c r="RC8322" s="106"/>
      <c r="RD8322" s="106"/>
      <c r="RE8322" s="106"/>
      <c r="RF8322" s="106"/>
      <c r="RG8322" s="106"/>
      <c r="RH8322" s="106"/>
      <c r="RI8322" s="106"/>
      <c r="RJ8322" s="106"/>
      <c r="RK8322" s="106"/>
      <c r="RL8322" s="106"/>
    </row>
    <row r="8323" spans="462:480" x14ac:dyDescent="0.3">
      <c r="QT8323" s="106"/>
      <c r="QU8323" s="106"/>
      <c r="QV8323" s="106"/>
      <c r="QW8323" s="106"/>
      <c r="QX8323" s="106"/>
      <c r="QY8323" s="106"/>
      <c r="QZ8323" s="106"/>
      <c r="RA8323" s="106"/>
      <c r="RB8323" s="106"/>
      <c r="RC8323" s="106"/>
      <c r="RD8323" s="106"/>
      <c r="RE8323" s="106"/>
      <c r="RF8323" s="106"/>
      <c r="RG8323" s="106"/>
      <c r="RH8323" s="106"/>
      <c r="RI8323" s="106"/>
      <c r="RJ8323" s="106"/>
      <c r="RK8323" s="106"/>
      <c r="RL8323" s="106"/>
    </row>
    <row r="8324" spans="462:480" x14ac:dyDescent="0.3">
      <c r="QT8324" s="106"/>
      <c r="QU8324" s="106"/>
      <c r="QV8324" s="106"/>
      <c r="QW8324" s="106"/>
      <c r="QX8324" s="106"/>
      <c r="QY8324" s="106"/>
      <c r="QZ8324" s="106"/>
      <c r="RA8324" s="106"/>
      <c r="RB8324" s="106"/>
      <c r="RC8324" s="106"/>
      <c r="RD8324" s="106"/>
      <c r="RE8324" s="106"/>
      <c r="RF8324" s="106"/>
      <c r="RG8324" s="106"/>
      <c r="RH8324" s="106"/>
      <c r="RI8324" s="106"/>
      <c r="RJ8324" s="106"/>
      <c r="RK8324" s="106"/>
      <c r="RL8324" s="106"/>
    </row>
    <row r="8325" spans="462:480" x14ac:dyDescent="0.3">
      <c r="QT8325" s="106"/>
      <c r="QU8325" s="106"/>
      <c r="QV8325" s="106"/>
      <c r="QW8325" s="106"/>
      <c r="QX8325" s="106"/>
      <c r="QY8325" s="106"/>
      <c r="QZ8325" s="106"/>
      <c r="RA8325" s="106"/>
      <c r="RB8325" s="106"/>
      <c r="RC8325" s="106"/>
      <c r="RD8325" s="106"/>
      <c r="RE8325" s="106"/>
      <c r="RF8325" s="106"/>
      <c r="RG8325" s="106"/>
      <c r="RH8325" s="106"/>
      <c r="RI8325" s="106"/>
      <c r="RJ8325" s="106"/>
      <c r="RK8325" s="106"/>
      <c r="RL8325" s="106"/>
    </row>
    <row r="8326" spans="462:480" x14ac:dyDescent="0.3">
      <c r="QT8326" s="106"/>
      <c r="QU8326" s="106"/>
      <c r="QV8326" s="106"/>
      <c r="QW8326" s="106"/>
      <c r="QX8326" s="106"/>
      <c r="QY8326" s="106"/>
      <c r="QZ8326" s="106"/>
      <c r="RA8326" s="106"/>
      <c r="RB8326" s="106"/>
      <c r="RC8326" s="106"/>
      <c r="RD8326" s="106"/>
      <c r="RE8326" s="106"/>
      <c r="RF8326" s="106"/>
      <c r="RG8326" s="106"/>
      <c r="RH8326" s="106"/>
      <c r="RI8326" s="106"/>
      <c r="RJ8326" s="106"/>
      <c r="RK8326" s="106"/>
      <c r="RL8326" s="106"/>
    </row>
    <row r="8327" spans="462:480" x14ac:dyDescent="0.3">
      <c r="QT8327" s="106"/>
      <c r="QU8327" s="106"/>
      <c r="QV8327" s="106"/>
      <c r="QW8327" s="106"/>
      <c r="QX8327" s="106"/>
      <c r="QY8327" s="106"/>
      <c r="QZ8327" s="106"/>
      <c r="RA8327" s="106"/>
      <c r="RB8327" s="106"/>
      <c r="RC8327" s="106"/>
      <c r="RD8327" s="106"/>
      <c r="RE8327" s="106"/>
      <c r="RF8327" s="106"/>
      <c r="RG8327" s="106"/>
      <c r="RH8327" s="106"/>
      <c r="RI8327" s="106"/>
      <c r="RJ8327" s="106"/>
      <c r="RK8327" s="106"/>
      <c r="RL8327" s="106"/>
    </row>
    <row r="8328" spans="462:480" x14ac:dyDescent="0.3">
      <c r="QT8328" s="106"/>
      <c r="QU8328" s="106"/>
      <c r="QV8328" s="106"/>
      <c r="QW8328" s="106"/>
      <c r="QX8328" s="106"/>
      <c r="QY8328" s="106"/>
      <c r="QZ8328" s="106"/>
      <c r="RA8328" s="106"/>
      <c r="RB8328" s="106"/>
      <c r="RC8328" s="106"/>
      <c r="RD8328" s="106"/>
      <c r="RE8328" s="106"/>
      <c r="RF8328" s="106"/>
      <c r="RG8328" s="106"/>
      <c r="RH8328" s="106"/>
      <c r="RI8328" s="106"/>
      <c r="RJ8328" s="106"/>
      <c r="RK8328" s="106"/>
      <c r="RL8328" s="106"/>
    </row>
    <row r="8329" spans="462:480" x14ac:dyDescent="0.3">
      <c r="QT8329" s="106"/>
      <c r="QU8329" s="106"/>
      <c r="QV8329" s="106"/>
      <c r="QW8329" s="106"/>
      <c r="QX8329" s="106"/>
      <c r="QY8329" s="106"/>
      <c r="QZ8329" s="106"/>
      <c r="RA8329" s="106"/>
      <c r="RB8329" s="106"/>
      <c r="RC8329" s="106"/>
      <c r="RD8329" s="106"/>
      <c r="RE8329" s="106"/>
      <c r="RF8329" s="106"/>
      <c r="RG8329" s="106"/>
      <c r="RH8329" s="106"/>
      <c r="RI8329" s="106"/>
      <c r="RJ8329" s="106"/>
      <c r="RK8329" s="106"/>
      <c r="RL8329" s="106"/>
    </row>
    <row r="8330" spans="462:480" x14ac:dyDescent="0.3">
      <c r="QT8330" s="106"/>
      <c r="QU8330" s="106"/>
      <c r="QV8330" s="106"/>
      <c r="QW8330" s="106"/>
      <c r="QX8330" s="106"/>
      <c r="QY8330" s="106"/>
      <c r="QZ8330" s="106"/>
      <c r="RA8330" s="106"/>
      <c r="RB8330" s="106"/>
      <c r="RC8330" s="106"/>
      <c r="RD8330" s="106"/>
      <c r="RE8330" s="106"/>
      <c r="RF8330" s="106"/>
      <c r="RG8330" s="106"/>
      <c r="RH8330" s="106"/>
      <c r="RI8330" s="106"/>
      <c r="RJ8330" s="106"/>
      <c r="RK8330" s="106"/>
      <c r="RL8330" s="106"/>
    </row>
    <row r="8331" spans="462:480" x14ac:dyDescent="0.3">
      <c r="QT8331" s="106"/>
      <c r="QU8331" s="106"/>
      <c r="QV8331" s="106"/>
      <c r="QW8331" s="106"/>
      <c r="QX8331" s="106"/>
      <c r="QY8331" s="106"/>
      <c r="QZ8331" s="106"/>
      <c r="RA8331" s="106"/>
      <c r="RB8331" s="106"/>
      <c r="RC8331" s="106"/>
      <c r="RD8331" s="106"/>
      <c r="RE8331" s="106"/>
      <c r="RF8331" s="106"/>
      <c r="RG8331" s="106"/>
      <c r="RH8331" s="106"/>
      <c r="RI8331" s="106"/>
      <c r="RJ8331" s="106"/>
      <c r="RK8331" s="106"/>
      <c r="RL8331" s="106"/>
    </row>
    <row r="8332" spans="462:480" x14ac:dyDescent="0.3">
      <c r="QT8332" s="106"/>
      <c r="QU8332" s="106"/>
      <c r="QV8332" s="106"/>
      <c r="QW8332" s="106"/>
      <c r="QX8332" s="106"/>
      <c r="QY8332" s="106"/>
      <c r="QZ8332" s="106"/>
      <c r="RA8332" s="106"/>
      <c r="RB8332" s="106"/>
      <c r="RC8332" s="106"/>
      <c r="RD8332" s="106"/>
      <c r="RE8332" s="106"/>
      <c r="RF8332" s="106"/>
      <c r="RG8332" s="106"/>
      <c r="RH8332" s="106"/>
      <c r="RI8332" s="106"/>
      <c r="RJ8332" s="106"/>
      <c r="RK8332" s="106"/>
      <c r="RL8332" s="106"/>
    </row>
    <row r="8333" spans="462:480" x14ac:dyDescent="0.3">
      <c r="QT8333" s="106"/>
      <c r="QU8333" s="106"/>
      <c r="QV8333" s="106"/>
      <c r="QW8333" s="106"/>
      <c r="QX8333" s="106"/>
      <c r="QY8333" s="106"/>
      <c r="QZ8333" s="106"/>
      <c r="RA8333" s="106"/>
      <c r="RB8333" s="106"/>
      <c r="RC8333" s="106"/>
      <c r="RD8333" s="106"/>
      <c r="RE8333" s="106"/>
      <c r="RF8333" s="106"/>
      <c r="RG8333" s="106"/>
      <c r="RH8333" s="106"/>
      <c r="RI8333" s="106"/>
      <c r="RJ8333" s="106"/>
      <c r="RK8333" s="106"/>
      <c r="RL8333" s="106"/>
    </row>
    <row r="8334" spans="462:480" x14ac:dyDescent="0.3">
      <c r="QT8334" s="106"/>
      <c r="QU8334" s="106"/>
      <c r="QV8334" s="106"/>
      <c r="QW8334" s="106"/>
      <c r="QX8334" s="106"/>
      <c r="QY8334" s="106"/>
      <c r="QZ8334" s="106"/>
      <c r="RA8334" s="106"/>
      <c r="RB8334" s="106"/>
      <c r="RC8334" s="106"/>
      <c r="RD8334" s="106"/>
      <c r="RE8334" s="106"/>
      <c r="RF8334" s="106"/>
      <c r="RG8334" s="106"/>
      <c r="RH8334" s="106"/>
      <c r="RI8334" s="106"/>
      <c r="RJ8334" s="106"/>
      <c r="RK8334" s="106"/>
      <c r="RL8334" s="106"/>
    </row>
    <row r="8335" spans="462:480" x14ac:dyDescent="0.3">
      <c r="QT8335" s="106"/>
      <c r="QU8335" s="106"/>
      <c r="QV8335" s="106"/>
      <c r="QW8335" s="106"/>
      <c r="QX8335" s="106"/>
      <c r="QY8335" s="106"/>
      <c r="QZ8335" s="106"/>
      <c r="RA8335" s="106"/>
      <c r="RB8335" s="106"/>
      <c r="RC8335" s="106"/>
      <c r="RD8335" s="106"/>
      <c r="RE8335" s="106"/>
      <c r="RF8335" s="106"/>
      <c r="RG8335" s="106"/>
      <c r="RH8335" s="106"/>
      <c r="RI8335" s="106"/>
      <c r="RJ8335" s="106"/>
      <c r="RK8335" s="106"/>
      <c r="RL8335" s="106"/>
    </row>
    <row r="8336" spans="462:480" x14ac:dyDescent="0.3">
      <c r="QT8336" s="106"/>
      <c r="QU8336" s="106"/>
      <c r="QV8336" s="106"/>
      <c r="QW8336" s="106"/>
      <c r="QX8336" s="106"/>
      <c r="QY8336" s="106"/>
      <c r="QZ8336" s="106"/>
      <c r="RA8336" s="106"/>
      <c r="RB8336" s="106"/>
      <c r="RC8336" s="106"/>
      <c r="RD8336" s="106"/>
      <c r="RE8336" s="106"/>
      <c r="RF8336" s="106"/>
      <c r="RG8336" s="106"/>
      <c r="RH8336" s="106"/>
      <c r="RI8336" s="106"/>
      <c r="RJ8336" s="106"/>
      <c r="RK8336" s="106"/>
      <c r="RL8336" s="106"/>
    </row>
    <row r="8337" spans="462:480" x14ac:dyDescent="0.3">
      <c r="QT8337" s="106"/>
      <c r="QU8337" s="106"/>
      <c r="QV8337" s="106"/>
      <c r="QW8337" s="106"/>
      <c r="QX8337" s="106"/>
      <c r="QY8337" s="106"/>
      <c r="QZ8337" s="106"/>
      <c r="RA8337" s="106"/>
      <c r="RB8337" s="106"/>
      <c r="RC8337" s="106"/>
      <c r="RD8337" s="106"/>
      <c r="RE8337" s="106"/>
      <c r="RF8337" s="106"/>
      <c r="RG8337" s="106"/>
      <c r="RH8337" s="106"/>
      <c r="RI8337" s="106"/>
      <c r="RJ8337" s="106"/>
      <c r="RK8337" s="106"/>
      <c r="RL8337" s="106"/>
    </row>
    <row r="8338" spans="462:480" x14ac:dyDescent="0.3">
      <c r="QT8338" s="106"/>
      <c r="QU8338" s="106"/>
      <c r="QV8338" s="106"/>
      <c r="QW8338" s="106"/>
      <c r="QX8338" s="106"/>
      <c r="QY8338" s="106"/>
      <c r="QZ8338" s="106"/>
      <c r="RA8338" s="106"/>
      <c r="RB8338" s="106"/>
      <c r="RC8338" s="106"/>
      <c r="RD8338" s="106"/>
      <c r="RE8338" s="106"/>
      <c r="RF8338" s="106"/>
      <c r="RG8338" s="106"/>
      <c r="RH8338" s="106"/>
      <c r="RI8338" s="106"/>
      <c r="RJ8338" s="106"/>
      <c r="RK8338" s="106"/>
      <c r="RL8338" s="106"/>
    </row>
    <row r="8339" spans="462:480" x14ac:dyDescent="0.3">
      <c r="QT8339" s="106"/>
      <c r="QU8339" s="106"/>
      <c r="QV8339" s="106"/>
      <c r="QW8339" s="106"/>
      <c r="QX8339" s="106"/>
      <c r="QY8339" s="106"/>
      <c r="QZ8339" s="106"/>
      <c r="RA8339" s="106"/>
      <c r="RB8339" s="106"/>
      <c r="RC8339" s="106"/>
      <c r="RD8339" s="106"/>
      <c r="RE8339" s="106"/>
      <c r="RF8339" s="106"/>
      <c r="RG8339" s="106"/>
      <c r="RH8339" s="106"/>
      <c r="RI8339" s="106"/>
      <c r="RJ8339" s="106"/>
      <c r="RK8339" s="106"/>
      <c r="RL8339" s="106"/>
    </row>
    <row r="8340" spans="462:480" x14ac:dyDescent="0.3">
      <c r="QT8340" s="106"/>
      <c r="QU8340" s="106"/>
      <c r="QV8340" s="106"/>
      <c r="QW8340" s="106"/>
      <c r="QX8340" s="106"/>
      <c r="QY8340" s="106"/>
      <c r="QZ8340" s="106"/>
      <c r="RA8340" s="106"/>
      <c r="RB8340" s="106"/>
      <c r="RC8340" s="106"/>
      <c r="RD8340" s="106"/>
      <c r="RE8340" s="106"/>
      <c r="RF8340" s="106"/>
      <c r="RG8340" s="106"/>
      <c r="RH8340" s="106"/>
      <c r="RI8340" s="106"/>
      <c r="RJ8340" s="106"/>
      <c r="RK8340" s="106"/>
      <c r="RL8340" s="106"/>
    </row>
    <row r="8341" spans="462:480" x14ac:dyDescent="0.3">
      <c r="QT8341" s="106"/>
      <c r="QU8341" s="106"/>
      <c r="QV8341" s="106"/>
      <c r="QW8341" s="106"/>
      <c r="QX8341" s="106"/>
      <c r="QY8341" s="106"/>
      <c r="QZ8341" s="106"/>
      <c r="RA8341" s="106"/>
      <c r="RB8341" s="106"/>
      <c r="RC8341" s="106"/>
      <c r="RD8341" s="106"/>
      <c r="RE8341" s="106"/>
      <c r="RF8341" s="106"/>
      <c r="RG8341" s="106"/>
      <c r="RH8341" s="106"/>
      <c r="RI8341" s="106"/>
      <c r="RJ8341" s="106"/>
      <c r="RK8341" s="106"/>
      <c r="RL8341" s="106"/>
    </row>
    <row r="8342" spans="462:480" x14ac:dyDescent="0.3">
      <c r="QT8342" s="106"/>
      <c r="QU8342" s="106"/>
      <c r="QV8342" s="106"/>
      <c r="QW8342" s="106"/>
      <c r="QX8342" s="106"/>
      <c r="QY8342" s="106"/>
      <c r="QZ8342" s="106"/>
      <c r="RA8342" s="106"/>
      <c r="RB8342" s="106"/>
      <c r="RC8342" s="106"/>
      <c r="RD8342" s="106"/>
      <c r="RE8342" s="106"/>
      <c r="RF8342" s="106"/>
      <c r="RG8342" s="106"/>
      <c r="RH8342" s="106"/>
      <c r="RI8342" s="106"/>
      <c r="RJ8342" s="106"/>
      <c r="RK8342" s="106"/>
      <c r="RL8342" s="106"/>
    </row>
    <row r="8343" spans="462:480" x14ac:dyDescent="0.3">
      <c r="QT8343" s="106"/>
      <c r="QU8343" s="106"/>
      <c r="QV8343" s="106"/>
      <c r="QW8343" s="106"/>
      <c r="QX8343" s="106"/>
      <c r="QY8343" s="106"/>
      <c r="QZ8343" s="106"/>
      <c r="RA8343" s="106"/>
      <c r="RB8343" s="106"/>
      <c r="RC8343" s="106"/>
      <c r="RD8343" s="106"/>
      <c r="RE8343" s="106"/>
      <c r="RF8343" s="106"/>
      <c r="RG8343" s="106"/>
      <c r="RH8343" s="106"/>
      <c r="RI8343" s="106"/>
      <c r="RJ8343" s="106"/>
      <c r="RK8343" s="106"/>
      <c r="RL8343" s="106"/>
    </row>
    <row r="8344" spans="462:480" x14ac:dyDescent="0.3">
      <c r="QT8344" s="106"/>
      <c r="QU8344" s="106"/>
      <c r="QV8344" s="106"/>
      <c r="QW8344" s="106"/>
      <c r="QX8344" s="106"/>
      <c r="QY8344" s="106"/>
      <c r="QZ8344" s="106"/>
      <c r="RA8344" s="106"/>
      <c r="RB8344" s="106"/>
      <c r="RC8344" s="106"/>
      <c r="RD8344" s="106"/>
      <c r="RE8344" s="106"/>
      <c r="RF8344" s="106"/>
      <c r="RG8344" s="106"/>
      <c r="RH8344" s="106"/>
      <c r="RI8344" s="106"/>
      <c r="RJ8344" s="106"/>
      <c r="RK8344" s="106"/>
      <c r="RL8344" s="106"/>
    </row>
    <row r="8345" spans="462:480" x14ac:dyDescent="0.3">
      <c r="QT8345" s="106"/>
      <c r="QU8345" s="106"/>
      <c r="QV8345" s="106"/>
      <c r="QW8345" s="106"/>
      <c r="QX8345" s="106"/>
      <c r="QY8345" s="106"/>
      <c r="QZ8345" s="106"/>
      <c r="RA8345" s="106"/>
      <c r="RB8345" s="106"/>
      <c r="RC8345" s="106"/>
      <c r="RD8345" s="106"/>
      <c r="RE8345" s="106"/>
      <c r="RF8345" s="106"/>
      <c r="RG8345" s="106"/>
      <c r="RH8345" s="106"/>
      <c r="RI8345" s="106"/>
      <c r="RJ8345" s="106"/>
      <c r="RK8345" s="106"/>
      <c r="RL8345" s="106"/>
    </row>
    <row r="8346" spans="462:480" x14ac:dyDescent="0.3">
      <c r="QT8346" s="106"/>
      <c r="QU8346" s="106"/>
      <c r="QV8346" s="106"/>
      <c r="QW8346" s="106"/>
      <c r="QX8346" s="106"/>
      <c r="QY8346" s="106"/>
      <c r="QZ8346" s="106"/>
      <c r="RA8346" s="106"/>
      <c r="RB8346" s="106"/>
      <c r="RC8346" s="106"/>
      <c r="RD8346" s="106"/>
      <c r="RE8346" s="106"/>
      <c r="RF8346" s="106"/>
      <c r="RG8346" s="106"/>
      <c r="RH8346" s="106"/>
      <c r="RI8346" s="106"/>
      <c r="RJ8346" s="106"/>
      <c r="RK8346" s="106"/>
      <c r="RL8346" s="106"/>
    </row>
    <row r="8347" spans="462:480" x14ac:dyDescent="0.3">
      <c r="QT8347" s="106"/>
      <c r="QU8347" s="106"/>
      <c r="QV8347" s="106"/>
      <c r="QW8347" s="106"/>
      <c r="QX8347" s="106"/>
      <c r="QY8347" s="106"/>
      <c r="QZ8347" s="106"/>
      <c r="RA8347" s="106"/>
      <c r="RB8347" s="106"/>
      <c r="RC8347" s="106"/>
      <c r="RD8347" s="106"/>
      <c r="RE8347" s="106"/>
      <c r="RF8347" s="106"/>
      <c r="RG8347" s="106"/>
      <c r="RH8347" s="106"/>
      <c r="RI8347" s="106"/>
      <c r="RJ8347" s="106"/>
      <c r="RK8347" s="106"/>
      <c r="RL8347" s="106"/>
    </row>
    <row r="8348" spans="462:480" x14ac:dyDescent="0.3">
      <c r="QT8348" s="106"/>
      <c r="QU8348" s="106"/>
      <c r="QV8348" s="106"/>
      <c r="QW8348" s="106"/>
      <c r="QX8348" s="106"/>
      <c r="QY8348" s="106"/>
      <c r="QZ8348" s="106"/>
      <c r="RA8348" s="106"/>
      <c r="RB8348" s="106"/>
      <c r="RC8348" s="106"/>
      <c r="RD8348" s="106"/>
      <c r="RE8348" s="106"/>
      <c r="RF8348" s="106"/>
      <c r="RG8348" s="106"/>
      <c r="RH8348" s="106"/>
      <c r="RI8348" s="106"/>
      <c r="RJ8348" s="106"/>
      <c r="RK8348" s="106"/>
      <c r="RL8348" s="106"/>
    </row>
    <row r="8349" spans="462:480" x14ac:dyDescent="0.3">
      <c r="QT8349" s="106"/>
      <c r="QU8349" s="106"/>
      <c r="QV8349" s="106"/>
      <c r="QW8349" s="106"/>
      <c r="QX8349" s="106"/>
      <c r="QY8349" s="106"/>
      <c r="QZ8349" s="106"/>
      <c r="RA8349" s="106"/>
      <c r="RB8349" s="106"/>
      <c r="RC8349" s="106"/>
      <c r="RD8349" s="106"/>
      <c r="RE8349" s="106"/>
      <c r="RF8349" s="106"/>
      <c r="RG8349" s="106"/>
      <c r="RH8349" s="106"/>
      <c r="RI8349" s="106"/>
      <c r="RJ8349" s="106"/>
      <c r="RK8349" s="106"/>
      <c r="RL8349" s="106"/>
    </row>
    <row r="8350" spans="462:480" x14ac:dyDescent="0.3">
      <c r="QT8350" s="106"/>
      <c r="QU8350" s="106"/>
      <c r="QV8350" s="106"/>
      <c r="QW8350" s="106"/>
      <c r="QX8350" s="106"/>
      <c r="QY8350" s="106"/>
      <c r="QZ8350" s="106"/>
      <c r="RA8350" s="106"/>
      <c r="RB8350" s="106"/>
      <c r="RC8350" s="106"/>
      <c r="RD8350" s="106"/>
      <c r="RE8350" s="106"/>
      <c r="RF8350" s="106"/>
      <c r="RG8350" s="106"/>
      <c r="RH8350" s="106"/>
      <c r="RI8350" s="106"/>
      <c r="RJ8350" s="106"/>
      <c r="RK8350" s="106"/>
      <c r="RL8350" s="106"/>
    </row>
    <row r="8351" spans="462:480" x14ac:dyDescent="0.3">
      <c r="QT8351" s="106"/>
      <c r="QU8351" s="106"/>
      <c r="QV8351" s="106"/>
      <c r="QW8351" s="106"/>
      <c r="QX8351" s="106"/>
      <c r="QY8351" s="106"/>
      <c r="QZ8351" s="106"/>
      <c r="RA8351" s="106"/>
      <c r="RB8351" s="106"/>
      <c r="RC8351" s="106"/>
      <c r="RD8351" s="106"/>
      <c r="RE8351" s="106"/>
      <c r="RF8351" s="106"/>
      <c r="RG8351" s="106"/>
      <c r="RH8351" s="106"/>
      <c r="RI8351" s="106"/>
      <c r="RJ8351" s="106"/>
      <c r="RK8351" s="106"/>
      <c r="RL8351" s="106"/>
    </row>
    <row r="8352" spans="462:480" x14ac:dyDescent="0.3">
      <c r="QT8352" s="106"/>
      <c r="QU8352" s="106"/>
      <c r="QV8352" s="106"/>
      <c r="QW8352" s="106"/>
      <c r="QX8352" s="106"/>
      <c r="QY8352" s="106"/>
      <c r="QZ8352" s="106"/>
      <c r="RA8352" s="106"/>
      <c r="RB8352" s="106"/>
      <c r="RC8352" s="106"/>
      <c r="RD8352" s="106"/>
      <c r="RE8352" s="106"/>
      <c r="RF8352" s="106"/>
      <c r="RG8352" s="106"/>
      <c r="RH8352" s="106"/>
      <c r="RI8352" s="106"/>
      <c r="RJ8352" s="106"/>
      <c r="RK8352" s="106"/>
      <c r="RL8352" s="106"/>
    </row>
    <row r="8353" spans="462:480" x14ac:dyDescent="0.3">
      <c r="QT8353" s="106"/>
      <c r="QU8353" s="106"/>
      <c r="QV8353" s="106"/>
      <c r="QW8353" s="106"/>
      <c r="QX8353" s="106"/>
      <c r="QY8353" s="106"/>
      <c r="QZ8353" s="106"/>
      <c r="RA8353" s="106"/>
      <c r="RB8353" s="106"/>
      <c r="RC8353" s="106"/>
      <c r="RD8353" s="106"/>
      <c r="RE8353" s="106"/>
      <c r="RF8353" s="106"/>
      <c r="RG8353" s="106"/>
      <c r="RH8353" s="106"/>
      <c r="RI8353" s="106"/>
      <c r="RJ8353" s="106"/>
      <c r="RK8353" s="106"/>
      <c r="RL8353" s="106"/>
    </row>
    <row r="8354" spans="462:480" x14ac:dyDescent="0.3">
      <c r="QT8354" s="106"/>
      <c r="QU8354" s="106"/>
      <c r="QV8354" s="106"/>
      <c r="QW8354" s="106"/>
      <c r="QX8354" s="106"/>
      <c r="QY8354" s="106"/>
      <c r="QZ8354" s="106"/>
      <c r="RA8354" s="106"/>
      <c r="RB8354" s="106"/>
      <c r="RC8354" s="106"/>
      <c r="RD8354" s="106"/>
      <c r="RE8354" s="106"/>
      <c r="RF8354" s="106"/>
      <c r="RG8354" s="106"/>
      <c r="RH8354" s="106"/>
      <c r="RI8354" s="106"/>
      <c r="RJ8354" s="106"/>
      <c r="RK8354" s="106"/>
      <c r="RL8354" s="106"/>
    </row>
    <row r="8355" spans="462:480" x14ac:dyDescent="0.3">
      <c r="QT8355" s="106"/>
      <c r="QU8355" s="106"/>
      <c r="QV8355" s="106"/>
      <c r="QW8355" s="106"/>
      <c r="QX8355" s="106"/>
      <c r="QY8355" s="106"/>
      <c r="QZ8355" s="106"/>
      <c r="RA8355" s="106"/>
      <c r="RB8355" s="106"/>
      <c r="RC8355" s="106"/>
      <c r="RD8355" s="106"/>
      <c r="RE8355" s="106"/>
      <c r="RF8355" s="106"/>
      <c r="RG8355" s="106"/>
      <c r="RH8355" s="106"/>
      <c r="RI8355" s="106"/>
      <c r="RJ8355" s="106"/>
      <c r="RK8355" s="106"/>
      <c r="RL8355" s="106"/>
    </row>
    <row r="8356" spans="462:480" x14ac:dyDescent="0.3">
      <c r="QT8356" s="106"/>
      <c r="QU8356" s="106"/>
      <c r="QV8356" s="106"/>
      <c r="QW8356" s="106"/>
      <c r="QX8356" s="106"/>
      <c r="QY8356" s="106"/>
      <c r="QZ8356" s="106"/>
      <c r="RA8356" s="106"/>
      <c r="RB8356" s="106"/>
      <c r="RC8356" s="106"/>
      <c r="RD8356" s="106"/>
      <c r="RE8356" s="106"/>
      <c r="RF8356" s="106"/>
      <c r="RG8356" s="106"/>
      <c r="RH8356" s="106"/>
      <c r="RI8356" s="106"/>
      <c r="RJ8356" s="106"/>
      <c r="RK8356" s="106"/>
      <c r="RL8356" s="106"/>
    </row>
    <row r="8357" spans="462:480" x14ac:dyDescent="0.3">
      <c r="QT8357" s="106"/>
      <c r="QU8357" s="106"/>
      <c r="QV8357" s="106"/>
      <c r="QW8357" s="106"/>
      <c r="QX8357" s="106"/>
      <c r="QY8357" s="106"/>
      <c r="QZ8357" s="106"/>
      <c r="RA8357" s="106"/>
      <c r="RB8357" s="106"/>
      <c r="RC8357" s="106"/>
      <c r="RD8357" s="106"/>
      <c r="RE8357" s="106"/>
      <c r="RF8357" s="106"/>
      <c r="RG8357" s="106"/>
      <c r="RH8357" s="106"/>
      <c r="RI8357" s="106"/>
      <c r="RJ8357" s="106"/>
      <c r="RK8357" s="106"/>
      <c r="RL8357" s="106"/>
    </row>
    <row r="8358" spans="462:480" x14ac:dyDescent="0.3">
      <c r="QT8358" s="106"/>
      <c r="QU8358" s="106"/>
      <c r="QV8358" s="106"/>
      <c r="QW8358" s="106"/>
      <c r="QX8358" s="106"/>
      <c r="QY8358" s="106"/>
      <c r="QZ8358" s="106"/>
      <c r="RA8358" s="106"/>
      <c r="RB8358" s="106"/>
      <c r="RC8358" s="106"/>
      <c r="RD8358" s="106"/>
      <c r="RE8358" s="106"/>
      <c r="RF8358" s="106"/>
      <c r="RG8358" s="106"/>
      <c r="RH8358" s="106"/>
      <c r="RI8358" s="106"/>
      <c r="RJ8358" s="106"/>
      <c r="RK8358" s="106"/>
      <c r="RL8358" s="106"/>
    </row>
    <row r="8359" spans="462:480" x14ac:dyDescent="0.3">
      <c r="QT8359" s="106"/>
      <c r="QU8359" s="106"/>
      <c r="QV8359" s="106"/>
      <c r="QW8359" s="106"/>
      <c r="QX8359" s="106"/>
      <c r="QY8359" s="106"/>
      <c r="QZ8359" s="106"/>
      <c r="RA8359" s="106"/>
      <c r="RB8359" s="106"/>
      <c r="RC8359" s="106"/>
      <c r="RD8359" s="106"/>
      <c r="RE8359" s="106"/>
      <c r="RF8359" s="106"/>
      <c r="RG8359" s="106"/>
      <c r="RH8359" s="106"/>
      <c r="RI8359" s="106"/>
      <c r="RJ8359" s="106"/>
      <c r="RK8359" s="106"/>
      <c r="RL8359" s="106"/>
    </row>
    <row r="8360" spans="462:480" x14ac:dyDescent="0.3">
      <c r="QT8360" s="106"/>
      <c r="QU8360" s="106"/>
      <c r="QV8360" s="106"/>
      <c r="QW8360" s="106"/>
      <c r="QX8360" s="106"/>
      <c r="QY8360" s="106"/>
      <c r="QZ8360" s="106"/>
      <c r="RA8360" s="106"/>
      <c r="RB8360" s="106"/>
      <c r="RC8360" s="106"/>
      <c r="RD8360" s="106"/>
      <c r="RE8360" s="106"/>
      <c r="RF8360" s="106"/>
      <c r="RG8360" s="106"/>
      <c r="RH8360" s="106"/>
      <c r="RI8360" s="106"/>
      <c r="RJ8360" s="106"/>
      <c r="RK8360" s="106"/>
      <c r="RL8360" s="106"/>
    </row>
    <row r="8361" spans="462:480" x14ac:dyDescent="0.3">
      <c r="QT8361" s="106"/>
      <c r="QU8361" s="106"/>
      <c r="QV8361" s="106"/>
      <c r="QW8361" s="106"/>
      <c r="QX8361" s="106"/>
      <c r="QY8361" s="106"/>
      <c r="QZ8361" s="106"/>
      <c r="RA8361" s="106"/>
      <c r="RB8361" s="106"/>
      <c r="RC8361" s="106"/>
      <c r="RD8361" s="106"/>
      <c r="RE8361" s="106"/>
      <c r="RF8361" s="106"/>
      <c r="RG8361" s="106"/>
      <c r="RH8361" s="106"/>
      <c r="RI8361" s="106"/>
      <c r="RJ8361" s="106"/>
      <c r="RK8361" s="106"/>
      <c r="RL8361" s="106"/>
    </row>
    <row r="8362" spans="462:480" x14ac:dyDescent="0.3">
      <c r="QT8362" s="106"/>
      <c r="QU8362" s="106"/>
      <c r="QV8362" s="106"/>
      <c r="QW8362" s="106"/>
      <c r="QX8362" s="106"/>
      <c r="QY8362" s="106"/>
      <c r="QZ8362" s="106"/>
      <c r="RA8362" s="106"/>
      <c r="RB8362" s="106"/>
      <c r="RC8362" s="106"/>
      <c r="RD8362" s="106"/>
      <c r="RE8362" s="106"/>
      <c r="RF8362" s="106"/>
      <c r="RG8362" s="106"/>
      <c r="RH8362" s="106"/>
      <c r="RI8362" s="106"/>
      <c r="RJ8362" s="106"/>
      <c r="RK8362" s="106"/>
      <c r="RL8362" s="106"/>
    </row>
    <row r="8363" spans="462:480" x14ac:dyDescent="0.3">
      <c r="QT8363" s="106"/>
      <c r="QU8363" s="106"/>
      <c r="QV8363" s="106"/>
      <c r="QW8363" s="106"/>
      <c r="QX8363" s="106"/>
      <c r="QY8363" s="106"/>
      <c r="QZ8363" s="106"/>
      <c r="RA8363" s="106"/>
      <c r="RB8363" s="106"/>
      <c r="RC8363" s="106"/>
      <c r="RD8363" s="106"/>
      <c r="RE8363" s="106"/>
      <c r="RF8363" s="106"/>
      <c r="RG8363" s="106"/>
      <c r="RH8363" s="106"/>
      <c r="RI8363" s="106"/>
      <c r="RJ8363" s="106"/>
      <c r="RK8363" s="106"/>
      <c r="RL8363" s="106"/>
    </row>
    <row r="8364" spans="462:480" x14ac:dyDescent="0.3">
      <c r="QT8364" s="106"/>
      <c r="QU8364" s="106"/>
      <c r="QV8364" s="106"/>
      <c r="QW8364" s="106"/>
      <c r="QX8364" s="106"/>
      <c r="QY8364" s="106"/>
      <c r="QZ8364" s="106"/>
      <c r="RA8364" s="106"/>
      <c r="RB8364" s="106"/>
      <c r="RC8364" s="106"/>
      <c r="RD8364" s="106"/>
      <c r="RE8364" s="106"/>
      <c r="RF8364" s="106"/>
      <c r="RG8364" s="106"/>
      <c r="RH8364" s="106"/>
      <c r="RI8364" s="106"/>
      <c r="RJ8364" s="106"/>
      <c r="RK8364" s="106"/>
      <c r="RL8364" s="106"/>
    </row>
    <row r="8365" spans="462:480" x14ac:dyDescent="0.3">
      <c r="QT8365" s="106"/>
      <c r="QU8365" s="106"/>
      <c r="QV8365" s="106"/>
      <c r="QW8365" s="106"/>
      <c r="QX8365" s="106"/>
      <c r="QY8365" s="106"/>
      <c r="QZ8365" s="106"/>
      <c r="RA8365" s="106"/>
      <c r="RB8365" s="106"/>
      <c r="RC8365" s="106"/>
      <c r="RD8365" s="106"/>
      <c r="RE8365" s="106"/>
      <c r="RF8365" s="106"/>
      <c r="RG8365" s="106"/>
      <c r="RH8365" s="106"/>
      <c r="RI8365" s="106"/>
      <c r="RJ8365" s="106"/>
      <c r="RK8365" s="106"/>
      <c r="RL8365" s="106"/>
    </row>
    <row r="8366" spans="462:480" x14ac:dyDescent="0.3">
      <c r="QT8366" s="106"/>
      <c r="QU8366" s="106"/>
      <c r="QV8366" s="106"/>
      <c r="QW8366" s="106"/>
      <c r="QX8366" s="106"/>
      <c r="QY8366" s="106"/>
      <c r="QZ8366" s="106"/>
      <c r="RA8366" s="106"/>
      <c r="RB8366" s="106"/>
      <c r="RC8366" s="106"/>
      <c r="RD8366" s="106"/>
      <c r="RE8366" s="106"/>
      <c r="RF8366" s="106"/>
      <c r="RG8366" s="106"/>
      <c r="RH8366" s="106"/>
      <c r="RI8366" s="106"/>
      <c r="RJ8366" s="106"/>
      <c r="RK8366" s="106"/>
      <c r="RL8366" s="106"/>
    </row>
    <row r="8367" spans="462:480" x14ac:dyDescent="0.3">
      <c r="QT8367" s="106"/>
      <c r="QU8367" s="106"/>
      <c r="QV8367" s="106"/>
      <c r="QW8367" s="106"/>
      <c r="QX8367" s="106"/>
      <c r="QY8367" s="106"/>
      <c r="QZ8367" s="106"/>
      <c r="RA8367" s="106"/>
      <c r="RB8367" s="106"/>
      <c r="RC8367" s="106"/>
      <c r="RD8367" s="106"/>
      <c r="RE8367" s="106"/>
      <c r="RF8367" s="106"/>
      <c r="RG8367" s="106"/>
      <c r="RH8367" s="106"/>
      <c r="RI8367" s="106"/>
      <c r="RJ8367" s="106"/>
      <c r="RK8367" s="106"/>
      <c r="RL8367" s="106"/>
    </row>
    <row r="8368" spans="462:480" x14ac:dyDescent="0.3">
      <c r="QT8368" s="106"/>
      <c r="QU8368" s="106"/>
      <c r="QV8368" s="106"/>
      <c r="QW8368" s="106"/>
      <c r="QX8368" s="106"/>
      <c r="QY8368" s="106"/>
      <c r="QZ8368" s="106"/>
      <c r="RA8368" s="106"/>
      <c r="RB8368" s="106"/>
      <c r="RC8368" s="106"/>
      <c r="RD8368" s="106"/>
      <c r="RE8368" s="106"/>
      <c r="RF8368" s="106"/>
      <c r="RG8368" s="106"/>
      <c r="RH8368" s="106"/>
      <c r="RI8368" s="106"/>
      <c r="RJ8368" s="106"/>
      <c r="RK8368" s="106"/>
      <c r="RL8368" s="106"/>
    </row>
    <row r="8369" spans="462:480" x14ac:dyDescent="0.3">
      <c r="QT8369" s="106"/>
      <c r="QU8369" s="106"/>
      <c r="QV8369" s="106"/>
      <c r="QW8369" s="106"/>
      <c r="QX8369" s="106"/>
      <c r="QY8369" s="106"/>
      <c r="QZ8369" s="106"/>
      <c r="RA8369" s="106"/>
      <c r="RB8369" s="106"/>
      <c r="RC8369" s="106"/>
      <c r="RD8369" s="106"/>
      <c r="RE8369" s="106"/>
      <c r="RF8369" s="106"/>
      <c r="RG8369" s="106"/>
      <c r="RH8369" s="106"/>
      <c r="RI8369" s="106"/>
      <c r="RJ8369" s="106"/>
      <c r="RK8369" s="106"/>
      <c r="RL8369" s="106"/>
    </row>
    <row r="8370" spans="462:480" x14ac:dyDescent="0.3">
      <c r="QT8370" s="106"/>
      <c r="QU8370" s="106"/>
      <c r="QV8370" s="106"/>
      <c r="QW8370" s="106"/>
      <c r="QX8370" s="106"/>
      <c r="QY8370" s="106"/>
      <c r="QZ8370" s="106"/>
      <c r="RA8370" s="106"/>
      <c r="RB8370" s="106"/>
      <c r="RC8370" s="106"/>
      <c r="RD8370" s="106"/>
      <c r="RE8370" s="106"/>
      <c r="RF8370" s="106"/>
      <c r="RG8370" s="106"/>
      <c r="RH8370" s="106"/>
      <c r="RI8370" s="106"/>
      <c r="RJ8370" s="106"/>
      <c r="RK8370" s="106"/>
      <c r="RL8370" s="106"/>
    </row>
    <row r="8371" spans="462:480" x14ac:dyDescent="0.3">
      <c r="QT8371" s="106"/>
      <c r="QU8371" s="106"/>
      <c r="QV8371" s="106"/>
      <c r="QW8371" s="106"/>
      <c r="QX8371" s="106"/>
      <c r="QY8371" s="106"/>
      <c r="QZ8371" s="106"/>
      <c r="RA8371" s="106"/>
      <c r="RB8371" s="106"/>
      <c r="RC8371" s="106"/>
      <c r="RD8371" s="106"/>
      <c r="RE8371" s="106"/>
      <c r="RF8371" s="106"/>
      <c r="RG8371" s="106"/>
      <c r="RH8371" s="106"/>
      <c r="RI8371" s="106"/>
      <c r="RJ8371" s="106"/>
      <c r="RK8371" s="106"/>
      <c r="RL8371" s="106"/>
    </row>
    <row r="8372" spans="462:480" x14ac:dyDescent="0.3">
      <c r="QT8372" s="106"/>
      <c r="QU8372" s="106"/>
      <c r="QV8372" s="106"/>
      <c r="QW8372" s="106"/>
      <c r="QX8372" s="106"/>
      <c r="QY8372" s="106"/>
      <c r="QZ8372" s="106"/>
      <c r="RA8372" s="106"/>
      <c r="RB8372" s="106"/>
      <c r="RC8372" s="106"/>
      <c r="RD8372" s="106"/>
      <c r="RE8372" s="106"/>
      <c r="RF8372" s="106"/>
      <c r="RG8372" s="106"/>
      <c r="RH8372" s="106"/>
      <c r="RI8372" s="106"/>
      <c r="RJ8372" s="106"/>
      <c r="RK8372" s="106"/>
      <c r="RL8372" s="106"/>
    </row>
    <row r="8373" spans="462:480" x14ac:dyDescent="0.3">
      <c r="QT8373" s="106"/>
      <c r="QU8373" s="106"/>
      <c r="QV8373" s="106"/>
      <c r="QW8373" s="106"/>
      <c r="QX8373" s="106"/>
      <c r="QY8373" s="106"/>
      <c r="QZ8373" s="106"/>
      <c r="RA8373" s="106"/>
      <c r="RB8373" s="106"/>
      <c r="RC8373" s="106"/>
      <c r="RD8373" s="106"/>
      <c r="RE8373" s="106"/>
      <c r="RF8373" s="106"/>
      <c r="RG8373" s="106"/>
      <c r="RH8373" s="106"/>
      <c r="RI8373" s="106"/>
      <c r="RJ8373" s="106"/>
      <c r="RK8373" s="106"/>
      <c r="RL8373" s="106"/>
    </row>
    <row r="8374" spans="462:480" x14ac:dyDescent="0.3">
      <c r="QT8374" s="106"/>
      <c r="QU8374" s="106"/>
      <c r="QV8374" s="106"/>
      <c r="QW8374" s="106"/>
      <c r="QX8374" s="106"/>
      <c r="QY8374" s="106"/>
      <c r="QZ8374" s="106"/>
      <c r="RA8374" s="106"/>
      <c r="RB8374" s="106"/>
      <c r="RC8374" s="106"/>
      <c r="RD8374" s="106"/>
      <c r="RE8374" s="106"/>
      <c r="RF8374" s="106"/>
      <c r="RG8374" s="106"/>
      <c r="RH8374" s="106"/>
      <c r="RI8374" s="106"/>
      <c r="RJ8374" s="106"/>
      <c r="RK8374" s="106"/>
      <c r="RL8374" s="106"/>
    </row>
    <row r="8375" spans="462:480" x14ac:dyDescent="0.3">
      <c r="QT8375" s="106"/>
      <c r="QU8375" s="106"/>
      <c r="QV8375" s="106"/>
      <c r="QW8375" s="106"/>
      <c r="QX8375" s="106"/>
      <c r="QY8375" s="106"/>
      <c r="QZ8375" s="106"/>
      <c r="RA8375" s="106"/>
      <c r="RB8375" s="106"/>
      <c r="RC8375" s="106"/>
      <c r="RD8375" s="106"/>
      <c r="RE8375" s="106"/>
      <c r="RF8375" s="106"/>
      <c r="RG8375" s="106"/>
      <c r="RH8375" s="106"/>
      <c r="RI8375" s="106"/>
      <c r="RJ8375" s="106"/>
      <c r="RK8375" s="106"/>
      <c r="RL8375" s="106"/>
    </row>
    <row r="8376" spans="462:480" x14ac:dyDescent="0.3">
      <c r="QT8376" s="106"/>
      <c r="QU8376" s="106"/>
      <c r="QV8376" s="106"/>
      <c r="QW8376" s="106"/>
      <c r="QX8376" s="106"/>
      <c r="QY8376" s="106"/>
      <c r="QZ8376" s="106"/>
      <c r="RA8376" s="106"/>
      <c r="RB8376" s="106"/>
      <c r="RC8376" s="106"/>
      <c r="RD8376" s="106"/>
      <c r="RE8376" s="106"/>
      <c r="RF8376" s="106"/>
      <c r="RG8376" s="106"/>
      <c r="RH8376" s="106"/>
      <c r="RI8376" s="106"/>
      <c r="RJ8376" s="106"/>
      <c r="RK8376" s="106"/>
      <c r="RL8376" s="106"/>
    </row>
    <row r="8377" spans="462:480" x14ac:dyDescent="0.3">
      <c r="QT8377" s="106"/>
      <c r="QU8377" s="106"/>
      <c r="QV8377" s="106"/>
      <c r="QW8377" s="106"/>
      <c r="QX8377" s="106"/>
      <c r="QY8377" s="106"/>
      <c r="QZ8377" s="106"/>
      <c r="RA8377" s="106"/>
      <c r="RB8377" s="106"/>
      <c r="RC8377" s="106"/>
      <c r="RD8377" s="106"/>
      <c r="RE8377" s="106"/>
      <c r="RF8377" s="106"/>
      <c r="RG8377" s="106"/>
      <c r="RH8377" s="106"/>
      <c r="RI8377" s="106"/>
      <c r="RJ8377" s="106"/>
      <c r="RK8377" s="106"/>
      <c r="RL8377" s="106"/>
    </row>
    <row r="8378" spans="462:480" x14ac:dyDescent="0.3">
      <c r="QT8378" s="106"/>
      <c r="QU8378" s="106"/>
      <c r="QV8378" s="106"/>
      <c r="QW8378" s="106"/>
      <c r="QX8378" s="106"/>
      <c r="QY8378" s="106"/>
      <c r="QZ8378" s="106"/>
      <c r="RA8378" s="106"/>
      <c r="RB8378" s="106"/>
      <c r="RC8378" s="106"/>
      <c r="RD8378" s="106"/>
      <c r="RE8378" s="106"/>
      <c r="RF8378" s="106"/>
      <c r="RG8378" s="106"/>
      <c r="RH8378" s="106"/>
      <c r="RI8378" s="106"/>
      <c r="RJ8378" s="106"/>
      <c r="RK8378" s="106"/>
      <c r="RL8378" s="106"/>
    </row>
    <row r="8379" spans="462:480" x14ac:dyDescent="0.3">
      <c r="QT8379" s="106"/>
      <c r="QU8379" s="106"/>
      <c r="QV8379" s="106"/>
      <c r="QW8379" s="106"/>
      <c r="QX8379" s="106"/>
      <c r="QY8379" s="106"/>
      <c r="QZ8379" s="106"/>
      <c r="RA8379" s="106"/>
      <c r="RB8379" s="106"/>
      <c r="RC8379" s="106"/>
      <c r="RD8379" s="106"/>
      <c r="RE8379" s="106"/>
      <c r="RF8379" s="106"/>
      <c r="RG8379" s="106"/>
      <c r="RH8379" s="106"/>
      <c r="RI8379" s="106"/>
      <c r="RJ8379" s="106"/>
      <c r="RK8379" s="106"/>
      <c r="RL8379" s="106"/>
    </row>
    <row r="8380" spans="462:480" x14ac:dyDescent="0.3">
      <c r="QT8380" s="106"/>
      <c r="QU8380" s="106"/>
      <c r="QV8380" s="106"/>
      <c r="QW8380" s="106"/>
      <c r="QX8380" s="106"/>
      <c r="QY8380" s="106"/>
      <c r="QZ8380" s="106"/>
      <c r="RA8380" s="106"/>
      <c r="RB8380" s="106"/>
      <c r="RC8380" s="106"/>
      <c r="RD8380" s="106"/>
      <c r="RE8380" s="106"/>
      <c r="RF8380" s="106"/>
      <c r="RG8380" s="106"/>
      <c r="RH8380" s="106"/>
      <c r="RI8380" s="106"/>
      <c r="RJ8380" s="106"/>
      <c r="RK8380" s="106"/>
      <c r="RL8380" s="106"/>
    </row>
    <row r="8381" spans="462:480" x14ac:dyDescent="0.3">
      <c r="QT8381" s="106"/>
      <c r="QU8381" s="106"/>
      <c r="QV8381" s="106"/>
      <c r="QW8381" s="106"/>
      <c r="QX8381" s="106"/>
      <c r="QY8381" s="106"/>
      <c r="QZ8381" s="106"/>
      <c r="RA8381" s="106"/>
      <c r="RB8381" s="106"/>
      <c r="RC8381" s="106"/>
      <c r="RD8381" s="106"/>
      <c r="RE8381" s="106"/>
      <c r="RF8381" s="106"/>
      <c r="RG8381" s="106"/>
      <c r="RH8381" s="106"/>
      <c r="RI8381" s="106"/>
      <c r="RJ8381" s="106"/>
      <c r="RK8381" s="106"/>
      <c r="RL8381" s="106"/>
    </row>
    <row r="8382" spans="462:480" x14ac:dyDescent="0.3">
      <c r="QT8382" s="106"/>
      <c r="QU8382" s="106"/>
      <c r="QV8382" s="106"/>
      <c r="QW8382" s="106"/>
      <c r="QX8382" s="106"/>
      <c r="QY8382" s="106"/>
      <c r="QZ8382" s="106"/>
      <c r="RA8382" s="106"/>
      <c r="RB8382" s="106"/>
      <c r="RC8382" s="106"/>
      <c r="RD8382" s="106"/>
      <c r="RE8382" s="106"/>
      <c r="RF8382" s="106"/>
      <c r="RG8382" s="106"/>
      <c r="RH8382" s="106"/>
      <c r="RI8382" s="106"/>
      <c r="RJ8382" s="106"/>
      <c r="RK8382" s="106"/>
      <c r="RL8382" s="106"/>
    </row>
    <row r="8383" spans="462:480" x14ac:dyDescent="0.3">
      <c r="QT8383" s="106"/>
      <c r="QU8383" s="106"/>
      <c r="QV8383" s="106"/>
      <c r="QW8383" s="106"/>
      <c r="QX8383" s="106"/>
      <c r="QY8383" s="106"/>
      <c r="QZ8383" s="106"/>
      <c r="RA8383" s="106"/>
      <c r="RB8383" s="106"/>
      <c r="RC8383" s="106"/>
      <c r="RD8383" s="106"/>
      <c r="RE8383" s="106"/>
      <c r="RF8383" s="106"/>
      <c r="RG8383" s="106"/>
      <c r="RH8383" s="106"/>
      <c r="RI8383" s="106"/>
      <c r="RJ8383" s="106"/>
      <c r="RK8383" s="106"/>
      <c r="RL8383" s="106"/>
    </row>
    <row r="8384" spans="462:480" x14ac:dyDescent="0.3">
      <c r="QT8384" s="106"/>
      <c r="QU8384" s="106"/>
      <c r="QV8384" s="106"/>
      <c r="QW8384" s="106"/>
      <c r="QX8384" s="106"/>
      <c r="QY8384" s="106"/>
      <c r="QZ8384" s="106"/>
      <c r="RA8384" s="106"/>
      <c r="RB8384" s="106"/>
      <c r="RC8384" s="106"/>
      <c r="RD8384" s="106"/>
      <c r="RE8384" s="106"/>
      <c r="RF8384" s="106"/>
      <c r="RG8384" s="106"/>
      <c r="RH8384" s="106"/>
      <c r="RI8384" s="106"/>
      <c r="RJ8384" s="106"/>
      <c r="RK8384" s="106"/>
      <c r="RL8384" s="106"/>
    </row>
    <row r="8385" spans="462:480" x14ac:dyDescent="0.3">
      <c r="QT8385" s="106"/>
      <c r="QU8385" s="106"/>
      <c r="QV8385" s="106"/>
      <c r="QW8385" s="106"/>
      <c r="QX8385" s="106"/>
      <c r="QY8385" s="106"/>
      <c r="QZ8385" s="106"/>
      <c r="RA8385" s="106"/>
      <c r="RB8385" s="106"/>
      <c r="RC8385" s="106"/>
      <c r="RD8385" s="106"/>
      <c r="RE8385" s="106"/>
      <c r="RF8385" s="106"/>
      <c r="RG8385" s="106"/>
      <c r="RH8385" s="106"/>
      <c r="RI8385" s="106"/>
      <c r="RJ8385" s="106"/>
      <c r="RK8385" s="106"/>
      <c r="RL8385" s="106"/>
    </row>
    <row r="8386" spans="462:480" x14ac:dyDescent="0.3">
      <c r="QT8386" s="106"/>
      <c r="QU8386" s="106"/>
      <c r="QV8386" s="106"/>
      <c r="QW8386" s="106"/>
      <c r="QX8386" s="106"/>
      <c r="QY8386" s="106"/>
      <c r="QZ8386" s="106"/>
      <c r="RA8386" s="106"/>
      <c r="RB8386" s="106"/>
      <c r="RC8386" s="106"/>
      <c r="RD8386" s="106"/>
      <c r="RE8386" s="106"/>
      <c r="RF8386" s="106"/>
      <c r="RG8386" s="106"/>
      <c r="RH8386" s="106"/>
      <c r="RI8386" s="106"/>
      <c r="RJ8386" s="106"/>
      <c r="RK8386" s="106"/>
      <c r="RL8386" s="106"/>
    </row>
    <row r="8387" spans="462:480" x14ac:dyDescent="0.3">
      <c r="QT8387" s="106"/>
      <c r="QU8387" s="106"/>
      <c r="QV8387" s="106"/>
      <c r="QW8387" s="106"/>
      <c r="QX8387" s="106"/>
      <c r="QY8387" s="106"/>
      <c r="QZ8387" s="106"/>
      <c r="RA8387" s="106"/>
      <c r="RB8387" s="106"/>
      <c r="RC8387" s="106"/>
      <c r="RD8387" s="106"/>
      <c r="RE8387" s="106"/>
      <c r="RF8387" s="106"/>
      <c r="RG8387" s="106"/>
      <c r="RH8387" s="106"/>
      <c r="RI8387" s="106"/>
      <c r="RJ8387" s="106"/>
      <c r="RK8387" s="106"/>
      <c r="RL8387" s="106"/>
    </row>
    <row r="8388" spans="462:480" x14ac:dyDescent="0.3">
      <c r="QT8388" s="106"/>
      <c r="QU8388" s="106"/>
      <c r="QV8388" s="106"/>
      <c r="QW8388" s="106"/>
      <c r="QX8388" s="106"/>
      <c r="QY8388" s="106"/>
      <c r="QZ8388" s="106"/>
      <c r="RA8388" s="106"/>
      <c r="RB8388" s="106"/>
      <c r="RC8388" s="106"/>
      <c r="RD8388" s="106"/>
      <c r="RE8388" s="106"/>
      <c r="RF8388" s="106"/>
      <c r="RG8388" s="106"/>
      <c r="RH8388" s="106"/>
      <c r="RI8388" s="106"/>
      <c r="RJ8388" s="106"/>
      <c r="RK8388" s="106"/>
      <c r="RL8388" s="106"/>
    </row>
    <row r="8389" spans="462:480" x14ac:dyDescent="0.3">
      <c r="QT8389" s="106"/>
      <c r="QU8389" s="106"/>
      <c r="QV8389" s="106"/>
      <c r="QW8389" s="106"/>
      <c r="QX8389" s="106"/>
      <c r="QY8389" s="106"/>
      <c r="QZ8389" s="106"/>
      <c r="RA8389" s="106"/>
      <c r="RB8389" s="106"/>
      <c r="RC8389" s="106"/>
      <c r="RD8389" s="106"/>
      <c r="RE8389" s="106"/>
      <c r="RF8389" s="106"/>
      <c r="RG8389" s="106"/>
      <c r="RH8389" s="106"/>
      <c r="RI8389" s="106"/>
      <c r="RJ8389" s="106"/>
      <c r="RK8389" s="106"/>
      <c r="RL8389" s="106"/>
    </row>
    <row r="8390" spans="462:480" x14ac:dyDescent="0.3">
      <c r="QT8390" s="106"/>
      <c r="QU8390" s="106"/>
      <c r="QV8390" s="106"/>
      <c r="QW8390" s="106"/>
      <c r="QX8390" s="106"/>
      <c r="QY8390" s="106"/>
      <c r="QZ8390" s="106"/>
      <c r="RA8390" s="106"/>
      <c r="RB8390" s="106"/>
      <c r="RC8390" s="106"/>
      <c r="RD8390" s="106"/>
      <c r="RE8390" s="106"/>
      <c r="RF8390" s="106"/>
      <c r="RG8390" s="106"/>
      <c r="RH8390" s="106"/>
      <c r="RI8390" s="106"/>
      <c r="RJ8390" s="106"/>
      <c r="RK8390" s="106"/>
      <c r="RL8390" s="106"/>
    </row>
    <row r="8391" spans="462:480" x14ac:dyDescent="0.3">
      <c r="QT8391" s="106"/>
      <c r="QU8391" s="106"/>
      <c r="QV8391" s="106"/>
      <c r="QW8391" s="106"/>
      <c r="QX8391" s="106"/>
      <c r="QY8391" s="106"/>
      <c r="QZ8391" s="106"/>
      <c r="RA8391" s="106"/>
      <c r="RB8391" s="106"/>
      <c r="RC8391" s="106"/>
      <c r="RD8391" s="106"/>
      <c r="RE8391" s="106"/>
      <c r="RF8391" s="106"/>
      <c r="RG8391" s="106"/>
      <c r="RH8391" s="106"/>
      <c r="RI8391" s="106"/>
      <c r="RJ8391" s="106"/>
      <c r="RK8391" s="106"/>
      <c r="RL8391" s="106"/>
    </row>
    <row r="8392" spans="462:480" x14ac:dyDescent="0.3">
      <c r="QT8392" s="106"/>
      <c r="QU8392" s="106"/>
      <c r="QV8392" s="106"/>
      <c r="QW8392" s="106"/>
      <c r="QX8392" s="106"/>
      <c r="QY8392" s="106"/>
      <c r="QZ8392" s="106"/>
      <c r="RA8392" s="106"/>
      <c r="RB8392" s="106"/>
      <c r="RC8392" s="106"/>
      <c r="RD8392" s="106"/>
      <c r="RE8392" s="106"/>
      <c r="RF8392" s="106"/>
      <c r="RG8392" s="106"/>
      <c r="RH8392" s="106"/>
      <c r="RI8392" s="106"/>
      <c r="RJ8392" s="106"/>
      <c r="RK8392" s="106"/>
      <c r="RL8392" s="106"/>
    </row>
    <row r="8393" spans="462:480" x14ac:dyDescent="0.3">
      <c r="QT8393" s="106"/>
      <c r="QU8393" s="106"/>
      <c r="QV8393" s="106"/>
      <c r="QW8393" s="106"/>
      <c r="QX8393" s="106"/>
      <c r="QY8393" s="106"/>
      <c r="QZ8393" s="106"/>
      <c r="RA8393" s="106"/>
      <c r="RB8393" s="106"/>
      <c r="RC8393" s="106"/>
      <c r="RD8393" s="106"/>
      <c r="RE8393" s="106"/>
      <c r="RF8393" s="106"/>
      <c r="RG8393" s="106"/>
      <c r="RH8393" s="106"/>
      <c r="RI8393" s="106"/>
      <c r="RJ8393" s="106"/>
      <c r="RK8393" s="106"/>
      <c r="RL8393" s="106"/>
    </row>
    <row r="8394" spans="462:480" x14ac:dyDescent="0.3">
      <c r="QT8394" s="106"/>
      <c r="QU8394" s="106"/>
      <c r="QV8394" s="106"/>
      <c r="QW8394" s="106"/>
      <c r="QX8394" s="106"/>
      <c r="QY8394" s="106"/>
      <c r="QZ8394" s="106"/>
      <c r="RA8394" s="106"/>
      <c r="RB8394" s="106"/>
      <c r="RC8394" s="106"/>
      <c r="RD8394" s="106"/>
      <c r="RE8394" s="106"/>
      <c r="RF8394" s="106"/>
      <c r="RG8394" s="106"/>
      <c r="RH8394" s="106"/>
      <c r="RI8394" s="106"/>
      <c r="RJ8394" s="106"/>
      <c r="RK8394" s="106"/>
      <c r="RL8394" s="106"/>
    </row>
    <row r="8395" spans="462:480" x14ac:dyDescent="0.3">
      <c r="QT8395" s="106"/>
      <c r="QU8395" s="106"/>
      <c r="QV8395" s="106"/>
      <c r="QW8395" s="106"/>
      <c r="QX8395" s="106"/>
      <c r="QY8395" s="106"/>
      <c r="QZ8395" s="106"/>
      <c r="RA8395" s="106"/>
      <c r="RB8395" s="106"/>
      <c r="RC8395" s="106"/>
      <c r="RD8395" s="106"/>
      <c r="RE8395" s="106"/>
      <c r="RF8395" s="106"/>
      <c r="RG8395" s="106"/>
      <c r="RH8395" s="106"/>
      <c r="RI8395" s="106"/>
      <c r="RJ8395" s="106"/>
      <c r="RK8395" s="106"/>
      <c r="RL8395" s="106"/>
    </row>
    <row r="8396" spans="462:480" x14ac:dyDescent="0.3">
      <c r="QT8396" s="106"/>
      <c r="QU8396" s="106"/>
      <c r="QV8396" s="106"/>
      <c r="QW8396" s="106"/>
      <c r="QX8396" s="106"/>
      <c r="QY8396" s="106"/>
      <c r="QZ8396" s="106"/>
      <c r="RA8396" s="106"/>
      <c r="RB8396" s="106"/>
      <c r="RC8396" s="106"/>
      <c r="RD8396" s="106"/>
      <c r="RE8396" s="106"/>
      <c r="RF8396" s="106"/>
      <c r="RG8396" s="106"/>
      <c r="RH8396" s="106"/>
      <c r="RI8396" s="106"/>
      <c r="RJ8396" s="106"/>
      <c r="RK8396" s="106"/>
      <c r="RL8396" s="106"/>
    </row>
    <row r="8397" spans="462:480" x14ac:dyDescent="0.3">
      <c r="QT8397" s="106"/>
      <c r="QU8397" s="106"/>
      <c r="QV8397" s="106"/>
      <c r="QW8397" s="106"/>
      <c r="QX8397" s="106"/>
      <c r="QY8397" s="106"/>
      <c r="QZ8397" s="106"/>
      <c r="RA8397" s="106"/>
      <c r="RB8397" s="106"/>
      <c r="RC8397" s="106"/>
      <c r="RD8397" s="106"/>
      <c r="RE8397" s="106"/>
      <c r="RF8397" s="106"/>
      <c r="RG8397" s="106"/>
      <c r="RH8397" s="106"/>
      <c r="RI8397" s="106"/>
      <c r="RJ8397" s="106"/>
      <c r="RK8397" s="106"/>
      <c r="RL8397" s="106"/>
    </row>
    <row r="8398" spans="462:480" x14ac:dyDescent="0.3">
      <c r="QT8398" s="106"/>
      <c r="QU8398" s="106"/>
      <c r="QV8398" s="106"/>
      <c r="QW8398" s="106"/>
      <c r="QX8398" s="106"/>
      <c r="QY8398" s="106"/>
      <c r="QZ8398" s="106"/>
      <c r="RA8398" s="106"/>
      <c r="RB8398" s="106"/>
      <c r="RC8398" s="106"/>
      <c r="RD8398" s="106"/>
      <c r="RE8398" s="106"/>
      <c r="RF8398" s="106"/>
      <c r="RG8398" s="106"/>
      <c r="RH8398" s="106"/>
      <c r="RI8398" s="106"/>
      <c r="RJ8398" s="106"/>
      <c r="RK8398" s="106"/>
      <c r="RL8398" s="106"/>
    </row>
    <row r="8399" spans="462:480" x14ac:dyDescent="0.3">
      <c r="QT8399" s="106"/>
      <c r="QU8399" s="106"/>
      <c r="QV8399" s="106"/>
      <c r="QW8399" s="106"/>
      <c r="QX8399" s="106"/>
      <c r="QY8399" s="106"/>
      <c r="QZ8399" s="106"/>
      <c r="RA8399" s="106"/>
      <c r="RB8399" s="106"/>
      <c r="RC8399" s="106"/>
      <c r="RD8399" s="106"/>
      <c r="RE8399" s="106"/>
      <c r="RF8399" s="106"/>
      <c r="RG8399" s="106"/>
      <c r="RH8399" s="106"/>
      <c r="RI8399" s="106"/>
      <c r="RJ8399" s="106"/>
      <c r="RK8399" s="106"/>
      <c r="RL8399" s="106"/>
    </row>
    <row r="8400" spans="462:480" x14ac:dyDescent="0.3">
      <c r="QT8400" s="106"/>
      <c r="QU8400" s="106"/>
      <c r="QV8400" s="106"/>
      <c r="QW8400" s="106"/>
      <c r="QX8400" s="106"/>
      <c r="QY8400" s="106"/>
      <c r="QZ8400" s="106"/>
      <c r="RA8400" s="106"/>
      <c r="RB8400" s="106"/>
      <c r="RC8400" s="106"/>
      <c r="RD8400" s="106"/>
      <c r="RE8400" s="106"/>
      <c r="RF8400" s="106"/>
      <c r="RG8400" s="106"/>
      <c r="RH8400" s="106"/>
      <c r="RI8400" s="106"/>
      <c r="RJ8400" s="106"/>
      <c r="RK8400" s="106"/>
      <c r="RL8400" s="106"/>
    </row>
    <row r="8401" spans="462:480" x14ac:dyDescent="0.3">
      <c r="QT8401" s="106"/>
      <c r="QU8401" s="106"/>
      <c r="QV8401" s="106"/>
      <c r="QW8401" s="106"/>
      <c r="QX8401" s="106"/>
      <c r="QY8401" s="106"/>
      <c r="QZ8401" s="106"/>
      <c r="RA8401" s="106"/>
      <c r="RB8401" s="106"/>
      <c r="RC8401" s="106"/>
      <c r="RD8401" s="106"/>
      <c r="RE8401" s="106"/>
      <c r="RF8401" s="106"/>
      <c r="RG8401" s="106"/>
      <c r="RH8401" s="106"/>
      <c r="RI8401" s="106"/>
      <c r="RJ8401" s="106"/>
      <c r="RK8401" s="106"/>
      <c r="RL8401" s="106"/>
    </row>
    <row r="8402" spans="462:480" x14ac:dyDescent="0.3">
      <c r="QT8402" s="106"/>
      <c r="QU8402" s="106"/>
      <c r="QV8402" s="106"/>
      <c r="QW8402" s="106"/>
      <c r="QX8402" s="106"/>
      <c r="QY8402" s="106"/>
      <c r="QZ8402" s="106"/>
      <c r="RA8402" s="106"/>
      <c r="RB8402" s="106"/>
      <c r="RC8402" s="106"/>
      <c r="RD8402" s="106"/>
      <c r="RE8402" s="106"/>
      <c r="RF8402" s="106"/>
      <c r="RG8402" s="106"/>
      <c r="RH8402" s="106"/>
      <c r="RI8402" s="106"/>
      <c r="RJ8402" s="106"/>
      <c r="RK8402" s="106"/>
      <c r="RL8402" s="106"/>
    </row>
    <row r="8403" spans="462:480" x14ac:dyDescent="0.3">
      <c r="QT8403" s="106"/>
      <c r="QU8403" s="106"/>
      <c r="QV8403" s="106"/>
      <c r="QW8403" s="106"/>
      <c r="QX8403" s="106"/>
      <c r="QY8403" s="106"/>
      <c r="QZ8403" s="106"/>
      <c r="RA8403" s="106"/>
      <c r="RB8403" s="106"/>
      <c r="RC8403" s="106"/>
      <c r="RD8403" s="106"/>
      <c r="RE8403" s="106"/>
      <c r="RF8403" s="106"/>
      <c r="RG8403" s="106"/>
      <c r="RH8403" s="106"/>
      <c r="RI8403" s="106"/>
      <c r="RJ8403" s="106"/>
      <c r="RK8403" s="106"/>
      <c r="RL8403" s="106"/>
    </row>
    <row r="8404" spans="462:480" x14ac:dyDescent="0.3">
      <c r="QT8404" s="106"/>
      <c r="QU8404" s="106"/>
      <c r="QV8404" s="106"/>
      <c r="QW8404" s="106"/>
      <c r="QX8404" s="106"/>
      <c r="QY8404" s="106"/>
      <c r="QZ8404" s="106"/>
      <c r="RA8404" s="106"/>
      <c r="RB8404" s="106"/>
      <c r="RC8404" s="106"/>
      <c r="RD8404" s="106"/>
      <c r="RE8404" s="106"/>
      <c r="RF8404" s="106"/>
      <c r="RG8404" s="106"/>
      <c r="RH8404" s="106"/>
      <c r="RI8404" s="106"/>
      <c r="RJ8404" s="106"/>
      <c r="RK8404" s="106"/>
      <c r="RL8404" s="106"/>
    </row>
    <row r="8405" spans="462:480" x14ac:dyDescent="0.3">
      <c r="QT8405" s="106"/>
      <c r="QU8405" s="106"/>
      <c r="QV8405" s="106"/>
      <c r="QW8405" s="106"/>
      <c r="QX8405" s="106"/>
      <c r="QY8405" s="106"/>
      <c r="QZ8405" s="106"/>
      <c r="RA8405" s="106"/>
      <c r="RB8405" s="106"/>
      <c r="RC8405" s="106"/>
      <c r="RD8405" s="106"/>
      <c r="RE8405" s="106"/>
      <c r="RF8405" s="106"/>
      <c r="RG8405" s="106"/>
      <c r="RH8405" s="106"/>
      <c r="RI8405" s="106"/>
      <c r="RJ8405" s="106"/>
      <c r="RK8405" s="106"/>
      <c r="RL8405" s="106"/>
    </row>
    <row r="8406" spans="462:480" x14ac:dyDescent="0.3">
      <c r="QT8406" s="106"/>
      <c r="QU8406" s="106"/>
      <c r="QV8406" s="106"/>
      <c r="QW8406" s="106"/>
      <c r="QX8406" s="106"/>
      <c r="QY8406" s="106"/>
      <c r="QZ8406" s="106"/>
      <c r="RA8406" s="106"/>
      <c r="RB8406" s="106"/>
      <c r="RC8406" s="106"/>
      <c r="RD8406" s="106"/>
      <c r="RE8406" s="106"/>
      <c r="RF8406" s="106"/>
      <c r="RG8406" s="106"/>
      <c r="RH8406" s="106"/>
      <c r="RI8406" s="106"/>
      <c r="RJ8406" s="106"/>
      <c r="RK8406" s="106"/>
      <c r="RL8406" s="106"/>
    </row>
    <row r="8407" spans="462:480" x14ac:dyDescent="0.3">
      <c r="QT8407" s="106"/>
      <c r="QU8407" s="106"/>
      <c r="QV8407" s="106"/>
      <c r="QW8407" s="106"/>
      <c r="QX8407" s="106"/>
      <c r="QY8407" s="106"/>
      <c r="QZ8407" s="106"/>
      <c r="RA8407" s="106"/>
      <c r="RB8407" s="106"/>
      <c r="RC8407" s="106"/>
      <c r="RD8407" s="106"/>
      <c r="RE8407" s="106"/>
      <c r="RF8407" s="106"/>
      <c r="RG8407" s="106"/>
      <c r="RH8407" s="106"/>
      <c r="RI8407" s="106"/>
      <c r="RJ8407" s="106"/>
      <c r="RK8407" s="106"/>
      <c r="RL8407" s="106"/>
    </row>
    <row r="8408" spans="462:480" x14ac:dyDescent="0.3">
      <c r="QT8408" s="106"/>
      <c r="QU8408" s="106"/>
      <c r="QV8408" s="106"/>
      <c r="QW8408" s="106"/>
      <c r="QX8408" s="106"/>
      <c r="QY8408" s="106"/>
      <c r="QZ8408" s="106"/>
      <c r="RA8408" s="106"/>
      <c r="RB8408" s="106"/>
      <c r="RC8408" s="106"/>
      <c r="RD8408" s="106"/>
      <c r="RE8408" s="106"/>
      <c r="RF8408" s="106"/>
      <c r="RG8408" s="106"/>
      <c r="RH8408" s="106"/>
      <c r="RI8408" s="106"/>
      <c r="RJ8408" s="106"/>
      <c r="RK8408" s="106"/>
      <c r="RL8408" s="106"/>
    </row>
    <row r="8409" spans="462:480" x14ac:dyDescent="0.3">
      <c r="QT8409" s="106"/>
      <c r="QU8409" s="106"/>
      <c r="QV8409" s="106"/>
      <c r="QW8409" s="106"/>
      <c r="QX8409" s="106"/>
      <c r="QY8409" s="106"/>
      <c r="QZ8409" s="106"/>
      <c r="RA8409" s="106"/>
      <c r="RB8409" s="106"/>
      <c r="RC8409" s="106"/>
      <c r="RD8409" s="106"/>
      <c r="RE8409" s="106"/>
      <c r="RF8409" s="106"/>
      <c r="RG8409" s="106"/>
      <c r="RH8409" s="106"/>
      <c r="RI8409" s="106"/>
      <c r="RJ8409" s="106"/>
      <c r="RK8409" s="106"/>
      <c r="RL8409" s="106"/>
    </row>
    <row r="8410" spans="462:480" x14ac:dyDescent="0.3">
      <c r="QT8410" s="106"/>
      <c r="QU8410" s="106"/>
      <c r="QV8410" s="106"/>
      <c r="QW8410" s="106"/>
      <c r="QX8410" s="106"/>
      <c r="QY8410" s="106"/>
      <c r="QZ8410" s="106"/>
      <c r="RA8410" s="106"/>
      <c r="RB8410" s="106"/>
      <c r="RC8410" s="106"/>
      <c r="RD8410" s="106"/>
      <c r="RE8410" s="106"/>
      <c r="RF8410" s="106"/>
      <c r="RG8410" s="106"/>
      <c r="RH8410" s="106"/>
      <c r="RI8410" s="106"/>
      <c r="RJ8410" s="106"/>
      <c r="RK8410" s="106"/>
      <c r="RL8410" s="106"/>
    </row>
    <row r="8411" spans="462:480" x14ac:dyDescent="0.3">
      <c r="QT8411" s="106"/>
      <c r="QU8411" s="106"/>
      <c r="QV8411" s="106"/>
      <c r="QW8411" s="106"/>
      <c r="QX8411" s="106"/>
      <c r="QY8411" s="106"/>
      <c r="QZ8411" s="106"/>
      <c r="RA8411" s="106"/>
      <c r="RB8411" s="106"/>
      <c r="RC8411" s="106"/>
      <c r="RD8411" s="106"/>
      <c r="RE8411" s="106"/>
      <c r="RF8411" s="106"/>
      <c r="RG8411" s="106"/>
      <c r="RH8411" s="106"/>
      <c r="RI8411" s="106"/>
      <c r="RJ8411" s="106"/>
      <c r="RK8411" s="106"/>
      <c r="RL8411" s="106"/>
    </row>
    <row r="8412" spans="462:480" x14ac:dyDescent="0.3">
      <c r="QT8412" s="106"/>
      <c r="QU8412" s="106"/>
      <c r="QV8412" s="106"/>
      <c r="QW8412" s="106"/>
      <c r="QX8412" s="106"/>
      <c r="QY8412" s="106"/>
      <c r="QZ8412" s="106"/>
      <c r="RA8412" s="106"/>
      <c r="RB8412" s="106"/>
      <c r="RC8412" s="106"/>
      <c r="RD8412" s="106"/>
      <c r="RE8412" s="106"/>
      <c r="RF8412" s="106"/>
      <c r="RG8412" s="106"/>
      <c r="RH8412" s="106"/>
      <c r="RI8412" s="106"/>
      <c r="RJ8412" s="106"/>
      <c r="RK8412" s="106"/>
      <c r="RL8412" s="106"/>
    </row>
    <row r="8413" spans="462:480" x14ac:dyDescent="0.3">
      <c r="QT8413" s="106"/>
      <c r="QU8413" s="106"/>
      <c r="QV8413" s="106"/>
      <c r="QW8413" s="106"/>
      <c r="QX8413" s="106"/>
      <c r="QY8413" s="106"/>
      <c r="QZ8413" s="106"/>
      <c r="RA8413" s="106"/>
      <c r="RB8413" s="106"/>
      <c r="RC8413" s="106"/>
      <c r="RD8413" s="106"/>
      <c r="RE8413" s="106"/>
      <c r="RF8413" s="106"/>
      <c r="RG8413" s="106"/>
      <c r="RH8413" s="106"/>
      <c r="RI8413" s="106"/>
      <c r="RJ8413" s="106"/>
      <c r="RK8413" s="106"/>
      <c r="RL8413" s="106"/>
    </row>
    <row r="8414" spans="462:480" x14ac:dyDescent="0.3">
      <c r="QT8414" s="106"/>
      <c r="QU8414" s="106"/>
      <c r="QV8414" s="106"/>
      <c r="QW8414" s="106"/>
      <c r="QX8414" s="106"/>
      <c r="QY8414" s="106"/>
      <c r="QZ8414" s="106"/>
      <c r="RA8414" s="106"/>
      <c r="RB8414" s="106"/>
      <c r="RC8414" s="106"/>
      <c r="RD8414" s="106"/>
      <c r="RE8414" s="106"/>
      <c r="RF8414" s="106"/>
      <c r="RG8414" s="106"/>
      <c r="RH8414" s="106"/>
      <c r="RI8414" s="106"/>
      <c r="RJ8414" s="106"/>
      <c r="RK8414" s="106"/>
      <c r="RL8414" s="106"/>
    </row>
    <row r="8415" spans="462:480" x14ac:dyDescent="0.3">
      <c r="QT8415" s="106"/>
      <c r="QU8415" s="106"/>
      <c r="QV8415" s="106"/>
      <c r="QW8415" s="106"/>
      <c r="QX8415" s="106"/>
      <c r="QY8415" s="106"/>
      <c r="QZ8415" s="106"/>
      <c r="RA8415" s="106"/>
      <c r="RB8415" s="106"/>
      <c r="RC8415" s="106"/>
      <c r="RD8415" s="106"/>
      <c r="RE8415" s="106"/>
      <c r="RF8415" s="106"/>
      <c r="RG8415" s="106"/>
      <c r="RH8415" s="106"/>
      <c r="RI8415" s="106"/>
      <c r="RJ8415" s="106"/>
      <c r="RK8415" s="106"/>
      <c r="RL8415" s="106"/>
    </row>
    <row r="8416" spans="462:480" x14ac:dyDescent="0.3">
      <c r="QT8416" s="106"/>
      <c r="QU8416" s="106"/>
      <c r="QV8416" s="106"/>
      <c r="QW8416" s="106"/>
      <c r="QX8416" s="106"/>
      <c r="QY8416" s="106"/>
      <c r="QZ8416" s="106"/>
      <c r="RA8416" s="106"/>
      <c r="RB8416" s="106"/>
      <c r="RC8416" s="106"/>
      <c r="RD8416" s="106"/>
      <c r="RE8416" s="106"/>
      <c r="RF8416" s="106"/>
      <c r="RG8416" s="106"/>
      <c r="RH8416" s="106"/>
      <c r="RI8416" s="106"/>
      <c r="RJ8416" s="106"/>
      <c r="RK8416" s="106"/>
      <c r="RL8416" s="106"/>
    </row>
    <row r="8417" spans="462:480" x14ac:dyDescent="0.3">
      <c r="QT8417" s="106"/>
      <c r="QU8417" s="106"/>
      <c r="QV8417" s="106"/>
      <c r="QW8417" s="106"/>
      <c r="QX8417" s="106"/>
      <c r="QY8417" s="106"/>
      <c r="QZ8417" s="106"/>
      <c r="RA8417" s="106"/>
      <c r="RB8417" s="106"/>
      <c r="RC8417" s="106"/>
      <c r="RD8417" s="106"/>
      <c r="RE8417" s="106"/>
      <c r="RF8417" s="106"/>
      <c r="RG8417" s="106"/>
      <c r="RH8417" s="106"/>
      <c r="RI8417" s="106"/>
      <c r="RJ8417" s="106"/>
      <c r="RK8417" s="106"/>
      <c r="RL8417" s="106"/>
    </row>
    <row r="8418" spans="462:480" x14ac:dyDescent="0.3">
      <c r="QT8418" s="106"/>
      <c r="QU8418" s="106"/>
      <c r="QV8418" s="106"/>
      <c r="QW8418" s="106"/>
      <c r="QX8418" s="106"/>
      <c r="QY8418" s="106"/>
      <c r="QZ8418" s="106"/>
      <c r="RA8418" s="106"/>
      <c r="RB8418" s="106"/>
      <c r="RC8418" s="106"/>
      <c r="RD8418" s="106"/>
      <c r="RE8418" s="106"/>
      <c r="RF8418" s="106"/>
      <c r="RG8418" s="106"/>
      <c r="RH8418" s="106"/>
      <c r="RI8418" s="106"/>
      <c r="RJ8418" s="106"/>
      <c r="RK8418" s="106"/>
      <c r="RL8418" s="106"/>
    </row>
    <row r="8419" spans="462:480" x14ac:dyDescent="0.3">
      <c r="QT8419" s="106"/>
      <c r="QU8419" s="106"/>
      <c r="QV8419" s="106"/>
      <c r="QW8419" s="106"/>
      <c r="QX8419" s="106"/>
      <c r="QY8419" s="106"/>
      <c r="QZ8419" s="106"/>
      <c r="RA8419" s="106"/>
      <c r="RB8419" s="106"/>
      <c r="RC8419" s="106"/>
      <c r="RD8419" s="106"/>
      <c r="RE8419" s="106"/>
      <c r="RF8419" s="106"/>
      <c r="RG8419" s="106"/>
      <c r="RH8419" s="106"/>
      <c r="RI8419" s="106"/>
      <c r="RJ8419" s="106"/>
      <c r="RK8419" s="106"/>
      <c r="RL8419" s="106"/>
    </row>
    <row r="8420" spans="462:480" x14ac:dyDescent="0.3">
      <c r="QT8420" s="106"/>
      <c r="QU8420" s="106"/>
      <c r="QV8420" s="106"/>
      <c r="QW8420" s="106"/>
      <c r="QX8420" s="106"/>
      <c r="QY8420" s="106"/>
      <c r="QZ8420" s="106"/>
      <c r="RA8420" s="106"/>
      <c r="RB8420" s="106"/>
      <c r="RC8420" s="106"/>
      <c r="RD8420" s="106"/>
      <c r="RE8420" s="106"/>
      <c r="RF8420" s="106"/>
      <c r="RG8420" s="106"/>
      <c r="RH8420" s="106"/>
      <c r="RI8420" s="106"/>
      <c r="RJ8420" s="106"/>
      <c r="RK8420" s="106"/>
      <c r="RL8420" s="106"/>
    </row>
    <row r="8421" spans="462:480" x14ac:dyDescent="0.3">
      <c r="QT8421" s="106"/>
      <c r="QU8421" s="106"/>
      <c r="QV8421" s="106"/>
      <c r="QW8421" s="106"/>
      <c r="QX8421" s="106"/>
      <c r="QY8421" s="106"/>
      <c r="QZ8421" s="106"/>
      <c r="RA8421" s="106"/>
      <c r="RB8421" s="106"/>
      <c r="RC8421" s="106"/>
      <c r="RD8421" s="106"/>
      <c r="RE8421" s="106"/>
      <c r="RF8421" s="106"/>
      <c r="RG8421" s="106"/>
      <c r="RH8421" s="106"/>
      <c r="RI8421" s="106"/>
      <c r="RJ8421" s="106"/>
      <c r="RK8421" s="106"/>
      <c r="RL8421" s="106"/>
    </row>
    <row r="8422" spans="462:480" x14ac:dyDescent="0.3">
      <c r="QT8422" s="106"/>
      <c r="QU8422" s="106"/>
      <c r="QV8422" s="106"/>
      <c r="QW8422" s="106"/>
      <c r="QX8422" s="106"/>
      <c r="QY8422" s="106"/>
      <c r="QZ8422" s="106"/>
      <c r="RA8422" s="106"/>
      <c r="RB8422" s="106"/>
      <c r="RC8422" s="106"/>
      <c r="RD8422" s="106"/>
      <c r="RE8422" s="106"/>
      <c r="RF8422" s="106"/>
      <c r="RG8422" s="106"/>
      <c r="RH8422" s="106"/>
      <c r="RI8422" s="106"/>
      <c r="RJ8422" s="106"/>
      <c r="RK8422" s="106"/>
      <c r="RL8422" s="106"/>
    </row>
    <row r="8423" spans="462:480" x14ac:dyDescent="0.3">
      <c r="QT8423" s="106"/>
      <c r="QU8423" s="106"/>
      <c r="QV8423" s="106"/>
      <c r="QW8423" s="106"/>
      <c r="QX8423" s="106"/>
      <c r="QY8423" s="106"/>
      <c r="QZ8423" s="106"/>
      <c r="RA8423" s="106"/>
      <c r="RB8423" s="106"/>
      <c r="RC8423" s="106"/>
      <c r="RD8423" s="106"/>
      <c r="RE8423" s="106"/>
      <c r="RF8423" s="106"/>
      <c r="RG8423" s="106"/>
      <c r="RH8423" s="106"/>
      <c r="RI8423" s="106"/>
      <c r="RJ8423" s="106"/>
      <c r="RK8423" s="106"/>
      <c r="RL8423" s="106"/>
    </row>
    <row r="8424" spans="462:480" x14ac:dyDescent="0.3">
      <c r="QT8424" s="106"/>
      <c r="QU8424" s="106"/>
      <c r="QV8424" s="106"/>
      <c r="QW8424" s="106"/>
      <c r="QX8424" s="106"/>
      <c r="QY8424" s="106"/>
      <c r="QZ8424" s="106"/>
      <c r="RA8424" s="106"/>
      <c r="RB8424" s="106"/>
      <c r="RC8424" s="106"/>
      <c r="RD8424" s="106"/>
      <c r="RE8424" s="106"/>
      <c r="RF8424" s="106"/>
      <c r="RG8424" s="106"/>
      <c r="RH8424" s="106"/>
      <c r="RI8424" s="106"/>
      <c r="RJ8424" s="106"/>
      <c r="RK8424" s="106"/>
      <c r="RL8424" s="106"/>
    </row>
    <row r="8425" spans="462:480" x14ac:dyDescent="0.3">
      <c r="QT8425" s="106"/>
      <c r="QU8425" s="106"/>
      <c r="QV8425" s="106"/>
      <c r="QW8425" s="106"/>
      <c r="QX8425" s="106"/>
      <c r="QY8425" s="106"/>
      <c r="QZ8425" s="106"/>
      <c r="RA8425" s="106"/>
      <c r="RB8425" s="106"/>
      <c r="RC8425" s="106"/>
      <c r="RD8425" s="106"/>
      <c r="RE8425" s="106"/>
      <c r="RF8425" s="106"/>
      <c r="RG8425" s="106"/>
      <c r="RH8425" s="106"/>
      <c r="RI8425" s="106"/>
      <c r="RJ8425" s="106"/>
      <c r="RK8425" s="106"/>
      <c r="RL8425" s="106"/>
    </row>
    <row r="8426" spans="462:480" x14ac:dyDescent="0.3">
      <c r="QT8426" s="106"/>
      <c r="QU8426" s="106"/>
      <c r="QV8426" s="106"/>
      <c r="QW8426" s="106"/>
      <c r="QX8426" s="106"/>
      <c r="QY8426" s="106"/>
      <c r="QZ8426" s="106"/>
      <c r="RA8426" s="106"/>
      <c r="RB8426" s="106"/>
      <c r="RC8426" s="106"/>
      <c r="RD8426" s="106"/>
      <c r="RE8426" s="106"/>
      <c r="RF8426" s="106"/>
      <c r="RG8426" s="106"/>
      <c r="RH8426" s="106"/>
      <c r="RI8426" s="106"/>
      <c r="RJ8426" s="106"/>
      <c r="RK8426" s="106"/>
      <c r="RL8426" s="106"/>
    </row>
    <row r="8427" spans="462:480" x14ac:dyDescent="0.3">
      <c r="QT8427" s="106"/>
      <c r="QU8427" s="106"/>
      <c r="QV8427" s="106"/>
      <c r="QW8427" s="106"/>
      <c r="QX8427" s="106"/>
      <c r="QY8427" s="106"/>
      <c r="QZ8427" s="106"/>
      <c r="RA8427" s="106"/>
      <c r="RB8427" s="106"/>
      <c r="RC8427" s="106"/>
      <c r="RD8427" s="106"/>
      <c r="RE8427" s="106"/>
      <c r="RF8427" s="106"/>
      <c r="RG8427" s="106"/>
      <c r="RH8427" s="106"/>
      <c r="RI8427" s="106"/>
      <c r="RJ8427" s="106"/>
      <c r="RK8427" s="106"/>
      <c r="RL8427" s="106"/>
    </row>
    <row r="8428" spans="462:480" x14ac:dyDescent="0.3">
      <c r="QT8428" s="106"/>
      <c r="QU8428" s="106"/>
      <c r="QV8428" s="106"/>
      <c r="QW8428" s="106"/>
      <c r="QX8428" s="106"/>
      <c r="QY8428" s="106"/>
      <c r="QZ8428" s="106"/>
      <c r="RA8428" s="106"/>
      <c r="RB8428" s="106"/>
      <c r="RC8428" s="106"/>
      <c r="RD8428" s="106"/>
      <c r="RE8428" s="106"/>
      <c r="RF8428" s="106"/>
      <c r="RG8428" s="106"/>
      <c r="RH8428" s="106"/>
      <c r="RI8428" s="106"/>
      <c r="RJ8428" s="106"/>
      <c r="RK8428" s="106"/>
      <c r="RL8428" s="106"/>
    </row>
    <row r="8429" spans="462:480" x14ac:dyDescent="0.3">
      <c r="QT8429" s="106"/>
      <c r="QU8429" s="106"/>
      <c r="QV8429" s="106"/>
      <c r="QW8429" s="106"/>
      <c r="QX8429" s="106"/>
      <c r="QY8429" s="106"/>
      <c r="QZ8429" s="106"/>
      <c r="RA8429" s="106"/>
      <c r="RB8429" s="106"/>
      <c r="RC8429" s="106"/>
      <c r="RD8429" s="106"/>
      <c r="RE8429" s="106"/>
      <c r="RF8429" s="106"/>
      <c r="RG8429" s="106"/>
      <c r="RH8429" s="106"/>
      <c r="RI8429" s="106"/>
      <c r="RJ8429" s="106"/>
      <c r="RK8429" s="106"/>
      <c r="RL8429" s="106"/>
    </row>
    <row r="8430" spans="462:480" x14ac:dyDescent="0.3">
      <c r="QT8430" s="106"/>
      <c r="QU8430" s="106"/>
      <c r="QV8430" s="106"/>
      <c r="QW8430" s="106"/>
      <c r="QX8430" s="106"/>
      <c r="QY8430" s="106"/>
      <c r="QZ8430" s="106"/>
      <c r="RA8430" s="106"/>
      <c r="RB8430" s="106"/>
      <c r="RC8430" s="106"/>
      <c r="RD8430" s="106"/>
      <c r="RE8430" s="106"/>
      <c r="RF8430" s="106"/>
      <c r="RG8430" s="106"/>
      <c r="RH8430" s="106"/>
      <c r="RI8430" s="106"/>
      <c r="RJ8430" s="106"/>
      <c r="RK8430" s="106"/>
      <c r="RL8430" s="106"/>
    </row>
    <row r="8431" spans="462:480" x14ac:dyDescent="0.3">
      <c r="QT8431" s="106"/>
      <c r="QU8431" s="106"/>
      <c r="QV8431" s="106"/>
      <c r="QW8431" s="106"/>
      <c r="QX8431" s="106"/>
      <c r="QY8431" s="106"/>
      <c r="QZ8431" s="106"/>
      <c r="RA8431" s="106"/>
      <c r="RB8431" s="106"/>
      <c r="RC8431" s="106"/>
      <c r="RD8431" s="106"/>
      <c r="RE8431" s="106"/>
      <c r="RF8431" s="106"/>
      <c r="RG8431" s="106"/>
      <c r="RH8431" s="106"/>
      <c r="RI8431" s="106"/>
      <c r="RJ8431" s="106"/>
      <c r="RK8431" s="106"/>
      <c r="RL8431" s="106"/>
    </row>
    <row r="8432" spans="462:480" x14ac:dyDescent="0.3">
      <c r="QT8432" s="106"/>
      <c r="QU8432" s="106"/>
      <c r="QV8432" s="106"/>
      <c r="QW8432" s="106"/>
      <c r="QX8432" s="106"/>
      <c r="QY8432" s="106"/>
      <c r="QZ8432" s="106"/>
      <c r="RA8432" s="106"/>
      <c r="RB8432" s="106"/>
      <c r="RC8432" s="106"/>
      <c r="RD8432" s="106"/>
      <c r="RE8432" s="106"/>
      <c r="RF8432" s="106"/>
      <c r="RG8432" s="106"/>
      <c r="RH8432" s="106"/>
      <c r="RI8432" s="106"/>
      <c r="RJ8432" s="106"/>
      <c r="RK8432" s="106"/>
      <c r="RL8432" s="106"/>
    </row>
    <row r="8433" spans="462:480" x14ac:dyDescent="0.3">
      <c r="QT8433" s="106"/>
      <c r="QU8433" s="106"/>
      <c r="QV8433" s="106"/>
      <c r="QW8433" s="106"/>
      <c r="QX8433" s="106"/>
      <c r="QY8433" s="106"/>
      <c r="QZ8433" s="106"/>
      <c r="RA8433" s="106"/>
      <c r="RB8433" s="106"/>
      <c r="RC8433" s="106"/>
      <c r="RD8433" s="106"/>
      <c r="RE8433" s="106"/>
      <c r="RF8433" s="106"/>
      <c r="RG8433" s="106"/>
      <c r="RH8433" s="106"/>
      <c r="RI8433" s="106"/>
      <c r="RJ8433" s="106"/>
      <c r="RK8433" s="106"/>
      <c r="RL8433" s="106"/>
    </row>
    <row r="8434" spans="462:480" x14ac:dyDescent="0.3">
      <c r="QT8434" s="106"/>
      <c r="QU8434" s="106"/>
      <c r="QV8434" s="106"/>
      <c r="QW8434" s="106"/>
      <c r="QX8434" s="106"/>
      <c r="QY8434" s="106"/>
      <c r="QZ8434" s="106"/>
      <c r="RA8434" s="106"/>
      <c r="RB8434" s="106"/>
      <c r="RC8434" s="106"/>
      <c r="RD8434" s="106"/>
      <c r="RE8434" s="106"/>
      <c r="RF8434" s="106"/>
      <c r="RG8434" s="106"/>
      <c r="RH8434" s="106"/>
      <c r="RI8434" s="106"/>
      <c r="RJ8434" s="106"/>
      <c r="RK8434" s="106"/>
      <c r="RL8434" s="106"/>
    </row>
    <row r="8435" spans="462:480" x14ac:dyDescent="0.3">
      <c r="QT8435" s="106"/>
      <c r="QU8435" s="106"/>
      <c r="QV8435" s="106"/>
      <c r="QW8435" s="106"/>
      <c r="QX8435" s="106"/>
      <c r="QY8435" s="106"/>
      <c r="QZ8435" s="106"/>
      <c r="RA8435" s="106"/>
      <c r="RB8435" s="106"/>
      <c r="RC8435" s="106"/>
      <c r="RD8435" s="106"/>
      <c r="RE8435" s="106"/>
      <c r="RF8435" s="106"/>
      <c r="RG8435" s="106"/>
      <c r="RH8435" s="106"/>
      <c r="RI8435" s="106"/>
      <c r="RJ8435" s="106"/>
      <c r="RK8435" s="106"/>
      <c r="RL8435" s="106"/>
    </row>
    <row r="8436" spans="462:480" x14ac:dyDescent="0.3">
      <c r="QT8436" s="106"/>
      <c r="QU8436" s="106"/>
      <c r="QV8436" s="106"/>
      <c r="QW8436" s="106"/>
      <c r="QX8436" s="106"/>
      <c r="QY8436" s="106"/>
      <c r="QZ8436" s="106"/>
      <c r="RA8436" s="106"/>
      <c r="RB8436" s="106"/>
      <c r="RC8436" s="106"/>
      <c r="RD8436" s="106"/>
      <c r="RE8436" s="106"/>
      <c r="RF8436" s="106"/>
      <c r="RG8436" s="106"/>
      <c r="RH8436" s="106"/>
      <c r="RI8436" s="106"/>
      <c r="RJ8436" s="106"/>
      <c r="RK8436" s="106"/>
      <c r="RL8436" s="106"/>
    </row>
    <row r="8437" spans="462:480" x14ac:dyDescent="0.3">
      <c r="QT8437" s="106"/>
      <c r="QU8437" s="106"/>
      <c r="QV8437" s="106"/>
      <c r="QW8437" s="106"/>
      <c r="QX8437" s="106"/>
      <c r="QY8437" s="106"/>
      <c r="QZ8437" s="106"/>
      <c r="RA8437" s="106"/>
      <c r="RB8437" s="106"/>
      <c r="RC8437" s="106"/>
      <c r="RD8437" s="106"/>
      <c r="RE8437" s="106"/>
      <c r="RF8437" s="106"/>
      <c r="RG8437" s="106"/>
      <c r="RH8437" s="106"/>
      <c r="RI8437" s="106"/>
      <c r="RJ8437" s="106"/>
      <c r="RK8437" s="106"/>
      <c r="RL8437" s="106"/>
    </row>
    <row r="8438" spans="462:480" x14ac:dyDescent="0.3">
      <c r="QT8438" s="106"/>
      <c r="QU8438" s="106"/>
      <c r="QV8438" s="106"/>
      <c r="QW8438" s="106"/>
      <c r="QX8438" s="106"/>
      <c r="QY8438" s="106"/>
      <c r="QZ8438" s="106"/>
      <c r="RA8438" s="106"/>
      <c r="RB8438" s="106"/>
      <c r="RC8438" s="106"/>
      <c r="RD8438" s="106"/>
      <c r="RE8438" s="106"/>
      <c r="RF8438" s="106"/>
      <c r="RG8438" s="106"/>
      <c r="RH8438" s="106"/>
      <c r="RI8438" s="106"/>
      <c r="RJ8438" s="106"/>
      <c r="RK8438" s="106"/>
      <c r="RL8438" s="106"/>
    </row>
    <row r="8439" spans="462:480" x14ac:dyDescent="0.3">
      <c r="QT8439" s="106"/>
      <c r="QU8439" s="106"/>
      <c r="QV8439" s="106"/>
      <c r="QW8439" s="106"/>
      <c r="QX8439" s="106"/>
      <c r="QY8439" s="106"/>
      <c r="QZ8439" s="106"/>
      <c r="RA8439" s="106"/>
      <c r="RB8439" s="106"/>
      <c r="RC8439" s="106"/>
      <c r="RD8439" s="106"/>
      <c r="RE8439" s="106"/>
      <c r="RF8439" s="106"/>
      <c r="RG8439" s="106"/>
      <c r="RH8439" s="106"/>
      <c r="RI8439" s="106"/>
      <c r="RJ8439" s="106"/>
      <c r="RK8439" s="106"/>
      <c r="RL8439" s="106"/>
    </row>
    <row r="8440" spans="462:480" x14ac:dyDescent="0.3">
      <c r="QT8440" s="106"/>
      <c r="QU8440" s="106"/>
      <c r="QV8440" s="106"/>
      <c r="QW8440" s="106"/>
      <c r="QX8440" s="106"/>
      <c r="QY8440" s="106"/>
      <c r="QZ8440" s="106"/>
      <c r="RA8440" s="106"/>
      <c r="RB8440" s="106"/>
      <c r="RC8440" s="106"/>
      <c r="RD8440" s="106"/>
      <c r="RE8440" s="106"/>
      <c r="RF8440" s="106"/>
      <c r="RG8440" s="106"/>
      <c r="RH8440" s="106"/>
      <c r="RI8440" s="106"/>
      <c r="RJ8440" s="106"/>
      <c r="RK8440" s="106"/>
      <c r="RL8440" s="106"/>
    </row>
    <row r="8441" spans="462:480" x14ac:dyDescent="0.3">
      <c r="QT8441" s="106"/>
      <c r="QU8441" s="106"/>
      <c r="QV8441" s="106"/>
      <c r="QW8441" s="106"/>
      <c r="QX8441" s="106"/>
      <c r="QY8441" s="106"/>
      <c r="QZ8441" s="106"/>
      <c r="RA8441" s="106"/>
      <c r="RB8441" s="106"/>
      <c r="RC8441" s="106"/>
      <c r="RD8441" s="106"/>
      <c r="RE8441" s="106"/>
      <c r="RF8441" s="106"/>
      <c r="RG8441" s="106"/>
      <c r="RH8441" s="106"/>
      <c r="RI8441" s="106"/>
      <c r="RJ8441" s="106"/>
      <c r="RK8441" s="106"/>
      <c r="RL8441" s="106"/>
    </row>
    <row r="8442" spans="462:480" x14ac:dyDescent="0.3">
      <c r="QT8442" s="106"/>
      <c r="QU8442" s="106"/>
      <c r="QV8442" s="106"/>
      <c r="QW8442" s="106"/>
      <c r="QX8442" s="106"/>
      <c r="QY8442" s="106"/>
      <c r="QZ8442" s="106"/>
      <c r="RA8442" s="106"/>
      <c r="RB8442" s="106"/>
      <c r="RC8442" s="106"/>
      <c r="RD8442" s="106"/>
      <c r="RE8442" s="106"/>
      <c r="RF8442" s="106"/>
      <c r="RG8442" s="106"/>
      <c r="RH8442" s="106"/>
      <c r="RI8442" s="106"/>
      <c r="RJ8442" s="106"/>
      <c r="RK8442" s="106"/>
      <c r="RL8442" s="106"/>
    </row>
    <row r="8443" spans="462:480" x14ac:dyDescent="0.3">
      <c r="QT8443" s="106"/>
      <c r="QU8443" s="106"/>
      <c r="QV8443" s="106"/>
      <c r="QW8443" s="106"/>
      <c r="QX8443" s="106"/>
      <c r="QY8443" s="106"/>
      <c r="QZ8443" s="106"/>
      <c r="RA8443" s="106"/>
      <c r="RB8443" s="106"/>
      <c r="RC8443" s="106"/>
      <c r="RD8443" s="106"/>
      <c r="RE8443" s="106"/>
      <c r="RF8443" s="106"/>
      <c r="RG8443" s="106"/>
      <c r="RH8443" s="106"/>
      <c r="RI8443" s="106"/>
      <c r="RJ8443" s="106"/>
      <c r="RK8443" s="106"/>
      <c r="RL8443" s="106"/>
    </row>
    <row r="8444" spans="462:480" x14ac:dyDescent="0.3">
      <c r="QT8444" s="106"/>
      <c r="QU8444" s="106"/>
      <c r="QV8444" s="106"/>
      <c r="QW8444" s="106"/>
      <c r="QX8444" s="106"/>
      <c r="QY8444" s="106"/>
      <c r="QZ8444" s="106"/>
      <c r="RA8444" s="106"/>
      <c r="RB8444" s="106"/>
      <c r="RC8444" s="106"/>
      <c r="RD8444" s="106"/>
      <c r="RE8444" s="106"/>
      <c r="RF8444" s="106"/>
      <c r="RG8444" s="106"/>
      <c r="RH8444" s="106"/>
      <c r="RI8444" s="106"/>
      <c r="RJ8444" s="106"/>
      <c r="RK8444" s="106"/>
      <c r="RL8444" s="106"/>
    </row>
    <row r="8445" spans="462:480" x14ac:dyDescent="0.3">
      <c r="QT8445" s="106"/>
      <c r="QU8445" s="106"/>
      <c r="QV8445" s="106"/>
      <c r="QW8445" s="106"/>
      <c r="QX8445" s="106"/>
      <c r="QY8445" s="106"/>
      <c r="QZ8445" s="106"/>
      <c r="RA8445" s="106"/>
      <c r="RB8445" s="106"/>
      <c r="RC8445" s="106"/>
      <c r="RD8445" s="106"/>
      <c r="RE8445" s="106"/>
      <c r="RF8445" s="106"/>
      <c r="RG8445" s="106"/>
      <c r="RH8445" s="106"/>
      <c r="RI8445" s="106"/>
      <c r="RJ8445" s="106"/>
      <c r="RK8445" s="106"/>
      <c r="RL8445" s="106"/>
    </row>
    <row r="8446" spans="462:480" x14ac:dyDescent="0.3">
      <c r="QT8446" s="106"/>
      <c r="QU8446" s="106"/>
      <c r="QV8446" s="106"/>
      <c r="QW8446" s="106"/>
      <c r="QX8446" s="106"/>
      <c r="QY8446" s="106"/>
      <c r="QZ8446" s="106"/>
      <c r="RA8446" s="106"/>
      <c r="RB8446" s="106"/>
      <c r="RC8446" s="106"/>
      <c r="RD8446" s="106"/>
      <c r="RE8446" s="106"/>
      <c r="RF8446" s="106"/>
      <c r="RG8446" s="106"/>
      <c r="RH8446" s="106"/>
      <c r="RI8446" s="106"/>
      <c r="RJ8446" s="106"/>
      <c r="RK8446" s="106"/>
      <c r="RL8446" s="106"/>
    </row>
    <row r="8447" spans="462:480" x14ac:dyDescent="0.3">
      <c r="QT8447" s="106"/>
      <c r="QU8447" s="106"/>
      <c r="QV8447" s="106"/>
      <c r="QW8447" s="106"/>
      <c r="QX8447" s="106"/>
      <c r="QY8447" s="106"/>
      <c r="QZ8447" s="106"/>
      <c r="RA8447" s="106"/>
      <c r="RB8447" s="106"/>
      <c r="RC8447" s="106"/>
      <c r="RD8447" s="106"/>
      <c r="RE8447" s="106"/>
      <c r="RF8447" s="106"/>
      <c r="RG8447" s="106"/>
      <c r="RH8447" s="106"/>
      <c r="RI8447" s="106"/>
      <c r="RJ8447" s="106"/>
      <c r="RK8447" s="106"/>
      <c r="RL8447" s="106"/>
    </row>
    <row r="8448" spans="462:480" x14ac:dyDescent="0.3">
      <c r="QT8448" s="106"/>
      <c r="QU8448" s="106"/>
      <c r="QV8448" s="106"/>
      <c r="QW8448" s="106"/>
      <c r="QX8448" s="106"/>
      <c r="QY8448" s="106"/>
      <c r="QZ8448" s="106"/>
      <c r="RA8448" s="106"/>
      <c r="RB8448" s="106"/>
      <c r="RC8448" s="106"/>
      <c r="RD8448" s="106"/>
      <c r="RE8448" s="106"/>
      <c r="RF8448" s="106"/>
      <c r="RG8448" s="106"/>
      <c r="RH8448" s="106"/>
      <c r="RI8448" s="106"/>
      <c r="RJ8448" s="106"/>
      <c r="RK8448" s="106"/>
      <c r="RL8448" s="106"/>
    </row>
    <row r="8449" spans="462:480" x14ac:dyDescent="0.3">
      <c r="QT8449" s="106"/>
      <c r="QU8449" s="106"/>
      <c r="QV8449" s="106"/>
      <c r="QW8449" s="106"/>
      <c r="QX8449" s="106"/>
      <c r="QY8449" s="106"/>
      <c r="QZ8449" s="106"/>
      <c r="RA8449" s="106"/>
      <c r="RB8449" s="106"/>
      <c r="RC8449" s="106"/>
      <c r="RD8449" s="106"/>
      <c r="RE8449" s="106"/>
      <c r="RF8449" s="106"/>
      <c r="RG8449" s="106"/>
      <c r="RH8449" s="106"/>
      <c r="RI8449" s="106"/>
      <c r="RJ8449" s="106"/>
      <c r="RK8449" s="106"/>
      <c r="RL8449" s="106"/>
    </row>
    <row r="8450" spans="462:480" x14ac:dyDescent="0.3">
      <c r="QT8450" s="106"/>
      <c r="QU8450" s="106"/>
      <c r="QV8450" s="106"/>
      <c r="QW8450" s="106"/>
      <c r="QX8450" s="106"/>
      <c r="QY8450" s="106"/>
      <c r="QZ8450" s="106"/>
      <c r="RA8450" s="106"/>
      <c r="RB8450" s="106"/>
      <c r="RC8450" s="106"/>
      <c r="RD8450" s="106"/>
      <c r="RE8450" s="106"/>
      <c r="RF8450" s="106"/>
      <c r="RG8450" s="106"/>
      <c r="RH8450" s="106"/>
      <c r="RI8450" s="106"/>
      <c r="RJ8450" s="106"/>
      <c r="RK8450" s="106"/>
      <c r="RL8450" s="106"/>
    </row>
    <row r="8451" spans="462:480" x14ac:dyDescent="0.3">
      <c r="QT8451" s="106"/>
      <c r="QU8451" s="106"/>
      <c r="QV8451" s="106"/>
      <c r="QW8451" s="106"/>
      <c r="QX8451" s="106"/>
      <c r="QY8451" s="106"/>
      <c r="QZ8451" s="106"/>
      <c r="RA8451" s="106"/>
      <c r="RB8451" s="106"/>
      <c r="RC8451" s="106"/>
      <c r="RD8451" s="106"/>
      <c r="RE8451" s="106"/>
      <c r="RF8451" s="106"/>
      <c r="RG8451" s="106"/>
      <c r="RH8451" s="106"/>
      <c r="RI8451" s="106"/>
      <c r="RJ8451" s="106"/>
      <c r="RK8451" s="106"/>
      <c r="RL8451" s="106"/>
    </row>
    <row r="8452" spans="462:480" x14ac:dyDescent="0.3">
      <c r="QT8452" s="106"/>
      <c r="QU8452" s="106"/>
      <c r="QV8452" s="106"/>
      <c r="QW8452" s="106"/>
      <c r="QX8452" s="106"/>
      <c r="QY8452" s="106"/>
      <c r="QZ8452" s="106"/>
      <c r="RA8452" s="106"/>
      <c r="RB8452" s="106"/>
      <c r="RC8452" s="106"/>
      <c r="RD8452" s="106"/>
      <c r="RE8452" s="106"/>
      <c r="RF8452" s="106"/>
      <c r="RG8452" s="106"/>
      <c r="RH8452" s="106"/>
      <c r="RI8452" s="106"/>
      <c r="RJ8452" s="106"/>
      <c r="RK8452" s="106"/>
      <c r="RL8452" s="106"/>
    </row>
    <row r="8453" spans="462:480" x14ac:dyDescent="0.3">
      <c r="QT8453" s="106"/>
      <c r="QU8453" s="106"/>
      <c r="QV8453" s="106"/>
      <c r="QW8453" s="106"/>
      <c r="QX8453" s="106"/>
      <c r="QY8453" s="106"/>
      <c r="QZ8453" s="106"/>
      <c r="RA8453" s="106"/>
      <c r="RB8453" s="106"/>
      <c r="RC8453" s="106"/>
      <c r="RD8453" s="106"/>
      <c r="RE8453" s="106"/>
      <c r="RF8453" s="106"/>
      <c r="RG8453" s="106"/>
      <c r="RH8453" s="106"/>
      <c r="RI8453" s="106"/>
      <c r="RJ8453" s="106"/>
      <c r="RK8453" s="106"/>
      <c r="RL8453" s="106"/>
    </row>
    <row r="8454" spans="462:480" x14ac:dyDescent="0.3">
      <c r="QT8454" s="106"/>
      <c r="QU8454" s="106"/>
      <c r="QV8454" s="106"/>
      <c r="QW8454" s="106"/>
      <c r="QX8454" s="106"/>
      <c r="QY8454" s="106"/>
      <c r="QZ8454" s="106"/>
      <c r="RA8454" s="106"/>
      <c r="RB8454" s="106"/>
      <c r="RC8454" s="106"/>
      <c r="RD8454" s="106"/>
      <c r="RE8454" s="106"/>
      <c r="RF8454" s="106"/>
      <c r="RG8454" s="106"/>
      <c r="RH8454" s="106"/>
      <c r="RI8454" s="106"/>
      <c r="RJ8454" s="106"/>
      <c r="RK8454" s="106"/>
      <c r="RL8454" s="106"/>
    </row>
    <row r="8455" spans="462:480" x14ac:dyDescent="0.3">
      <c r="QT8455" s="106"/>
      <c r="QU8455" s="106"/>
      <c r="QV8455" s="106"/>
      <c r="QW8455" s="106"/>
      <c r="QX8455" s="106"/>
      <c r="QY8455" s="106"/>
      <c r="QZ8455" s="106"/>
      <c r="RA8455" s="106"/>
      <c r="RB8455" s="106"/>
      <c r="RC8455" s="106"/>
      <c r="RD8455" s="106"/>
      <c r="RE8455" s="106"/>
      <c r="RF8455" s="106"/>
      <c r="RG8455" s="106"/>
      <c r="RH8455" s="106"/>
      <c r="RI8455" s="106"/>
      <c r="RJ8455" s="106"/>
      <c r="RK8455" s="106"/>
      <c r="RL8455" s="106"/>
    </row>
    <row r="8456" spans="462:480" x14ac:dyDescent="0.3">
      <c r="QT8456" s="106"/>
      <c r="QU8456" s="106"/>
      <c r="QV8456" s="106"/>
      <c r="QW8456" s="106"/>
      <c r="QX8456" s="106"/>
      <c r="QY8456" s="106"/>
      <c r="QZ8456" s="106"/>
      <c r="RA8456" s="106"/>
      <c r="RB8456" s="106"/>
      <c r="RC8456" s="106"/>
      <c r="RD8456" s="106"/>
      <c r="RE8456" s="106"/>
      <c r="RF8456" s="106"/>
      <c r="RG8456" s="106"/>
      <c r="RH8456" s="106"/>
      <c r="RI8456" s="106"/>
      <c r="RJ8456" s="106"/>
      <c r="RK8456" s="106"/>
      <c r="RL8456" s="106"/>
    </row>
    <row r="8457" spans="462:480" x14ac:dyDescent="0.3">
      <c r="QT8457" s="106"/>
      <c r="QU8457" s="106"/>
      <c r="QV8457" s="106"/>
      <c r="QW8457" s="106"/>
      <c r="QX8457" s="106"/>
      <c r="QY8457" s="106"/>
      <c r="QZ8457" s="106"/>
      <c r="RA8457" s="106"/>
      <c r="RB8457" s="106"/>
      <c r="RC8457" s="106"/>
      <c r="RD8457" s="106"/>
      <c r="RE8457" s="106"/>
      <c r="RF8457" s="106"/>
      <c r="RG8457" s="106"/>
      <c r="RH8457" s="106"/>
      <c r="RI8457" s="106"/>
      <c r="RJ8457" s="106"/>
      <c r="RK8457" s="106"/>
      <c r="RL8457" s="106"/>
    </row>
    <row r="8458" spans="462:480" x14ac:dyDescent="0.3">
      <c r="QT8458" s="106"/>
      <c r="QU8458" s="106"/>
      <c r="QV8458" s="106"/>
      <c r="QW8458" s="106"/>
      <c r="QX8458" s="106"/>
      <c r="QY8458" s="106"/>
      <c r="QZ8458" s="106"/>
      <c r="RA8458" s="106"/>
      <c r="RB8458" s="106"/>
      <c r="RC8458" s="106"/>
      <c r="RD8458" s="106"/>
      <c r="RE8458" s="106"/>
      <c r="RF8458" s="106"/>
      <c r="RG8458" s="106"/>
      <c r="RH8458" s="106"/>
      <c r="RI8458" s="106"/>
      <c r="RJ8458" s="106"/>
      <c r="RK8458" s="106"/>
      <c r="RL8458" s="106"/>
    </row>
    <row r="8459" spans="462:480" x14ac:dyDescent="0.3">
      <c r="QT8459" s="106"/>
      <c r="QU8459" s="106"/>
      <c r="QV8459" s="106"/>
      <c r="QW8459" s="106"/>
      <c r="QX8459" s="106"/>
      <c r="QY8459" s="106"/>
      <c r="QZ8459" s="106"/>
      <c r="RA8459" s="106"/>
      <c r="RB8459" s="106"/>
      <c r="RC8459" s="106"/>
      <c r="RD8459" s="106"/>
      <c r="RE8459" s="106"/>
      <c r="RF8459" s="106"/>
      <c r="RG8459" s="106"/>
      <c r="RH8459" s="106"/>
      <c r="RI8459" s="106"/>
      <c r="RJ8459" s="106"/>
      <c r="RK8459" s="106"/>
      <c r="RL8459" s="106"/>
    </row>
    <row r="8460" spans="462:480" x14ac:dyDescent="0.3">
      <c r="QT8460" s="106"/>
      <c r="QU8460" s="106"/>
      <c r="QV8460" s="106"/>
      <c r="QW8460" s="106"/>
      <c r="QX8460" s="106"/>
      <c r="QY8460" s="106"/>
      <c r="QZ8460" s="106"/>
      <c r="RA8460" s="106"/>
      <c r="RB8460" s="106"/>
      <c r="RC8460" s="106"/>
      <c r="RD8460" s="106"/>
      <c r="RE8460" s="106"/>
      <c r="RF8460" s="106"/>
      <c r="RG8460" s="106"/>
      <c r="RH8460" s="106"/>
      <c r="RI8460" s="106"/>
      <c r="RJ8460" s="106"/>
      <c r="RK8460" s="106"/>
      <c r="RL8460" s="106"/>
    </row>
    <row r="8461" spans="462:480" x14ac:dyDescent="0.3">
      <c r="QT8461" s="106"/>
      <c r="QU8461" s="106"/>
      <c r="QV8461" s="106"/>
      <c r="QW8461" s="106"/>
      <c r="QX8461" s="106"/>
      <c r="QY8461" s="106"/>
      <c r="QZ8461" s="106"/>
      <c r="RA8461" s="106"/>
      <c r="RB8461" s="106"/>
      <c r="RC8461" s="106"/>
      <c r="RD8461" s="106"/>
      <c r="RE8461" s="106"/>
      <c r="RF8461" s="106"/>
      <c r="RG8461" s="106"/>
      <c r="RH8461" s="106"/>
      <c r="RI8461" s="106"/>
      <c r="RJ8461" s="106"/>
      <c r="RK8461" s="106"/>
      <c r="RL8461" s="106"/>
    </row>
    <row r="8462" spans="462:480" x14ac:dyDescent="0.3">
      <c r="QT8462" s="106"/>
      <c r="QU8462" s="106"/>
      <c r="QV8462" s="106"/>
      <c r="QW8462" s="106"/>
      <c r="QX8462" s="106"/>
      <c r="QY8462" s="106"/>
      <c r="QZ8462" s="106"/>
      <c r="RA8462" s="106"/>
      <c r="RB8462" s="106"/>
      <c r="RC8462" s="106"/>
      <c r="RD8462" s="106"/>
      <c r="RE8462" s="106"/>
      <c r="RF8462" s="106"/>
      <c r="RG8462" s="106"/>
      <c r="RH8462" s="106"/>
      <c r="RI8462" s="106"/>
      <c r="RJ8462" s="106"/>
      <c r="RK8462" s="106"/>
      <c r="RL8462" s="106"/>
    </row>
    <row r="8463" spans="462:480" x14ac:dyDescent="0.3">
      <c r="QT8463" s="106"/>
      <c r="QU8463" s="106"/>
      <c r="QV8463" s="106"/>
      <c r="QW8463" s="106"/>
      <c r="QX8463" s="106"/>
      <c r="QY8463" s="106"/>
      <c r="QZ8463" s="106"/>
      <c r="RA8463" s="106"/>
      <c r="RB8463" s="106"/>
      <c r="RC8463" s="106"/>
      <c r="RD8463" s="106"/>
      <c r="RE8463" s="106"/>
      <c r="RF8463" s="106"/>
      <c r="RG8463" s="106"/>
      <c r="RH8463" s="106"/>
      <c r="RI8463" s="106"/>
      <c r="RJ8463" s="106"/>
      <c r="RK8463" s="106"/>
      <c r="RL8463" s="106"/>
    </row>
    <row r="8464" spans="462:480" x14ac:dyDescent="0.3">
      <c r="QT8464" s="106"/>
      <c r="QU8464" s="106"/>
      <c r="QV8464" s="106"/>
      <c r="QW8464" s="106"/>
      <c r="QX8464" s="106"/>
      <c r="QY8464" s="106"/>
      <c r="QZ8464" s="106"/>
      <c r="RA8464" s="106"/>
      <c r="RB8464" s="106"/>
      <c r="RC8464" s="106"/>
      <c r="RD8464" s="106"/>
      <c r="RE8464" s="106"/>
      <c r="RF8464" s="106"/>
      <c r="RG8464" s="106"/>
      <c r="RH8464" s="106"/>
      <c r="RI8464" s="106"/>
      <c r="RJ8464" s="106"/>
      <c r="RK8464" s="106"/>
      <c r="RL8464" s="106"/>
    </row>
    <row r="8465" spans="462:480" x14ac:dyDescent="0.3">
      <c r="QT8465" s="106"/>
      <c r="QU8465" s="106"/>
      <c r="QV8465" s="106"/>
      <c r="QW8465" s="106"/>
      <c r="QX8465" s="106"/>
      <c r="QY8465" s="106"/>
      <c r="QZ8465" s="106"/>
      <c r="RA8465" s="106"/>
      <c r="RB8465" s="106"/>
      <c r="RC8465" s="106"/>
      <c r="RD8465" s="106"/>
      <c r="RE8465" s="106"/>
      <c r="RF8465" s="106"/>
      <c r="RG8465" s="106"/>
      <c r="RH8465" s="106"/>
      <c r="RI8465" s="106"/>
      <c r="RJ8465" s="106"/>
      <c r="RK8465" s="106"/>
      <c r="RL8465" s="106"/>
    </row>
    <row r="8466" spans="462:480" x14ac:dyDescent="0.3">
      <c r="QT8466" s="106"/>
      <c r="QU8466" s="106"/>
      <c r="QV8466" s="106"/>
      <c r="QW8466" s="106"/>
      <c r="QX8466" s="106"/>
      <c r="QY8466" s="106"/>
      <c r="QZ8466" s="106"/>
      <c r="RA8466" s="106"/>
      <c r="RB8466" s="106"/>
      <c r="RC8466" s="106"/>
      <c r="RD8466" s="106"/>
      <c r="RE8466" s="106"/>
      <c r="RF8466" s="106"/>
      <c r="RG8466" s="106"/>
      <c r="RH8466" s="106"/>
      <c r="RI8466" s="106"/>
      <c r="RJ8466" s="106"/>
      <c r="RK8466" s="106"/>
      <c r="RL8466" s="106"/>
    </row>
    <row r="8467" spans="462:480" x14ac:dyDescent="0.3">
      <c r="QT8467" s="106"/>
      <c r="QU8467" s="106"/>
      <c r="QV8467" s="106"/>
      <c r="QW8467" s="106"/>
      <c r="QX8467" s="106"/>
      <c r="QY8467" s="106"/>
      <c r="QZ8467" s="106"/>
      <c r="RA8467" s="106"/>
      <c r="RB8467" s="106"/>
      <c r="RC8467" s="106"/>
      <c r="RD8467" s="106"/>
      <c r="RE8467" s="106"/>
      <c r="RF8467" s="106"/>
      <c r="RG8467" s="106"/>
      <c r="RH8467" s="106"/>
      <c r="RI8467" s="106"/>
      <c r="RJ8467" s="106"/>
      <c r="RK8467" s="106"/>
      <c r="RL8467" s="106"/>
    </row>
    <row r="8468" spans="462:480" x14ac:dyDescent="0.3">
      <c r="QT8468" s="106"/>
      <c r="QU8468" s="106"/>
      <c r="QV8468" s="106"/>
      <c r="QW8468" s="106"/>
      <c r="QX8468" s="106"/>
      <c r="QY8468" s="106"/>
      <c r="QZ8468" s="106"/>
      <c r="RA8468" s="106"/>
      <c r="RB8468" s="106"/>
      <c r="RC8468" s="106"/>
      <c r="RD8468" s="106"/>
      <c r="RE8468" s="106"/>
      <c r="RF8468" s="106"/>
      <c r="RG8468" s="106"/>
      <c r="RH8468" s="106"/>
      <c r="RI8468" s="106"/>
      <c r="RJ8468" s="106"/>
      <c r="RK8468" s="106"/>
      <c r="RL8468" s="106"/>
    </row>
    <row r="8469" spans="462:480" x14ac:dyDescent="0.3">
      <c r="QT8469" s="106"/>
      <c r="QU8469" s="106"/>
      <c r="QV8469" s="106"/>
      <c r="QW8469" s="106"/>
      <c r="QX8469" s="106"/>
      <c r="QY8469" s="106"/>
      <c r="QZ8469" s="106"/>
      <c r="RA8469" s="106"/>
      <c r="RB8469" s="106"/>
      <c r="RC8469" s="106"/>
      <c r="RD8469" s="106"/>
      <c r="RE8469" s="106"/>
      <c r="RF8469" s="106"/>
      <c r="RG8469" s="106"/>
      <c r="RH8469" s="106"/>
      <c r="RI8469" s="106"/>
      <c r="RJ8469" s="106"/>
      <c r="RK8469" s="106"/>
      <c r="RL8469" s="106"/>
    </row>
    <row r="8470" spans="462:480" x14ac:dyDescent="0.3">
      <c r="QT8470" s="106"/>
      <c r="QU8470" s="106"/>
      <c r="QV8470" s="106"/>
      <c r="QW8470" s="106"/>
      <c r="QX8470" s="106"/>
      <c r="QY8470" s="106"/>
      <c r="QZ8470" s="106"/>
      <c r="RA8470" s="106"/>
      <c r="RB8470" s="106"/>
      <c r="RC8470" s="106"/>
      <c r="RD8470" s="106"/>
      <c r="RE8470" s="106"/>
      <c r="RF8470" s="106"/>
      <c r="RG8470" s="106"/>
      <c r="RH8470" s="106"/>
      <c r="RI8470" s="106"/>
      <c r="RJ8470" s="106"/>
      <c r="RK8470" s="106"/>
      <c r="RL8470" s="106"/>
    </row>
    <row r="8471" spans="462:480" x14ac:dyDescent="0.3">
      <c r="QT8471" s="106"/>
      <c r="QU8471" s="106"/>
      <c r="QV8471" s="106"/>
      <c r="QW8471" s="106"/>
      <c r="QX8471" s="106"/>
      <c r="QY8471" s="106"/>
      <c r="QZ8471" s="106"/>
      <c r="RA8471" s="106"/>
      <c r="RB8471" s="106"/>
      <c r="RC8471" s="106"/>
      <c r="RD8471" s="106"/>
      <c r="RE8471" s="106"/>
      <c r="RF8471" s="106"/>
      <c r="RG8471" s="106"/>
      <c r="RH8471" s="106"/>
      <c r="RI8471" s="106"/>
      <c r="RJ8471" s="106"/>
      <c r="RK8471" s="106"/>
      <c r="RL8471" s="106"/>
    </row>
    <row r="8472" spans="462:480" x14ac:dyDescent="0.3">
      <c r="QT8472" s="106"/>
      <c r="QU8472" s="106"/>
      <c r="QV8472" s="106"/>
      <c r="QW8472" s="106"/>
      <c r="QX8472" s="106"/>
      <c r="QY8472" s="106"/>
      <c r="QZ8472" s="106"/>
      <c r="RA8472" s="106"/>
      <c r="RB8472" s="106"/>
      <c r="RC8472" s="106"/>
      <c r="RD8472" s="106"/>
      <c r="RE8472" s="106"/>
      <c r="RF8472" s="106"/>
      <c r="RG8472" s="106"/>
      <c r="RH8472" s="106"/>
      <c r="RI8472" s="106"/>
      <c r="RJ8472" s="106"/>
      <c r="RK8472" s="106"/>
      <c r="RL8472" s="106"/>
    </row>
    <row r="8473" spans="462:480" x14ac:dyDescent="0.3">
      <c r="QT8473" s="106"/>
      <c r="QU8473" s="106"/>
      <c r="QV8473" s="106"/>
      <c r="QW8473" s="106"/>
      <c r="QX8473" s="106"/>
      <c r="QY8473" s="106"/>
      <c r="QZ8473" s="106"/>
      <c r="RA8473" s="106"/>
      <c r="RB8473" s="106"/>
      <c r="RC8473" s="106"/>
      <c r="RD8473" s="106"/>
      <c r="RE8473" s="106"/>
      <c r="RF8473" s="106"/>
      <c r="RG8473" s="106"/>
      <c r="RH8473" s="106"/>
      <c r="RI8473" s="106"/>
      <c r="RJ8473" s="106"/>
      <c r="RK8473" s="106"/>
      <c r="RL8473" s="106"/>
    </row>
    <row r="8474" spans="462:480" x14ac:dyDescent="0.3">
      <c r="QT8474" s="106"/>
      <c r="QU8474" s="106"/>
      <c r="QV8474" s="106"/>
      <c r="QW8474" s="106"/>
      <c r="QX8474" s="106"/>
      <c r="QY8474" s="106"/>
      <c r="QZ8474" s="106"/>
      <c r="RA8474" s="106"/>
      <c r="RB8474" s="106"/>
      <c r="RC8474" s="106"/>
      <c r="RD8474" s="106"/>
      <c r="RE8474" s="106"/>
      <c r="RF8474" s="106"/>
      <c r="RG8474" s="106"/>
      <c r="RH8474" s="106"/>
      <c r="RI8474" s="106"/>
      <c r="RJ8474" s="106"/>
      <c r="RK8474" s="106"/>
      <c r="RL8474" s="106"/>
    </row>
    <row r="8475" spans="462:480" x14ac:dyDescent="0.3">
      <c r="QT8475" s="106"/>
      <c r="QU8475" s="106"/>
      <c r="QV8475" s="106"/>
      <c r="QW8475" s="106"/>
      <c r="QX8475" s="106"/>
      <c r="QY8475" s="106"/>
      <c r="QZ8475" s="106"/>
      <c r="RA8475" s="106"/>
      <c r="RB8475" s="106"/>
      <c r="RC8475" s="106"/>
      <c r="RD8475" s="106"/>
      <c r="RE8475" s="106"/>
      <c r="RF8475" s="106"/>
      <c r="RG8475" s="106"/>
      <c r="RH8475" s="106"/>
      <c r="RI8475" s="106"/>
      <c r="RJ8475" s="106"/>
      <c r="RK8475" s="106"/>
      <c r="RL8475" s="106"/>
    </row>
    <row r="8476" spans="462:480" x14ac:dyDescent="0.3">
      <c r="QT8476" s="106"/>
      <c r="QU8476" s="106"/>
      <c r="QV8476" s="106"/>
      <c r="QW8476" s="106"/>
      <c r="QX8476" s="106"/>
      <c r="QY8476" s="106"/>
      <c r="QZ8476" s="106"/>
      <c r="RA8476" s="106"/>
      <c r="RB8476" s="106"/>
      <c r="RC8476" s="106"/>
      <c r="RD8476" s="106"/>
      <c r="RE8476" s="106"/>
      <c r="RF8476" s="106"/>
      <c r="RG8476" s="106"/>
      <c r="RH8476" s="106"/>
      <c r="RI8476" s="106"/>
      <c r="RJ8476" s="106"/>
      <c r="RK8476" s="106"/>
      <c r="RL8476" s="106"/>
    </row>
    <row r="8477" spans="462:480" x14ac:dyDescent="0.3">
      <c r="QT8477" s="106"/>
      <c r="QU8477" s="106"/>
      <c r="QV8477" s="106"/>
      <c r="QW8477" s="106"/>
      <c r="QX8477" s="106"/>
      <c r="QY8477" s="106"/>
      <c r="QZ8477" s="106"/>
      <c r="RA8477" s="106"/>
      <c r="RB8477" s="106"/>
      <c r="RC8477" s="106"/>
      <c r="RD8477" s="106"/>
      <c r="RE8477" s="106"/>
      <c r="RF8477" s="106"/>
      <c r="RG8477" s="106"/>
      <c r="RH8477" s="106"/>
      <c r="RI8477" s="106"/>
      <c r="RJ8477" s="106"/>
      <c r="RK8477" s="106"/>
      <c r="RL8477" s="106"/>
    </row>
    <row r="8478" spans="462:480" x14ac:dyDescent="0.3">
      <c r="QT8478" s="106"/>
      <c r="QU8478" s="106"/>
      <c r="QV8478" s="106"/>
      <c r="QW8478" s="106"/>
      <c r="QX8478" s="106"/>
      <c r="QY8478" s="106"/>
      <c r="QZ8478" s="106"/>
      <c r="RA8478" s="106"/>
      <c r="RB8478" s="106"/>
      <c r="RC8478" s="106"/>
      <c r="RD8478" s="106"/>
      <c r="RE8478" s="106"/>
      <c r="RF8478" s="106"/>
      <c r="RG8478" s="106"/>
      <c r="RH8478" s="106"/>
      <c r="RI8478" s="106"/>
      <c r="RJ8478" s="106"/>
      <c r="RK8478" s="106"/>
      <c r="RL8478" s="106"/>
    </row>
    <row r="8479" spans="462:480" x14ac:dyDescent="0.3">
      <c r="QT8479" s="106"/>
      <c r="QU8479" s="106"/>
      <c r="QV8479" s="106"/>
      <c r="QW8479" s="106"/>
      <c r="QX8479" s="106"/>
      <c r="QY8479" s="106"/>
      <c r="QZ8479" s="106"/>
      <c r="RA8479" s="106"/>
      <c r="RB8479" s="106"/>
      <c r="RC8479" s="106"/>
      <c r="RD8479" s="106"/>
      <c r="RE8479" s="106"/>
      <c r="RF8479" s="106"/>
      <c r="RG8479" s="106"/>
      <c r="RH8479" s="106"/>
      <c r="RI8479" s="106"/>
      <c r="RJ8479" s="106"/>
      <c r="RK8479" s="106"/>
      <c r="RL8479" s="106"/>
    </row>
    <row r="8480" spans="462:480" x14ac:dyDescent="0.3">
      <c r="QT8480" s="106"/>
      <c r="QU8480" s="106"/>
      <c r="QV8480" s="106"/>
      <c r="QW8480" s="106"/>
      <c r="QX8480" s="106"/>
      <c r="QY8480" s="106"/>
      <c r="QZ8480" s="106"/>
      <c r="RA8480" s="106"/>
      <c r="RB8480" s="106"/>
      <c r="RC8480" s="106"/>
      <c r="RD8480" s="106"/>
      <c r="RE8480" s="106"/>
      <c r="RF8480" s="106"/>
      <c r="RG8480" s="106"/>
      <c r="RH8480" s="106"/>
      <c r="RI8480" s="106"/>
      <c r="RJ8480" s="106"/>
      <c r="RK8480" s="106"/>
      <c r="RL8480" s="106"/>
    </row>
    <row r="8481" spans="462:480" x14ac:dyDescent="0.3">
      <c r="QT8481" s="106"/>
      <c r="QU8481" s="106"/>
      <c r="QV8481" s="106"/>
      <c r="QW8481" s="106"/>
      <c r="QX8481" s="106"/>
      <c r="QY8481" s="106"/>
      <c r="QZ8481" s="106"/>
      <c r="RA8481" s="106"/>
      <c r="RB8481" s="106"/>
      <c r="RC8481" s="106"/>
      <c r="RD8481" s="106"/>
      <c r="RE8481" s="106"/>
      <c r="RF8481" s="106"/>
      <c r="RG8481" s="106"/>
      <c r="RH8481" s="106"/>
      <c r="RI8481" s="106"/>
      <c r="RJ8481" s="106"/>
      <c r="RK8481" s="106"/>
      <c r="RL8481" s="106"/>
    </row>
    <row r="8482" spans="462:480" x14ac:dyDescent="0.3">
      <c r="QT8482" s="106"/>
      <c r="QU8482" s="106"/>
      <c r="QV8482" s="106"/>
      <c r="QW8482" s="106"/>
      <c r="QX8482" s="106"/>
      <c r="QY8482" s="106"/>
      <c r="QZ8482" s="106"/>
      <c r="RA8482" s="106"/>
      <c r="RB8482" s="106"/>
      <c r="RC8482" s="106"/>
      <c r="RD8482" s="106"/>
      <c r="RE8482" s="106"/>
      <c r="RF8482" s="106"/>
      <c r="RG8482" s="106"/>
      <c r="RH8482" s="106"/>
      <c r="RI8482" s="106"/>
      <c r="RJ8482" s="106"/>
      <c r="RK8482" s="106"/>
      <c r="RL8482" s="106"/>
    </row>
    <row r="8483" spans="462:480" x14ac:dyDescent="0.3">
      <c r="QT8483" s="106"/>
      <c r="QU8483" s="106"/>
      <c r="QV8483" s="106"/>
      <c r="QW8483" s="106"/>
      <c r="QX8483" s="106"/>
      <c r="QY8483" s="106"/>
      <c r="QZ8483" s="106"/>
      <c r="RA8483" s="106"/>
      <c r="RB8483" s="106"/>
      <c r="RC8483" s="106"/>
      <c r="RD8483" s="106"/>
      <c r="RE8483" s="106"/>
      <c r="RF8483" s="106"/>
      <c r="RG8483" s="106"/>
      <c r="RH8483" s="106"/>
      <c r="RI8483" s="106"/>
      <c r="RJ8483" s="106"/>
      <c r="RK8483" s="106"/>
      <c r="RL8483" s="106"/>
    </row>
    <row r="8484" spans="462:480" x14ac:dyDescent="0.3">
      <c r="QT8484" s="106"/>
      <c r="QU8484" s="106"/>
      <c r="QV8484" s="106"/>
      <c r="QW8484" s="106"/>
      <c r="QX8484" s="106"/>
      <c r="QY8484" s="106"/>
      <c r="QZ8484" s="106"/>
      <c r="RA8484" s="106"/>
      <c r="RB8484" s="106"/>
      <c r="RC8484" s="106"/>
      <c r="RD8484" s="106"/>
      <c r="RE8484" s="106"/>
      <c r="RF8484" s="106"/>
      <c r="RG8484" s="106"/>
      <c r="RH8484" s="106"/>
      <c r="RI8484" s="106"/>
      <c r="RJ8484" s="106"/>
      <c r="RK8484" s="106"/>
      <c r="RL8484" s="106"/>
    </row>
    <row r="8485" spans="462:480" x14ac:dyDescent="0.3">
      <c r="QT8485" s="106"/>
      <c r="QU8485" s="106"/>
      <c r="QV8485" s="106"/>
      <c r="QW8485" s="106"/>
      <c r="QX8485" s="106"/>
      <c r="QY8485" s="106"/>
      <c r="QZ8485" s="106"/>
      <c r="RA8485" s="106"/>
      <c r="RB8485" s="106"/>
      <c r="RC8485" s="106"/>
      <c r="RD8485" s="106"/>
      <c r="RE8485" s="106"/>
      <c r="RF8485" s="106"/>
      <c r="RG8485" s="106"/>
      <c r="RH8485" s="106"/>
      <c r="RI8485" s="106"/>
      <c r="RJ8485" s="106"/>
      <c r="RK8485" s="106"/>
      <c r="RL8485" s="106"/>
    </row>
    <row r="8486" spans="462:480" x14ac:dyDescent="0.3">
      <c r="QT8486" s="106"/>
      <c r="QU8486" s="106"/>
      <c r="QV8486" s="106"/>
      <c r="QW8486" s="106"/>
      <c r="QX8486" s="106"/>
      <c r="QY8486" s="106"/>
      <c r="QZ8486" s="106"/>
      <c r="RA8486" s="106"/>
      <c r="RB8486" s="106"/>
      <c r="RC8486" s="106"/>
      <c r="RD8486" s="106"/>
      <c r="RE8486" s="106"/>
      <c r="RF8486" s="106"/>
      <c r="RG8486" s="106"/>
      <c r="RH8486" s="106"/>
      <c r="RI8486" s="106"/>
      <c r="RJ8486" s="106"/>
      <c r="RK8486" s="106"/>
      <c r="RL8486" s="106"/>
    </row>
    <row r="8487" spans="462:480" x14ac:dyDescent="0.3">
      <c r="QT8487" s="106"/>
      <c r="QU8487" s="106"/>
      <c r="QV8487" s="106"/>
      <c r="QW8487" s="106"/>
      <c r="QX8487" s="106"/>
      <c r="QY8487" s="106"/>
      <c r="QZ8487" s="106"/>
      <c r="RA8487" s="106"/>
      <c r="RB8487" s="106"/>
      <c r="RC8487" s="106"/>
      <c r="RD8487" s="106"/>
      <c r="RE8487" s="106"/>
      <c r="RF8487" s="106"/>
      <c r="RG8487" s="106"/>
      <c r="RH8487" s="106"/>
      <c r="RI8487" s="106"/>
      <c r="RJ8487" s="106"/>
      <c r="RK8487" s="106"/>
      <c r="RL8487" s="106"/>
    </row>
    <row r="8488" spans="462:480" x14ac:dyDescent="0.3">
      <c r="QT8488" s="106"/>
      <c r="QU8488" s="106"/>
      <c r="QV8488" s="106"/>
      <c r="QW8488" s="106"/>
      <c r="QX8488" s="106"/>
      <c r="QY8488" s="106"/>
      <c r="QZ8488" s="106"/>
      <c r="RA8488" s="106"/>
      <c r="RB8488" s="106"/>
      <c r="RC8488" s="106"/>
      <c r="RD8488" s="106"/>
      <c r="RE8488" s="106"/>
      <c r="RF8488" s="106"/>
      <c r="RG8488" s="106"/>
      <c r="RH8488" s="106"/>
      <c r="RI8488" s="106"/>
      <c r="RJ8488" s="106"/>
      <c r="RK8488" s="106"/>
      <c r="RL8488" s="106"/>
    </row>
    <row r="8489" spans="462:480" x14ac:dyDescent="0.3">
      <c r="QT8489" s="106"/>
      <c r="QU8489" s="106"/>
      <c r="QV8489" s="106"/>
      <c r="QW8489" s="106"/>
      <c r="QX8489" s="106"/>
      <c r="QY8489" s="106"/>
      <c r="QZ8489" s="106"/>
      <c r="RA8489" s="106"/>
      <c r="RB8489" s="106"/>
      <c r="RC8489" s="106"/>
      <c r="RD8489" s="106"/>
      <c r="RE8489" s="106"/>
      <c r="RF8489" s="106"/>
      <c r="RG8489" s="106"/>
      <c r="RH8489" s="106"/>
      <c r="RI8489" s="106"/>
      <c r="RJ8489" s="106"/>
      <c r="RK8489" s="106"/>
      <c r="RL8489" s="106"/>
    </row>
    <row r="8490" spans="462:480" x14ac:dyDescent="0.3">
      <c r="QT8490" s="106"/>
      <c r="QU8490" s="106"/>
      <c r="QV8490" s="106"/>
      <c r="QW8490" s="106"/>
      <c r="QX8490" s="106"/>
      <c r="QY8490" s="106"/>
      <c r="QZ8490" s="106"/>
      <c r="RA8490" s="106"/>
      <c r="RB8490" s="106"/>
      <c r="RC8490" s="106"/>
      <c r="RD8490" s="106"/>
      <c r="RE8490" s="106"/>
      <c r="RF8490" s="106"/>
      <c r="RG8490" s="106"/>
      <c r="RH8490" s="106"/>
      <c r="RI8490" s="106"/>
      <c r="RJ8490" s="106"/>
      <c r="RK8490" s="106"/>
      <c r="RL8490" s="106"/>
    </row>
    <row r="8491" spans="462:480" x14ac:dyDescent="0.3">
      <c r="QT8491" s="106"/>
      <c r="QU8491" s="106"/>
      <c r="QV8491" s="106"/>
      <c r="QW8491" s="106"/>
      <c r="QX8491" s="106"/>
      <c r="QY8491" s="106"/>
      <c r="QZ8491" s="106"/>
      <c r="RA8491" s="106"/>
      <c r="RB8491" s="106"/>
      <c r="RC8491" s="106"/>
      <c r="RD8491" s="106"/>
      <c r="RE8491" s="106"/>
      <c r="RF8491" s="106"/>
      <c r="RG8491" s="106"/>
      <c r="RH8491" s="106"/>
      <c r="RI8491" s="106"/>
      <c r="RJ8491" s="106"/>
      <c r="RK8491" s="106"/>
      <c r="RL8491" s="106"/>
    </row>
    <row r="8492" spans="462:480" x14ac:dyDescent="0.3">
      <c r="QT8492" s="106"/>
      <c r="QU8492" s="106"/>
      <c r="QV8492" s="106"/>
      <c r="QW8492" s="106"/>
      <c r="QX8492" s="106"/>
      <c r="QY8492" s="106"/>
      <c r="QZ8492" s="106"/>
      <c r="RA8492" s="106"/>
      <c r="RB8492" s="106"/>
      <c r="RC8492" s="106"/>
      <c r="RD8492" s="106"/>
      <c r="RE8492" s="106"/>
      <c r="RF8492" s="106"/>
      <c r="RG8492" s="106"/>
      <c r="RH8492" s="106"/>
      <c r="RI8492" s="106"/>
      <c r="RJ8492" s="106"/>
      <c r="RK8492" s="106"/>
      <c r="RL8492" s="106"/>
    </row>
    <row r="8493" spans="462:480" x14ac:dyDescent="0.3">
      <c r="QT8493" s="106"/>
      <c r="QU8493" s="106"/>
      <c r="QV8493" s="106"/>
      <c r="QW8493" s="106"/>
      <c r="QX8493" s="106"/>
      <c r="QY8493" s="106"/>
      <c r="QZ8493" s="106"/>
      <c r="RA8493" s="106"/>
      <c r="RB8493" s="106"/>
      <c r="RC8493" s="106"/>
      <c r="RD8493" s="106"/>
      <c r="RE8493" s="106"/>
      <c r="RF8493" s="106"/>
      <c r="RG8493" s="106"/>
      <c r="RH8493" s="106"/>
      <c r="RI8493" s="106"/>
      <c r="RJ8493" s="106"/>
      <c r="RK8493" s="106"/>
      <c r="RL8493" s="106"/>
    </row>
    <row r="8494" spans="462:480" x14ac:dyDescent="0.3">
      <c r="QT8494" s="106"/>
      <c r="QU8494" s="106"/>
      <c r="QV8494" s="106"/>
      <c r="QW8494" s="106"/>
      <c r="QX8494" s="106"/>
      <c r="QY8494" s="106"/>
      <c r="QZ8494" s="106"/>
      <c r="RA8494" s="106"/>
      <c r="RB8494" s="106"/>
      <c r="RC8494" s="106"/>
      <c r="RD8494" s="106"/>
      <c r="RE8494" s="106"/>
      <c r="RF8494" s="106"/>
      <c r="RG8494" s="106"/>
      <c r="RH8494" s="106"/>
      <c r="RI8494" s="106"/>
      <c r="RJ8494" s="106"/>
      <c r="RK8494" s="106"/>
      <c r="RL8494" s="106"/>
    </row>
    <row r="8495" spans="462:480" x14ac:dyDescent="0.3">
      <c r="QT8495" s="106"/>
      <c r="QU8495" s="106"/>
      <c r="QV8495" s="106"/>
      <c r="QW8495" s="106"/>
      <c r="QX8495" s="106"/>
      <c r="QY8495" s="106"/>
      <c r="QZ8495" s="106"/>
      <c r="RA8495" s="106"/>
      <c r="RB8495" s="106"/>
      <c r="RC8495" s="106"/>
      <c r="RD8495" s="106"/>
      <c r="RE8495" s="106"/>
      <c r="RF8495" s="106"/>
      <c r="RG8495" s="106"/>
      <c r="RH8495" s="106"/>
      <c r="RI8495" s="106"/>
      <c r="RJ8495" s="106"/>
      <c r="RK8495" s="106"/>
      <c r="RL8495" s="106"/>
    </row>
    <row r="8496" spans="462:480" x14ac:dyDescent="0.3">
      <c r="QT8496" s="106"/>
      <c r="QU8496" s="106"/>
      <c r="QV8496" s="106"/>
      <c r="QW8496" s="106"/>
      <c r="QX8496" s="106"/>
      <c r="QY8496" s="106"/>
      <c r="QZ8496" s="106"/>
      <c r="RA8496" s="106"/>
      <c r="RB8496" s="106"/>
      <c r="RC8496" s="106"/>
      <c r="RD8496" s="106"/>
      <c r="RE8496" s="106"/>
      <c r="RF8496" s="106"/>
      <c r="RG8496" s="106"/>
      <c r="RH8496" s="106"/>
      <c r="RI8496" s="106"/>
      <c r="RJ8496" s="106"/>
      <c r="RK8496" s="106"/>
      <c r="RL8496" s="106"/>
    </row>
    <row r="8497" spans="462:480" x14ac:dyDescent="0.3">
      <c r="QT8497" s="106"/>
      <c r="QU8497" s="106"/>
      <c r="QV8497" s="106"/>
      <c r="QW8497" s="106"/>
      <c r="QX8497" s="106"/>
      <c r="QY8497" s="106"/>
      <c r="QZ8497" s="106"/>
      <c r="RA8497" s="106"/>
      <c r="RB8497" s="106"/>
      <c r="RC8497" s="106"/>
      <c r="RD8497" s="106"/>
      <c r="RE8497" s="106"/>
      <c r="RF8497" s="106"/>
      <c r="RG8497" s="106"/>
      <c r="RH8497" s="106"/>
      <c r="RI8497" s="106"/>
      <c r="RJ8497" s="106"/>
      <c r="RK8497" s="106"/>
      <c r="RL8497" s="106"/>
    </row>
    <row r="8498" spans="462:480" x14ac:dyDescent="0.3">
      <c r="QT8498" s="106"/>
      <c r="QU8498" s="106"/>
      <c r="QV8498" s="106"/>
      <c r="QW8498" s="106"/>
      <c r="QX8498" s="106"/>
      <c r="QY8498" s="106"/>
      <c r="QZ8498" s="106"/>
      <c r="RA8498" s="106"/>
      <c r="RB8498" s="106"/>
      <c r="RC8498" s="106"/>
      <c r="RD8498" s="106"/>
      <c r="RE8498" s="106"/>
      <c r="RF8498" s="106"/>
      <c r="RG8498" s="106"/>
      <c r="RH8498" s="106"/>
      <c r="RI8498" s="106"/>
      <c r="RJ8498" s="106"/>
      <c r="RK8498" s="106"/>
      <c r="RL8498" s="106"/>
    </row>
    <row r="8499" spans="462:480" x14ac:dyDescent="0.3">
      <c r="QT8499" s="106"/>
      <c r="QU8499" s="106"/>
      <c r="QV8499" s="106"/>
      <c r="QW8499" s="106"/>
      <c r="QX8499" s="106"/>
      <c r="QY8499" s="106"/>
      <c r="QZ8499" s="106"/>
      <c r="RA8499" s="106"/>
      <c r="RB8499" s="106"/>
      <c r="RC8499" s="106"/>
      <c r="RD8499" s="106"/>
      <c r="RE8499" s="106"/>
      <c r="RF8499" s="106"/>
      <c r="RG8499" s="106"/>
      <c r="RH8499" s="106"/>
      <c r="RI8499" s="106"/>
      <c r="RJ8499" s="106"/>
      <c r="RK8499" s="106"/>
      <c r="RL8499" s="106"/>
    </row>
    <row r="8500" spans="462:480" x14ac:dyDescent="0.3">
      <c r="QT8500" s="106"/>
      <c r="QU8500" s="106"/>
      <c r="QV8500" s="106"/>
      <c r="QW8500" s="106"/>
      <c r="QX8500" s="106"/>
      <c r="QY8500" s="106"/>
      <c r="QZ8500" s="106"/>
      <c r="RA8500" s="106"/>
      <c r="RB8500" s="106"/>
      <c r="RC8500" s="106"/>
      <c r="RD8500" s="106"/>
      <c r="RE8500" s="106"/>
      <c r="RF8500" s="106"/>
      <c r="RG8500" s="106"/>
      <c r="RH8500" s="106"/>
      <c r="RI8500" s="106"/>
      <c r="RJ8500" s="106"/>
      <c r="RK8500" s="106"/>
      <c r="RL8500" s="106"/>
    </row>
    <row r="8501" spans="462:480" x14ac:dyDescent="0.3">
      <c r="QT8501" s="106"/>
      <c r="QU8501" s="106"/>
      <c r="QV8501" s="106"/>
      <c r="QW8501" s="106"/>
      <c r="QX8501" s="106"/>
      <c r="QY8501" s="106"/>
      <c r="QZ8501" s="106"/>
      <c r="RA8501" s="106"/>
      <c r="RB8501" s="106"/>
      <c r="RC8501" s="106"/>
      <c r="RD8501" s="106"/>
      <c r="RE8501" s="106"/>
      <c r="RF8501" s="106"/>
      <c r="RG8501" s="106"/>
      <c r="RH8501" s="106"/>
      <c r="RI8501" s="106"/>
      <c r="RJ8501" s="106"/>
      <c r="RK8501" s="106"/>
      <c r="RL8501" s="106"/>
    </row>
    <row r="8502" spans="462:480" x14ac:dyDescent="0.3">
      <c r="QT8502" s="106"/>
      <c r="QU8502" s="106"/>
      <c r="QV8502" s="106"/>
      <c r="QW8502" s="106"/>
      <c r="QX8502" s="106"/>
      <c r="QY8502" s="106"/>
      <c r="QZ8502" s="106"/>
      <c r="RA8502" s="106"/>
      <c r="RB8502" s="106"/>
      <c r="RC8502" s="106"/>
      <c r="RD8502" s="106"/>
      <c r="RE8502" s="106"/>
      <c r="RF8502" s="106"/>
      <c r="RG8502" s="106"/>
      <c r="RH8502" s="106"/>
      <c r="RI8502" s="106"/>
      <c r="RJ8502" s="106"/>
      <c r="RK8502" s="106"/>
      <c r="RL8502" s="106"/>
    </row>
    <row r="8503" spans="462:480" x14ac:dyDescent="0.3">
      <c r="QT8503" s="106"/>
      <c r="QU8503" s="106"/>
      <c r="QV8503" s="106"/>
      <c r="QW8503" s="106"/>
      <c r="QX8503" s="106"/>
      <c r="QY8503" s="106"/>
      <c r="QZ8503" s="106"/>
      <c r="RA8503" s="106"/>
      <c r="RB8503" s="106"/>
      <c r="RC8503" s="106"/>
      <c r="RD8503" s="106"/>
      <c r="RE8503" s="106"/>
      <c r="RF8503" s="106"/>
      <c r="RG8503" s="106"/>
      <c r="RH8503" s="106"/>
      <c r="RI8503" s="106"/>
      <c r="RJ8503" s="106"/>
      <c r="RK8503" s="106"/>
      <c r="RL8503" s="106"/>
    </row>
    <row r="8504" spans="462:480" x14ac:dyDescent="0.3">
      <c r="QT8504" s="106"/>
      <c r="QU8504" s="106"/>
      <c r="QV8504" s="106"/>
      <c r="QW8504" s="106"/>
      <c r="QX8504" s="106"/>
      <c r="QY8504" s="106"/>
      <c r="QZ8504" s="106"/>
      <c r="RA8504" s="106"/>
      <c r="RB8504" s="106"/>
      <c r="RC8504" s="106"/>
      <c r="RD8504" s="106"/>
      <c r="RE8504" s="106"/>
      <c r="RF8504" s="106"/>
      <c r="RG8504" s="106"/>
      <c r="RH8504" s="106"/>
      <c r="RI8504" s="106"/>
      <c r="RJ8504" s="106"/>
      <c r="RK8504" s="106"/>
      <c r="RL8504" s="106"/>
    </row>
    <row r="8505" spans="462:480" x14ac:dyDescent="0.3">
      <c r="QT8505" s="106"/>
      <c r="QU8505" s="106"/>
      <c r="QV8505" s="106"/>
      <c r="QW8505" s="106"/>
      <c r="QX8505" s="106"/>
      <c r="QY8505" s="106"/>
      <c r="QZ8505" s="106"/>
      <c r="RA8505" s="106"/>
      <c r="RB8505" s="106"/>
      <c r="RC8505" s="106"/>
      <c r="RD8505" s="106"/>
      <c r="RE8505" s="106"/>
      <c r="RF8505" s="106"/>
      <c r="RG8505" s="106"/>
      <c r="RH8505" s="106"/>
      <c r="RI8505" s="106"/>
      <c r="RJ8505" s="106"/>
      <c r="RK8505" s="106"/>
      <c r="RL8505" s="106"/>
    </row>
    <row r="8506" spans="462:480" x14ac:dyDescent="0.3">
      <c r="QT8506" s="106"/>
      <c r="QU8506" s="106"/>
      <c r="QV8506" s="106"/>
      <c r="QW8506" s="106"/>
      <c r="QX8506" s="106"/>
      <c r="QY8506" s="106"/>
      <c r="QZ8506" s="106"/>
      <c r="RA8506" s="106"/>
      <c r="RB8506" s="106"/>
      <c r="RC8506" s="106"/>
      <c r="RD8506" s="106"/>
      <c r="RE8506" s="106"/>
      <c r="RF8506" s="106"/>
      <c r="RG8506" s="106"/>
      <c r="RH8506" s="106"/>
      <c r="RI8506" s="106"/>
      <c r="RJ8506" s="106"/>
      <c r="RK8506" s="106"/>
      <c r="RL8506" s="106"/>
    </row>
    <row r="8507" spans="462:480" x14ac:dyDescent="0.3">
      <c r="QT8507" s="106"/>
      <c r="QU8507" s="106"/>
      <c r="QV8507" s="106"/>
      <c r="QW8507" s="106"/>
      <c r="QX8507" s="106"/>
      <c r="QY8507" s="106"/>
      <c r="QZ8507" s="106"/>
      <c r="RA8507" s="106"/>
      <c r="RB8507" s="106"/>
      <c r="RC8507" s="106"/>
      <c r="RD8507" s="106"/>
      <c r="RE8507" s="106"/>
      <c r="RF8507" s="106"/>
      <c r="RG8507" s="106"/>
      <c r="RH8507" s="106"/>
      <c r="RI8507" s="106"/>
      <c r="RJ8507" s="106"/>
      <c r="RK8507" s="106"/>
      <c r="RL8507" s="106"/>
    </row>
    <row r="8508" spans="462:480" x14ac:dyDescent="0.3">
      <c r="QT8508" s="106"/>
      <c r="QU8508" s="106"/>
      <c r="QV8508" s="106"/>
      <c r="QW8508" s="106"/>
      <c r="QX8508" s="106"/>
      <c r="QY8508" s="106"/>
      <c r="QZ8508" s="106"/>
      <c r="RA8508" s="106"/>
      <c r="RB8508" s="106"/>
      <c r="RC8508" s="106"/>
      <c r="RD8508" s="106"/>
      <c r="RE8508" s="106"/>
      <c r="RF8508" s="106"/>
      <c r="RG8508" s="106"/>
      <c r="RH8508" s="106"/>
      <c r="RI8508" s="106"/>
      <c r="RJ8508" s="106"/>
      <c r="RK8508" s="106"/>
      <c r="RL8508" s="106"/>
    </row>
    <row r="8509" spans="462:480" x14ac:dyDescent="0.3">
      <c r="QT8509" s="106"/>
      <c r="QU8509" s="106"/>
      <c r="QV8509" s="106"/>
      <c r="QW8509" s="106"/>
      <c r="QX8509" s="106"/>
      <c r="QY8509" s="106"/>
      <c r="QZ8509" s="106"/>
      <c r="RA8509" s="106"/>
      <c r="RB8509" s="106"/>
      <c r="RC8509" s="106"/>
      <c r="RD8509" s="106"/>
      <c r="RE8509" s="106"/>
      <c r="RF8509" s="106"/>
      <c r="RG8509" s="106"/>
      <c r="RH8509" s="106"/>
      <c r="RI8509" s="106"/>
      <c r="RJ8509" s="106"/>
      <c r="RK8509" s="106"/>
      <c r="RL8509" s="106"/>
    </row>
    <row r="8510" spans="462:480" x14ac:dyDescent="0.3">
      <c r="QT8510" s="106"/>
      <c r="QU8510" s="106"/>
      <c r="QV8510" s="106"/>
      <c r="QW8510" s="106"/>
      <c r="QX8510" s="106"/>
      <c r="QY8510" s="106"/>
      <c r="QZ8510" s="106"/>
      <c r="RA8510" s="106"/>
      <c r="RB8510" s="106"/>
      <c r="RC8510" s="106"/>
      <c r="RD8510" s="106"/>
      <c r="RE8510" s="106"/>
      <c r="RF8510" s="106"/>
      <c r="RG8510" s="106"/>
      <c r="RH8510" s="106"/>
      <c r="RI8510" s="106"/>
      <c r="RJ8510" s="106"/>
      <c r="RK8510" s="106"/>
      <c r="RL8510" s="106"/>
    </row>
    <row r="8511" spans="462:480" x14ac:dyDescent="0.3">
      <c r="QT8511" s="106"/>
      <c r="QU8511" s="106"/>
      <c r="QV8511" s="106"/>
      <c r="QW8511" s="106"/>
      <c r="QX8511" s="106"/>
      <c r="QY8511" s="106"/>
      <c r="QZ8511" s="106"/>
      <c r="RA8511" s="106"/>
      <c r="RB8511" s="106"/>
      <c r="RC8511" s="106"/>
      <c r="RD8511" s="106"/>
      <c r="RE8511" s="106"/>
      <c r="RF8511" s="106"/>
      <c r="RG8511" s="106"/>
      <c r="RH8511" s="106"/>
      <c r="RI8511" s="106"/>
      <c r="RJ8511" s="106"/>
      <c r="RK8511" s="106"/>
      <c r="RL8511" s="106"/>
    </row>
    <row r="8512" spans="462:480" x14ac:dyDescent="0.3">
      <c r="QT8512" s="106"/>
      <c r="QU8512" s="106"/>
      <c r="QV8512" s="106"/>
      <c r="QW8512" s="106"/>
      <c r="QX8512" s="106"/>
      <c r="QY8512" s="106"/>
      <c r="QZ8512" s="106"/>
      <c r="RA8512" s="106"/>
      <c r="RB8512" s="106"/>
      <c r="RC8512" s="106"/>
      <c r="RD8512" s="106"/>
      <c r="RE8512" s="106"/>
      <c r="RF8512" s="106"/>
      <c r="RG8512" s="106"/>
      <c r="RH8512" s="106"/>
      <c r="RI8512" s="106"/>
      <c r="RJ8512" s="106"/>
      <c r="RK8512" s="106"/>
      <c r="RL8512" s="106"/>
    </row>
    <row r="8513" spans="462:480" x14ac:dyDescent="0.3">
      <c r="QT8513" s="106"/>
      <c r="QU8513" s="106"/>
      <c r="QV8513" s="106"/>
      <c r="QW8513" s="106"/>
      <c r="QX8513" s="106"/>
      <c r="QY8513" s="106"/>
      <c r="QZ8513" s="106"/>
      <c r="RA8513" s="106"/>
      <c r="RB8513" s="106"/>
      <c r="RC8513" s="106"/>
      <c r="RD8513" s="106"/>
      <c r="RE8513" s="106"/>
      <c r="RF8513" s="106"/>
      <c r="RG8513" s="106"/>
      <c r="RH8513" s="106"/>
      <c r="RI8513" s="106"/>
      <c r="RJ8513" s="106"/>
      <c r="RK8513" s="106"/>
      <c r="RL8513" s="106"/>
    </row>
    <row r="8514" spans="462:480" x14ac:dyDescent="0.3">
      <c r="QT8514" s="106"/>
      <c r="QU8514" s="106"/>
      <c r="QV8514" s="106"/>
      <c r="QW8514" s="106"/>
      <c r="QX8514" s="106"/>
      <c r="QY8514" s="106"/>
      <c r="QZ8514" s="106"/>
      <c r="RA8514" s="106"/>
      <c r="RB8514" s="106"/>
      <c r="RC8514" s="106"/>
      <c r="RD8514" s="106"/>
      <c r="RE8514" s="106"/>
      <c r="RF8514" s="106"/>
      <c r="RG8514" s="106"/>
      <c r="RH8514" s="106"/>
      <c r="RI8514" s="106"/>
      <c r="RJ8514" s="106"/>
      <c r="RK8514" s="106"/>
      <c r="RL8514" s="106"/>
    </row>
    <row r="8515" spans="462:480" x14ac:dyDescent="0.3">
      <c r="QT8515" s="106"/>
      <c r="QU8515" s="106"/>
      <c r="QV8515" s="106"/>
      <c r="QW8515" s="106"/>
      <c r="QX8515" s="106"/>
      <c r="QY8515" s="106"/>
      <c r="QZ8515" s="106"/>
      <c r="RA8515" s="106"/>
      <c r="RB8515" s="106"/>
      <c r="RC8515" s="106"/>
      <c r="RD8515" s="106"/>
      <c r="RE8515" s="106"/>
      <c r="RF8515" s="106"/>
      <c r="RG8515" s="106"/>
      <c r="RH8515" s="106"/>
      <c r="RI8515" s="106"/>
      <c r="RJ8515" s="106"/>
      <c r="RK8515" s="106"/>
      <c r="RL8515" s="106"/>
    </row>
    <row r="8516" spans="462:480" x14ac:dyDescent="0.3">
      <c r="QT8516" s="106"/>
      <c r="QU8516" s="106"/>
      <c r="QV8516" s="106"/>
      <c r="QW8516" s="106"/>
      <c r="QX8516" s="106"/>
      <c r="QY8516" s="106"/>
      <c r="QZ8516" s="106"/>
      <c r="RA8516" s="106"/>
      <c r="RB8516" s="106"/>
      <c r="RC8516" s="106"/>
      <c r="RD8516" s="106"/>
      <c r="RE8516" s="106"/>
      <c r="RF8516" s="106"/>
      <c r="RG8516" s="106"/>
      <c r="RH8516" s="106"/>
      <c r="RI8516" s="106"/>
      <c r="RJ8516" s="106"/>
      <c r="RK8516" s="106"/>
      <c r="RL8516" s="106"/>
    </row>
    <row r="8517" spans="462:480" x14ac:dyDescent="0.3">
      <c r="QT8517" s="106"/>
      <c r="QU8517" s="106"/>
      <c r="QV8517" s="106"/>
      <c r="QW8517" s="106"/>
      <c r="QX8517" s="106"/>
      <c r="QY8517" s="106"/>
      <c r="QZ8517" s="106"/>
      <c r="RA8517" s="106"/>
      <c r="RB8517" s="106"/>
      <c r="RC8517" s="106"/>
      <c r="RD8517" s="106"/>
      <c r="RE8517" s="106"/>
      <c r="RF8517" s="106"/>
      <c r="RG8517" s="106"/>
      <c r="RH8517" s="106"/>
      <c r="RI8517" s="106"/>
      <c r="RJ8517" s="106"/>
      <c r="RK8517" s="106"/>
      <c r="RL8517" s="106"/>
    </row>
    <row r="8518" spans="462:480" x14ac:dyDescent="0.3">
      <c r="QT8518" s="106"/>
      <c r="QU8518" s="106"/>
      <c r="QV8518" s="106"/>
      <c r="QW8518" s="106"/>
      <c r="QX8518" s="106"/>
      <c r="QY8518" s="106"/>
      <c r="QZ8518" s="106"/>
      <c r="RA8518" s="106"/>
      <c r="RB8518" s="106"/>
      <c r="RC8518" s="106"/>
      <c r="RD8518" s="106"/>
      <c r="RE8518" s="106"/>
      <c r="RF8518" s="106"/>
      <c r="RG8518" s="106"/>
      <c r="RH8518" s="106"/>
      <c r="RI8518" s="106"/>
      <c r="RJ8518" s="106"/>
      <c r="RK8518" s="106"/>
      <c r="RL8518" s="106"/>
    </row>
    <row r="8519" spans="462:480" x14ac:dyDescent="0.3">
      <c r="QT8519" s="106"/>
      <c r="QU8519" s="106"/>
      <c r="QV8519" s="106"/>
      <c r="QW8519" s="106"/>
      <c r="QX8519" s="106"/>
      <c r="QY8519" s="106"/>
      <c r="QZ8519" s="106"/>
      <c r="RA8519" s="106"/>
      <c r="RB8519" s="106"/>
      <c r="RC8519" s="106"/>
      <c r="RD8519" s="106"/>
      <c r="RE8519" s="106"/>
      <c r="RF8519" s="106"/>
      <c r="RG8519" s="106"/>
      <c r="RH8519" s="106"/>
      <c r="RI8519" s="106"/>
      <c r="RJ8519" s="106"/>
      <c r="RK8519" s="106"/>
      <c r="RL8519" s="106"/>
    </row>
    <row r="8520" spans="462:480" x14ac:dyDescent="0.3">
      <c r="QT8520" s="106"/>
      <c r="QU8520" s="106"/>
      <c r="QV8520" s="106"/>
      <c r="QW8520" s="106"/>
      <c r="QX8520" s="106"/>
      <c r="QY8520" s="106"/>
      <c r="QZ8520" s="106"/>
      <c r="RA8520" s="106"/>
      <c r="RB8520" s="106"/>
      <c r="RC8520" s="106"/>
      <c r="RD8520" s="106"/>
      <c r="RE8520" s="106"/>
      <c r="RF8520" s="106"/>
      <c r="RG8520" s="106"/>
      <c r="RH8520" s="106"/>
      <c r="RI8520" s="106"/>
      <c r="RJ8520" s="106"/>
      <c r="RK8520" s="106"/>
      <c r="RL8520" s="106"/>
    </row>
    <row r="8521" spans="462:480" x14ac:dyDescent="0.3">
      <c r="QT8521" s="106"/>
      <c r="QU8521" s="106"/>
      <c r="QV8521" s="106"/>
      <c r="QW8521" s="106"/>
      <c r="QX8521" s="106"/>
      <c r="QY8521" s="106"/>
      <c r="QZ8521" s="106"/>
      <c r="RA8521" s="106"/>
      <c r="RB8521" s="106"/>
      <c r="RC8521" s="106"/>
      <c r="RD8521" s="106"/>
      <c r="RE8521" s="106"/>
      <c r="RF8521" s="106"/>
      <c r="RG8521" s="106"/>
      <c r="RH8521" s="106"/>
      <c r="RI8521" s="106"/>
      <c r="RJ8521" s="106"/>
      <c r="RK8521" s="106"/>
      <c r="RL8521" s="106"/>
    </row>
    <row r="8522" spans="462:480" x14ac:dyDescent="0.3">
      <c r="QT8522" s="106"/>
      <c r="QU8522" s="106"/>
      <c r="QV8522" s="106"/>
      <c r="QW8522" s="106"/>
      <c r="QX8522" s="106"/>
      <c r="QY8522" s="106"/>
      <c r="QZ8522" s="106"/>
      <c r="RA8522" s="106"/>
      <c r="RB8522" s="106"/>
      <c r="RC8522" s="106"/>
      <c r="RD8522" s="106"/>
      <c r="RE8522" s="106"/>
      <c r="RF8522" s="106"/>
      <c r="RG8522" s="106"/>
      <c r="RH8522" s="106"/>
      <c r="RI8522" s="106"/>
      <c r="RJ8522" s="106"/>
      <c r="RK8522" s="106"/>
      <c r="RL8522" s="106"/>
    </row>
    <row r="8523" spans="462:480" x14ac:dyDescent="0.3">
      <c r="QT8523" s="106"/>
      <c r="QU8523" s="106"/>
      <c r="QV8523" s="106"/>
      <c r="QW8523" s="106"/>
      <c r="QX8523" s="106"/>
      <c r="QY8523" s="106"/>
      <c r="QZ8523" s="106"/>
      <c r="RA8523" s="106"/>
      <c r="RB8523" s="106"/>
      <c r="RC8523" s="106"/>
      <c r="RD8523" s="106"/>
      <c r="RE8523" s="106"/>
      <c r="RF8523" s="106"/>
      <c r="RG8523" s="106"/>
      <c r="RH8523" s="106"/>
      <c r="RI8523" s="106"/>
      <c r="RJ8523" s="106"/>
      <c r="RK8523" s="106"/>
      <c r="RL8523" s="106"/>
    </row>
    <row r="8524" spans="462:480" x14ac:dyDescent="0.3">
      <c r="QT8524" s="106"/>
      <c r="QU8524" s="106"/>
      <c r="QV8524" s="106"/>
      <c r="QW8524" s="106"/>
      <c r="QX8524" s="106"/>
      <c r="QY8524" s="106"/>
      <c r="QZ8524" s="106"/>
      <c r="RA8524" s="106"/>
      <c r="RB8524" s="106"/>
      <c r="RC8524" s="106"/>
      <c r="RD8524" s="106"/>
      <c r="RE8524" s="106"/>
      <c r="RF8524" s="106"/>
      <c r="RG8524" s="106"/>
      <c r="RH8524" s="106"/>
      <c r="RI8524" s="106"/>
      <c r="RJ8524" s="106"/>
      <c r="RK8524" s="106"/>
      <c r="RL8524" s="106"/>
    </row>
    <row r="8525" spans="462:480" x14ac:dyDescent="0.3">
      <c r="QT8525" s="106"/>
      <c r="QU8525" s="106"/>
      <c r="QV8525" s="106"/>
      <c r="QW8525" s="106"/>
      <c r="QX8525" s="106"/>
      <c r="QY8525" s="106"/>
      <c r="QZ8525" s="106"/>
      <c r="RA8525" s="106"/>
      <c r="RB8525" s="106"/>
      <c r="RC8525" s="106"/>
      <c r="RD8525" s="106"/>
      <c r="RE8525" s="106"/>
      <c r="RF8525" s="106"/>
      <c r="RG8525" s="106"/>
      <c r="RH8525" s="106"/>
      <c r="RI8525" s="106"/>
      <c r="RJ8525" s="106"/>
      <c r="RK8525" s="106"/>
      <c r="RL8525" s="106"/>
    </row>
    <row r="8526" spans="462:480" x14ac:dyDescent="0.3">
      <c r="QT8526" s="106"/>
      <c r="QU8526" s="106"/>
      <c r="QV8526" s="106"/>
      <c r="QW8526" s="106"/>
      <c r="QX8526" s="106"/>
      <c r="QY8526" s="106"/>
      <c r="QZ8526" s="106"/>
      <c r="RA8526" s="106"/>
      <c r="RB8526" s="106"/>
      <c r="RC8526" s="106"/>
      <c r="RD8526" s="106"/>
      <c r="RE8526" s="106"/>
      <c r="RF8526" s="106"/>
      <c r="RG8526" s="106"/>
      <c r="RH8526" s="106"/>
      <c r="RI8526" s="106"/>
      <c r="RJ8526" s="106"/>
      <c r="RK8526" s="106"/>
      <c r="RL8526" s="106"/>
    </row>
    <row r="8527" spans="462:480" x14ac:dyDescent="0.3">
      <c r="QT8527" s="106"/>
      <c r="QU8527" s="106"/>
      <c r="QV8527" s="106"/>
      <c r="QW8527" s="106"/>
      <c r="QX8527" s="106"/>
      <c r="QY8527" s="106"/>
      <c r="QZ8527" s="106"/>
      <c r="RA8527" s="106"/>
      <c r="RB8527" s="106"/>
      <c r="RC8527" s="106"/>
      <c r="RD8527" s="106"/>
      <c r="RE8527" s="106"/>
      <c r="RF8527" s="106"/>
      <c r="RG8527" s="106"/>
      <c r="RH8527" s="106"/>
      <c r="RI8527" s="106"/>
      <c r="RJ8527" s="106"/>
      <c r="RK8527" s="106"/>
      <c r="RL8527" s="106"/>
    </row>
    <row r="8528" spans="462:480" x14ac:dyDescent="0.3">
      <c r="QT8528" s="106"/>
      <c r="QU8528" s="106"/>
      <c r="QV8528" s="106"/>
      <c r="QW8528" s="106"/>
      <c r="QX8528" s="106"/>
      <c r="QY8528" s="106"/>
      <c r="QZ8528" s="106"/>
      <c r="RA8528" s="106"/>
      <c r="RB8528" s="106"/>
      <c r="RC8528" s="106"/>
      <c r="RD8528" s="106"/>
      <c r="RE8528" s="106"/>
      <c r="RF8528" s="106"/>
      <c r="RG8528" s="106"/>
      <c r="RH8528" s="106"/>
      <c r="RI8528" s="106"/>
      <c r="RJ8528" s="106"/>
      <c r="RK8528" s="106"/>
      <c r="RL8528" s="106"/>
    </row>
    <row r="8529" spans="462:480" x14ac:dyDescent="0.3">
      <c r="QT8529" s="106"/>
      <c r="QU8529" s="106"/>
      <c r="QV8529" s="106"/>
      <c r="QW8529" s="106"/>
      <c r="QX8529" s="106"/>
      <c r="QY8529" s="106"/>
      <c r="QZ8529" s="106"/>
      <c r="RA8529" s="106"/>
      <c r="RB8529" s="106"/>
      <c r="RC8529" s="106"/>
      <c r="RD8529" s="106"/>
      <c r="RE8529" s="106"/>
      <c r="RF8529" s="106"/>
      <c r="RG8529" s="106"/>
      <c r="RH8529" s="106"/>
      <c r="RI8529" s="106"/>
      <c r="RJ8529" s="106"/>
      <c r="RK8529" s="106"/>
      <c r="RL8529" s="106"/>
    </row>
    <row r="8530" spans="462:480" x14ac:dyDescent="0.3">
      <c r="QT8530" s="106"/>
      <c r="QU8530" s="106"/>
      <c r="QV8530" s="106"/>
      <c r="QW8530" s="106"/>
      <c r="QX8530" s="106"/>
      <c r="QY8530" s="106"/>
      <c r="QZ8530" s="106"/>
      <c r="RA8530" s="106"/>
      <c r="RB8530" s="106"/>
      <c r="RC8530" s="106"/>
      <c r="RD8530" s="106"/>
      <c r="RE8530" s="106"/>
      <c r="RF8530" s="106"/>
      <c r="RG8530" s="106"/>
      <c r="RH8530" s="106"/>
      <c r="RI8530" s="106"/>
      <c r="RJ8530" s="106"/>
      <c r="RK8530" s="106"/>
      <c r="RL8530" s="106"/>
    </row>
    <row r="8531" spans="462:480" x14ac:dyDescent="0.3">
      <c r="QT8531" s="106"/>
      <c r="QU8531" s="106"/>
      <c r="QV8531" s="106"/>
      <c r="QW8531" s="106"/>
      <c r="QX8531" s="106"/>
      <c r="QY8531" s="106"/>
      <c r="QZ8531" s="106"/>
      <c r="RA8531" s="106"/>
      <c r="RB8531" s="106"/>
      <c r="RC8531" s="106"/>
      <c r="RD8531" s="106"/>
      <c r="RE8531" s="106"/>
      <c r="RF8531" s="106"/>
      <c r="RG8531" s="106"/>
      <c r="RH8531" s="106"/>
      <c r="RI8531" s="106"/>
      <c r="RJ8531" s="106"/>
      <c r="RK8531" s="106"/>
      <c r="RL8531" s="106"/>
    </row>
    <row r="8532" spans="462:480" x14ac:dyDescent="0.3">
      <c r="QT8532" s="106"/>
      <c r="QU8532" s="106"/>
      <c r="QV8532" s="106"/>
      <c r="QW8532" s="106"/>
      <c r="QX8532" s="106"/>
      <c r="QY8532" s="106"/>
      <c r="QZ8532" s="106"/>
      <c r="RA8532" s="106"/>
      <c r="RB8532" s="106"/>
      <c r="RC8532" s="106"/>
      <c r="RD8532" s="106"/>
      <c r="RE8532" s="106"/>
      <c r="RF8532" s="106"/>
      <c r="RG8532" s="106"/>
      <c r="RH8532" s="106"/>
      <c r="RI8532" s="106"/>
      <c r="RJ8532" s="106"/>
      <c r="RK8532" s="106"/>
      <c r="RL8532" s="106"/>
    </row>
    <row r="8533" spans="462:480" x14ac:dyDescent="0.3">
      <c r="QT8533" s="106"/>
      <c r="QU8533" s="106"/>
      <c r="QV8533" s="106"/>
      <c r="QW8533" s="106"/>
      <c r="QX8533" s="106"/>
      <c r="QY8533" s="106"/>
      <c r="QZ8533" s="106"/>
      <c r="RA8533" s="106"/>
      <c r="RB8533" s="106"/>
      <c r="RC8533" s="106"/>
      <c r="RD8533" s="106"/>
      <c r="RE8533" s="106"/>
      <c r="RF8533" s="106"/>
      <c r="RG8533" s="106"/>
      <c r="RH8533" s="106"/>
      <c r="RI8533" s="106"/>
      <c r="RJ8533" s="106"/>
      <c r="RK8533" s="106"/>
      <c r="RL8533" s="106"/>
    </row>
    <row r="8534" spans="462:480" x14ac:dyDescent="0.3">
      <c r="QT8534" s="106"/>
      <c r="QU8534" s="106"/>
      <c r="QV8534" s="106"/>
      <c r="QW8534" s="106"/>
      <c r="QX8534" s="106"/>
      <c r="QY8534" s="106"/>
      <c r="QZ8534" s="106"/>
      <c r="RA8534" s="106"/>
      <c r="RB8534" s="106"/>
      <c r="RC8534" s="106"/>
      <c r="RD8534" s="106"/>
      <c r="RE8534" s="106"/>
      <c r="RF8534" s="106"/>
      <c r="RG8534" s="106"/>
      <c r="RH8534" s="106"/>
      <c r="RI8534" s="106"/>
      <c r="RJ8534" s="106"/>
      <c r="RK8534" s="106"/>
      <c r="RL8534" s="106"/>
    </row>
    <row r="8535" spans="462:480" x14ac:dyDescent="0.3">
      <c r="QT8535" s="106"/>
      <c r="QU8535" s="106"/>
      <c r="QV8535" s="106"/>
      <c r="QW8535" s="106"/>
      <c r="QX8535" s="106"/>
      <c r="QY8535" s="106"/>
      <c r="QZ8535" s="106"/>
      <c r="RA8535" s="106"/>
      <c r="RB8535" s="106"/>
      <c r="RC8535" s="106"/>
      <c r="RD8535" s="106"/>
      <c r="RE8535" s="106"/>
      <c r="RF8535" s="106"/>
      <c r="RG8535" s="106"/>
      <c r="RH8535" s="106"/>
      <c r="RI8535" s="106"/>
      <c r="RJ8535" s="106"/>
      <c r="RK8535" s="106"/>
      <c r="RL8535" s="106"/>
    </row>
    <row r="8536" spans="462:480" x14ac:dyDescent="0.3">
      <c r="QT8536" s="106"/>
      <c r="QU8536" s="106"/>
      <c r="QV8536" s="106"/>
      <c r="QW8536" s="106"/>
      <c r="QX8536" s="106"/>
      <c r="QY8536" s="106"/>
      <c r="QZ8536" s="106"/>
      <c r="RA8536" s="106"/>
      <c r="RB8536" s="106"/>
      <c r="RC8536" s="106"/>
      <c r="RD8536" s="106"/>
      <c r="RE8536" s="106"/>
      <c r="RF8536" s="106"/>
      <c r="RG8536" s="106"/>
      <c r="RH8536" s="106"/>
      <c r="RI8536" s="106"/>
      <c r="RJ8536" s="106"/>
      <c r="RK8536" s="106"/>
      <c r="RL8536" s="106"/>
    </row>
    <row r="8537" spans="462:480" x14ac:dyDescent="0.3">
      <c r="QT8537" s="106"/>
      <c r="QU8537" s="106"/>
      <c r="QV8537" s="106"/>
      <c r="QW8537" s="106"/>
      <c r="QX8537" s="106"/>
      <c r="QY8537" s="106"/>
      <c r="QZ8537" s="106"/>
      <c r="RA8537" s="106"/>
      <c r="RB8537" s="106"/>
      <c r="RC8537" s="106"/>
      <c r="RD8537" s="106"/>
      <c r="RE8537" s="106"/>
      <c r="RF8537" s="106"/>
      <c r="RG8537" s="106"/>
      <c r="RH8537" s="106"/>
      <c r="RI8537" s="106"/>
      <c r="RJ8537" s="106"/>
      <c r="RK8537" s="106"/>
      <c r="RL8537" s="106"/>
    </row>
    <row r="8538" spans="462:480" x14ac:dyDescent="0.3">
      <c r="QT8538" s="106"/>
      <c r="QU8538" s="106"/>
      <c r="QV8538" s="106"/>
      <c r="QW8538" s="106"/>
      <c r="QX8538" s="106"/>
      <c r="QY8538" s="106"/>
      <c r="QZ8538" s="106"/>
      <c r="RA8538" s="106"/>
      <c r="RB8538" s="106"/>
      <c r="RC8538" s="106"/>
      <c r="RD8538" s="106"/>
      <c r="RE8538" s="106"/>
      <c r="RF8538" s="106"/>
      <c r="RG8538" s="106"/>
      <c r="RH8538" s="106"/>
      <c r="RI8538" s="106"/>
      <c r="RJ8538" s="106"/>
      <c r="RK8538" s="106"/>
      <c r="RL8538" s="106"/>
    </row>
    <row r="8539" spans="462:480" x14ac:dyDescent="0.3">
      <c r="QT8539" s="106"/>
      <c r="QU8539" s="106"/>
      <c r="QV8539" s="106"/>
      <c r="QW8539" s="106"/>
      <c r="QX8539" s="106"/>
      <c r="QY8539" s="106"/>
      <c r="QZ8539" s="106"/>
      <c r="RA8539" s="106"/>
      <c r="RB8539" s="106"/>
      <c r="RC8539" s="106"/>
      <c r="RD8539" s="106"/>
      <c r="RE8539" s="106"/>
      <c r="RF8539" s="106"/>
      <c r="RG8539" s="106"/>
      <c r="RH8539" s="106"/>
      <c r="RI8539" s="106"/>
      <c r="RJ8539" s="106"/>
      <c r="RK8539" s="106"/>
      <c r="RL8539" s="106"/>
    </row>
    <row r="8540" spans="462:480" x14ac:dyDescent="0.3">
      <c r="QT8540" s="106"/>
      <c r="QU8540" s="106"/>
      <c r="QV8540" s="106"/>
      <c r="QW8540" s="106"/>
      <c r="QX8540" s="106"/>
      <c r="QY8540" s="106"/>
      <c r="QZ8540" s="106"/>
      <c r="RA8540" s="106"/>
      <c r="RB8540" s="106"/>
      <c r="RC8540" s="106"/>
      <c r="RD8540" s="106"/>
      <c r="RE8540" s="106"/>
      <c r="RF8540" s="106"/>
      <c r="RG8540" s="106"/>
      <c r="RH8540" s="106"/>
      <c r="RI8540" s="106"/>
      <c r="RJ8540" s="106"/>
      <c r="RK8540" s="106"/>
      <c r="RL8540" s="106"/>
    </row>
    <row r="8541" spans="462:480" x14ac:dyDescent="0.3">
      <c r="QT8541" s="106"/>
      <c r="QU8541" s="106"/>
      <c r="QV8541" s="106"/>
      <c r="QW8541" s="106"/>
      <c r="QX8541" s="106"/>
      <c r="QY8541" s="106"/>
      <c r="QZ8541" s="106"/>
      <c r="RA8541" s="106"/>
      <c r="RB8541" s="106"/>
      <c r="RC8541" s="106"/>
      <c r="RD8541" s="106"/>
      <c r="RE8541" s="106"/>
      <c r="RF8541" s="106"/>
      <c r="RG8541" s="106"/>
      <c r="RH8541" s="106"/>
      <c r="RI8541" s="106"/>
      <c r="RJ8541" s="106"/>
      <c r="RK8541" s="106"/>
      <c r="RL8541" s="106"/>
    </row>
    <row r="8542" spans="462:480" x14ac:dyDescent="0.3">
      <c r="QT8542" s="106"/>
      <c r="QU8542" s="106"/>
      <c r="QV8542" s="106"/>
      <c r="QW8542" s="106"/>
      <c r="QX8542" s="106"/>
      <c r="QY8542" s="106"/>
      <c r="QZ8542" s="106"/>
      <c r="RA8542" s="106"/>
      <c r="RB8542" s="106"/>
      <c r="RC8542" s="106"/>
      <c r="RD8542" s="106"/>
      <c r="RE8542" s="106"/>
      <c r="RF8542" s="106"/>
      <c r="RG8542" s="106"/>
      <c r="RH8542" s="106"/>
      <c r="RI8542" s="106"/>
      <c r="RJ8542" s="106"/>
      <c r="RK8542" s="106"/>
      <c r="RL8542" s="106"/>
    </row>
    <row r="8543" spans="462:480" x14ac:dyDescent="0.3">
      <c r="QT8543" s="106"/>
      <c r="QU8543" s="106"/>
      <c r="QV8543" s="106"/>
      <c r="QW8543" s="106"/>
      <c r="QX8543" s="106"/>
      <c r="QY8543" s="106"/>
      <c r="QZ8543" s="106"/>
      <c r="RA8543" s="106"/>
      <c r="RB8543" s="106"/>
      <c r="RC8543" s="106"/>
      <c r="RD8543" s="106"/>
      <c r="RE8543" s="106"/>
      <c r="RF8543" s="106"/>
      <c r="RG8543" s="106"/>
      <c r="RH8543" s="106"/>
      <c r="RI8543" s="106"/>
      <c r="RJ8543" s="106"/>
      <c r="RK8543" s="106"/>
      <c r="RL8543" s="106"/>
    </row>
    <row r="8544" spans="462:480" x14ac:dyDescent="0.3">
      <c r="QT8544" s="106"/>
      <c r="QU8544" s="106"/>
      <c r="QV8544" s="106"/>
      <c r="QW8544" s="106"/>
      <c r="QX8544" s="106"/>
      <c r="QY8544" s="106"/>
      <c r="QZ8544" s="106"/>
      <c r="RA8544" s="106"/>
      <c r="RB8544" s="106"/>
      <c r="RC8544" s="106"/>
      <c r="RD8544" s="106"/>
      <c r="RE8544" s="106"/>
      <c r="RF8544" s="106"/>
      <c r="RG8544" s="106"/>
      <c r="RH8544" s="106"/>
      <c r="RI8544" s="106"/>
      <c r="RJ8544" s="106"/>
      <c r="RK8544" s="106"/>
      <c r="RL8544" s="106"/>
    </row>
    <row r="8545" spans="462:480" x14ac:dyDescent="0.3">
      <c r="QT8545" s="106"/>
      <c r="QU8545" s="106"/>
      <c r="QV8545" s="106"/>
      <c r="QW8545" s="106"/>
      <c r="QX8545" s="106"/>
      <c r="QY8545" s="106"/>
      <c r="QZ8545" s="106"/>
      <c r="RA8545" s="106"/>
      <c r="RB8545" s="106"/>
      <c r="RC8545" s="106"/>
      <c r="RD8545" s="106"/>
      <c r="RE8545" s="106"/>
      <c r="RF8545" s="106"/>
      <c r="RG8545" s="106"/>
      <c r="RH8545" s="106"/>
      <c r="RI8545" s="106"/>
      <c r="RJ8545" s="106"/>
      <c r="RK8545" s="106"/>
      <c r="RL8545" s="106"/>
    </row>
    <row r="8546" spans="462:480" x14ac:dyDescent="0.3">
      <c r="QT8546" s="106"/>
      <c r="QU8546" s="106"/>
      <c r="QV8546" s="106"/>
      <c r="QW8546" s="106"/>
      <c r="QX8546" s="106"/>
      <c r="QY8546" s="106"/>
      <c r="QZ8546" s="106"/>
      <c r="RA8546" s="106"/>
      <c r="RB8546" s="106"/>
      <c r="RC8546" s="106"/>
      <c r="RD8546" s="106"/>
      <c r="RE8546" s="106"/>
      <c r="RF8546" s="106"/>
      <c r="RG8546" s="106"/>
      <c r="RH8546" s="106"/>
      <c r="RI8546" s="106"/>
      <c r="RJ8546" s="106"/>
      <c r="RK8546" s="106"/>
      <c r="RL8546" s="106"/>
    </row>
    <row r="8547" spans="462:480" x14ac:dyDescent="0.3">
      <c r="QT8547" s="106"/>
      <c r="QU8547" s="106"/>
      <c r="QV8547" s="106"/>
      <c r="QW8547" s="106"/>
      <c r="QX8547" s="106"/>
      <c r="QY8547" s="106"/>
      <c r="QZ8547" s="106"/>
      <c r="RA8547" s="106"/>
      <c r="RB8547" s="106"/>
      <c r="RC8547" s="106"/>
      <c r="RD8547" s="106"/>
      <c r="RE8547" s="106"/>
      <c r="RF8547" s="106"/>
      <c r="RG8547" s="106"/>
      <c r="RH8547" s="106"/>
      <c r="RI8547" s="106"/>
      <c r="RJ8547" s="106"/>
      <c r="RK8547" s="106"/>
      <c r="RL8547" s="106"/>
    </row>
    <row r="8548" spans="462:480" x14ac:dyDescent="0.3">
      <c r="QT8548" s="106"/>
      <c r="QU8548" s="106"/>
      <c r="QV8548" s="106"/>
      <c r="QW8548" s="106"/>
      <c r="QX8548" s="106"/>
      <c r="QY8548" s="106"/>
      <c r="QZ8548" s="106"/>
      <c r="RA8548" s="106"/>
      <c r="RB8548" s="106"/>
      <c r="RC8548" s="106"/>
      <c r="RD8548" s="106"/>
      <c r="RE8548" s="106"/>
      <c r="RF8548" s="106"/>
      <c r="RG8548" s="106"/>
      <c r="RH8548" s="106"/>
      <c r="RI8548" s="106"/>
      <c r="RJ8548" s="106"/>
      <c r="RK8548" s="106"/>
      <c r="RL8548" s="106"/>
    </row>
    <row r="8549" spans="462:480" x14ac:dyDescent="0.3">
      <c r="QT8549" s="106"/>
      <c r="QU8549" s="106"/>
      <c r="QV8549" s="106"/>
      <c r="QW8549" s="106"/>
      <c r="QX8549" s="106"/>
      <c r="QY8549" s="106"/>
      <c r="QZ8549" s="106"/>
      <c r="RA8549" s="106"/>
      <c r="RB8549" s="106"/>
      <c r="RC8549" s="106"/>
      <c r="RD8549" s="106"/>
      <c r="RE8549" s="106"/>
      <c r="RF8549" s="106"/>
      <c r="RG8549" s="106"/>
      <c r="RH8549" s="106"/>
      <c r="RI8549" s="106"/>
      <c r="RJ8549" s="106"/>
      <c r="RK8549" s="106"/>
      <c r="RL8549" s="106"/>
    </row>
    <row r="8550" spans="462:480" x14ac:dyDescent="0.3">
      <c r="QT8550" s="106"/>
      <c r="QU8550" s="106"/>
      <c r="QV8550" s="106"/>
      <c r="QW8550" s="106"/>
      <c r="QX8550" s="106"/>
      <c r="QY8550" s="106"/>
      <c r="QZ8550" s="106"/>
      <c r="RA8550" s="106"/>
      <c r="RB8550" s="106"/>
      <c r="RC8550" s="106"/>
      <c r="RD8550" s="106"/>
      <c r="RE8550" s="106"/>
      <c r="RF8550" s="106"/>
      <c r="RG8550" s="106"/>
      <c r="RH8550" s="106"/>
      <c r="RI8550" s="106"/>
      <c r="RJ8550" s="106"/>
      <c r="RK8550" s="106"/>
      <c r="RL8550" s="106"/>
    </row>
    <row r="8551" spans="462:480" x14ac:dyDescent="0.3">
      <c r="QT8551" s="106"/>
      <c r="QU8551" s="106"/>
      <c r="QV8551" s="106"/>
      <c r="QW8551" s="106"/>
      <c r="QX8551" s="106"/>
      <c r="QY8551" s="106"/>
      <c r="QZ8551" s="106"/>
      <c r="RA8551" s="106"/>
      <c r="RB8551" s="106"/>
      <c r="RC8551" s="106"/>
      <c r="RD8551" s="106"/>
      <c r="RE8551" s="106"/>
      <c r="RF8551" s="106"/>
      <c r="RG8551" s="106"/>
      <c r="RH8551" s="106"/>
      <c r="RI8551" s="106"/>
      <c r="RJ8551" s="106"/>
      <c r="RK8551" s="106"/>
      <c r="RL8551" s="106"/>
    </row>
    <row r="8552" spans="462:480" x14ac:dyDescent="0.3">
      <c r="QT8552" s="106"/>
      <c r="QU8552" s="106"/>
      <c r="QV8552" s="106"/>
      <c r="QW8552" s="106"/>
      <c r="QX8552" s="106"/>
      <c r="QY8552" s="106"/>
      <c r="QZ8552" s="106"/>
      <c r="RA8552" s="106"/>
      <c r="RB8552" s="106"/>
      <c r="RC8552" s="106"/>
      <c r="RD8552" s="106"/>
      <c r="RE8552" s="106"/>
      <c r="RF8552" s="106"/>
      <c r="RG8552" s="106"/>
      <c r="RH8552" s="106"/>
      <c r="RI8552" s="106"/>
      <c r="RJ8552" s="106"/>
      <c r="RK8552" s="106"/>
      <c r="RL8552" s="106"/>
    </row>
    <row r="8553" spans="462:480" x14ac:dyDescent="0.3">
      <c r="QT8553" s="106"/>
      <c r="QU8553" s="106"/>
      <c r="QV8553" s="106"/>
      <c r="QW8553" s="106"/>
      <c r="QX8553" s="106"/>
      <c r="QY8553" s="106"/>
      <c r="QZ8553" s="106"/>
      <c r="RA8553" s="106"/>
      <c r="RB8553" s="106"/>
      <c r="RC8553" s="106"/>
      <c r="RD8553" s="106"/>
      <c r="RE8553" s="106"/>
      <c r="RF8553" s="106"/>
      <c r="RG8553" s="106"/>
      <c r="RH8553" s="106"/>
      <c r="RI8553" s="106"/>
      <c r="RJ8553" s="106"/>
      <c r="RK8553" s="106"/>
      <c r="RL8553" s="106"/>
    </row>
    <row r="8554" spans="462:480" x14ac:dyDescent="0.3">
      <c r="QT8554" s="106"/>
      <c r="QU8554" s="106"/>
      <c r="QV8554" s="106"/>
      <c r="QW8554" s="106"/>
      <c r="QX8554" s="106"/>
      <c r="QY8554" s="106"/>
      <c r="QZ8554" s="106"/>
      <c r="RA8554" s="106"/>
      <c r="RB8554" s="106"/>
      <c r="RC8554" s="106"/>
      <c r="RD8554" s="106"/>
      <c r="RE8554" s="106"/>
      <c r="RF8554" s="106"/>
      <c r="RG8554" s="106"/>
      <c r="RH8554" s="106"/>
      <c r="RI8554" s="106"/>
      <c r="RJ8554" s="106"/>
      <c r="RK8554" s="106"/>
      <c r="RL8554" s="106"/>
    </row>
    <row r="8555" spans="462:480" x14ac:dyDescent="0.3">
      <c r="QT8555" s="106"/>
      <c r="QU8555" s="106"/>
      <c r="QV8555" s="106"/>
      <c r="QW8555" s="106"/>
      <c r="QX8555" s="106"/>
      <c r="QY8555" s="106"/>
      <c r="QZ8555" s="106"/>
      <c r="RA8555" s="106"/>
      <c r="RB8555" s="106"/>
      <c r="RC8555" s="106"/>
      <c r="RD8555" s="106"/>
      <c r="RE8555" s="106"/>
      <c r="RF8555" s="106"/>
      <c r="RG8555" s="106"/>
      <c r="RH8555" s="106"/>
      <c r="RI8555" s="106"/>
      <c r="RJ8555" s="106"/>
      <c r="RK8555" s="106"/>
      <c r="RL8555" s="106"/>
    </row>
    <row r="8556" spans="462:480" x14ac:dyDescent="0.3">
      <c r="QT8556" s="106"/>
      <c r="QU8556" s="106"/>
      <c r="QV8556" s="106"/>
      <c r="QW8556" s="106"/>
      <c r="QX8556" s="106"/>
      <c r="QY8556" s="106"/>
      <c r="QZ8556" s="106"/>
      <c r="RA8556" s="106"/>
      <c r="RB8556" s="106"/>
      <c r="RC8556" s="106"/>
      <c r="RD8556" s="106"/>
      <c r="RE8556" s="106"/>
      <c r="RF8556" s="106"/>
      <c r="RG8556" s="106"/>
      <c r="RH8556" s="106"/>
      <c r="RI8556" s="106"/>
      <c r="RJ8556" s="106"/>
      <c r="RK8556" s="106"/>
      <c r="RL8556" s="106"/>
    </row>
    <row r="8557" spans="462:480" x14ac:dyDescent="0.3">
      <c r="QT8557" s="106"/>
      <c r="QU8557" s="106"/>
      <c r="QV8557" s="106"/>
      <c r="QW8557" s="106"/>
      <c r="QX8557" s="106"/>
      <c r="QY8557" s="106"/>
      <c r="QZ8557" s="106"/>
      <c r="RA8557" s="106"/>
      <c r="RB8557" s="106"/>
      <c r="RC8557" s="106"/>
      <c r="RD8557" s="106"/>
      <c r="RE8557" s="106"/>
      <c r="RF8557" s="106"/>
      <c r="RG8557" s="106"/>
      <c r="RH8557" s="106"/>
      <c r="RI8557" s="106"/>
      <c r="RJ8557" s="106"/>
      <c r="RK8557" s="106"/>
      <c r="RL8557" s="106"/>
    </row>
    <row r="8558" spans="462:480" x14ac:dyDescent="0.3">
      <c r="QT8558" s="106"/>
      <c r="QU8558" s="106"/>
      <c r="QV8558" s="106"/>
      <c r="QW8558" s="106"/>
      <c r="QX8558" s="106"/>
      <c r="QY8558" s="106"/>
      <c r="QZ8558" s="106"/>
      <c r="RA8558" s="106"/>
      <c r="RB8558" s="106"/>
      <c r="RC8558" s="106"/>
      <c r="RD8558" s="106"/>
      <c r="RE8558" s="106"/>
      <c r="RF8558" s="106"/>
      <c r="RG8558" s="106"/>
      <c r="RH8558" s="106"/>
      <c r="RI8558" s="106"/>
      <c r="RJ8558" s="106"/>
      <c r="RK8558" s="106"/>
      <c r="RL8558" s="106"/>
    </row>
    <row r="8559" spans="462:480" x14ac:dyDescent="0.3">
      <c r="QT8559" s="106"/>
      <c r="QU8559" s="106"/>
      <c r="QV8559" s="106"/>
      <c r="QW8559" s="106"/>
      <c r="QX8559" s="106"/>
      <c r="QY8559" s="106"/>
      <c r="QZ8559" s="106"/>
      <c r="RA8559" s="106"/>
      <c r="RB8559" s="106"/>
      <c r="RC8559" s="106"/>
      <c r="RD8559" s="106"/>
      <c r="RE8559" s="106"/>
      <c r="RF8559" s="106"/>
      <c r="RG8559" s="106"/>
      <c r="RH8559" s="106"/>
      <c r="RI8559" s="106"/>
      <c r="RJ8559" s="106"/>
      <c r="RK8559" s="106"/>
      <c r="RL8559" s="106"/>
    </row>
    <row r="8560" spans="462:480" x14ac:dyDescent="0.3">
      <c r="QT8560" s="106"/>
      <c r="QU8560" s="106"/>
      <c r="QV8560" s="106"/>
      <c r="QW8560" s="106"/>
      <c r="QX8560" s="106"/>
      <c r="QY8560" s="106"/>
      <c r="QZ8560" s="106"/>
      <c r="RA8560" s="106"/>
      <c r="RB8560" s="106"/>
      <c r="RC8560" s="106"/>
      <c r="RD8560" s="106"/>
      <c r="RE8560" s="106"/>
      <c r="RF8560" s="106"/>
      <c r="RG8560" s="106"/>
      <c r="RH8560" s="106"/>
      <c r="RI8560" s="106"/>
      <c r="RJ8560" s="106"/>
      <c r="RK8560" s="106"/>
      <c r="RL8560" s="106"/>
    </row>
    <row r="8561" spans="462:480" x14ac:dyDescent="0.3">
      <c r="QT8561" s="106"/>
      <c r="QU8561" s="106"/>
      <c r="QV8561" s="106"/>
      <c r="QW8561" s="106"/>
      <c r="QX8561" s="106"/>
      <c r="QY8561" s="106"/>
      <c r="QZ8561" s="106"/>
      <c r="RA8561" s="106"/>
      <c r="RB8561" s="106"/>
      <c r="RC8561" s="106"/>
      <c r="RD8561" s="106"/>
      <c r="RE8561" s="106"/>
      <c r="RF8561" s="106"/>
      <c r="RG8561" s="106"/>
      <c r="RH8561" s="106"/>
      <c r="RI8561" s="106"/>
      <c r="RJ8561" s="106"/>
      <c r="RK8561" s="106"/>
      <c r="RL8561" s="106"/>
    </row>
    <row r="8562" spans="462:480" x14ac:dyDescent="0.3">
      <c r="QT8562" s="106"/>
      <c r="QU8562" s="106"/>
      <c r="QV8562" s="106"/>
      <c r="QW8562" s="106"/>
      <c r="QX8562" s="106"/>
      <c r="QY8562" s="106"/>
      <c r="QZ8562" s="106"/>
      <c r="RA8562" s="106"/>
      <c r="RB8562" s="106"/>
      <c r="RC8562" s="106"/>
      <c r="RD8562" s="106"/>
      <c r="RE8562" s="106"/>
      <c r="RF8562" s="106"/>
      <c r="RG8562" s="106"/>
      <c r="RH8562" s="106"/>
      <c r="RI8562" s="106"/>
      <c r="RJ8562" s="106"/>
      <c r="RK8562" s="106"/>
      <c r="RL8562" s="106"/>
    </row>
    <row r="8563" spans="462:480" x14ac:dyDescent="0.3">
      <c r="QT8563" s="106"/>
      <c r="QU8563" s="106"/>
      <c r="QV8563" s="106"/>
      <c r="QW8563" s="106"/>
      <c r="QX8563" s="106"/>
      <c r="QY8563" s="106"/>
      <c r="QZ8563" s="106"/>
      <c r="RA8563" s="106"/>
      <c r="RB8563" s="106"/>
      <c r="RC8563" s="106"/>
      <c r="RD8563" s="106"/>
      <c r="RE8563" s="106"/>
      <c r="RF8563" s="106"/>
      <c r="RG8563" s="106"/>
      <c r="RH8563" s="106"/>
      <c r="RI8563" s="106"/>
      <c r="RJ8563" s="106"/>
      <c r="RK8563" s="106"/>
      <c r="RL8563" s="106"/>
    </row>
    <row r="8564" spans="462:480" x14ac:dyDescent="0.3">
      <c r="QT8564" s="106"/>
      <c r="QU8564" s="106"/>
      <c r="QV8564" s="106"/>
      <c r="QW8564" s="106"/>
      <c r="QX8564" s="106"/>
      <c r="QY8564" s="106"/>
      <c r="QZ8564" s="106"/>
      <c r="RA8564" s="106"/>
      <c r="RB8564" s="106"/>
      <c r="RC8564" s="106"/>
      <c r="RD8564" s="106"/>
      <c r="RE8564" s="106"/>
      <c r="RF8564" s="106"/>
      <c r="RG8564" s="106"/>
      <c r="RH8564" s="106"/>
      <c r="RI8564" s="106"/>
      <c r="RJ8564" s="106"/>
      <c r="RK8564" s="106"/>
      <c r="RL8564" s="106"/>
    </row>
    <row r="8565" spans="462:480" x14ac:dyDescent="0.3">
      <c r="QT8565" s="106"/>
      <c r="QU8565" s="106"/>
      <c r="QV8565" s="106"/>
      <c r="QW8565" s="106"/>
      <c r="QX8565" s="106"/>
      <c r="QY8565" s="106"/>
      <c r="QZ8565" s="106"/>
      <c r="RA8565" s="106"/>
      <c r="RB8565" s="106"/>
      <c r="RC8565" s="106"/>
      <c r="RD8565" s="106"/>
      <c r="RE8565" s="106"/>
      <c r="RF8565" s="106"/>
      <c r="RG8565" s="106"/>
      <c r="RH8565" s="106"/>
      <c r="RI8565" s="106"/>
      <c r="RJ8565" s="106"/>
      <c r="RK8565" s="106"/>
      <c r="RL8565" s="106"/>
    </row>
    <row r="8566" spans="462:480" x14ac:dyDescent="0.3">
      <c r="QT8566" s="106"/>
      <c r="QU8566" s="106"/>
      <c r="QV8566" s="106"/>
      <c r="QW8566" s="106"/>
      <c r="QX8566" s="106"/>
      <c r="QY8566" s="106"/>
      <c r="QZ8566" s="106"/>
      <c r="RA8566" s="106"/>
      <c r="RB8566" s="106"/>
      <c r="RC8566" s="106"/>
      <c r="RD8566" s="106"/>
      <c r="RE8566" s="106"/>
      <c r="RF8566" s="106"/>
      <c r="RG8566" s="106"/>
      <c r="RH8566" s="106"/>
      <c r="RI8566" s="106"/>
      <c r="RJ8566" s="106"/>
      <c r="RK8566" s="106"/>
      <c r="RL8566" s="106"/>
    </row>
    <row r="8567" spans="462:480" x14ac:dyDescent="0.3">
      <c r="QT8567" s="106"/>
      <c r="QU8567" s="106"/>
      <c r="QV8567" s="106"/>
      <c r="QW8567" s="106"/>
      <c r="QX8567" s="106"/>
      <c r="QY8567" s="106"/>
      <c r="QZ8567" s="106"/>
      <c r="RA8567" s="106"/>
      <c r="RB8567" s="106"/>
      <c r="RC8567" s="106"/>
      <c r="RD8567" s="106"/>
      <c r="RE8567" s="106"/>
      <c r="RF8567" s="106"/>
      <c r="RG8567" s="106"/>
      <c r="RH8567" s="106"/>
      <c r="RI8567" s="106"/>
      <c r="RJ8567" s="106"/>
      <c r="RK8567" s="106"/>
      <c r="RL8567" s="106"/>
    </row>
    <row r="8568" spans="462:480" x14ac:dyDescent="0.3">
      <c r="QT8568" s="106"/>
      <c r="QU8568" s="106"/>
      <c r="QV8568" s="106"/>
      <c r="QW8568" s="106"/>
      <c r="QX8568" s="106"/>
      <c r="QY8568" s="106"/>
      <c r="QZ8568" s="106"/>
      <c r="RA8568" s="106"/>
      <c r="RB8568" s="106"/>
      <c r="RC8568" s="106"/>
      <c r="RD8568" s="106"/>
      <c r="RE8568" s="106"/>
      <c r="RF8568" s="106"/>
      <c r="RG8568" s="106"/>
      <c r="RH8568" s="106"/>
      <c r="RI8568" s="106"/>
      <c r="RJ8568" s="106"/>
      <c r="RK8568" s="106"/>
      <c r="RL8568" s="106"/>
    </row>
    <row r="8569" spans="462:480" x14ac:dyDescent="0.3">
      <c r="QT8569" s="106"/>
      <c r="QU8569" s="106"/>
      <c r="QV8569" s="106"/>
      <c r="QW8569" s="106"/>
      <c r="QX8569" s="106"/>
      <c r="QY8569" s="106"/>
      <c r="QZ8569" s="106"/>
      <c r="RA8569" s="106"/>
      <c r="RB8569" s="106"/>
      <c r="RC8569" s="106"/>
      <c r="RD8569" s="106"/>
      <c r="RE8569" s="106"/>
      <c r="RF8569" s="106"/>
      <c r="RG8569" s="106"/>
      <c r="RH8569" s="106"/>
      <c r="RI8569" s="106"/>
      <c r="RJ8569" s="106"/>
      <c r="RK8569" s="106"/>
      <c r="RL8569" s="106"/>
    </row>
    <row r="8570" spans="462:480" x14ac:dyDescent="0.3">
      <c r="QT8570" s="106"/>
      <c r="QU8570" s="106"/>
      <c r="QV8570" s="106"/>
      <c r="QW8570" s="106"/>
      <c r="QX8570" s="106"/>
      <c r="QY8570" s="106"/>
      <c r="QZ8570" s="106"/>
      <c r="RA8570" s="106"/>
      <c r="RB8570" s="106"/>
      <c r="RC8570" s="106"/>
      <c r="RD8570" s="106"/>
      <c r="RE8570" s="106"/>
      <c r="RF8570" s="106"/>
      <c r="RG8570" s="106"/>
      <c r="RH8570" s="106"/>
      <c r="RI8570" s="106"/>
      <c r="RJ8570" s="106"/>
      <c r="RK8570" s="106"/>
      <c r="RL8570" s="106"/>
    </row>
    <row r="8571" spans="462:480" x14ac:dyDescent="0.3">
      <c r="QT8571" s="106"/>
      <c r="QU8571" s="106"/>
      <c r="QV8571" s="106"/>
      <c r="QW8571" s="106"/>
      <c r="QX8571" s="106"/>
      <c r="QY8571" s="106"/>
      <c r="QZ8571" s="106"/>
      <c r="RA8571" s="106"/>
      <c r="RB8571" s="106"/>
      <c r="RC8571" s="106"/>
      <c r="RD8571" s="106"/>
      <c r="RE8571" s="106"/>
      <c r="RF8571" s="106"/>
      <c r="RG8571" s="106"/>
      <c r="RH8571" s="106"/>
      <c r="RI8571" s="106"/>
      <c r="RJ8571" s="106"/>
      <c r="RK8571" s="106"/>
      <c r="RL8571" s="106"/>
    </row>
    <row r="8572" spans="462:480" x14ac:dyDescent="0.3">
      <c r="QT8572" s="106"/>
      <c r="QU8572" s="106"/>
      <c r="QV8572" s="106"/>
      <c r="QW8572" s="106"/>
      <c r="QX8572" s="106"/>
      <c r="QY8572" s="106"/>
      <c r="QZ8572" s="106"/>
      <c r="RA8572" s="106"/>
      <c r="RB8572" s="106"/>
      <c r="RC8572" s="106"/>
      <c r="RD8572" s="106"/>
      <c r="RE8572" s="106"/>
      <c r="RF8572" s="106"/>
      <c r="RG8572" s="106"/>
      <c r="RH8572" s="106"/>
      <c r="RI8572" s="106"/>
      <c r="RJ8572" s="106"/>
      <c r="RK8572" s="106"/>
      <c r="RL8572" s="106"/>
    </row>
    <row r="8573" spans="462:480" x14ac:dyDescent="0.3">
      <c r="QT8573" s="106"/>
      <c r="QU8573" s="106"/>
      <c r="QV8573" s="106"/>
      <c r="QW8573" s="106"/>
      <c r="QX8573" s="106"/>
      <c r="QY8573" s="106"/>
      <c r="QZ8573" s="106"/>
      <c r="RA8573" s="106"/>
      <c r="RB8573" s="106"/>
      <c r="RC8573" s="106"/>
      <c r="RD8573" s="106"/>
      <c r="RE8573" s="106"/>
      <c r="RF8573" s="106"/>
      <c r="RG8573" s="106"/>
      <c r="RH8573" s="106"/>
      <c r="RI8573" s="106"/>
      <c r="RJ8573" s="106"/>
      <c r="RK8573" s="106"/>
      <c r="RL8573" s="106"/>
    </row>
    <row r="8574" spans="462:480" x14ac:dyDescent="0.3">
      <c r="QT8574" s="106"/>
      <c r="QU8574" s="106"/>
      <c r="QV8574" s="106"/>
      <c r="QW8574" s="106"/>
      <c r="QX8574" s="106"/>
      <c r="QY8574" s="106"/>
      <c r="QZ8574" s="106"/>
      <c r="RA8574" s="106"/>
      <c r="RB8574" s="106"/>
      <c r="RC8574" s="106"/>
      <c r="RD8574" s="106"/>
      <c r="RE8574" s="106"/>
      <c r="RF8574" s="106"/>
      <c r="RG8574" s="106"/>
      <c r="RH8574" s="106"/>
      <c r="RI8574" s="106"/>
      <c r="RJ8574" s="106"/>
      <c r="RK8574" s="106"/>
      <c r="RL8574" s="106"/>
    </row>
    <row r="8575" spans="462:480" x14ac:dyDescent="0.3">
      <c r="QT8575" s="106"/>
      <c r="QU8575" s="106"/>
      <c r="QV8575" s="106"/>
      <c r="QW8575" s="106"/>
      <c r="QX8575" s="106"/>
      <c r="QY8575" s="106"/>
      <c r="QZ8575" s="106"/>
      <c r="RA8575" s="106"/>
      <c r="RB8575" s="106"/>
      <c r="RC8575" s="106"/>
      <c r="RD8575" s="106"/>
      <c r="RE8575" s="106"/>
      <c r="RF8575" s="106"/>
      <c r="RG8575" s="106"/>
      <c r="RH8575" s="106"/>
      <c r="RI8575" s="106"/>
      <c r="RJ8575" s="106"/>
      <c r="RK8575" s="106"/>
      <c r="RL8575" s="106"/>
    </row>
    <row r="8576" spans="462:480" x14ac:dyDescent="0.3">
      <c r="QT8576" s="106"/>
      <c r="QU8576" s="106"/>
      <c r="QV8576" s="106"/>
      <c r="QW8576" s="106"/>
      <c r="QX8576" s="106"/>
      <c r="QY8576" s="106"/>
      <c r="QZ8576" s="106"/>
      <c r="RA8576" s="106"/>
      <c r="RB8576" s="106"/>
      <c r="RC8576" s="106"/>
      <c r="RD8576" s="106"/>
      <c r="RE8576" s="106"/>
      <c r="RF8576" s="106"/>
      <c r="RG8576" s="106"/>
      <c r="RH8576" s="106"/>
      <c r="RI8576" s="106"/>
      <c r="RJ8576" s="106"/>
      <c r="RK8576" s="106"/>
      <c r="RL8576" s="106"/>
    </row>
    <row r="8577" spans="462:480" x14ac:dyDescent="0.3">
      <c r="QT8577" s="106"/>
      <c r="QU8577" s="106"/>
      <c r="QV8577" s="106"/>
      <c r="QW8577" s="106"/>
      <c r="QX8577" s="106"/>
      <c r="QY8577" s="106"/>
      <c r="QZ8577" s="106"/>
      <c r="RA8577" s="106"/>
      <c r="RB8577" s="106"/>
      <c r="RC8577" s="106"/>
      <c r="RD8577" s="106"/>
      <c r="RE8577" s="106"/>
      <c r="RF8577" s="106"/>
      <c r="RG8577" s="106"/>
      <c r="RH8577" s="106"/>
      <c r="RI8577" s="106"/>
      <c r="RJ8577" s="106"/>
      <c r="RK8577" s="106"/>
      <c r="RL8577" s="106"/>
    </row>
    <row r="8578" spans="462:480" x14ac:dyDescent="0.3">
      <c r="QT8578" s="106"/>
      <c r="QU8578" s="106"/>
      <c r="QV8578" s="106"/>
      <c r="QW8578" s="106"/>
      <c r="QX8578" s="106"/>
      <c r="QY8578" s="106"/>
      <c r="QZ8578" s="106"/>
      <c r="RA8578" s="106"/>
      <c r="RB8578" s="106"/>
      <c r="RC8578" s="106"/>
      <c r="RD8578" s="106"/>
      <c r="RE8578" s="106"/>
      <c r="RF8578" s="106"/>
      <c r="RG8578" s="106"/>
      <c r="RH8578" s="106"/>
      <c r="RI8578" s="106"/>
      <c r="RJ8578" s="106"/>
      <c r="RK8578" s="106"/>
      <c r="RL8578" s="106"/>
    </row>
    <row r="8579" spans="462:480" x14ac:dyDescent="0.3">
      <c r="QT8579" s="106"/>
      <c r="QU8579" s="106"/>
      <c r="QV8579" s="106"/>
      <c r="QW8579" s="106"/>
      <c r="QX8579" s="106"/>
      <c r="QY8579" s="106"/>
      <c r="QZ8579" s="106"/>
      <c r="RA8579" s="106"/>
      <c r="RB8579" s="106"/>
      <c r="RC8579" s="106"/>
      <c r="RD8579" s="106"/>
      <c r="RE8579" s="106"/>
      <c r="RF8579" s="106"/>
      <c r="RG8579" s="106"/>
      <c r="RH8579" s="106"/>
      <c r="RI8579" s="106"/>
      <c r="RJ8579" s="106"/>
      <c r="RK8579" s="106"/>
      <c r="RL8579" s="106"/>
    </row>
    <row r="8580" spans="462:480" x14ac:dyDescent="0.3">
      <c r="QT8580" s="106"/>
      <c r="QU8580" s="106"/>
      <c r="QV8580" s="106"/>
      <c r="QW8580" s="106"/>
      <c r="QX8580" s="106"/>
      <c r="QY8580" s="106"/>
      <c r="QZ8580" s="106"/>
      <c r="RA8580" s="106"/>
      <c r="RB8580" s="106"/>
      <c r="RC8580" s="106"/>
      <c r="RD8580" s="106"/>
      <c r="RE8580" s="106"/>
      <c r="RF8580" s="106"/>
      <c r="RG8580" s="106"/>
      <c r="RH8580" s="106"/>
      <c r="RI8580" s="106"/>
      <c r="RJ8580" s="106"/>
      <c r="RK8580" s="106"/>
      <c r="RL8580" s="106"/>
    </row>
    <row r="8581" spans="462:480" x14ac:dyDescent="0.3">
      <c r="QT8581" s="106"/>
      <c r="QU8581" s="106"/>
      <c r="QV8581" s="106"/>
      <c r="QW8581" s="106"/>
      <c r="QX8581" s="106"/>
      <c r="QY8581" s="106"/>
      <c r="QZ8581" s="106"/>
      <c r="RA8581" s="106"/>
      <c r="RB8581" s="106"/>
      <c r="RC8581" s="106"/>
      <c r="RD8581" s="106"/>
      <c r="RE8581" s="106"/>
      <c r="RF8581" s="106"/>
      <c r="RG8581" s="106"/>
      <c r="RH8581" s="106"/>
      <c r="RI8581" s="106"/>
      <c r="RJ8581" s="106"/>
      <c r="RK8581" s="106"/>
      <c r="RL8581" s="106"/>
    </row>
    <row r="8582" spans="462:480" x14ac:dyDescent="0.3">
      <c r="QT8582" s="106"/>
      <c r="QU8582" s="106"/>
      <c r="QV8582" s="106"/>
      <c r="QW8582" s="106"/>
      <c r="QX8582" s="106"/>
      <c r="QY8582" s="106"/>
      <c r="QZ8582" s="106"/>
      <c r="RA8582" s="106"/>
      <c r="RB8582" s="106"/>
      <c r="RC8582" s="106"/>
      <c r="RD8582" s="106"/>
      <c r="RE8582" s="106"/>
      <c r="RF8582" s="106"/>
      <c r="RG8582" s="106"/>
      <c r="RH8582" s="106"/>
      <c r="RI8582" s="106"/>
      <c r="RJ8582" s="106"/>
      <c r="RK8582" s="106"/>
      <c r="RL8582" s="106"/>
    </row>
    <row r="8583" spans="462:480" x14ac:dyDescent="0.3">
      <c r="QT8583" s="106"/>
      <c r="QU8583" s="106"/>
      <c r="QV8583" s="106"/>
      <c r="QW8583" s="106"/>
      <c r="QX8583" s="106"/>
      <c r="QY8583" s="106"/>
      <c r="QZ8583" s="106"/>
      <c r="RA8583" s="106"/>
      <c r="RB8583" s="106"/>
      <c r="RC8583" s="106"/>
      <c r="RD8583" s="106"/>
      <c r="RE8583" s="106"/>
      <c r="RF8583" s="106"/>
      <c r="RG8583" s="106"/>
      <c r="RH8583" s="106"/>
      <c r="RI8583" s="106"/>
      <c r="RJ8583" s="106"/>
      <c r="RK8583" s="106"/>
      <c r="RL8583" s="106"/>
    </row>
    <row r="8584" spans="462:480" x14ac:dyDescent="0.3">
      <c r="QT8584" s="106"/>
      <c r="QU8584" s="106"/>
      <c r="QV8584" s="106"/>
      <c r="QW8584" s="106"/>
      <c r="QX8584" s="106"/>
      <c r="QY8584" s="106"/>
      <c r="QZ8584" s="106"/>
      <c r="RA8584" s="106"/>
      <c r="RB8584" s="106"/>
      <c r="RC8584" s="106"/>
      <c r="RD8584" s="106"/>
      <c r="RE8584" s="106"/>
      <c r="RF8584" s="106"/>
      <c r="RG8584" s="106"/>
      <c r="RH8584" s="106"/>
      <c r="RI8584" s="106"/>
      <c r="RJ8584" s="106"/>
      <c r="RK8584" s="106"/>
      <c r="RL8584" s="106"/>
    </row>
    <row r="8585" spans="462:480" x14ac:dyDescent="0.3">
      <c r="QT8585" s="106"/>
      <c r="QU8585" s="106"/>
      <c r="QV8585" s="106"/>
      <c r="QW8585" s="106"/>
      <c r="QX8585" s="106"/>
      <c r="QY8585" s="106"/>
      <c r="QZ8585" s="106"/>
      <c r="RA8585" s="106"/>
      <c r="RB8585" s="106"/>
      <c r="RC8585" s="106"/>
      <c r="RD8585" s="106"/>
      <c r="RE8585" s="106"/>
      <c r="RF8585" s="106"/>
      <c r="RG8585" s="106"/>
      <c r="RH8585" s="106"/>
      <c r="RI8585" s="106"/>
      <c r="RJ8585" s="106"/>
      <c r="RK8585" s="106"/>
      <c r="RL8585" s="106"/>
    </row>
    <row r="8586" spans="462:480" x14ac:dyDescent="0.3">
      <c r="QT8586" s="106"/>
      <c r="QU8586" s="106"/>
      <c r="QV8586" s="106"/>
      <c r="QW8586" s="106"/>
      <c r="QX8586" s="106"/>
      <c r="QY8586" s="106"/>
      <c r="QZ8586" s="106"/>
      <c r="RA8586" s="106"/>
      <c r="RB8586" s="106"/>
      <c r="RC8586" s="106"/>
      <c r="RD8586" s="106"/>
      <c r="RE8586" s="106"/>
      <c r="RF8586" s="106"/>
      <c r="RG8586" s="106"/>
      <c r="RH8586" s="106"/>
      <c r="RI8586" s="106"/>
      <c r="RJ8586" s="106"/>
      <c r="RK8586" s="106"/>
      <c r="RL8586" s="106"/>
    </row>
    <row r="8587" spans="462:480" x14ac:dyDescent="0.3">
      <c r="QT8587" s="106"/>
      <c r="QU8587" s="106"/>
      <c r="QV8587" s="106"/>
      <c r="QW8587" s="106"/>
      <c r="QX8587" s="106"/>
      <c r="QY8587" s="106"/>
      <c r="QZ8587" s="106"/>
      <c r="RA8587" s="106"/>
      <c r="RB8587" s="106"/>
      <c r="RC8587" s="106"/>
      <c r="RD8587" s="106"/>
      <c r="RE8587" s="106"/>
      <c r="RF8587" s="106"/>
      <c r="RG8587" s="106"/>
      <c r="RH8587" s="106"/>
      <c r="RI8587" s="106"/>
      <c r="RJ8587" s="106"/>
      <c r="RK8587" s="106"/>
      <c r="RL8587" s="106"/>
    </row>
    <row r="8588" spans="462:480" x14ac:dyDescent="0.3">
      <c r="QT8588" s="106"/>
      <c r="QU8588" s="106"/>
      <c r="QV8588" s="106"/>
      <c r="QW8588" s="106"/>
      <c r="QX8588" s="106"/>
      <c r="QY8588" s="106"/>
      <c r="QZ8588" s="106"/>
      <c r="RA8588" s="106"/>
      <c r="RB8588" s="106"/>
      <c r="RC8588" s="106"/>
      <c r="RD8588" s="106"/>
      <c r="RE8588" s="106"/>
      <c r="RF8588" s="106"/>
      <c r="RG8588" s="106"/>
      <c r="RH8588" s="106"/>
      <c r="RI8588" s="106"/>
      <c r="RJ8588" s="106"/>
      <c r="RK8588" s="106"/>
      <c r="RL8588" s="106"/>
    </row>
    <row r="8589" spans="462:480" x14ac:dyDescent="0.3">
      <c r="QT8589" s="106"/>
      <c r="QU8589" s="106"/>
      <c r="QV8589" s="106"/>
      <c r="QW8589" s="106"/>
      <c r="QX8589" s="106"/>
      <c r="QY8589" s="106"/>
      <c r="QZ8589" s="106"/>
      <c r="RA8589" s="106"/>
      <c r="RB8589" s="106"/>
      <c r="RC8589" s="106"/>
      <c r="RD8589" s="106"/>
      <c r="RE8589" s="106"/>
      <c r="RF8589" s="106"/>
      <c r="RG8589" s="106"/>
      <c r="RH8589" s="106"/>
      <c r="RI8589" s="106"/>
      <c r="RJ8589" s="106"/>
      <c r="RK8589" s="106"/>
      <c r="RL8589" s="106"/>
    </row>
    <row r="8590" spans="462:480" x14ac:dyDescent="0.3">
      <c r="QT8590" s="106"/>
      <c r="QU8590" s="106"/>
      <c r="QV8590" s="106"/>
      <c r="QW8590" s="106"/>
      <c r="QX8590" s="106"/>
      <c r="QY8590" s="106"/>
      <c r="QZ8590" s="106"/>
      <c r="RA8590" s="106"/>
      <c r="RB8590" s="106"/>
      <c r="RC8590" s="106"/>
      <c r="RD8590" s="106"/>
      <c r="RE8590" s="106"/>
      <c r="RF8590" s="106"/>
      <c r="RG8590" s="106"/>
      <c r="RH8590" s="106"/>
      <c r="RI8590" s="106"/>
      <c r="RJ8590" s="106"/>
      <c r="RK8590" s="106"/>
      <c r="RL8590" s="106"/>
    </row>
    <row r="8591" spans="462:480" x14ac:dyDescent="0.3">
      <c r="QT8591" s="106"/>
      <c r="QU8591" s="106"/>
      <c r="QV8591" s="106"/>
      <c r="QW8591" s="106"/>
      <c r="QX8591" s="106"/>
      <c r="QY8591" s="106"/>
      <c r="QZ8591" s="106"/>
      <c r="RA8591" s="106"/>
      <c r="RB8591" s="106"/>
      <c r="RC8591" s="106"/>
      <c r="RD8591" s="106"/>
      <c r="RE8591" s="106"/>
      <c r="RF8591" s="106"/>
      <c r="RG8591" s="106"/>
      <c r="RH8591" s="106"/>
      <c r="RI8591" s="106"/>
      <c r="RJ8591" s="106"/>
      <c r="RK8591" s="106"/>
      <c r="RL8591" s="106"/>
    </row>
    <row r="8592" spans="462:480" x14ac:dyDescent="0.3">
      <c r="QT8592" s="106"/>
      <c r="QU8592" s="106"/>
      <c r="QV8592" s="106"/>
      <c r="QW8592" s="106"/>
      <c r="QX8592" s="106"/>
      <c r="QY8592" s="106"/>
      <c r="QZ8592" s="106"/>
      <c r="RA8592" s="106"/>
      <c r="RB8592" s="106"/>
      <c r="RC8592" s="106"/>
      <c r="RD8592" s="106"/>
      <c r="RE8592" s="106"/>
      <c r="RF8592" s="106"/>
      <c r="RG8592" s="106"/>
      <c r="RH8592" s="106"/>
      <c r="RI8592" s="106"/>
      <c r="RJ8592" s="106"/>
      <c r="RK8592" s="106"/>
      <c r="RL8592" s="106"/>
    </row>
    <row r="8593" spans="462:480" x14ac:dyDescent="0.3">
      <c r="QT8593" s="106"/>
      <c r="QU8593" s="106"/>
      <c r="QV8593" s="106"/>
      <c r="QW8593" s="106"/>
      <c r="QX8593" s="106"/>
      <c r="QY8593" s="106"/>
      <c r="QZ8593" s="106"/>
      <c r="RA8593" s="106"/>
      <c r="RB8593" s="106"/>
      <c r="RC8593" s="106"/>
      <c r="RD8593" s="106"/>
      <c r="RE8593" s="106"/>
      <c r="RF8593" s="106"/>
      <c r="RG8593" s="106"/>
      <c r="RH8593" s="106"/>
      <c r="RI8593" s="106"/>
      <c r="RJ8593" s="106"/>
      <c r="RK8593" s="106"/>
      <c r="RL8593" s="106"/>
    </row>
    <row r="8594" spans="462:480" x14ac:dyDescent="0.3">
      <c r="QT8594" s="106"/>
      <c r="QU8594" s="106"/>
      <c r="QV8594" s="106"/>
      <c r="QW8594" s="106"/>
      <c r="QX8594" s="106"/>
      <c r="QY8594" s="106"/>
      <c r="QZ8594" s="106"/>
      <c r="RA8594" s="106"/>
      <c r="RB8594" s="106"/>
      <c r="RC8594" s="106"/>
      <c r="RD8594" s="106"/>
      <c r="RE8594" s="106"/>
      <c r="RF8594" s="106"/>
      <c r="RG8594" s="106"/>
      <c r="RH8594" s="106"/>
      <c r="RI8594" s="106"/>
      <c r="RJ8594" s="106"/>
      <c r="RK8594" s="106"/>
      <c r="RL8594" s="106"/>
    </row>
    <row r="8595" spans="462:480" x14ac:dyDescent="0.3">
      <c r="QT8595" s="106"/>
      <c r="QU8595" s="106"/>
      <c r="QV8595" s="106"/>
      <c r="QW8595" s="106"/>
      <c r="QX8595" s="106"/>
      <c r="QY8595" s="106"/>
      <c r="QZ8595" s="106"/>
      <c r="RA8595" s="106"/>
      <c r="RB8595" s="106"/>
      <c r="RC8595" s="106"/>
      <c r="RD8595" s="106"/>
      <c r="RE8595" s="106"/>
      <c r="RF8595" s="106"/>
      <c r="RG8595" s="106"/>
      <c r="RH8595" s="106"/>
      <c r="RI8595" s="106"/>
      <c r="RJ8595" s="106"/>
      <c r="RK8595" s="106"/>
      <c r="RL8595" s="106"/>
    </row>
    <row r="8596" spans="462:480" x14ac:dyDescent="0.3">
      <c r="QT8596" s="106"/>
      <c r="QU8596" s="106"/>
      <c r="QV8596" s="106"/>
      <c r="QW8596" s="106"/>
      <c r="QX8596" s="106"/>
      <c r="QY8596" s="106"/>
      <c r="QZ8596" s="106"/>
      <c r="RA8596" s="106"/>
      <c r="RB8596" s="106"/>
      <c r="RC8596" s="106"/>
      <c r="RD8596" s="106"/>
      <c r="RE8596" s="106"/>
      <c r="RF8596" s="106"/>
      <c r="RG8596" s="106"/>
      <c r="RH8596" s="106"/>
      <c r="RI8596" s="106"/>
      <c r="RJ8596" s="106"/>
      <c r="RK8596" s="106"/>
      <c r="RL8596" s="106"/>
    </row>
    <row r="8597" spans="462:480" x14ac:dyDescent="0.3">
      <c r="QT8597" s="106"/>
      <c r="QU8597" s="106"/>
      <c r="QV8597" s="106"/>
      <c r="QW8597" s="106"/>
      <c r="QX8597" s="106"/>
      <c r="QY8597" s="106"/>
      <c r="QZ8597" s="106"/>
      <c r="RA8597" s="106"/>
      <c r="RB8597" s="106"/>
      <c r="RC8597" s="106"/>
      <c r="RD8597" s="106"/>
      <c r="RE8597" s="106"/>
      <c r="RF8597" s="106"/>
      <c r="RG8597" s="106"/>
      <c r="RH8597" s="106"/>
      <c r="RI8597" s="106"/>
      <c r="RJ8597" s="106"/>
      <c r="RK8597" s="106"/>
      <c r="RL8597" s="106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8EF-678C-454A-B730-65CB3069E6C5}">
  <dimension ref="A1:BY591"/>
  <sheetViews>
    <sheetView zoomScaleNormal="100" workbookViewId="0">
      <pane xSplit="2" ySplit="12" topLeftCell="BC13" activePane="bottomRight" state="frozen"/>
      <selection pane="topRight" activeCell="C1" sqref="C1"/>
      <selection pane="bottomLeft" activeCell="A8" sqref="A8"/>
      <selection pane="bottomRight" activeCell="BL16" sqref="BL16"/>
    </sheetView>
  </sheetViews>
  <sheetFormatPr defaultColWidth="8.88671875" defaultRowHeight="12" x14ac:dyDescent="0.3"/>
  <cols>
    <col min="1" max="1" width="23.33203125" style="46" customWidth="1"/>
    <col min="2" max="2" width="21.88671875" style="46" customWidth="1"/>
    <col min="3" max="3" width="21.33203125" style="47" customWidth="1"/>
    <col min="4" max="4" width="2.44140625" style="47" customWidth="1"/>
    <col min="5" max="5" width="17.109375" style="47" customWidth="1"/>
    <col min="6" max="6" width="10.6640625" style="47" customWidth="1"/>
    <col min="7" max="7" width="8.6640625" style="47" customWidth="1"/>
    <col min="8" max="8" width="5.44140625" style="47" customWidth="1"/>
    <col min="9" max="9" width="10.33203125" style="47" customWidth="1"/>
    <col min="10" max="10" width="8" style="47" customWidth="1"/>
    <col min="11" max="11" width="2.44140625" style="47" customWidth="1"/>
    <col min="12" max="12" width="40.109375" style="47" customWidth="1"/>
    <col min="13" max="13" width="12.6640625" style="47" customWidth="1"/>
    <col min="14" max="14" width="13" style="47" customWidth="1"/>
    <col min="15" max="21" width="11" style="47" customWidth="1"/>
    <col min="22" max="22" width="2.44140625" style="47" customWidth="1"/>
    <col min="23" max="23" width="13.5546875" style="47" customWidth="1"/>
    <col min="24" max="24" width="14.88671875" style="46" customWidth="1"/>
    <col min="25" max="25" width="14.6640625" style="46" customWidth="1"/>
    <col min="26" max="27" width="13.109375" style="47" customWidth="1"/>
    <col min="28" max="29" width="13.5546875" style="47" customWidth="1"/>
    <col min="30" max="30" width="2.44140625" style="47" customWidth="1"/>
    <col min="31" max="34" width="13.109375" style="47" customWidth="1"/>
    <col min="35" max="35" width="2.44140625" style="47" customWidth="1"/>
    <col min="36" max="36" width="11.6640625" style="92" customWidth="1"/>
    <col min="37" max="37" width="9.44140625" style="92" customWidth="1"/>
    <col min="38" max="38" width="7.6640625" style="46" customWidth="1"/>
    <col min="39" max="39" width="2.44140625" style="47" customWidth="1"/>
    <col min="40" max="40" width="8.6640625" style="47" customWidth="1"/>
    <col min="41" max="41" width="27.6640625" style="46" customWidth="1"/>
    <col min="42" max="42" width="13.33203125" style="47" customWidth="1"/>
    <col min="43" max="43" width="11" style="47" customWidth="1"/>
    <col min="44" max="44" width="14" style="47" customWidth="1"/>
    <col min="45" max="45" width="23.33203125" style="47" customWidth="1"/>
    <col min="46" max="46" width="2.44140625" style="47" customWidth="1"/>
    <col min="47" max="47" width="8" style="46" customWidth="1"/>
    <col min="48" max="48" width="20.44140625" style="46" customWidth="1"/>
    <col min="49" max="49" width="11.6640625" style="46" customWidth="1"/>
    <col min="50" max="50" width="14.109375" style="47" customWidth="1"/>
    <col min="51" max="51" width="14.33203125" style="46" customWidth="1"/>
    <col min="52" max="52" width="22.44140625" style="46" customWidth="1"/>
    <col min="53" max="53" width="2.44140625" style="47" customWidth="1"/>
    <col min="54" max="55" width="12.44140625" style="48" customWidth="1"/>
    <col min="56" max="56" width="13.6640625" style="46" customWidth="1"/>
    <col min="57" max="57" width="9.109375" style="46" customWidth="1"/>
    <col min="58" max="58" width="10.88671875" style="47" customWidth="1"/>
    <col min="59" max="60" width="10.5546875" style="47" customWidth="1"/>
    <col min="61" max="61" width="31.33203125" style="46" customWidth="1"/>
    <col min="62" max="62" width="21.77734375" style="46" customWidth="1"/>
    <col min="63" max="63" width="17.21875" style="46" customWidth="1"/>
    <col min="64" max="64" width="28.6640625" style="46" customWidth="1"/>
    <col min="65" max="65" width="16.6640625" style="46" customWidth="1"/>
    <col min="66" max="66" width="15" style="46" customWidth="1"/>
    <col min="67" max="67" width="2.44140625" style="47" customWidth="1"/>
    <col min="68" max="68" width="11" style="46" customWidth="1"/>
    <col min="69" max="69" width="19.109375" style="46" customWidth="1"/>
    <col min="70" max="70" width="9.6640625" style="46" customWidth="1"/>
    <col min="71" max="71" width="2.44140625" style="47" customWidth="1"/>
    <col min="72" max="72" width="8.6640625" style="47" customWidth="1"/>
    <col min="73" max="73" width="29.33203125" style="46" customWidth="1"/>
    <col min="74" max="74" width="2.44140625" style="47" customWidth="1"/>
    <col min="75" max="75" width="11" style="46" customWidth="1"/>
    <col min="76" max="76" width="19.109375" style="46" customWidth="1"/>
    <col min="77" max="77" width="9.6640625" style="46" customWidth="1"/>
    <col min="78" max="16384" width="8.88671875" style="46"/>
  </cols>
  <sheetData>
    <row r="1" spans="1:77" s="43" customFormat="1" x14ac:dyDescent="0.3">
      <c r="A1" s="55" t="s">
        <v>1116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5"/>
      <c r="AK1" s="45"/>
      <c r="AM1" s="44"/>
      <c r="AN1" s="44"/>
      <c r="AP1" s="44"/>
      <c r="AQ1" s="44"/>
      <c r="AR1" s="44"/>
      <c r="AS1" s="44"/>
      <c r="AT1" s="44"/>
      <c r="AX1" s="44"/>
      <c r="BA1" s="44"/>
      <c r="BB1" s="50"/>
      <c r="BC1" s="50"/>
      <c r="BF1" s="44"/>
      <c r="BG1" s="44"/>
      <c r="BH1" s="44"/>
      <c r="BO1" s="44"/>
      <c r="BS1" s="44"/>
      <c r="BT1" s="44"/>
      <c r="BV1" s="44"/>
    </row>
    <row r="2" spans="1:77" s="43" customFormat="1" x14ac:dyDescent="0.3"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5"/>
      <c r="AK2" s="45"/>
      <c r="AM2" s="44"/>
      <c r="AN2" s="44"/>
      <c r="AP2" s="44"/>
      <c r="AQ2" s="44"/>
      <c r="AR2" s="44"/>
      <c r="AS2" s="44"/>
      <c r="AT2" s="44"/>
      <c r="AX2" s="44"/>
      <c r="BA2" s="44"/>
      <c r="BB2" s="50"/>
      <c r="BC2" s="50"/>
      <c r="BF2" s="44"/>
      <c r="BG2" s="44"/>
      <c r="BH2" s="44"/>
      <c r="BO2" s="44"/>
      <c r="BS2" s="44"/>
      <c r="BT2" s="44"/>
      <c r="BV2" s="44"/>
    </row>
    <row r="3" spans="1:77" s="43" customFormat="1" x14ac:dyDescent="0.3">
      <c r="A3" s="42" t="s">
        <v>1037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Z3" s="44"/>
      <c r="AA3" s="44"/>
      <c r="AB3" s="44"/>
      <c r="AD3" s="44"/>
      <c r="AE3" s="44"/>
      <c r="AF3" s="44"/>
      <c r="AG3" s="44"/>
      <c r="AH3" s="44"/>
      <c r="AI3" s="44"/>
      <c r="AJ3" s="45"/>
      <c r="AK3" s="45"/>
      <c r="AM3" s="44"/>
      <c r="AN3" s="44"/>
      <c r="AP3" s="44"/>
      <c r="AQ3" s="44"/>
      <c r="AR3" s="44"/>
      <c r="AS3" s="44"/>
      <c r="AT3" s="44"/>
      <c r="AX3" s="44"/>
      <c r="BA3" s="44"/>
      <c r="BB3" s="50" t="s">
        <v>1038</v>
      </c>
      <c r="BC3" s="50"/>
      <c r="BK3" s="50" t="s">
        <v>1038</v>
      </c>
      <c r="BO3" s="44"/>
      <c r="BS3" s="44"/>
      <c r="BT3" s="44"/>
      <c r="BV3" s="44"/>
    </row>
    <row r="4" spans="1:77" x14ac:dyDescent="0.3">
      <c r="A4" s="42" t="s">
        <v>1039</v>
      </c>
      <c r="B4" s="4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3"/>
      <c r="Y4" s="43"/>
      <c r="Z4" s="44"/>
      <c r="AA4" s="44"/>
      <c r="AB4" s="44"/>
      <c r="AC4" s="43"/>
      <c r="AD4" s="44"/>
      <c r="AE4" s="44"/>
      <c r="AF4" s="44"/>
      <c r="AG4" s="44"/>
      <c r="AH4" s="44"/>
      <c r="AI4" s="44"/>
      <c r="AJ4" s="45"/>
      <c r="AK4" s="45"/>
      <c r="AL4" s="43"/>
      <c r="AM4" s="44"/>
      <c r="AN4" s="44"/>
      <c r="AO4" s="43"/>
      <c r="AP4" s="44"/>
      <c r="AQ4" s="44"/>
      <c r="AR4" s="44"/>
      <c r="AS4" s="44"/>
      <c r="AT4" s="44"/>
      <c r="AU4" s="43"/>
      <c r="AV4" s="43"/>
      <c r="AW4" s="43"/>
      <c r="AX4" s="44"/>
      <c r="AY4" s="43"/>
      <c r="AZ4" s="49" t="s">
        <v>1040</v>
      </c>
      <c r="BA4" s="44"/>
      <c r="BB4" s="50">
        <v>0.8</v>
      </c>
      <c r="BC4" s="50"/>
      <c r="BD4" s="43"/>
      <c r="BE4" s="43"/>
      <c r="BF4" s="43"/>
      <c r="BG4" s="43"/>
      <c r="BH4" s="43"/>
      <c r="BI4" s="43"/>
      <c r="BJ4" s="49" t="s">
        <v>1041</v>
      </c>
      <c r="BK4" s="51">
        <v>1.1000000000000001</v>
      </c>
      <c r="BL4" s="43"/>
      <c r="BM4" s="43"/>
      <c r="BN4" s="43"/>
      <c r="BO4" s="44"/>
      <c r="BP4" s="43"/>
      <c r="BQ4" s="43"/>
      <c r="BR4" s="43"/>
      <c r="BS4" s="44"/>
      <c r="BT4" s="44"/>
      <c r="BU4" s="43"/>
      <c r="BV4" s="44"/>
      <c r="BW4" s="43"/>
      <c r="BX4" s="43"/>
      <c r="BY4" s="43"/>
    </row>
    <row r="5" spans="1:77" x14ac:dyDescent="0.3">
      <c r="A5" s="52" t="s">
        <v>1042</v>
      </c>
      <c r="B5" s="43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3"/>
      <c r="Y5" s="43"/>
      <c r="Z5" s="44"/>
      <c r="AA5" s="44"/>
      <c r="AB5" s="44"/>
      <c r="AC5" s="43"/>
      <c r="AD5" s="44"/>
      <c r="AE5" s="44"/>
      <c r="AF5" s="44"/>
      <c r="AG5" s="44"/>
      <c r="AH5" s="44"/>
      <c r="AI5" s="44"/>
      <c r="AJ5" s="45"/>
      <c r="AK5" s="45"/>
      <c r="AL5" s="43"/>
      <c r="AM5" s="44"/>
      <c r="AN5" s="44"/>
      <c r="AO5" s="43"/>
      <c r="AP5" s="44"/>
      <c r="AQ5" s="44"/>
      <c r="AR5" s="44"/>
      <c r="AS5" s="44"/>
      <c r="AT5" s="44"/>
      <c r="AU5" s="43"/>
      <c r="AV5" s="43"/>
      <c r="AW5" s="43" t="s">
        <v>1043</v>
      </c>
      <c r="AX5" s="44">
        <v>5</v>
      </c>
      <c r="AY5" s="43"/>
      <c r="AZ5" s="49" t="s">
        <v>1044</v>
      </c>
      <c r="BA5" s="44"/>
      <c r="BB5" s="50" t="s">
        <v>1045</v>
      </c>
      <c r="BC5" s="50"/>
      <c r="BD5" s="43"/>
      <c r="BE5" s="43"/>
      <c r="BF5" s="43"/>
      <c r="BG5" s="43"/>
      <c r="BH5" s="43"/>
      <c r="BI5" s="43"/>
      <c r="BJ5" s="49" t="s">
        <v>1046</v>
      </c>
      <c r="BK5" s="51" t="s">
        <v>1047</v>
      </c>
      <c r="BL5" s="50"/>
      <c r="BM5" s="43"/>
      <c r="BN5" s="43"/>
      <c r="BO5" s="44"/>
      <c r="BP5" s="43"/>
      <c r="BQ5" s="43"/>
      <c r="BR5" s="43"/>
      <c r="BS5" s="44"/>
      <c r="BT5" s="44"/>
      <c r="BU5" s="43"/>
      <c r="BV5" s="44"/>
      <c r="BW5" s="43"/>
      <c r="BX5" s="43"/>
      <c r="BY5" s="43"/>
    </row>
    <row r="6" spans="1:77" x14ac:dyDescent="0.3">
      <c r="A6" s="43"/>
      <c r="B6" s="43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3"/>
      <c r="Y6" s="43"/>
      <c r="Z6" s="44"/>
      <c r="AC6" s="53"/>
      <c r="AD6" s="44"/>
      <c r="AE6" s="44"/>
      <c r="AF6" s="44"/>
      <c r="AG6" s="44"/>
      <c r="AH6" s="44"/>
      <c r="AI6" s="44"/>
      <c r="AJ6" s="45"/>
      <c r="AK6" s="45"/>
      <c r="AL6" s="43"/>
      <c r="AM6" s="44"/>
      <c r="AN6" s="44"/>
      <c r="AO6" s="43"/>
      <c r="AP6" s="44"/>
      <c r="AQ6" s="44"/>
      <c r="AR6" s="44"/>
      <c r="AS6" s="44"/>
      <c r="AT6" s="44"/>
      <c r="AU6" s="43"/>
      <c r="AV6" s="43"/>
      <c r="AW6" s="43" t="s">
        <v>1048</v>
      </c>
      <c r="AX6" s="44"/>
      <c r="AY6" s="43"/>
      <c r="AZ6" s="49" t="s">
        <v>1049</v>
      </c>
      <c r="BA6" s="54"/>
      <c r="BB6" s="50">
        <v>1.25</v>
      </c>
      <c r="BC6" s="50"/>
      <c r="BD6" s="43"/>
      <c r="BE6" s="43"/>
      <c r="BF6" s="43"/>
      <c r="BG6" s="43"/>
      <c r="BH6" s="43"/>
      <c r="BI6" s="43"/>
      <c r="BJ6" s="49" t="s">
        <v>1050</v>
      </c>
      <c r="BK6" s="51">
        <v>0.9</v>
      </c>
      <c r="BL6" s="50"/>
      <c r="BM6" s="43"/>
      <c r="BN6" s="43"/>
      <c r="BO6" s="44"/>
      <c r="BP6" s="43"/>
      <c r="BQ6" s="43"/>
      <c r="BR6" s="43"/>
      <c r="BS6" s="44"/>
      <c r="BT6" s="44"/>
      <c r="BU6" s="43"/>
      <c r="BV6" s="44"/>
      <c r="BW6" s="43"/>
      <c r="BX6" s="43"/>
      <c r="BY6" s="43"/>
    </row>
    <row r="7" spans="1:77" x14ac:dyDescent="0.3">
      <c r="A7" s="55" t="s">
        <v>1051</v>
      </c>
      <c r="B7" s="43"/>
      <c r="C7" s="44"/>
      <c r="D7" s="54"/>
      <c r="E7" s="54" t="s">
        <v>1052</v>
      </c>
      <c r="F7" s="54"/>
      <c r="G7" s="54"/>
      <c r="H7" s="54"/>
      <c r="I7" s="44"/>
      <c r="J7" s="54"/>
      <c r="K7" s="54"/>
      <c r="L7" s="54" t="s">
        <v>1053</v>
      </c>
      <c r="M7" s="54" t="s">
        <v>1054</v>
      </c>
      <c r="N7" s="44"/>
      <c r="O7" s="44"/>
      <c r="P7" s="54" t="s">
        <v>10</v>
      </c>
      <c r="Q7" s="44"/>
      <c r="R7" s="44"/>
      <c r="S7" s="54" t="s">
        <v>1055</v>
      </c>
      <c r="T7" s="54"/>
      <c r="U7" s="54"/>
      <c r="V7" s="54"/>
      <c r="W7" s="54" t="s">
        <v>1056</v>
      </c>
      <c r="X7" s="43"/>
      <c r="Y7" s="43"/>
      <c r="Z7" s="44"/>
      <c r="AA7" s="44"/>
      <c r="AB7" s="44"/>
      <c r="AC7" s="56"/>
      <c r="AD7" s="54"/>
      <c r="AE7" s="54" t="s">
        <v>1057</v>
      </c>
      <c r="AF7" s="54"/>
      <c r="AG7" s="54"/>
      <c r="AH7" s="44"/>
      <c r="AI7" s="54"/>
      <c r="AJ7" s="57" t="s">
        <v>1058</v>
      </c>
      <c r="AK7" s="45"/>
      <c r="AL7" s="43"/>
      <c r="AM7" s="54"/>
      <c r="AN7" s="54" t="s">
        <v>1059</v>
      </c>
      <c r="AO7" s="55"/>
      <c r="AP7" s="54"/>
      <c r="AQ7" s="54"/>
      <c r="AR7" s="44"/>
      <c r="AS7" s="44"/>
      <c r="AT7" s="54"/>
      <c r="AU7" s="55" t="s">
        <v>1060</v>
      </c>
      <c r="AV7" s="43"/>
      <c r="AW7" s="43" t="s">
        <v>1061</v>
      </c>
      <c r="AX7" s="44">
        <v>10</v>
      </c>
      <c r="AY7" s="43"/>
      <c r="AZ7" s="49" t="s">
        <v>1062</v>
      </c>
      <c r="BA7" s="44"/>
      <c r="BB7" s="50">
        <v>2</v>
      </c>
      <c r="BC7" s="50"/>
      <c r="BD7" s="43"/>
      <c r="BE7" s="43"/>
      <c r="BF7" s="43"/>
      <c r="BG7" s="43"/>
      <c r="BH7" s="43"/>
      <c r="BI7" s="43"/>
      <c r="BJ7" s="49" t="s">
        <v>1063</v>
      </c>
      <c r="BK7" s="51">
        <v>0.75</v>
      </c>
      <c r="BL7" s="50"/>
      <c r="BM7" s="43"/>
      <c r="BN7" s="43"/>
      <c r="BO7" s="54"/>
      <c r="BP7" s="43"/>
      <c r="BQ7" s="43"/>
      <c r="BR7" s="43"/>
      <c r="BS7" s="54"/>
      <c r="BT7" s="54" t="s">
        <v>1064</v>
      </c>
      <c r="BU7" s="43"/>
      <c r="BV7" s="54"/>
      <c r="BW7" s="43"/>
      <c r="BX7" s="43"/>
      <c r="BY7" s="43"/>
    </row>
    <row r="8" spans="1:77" x14ac:dyDescent="0.3">
      <c r="A8" s="43"/>
      <c r="B8" s="43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3"/>
      <c r="Y8" s="43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5"/>
      <c r="AK8" s="45"/>
      <c r="AL8" s="43"/>
      <c r="AM8" s="44"/>
      <c r="AN8" s="44"/>
      <c r="AO8" s="43"/>
      <c r="AP8" s="44"/>
      <c r="AQ8" s="44"/>
      <c r="AR8" s="44"/>
      <c r="AS8" s="44"/>
      <c r="AT8" s="44"/>
      <c r="AU8" s="43"/>
      <c r="AV8" s="43"/>
      <c r="AW8" s="43"/>
      <c r="AX8" s="44"/>
      <c r="AY8" s="43"/>
      <c r="BC8" s="50"/>
      <c r="BD8" s="43"/>
      <c r="BE8" s="43"/>
      <c r="BF8" s="43"/>
      <c r="BG8" s="43"/>
      <c r="BH8" s="43"/>
      <c r="BI8" s="43"/>
      <c r="BL8" s="50"/>
      <c r="BM8" s="43"/>
      <c r="BN8" s="43"/>
      <c r="BO8" s="44"/>
      <c r="BP8" s="43"/>
      <c r="BQ8" s="43"/>
      <c r="BR8" s="43"/>
      <c r="BS8" s="44"/>
      <c r="BT8" s="44"/>
      <c r="BU8" s="43"/>
      <c r="BV8" s="44"/>
      <c r="BW8" s="43"/>
      <c r="BX8" s="43"/>
      <c r="BY8" s="43"/>
    </row>
    <row r="9" spans="1:77" ht="65.400000000000006" customHeight="1" x14ac:dyDescent="0.3">
      <c r="A9" s="30" t="s">
        <v>16</v>
      </c>
      <c r="B9" s="33" t="s">
        <v>389</v>
      </c>
      <c r="C9" s="30" t="s">
        <v>388</v>
      </c>
      <c r="D9" s="58"/>
      <c r="E9" s="30" t="s">
        <v>29</v>
      </c>
      <c r="F9" s="30" t="s">
        <v>32</v>
      </c>
      <c r="G9" s="30" t="s">
        <v>40</v>
      </c>
      <c r="H9" s="30" t="s">
        <v>41</v>
      </c>
      <c r="I9" s="30" t="s">
        <v>64</v>
      </c>
      <c r="J9" s="30" t="s">
        <v>55</v>
      </c>
      <c r="K9" s="58"/>
      <c r="L9" s="30" t="s">
        <v>62</v>
      </c>
      <c r="M9" s="30" t="s">
        <v>65</v>
      </c>
      <c r="N9" s="30" t="s">
        <v>66</v>
      </c>
      <c r="O9" s="30" t="s">
        <v>134</v>
      </c>
      <c r="P9" s="30" t="s">
        <v>65</v>
      </c>
      <c r="Q9" s="30" t="s">
        <v>66</v>
      </c>
      <c r="R9" s="30" t="s">
        <v>134</v>
      </c>
      <c r="S9" s="30" t="s">
        <v>65</v>
      </c>
      <c r="T9" s="30" t="s">
        <v>66</v>
      </c>
      <c r="U9" s="30" t="s">
        <v>134</v>
      </c>
      <c r="V9" s="58"/>
      <c r="W9" s="30" t="s">
        <v>133</v>
      </c>
      <c r="X9" s="30" t="s">
        <v>390</v>
      </c>
      <c r="Y9" s="30" t="s">
        <v>394</v>
      </c>
      <c r="Z9" s="30" t="s">
        <v>341</v>
      </c>
      <c r="AA9" s="30" t="s">
        <v>342</v>
      </c>
      <c r="AB9" s="30" t="s">
        <v>335</v>
      </c>
      <c r="AC9" s="30" t="s">
        <v>344</v>
      </c>
      <c r="AD9" s="58"/>
      <c r="AE9" s="30" t="s">
        <v>353</v>
      </c>
      <c r="AF9" s="30" t="s">
        <v>313</v>
      </c>
      <c r="AG9" s="30" t="s">
        <v>321</v>
      </c>
      <c r="AH9" s="30" t="s">
        <v>324</v>
      </c>
      <c r="AI9" s="58"/>
      <c r="AJ9" s="59" t="s">
        <v>403</v>
      </c>
      <c r="AK9" s="59" t="s">
        <v>1065</v>
      </c>
      <c r="AL9" s="30" t="s">
        <v>404</v>
      </c>
      <c r="AM9" s="58"/>
      <c r="AN9" s="30" t="s">
        <v>1066</v>
      </c>
      <c r="AO9" s="30" t="s">
        <v>1067</v>
      </c>
      <c r="AP9" s="30" t="s">
        <v>152</v>
      </c>
      <c r="AQ9" s="30" t="s">
        <v>1068</v>
      </c>
      <c r="AR9" s="30" t="s">
        <v>1069</v>
      </c>
      <c r="AS9" s="30" t="s">
        <v>1070</v>
      </c>
      <c r="AT9" s="58"/>
      <c r="AU9" s="30" t="s">
        <v>1066</v>
      </c>
      <c r="AV9" s="60" t="s">
        <v>1071</v>
      </c>
      <c r="AW9" s="30" t="s">
        <v>1072</v>
      </c>
      <c r="AX9" s="30" t="s">
        <v>1073</v>
      </c>
      <c r="AY9" s="30" t="s">
        <v>1074</v>
      </c>
      <c r="AZ9" s="30" t="s">
        <v>1075</v>
      </c>
      <c r="BA9" s="58"/>
      <c r="BB9" s="61" t="s">
        <v>1076</v>
      </c>
      <c r="BC9" s="61" t="s">
        <v>1077</v>
      </c>
      <c r="BD9" s="30" t="s">
        <v>394</v>
      </c>
      <c r="BE9" s="30" t="s">
        <v>404</v>
      </c>
      <c r="BF9" s="30" t="s">
        <v>1078</v>
      </c>
      <c r="BG9" s="30" t="s">
        <v>352</v>
      </c>
      <c r="BH9" s="30" t="s">
        <v>1079</v>
      </c>
      <c r="BI9" s="30" t="s">
        <v>1080</v>
      </c>
      <c r="BJ9" s="32" t="s">
        <v>1081</v>
      </c>
      <c r="BK9" s="30" t="s">
        <v>1082</v>
      </c>
      <c r="BL9" s="30" t="s">
        <v>1083</v>
      </c>
      <c r="BM9" s="30" t="s">
        <v>1084</v>
      </c>
      <c r="BN9" s="30" t="s">
        <v>1084</v>
      </c>
      <c r="BO9" s="58"/>
      <c r="BP9" s="30" t="s">
        <v>1085</v>
      </c>
      <c r="BQ9" s="30" t="s">
        <v>1086</v>
      </c>
      <c r="BR9" s="30" t="s">
        <v>1087</v>
      </c>
      <c r="BS9" s="58"/>
      <c r="BT9" s="30" t="s">
        <v>1066</v>
      </c>
      <c r="BU9" s="30" t="s">
        <v>1067</v>
      </c>
      <c r="BV9" s="58"/>
      <c r="BW9" s="30" t="s">
        <v>1085</v>
      </c>
      <c r="BX9" s="30" t="s">
        <v>1086</v>
      </c>
      <c r="BY9" s="30" t="s">
        <v>1087</v>
      </c>
    </row>
    <row r="10" spans="1:77" x14ac:dyDescent="0.25">
      <c r="A10" s="60" t="s">
        <v>406</v>
      </c>
      <c r="B10" s="34" t="s">
        <v>406</v>
      </c>
      <c r="C10" s="34" t="s">
        <v>406</v>
      </c>
      <c r="D10" s="62"/>
      <c r="E10" s="60" t="s">
        <v>406</v>
      </c>
      <c r="F10" s="60" t="s">
        <v>406</v>
      </c>
      <c r="G10" s="60" t="s">
        <v>406</v>
      </c>
      <c r="H10" s="60" t="s">
        <v>406</v>
      </c>
      <c r="I10" s="60" t="s">
        <v>408</v>
      </c>
      <c r="J10" s="60" t="s">
        <v>1088</v>
      </c>
      <c r="K10" s="62"/>
      <c r="L10" s="60" t="s">
        <v>406</v>
      </c>
      <c r="M10" s="60" t="s">
        <v>410</v>
      </c>
      <c r="N10" s="60" t="s">
        <v>410</v>
      </c>
      <c r="O10" s="60" t="s">
        <v>411</v>
      </c>
      <c r="P10" s="34" t="s">
        <v>410</v>
      </c>
      <c r="Q10" s="34" t="s">
        <v>410</v>
      </c>
      <c r="R10" s="34" t="s">
        <v>411</v>
      </c>
      <c r="S10" s="60"/>
      <c r="T10" s="60"/>
      <c r="U10" s="60"/>
      <c r="V10" s="62"/>
      <c r="W10" s="60" t="s">
        <v>413</v>
      </c>
      <c r="X10" s="60" t="s">
        <v>413</v>
      </c>
      <c r="Y10" s="60" t="s">
        <v>406</v>
      </c>
      <c r="Z10" s="60" t="s">
        <v>413</v>
      </c>
      <c r="AA10" s="60" t="s">
        <v>413</v>
      </c>
      <c r="AB10" s="60" t="s">
        <v>406</v>
      </c>
      <c r="AC10" s="60" t="s">
        <v>411</v>
      </c>
      <c r="AD10" s="62"/>
      <c r="AE10" s="60" t="s">
        <v>413</v>
      </c>
      <c r="AF10" s="60" t="s">
        <v>413</v>
      </c>
      <c r="AG10" s="60" t="s">
        <v>413</v>
      </c>
      <c r="AH10" s="60" t="s">
        <v>413</v>
      </c>
      <c r="AI10" s="62"/>
      <c r="AJ10" s="63" t="s">
        <v>413</v>
      </c>
      <c r="AK10" s="63" t="s">
        <v>413</v>
      </c>
      <c r="AL10" s="60" t="s">
        <v>406</v>
      </c>
      <c r="AM10" s="62"/>
      <c r="AN10" s="60" t="s">
        <v>406</v>
      </c>
      <c r="AO10" s="60" t="s">
        <v>406</v>
      </c>
      <c r="AP10" s="60" t="s">
        <v>413</v>
      </c>
      <c r="AQ10" s="60"/>
      <c r="AR10" s="60"/>
      <c r="AS10" s="60"/>
      <c r="AT10" s="62"/>
      <c r="AU10" s="60" t="s">
        <v>406</v>
      </c>
      <c r="AV10" s="60" t="s">
        <v>406</v>
      </c>
      <c r="AW10" s="60" t="s">
        <v>1089</v>
      </c>
      <c r="AX10" s="60" t="s">
        <v>1090</v>
      </c>
      <c r="AY10" s="60" t="s">
        <v>1091</v>
      </c>
      <c r="AZ10" s="60" t="s">
        <v>406</v>
      </c>
      <c r="BA10" s="62"/>
      <c r="BB10" s="64" t="s">
        <v>406</v>
      </c>
      <c r="BC10" s="64" t="s">
        <v>406</v>
      </c>
      <c r="BD10" s="60" t="s">
        <v>406</v>
      </c>
      <c r="BE10" s="60" t="s">
        <v>406</v>
      </c>
      <c r="BF10" s="60" t="s">
        <v>406</v>
      </c>
      <c r="BG10" s="60" t="s">
        <v>411</v>
      </c>
      <c r="BH10" s="60" t="s">
        <v>406</v>
      </c>
      <c r="BI10" s="60" t="s">
        <v>406</v>
      </c>
      <c r="BJ10" s="60" t="s">
        <v>406</v>
      </c>
      <c r="BK10" s="60" t="s">
        <v>406</v>
      </c>
      <c r="BL10" s="60" t="s">
        <v>406</v>
      </c>
      <c r="BM10" s="60" t="s">
        <v>406</v>
      </c>
      <c r="BN10" s="60" t="s">
        <v>406</v>
      </c>
      <c r="BO10" s="62"/>
      <c r="BP10" s="60" t="s">
        <v>406</v>
      </c>
      <c r="BQ10" s="60"/>
      <c r="BR10" s="60"/>
      <c r="BS10" s="62"/>
      <c r="BT10" s="60" t="s">
        <v>406</v>
      </c>
      <c r="BU10" s="60" t="s">
        <v>406</v>
      </c>
      <c r="BV10" s="62"/>
      <c r="BW10" s="60" t="s">
        <v>406</v>
      </c>
      <c r="BX10" s="60"/>
      <c r="BY10" s="60"/>
    </row>
    <row r="11" spans="1:77" ht="2.4" customHeight="1" x14ac:dyDescent="0.3">
      <c r="A11" s="43"/>
      <c r="B11" s="65"/>
      <c r="C11" s="65"/>
      <c r="D11" s="43"/>
      <c r="E11" s="43"/>
      <c r="F11" s="43"/>
      <c r="G11" s="44"/>
      <c r="H11" s="44"/>
      <c r="I11" s="44"/>
      <c r="J11" s="43"/>
      <c r="K11" s="43"/>
      <c r="L11" s="43"/>
      <c r="M11" s="44"/>
      <c r="N11" s="44"/>
      <c r="O11" s="44"/>
      <c r="P11" s="44"/>
      <c r="Q11" s="44"/>
      <c r="R11" s="44"/>
      <c r="S11" s="44"/>
      <c r="T11" s="44"/>
      <c r="U11" s="44"/>
      <c r="V11" s="43"/>
      <c r="W11" s="43"/>
      <c r="X11" s="43"/>
      <c r="Y11" s="43"/>
      <c r="Z11" s="43"/>
      <c r="AA11" s="43"/>
      <c r="AB11" s="44"/>
      <c r="AC11" s="43"/>
      <c r="AD11" s="43"/>
      <c r="AE11" s="43"/>
      <c r="AF11" s="43"/>
      <c r="AG11" s="43"/>
      <c r="AH11" s="43"/>
      <c r="AI11" s="43"/>
      <c r="AJ11" s="45"/>
      <c r="AK11" s="45"/>
      <c r="AL11" s="43"/>
      <c r="AM11" s="43"/>
      <c r="AN11" s="43"/>
      <c r="AO11" s="43"/>
      <c r="AP11" s="44"/>
      <c r="AQ11" s="44"/>
      <c r="AR11" s="43"/>
      <c r="AS11" s="43"/>
      <c r="AT11" s="43"/>
      <c r="AU11" s="43"/>
      <c r="AV11" s="43"/>
      <c r="AW11" s="43"/>
      <c r="AX11" s="44"/>
      <c r="AY11" s="43"/>
      <c r="AZ11" s="43"/>
      <c r="BA11" s="43"/>
      <c r="BB11" s="66"/>
      <c r="BC11" s="66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</row>
    <row r="12" spans="1:77" s="74" customFormat="1" ht="24" customHeight="1" x14ac:dyDescent="0.3">
      <c r="A12" s="67" t="s">
        <v>427</v>
      </c>
      <c r="B12" s="68" t="s">
        <v>888</v>
      </c>
      <c r="C12" s="68" t="s">
        <v>889</v>
      </c>
      <c r="D12" s="69"/>
      <c r="E12" s="68" t="s">
        <v>440</v>
      </c>
      <c r="F12" s="68" t="s">
        <v>443</v>
      </c>
      <c r="G12" s="68" t="s">
        <v>451</v>
      </c>
      <c r="H12" s="68" t="s">
        <v>452</v>
      </c>
      <c r="I12" s="68" t="s">
        <v>464</v>
      </c>
      <c r="J12" s="68" t="s">
        <v>466</v>
      </c>
      <c r="K12" s="69"/>
      <c r="L12" s="70" t="s">
        <v>475</v>
      </c>
      <c r="M12" s="70" t="s">
        <v>808</v>
      </c>
      <c r="N12" s="70" t="s">
        <v>809</v>
      </c>
      <c r="O12" s="70" t="s">
        <v>811</v>
      </c>
      <c r="P12" s="70" t="s">
        <v>755</v>
      </c>
      <c r="Q12" s="70" t="s">
        <v>756</v>
      </c>
      <c r="R12" s="70" t="s">
        <v>757</v>
      </c>
      <c r="S12" s="70" t="s">
        <v>567</v>
      </c>
      <c r="T12" s="70" t="s">
        <v>568</v>
      </c>
      <c r="U12" s="70" t="s">
        <v>569</v>
      </c>
      <c r="V12" s="69"/>
      <c r="W12" s="70" t="s">
        <v>890</v>
      </c>
      <c r="X12" s="70" t="s">
        <v>891</v>
      </c>
      <c r="Y12" s="70" t="s">
        <v>895</v>
      </c>
      <c r="Z12" s="70" t="s">
        <v>830</v>
      </c>
      <c r="AA12" s="70" t="s">
        <v>831</v>
      </c>
      <c r="AB12" s="70" t="s">
        <v>824</v>
      </c>
      <c r="AC12" s="70" t="s">
        <v>833</v>
      </c>
      <c r="AD12" s="69"/>
      <c r="AE12" s="70" t="s">
        <v>846</v>
      </c>
      <c r="AF12" s="70" t="s">
        <v>840</v>
      </c>
      <c r="AG12" s="70" t="s">
        <v>844</v>
      </c>
      <c r="AH12" s="70" t="s">
        <v>847</v>
      </c>
      <c r="AI12" s="69"/>
      <c r="AJ12" s="71" t="s">
        <v>904</v>
      </c>
      <c r="AK12" s="71"/>
      <c r="AL12" s="68" t="s">
        <v>905</v>
      </c>
      <c r="AM12" s="69"/>
      <c r="AN12" s="70" t="s">
        <v>557</v>
      </c>
      <c r="AO12" s="67" t="s">
        <v>1092</v>
      </c>
      <c r="AP12" s="70" t="s">
        <v>587</v>
      </c>
      <c r="AQ12" s="70" t="s">
        <v>406</v>
      </c>
      <c r="AR12" s="70" t="s">
        <v>406</v>
      </c>
      <c r="AS12" s="70" t="s">
        <v>406</v>
      </c>
      <c r="AT12" s="69"/>
      <c r="AU12" s="67" t="s">
        <v>798</v>
      </c>
      <c r="AV12" s="72" t="s">
        <v>1093</v>
      </c>
      <c r="AW12" s="67" t="s">
        <v>406</v>
      </c>
      <c r="AX12" s="67" t="s">
        <v>406</v>
      </c>
      <c r="AY12" s="67" t="s">
        <v>406</v>
      </c>
      <c r="AZ12" s="67" t="s">
        <v>406</v>
      </c>
      <c r="BA12" s="69"/>
      <c r="BB12" s="73" t="s">
        <v>1094</v>
      </c>
      <c r="BC12" s="73" t="s">
        <v>1094</v>
      </c>
      <c r="BD12" s="70" t="s">
        <v>895</v>
      </c>
      <c r="BE12" s="68" t="s">
        <v>905</v>
      </c>
      <c r="BF12" s="67" t="s">
        <v>1095</v>
      </c>
      <c r="BG12" s="67" t="s">
        <v>845</v>
      </c>
      <c r="BH12" s="67"/>
      <c r="BI12" s="67" t="s">
        <v>1096</v>
      </c>
      <c r="BJ12" s="67" t="s">
        <v>1097</v>
      </c>
      <c r="BK12" s="67" t="s">
        <v>1098</v>
      </c>
      <c r="BL12" s="67" t="s">
        <v>1099</v>
      </c>
      <c r="BM12" s="67" t="s">
        <v>1100</v>
      </c>
      <c r="BN12" s="67" t="s">
        <v>1101</v>
      </c>
      <c r="BO12" s="69"/>
      <c r="BP12" s="67" t="s">
        <v>1085</v>
      </c>
      <c r="BQ12" s="67"/>
      <c r="BR12" s="67"/>
      <c r="BS12" s="69"/>
      <c r="BT12" s="70" t="s">
        <v>745</v>
      </c>
      <c r="BU12" s="67" t="s">
        <v>1092</v>
      </c>
      <c r="BV12" s="69"/>
      <c r="BW12" s="67" t="s">
        <v>1085</v>
      </c>
      <c r="BX12" s="67"/>
      <c r="BY12" s="67"/>
    </row>
    <row r="13" spans="1:77" s="43" customFormat="1" x14ac:dyDescent="0.3">
      <c r="A13" s="122" t="s">
        <v>1054</v>
      </c>
      <c r="B13" s="114"/>
      <c r="C13" s="114"/>
      <c r="D13" s="77"/>
      <c r="E13" s="114"/>
      <c r="F13" s="114"/>
      <c r="G13" s="114"/>
      <c r="H13" s="114"/>
      <c r="I13" s="114"/>
      <c r="J13" s="114"/>
      <c r="K13" s="77"/>
      <c r="L13" s="114"/>
      <c r="M13" s="114"/>
      <c r="N13" s="114"/>
      <c r="O13" s="114"/>
      <c r="P13" s="114"/>
      <c r="Q13" s="114"/>
      <c r="R13" s="114"/>
      <c r="S13" s="114"/>
      <c r="T13" s="114"/>
      <c r="U13" s="114"/>
      <c r="V13" s="77"/>
      <c r="W13" s="114"/>
      <c r="X13" s="114"/>
      <c r="Y13" s="114"/>
      <c r="Z13" s="114"/>
      <c r="AA13" s="114"/>
      <c r="AB13" s="114"/>
      <c r="AC13" s="114"/>
      <c r="AD13" s="77"/>
      <c r="AE13" s="114"/>
      <c r="AF13" s="114"/>
      <c r="AG13" s="114"/>
      <c r="AH13" s="114"/>
      <c r="AI13" s="77"/>
      <c r="AJ13" s="115"/>
      <c r="AK13" s="115"/>
      <c r="AL13" s="114"/>
      <c r="AM13" s="77"/>
      <c r="AN13" s="114"/>
      <c r="AO13" s="116"/>
      <c r="AP13" s="114"/>
      <c r="AQ13" s="114"/>
      <c r="AR13" s="117"/>
      <c r="AS13" s="114"/>
      <c r="AT13" s="77"/>
      <c r="AU13" s="114"/>
      <c r="AV13" s="116"/>
      <c r="AW13" s="118"/>
      <c r="AX13" s="118"/>
      <c r="AY13" s="117"/>
      <c r="AZ13" s="116"/>
      <c r="BA13" s="77"/>
      <c r="BB13" s="119"/>
      <c r="BC13" s="119"/>
      <c r="BD13" s="114"/>
      <c r="BE13" s="114"/>
      <c r="BF13" s="114"/>
      <c r="BG13" s="114"/>
      <c r="BH13" s="114"/>
      <c r="BI13" s="120"/>
      <c r="BJ13" s="120"/>
      <c r="BK13" s="121"/>
      <c r="BL13" s="121"/>
      <c r="BM13" s="121"/>
      <c r="BN13" s="121"/>
      <c r="BO13" s="77"/>
      <c r="BP13" s="117"/>
      <c r="BQ13" s="117"/>
      <c r="BR13" s="117"/>
      <c r="BS13" s="77"/>
      <c r="BT13" s="114"/>
      <c r="BU13" s="116"/>
      <c r="BV13" s="77"/>
      <c r="BW13" s="81"/>
      <c r="BX13" s="117"/>
      <c r="BY13" s="117"/>
    </row>
    <row r="14" spans="1:77" x14ac:dyDescent="0.3">
      <c r="A14" s="75" t="s">
        <v>1384</v>
      </c>
      <c r="B14" s="76" t="str">
        <f>IF(VLOOKUP($A14,Table1[#All],_xlfn.XMATCH(B$12,Table1[#Headers],0,1),0)=0,"",VLOOKUP($A14,Table1[#All],_xlfn.XMATCH(B$12,Table1[#Headers],0,1),0))</f>
        <v>TXT_voorbeeld</v>
      </c>
      <c r="C14" s="76" t="str">
        <f>IF(VLOOKUP($A14,Table1[#All],_xlfn.XMATCH(C$12,Table1[#Headers],0,1),0)=0,"",VLOOKUP($A14,Table1[#All],_xlfn.XMATCH(C$12,Table1[#Headers],0,1),0))</f>
        <v/>
      </c>
      <c r="D14" s="77"/>
      <c r="E14" s="76" t="str">
        <f>IF(VLOOKUP($A14,Table1[#All],_xlfn.XMATCH(E$12,Table1[#Headers],0,1),0)=0,"",VLOOKUP($A14,Table1[#All],_xlfn.XMATCH(E$12,Table1[#Headers],0,1),0))</f>
        <v>Polderdijk</v>
      </c>
      <c r="F14" s="76" t="str">
        <f>IF(VLOOKUP($A14,Table1[#All],_xlfn.XMATCH(F$12,Table1[#Headers],0,1),0)=0,"",VLOOKUP($A14,Table1[#All],_xlfn.XMATCH(F$12,Table1[#Headers],0,1),0))</f>
        <v>Regionaal</v>
      </c>
      <c r="G14" s="76" t="str">
        <f>IF(VLOOKUP($A14,Table1[#All],_xlfn.XMATCH(G$12,Table1[#Headers],0,1),0)=0,"",VLOOKUP($A14,Table1[#All],_xlfn.XMATCH(G$12,Table1[#Headers],0,1),0))</f>
        <v>B01-AL01</v>
      </c>
      <c r="H14" s="76" t="str">
        <f>IF(VLOOKUP($A14,Table1[#All],_xlfn.XMATCH(H$12,Table1[#Headers],0,1),0)=0,"",VLOOKUP($A14,Table1[#All],_xlfn.XMATCH(H$12,Table1[#Headers],0,1),0))</f>
        <v>AL</v>
      </c>
      <c r="I14" s="76">
        <f>IF(VLOOKUP($A14,Table1[#All],_xlfn.XMATCH(I$12,Table1[#Headers],0,1),0)=0,"",VLOOKUP($A14,Table1[#All],_xlfn.XMATCH(I$12,Table1[#Headers],0,1),0))</f>
        <v>-4.43</v>
      </c>
      <c r="J14" s="76">
        <f>IF(VLOOKUP($A14,Table1[#All],_xlfn.XMATCH(J$12,Table1[#Headers],0,1),0)=0,"",VLOOKUP($A14,Table1[#All],_xlfn.XMATCH(J$12,Table1[#Headers],0,1),0))</f>
        <v>1.6</v>
      </c>
      <c r="K14" s="77"/>
      <c r="L14" s="76" t="str">
        <f>IF(VLOOKUP($A14,Table1[#All],_xlfn.XMATCH(L$12,Table1[#Headers],0,1),0)=0,"",VLOOKUP($A14,Table1[#All],_xlfn.XMATCH(L$12,Table1[#Headers],0,1),0))</f>
        <v>Klei, zandig, zwak, organisch, zwak, grijs, neutraal, Pulsinstallatie machinaal</v>
      </c>
      <c r="M14" s="76">
        <f>IF(VLOOKUP($A14,Table1[#All],_xlfn.XMATCH(M$12,Table1[#Headers],0,1),0)=0,"",VLOOKUP($A14,Table1[#All],_xlfn.XMATCH(M$12,Table1[#Headers],0,1),0))</f>
        <v>15</v>
      </c>
      <c r="N14" s="76">
        <f>IF(VLOOKUP($A14,Table1[#All],_xlfn.XMATCH(N$12,Table1[#Headers],0,1),0)=0,"",VLOOKUP($A14,Table1[#All],_xlfn.XMATCH(N$12,Table1[#Headers],0,1),0))</f>
        <v>8</v>
      </c>
      <c r="O14" s="76">
        <f>IF(VLOOKUP($A14,Table1[#All],_xlfn.XMATCH(O$12,Table1[#Headers],0,1),0)=0,"",VLOOKUP($A14,Table1[#All],_xlfn.XMATCH(O$12,Table1[#Headers],0,1),0))</f>
        <v>86.1</v>
      </c>
      <c r="P14" s="76" t="str">
        <f>IF(VLOOKUP($A14,Table1[#All],_xlfn.XMATCH(P$12,Table1[#Headers],0,1),0)=0,"",VLOOKUP($A14,Table1[#All],_xlfn.XMATCH(P$12,Table1[#Headers],0,1),0))</f>
        <v/>
      </c>
      <c r="Q14" s="76" t="str">
        <f>IF(VLOOKUP($A14,Table1[#All],_xlfn.XMATCH(Q$12,Table1[#Headers],0,1),0)=0,"",VLOOKUP($A14,Table1[#All],_xlfn.XMATCH(Q$12,Table1[#Headers],0,1),0))</f>
        <v/>
      </c>
      <c r="R14" s="76" t="str">
        <f>IF(VLOOKUP($A14,Table1[#All],_xlfn.XMATCH(R$12,Table1[#Headers],0,1),0)=0,"",VLOOKUP($A14,Table1[#All],_xlfn.XMATCH(R$12,Table1[#Headers],0,1),0))</f>
        <v/>
      </c>
      <c r="S14" s="76">
        <f>IF(VLOOKUP($A14,Table1[#All],_xlfn.XMATCH(S$12,Table1[#Headers],0,1),0)=0,"",VLOOKUP($A14,Table1[#All],_xlfn.XMATCH(S$12,Table1[#Headers],0,1),0))</f>
        <v>14.5</v>
      </c>
      <c r="T14" s="76">
        <f>IF(VLOOKUP($A14,Table1[#All],_xlfn.XMATCH(T$12,Table1[#Headers],0,1),0)=0,"",VLOOKUP($A14,Table1[#All],_xlfn.XMATCH(T$12,Table1[#Headers],0,1),0))</f>
        <v>8</v>
      </c>
      <c r="U14" s="76">
        <f>IF(VLOOKUP($A14,Table1[#All],_xlfn.XMATCH(U$12,Table1[#Headers],0,1),0)=0,"",VLOOKUP($A14,Table1[#All],_xlfn.XMATCH(U$12,Table1[#Headers],0,1),0))</f>
        <v>81.3</v>
      </c>
      <c r="V14" s="77"/>
      <c r="W14" s="76">
        <f>IF(VLOOKUP($A14,Table1[#All],_xlfn.XMATCH(W$12,Table1[#Headers],0,1),0)=0,"",VLOOKUP($A14,Table1[#All],_xlfn.XMATCH(W$12,Table1[#Headers],0,1),0))</f>
        <v>12.9</v>
      </c>
      <c r="X14" s="76">
        <f>IF(VLOOKUP($A14,Table1[#All],_xlfn.XMATCH(X$12,Table1[#Headers],0,1),0)=0,"",VLOOKUP($A14,Table1[#All],_xlfn.XMATCH(X$12,Table1[#Headers],0,1),0))</f>
        <v>13</v>
      </c>
      <c r="Y14" s="76" t="str">
        <f>IF(VLOOKUP($A14,Table1[#All],_xlfn.XMATCH(Y$12,Table1[#Headers],0,1),0)=0,"",VLOOKUP($A14,Table1[#All],_xlfn.XMATCH(Y$12,Table1[#Headers],0,1),0))</f>
        <v>OC</v>
      </c>
      <c r="Z14" s="76">
        <f>IF(VLOOKUP($A14,Table1[#All],_xlfn.XMATCH(Z$12,Table1[#Headers],0,1),0)=0,"",VLOOKUP($A14,Table1[#All],_xlfn.XMATCH(Z$12,Table1[#Headers],0,1),0))</f>
        <v>10.6</v>
      </c>
      <c r="AA14" s="76">
        <f>IF(VLOOKUP($A14,Table1[#All],_xlfn.XMATCH(AA$12,Table1[#Headers],0,1),0)=0,"",VLOOKUP($A14,Table1[#All],_xlfn.XMATCH(AA$12,Table1[#Headers],0,1),0))</f>
        <v>2.4</v>
      </c>
      <c r="AB14" s="76">
        <f>IF(VLOOKUP($A14,Table1[#All],_xlfn.XMATCH(AB$12,Table1[#Headers],0,1),0)=0,"",VLOOKUP($A14,Table1[#All],_xlfn.XMATCH(AB$12,Table1[#Headers],0,1),0))</f>
        <v>0.63</v>
      </c>
      <c r="AC14" s="76">
        <f>IF(VLOOKUP($A14,Table1[#All],_xlfn.XMATCH(AC$12,Table1[#Headers],0,1),0)=0,"",VLOOKUP($A14,Table1[#All],_xlfn.XMATCH(AC$12,Table1[#Headers],0,1),0))</f>
        <v>1.8</v>
      </c>
      <c r="AD14" s="77"/>
      <c r="AE14" s="76">
        <f>IF(VLOOKUP($A14,Table1[#All],_xlfn.XMATCH(AE$12,Table1[#Headers],0,1),0)=0,"",VLOOKUP($A14,Table1[#All],_xlfn.XMATCH(AE$12,Table1[#Headers],0,1),0))</f>
        <v>10.199999999999999</v>
      </c>
      <c r="AF14" s="76">
        <f>IF(VLOOKUP($A14,Table1[#All],_xlfn.XMATCH(AF$12,Table1[#Headers],0,1),0)=0,"",VLOOKUP($A14,Table1[#All],_xlfn.XMATCH(AF$12,Table1[#Headers],0,1),0))</f>
        <v>8.1999999999999993</v>
      </c>
      <c r="AG14" s="76">
        <f>IF(VLOOKUP($A14,Table1[#All],_xlfn.XMATCH(AG$12,Table1[#Headers],0,1),0)=0,"",VLOOKUP($A14,Table1[#All],_xlfn.XMATCH(AG$12,Table1[#Headers],0,1),0))</f>
        <v>8.4</v>
      </c>
      <c r="AH14" s="76">
        <f>IF(VLOOKUP($A14,Table1[#All],_xlfn.XMATCH(AH$12,Table1[#Headers],0,1),0)=0,"",VLOOKUP($A14,Table1[#All],_xlfn.XMATCH(AH$12,Table1[#Headers],0,1),0))</f>
        <v>8.1</v>
      </c>
      <c r="AI14" s="77"/>
      <c r="AJ14" s="78">
        <f>IF(VLOOKUP($A14,Table1[#All],_xlfn.XMATCH(AJ$12,Table1[#Headers],0,1),0)=0,"",VLOOKUP($A14,Table1[#All],_xlfn.XMATCH(AJ$12,Table1[#Headers],0,1),0))</f>
        <v>23.9</v>
      </c>
      <c r="AK14" s="78">
        <f t="shared" ref="AK14:AK29" si="0">IFERROR(AJ14-W14,"")</f>
        <v>10.999999999999998</v>
      </c>
      <c r="AL14" s="76">
        <f>IF(VLOOKUP($A14,Table1[#All],_xlfn.XMATCH(AL$12,Table1[#Headers],0,1),0)=0,"",VLOOKUP($A14,Table1[#All],_xlfn.XMATCH(AL$12,Table1[#Headers],0,1),0))</f>
        <v>1.8527131782945729</v>
      </c>
      <c r="AM14" s="77"/>
      <c r="AN14" s="76" t="str">
        <f>IF(VLOOKUP($A14,Table1[#All],_xlfn.XMATCH(AN$12,Table1[#Headers],0,1),0)=0,"",VLOOKUP($A14,Table1[#All],_xlfn.XMATCH(AN$12,Table1[#Headers],0,1),0))</f>
        <v>OED_CRS19)G250495_B01-AL01_3-162.pdf</v>
      </c>
      <c r="AO14" s="79" t="str">
        <f ca="1">HYPERLINK(Hulp!$C$5&amp;Beoordeling!AN14,MID(AN14,1,30))</f>
        <v>OED_CRS19)G250495_B01-AL01_3-1</v>
      </c>
      <c r="AP14" s="76">
        <f>IF(VLOOKUP($A14,Table1[#All],_xlfn.XMATCH(AP$12,Table1[#Headers],0,1),0)=0,"",VLOOKUP($A14,Table1[#All],_xlfn.XMATCH(AP$12,Table1[#Headers],0,1),0))</f>
        <v>23.9</v>
      </c>
      <c r="AQ14" s="80"/>
      <c r="AR14" s="81"/>
      <c r="AS14" s="80"/>
      <c r="AT14" s="77"/>
      <c r="AU14" s="76" t="str">
        <f>IF(VLOOKUP($A14,Table1[#All],_xlfn.XMATCH(AU$12,Table1[#Headers],0,1),0)=0,"",VLOOKUP($A14,Table1[#All],_xlfn.XMATCH(AU$12,Table1[#Headers],0,1),0))</f>
        <v>TX17)GA250495_B01-AL01-3-162_Greeuw_V01.pdf</v>
      </c>
      <c r="AV14" s="79" t="str">
        <f ca="1">HYPERLINK(Hulp!$C$4&amp;Beoordeling!AU14,MID(AU14,1,20))</f>
        <v>TX17)GA250495_B01-AL</v>
      </c>
      <c r="AW14" s="82"/>
      <c r="AX14" s="82" t="str">
        <f>IF(AC14&lt;$AX$5,"laag",IF(AC14&gt;$AX$7,"hoog","middel"))</f>
        <v>laag</v>
      </c>
      <c r="AY14" s="81"/>
      <c r="AZ14" s="83"/>
      <c r="BA14" s="77"/>
      <c r="BB14" s="84">
        <f t="shared" ref="BB14:BB29" si="1">IFERROR(AE14/Z14,"")</f>
        <v>0.96226415094339623</v>
      </c>
      <c r="BC14" s="84">
        <f>IFERROR(AH14/AF14,"")</f>
        <v>0.98780487804878048</v>
      </c>
      <c r="BD14" s="76" t="str">
        <f>IF(VLOOKUP($A14,Table1[#All],_xlfn.XMATCH(BD$12,Table1[#Headers],0,1),0)=0,"",VLOOKUP($A14,Table1[#All],_xlfn.XMATCH(BD$12,Table1[#Headers],0,1),0))</f>
        <v>OC</v>
      </c>
      <c r="BE14" s="76">
        <f>IF(VLOOKUP($A14,Table1[#All],_xlfn.XMATCH(AL$12,Table1[#Headers],0,1),0)=0,"",VLOOKUP($A14,Table1[#All],_xlfn.XMATCH(AL$12,Table1[#Headers],0,1),0))</f>
        <v>1.8527131782945729</v>
      </c>
      <c r="BF14" s="76" t="str">
        <f>IF(BB14&lt;$BB$4,"NC",IF(BB14&gt;$BB$7,"OC sterk",IF(BB14&gt;$BB$6,"OC matig","NC/OC")))</f>
        <v>NC/OC</v>
      </c>
      <c r="BG14" s="76">
        <f>IF(VLOOKUP($A14,Table1[#All],_xlfn.XMATCH(BG$12,Table1[#Headers],0,1),0)=0,"",VLOOKUP($A14,Table1[#All],_xlfn.XMATCH(BG$12,Table1[#Headers],0,1),0))</f>
        <v>11</v>
      </c>
      <c r="BH14" s="76">
        <f>AH14/X14</f>
        <v>0.62307692307692308</v>
      </c>
      <c r="BI14" s="85"/>
      <c r="BJ14" s="82"/>
      <c r="BK14" s="86" t="str">
        <f>IF(BC14&gt;$BK$2,"oplopend",IF(BC14&lt;$BK$5,"sterk aflopend",IF(BC14&lt;$BK$4,"aflopend","constant")))</f>
        <v>oplopend</v>
      </c>
      <c r="BL14" s="82"/>
      <c r="BM14" s="82"/>
      <c r="BN14" s="82"/>
      <c r="BO14" s="77"/>
      <c r="BP14" s="81"/>
      <c r="BQ14" s="81"/>
      <c r="BR14" s="81"/>
      <c r="BS14" s="77"/>
      <c r="BT14" s="76" t="str">
        <f>IF(VLOOKUP($A14,Table1[#All],_xlfn.XMATCH(BT$12,Table1[#Headers],0,1),0)=0,"",VLOOKUP($A14,Table1[#All],_xlfn.XMATCH(BT$12,Table1[#Headers],0,1),0))</f>
        <v/>
      </c>
      <c r="BU14" s="79" t="str">
        <f ca="1">HYPERLINK(Hulp!$C$3&amp;Beoordeling!BT14,BT14)</f>
        <v/>
      </c>
      <c r="BV14" s="77"/>
      <c r="BW14" s="81"/>
      <c r="BX14" s="81"/>
      <c r="BY14" s="81"/>
    </row>
    <row r="15" spans="1:77" x14ac:dyDescent="0.3">
      <c r="A15" s="75" t="s">
        <v>1385</v>
      </c>
      <c r="B15" s="76" t="str">
        <f>IF(VLOOKUP($A15,Table1[#All],_xlfn.XMATCH(B$12,Table1[#Headers],0,1),0)=0,"",VLOOKUP($A15,Table1[#All],_xlfn.XMATCH(B$12,Table1[#Headers],0,1),0))</f>
        <v>TXT_voorbeeld</v>
      </c>
      <c r="C15" s="76" t="str">
        <f>IF(VLOOKUP($A15,Table1[#All],_xlfn.XMATCH(C$12,Table1[#Headers],0,1),0)=0,"",VLOOKUP($A15,Table1[#All],_xlfn.XMATCH(C$12,Table1[#Headers],0,1),0))</f>
        <v/>
      </c>
      <c r="D15" s="77"/>
      <c r="E15" s="76" t="str">
        <f>IF(VLOOKUP($A15,Table1[#All],_xlfn.XMATCH(E$12,Table1[#Headers],0,1),0)=0,"",VLOOKUP($A15,Table1[#All],_xlfn.XMATCH(E$12,Table1[#Headers],0,1),0))</f>
        <v>Polderdijk</v>
      </c>
      <c r="F15" s="76" t="str">
        <f>IF(VLOOKUP($A15,Table1[#All],_xlfn.XMATCH(F$12,Table1[#Headers],0,1),0)=0,"",VLOOKUP($A15,Table1[#All],_xlfn.XMATCH(F$12,Table1[#Headers],0,1),0))</f>
        <v>Regionaal</v>
      </c>
      <c r="G15" s="76" t="str">
        <f>IF(VLOOKUP($A15,Table1[#All],_xlfn.XMATCH(G$12,Table1[#Headers],0,1),0)=0,"",VLOOKUP($A15,Table1[#All],_xlfn.XMATCH(G$12,Table1[#Headers],0,1),0))</f>
        <v>B01-AL01</v>
      </c>
      <c r="H15" s="76" t="str">
        <f>IF(VLOOKUP($A15,Table1[#All],_xlfn.XMATCH(H$12,Table1[#Headers],0,1),0)=0,"",VLOOKUP($A15,Table1[#All],_xlfn.XMATCH(H$12,Table1[#Headers],0,1),0))</f>
        <v>AL</v>
      </c>
      <c r="I15" s="76">
        <f>IF(VLOOKUP($A15,Table1[#All],_xlfn.XMATCH(I$12,Table1[#Headers],0,1),0)=0,"",VLOOKUP($A15,Table1[#All],_xlfn.XMATCH(I$12,Table1[#Headers],0,1),0))</f>
        <v>-6.83</v>
      </c>
      <c r="J15" s="76">
        <f>IF(VLOOKUP($A15,Table1[#All],_xlfn.XMATCH(J$12,Table1[#Headers],0,1),0)=0,"",VLOOKUP($A15,Table1[#All],_xlfn.XMATCH(J$12,Table1[#Headers],0,1),0))</f>
        <v>4</v>
      </c>
      <c r="K15" s="77"/>
      <c r="L15" s="76" t="str">
        <f>IF(VLOOKUP($A15,Table1[#All],_xlfn.XMATCH(L$12,Table1[#Headers],0,1),0)=0,"",VLOOKUP($A15,Table1[#All],_xlfn.XMATCH(L$12,Table1[#Headers],0,1),0))</f>
        <v>Klei, zandig, zwak, organisch, zwak, plantenresten, weinig, grijs, neutraal, Pulsinstallatie machinaal</v>
      </c>
      <c r="M15" s="76">
        <f>IF(VLOOKUP($A15,Table1[#All],_xlfn.XMATCH(M$12,Table1[#Headers],0,1),0)=0,"",VLOOKUP($A15,Table1[#All],_xlfn.XMATCH(M$12,Table1[#Headers],0,1),0))</f>
        <v>14.8</v>
      </c>
      <c r="N15" s="76">
        <f>IF(VLOOKUP($A15,Table1[#All],_xlfn.XMATCH(N$12,Table1[#Headers],0,1),0)=0,"",VLOOKUP($A15,Table1[#All],_xlfn.XMATCH(N$12,Table1[#Headers],0,1),0))</f>
        <v>7.3</v>
      </c>
      <c r="O15" s="76">
        <f>IF(VLOOKUP($A15,Table1[#All],_xlfn.XMATCH(O$12,Table1[#Headers],0,1),0)=0,"",VLOOKUP($A15,Table1[#All],_xlfn.XMATCH(O$12,Table1[#Headers],0,1),0))</f>
        <v>102</v>
      </c>
      <c r="P15" s="76" t="str">
        <f>IF(VLOOKUP($A15,Table1[#All],_xlfn.XMATCH(P$12,Table1[#Headers],0,1),0)=0,"",VLOOKUP($A15,Table1[#All],_xlfn.XMATCH(P$12,Table1[#Headers],0,1),0))</f>
        <v/>
      </c>
      <c r="Q15" s="76" t="str">
        <f>IF(VLOOKUP($A15,Table1[#All],_xlfn.XMATCH(Q$12,Table1[#Headers],0,1),0)=0,"",VLOOKUP($A15,Table1[#All],_xlfn.XMATCH(Q$12,Table1[#Headers],0,1),0))</f>
        <v/>
      </c>
      <c r="R15" s="76" t="str">
        <f>IF(VLOOKUP($A15,Table1[#All],_xlfn.XMATCH(R$12,Table1[#Headers],0,1),0)=0,"",VLOOKUP($A15,Table1[#All],_xlfn.XMATCH(R$12,Table1[#Headers],0,1),0))</f>
        <v/>
      </c>
      <c r="S15" s="76">
        <f>IF(VLOOKUP($A15,Table1[#All],_xlfn.XMATCH(S$12,Table1[#Headers],0,1),0)=0,"",VLOOKUP($A15,Table1[#All],_xlfn.XMATCH(S$12,Table1[#Headers],0,1),0))</f>
        <v>14.1</v>
      </c>
      <c r="T15" s="76">
        <f>IF(VLOOKUP($A15,Table1[#All],_xlfn.XMATCH(T$12,Table1[#Headers],0,1),0)=0,"",VLOOKUP($A15,Table1[#All],_xlfn.XMATCH(T$12,Table1[#Headers],0,1),0))</f>
        <v>7.5</v>
      </c>
      <c r="U15" s="76">
        <f>IF(VLOOKUP($A15,Table1[#All],_xlfn.XMATCH(U$12,Table1[#Headers],0,1),0)=0,"",VLOOKUP($A15,Table1[#All],_xlfn.XMATCH(U$12,Table1[#Headers],0,1),0))</f>
        <v>88.8</v>
      </c>
      <c r="V15" s="77"/>
      <c r="W15" s="76">
        <f>IF(VLOOKUP($A15,Table1[#All],_xlfn.XMATCH(W$12,Table1[#Headers],0,1),0)=0,"",VLOOKUP($A15,Table1[#All],_xlfn.XMATCH(W$12,Table1[#Headers],0,1),0))</f>
        <v>30.7</v>
      </c>
      <c r="X15" s="76">
        <f>IF(VLOOKUP($A15,Table1[#All],_xlfn.XMATCH(X$12,Table1[#Headers],0,1),0)=0,"",VLOOKUP($A15,Table1[#All],_xlfn.XMATCH(X$12,Table1[#Headers],0,1),0))</f>
        <v>31</v>
      </c>
      <c r="Y15" s="76" t="str">
        <f>IF(VLOOKUP($A15,Table1[#All],_xlfn.XMATCH(Y$12,Table1[#Headers],0,1),0)=0,"",VLOOKUP($A15,Table1[#All],_xlfn.XMATCH(Y$12,Table1[#Headers],0,1),0))</f>
        <v>OC</v>
      </c>
      <c r="Z15" s="76">
        <f>IF(VLOOKUP($A15,Table1[#All],_xlfn.XMATCH(Z$12,Table1[#Headers],0,1),0)=0,"",VLOOKUP($A15,Table1[#All],_xlfn.XMATCH(Z$12,Table1[#Headers],0,1),0))</f>
        <v>23.9</v>
      </c>
      <c r="AA15" s="76">
        <f>IF(VLOOKUP($A15,Table1[#All],_xlfn.XMATCH(AA$12,Table1[#Headers],0,1),0)=0,"",VLOOKUP($A15,Table1[#All],_xlfn.XMATCH(AA$12,Table1[#Headers],0,1),0))</f>
        <v>7.1</v>
      </c>
      <c r="AB15" s="76">
        <f>IF(VLOOKUP($A15,Table1[#All],_xlfn.XMATCH(AB$12,Table1[#Headers],0,1),0)=0,"",VLOOKUP($A15,Table1[#All],_xlfn.XMATCH(AB$12,Table1[#Headers],0,1),0))</f>
        <v>0.54</v>
      </c>
      <c r="AC15" s="76">
        <f>IF(VLOOKUP($A15,Table1[#All],_xlfn.XMATCH(AC$12,Table1[#Headers],0,1),0)=0,"",VLOOKUP($A15,Table1[#All],_xlfn.XMATCH(AC$12,Table1[#Headers],0,1),0))</f>
        <v>3</v>
      </c>
      <c r="AD15" s="77"/>
      <c r="AE15" s="76">
        <f>IF(VLOOKUP($A15,Table1[#All],_xlfn.XMATCH(AE$12,Table1[#Headers],0,1),0)=0,"",VLOOKUP($A15,Table1[#All],_xlfn.XMATCH(AE$12,Table1[#Headers],0,1),0))</f>
        <v>15.3</v>
      </c>
      <c r="AF15" s="76">
        <f>IF(VLOOKUP($A15,Table1[#All],_xlfn.XMATCH(AF$12,Table1[#Headers],0,1),0)=0,"",VLOOKUP($A15,Table1[#All],_xlfn.XMATCH(AF$12,Table1[#Headers],0,1),0))</f>
        <v>15.8</v>
      </c>
      <c r="AG15" s="76">
        <f>IF(VLOOKUP($A15,Table1[#All],_xlfn.XMATCH(AG$12,Table1[#Headers],0,1),0)=0,"",VLOOKUP($A15,Table1[#All],_xlfn.XMATCH(AG$12,Table1[#Headers],0,1),0))</f>
        <v>16.399999999999999</v>
      </c>
      <c r="AH15" s="76">
        <f>IF(VLOOKUP($A15,Table1[#All],_xlfn.XMATCH(AH$12,Table1[#Headers],0,1),0)=0,"",VLOOKUP($A15,Table1[#All],_xlfn.XMATCH(AH$12,Table1[#Headers],0,1),0))</f>
        <v>10.5</v>
      </c>
      <c r="AI15" s="77"/>
      <c r="AJ15" s="78">
        <f>IF(VLOOKUP($A15,Table1[#All],_xlfn.XMATCH(AJ$12,Table1[#Headers],0,1),0)=0,"",VLOOKUP($A15,Table1[#All],_xlfn.XMATCH(AJ$12,Table1[#Headers],0,1),0))</f>
        <v>42.8</v>
      </c>
      <c r="AK15" s="78">
        <f t="shared" si="0"/>
        <v>12.099999999999998</v>
      </c>
      <c r="AL15" s="76">
        <f>IF(VLOOKUP($A15,Table1[#All],_xlfn.XMATCH(AL$12,Table1[#Headers],0,1),0)=0,"",VLOOKUP($A15,Table1[#All],_xlfn.XMATCH(AL$12,Table1[#Headers],0,1),0))</f>
        <v>1.39413680781759</v>
      </c>
      <c r="AM15" s="77"/>
      <c r="AN15" s="76" t="str">
        <f>IF(VLOOKUP($A15,Table1[#All],_xlfn.XMATCH(AN$12,Table1[#Headers],0,1),0)=0,"",VLOOKUP($A15,Table1[#All],_xlfn.XMATCH(AN$12,Table1[#Headers],0,1),0))</f>
        <v>OED_CRS20)GA250495_B01-AL01_9-525.pdf</v>
      </c>
      <c r="AO15" s="79" t="str">
        <f ca="1">HYPERLINK(Hulp!$C$5&amp;Beoordeling!AN15,MID(AN15,1,30))</f>
        <v>OED_CRS20)GA250495_B01-AL01_9-</v>
      </c>
      <c r="AP15" s="76">
        <f>IF(VLOOKUP($A15,Table1[#All],_xlfn.XMATCH(AP$12,Table1[#Headers],0,1),0)=0,"",VLOOKUP($A15,Table1[#All],_xlfn.XMATCH(AP$12,Table1[#Headers],0,1),0))</f>
        <v>42.8</v>
      </c>
      <c r="AQ15" s="80"/>
      <c r="AR15" s="81"/>
      <c r="AS15" s="80"/>
      <c r="AT15" s="77"/>
      <c r="AU15" s="76" t="str">
        <f>IF(VLOOKUP($A15,Table1[#All],_xlfn.XMATCH(AU$12,Table1[#Headers],0,1),0)=0,"",VLOOKUP($A15,Table1[#All],_xlfn.XMATCH(AU$12,Table1[#Headers],0,1),0))</f>
        <v>TX18)GA250495_B01-AL01-9-525_Greeuw_V01.pdf</v>
      </c>
      <c r="AV15" s="79" t="str">
        <f ca="1">HYPERLINK(Hulp!$C$4&amp;Beoordeling!AU15,MID(AU15,1,20))</f>
        <v>TX18)GA250495_B01-AL</v>
      </c>
      <c r="AW15" s="82"/>
      <c r="AX15" s="82" t="str">
        <f>IF(AC15&lt;$AX$5,"laag",IF(AC15&gt;$AX$7,"hoog","middel"))</f>
        <v>laag</v>
      </c>
      <c r="AY15" s="81"/>
      <c r="AZ15" s="83"/>
      <c r="BA15" s="77"/>
      <c r="BB15" s="84">
        <f t="shared" si="1"/>
        <v>0.64016736401673646</v>
      </c>
      <c r="BC15" s="84">
        <f t="shared" ref="BC15:BC29" si="2">IFERROR(AH15/AF15,"")</f>
        <v>0.66455696202531644</v>
      </c>
      <c r="BD15" s="76" t="str">
        <f>IF(VLOOKUP($A15,Table1[#All],_xlfn.XMATCH(BD$12,Table1[#Headers],0,1),0)=0,"",VLOOKUP($A15,Table1[#All],_xlfn.XMATCH(BD$12,Table1[#Headers],0,1),0))</f>
        <v>OC</v>
      </c>
      <c r="BE15" s="76">
        <f>IF(VLOOKUP($A15,Table1[#All],_xlfn.XMATCH(AL$12,Table1[#Headers],0,1),0)=0,"",VLOOKUP($A15,Table1[#All],_xlfn.XMATCH(AL$12,Table1[#Headers],0,1),0))</f>
        <v>1.39413680781759</v>
      </c>
      <c r="BF15" s="76" t="str">
        <f>IF(BB15&lt;$BB$4,"NC",IF(BB15&gt;$BB$7,"OC sterk",IF(BB15&gt;$BB$6,"OC matig","NC/OC")))</f>
        <v>NC</v>
      </c>
      <c r="BG15" s="76">
        <f>IF(VLOOKUP($A15,Table1[#All],_xlfn.XMATCH(BG$12,Table1[#Headers],0,1),0)=0,"",VLOOKUP($A15,Table1[#All],_xlfn.XMATCH(BG$12,Table1[#Headers],0,1),0))</f>
        <v>2.8</v>
      </c>
      <c r="BH15" s="76">
        <f>AH15/X15</f>
        <v>0.33870967741935482</v>
      </c>
      <c r="BI15" s="85"/>
      <c r="BJ15" s="82"/>
      <c r="BK15" s="86" t="str">
        <f>IF(BC15&gt;$BK$4,"oplopend",IF(BC15&lt;$BK$7,"sterk aflopend",IF(BC15&lt;$BK$6,"aflopend","constant")))</f>
        <v>sterk aflopend</v>
      </c>
      <c r="BL15" s="82"/>
      <c r="BM15" s="82"/>
      <c r="BN15" s="82"/>
      <c r="BO15" s="77"/>
      <c r="BP15" s="81"/>
      <c r="BQ15" s="81"/>
      <c r="BR15" s="81"/>
      <c r="BS15" s="77"/>
      <c r="BT15" s="76" t="str">
        <f>IF(VLOOKUP($A15,Table1[#All],_xlfn.XMATCH(BT$12,Table1[#Headers],0,1),0)=0,"",VLOOKUP($A15,Table1[#All],_xlfn.XMATCH(BT$12,Table1[#Headers],0,1),0))</f>
        <v/>
      </c>
      <c r="BU15" s="79" t="str">
        <f ca="1">HYPERLINK(Hulp!$C$3&amp;Beoordeling!BT15,BT15)</f>
        <v/>
      </c>
      <c r="BV15" s="77"/>
      <c r="BW15" s="81"/>
      <c r="BX15" s="81"/>
      <c r="BY15" s="81"/>
    </row>
    <row r="16" spans="1:77" x14ac:dyDescent="0.3">
      <c r="A16" s="75" t="s">
        <v>1386</v>
      </c>
      <c r="B16" s="76" t="str">
        <f>IF(VLOOKUP($A16,Table1[#All],_xlfn.XMATCH(B$12,Table1[#Headers],0,1),0)=0,"",VLOOKUP($A16,Table1[#All],_xlfn.XMATCH(B$12,Table1[#Headers],0,1),0))</f>
        <v>TXT_voorbeeld</v>
      </c>
      <c r="C16" s="76" t="str">
        <f>IF(VLOOKUP($A16,Table1[#All],_xlfn.XMATCH(C$12,Table1[#Headers],0,1),0)=0,"",VLOOKUP($A16,Table1[#All],_xlfn.XMATCH(C$12,Table1[#Headers],0,1),0))</f>
        <v/>
      </c>
      <c r="D16" s="77"/>
      <c r="E16" s="76" t="str">
        <f>IF(VLOOKUP($A16,Table1[#All],_xlfn.XMATCH(E$12,Table1[#Headers],0,1),0)=0,"",VLOOKUP($A16,Table1[#All],_xlfn.XMATCH(E$12,Table1[#Headers],0,1),0))</f>
        <v>Polderdijk</v>
      </c>
      <c r="F16" s="76" t="str">
        <f>IF(VLOOKUP($A16,Table1[#All],_xlfn.XMATCH(F$12,Table1[#Headers],0,1),0)=0,"",VLOOKUP($A16,Table1[#All],_xlfn.XMATCH(F$12,Table1[#Headers],0,1),0))</f>
        <v>Regionaal</v>
      </c>
      <c r="G16" s="76" t="str">
        <f>IF(VLOOKUP($A16,Table1[#All],_xlfn.XMATCH(G$12,Table1[#Headers],0,1),0)=0,"",VLOOKUP($A16,Table1[#All],_xlfn.XMATCH(G$12,Table1[#Headers],0,1),0))</f>
        <v>B01-K01</v>
      </c>
      <c r="H16" s="76" t="str">
        <f>IF(VLOOKUP($A16,Table1[#All],_xlfn.XMATCH(H$12,Table1[#Headers],0,1),0)=0,"",VLOOKUP($A16,Table1[#All],_xlfn.XMATCH(H$12,Table1[#Headers],0,1),0))</f>
        <v>KR</v>
      </c>
      <c r="I16" s="76">
        <f>IF(VLOOKUP($A16,Table1[#All],_xlfn.XMATCH(I$12,Table1[#Headers],0,1),0)=0,"",VLOOKUP($A16,Table1[#All],_xlfn.XMATCH(I$12,Table1[#Headers],0,1),0))</f>
        <v>-6.7450000000000001</v>
      </c>
      <c r="J16" s="76">
        <f>IF(VLOOKUP($A16,Table1[#All],_xlfn.XMATCH(J$12,Table1[#Headers],0,1),0)=0,"",VLOOKUP($A16,Table1[#All],_xlfn.XMATCH(J$12,Table1[#Headers],0,1),0))</f>
        <v>6.8</v>
      </c>
      <c r="K16" s="77"/>
      <c r="L16" s="76" t="str">
        <f>IF(VLOOKUP($A16,Table1[#All],_xlfn.XMATCH(L$12,Table1[#Headers],0,1),0)=0,"",VLOOKUP($A16,Table1[#All],_xlfn.XMATCH(L$12,Table1[#Headers],0,1),0))</f>
        <v>Klei, zandig, zwak, organisch, zwak, grijs, neutraal, Pulsinstallatie machinaal</v>
      </c>
      <c r="M16" s="76">
        <f>IF(VLOOKUP($A16,Table1[#All],_xlfn.XMATCH(M$12,Table1[#Headers],0,1),0)=0,"",VLOOKUP($A16,Table1[#All],_xlfn.XMATCH(M$12,Table1[#Headers],0,1),0))</f>
        <v>15.3</v>
      </c>
      <c r="N16" s="76">
        <f>IF(VLOOKUP($A16,Table1[#All],_xlfn.XMATCH(N$12,Table1[#Headers],0,1),0)=0,"",VLOOKUP($A16,Table1[#All],_xlfn.XMATCH(N$12,Table1[#Headers],0,1),0))</f>
        <v>8.1</v>
      </c>
      <c r="O16" s="76">
        <f>IF(VLOOKUP($A16,Table1[#All],_xlfn.XMATCH(O$12,Table1[#Headers],0,1),0)=0,"",VLOOKUP($A16,Table1[#All],_xlfn.XMATCH(O$12,Table1[#Headers],0,1),0))</f>
        <v>88.5</v>
      </c>
      <c r="P16" s="76" t="str">
        <f>IF(VLOOKUP($A16,Table1[#All],_xlfn.XMATCH(P$12,Table1[#Headers],0,1),0)=0,"",VLOOKUP($A16,Table1[#All],_xlfn.XMATCH(P$12,Table1[#Headers],0,1),0))</f>
        <v/>
      </c>
      <c r="Q16" s="76" t="str">
        <f>IF(VLOOKUP($A16,Table1[#All],_xlfn.XMATCH(Q$12,Table1[#Headers],0,1),0)=0,"",VLOOKUP($A16,Table1[#All],_xlfn.XMATCH(Q$12,Table1[#Headers],0,1),0))</f>
        <v/>
      </c>
      <c r="R16" s="76" t="str">
        <f>IF(VLOOKUP($A16,Table1[#All],_xlfn.XMATCH(R$12,Table1[#Headers],0,1),0)=0,"",VLOOKUP($A16,Table1[#All],_xlfn.XMATCH(R$12,Table1[#Headers],0,1),0))</f>
        <v/>
      </c>
      <c r="S16" s="76">
        <f>IF(VLOOKUP($A16,Table1[#All],_xlfn.XMATCH(S$12,Table1[#Headers],0,1),0)=0,"",VLOOKUP($A16,Table1[#All],_xlfn.XMATCH(S$12,Table1[#Headers],0,1),0))</f>
        <v>14.2</v>
      </c>
      <c r="T16" s="76">
        <f>IF(VLOOKUP($A16,Table1[#All],_xlfn.XMATCH(T$12,Table1[#Headers],0,1),0)=0,"",VLOOKUP($A16,Table1[#All],_xlfn.XMATCH(T$12,Table1[#Headers],0,1),0))</f>
        <v>7.3</v>
      </c>
      <c r="U16" s="76">
        <f>IF(VLOOKUP($A16,Table1[#All],_xlfn.XMATCH(U$12,Table1[#Headers],0,1),0)=0,"",VLOOKUP($A16,Table1[#All],_xlfn.XMATCH(U$12,Table1[#Headers],0,1),0))</f>
        <v>94.2</v>
      </c>
      <c r="V16" s="77"/>
      <c r="W16" s="76">
        <f>IF(VLOOKUP($A16,Table1[#All],_xlfn.XMATCH(W$12,Table1[#Headers],0,1),0)=0,"",VLOOKUP($A16,Table1[#All],_xlfn.XMATCH(W$12,Table1[#Headers],0,1),0))</f>
        <v>67.900000000000006</v>
      </c>
      <c r="X16" s="76">
        <f>IF(VLOOKUP($A16,Table1[#All],_xlfn.XMATCH(X$12,Table1[#Headers],0,1),0)=0,"",VLOOKUP($A16,Table1[#All],_xlfn.XMATCH(X$12,Table1[#Headers],0,1),0))</f>
        <v>68</v>
      </c>
      <c r="Y16" s="76" t="str">
        <f>IF(VLOOKUP($A16,Table1[#All],_xlfn.XMATCH(Y$12,Table1[#Headers],0,1),0)=0,"",VLOOKUP($A16,Table1[#All],_xlfn.XMATCH(Y$12,Table1[#Headers],0,1),0))</f>
        <v>OC</v>
      </c>
      <c r="Z16" s="76">
        <f>IF(VLOOKUP($A16,Table1[#All],_xlfn.XMATCH(Z$12,Table1[#Headers],0,1),0)=0,"",VLOOKUP($A16,Table1[#All],_xlfn.XMATCH(Z$12,Table1[#Headers],0,1),0))</f>
        <v>50.7</v>
      </c>
      <c r="AA16" s="76">
        <f>IF(VLOOKUP($A16,Table1[#All],_xlfn.XMATCH(AA$12,Table1[#Headers],0,1),0)=0,"",VLOOKUP($A16,Table1[#All],_xlfn.XMATCH(AA$12,Table1[#Headers],0,1),0))</f>
        <v>17.3</v>
      </c>
      <c r="AB16" s="76">
        <f>IF(VLOOKUP($A16,Table1[#All],_xlfn.XMATCH(AB$12,Table1[#Headers],0,1),0)=0,"",VLOOKUP($A16,Table1[#All],_xlfn.XMATCH(AB$12,Table1[#Headers],0,1),0))</f>
        <v>0.49</v>
      </c>
      <c r="AC16" s="76">
        <f>IF(VLOOKUP($A16,Table1[#All],_xlfn.XMATCH(AC$12,Table1[#Headers],0,1),0)=0,"",VLOOKUP($A16,Table1[#All],_xlfn.XMATCH(AC$12,Table1[#Headers],0,1),0))</f>
        <v>7.3</v>
      </c>
      <c r="AD16" s="77"/>
      <c r="AE16" s="76">
        <f>IF(VLOOKUP($A16,Table1[#All],_xlfn.XMATCH(AE$12,Table1[#Headers],0,1),0)=0,"",VLOOKUP($A16,Table1[#All],_xlfn.XMATCH(AE$12,Table1[#Headers],0,1),0))</f>
        <v>37.200000000000003</v>
      </c>
      <c r="AF16" s="76">
        <f>IF(VLOOKUP($A16,Table1[#All],_xlfn.XMATCH(AF$12,Table1[#Headers],0,1),0)=0,"",VLOOKUP($A16,Table1[#All],_xlfn.XMATCH(AF$12,Table1[#Headers],0,1),0))</f>
        <v>31</v>
      </c>
      <c r="AG16" s="76">
        <f>IF(VLOOKUP($A16,Table1[#All],_xlfn.XMATCH(AG$12,Table1[#Headers],0,1),0)=0,"",VLOOKUP($A16,Table1[#All],_xlfn.XMATCH(AG$12,Table1[#Headers],0,1),0))</f>
        <v>31.1</v>
      </c>
      <c r="AH16" s="76">
        <f>IF(VLOOKUP($A16,Table1[#All],_xlfn.XMATCH(AH$12,Table1[#Headers],0,1),0)=0,"",VLOOKUP($A16,Table1[#All],_xlfn.XMATCH(AH$12,Table1[#Headers],0,1),0))</f>
        <v>22.7</v>
      </c>
      <c r="AI16" s="77"/>
      <c r="AJ16" s="78">
        <f>IF(VLOOKUP($A16,Table1[#All],_xlfn.XMATCH(AJ$12,Table1[#Headers],0,1),0)=0,"",VLOOKUP($A16,Table1[#All],_xlfn.XMATCH(AJ$12,Table1[#Headers],0,1),0))</f>
        <v>80.2</v>
      </c>
      <c r="AK16" s="78">
        <f t="shared" si="0"/>
        <v>12.299999999999997</v>
      </c>
      <c r="AL16" s="76">
        <f>IF(VLOOKUP($A16,Table1[#All],_xlfn.XMATCH(AL$12,Table1[#Headers],0,1),0)=0,"",VLOOKUP($A16,Table1[#All],_xlfn.XMATCH(AL$12,Table1[#Headers],0,1),0))</f>
        <v>1.181148748159057</v>
      </c>
      <c r="AM16" s="77"/>
      <c r="AN16" s="76" t="str">
        <f>IF(VLOOKUP($A16,Table1[#All],_xlfn.XMATCH(AN$12,Table1[#Headers],0,1),0)=0,"",VLOOKUP($A16,Table1[#All],_xlfn.XMATCH(AN$12,Table1[#Headers],0,1),0))</f>
        <v>OED_CRS22)GA250495_B01-K01_16-4452.pdf</v>
      </c>
      <c r="AO16" s="79" t="str">
        <f ca="1">HYPERLINK(Hulp!$C$5&amp;Beoordeling!AN16,MID(AN16,1,30))</f>
        <v>OED_CRS22)GA250495_B01-K01_16-</v>
      </c>
      <c r="AP16" s="76">
        <f>IF(VLOOKUP($A16,Table1[#All],_xlfn.XMATCH(AP$12,Table1[#Headers],0,1),0)=0,"",VLOOKUP($A16,Table1[#All],_xlfn.XMATCH(AP$12,Table1[#Headers],0,1),0))</f>
        <v>80.2</v>
      </c>
      <c r="AQ16" s="80"/>
      <c r="AR16" s="81"/>
      <c r="AS16" s="80"/>
      <c r="AT16" s="77"/>
      <c r="AU16" s="76" t="str">
        <f>IF(VLOOKUP($A16,Table1[#All],_xlfn.XMATCH(AU$12,Table1[#Headers],0,1),0)=0,"",VLOOKUP($A16,Table1[#All],_xlfn.XMATCH(AU$12,Table1[#Headers],0,1),0))</f>
        <v>TX23)GA250495_B01-K01-16-4452_Greeuw_V01.pdf</v>
      </c>
      <c r="AV16" s="79" t="str">
        <f ca="1">HYPERLINK(Hulp!$C$4&amp;Beoordeling!AU16,MID(AU16,1,20))</f>
        <v>TX23)GA250495_B01-K0</v>
      </c>
      <c r="AW16" s="82"/>
      <c r="AX16" s="82" t="str">
        <f>IF(AC16&lt;$AX$5,"laag",IF(AC16&gt;$AX$7,"hoog","middel"))</f>
        <v>middel</v>
      </c>
      <c r="AY16" s="81"/>
      <c r="AZ16" s="83"/>
      <c r="BA16" s="77"/>
      <c r="BB16" s="84">
        <f t="shared" si="1"/>
        <v>0.73372781065088755</v>
      </c>
      <c r="BC16" s="84">
        <f t="shared" si="2"/>
        <v>0.73225806451612896</v>
      </c>
      <c r="BD16" s="76" t="str">
        <f>IF(VLOOKUP($A16,Table1[#All],_xlfn.XMATCH(BD$12,Table1[#Headers],0,1),0)=0,"",VLOOKUP($A16,Table1[#All],_xlfn.XMATCH(BD$12,Table1[#Headers],0,1),0))</f>
        <v>OC</v>
      </c>
      <c r="BE16" s="76">
        <f>IF(VLOOKUP($A16,Table1[#All],_xlfn.XMATCH(AL$12,Table1[#Headers],0,1),0)=0,"",VLOOKUP($A16,Table1[#All],_xlfn.XMATCH(AL$12,Table1[#Headers],0,1),0))</f>
        <v>1.181148748159057</v>
      </c>
      <c r="BF16" s="76" t="str">
        <f>IF(BB16&lt;$BB$4,"NC",IF(BB16&gt;$BB$7,"OC sterk",IF(BB16&gt;$BB$6,"OC matig","NC/OC")))</f>
        <v>NC</v>
      </c>
      <c r="BG16" s="76">
        <f>IF(VLOOKUP($A16,Table1[#All],_xlfn.XMATCH(BG$12,Table1[#Headers],0,1),0)=0,"",VLOOKUP($A16,Table1[#All],_xlfn.XMATCH(BG$12,Table1[#Headers],0,1),0))</f>
        <v>6</v>
      </c>
      <c r="BH16" s="76">
        <f>AH16/X16</f>
        <v>0.33382352941176469</v>
      </c>
      <c r="BI16" s="85"/>
      <c r="BJ16" s="82"/>
      <c r="BK16" s="86" t="str">
        <f t="shared" ref="BK16:BK29" si="3">IF(BC16&gt;$BK$4,"oplopend",IF(BC16&lt;$BK$7,"sterk aflopend",IF(BC16&lt;$BK$6,"aflopend","constant")))</f>
        <v>sterk aflopend</v>
      </c>
      <c r="BL16" s="82"/>
      <c r="BM16" s="82"/>
      <c r="BN16" s="82"/>
      <c r="BO16" s="77"/>
      <c r="BP16" s="81"/>
      <c r="BQ16" s="81"/>
      <c r="BR16" s="81"/>
      <c r="BS16" s="77"/>
      <c r="BT16" s="76" t="str">
        <f>IF(VLOOKUP($A16,Table1[#All],_xlfn.XMATCH(BT$12,Table1[#Headers],0,1),0)=0,"",VLOOKUP($A16,Table1[#All],_xlfn.XMATCH(BT$12,Table1[#Headers],0,1),0))</f>
        <v/>
      </c>
      <c r="BU16" s="79" t="str">
        <f ca="1">HYPERLINK(Hulp!$C$3&amp;Beoordeling!BT16,BT16)</f>
        <v/>
      </c>
      <c r="BV16" s="77"/>
      <c r="BW16" s="81"/>
      <c r="BX16" s="81"/>
      <c r="BY16" s="81"/>
    </row>
    <row r="17" spans="1:77" x14ac:dyDescent="0.3">
      <c r="A17" s="75" t="s">
        <v>1387</v>
      </c>
      <c r="B17" s="76" t="str">
        <f>IF(VLOOKUP($A17,Table1[#All],_xlfn.XMATCH(B$12,Table1[#Headers],0,1),0)=0,"",VLOOKUP($A17,Table1[#All],_xlfn.XMATCH(B$12,Table1[#Headers],0,1),0))</f>
        <v>TXT_voorbeeld</v>
      </c>
      <c r="C17" s="76" t="str">
        <f>IF(VLOOKUP($A17,Table1[#All],_xlfn.XMATCH(C$12,Table1[#Headers],0,1),0)=0,"",VLOOKUP($A17,Table1[#All],_xlfn.XMATCH(C$12,Table1[#Headers],0,1),0))</f>
        <v/>
      </c>
      <c r="D17" s="77"/>
      <c r="E17" s="76" t="str">
        <f>IF(VLOOKUP($A17,Table1[#All],_xlfn.XMATCH(E$12,Table1[#Headers],0,1),0)=0,"",VLOOKUP($A17,Table1[#All],_xlfn.XMATCH(E$12,Table1[#Headers],0,1),0))</f>
        <v>Polderdijk</v>
      </c>
      <c r="F17" s="76" t="str">
        <f>IF(VLOOKUP($A17,Table1[#All],_xlfn.XMATCH(F$12,Table1[#Headers],0,1),0)=0,"",VLOOKUP($A17,Table1[#All],_xlfn.XMATCH(F$12,Table1[#Headers],0,1),0))</f>
        <v>Regionaal</v>
      </c>
      <c r="G17" s="76" t="str">
        <f>IF(VLOOKUP($A17,Table1[#All],_xlfn.XMATCH(G$12,Table1[#Headers],0,1),0)=0,"",VLOOKUP($A17,Table1[#All],_xlfn.XMATCH(G$12,Table1[#Headers],0,1),0))</f>
        <v>B02-AL01</v>
      </c>
      <c r="H17" s="76" t="str">
        <f>IF(VLOOKUP($A17,Table1[#All],_xlfn.XMATCH(H$12,Table1[#Headers],0,1),0)=0,"",VLOOKUP($A17,Table1[#All],_xlfn.XMATCH(H$12,Table1[#Headers],0,1),0))</f>
        <v>AL</v>
      </c>
      <c r="I17" s="76">
        <f>IF(VLOOKUP($A17,Table1[#All],_xlfn.XMATCH(I$12,Table1[#Headers],0,1),0)=0,"",VLOOKUP($A17,Table1[#All],_xlfn.XMATCH(I$12,Table1[#Headers],0,1),0))</f>
        <v>-6.5679999999999996</v>
      </c>
      <c r="J17" s="76">
        <f>IF(VLOOKUP($A17,Table1[#All],_xlfn.XMATCH(J$12,Table1[#Headers],0,1),0)=0,"",VLOOKUP($A17,Table1[#All],_xlfn.XMATCH(J$12,Table1[#Headers],0,1),0))</f>
        <v>4.8</v>
      </c>
      <c r="K17" s="77"/>
      <c r="L17" s="76" t="str">
        <f>IF(VLOOKUP($A17,Table1[#All],_xlfn.XMATCH(L$12,Table1[#Headers],0,1),0)=0,"",VLOOKUP($A17,Table1[#All],_xlfn.XMATCH(L$12,Table1[#Headers],0,1),0))</f>
        <v>Klei, zandig, sterk, organisch, zwak, plantenresten, weinig, grijs, donker, Pulsinstallatie machinaal</v>
      </c>
      <c r="M17" s="76">
        <f>IF(VLOOKUP($A17,Table1[#All],_xlfn.XMATCH(M$12,Table1[#Headers],0,1),0)=0,"",VLOOKUP($A17,Table1[#All],_xlfn.XMATCH(M$12,Table1[#Headers],0,1),0))</f>
        <v>15.5</v>
      </c>
      <c r="N17" s="76">
        <f>IF(VLOOKUP($A17,Table1[#All],_xlfn.XMATCH(N$12,Table1[#Headers],0,1),0)=0,"",VLOOKUP($A17,Table1[#All],_xlfn.XMATCH(N$12,Table1[#Headers],0,1),0))</f>
        <v>9.5</v>
      </c>
      <c r="O17" s="76">
        <f>IF(VLOOKUP($A17,Table1[#All],_xlfn.XMATCH(O$12,Table1[#Headers],0,1),0)=0,"",VLOOKUP($A17,Table1[#All],_xlfn.XMATCH(O$12,Table1[#Headers],0,1),0))</f>
        <v>63.3</v>
      </c>
      <c r="P17" s="76" t="str">
        <f>IF(VLOOKUP($A17,Table1[#All],_xlfn.XMATCH(P$12,Table1[#Headers],0,1),0)=0,"",VLOOKUP($A17,Table1[#All],_xlfn.XMATCH(P$12,Table1[#Headers],0,1),0))</f>
        <v/>
      </c>
      <c r="Q17" s="76" t="str">
        <f>IF(VLOOKUP($A17,Table1[#All],_xlfn.XMATCH(Q$12,Table1[#Headers],0,1),0)=0,"",VLOOKUP($A17,Table1[#All],_xlfn.XMATCH(Q$12,Table1[#Headers],0,1),0))</f>
        <v/>
      </c>
      <c r="R17" s="76" t="str">
        <f>IF(VLOOKUP($A17,Table1[#All],_xlfn.XMATCH(R$12,Table1[#Headers],0,1),0)=0,"",VLOOKUP($A17,Table1[#All],_xlfn.XMATCH(R$12,Table1[#Headers],0,1),0))</f>
        <v/>
      </c>
      <c r="S17" s="76">
        <f>IF(VLOOKUP($A17,Table1[#All],_xlfn.XMATCH(S$12,Table1[#Headers],0,1),0)=0,"",VLOOKUP($A17,Table1[#All],_xlfn.XMATCH(S$12,Table1[#Headers],0,1),0))</f>
        <v>14.4</v>
      </c>
      <c r="T17" s="76">
        <f>IF(VLOOKUP($A17,Table1[#All],_xlfn.XMATCH(T$12,Table1[#Headers],0,1),0)=0,"",VLOOKUP($A17,Table1[#All],_xlfn.XMATCH(T$12,Table1[#Headers],0,1),0))</f>
        <v>8</v>
      </c>
      <c r="U17" s="76">
        <f>IF(VLOOKUP($A17,Table1[#All],_xlfn.XMATCH(U$12,Table1[#Headers],0,1),0)=0,"",VLOOKUP($A17,Table1[#All],_xlfn.XMATCH(U$12,Table1[#Headers],0,1),0))</f>
        <v>79.900000000000006</v>
      </c>
      <c r="V17" s="77"/>
      <c r="W17" s="76">
        <f>IF(VLOOKUP($A17,Table1[#All],_xlfn.XMATCH(W$12,Table1[#Headers],0,1),0)=0,"",VLOOKUP($A17,Table1[#All],_xlfn.XMATCH(W$12,Table1[#Headers],0,1),0))</f>
        <v>51.6</v>
      </c>
      <c r="X17" s="76">
        <f>IF(VLOOKUP($A17,Table1[#All],_xlfn.XMATCH(X$12,Table1[#Headers],0,1),0)=0,"",VLOOKUP($A17,Table1[#All],_xlfn.XMATCH(X$12,Table1[#Headers],0,1),0))</f>
        <v>47</v>
      </c>
      <c r="Y17" s="76" t="str">
        <f>IF(VLOOKUP($A17,Table1[#All],_xlfn.XMATCH(Y$12,Table1[#Headers],0,1),0)=0,"",VLOOKUP($A17,Table1[#All],_xlfn.XMATCH(Y$12,Table1[#Headers],0,1),0))</f>
        <v>OC</v>
      </c>
      <c r="Z17" s="76">
        <f>IF(VLOOKUP($A17,Table1[#All],_xlfn.XMATCH(Z$12,Table1[#Headers],0,1),0)=0,"",VLOOKUP($A17,Table1[#All],_xlfn.XMATCH(Z$12,Table1[#Headers],0,1),0))</f>
        <v>36.4</v>
      </c>
      <c r="AA17" s="76">
        <f>IF(VLOOKUP($A17,Table1[#All],_xlfn.XMATCH(AA$12,Table1[#Headers],0,1),0)=0,"",VLOOKUP($A17,Table1[#All],_xlfn.XMATCH(AA$12,Table1[#Headers],0,1),0))</f>
        <v>10.6</v>
      </c>
      <c r="AB17" s="76">
        <f>IF(VLOOKUP($A17,Table1[#All],_xlfn.XMATCH(AB$12,Table1[#Headers],0,1),0)=0,"",VLOOKUP($A17,Table1[#All],_xlfn.XMATCH(AB$12,Table1[#Headers],0,1),0))</f>
        <v>0.55000000000000004</v>
      </c>
      <c r="AC17" s="76">
        <f>IF(VLOOKUP($A17,Table1[#All],_xlfn.XMATCH(AC$12,Table1[#Headers],0,1),0)=0,"",VLOOKUP($A17,Table1[#All],_xlfn.XMATCH(AC$12,Table1[#Headers],0,1),0))</f>
        <v>4.2</v>
      </c>
      <c r="AD17" s="77"/>
      <c r="AE17" s="76">
        <f>IF(VLOOKUP($A17,Table1[#All],_xlfn.XMATCH(AE$12,Table1[#Headers],0,1),0)=0,"",VLOOKUP($A17,Table1[#All],_xlfn.XMATCH(AE$12,Table1[#Headers],0,1),0))</f>
        <v>31.3</v>
      </c>
      <c r="AF17" s="76">
        <f>IF(VLOOKUP($A17,Table1[#All],_xlfn.XMATCH(AF$12,Table1[#Headers],0,1),0)=0,"",VLOOKUP($A17,Table1[#All],_xlfn.XMATCH(AF$12,Table1[#Headers],0,1),0))</f>
        <v>26.5</v>
      </c>
      <c r="AG17" s="76">
        <f>IF(VLOOKUP($A17,Table1[#All],_xlfn.XMATCH(AG$12,Table1[#Headers],0,1),0)=0,"",VLOOKUP($A17,Table1[#All],_xlfn.XMATCH(AG$12,Table1[#Headers],0,1),0))</f>
        <v>26.9</v>
      </c>
      <c r="AH17" s="76">
        <f>IF(VLOOKUP($A17,Table1[#All],_xlfn.XMATCH(AH$12,Table1[#Headers],0,1),0)=0,"",VLOOKUP($A17,Table1[#All],_xlfn.XMATCH(AH$12,Table1[#Headers],0,1),0))</f>
        <v>19.8</v>
      </c>
      <c r="AI17" s="77"/>
      <c r="AJ17" s="78">
        <f>IF(VLOOKUP($A17,Table1[#All],_xlfn.XMATCH(AJ$12,Table1[#Headers],0,1),0)=0,"",VLOOKUP($A17,Table1[#All],_xlfn.XMATCH(AJ$12,Table1[#Headers],0,1),0))</f>
        <v>68</v>
      </c>
      <c r="AK17" s="78">
        <f t="shared" si="0"/>
        <v>16.399999999999999</v>
      </c>
      <c r="AL17" s="76">
        <f>IF(VLOOKUP($A17,Table1[#All],_xlfn.XMATCH(AL$12,Table1[#Headers],0,1),0)=0,"",VLOOKUP($A17,Table1[#All],_xlfn.XMATCH(AL$12,Table1[#Headers],0,1),0))</f>
        <v>1.317829457364341</v>
      </c>
      <c r="AM17" s="77"/>
      <c r="AN17" s="76" t="str">
        <f>IF(VLOOKUP($A17,Table1[#All],_xlfn.XMATCH(AN$12,Table1[#Headers],0,1),0)=0,"",VLOOKUP($A17,Table1[#All],_xlfn.XMATCH(AN$12,Table1[#Headers],0,1),0))</f>
        <v>OED_CRS6)GA250495_B02-AL01_11-22463.pdf</v>
      </c>
      <c r="AO17" s="79" t="str">
        <f ca="1">HYPERLINK(Hulp!$C$5&amp;Beoordeling!AN17,MID(AN17,1,30))</f>
        <v>OED_CRS6)GA250495_B02-AL01_11-</v>
      </c>
      <c r="AP17" s="76">
        <f>IF(VLOOKUP($A17,Table1[#All],_xlfn.XMATCH(AP$12,Table1[#Headers],0,1),0)=0,"",VLOOKUP($A17,Table1[#All],_xlfn.XMATCH(AP$12,Table1[#Headers],0,1),0))</f>
        <v>68</v>
      </c>
      <c r="AQ17" s="80"/>
      <c r="AR17" s="81"/>
      <c r="AS17" s="80"/>
      <c r="AT17" s="77"/>
      <c r="AU17" s="76" t="str">
        <f>IF(VLOOKUP($A17,Table1[#All],_xlfn.XMATCH(AU$12,Table1[#Headers],0,1),0)=0,"",VLOOKUP($A17,Table1[#All],_xlfn.XMATCH(AU$12,Table1[#Headers],0,1),0))</f>
        <v>TX7)GA250495_B02-AL01-11-22463_Greeuw_V01.pdf</v>
      </c>
      <c r="AV17" s="79" t="str">
        <f ca="1">HYPERLINK(Hulp!$C$4&amp;Beoordeling!AU17,MID(AU17,1,20))</f>
        <v>TX7)GA250495_B02-AL0</v>
      </c>
      <c r="AW17" s="82"/>
      <c r="AX17" s="82" t="str">
        <f>IF(AC17&lt;$AX$5,"laag",IF(AC17&gt;$AX$7,"hoog","middel"))</f>
        <v>laag</v>
      </c>
      <c r="AY17" s="81"/>
      <c r="AZ17" s="83"/>
      <c r="BA17" s="77"/>
      <c r="BB17" s="84">
        <f t="shared" si="1"/>
        <v>0.85989010989010994</v>
      </c>
      <c r="BC17" s="84">
        <f t="shared" si="2"/>
        <v>0.74716981132075477</v>
      </c>
      <c r="BD17" s="76" t="str">
        <f>IF(VLOOKUP($A17,Table1[#All],_xlfn.XMATCH(BD$12,Table1[#Headers],0,1),0)=0,"",VLOOKUP($A17,Table1[#All],_xlfn.XMATCH(BD$12,Table1[#Headers],0,1),0))</f>
        <v>OC</v>
      </c>
      <c r="BE17" s="76">
        <f>IF(VLOOKUP($A17,Table1[#All],_xlfn.XMATCH(AL$12,Table1[#Headers],0,1),0)=0,"",VLOOKUP($A17,Table1[#All],_xlfn.XMATCH(AL$12,Table1[#Headers],0,1),0))</f>
        <v>1.317829457364341</v>
      </c>
      <c r="BF17" s="76" t="str">
        <f>IF(BB17&lt;$BB$4,"NC",IF(BB17&gt;$BB$7,"OC sterk",IF(BB17&gt;$BB$6,"OC matig","NC/OC")))</f>
        <v>NC/OC</v>
      </c>
      <c r="BG17" s="76">
        <f>IF(VLOOKUP($A17,Table1[#All],_xlfn.XMATCH(BG$12,Table1[#Headers],0,1),0)=0,"",VLOOKUP($A17,Table1[#All],_xlfn.XMATCH(BG$12,Table1[#Headers],0,1),0))</f>
        <v>6.5</v>
      </c>
      <c r="BH17" s="76">
        <f>AH17/X17</f>
        <v>0.42127659574468085</v>
      </c>
      <c r="BI17" s="85"/>
      <c r="BJ17" s="82"/>
      <c r="BK17" s="86" t="str">
        <f t="shared" si="3"/>
        <v>sterk aflopend</v>
      </c>
      <c r="BL17" s="82"/>
      <c r="BM17" s="82"/>
      <c r="BN17" s="82"/>
      <c r="BO17" s="77"/>
      <c r="BP17" s="81"/>
      <c r="BQ17" s="81"/>
      <c r="BR17" s="81"/>
      <c r="BS17" s="77"/>
      <c r="BT17" s="76" t="str">
        <f>IF(VLOOKUP($A17,Table1[#All],_xlfn.XMATCH(BT$12,Table1[#Headers],0,1),0)=0,"",VLOOKUP($A17,Table1[#All],_xlfn.XMATCH(BT$12,Table1[#Headers],0,1),0))</f>
        <v/>
      </c>
      <c r="BU17" s="79" t="str">
        <f ca="1">HYPERLINK(Hulp!$C$3&amp;Beoordeling!BT17,BT17)</f>
        <v/>
      </c>
      <c r="BV17" s="77"/>
      <c r="BW17" s="81"/>
      <c r="BX17" s="81"/>
      <c r="BY17" s="81"/>
    </row>
    <row r="18" spans="1:77" x14ac:dyDescent="0.3">
      <c r="A18" s="75" t="s">
        <v>1388</v>
      </c>
      <c r="B18" s="76" t="str">
        <f>IF(VLOOKUP($A18,Table1[#All],_xlfn.XMATCH(B$12,Table1[#Headers],0,1),0)=0,"",VLOOKUP($A18,Table1[#All],_xlfn.XMATCH(B$12,Table1[#Headers],0,1),0))</f>
        <v>TXT_voorbeeld</v>
      </c>
      <c r="C18" s="76" t="str">
        <f>IF(VLOOKUP($A18,Table1[#All],_xlfn.XMATCH(C$12,Table1[#Headers],0,1),0)=0,"",VLOOKUP($A18,Table1[#All],_xlfn.XMATCH(C$12,Table1[#Headers],0,1),0))</f>
        <v/>
      </c>
      <c r="D18" s="77"/>
      <c r="E18" s="76" t="str">
        <f>IF(VLOOKUP($A18,Table1[#All],_xlfn.XMATCH(E$12,Table1[#Headers],0,1),0)=0,"",VLOOKUP($A18,Table1[#All],_xlfn.XMATCH(E$12,Table1[#Headers],0,1),0))</f>
        <v>Polderdijk</v>
      </c>
      <c r="F18" s="76" t="str">
        <f>IF(VLOOKUP($A18,Table1[#All],_xlfn.XMATCH(F$12,Table1[#Headers],0,1),0)=0,"",VLOOKUP($A18,Table1[#All],_xlfn.XMATCH(F$12,Table1[#Headers],0,1),0))</f>
        <v>Regionaal</v>
      </c>
      <c r="G18" s="76" t="str">
        <f>IF(VLOOKUP($A18,Table1[#All],_xlfn.XMATCH(G$12,Table1[#Headers],0,1),0)=0,"",VLOOKUP($A18,Table1[#All],_xlfn.XMATCH(G$12,Table1[#Headers],0,1),0))</f>
        <v>B02-AL01</v>
      </c>
      <c r="H18" s="76" t="str">
        <f>IF(VLOOKUP($A18,Table1[#All],_xlfn.XMATCH(H$12,Table1[#Headers],0,1),0)=0,"",VLOOKUP($A18,Table1[#All],_xlfn.XMATCH(H$12,Table1[#Headers],0,1),0))</f>
        <v>AL</v>
      </c>
      <c r="I18" s="76">
        <f>IF(VLOOKUP($A18,Table1[#All],_xlfn.XMATCH(I$12,Table1[#Headers],0,1),0)=0,"",VLOOKUP($A18,Table1[#All],_xlfn.XMATCH(I$12,Table1[#Headers],0,1),0))</f>
        <v>-9.7680000000000007</v>
      </c>
      <c r="J18" s="76">
        <f>IF(VLOOKUP($A18,Table1[#All],_xlfn.XMATCH(J$12,Table1[#Headers],0,1),0)=0,"",VLOOKUP($A18,Table1[#All],_xlfn.XMATCH(J$12,Table1[#Headers],0,1),0))</f>
        <v>8</v>
      </c>
      <c r="K18" s="77"/>
      <c r="L18" s="76" t="str">
        <f>IF(VLOOKUP($A18,Table1[#All],_xlfn.XMATCH(L$12,Table1[#Headers],0,1),0)=0,"",VLOOKUP($A18,Table1[#All],_xlfn.XMATCH(L$12,Table1[#Headers],0,1),0))</f>
        <v>Klei, zandig, zwak, organisch, zwak, plantenresten, weinig, grijs, donker, Pulsinstallatie machinaal</v>
      </c>
      <c r="M18" s="76">
        <f>IF(VLOOKUP($A18,Table1[#All],_xlfn.XMATCH(M$12,Table1[#Headers],0,1),0)=0,"",VLOOKUP($A18,Table1[#All],_xlfn.XMATCH(M$12,Table1[#Headers],0,1),0))</f>
        <v>15.6</v>
      </c>
      <c r="N18" s="76">
        <f>IF(VLOOKUP($A18,Table1[#All],_xlfn.XMATCH(N$12,Table1[#Headers],0,1),0)=0,"",VLOOKUP($A18,Table1[#All],_xlfn.XMATCH(N$12,Table1[#Headers],0,1),0))</f>
        <v>9.9</v>
      </c>
      <c r="O18" s="76">
        <f>IF(VLOOKUP($A18,Table1[#All],_xlfn.XMATCH(O$12,Table1[#Headers],0,1),0)=0,"",VLOOKUP($A18,Table1[#All],_xlfn.XMATCH(O$12,Table1[#Headers],0,1),0))</f>
        <v>57.6</v>
      </c>
      <c r="P18" s="76" t="str">
        <f>IF(VLOOKUP($A18,Table1[#All],_xlfn.XMATCH(P$12,Table1[#Headers],0,1),0)=0,"",VLOOKUP($A18,Table1[#All],_xlfn.XMATCH(P$12,Table1[#Headers],0,1),0))</f>
        <v/>
      </c>
      <c r="Q18" s="76" t="str">
        <f>IF(VLOOKUP($A18,Table1[#All],_xlfn.XMATCH(Q$12,Table1[#Headers],0,1),0)=0,"",VLOOKUP($A18,Table1[#All],_xlfn.XMATCH(Q$12,Table1[#Headers],0,1),0))</f>
        <v/>
      </c>
      <c r="R18" s="76" t="str">
        <f>IF(VLOOKUP($A18,Table1[#All],_xlfn.XMATCH(R$12,Table1[#Headers],0,1),0)=0,"",VLOOKUP($A18,Table1[#All],_xlfn.XMATCH(R$12,Table1[#Headers],0,1),0))</f>
        <v/>
      </c>
      <c r="S18" s="76">
        <f>IF(VLOOKUP($A18,Table1[#All],_xlfn.XMATCH(S$12,Table1[#Headers],0,1),0)=0,"",VLOOKUP($A18,Table1[#All],_xlfn.XMATCH(S$12,Table1[#Headers],0,1),0))</f>
        <v>15.7</v>
      </c>
      <c r="T18" s="76">
        <f>IF(VLOOKUP($A18,Table1[#All],_xlfn.XMATCH(T$12,Table1[#Headers],0,1),0)=0,"",VLOOKUP($A18,Table1[#All],_xlfn.XMATCH(T$12,Table1[#Headers],0,1),0))</f>
        <v>9.1999999999999993</v>
      </c>
      <c r="U18" s="76">
        <f>IF(VLOOKUP($A18,Table1[#All],_xlfn.XMATCH(U$12,Table1[#Headers],0,1),0)=0,"",VLOOKUP($A18,Table1[#All],_xlfn.XMATCH(U$12,Table1[#Headers],0,1),0))</f>
        <v>71.599999999999994</v>
      </c>
      <c r="V18" s="77"/>
      <c r="W18" s="76">
        <f>IF(VLOOKUP($A18,Table1[#All],_xlfn.XMATCH(W$12,Table1[#Headers],0,1),0)=0,"",VLOOKUP($A18,Table1[#All],_xlfn.XMATCH(W$12,Table1[#Headers],0,1),0))</f>
        <v>52.7</v>
      </c>
      <c r="X18" s="76">
        <f>IF(VLOOKUP($A18,Table1[#All],_xlfn.XMATCH(X$12,Table1[#Headers],0,1),0)=0,"",VLOOKUP($A18,Table1[#All],_xlfn.XMATCH(X$12,Table1[#Headers],0,1),0))</f>
        <v>53</v>
      </c>
      <c r="Y18" s="76" t="str">
        <f>IF(VLOOKUP($A18,Table1[#All],_xlfn.XMATCH(Y$12,Table1[#Headers],0,1),0)=0,"",VLOOKUP($A18,Table1[#All],_xlfn.XMATCH(Y$12,Table1[#Headers],0,1),0))</f>
        <v>OC</v>
      </c>
      <c r="Z18" s="76">
        <f>IF(VLOOKUP($A18,Table1[#All],_xlfn.XMATCH(Z$12,Table1[#Headers],0,1),0)=0,"",VLOOKUP($A18,Table1[#All],_xlfn.XMATCH(Z$12,Table1[#Headers],0,1),0))</f>
        <v>41.1</v>
      </c>
      <c r="AA18" s="76">
        <f>IF(VLOOKUP($A18,Table1[#All],_xlfn.XMATCH(AA$12,Table1[#Headers],0,1),0)=0,"",VLOOKUP($A18,Table1[#All],_xlfn.XMATCH(AA$12,Table1[#Headers],0,1),0))</f>
        <v>11.9</v>
      </c>
      <c r="AB18" s="76">
        <f>IF(VLOOKUP($A18,Table1[#All],_xlfn.XMATCH(AB$12,Table1[#Headers],0,1),0)=0,"",VLOOKUP($A18,Table1[#All],_xlfn.XMATCH(AB$12,Table1[#Headers],0,1),0))</f>
        <v>0.55000000000000004</v>
      </c>
      <c r="AC18" s="76">
        <f>IF(VLOOKUP($A18,Table1[#All],_xlfn.XMATCH(AC$12,Table1[#Headers],0,1),0)=0,"",VLOOKUP($A18,Table1[#All],_xlfn.XMATCH(AC$12,Table1[#Headers],0,1),0))</f>
        <v>3.6</v>
      </c>
      <c r="AD18" s="77"/>
      <c r="AE18" s="76">
        <f>IF(VLOOKUP($A18,Table1[#All],_xlfn.XMATCH(AE$12,Table1[#Headers],0,1),0)=0,"",VLOOKUP($A18,Table1[#All],_xlfn.XMATCH(AE$12,Table1[#Headers],0,1),0))</f>
        <v>28</v>
      </c>
      <c r="AF18" s="76">
        <f>IF(VLOOKUP($A18,Table1[#All],_xlfn.XMATCH(AF$12,Table1[#Headers],0,1),0)=0,"",VLOOKUP($A18,Table1[#All],_xlfn.XMATCH(AF$12,Table1[#Headers],0,1),0))</f>
        <v>25.2</v>
      </c>
      <c r="AG18" s="76">
        <f>IF(VLOOKUP($A18,Table1[#All],_xlfn.XMATCH(AG$12,Table1[#Headers],0,1),0)=0,"",VLOOKUP($A18,Table1[#All],_xlfn.XMATCH(AG$12,Table1[#Headers],0,1),0))</f>
        <v>25.3</v>
      </c>
      <c r="AH18" s="76">
        <f>IF(VLOOKUP($A18,Table1[#All],_xlfn.XMATCH(AH$12,Table1[#Headers],0,1),0)=0,"",VLOOKUP($A18,Table1[#All],_xlfn.XMATCH(AH$12,Table1[#Headers],0,1),0))</f>
        <v>18.600000000000001</v>
      </c>
      <c r="AI18" s="77"/>
      <c r="AJ18" s="78">
        <f>IF(VLOOKUP($A18,Table1[#All],_xlfn.XMATCH(AJ$12,Table1[#Headers],0,1),0)=0,"",VLOOKUP($A18,Table1[#All],_xlfn.XMATCH(AJ$12,Table1[#Headers],0,1),0))</f>
        <v>77.900000000000006</v>
      </c>
      <c r="AK18" s="78">
        <f t="shared" si="0"/>
        <v>25.200000000000003</v>
      </c>
      <c r="AL18" s="76">
        <f>IF(VLOOKUP($A18,Table1[#All],_xlfn.XMATCH(AL$12,Table1[#Headers],0,1),0)=0,"",VLOOKUP($A18,Table1[#All],_xlfn.XMATCH(AL$12,Table1[#Headers],0,1),0))</f>
        <v>1.478178368121442</v>
      </c>
      <c r="AM18" s="77"/>
      <c r="AN18" s="76" t="str">
        <f>IF(VLOOKUP($A18,Table1[#All],_xlfn.XMATCH(AN$12,Table1[#Headers],0,1),0)=0,"",VLOOKUP($A18,Table1[#All],_xlfn.XMATCH(AN$12,Table1[#Headers],0,1),0))</f>
        <v>OED_CRS10)GA250495_B02-AL01_19-782.pdf</v>
      </c>
      <c r="AO18" s="79" t="str">
        <f ca="1">HYPERLINK(Hulp!$C$5&amp;Beoordeling!AN18,MID(AN18,1,30))</f>
        <v>OED_CRS10)GA250495_B02-AL01_19</v>
      </c>
      <c r="AP18" s="76">
        <f>IF(VLOOKUP($A18,Table1[#All],_xlfn.XMATCH(AP$12,Table1[#Headers],0,1),0)=0,"",VLOOKUP($A18,Table1[#All],_xlfn.XMATCH(AP$12,Table1[#Headers],0,1),0))</f>
        <v>77.900000000000006</v>
      </c>
      <c r="AQ18" s="80"/>
      <c r="AR18" s="81"/>
      <c r="AS18" s="80"/>
      <c r="AT18" s="77"/>
      <c r="AU18" s="76" t="str">
        <f>IF(VLOOKUP($A18,Table1[#All],_xlfn.XMATCH(AU$12,Table1[#Headers],0,1),0)=0,"",VLOOKUP($A18,Table1[#All],_xlfn.XMATCH(AU$12,Table1[#Headers],0,1),0))</f>
        <v>TX11)GA250495_B02-AL01-19-782_Greeuw_V01.pdf</v>
      </c>
      <c r="AV18" s="79" t="str">
        <f ca="1">HYPERLINK(Hulp!$C$4&amp;Beoordeling!AU18,MID(AU18,1,20))</f>
        <v>TX11)GA250495_B02-AL</v>
      </c>
      <c r="AW18" s="82"/>
      <c r="AX18" s="82" t="str">
        <f>IF(AC18&lt;$AX$5,"laag",IF(AC18&gt;$AX$7,"hoog","middel"))</f>
        <v>laag</v>
      </c>
      <c r="AY18" s="81"/>
      <c r="AZ18" s="83"/>
      <c r="BA18" s="77"/>
      <c r="BB18" s="84">
        <f t="shared" si="1"/>
        <v>0.68126520681265201</v>
      </c>
      <c r="BC18" s="84">
        <f t="shared" si="2"/>
        <v>0.73809523809523814</v>
      </c>
      <c r="BD18" s="76" t="str">
        <f>IF(VLOOKUP($A18,Table1[#All],_xlfn.XMATCH(BD$12,Table1[#Headers],0,1),0)=0,"",VLOOKUP($A18,Table1[#All],_xlfn.XMATCH(BD$12,Table1[#Headers],0,1),0))</f>
        <v>OC</v>
      </c>
      <c r="BE18" s="76">
        <f>IF(VLOOKUP($A18,Table1[#All],_xlfn.XMATCH(AL$12,Table1[#Headers],0,1),0)=0,"",VLOOKUP($A18,Table1[#All],_xlfn.XMATCH(AL$12,Table1[#Headers],0,1),0))</f>
        <v>1.478178368121442</v>
      </c>
      <c r="BF18" s="76" t="str">
        <f t="shared" ref="BF18:BF20" si="4">IF(BB18&lt;$BB$4,"NC",IF(BB18&gt;$BB$7,"OC sterk",IF(BB18&gt;$BB$6,"OC matig","NC/OC")))</f>
        <v>NC</v>
      </c>
      <c r="BG18" s="76">
        <f>IF(VLOOKUP($A18,Table1[#All],_xlfn.XMATCH(BG$12,Table1[#Headers],0,1),0)=0,"",VLOOKUP($A18,Table1[#All],_xlfn.XMATCH(BG$12,Table1[#Headers],0,1),0))</f>
        <v>4.5</v>
      </c>
      <c r="BH18" s="76">
        <f t="shared" ref="BH18:BH21" si="5">AH18/X18</f>
        <v>0.35094339622641513</v>
      </c>
      <c r="BI18" s="85"/>
      <c r="BJ18" s="82"/>
      <c r="BK18" s="86" t="str">
        <f t="shared" si="3"/>
        <v>sterk aflopend</v>
      </c>
      <c r="BL18" s="82"/>
      <c r="BM18" s="82"/>
      <c r="BN18" s="82"/>
      <c r="BO18" s="77"/>
      <c r="BP18" s="81"/>
      <c r="BQ18" s="81"/>
      <c r="BR18" s="81"/>
      <c r="BS18" s="77"/>
      <c r="BT18" s="76" t="str">
        <f>IF(VLOOKUP($A18,Table1[#All],_xlfn.XMATCH(BT$12,Table1[#Headers],0,1),0)=0,"",VLOOKUP($A18,Table1[#All],_xlfn.XMATCH(BT$12,Table1[#Headers],0,1),0))</f>
        <v/>
      </c>
      <c r="BU18" s="79" t="str">
        <f ca="1">HYPERLINK(Hulp!$C$3&amp;Beoordeling!BT18,BT18)</f>
        <v/>
      </c>
      <c r="BV18" s="77"/>
      <c r="BW18" s="81"/>
      <c r="BX18" s="81"/>
      <c r="BY18" s="81"/>
    </row>
    <row r="19" spans="1:77" x14ac:dyDescent="0.3">
      <c r="A19" s="87" t="s">
        <v>1389</v>
      </c>
      <c r="B19" s="76" t="str">
        <f>IF(VLOOKUP($A19,Table1[#All],_xlfn.XMATCH(B$12,Table1[#Headers],0,1),0)=0,"",VLOOKUP($A19,Table1[#All],_xlfn.XMATCH(B$12,Table1[#Headers],0,1),0))</f>
        <v>TXT_voorbeeld</v>
      </c>
      <c r="C19" s="76" t="str">
        <f>IF(VLOOKUP($A19,Table1[#All],_xlfn.XMATCH(C$12,Table1[#Headers],0,1),0)=0,"",VLOOKUP($A19,Table1[#All],_xlfn.XMATCH(C$12,Table1[#Headers],0,1),0))</f>
        <v/>
      </c>
      <c r="D19" s="77"/>
      <c r="E19" s="76" t="str">
        <f>IF(VLOOKUP($A19,Table1[#All],_xlfn.XMATCH(E$12,Table1[#Headers],0,1),0)=0,"",VLOOKUP($A19,Table1[#All],_xlfn.XMATCH(E$12,Table1[#Headers],0,1),0))</f>
        <v>Polderdijk</v>
      </c>
      <c r="F19" s="76" t="str">
        <f>IF(VLOOKUP($A19,Table1[#All],_xlfn.XMATCH(F$12,Table1[#Headers],0,1),0)=0,"",VLOOKUP($A19,Table1[#All],_xlfn.XMATCH(F$12,Table1[#Headers],0,1),0))</f>
        <v>Regionaal</v>
      </c>
      <c r="G19" s="76" t="str">
        <f>IF(VLOOKUP($A19,Table1[#All],_xlfn.XMATCH(G$12,Table1[#Headers],0,1),0)=0,"",VLOOKUP($A19,Table1[#All],_xlfn.XMATCH(G$12,Table1[#Headers],0,1),0))</f>
        <v>B02-K02</v>
      </c>
      <c r="H19" s="76" t="str">
        <f>IF(VLOOKUP($A19,Table1[#All],_xlfn.XMATCH(H$12,Table1[#Headers],0,1),0)=0,"",VLOOKUP($A19,Table1[#All],_xlfn.XMATCH(H$12,Table1[#Headers],0,1),0))</f>
        <v>KR</v>
      </c>
      <c r="I19" s="76">
        <f>IF(VLOOKUP($A19,Table1[#All],_xlfn.XMATCH(I$12,Table1[#Headers],0,1),0)=0,"",VLOOKUP($A19,Table1[#All],_xlfn.XMATCH(I$12,Table1[#Headers],0,1),0))</f>
        <v>-2.2050000000000001</v>
      </c>
      <c r="J19" s="76">
        <f>IF(VLOOKUP($A19,Table1[#All],_xlfn.XMATCH(J$12,Table1[#Headers],0,1),0)=0,"",VLOOKUP($A19,Table1[#All],_xlfn.XMATCH(J$12,Table1[#Headers],0,1),0))</f>
        <v>2</v>
      </c>
      <c r="K19" s="77"/>
      <c r="L19" s="76" t="str">
        <f>IF(VLOOKUP($A19,Table1[#All],_xlfn.XMATCH(L$12,Table1[#Headers],0,1),0)=0,"",VLOOKUP($A19,Table1[#All],_xlfn.XMATCH(L$12,Table1[#Headers],0,1),0))</f>
        <v>Klei, zandig, zwak, organisch, zwak, puin, weinig, grijs, donker, Pulsinstallatie machinaal</v>
      </c>
      <c r="M19" s="76">
        <f>IF(VLOOKUP($A19,Table1[#All],_xlfn.XMATCH(M$12,Table1[#Headers],0,1),0)=0,"",VLOOKUP($A19,Table1[#All],_xlfn.XMATCH(M$12,Table1[#Headers],0,1),0))</f>
        <v>15.7</v>
      </c>
      <c r="N19" s="76">
        <f>IF(VLOOKUP($A19,Table1[#All],_xlfn.XMATCH(N$12,Table1[#Headers],0,1),0)=0,"",VLOOKUP($A19,Table1[#All],_xlfn.XMATCH(N$12,Table1[#Headers],0,1),0))</f>
        <v>9.1</v>
      </c>
      <c r="O19" s="76">
        <f>IF(VLOOKUP($A19,Table1[#All],_xlfn.XMATCH(O$12,Table1[#Headers],0,1),0)=0,"",VLOOKUP($A19,Table1[#All],_xlfn.XMATCH(O$12,Table1[#Headers],0,1),0))</f>
        <v>72.3</v>
      </c>
      <c r="P19" s="76" t="str">
        <f>IF(VLOOKUP($A19,Table1[#All],_xlfn.XMATCH(P$12,Table1[#Headers],0,1),0)=0,"",VLOOKUP($A19,Table1[#All],_xlfn.XMATCH(P$12,Table1[#Headers],0,1),0))</f>
        <v/>
      </c>
      <c r="Q19" s="76" t="str">
        <f>IF(VLOOKUP($A19,Table1[#All],_xlfn.XMATCH(Q$12,Table1[#Headers],0,1),0)=0,"",VLOOKUP($A19,Table1[#All],_xlfn.XMATCH(Q$12,Table1[#Headers],0,1),0))</f>
        <v/>
      </c>
      <c r="R19" s="76" t="str">
        <f>IF(VLOOKUP($A19,Table1[#All],_xlfn.XMATCH(R$12,Table1[#Headers],0,1),0)=0,"",VLOOKUP($A19,Table1[#All],_xlfn.XMATCH(R$12,Table1[#Headers],0,1),0))</f>
        <v/>
      </c>
      <c r="S19" s="76">
        <f>IF(VLOOKUP($A19,Table1[#All],_xlfn.XMATCH(S$12,Table1[#Headers],0,1),0)=0,"",VLOOKUP($A19,Table1[#All],_xlfn.XMATCH(S$12,Table1[#Headers],0,1),0))</f>
        <v>15.3</v>
      </c>
      <c r="T19" s="76">
        <f>IF(VLOOKUP($A19,Table1[#All],_xlfn.XMATCH(T$12,Table1[#Headers],0,1),0)=0,"",VLOOKUP($A19,Table1[#All],_xlfn.XMATCH(T$12,Table1[#Headers],0,1),0))</f>
        <v>8.8000000000000007</v>
      </c>
      <c r="U19" s="76">
        <f>IF(VLOOKUP($A19,Table1[#All],_xlfn.XMATCH(U$12,Table1[#Headers],0,1),0)=0,"",VLOOKUP($A19,Table1[#All],_xlfn.XMATCH(U$12,Table1[#Headers],0,1),0))</f>
        <v>74</v>
      </c>
      <c r="V19" s="77"/>
      <c r="W19" s="76">
        <f>IF(VLOOKUP($A19,Table1[#All],_xlfn.XMATCH(W$12,Table1[#Headers],0,1),0)=0,"",VLOOKUP($A19,Table1[#All],_xlfn.XMATCH(W$12,Table1[#Headers],0,1),0))</f>
        <v>34.299999999999997</v>
      </c>
      <c r="X19" s="76">
        <f>IF(VLOOKUP($A19,Table1[#All],_xlfn.XMATCH(X$12,Table1[#Headers],0,1),0)=0,"",VLOOKUP($A19,Table1[#All],_xlfn.XMATCH(X$12,Table1[#Headers],0,1),0))</f>
        <v>34</v>
      </c>
      <c r="Y19" s="76" t="str">
        <f>IF(VLOOKUP($A19,Table1[#All],_xlfn.XMATCH(Y$12,Table1[#Headers],0,1),0)=0,"",VLOOKUP($A19,Table1[#All],_xlfn.XMATCH(Y$12,Table1[#Headers],0,1),0))</f>
        <v>OC</v>
      </c>
      <c r="Z19" s="76">
        <f>IF(VLOOKUP($A19,Table1[#All],_xlfn.XMATCH(Z$12,Table1[#Headers],0,1),0)=0,"",VLOOKUP($A19,Table1[#All],_xlfn.XMATCH(Z$12,Table1[#Headers],0,1),0))</f>
        <v>34</v>
      </c>
      <c r="AA19" s="76" t="str">
        <f>IF(VLOOKUP($A19,Table1[#All],_xlfn.XMATCH(AA$12,Table1[#Headers],0,1),0)=0,"",VLOOKUP($A19,Table1[#All],_xlfn.XMATCH(AA$12,Table1[#Headers],0,1),0))</f>
        <v/>
      </c>
      <c r="AB19" s="76">
        <f>IF(VLOOKUP($A19,Table1[#All],_xlfn.XMATCH(AB$12,Table1[#Headers],0,1),0)=0,"",VLOOKUP($A19,Table1[#All],_xlfn.XMATCH(AB$12,Table1[#Headers],0,1),0))</f>
        <v>0.52</v>
      </c>
      <c r="AC19" s="76">
        <f>IF(VLOOKUP($A19,Table1[#All],_xlfn.XMATCH(AC$12,Table1[#Headers],0,1),0)=0,"",VLOOKUP($A19,Table1[#All],_xlfn.XMATCH(AC$12,Table1[#Headers],0,1),0))</f>
        <v>6.6</v>
      </c>
      <c r="AD19" s="77"/>
      <c r="AE19" s="76">
        <f>IF(VLOOKUP($A19,Table1[#All],_xlfn.XMATCH(AE$12,Table1[#Headers],0,1),0)=0,"",VLOOKUP($A19,Table1[#All],_xlfn.XMATCH(AE$12,Table1[#Headers],0,1),0))</f>
        <v>27.5</v>
      </c>
      <c r="AF19" s="76">
        <f>IF(VLOOKUP($A19,Table1[#All],_xlfn.XMATCH(AF$12,Table1[#Headers],0,1),0)=0,"",VLOOKUP($A19,Table1[#All],_xlfn.XMATCH(AF$12,Table1[#Headers],0,1),0))</f>
        <v>14.2</v>
      </c>
      <c r="AG19" s="76">
        <f>IF(VLOOKUP($A19,Table1[#All],_xlfn.XMATCH(AG$12,Table1[#Headers],0,1),0)=0,"",VLOOKUP($A19,Table1[#All],_xlfn.XMATCH(AG$12,Table1[#Headers],0,1),0))</f>
        <v>16.600000000000001</v>
      </c>
      <c r="AH19" s="76">
        <f>IF(VLOOKUP($A19,Table1[#All],_xlfn.XMATCH(AH$12,Table1[#Headers],0,1),0)=0,"",VLOOKUP($A19,Table1[#All],_xlfn.XMATCH(AH$12,Table1[#Headers],0,1),0))</f>
        <v>16.2</v>
      </c>
      <c r="AI19" s="77"/>
      <c r="AJ19" s="78">
        <f>IF(VLOOKUP($A19,Table1[#All],_xlfn.XMATCH(AJ$12,Table1[#Headers],0,1),0)=0,"",VLOOKUP($A19,Table1[#All],_xlfn.XMATCH(AJ$12,Table1[#Headers],0,1),0))</f>
        <v>45.7</v>
      </c>
      <c r="AK19" s="78">
        <f t="shared" si="0"/>
        <v>11.400000000000006</v>
      </c>
      <c r="AL19" s="76">
        <f>IF(VLOOKUP($A19,Table1[#All],_xlfn.XMATCH(AL$12,Table1[#Headers],0,1),0)=0,"",VLOOKUP($A19,Table1[#All],_xlfn.XMATCH(AL$12,Table1[#Headers],0,1),0))</f>
        <v>1.332361516034986</v>
      </c>
      <c r="AM19" s="77"/>
      <c r="AN19" s="76" t="str">
        <f>IF(VLOOKUP($A19,Table1[#All],_xlfn.XMATCH(AN$12,Table1[#Headers],0,1),0)=0,"",VLOOKUP($A19,Table1[#All],_xlfn.XMATCH(AN$12,Table1[#Headers],0,1),0))</f>
        <v>OED_CRS16)GA250495_B02-K02_4-10346.pdf</v>
      </c>
      <c r="AO19" s="79" t="str">
        <f ca="1">HYPERLINK(Hulp!$C$5&amp;Beoordeling!AN19,MID(AN19,1,30))</f>
        <v>OED_CRS16)GA250495_B02-K02_4-1</v>
      </c>
      <c r="AP19" s="76">
        <f>IF(VLOOKUP($A19,Table1[#All],_xlfn.XMATCH(AP$12,Table1[#Headers],0,1),0)=0,"",VLOOKUP($A19,Table1[#All],_xlfn.XMATCH(AP$12,Table1[#Headers],0,1),0))</f>
        <v>45.7</v>
      </c>
      <c r="AQ19" s="80"/>
      <c r="AR19" s="81"/>
      <c r="AS19" s="80"/>
      <c r="AT19" s="77"/>
      <c r="AU19" s="76" t="str">
        <f>IF(VLOOKUP($A19,Table1[#All],_xlfn.XMATCH(AU$12,Table1[#Headers],0,1),0)=0,"",VLOOKUP($A19,Table1[#All],_xlfn.XMATCH(AU$12,Table1[#Headers],0,1),0))</f>
        <v>TX16)GA2520495_B02-K02-4-10346_Greeuw_V01.pdf</v>
      </c>
      <c r="AV19" s="79" t="str">
        <f ca="1">HYPERLINK(Hulp!$C$4&amp;Beoordeling!AU19,MID(AU19,1,20))</f>
        <v>TX16)GA2520495_B02-K</v>
      </c>
      <c r="AW19" s="82"/>
      <c r="AX19" s="82" t="str">
        <f t="shared" ref="AX19:AX20" si="6">IF(AC19&lt;$AX$5,"laag",IF(AC19&gt;$AX$7,"hoog","middel"))</f>
        <v>middel</v>
      </c>
      <c r="AY19" s="81"/>
      <c r="AZ19" s="83"/>
      <c r="BA19" s="77"/>
      <c r="BB19" s="84">
        <f t="shared" si="1"/>
        <v>0.80882352941176472</v>
      </c>
      <c r="BC19" s="84">
        <f t="shared" si="2"/>
        <v>1.1408450704225352</v>
      </c>
      <c r="BD19" s="76" t="str">
        <f>IF(VLOOKUP($A19,Table1[#All],_xlfn.XMATCH(BD$12,Table1[#Headers],0,1),0)=0,"",VLOOKUP($A19,Table1[#All],_xlfn.XMATCH(BD$12,Table1[#Headers],0,1),0))</f>
        <v>OC</v>
      </c>
      <c r="BE19" s="76">
        <f>IF(VLOOKUP($A19,Table1[#All],_xlfn.XMATCH(AL$12,Table1[#Headers],0,1),0)=0,"",VLOOKUP($A19,Table1[#All],_xlfn.XMATCH(AL$12,Table1[#Headers],0,1),0))</f>
        <v>1.332361516034986</v>
      </c>
      <c r="BF19" s="76" t="str">
        <f t="shared" si="4"/>
        <v>NC/OC</v>
      </c>
      <c r="BG19" s="76">
        <f>IF(VLOOKUP($A19,Table1[#All],_xlfn.XMATCH(BG$12,Table1[#Headers],0,1),0)=0,"",VLOOKUP($A19,Table1[#All],_xlfn.XMATCH(BG$12,Table1[#Headers],0,1),0))</f>
        <v>17.399999999999999</v>
      </c>
      <c r="BH19" s="76">
        <f t="shared" si="5"/>
        <v>0.47647058823529409</v>
      </c>
      <c r="BI19" s="85"/>
      <c r="BJ19" s="82"/>
      <c r="BK19" s="86" t="str">
        <f t="shared" si="3"/>
        <v>oplopend</v>
      </c>
      <c r="BL19" s="82"/>
      <c r="BM19" s="82"/>
      <c r="BN19" s="82"/>
      <c r="BO19" s="77"/>
      <c r="BP19" s="81"/>
      <c r="BQ19" s="81"/>
      <c r="BR19" s="81"/>
      <c r="BS19" s="77"/>
      <c r="BT19" s="76" t="str">
        <f>IF(VLOOKUP($A19,Table1[#All],_xlfn.XMATCH(BT$12,Table1[#Headers],0,1),0)=0,"",VLOOKUP($A19,Table1[#All],_xlfn.XMATCH(BT$12,Table1[#Headers],0,1),0))</f>
        <v/>
      </c>
      <c r="BU19" s="79" t="str">
        <f ca="1">HYPERLINK(Hulp!$C$3&amp;Beoordeling!BT19,BT19)</f>
        <v/>
      </c>
      <c r="BV19" s="77"/>
      <c r="BW19" s="81"/>
      <c r="BX19" s="81"/>
      <c r="BY19" s="81"/>
    </row>
    <row r="20" spans="1:77" x14ac:dyDescent="0.3">
      <c r="A20" s="75" t="s">
        <v>1390</v>
      </c>
      <c r="B20" s="76" t="str">
        <f>IF(VLOOKUP($A20,Table1[#All],_xlfn.XMATCH(B$12,Table1[#Headers],0,1),0)=0,"",VLOOKUP($A20,Table1[#All],_xlfn.XMATCH(B$12,Table1[#Headers],0,1),0))</f>
        <v>TXT_voorbeeld</v>
      </c>
      <c r="C20" s="76" t="str">
        <f>IF(VLOOKUP($A20,Table1[#All],_xlfn.XMATCH(C$12,Table1[#Headers],0,1),0)=0,"",VLOOKUP($A20,Table1[#All],_xlfn.XMATCH(C$12,Table1[#Headers],0,1),0))</f>
        <v/>
      </c>
      <c r="D20" s="77"/>
      <c r="E20" s="76" t="str">
        <f>IF(VLOOKUP($A20,Table1[#All],_xlfn.XMATCH(E$12,Table1[#Headers],0,1),0)=0,"",VLOOKUP($A20,Table1[#All],_xlfn.XMATCH(E$12,Table1[#Headers],0,1),0))</f>
        <v>Polderdijk</v>
      </c>
      <c r="F20" s="76" t="str">
        <f>IF(VLOOKUP($A20,Table1[#All],_xlfn.XMATCH(F$12,Table1[#Headers],0,1),0)=0,"",VLOOKUP($A20,Table1[#All],_xlfn.XMATCH(F$12,Table1[#Headers],0,1),0))</f>
        <v>Regionaal</v>
      </c>
      <c r="G20" s="76" t="str">
        <f>IF(VLOOKUP($A20,Table1[#All],_xlfn.XMATCH(G$12,Table1[#Headers],0,1),0)=0,"",VLOOKUP($A20,Table1[#All],_xlfn.XMATCH(G$12,Table1[#Headers],0,1),0))</f>
        <v>B05-AL01</v>
      </c>
      <c r="H20" s="76" t="str">
        <f>IF(VLOOKUP($A20,Table1[#All],_xlfn.XMATCH(H$12,Table1[#Headers],0,1),0)=0,"",VLOOKUP($A20,Table1[#All],_xlfn.XMATCH(H$12,Table1[#Headers],0,1),0))</f>
        <v>AL</v>
      </c>
      <c r="I20" s="76">
        <f>IF(VLOOKUP($A20,Table1[#All],_xlfn.XMATCH(I$12,Table1[#Headers],0,1),0)=0,"",VLOOKUP($A20,Table1[#All],_xlfn.XMATCH(I$12,Table1[#Headers],0,1),0))</f>
        <v>-4.6609999999999996</v>
      </c>
      <c r="J20" s="76">
        <f>IF(VLOOKUP($A20,Table1[#All],_xlfn.XMATCH(J$12,Table1[#Headers],0,1),0)=0,"",VLOOKUP($A20,Table1[#All],_xlfn.XMATCH(J$12,Table1[#Headers],0,1),0))</f>
        <v>2.4</v>
      </c>
      <c r="K20" s="77"/>
      <c r="L20" s="76" t="str">
        <f>IF(VLOOKUP($A20,Table1[#All],_xlfn.XMATCH(L$12,Table1[#Headers],0,1),0)=0,"",VLOOKUP($A20,Table1[#All],_xlfn.XMATCH(L$12,Table1[#Headers],0,1),0))</f>
        <v>Klei, zandig, zwak, organisch, zwak, grijs, neutraal, Pulsinstallatie machinaal</v>
      </c>
      <c r="M20" s="76">
        <f>IF(VLOOKUP($A20,Table1[#All],_xlfn.XMATCH(M$12,Table1[#Headers],0,1),0)=0,"",VLOOKUP($A20,Table1[#All],_xlfn.XMATCH(M$12,Table1[#Headers],0,1),0))</f>
        <v>14.5</v>
      </c>
      <c r="N20" s="76">
        <f>IF(VLOOKUP($A20,Table1[#All],_xlfn.XMATCH(N$12,Table1[#Headers],0,1),0)=0,"",VLOOKUP($A20,Table1[#All],_xlfn.XMATCH(N$12,Table1[#Headers],0,1),0))</f>
        <v>7.6</v>
      </c>
      <c r="O20" s="76">
        <f>IF(VLOOKUP($A20,Table1[#All],_xlfn.XMATCH(O$12,Table1[#Headers],0,1),0)=0,"",VLOOKUP($A20,Table1[#All],_xlfn.XMATCH(O$12,Table1[#Headers],0,1),0))</f>
        <v>91.8</v>
      </c>
      <c r="P20" s="76" t="str">
        <f>IF(VLOOKUP($A20,Table1[#All],_xlfn.XMATCH(P$12,Table1[#Headers],0,1),0)=0,"",VLOOKUP($A20,Table1[#All],_xlfn.XMATCH(P$12,Table1[#Headers],0,1),0))</f>
        <v/>
      </c>
      <c r="Q20" s="76" t="str">
        <f>IF(VLOOKUP($A20,Table1[#All],_xlfn.XMATCH(Q$12,Table1[#Headers],0,1),0)=0,"",VLOOKUP($A20,Table1[#All],_xlfn.XMATCH(Q$12,Table1[#Headers],0,1),0))</f>
        <v/>
      </c>
      <c r="R20" s="76" t="str">
        <f>IF(VLOOKUP($A20,Table1[#All],_xlfn.XMATCH(R$12,Table1[#Headers],0,1),0)=0,"",VLOOKUP($A20,Table1[#All],_xlfn.XMATCH(R$12,Table1[#Headers],0,1),0))</f>
        <v/>
      </c>
      <c r="S20" s="76">
        <f>IF(VLOOKUP($A20,Table1[#All],_xlfn.XMATCH(S$12,Table1[#Headers],0,1),0)=0,"",VLOOKUP($A20,Table1[#All],_xlfn.XMATCH(S$12,Table1[#Headers],0,1),0))</f>
        <v>13.7</v>
      </c>
      <c r="T20" s="76">
        <f>IF(VLOOKUP($A20,Table1[#All],_xlfn.XMATCH(T$12,Table1[#Headers],0,1),0)=0,"",VLOOKUP($A20,Table1[#All],_xlfn.XMATCH(T$12,Table1[#Headers],0,1),0))</f>
        <v>6.7</v>
      </c>
      <c r="U20" s="76">
        <f>IF(VLOOKUP($A20,Table1[#All],_xlfn.XMATCH(U$12,Table1[#Headers],0,1),0)=0,"",VLOOKUP($A20,Table1[#All],_xlfn.XMATCH(U$12,Table1[#Headers],0,1),0))</f>
        <v>104.6</v>
      </c>
      <c r="V20" s="77"/>
      <c r="W20" s="76">
        <f>IF(VLOOKUP($A20,Table1[#All],_xlfn.XMATCH(W$12,Table1[#Headers],0,1),0)=0,"",VLOOKUP($A20,Table1[#All],_xlfn.XMATCH(W$12,Table1[#Headers],0,1),0))</f>
        <v>13.2</v>
      </c>
      <c r="X20" s="76">
        <f>IF(VLOOKUP($A20,Table1[#All],_xlfn.XMATCH(X$12,Table1[#Headers],0,1),0)=0,"",VLOOKUP($A20,Table1[#All],_xlfn.XMATCH(X$12,Table1[#Headers],0,1),0))</f>
        <v>13</v>
      </c>
      <c r="Y20" s="76" t="str">
        <f>IF(VLOOKUP($A20,Table1[#All],_xlfn.XMATCH(Y$12,Table1[#Headers],0,1),0)=0,"",VLOOKUP($A20,Table1[#All],_xlfn.XMATCH(Y$12,Table1[#Headers],0,1),0))</f>
        <v>OC</v>
      </c>
      <c r="Z20" s="76">
        <f>IF(VLOOKUP($A20,Table1[#All],_xlfn.XMATCH(Z$12,Table1[#Headers],0,1),0)=0,"",VLOOKUP($A20,Table1[#All],_xlfn.XMATCH(Z$12,Table1[#Headers],0,1),0))</f>
        <v>9.6999999999999993</v>
      </c>
      <c r="AA20" s="76">
        <f>IF(VLOOKUP($A20,Table1[#All],_xlfn.XMATCH(AA$12,Table1[#Headers],0,1),0)=0,"",VLOOKUP($A20,Table1[#All],_xlfn.XMATCH(AA$12,Table1[#Headers],0,1),0))</f>
        <v>3.3</v>
      </c>
      <c r="AB20" s="76">
        <f>IF(VLOOKUP($A20,Table1[#All],_xlfn.XMATCH(AB$12,Table1[#Headers],0,1),0)=0,"",VLOOKUP($A20,Table1[#All],_xlfn.XMATCH(AB$12,Table1[#Headers],0,1),0))</f>
        <v>0.49</v>
      </c>
      <c r="AC20" s="76">
        <f>IF(VLOOKUP($A20,Table1[#All],_xlfn.XMATCH(AC$12,Table1[#Headers],0,1),0)=0,"",VLOOKUP($A20,Table1[#All],_xlfn.XMATCH(AC$12,Table1[#Headers],0,1),0))</f>
        <v>2.2000000000000002</v>
      </c>
      <c r="AD20" s="77"/>
      <c r="AE20" s="76">
        <f>IF(VLOOKUP($A20,Table1[#All],_xlfn.XMATCH(AE$12,Table1[#Headers],0,1),0)=0,"",VLOOKUP($A20,Table1[#All],_xlfn.XMATCH(AE$12,Table1[#Headers],0,1),0))</f>
        <v>8.3000000000000007</v>
      </c>
      <c r="AF20" s="76">
        <f>IF(VLOOKUP($A20,Table1[#All],_xlfn.XMATCH(AF$12,Table1[#Headers],0,1),0)=0,"",VLOOKUP($A20,Table1[#All],_xlfn.XMATCH(AF$12,Table1[#Headers],0,1),0))</f>
        <v>7.3</v>
      </c>
      <c r="AG20" s="76">
        <f>IF(VLOOKUP($A20,Table1[#All],_xlfn.XMATCH(AG$12,Table1[#Headers],0,1),0)=0,"",VLOOKUP($A20,Table1[#All],_xlfn.XMATCH(AG$12,Table1[#Headers],0,1),0))</f>
        <v>7.3</v>
      </c>
      <c r="AH20" s="76">
        <f>IF(VLOOKUP($A20,Table1[#All],_xlfn.XMATCH(AH$12,Table1[#Headers],0,1),0)=0,"",VLOOKUP($A20,Table1[#All],_xlfn.XMATCH(AH$12,Table1[#Headers],0,1),0))</f>
        <v>6.3</v>
      </c>
      <c r="AI20" s="77"/>
      <c r="AJ20" s="78">
        <f>IF(VLOOKUP($A20,Table1[#All],_xlfn.XMATCH(AJ$12,Table1[#Headers],0,1),0)=0,"",VLOOKUP($A20,Table1[#All],_xlfn.XMATCH(AJ$12,Table1[#Headers],0,1),0))</f>
        <v>22</v>
      </c>
      <c r="AK20" s="78">
        <f t="shared" si="0"/>
        <v>8.8000000000000007</v>
      </c>
      <c r="AL20" s="76">
        <f>IF(VLOOKUP($A20,Table1[#All],_xlfn.XMATCH(AL$12,Table1[#Headers],0,1),0)=0,"",VLOOKUP($A20,Table1[#All],_xlfn.XMATCH(AL$12,Table1[#Headers],0,1),0))</f>
        <v>1.666666666666667</v>
      </c>
      <c r="AM20" s="77"/>
      <c r="AN20" s="76" t="str">
        <f>IF(VLOOKUP($A20,Table1[#All],_xlfn.XMATCH(AN$12,Table1[#Headers],0,1),0)=0,"",VLOOKUP($A20,Table1[#All],_xlfn.XMATCH(AN$12,Table1[#Headers],0,1),0))</f>
        <v>OED_CRS23)GA250495_B05-AL01_5-B498.pdf</v>
      </c>
      <c r="AO20" s="79" t="str">
        <f ca="1">HYPERLINK(Hulp!$C$5&amp;Beoordeling!AN20,MID(AN20,1,30))</f>
        <v>OED_CRS23)GA250495_B05-AL01_5-</v>
      </c>
      <c r="AP20" s="76">
        <f>IF(VLOOKUP($A20,Table1[#All],_xlfn.XMATCH(AP$12,Table1[#Headers],0,1),0)=0,"",VLOOKUP($A20,Table1[#All],_xlfn.XMATCH(AP$12,Table1[#Headers],0,1),0))</f>
        <v>22</v>
      </c>
      <c r="AQ20" s="80"/>
      <c r="AR20" s="81"/>
      <c r="AS20" s="80"/>
      <c r="AT20" s="77"/>
      <c r="AU20" s="76" t="str">
        <f>IF(VLOOKUP($A20,Table1[#All],_xlfn.XMATCH(AU$12,Table1[#Headers],0,1),0)=0,"",VLOOKUP($A20,Table1[#All],_xlfn.XMATCH(AU$12,Table1[#Headers],0,1),0))</f>
        <v>TX24)GA250495_B05-AL01-5-B498_Greeuw_V01.pdf</v>
      </c>
      <c r="AV20" s="79" t="str">
        <f ca="1">HYPERLINK(Hulp!$C$4&amp;Beoordeling!AU20,MID(AU20,1,20))</f>
        <v>TX24)GA250495_B05-AL</v>
      </c>
      <c r="AW20" s="82"/>
      <c r="AX20" s="82" t="str">
        <f t="shared" si="6"/>
        <v>laag</v>
      </c>
      <c r="AY20" s="81"/>
      <c r="AZ20" s="83"/>
      <c r="BA20" s="77"/>
      <c r="BB20" s="84">
        <f t="shared" si="1"/>
        <v>0.85567010309278368</v>
      </c>
      <c r="BC20" s="84">
        <f t="shared" si="2"/>
        <v>0.86301369863013699</v>
      </c>
      <c r="BD20" s="76" t="str">
        <f>IF(VLOOKUP($A20,Table1[#All],_xlfn.XMATCH(BD$12,Table1[#Headers],0,1),0)=0,"",VLOOKUP($A20,Table1[#All],_xlfn.XMATCH(BD$12,Table1[#Headers],0,1),0))</f>
        <v>OC</v>
      </c>
      <c r="BE20" s="76">
        <f>IF(VLOOKUP($A20,Table1[#All],_xlfn.XMATCH(AL$12,Table1[#Headers],0,1),0)=0,"",VLOOKUP($A20,Table1[#All],_xlfn.XMATCH(AL$12,Table1[#Headers],0,1),0))</f>
        <v>1.666666666666667</v>
      </c>
      <c r="BF20" s="76" t="str">
        <f t="shared" si="4"/>
        <v>NC/OC</v>
      </c>
      <c r="BG20" s="76">
        <f>IF(VLOOKUP($A20,Table1[#All],_xlfn.XMATCH(BG$12,Table1[#Headers],0,1),0)=0,"",VLOOKUP($A20,Table1[#All],_xlfn.XMATCH(BG$12,Table1[#Headers],0,1),0))</f>
        <v>3.1</v>
      </c>
      <c r="BH20" s="76">
        <f t="shared" si="5"/>
        <v>0.48461538461538461</v>
      </c>
      <c r="BI20" s="85"/>
      <c r="BJ20" s="82"/>
      <c r="BK20" s="86" t="str">
        <f t="shared" si="3"/>
        <v>aflopend</v>
      </c>
      <c r="BL20" s="82"/>
      <c r="BM20" s="82"/>
      <c r="BN20" s="82"/>
      <c r="BO20" s="77"/>
      <c r="BP20" s="81"/>
      <c r="BQ20" s="81"/>
      <c r="BR20" s="81"/>
      <c r="BS20" s="77"/>
      <c r="BT20" s="76" t="str">
        <f>IF(VLOOKUP($A20,Table1[#All],_xlfn.XMATCH(BT$12,Table1[#Headers],0,1),0)=0,"",VLOOKUP($A20,Table1[#All],_xlfn.XMATCH(BT$12,Table1[#Headers],0,1),0))</f>
        <v/>
      </c>
      <c r="BU20" s="79" t="str">
        <f ca="1">HYPERLINK(Hulp!$C$3&amp;Beoordeling!BT20,BT20)</f>
        <v/>
      </c>
      <c r="BV20" s="77"/>
      <c r="BW20" s="81"/>
      <c r="BX20" s="81"/>
      <c r="BY20" s="81"/>
    </row>
    <row r="21" spans="1:77" x14ac:dyDescent="0.3">
      <c r="A21" s="75" t="s">
        <v>1391</v>
      </c>
      <c r="B21" s="76" t="str">
        <f>IF(VLOOKUP($A21,Table1[#All],_xlfn.XMATCH(B$12,Table1[#Headers],0,1),0)=0,"",VLOOKUP($A21,Table1[#All],_xlfn.XMATCH(B$12,Table1[#Headers],0,1),0))</f>
        <v>TXT_voorbeeld</v>
      </c>
      <c r="C21" s="76" t="str">
        <f>IF(VLOOKUP($A21,Table1[#All],_xlfn.XMATCH(C$12,Table1[#Headers],0,1),0)=0,"",VLOOKUP($A21,Table1[#All],_xlfn.XMATCH(C$12,Table1[#Headers],0,1),0))</f>
        <v/>
      </c>
      <c r="D21" s="77"/>
      <c r="E21" s="76" t="str">
        <f>IF(VLOOKUP($A21,Table1[#All],_xlfn.XMATCH(E$12,Table1[#Headers],0,1),0)=0,"",VLOOKUP($A21,Table1[#All],_xlfn.XMATCH(E$12,Table1[#Headers],0,1),0))</f>
        <v>Polderdijk</v>
      </c>
      <c r="F21" s="76" t="str">
        <f>IF(VLOOKUP($A21,Table1[#All],_xlfn.XMATCH(F$12,Table1[#Headers],0,1),0)=0,"",VLOOKUP($A21,Table1[#All],_xlfn.XMATCH(F$12,Table1[#Headers],0,1),0))</f>
        <v>Regionaal</v>
      </c>
      <c r="G21" s="76" t="str">
        <f>IF(VLOOKUP($A21,Table1[#All],_xlfn.XMATCH(G$12,Table1[#Headers],0,1),0)=0,"",VLOOKUP($A21,Table1[#All],_xlfn.XMATCH(G$12,Table1[#Headers],0,1),0))</f>
        <v>B05-AL01</v>
      </c>
      <c r="H21" s="76" t="str">
        <f>IF(VLOOKUP($A21,Table1[#All],_xlfn.XMATCH(H$12,Table1[#Headers],0,1),0)=0,"",VLOOKUP($A21,Table1[#All],_xlfn.XMATCH(H$12,Table1[#Headers],0,1),0))</f>
        <v>AL</v>
      </c>
      <c r="I21" s="76">
        <f>IF(VLOOKUP($A21,Table1[#All],_xlfn.XMATCH(I$12,Table1[#Headers],0,1),0)=0,"",VLOOKUP($A21,Table1[#All],_xlfn.XMATCH(I$12,Table1[#Headers],0,1),0))</f>
        <v>-7.0609999999999999</v>
      </c>
      <c r="J21" s="76">
        <f>IF(VLOOKUP($A21,Table1[#All],_xlfn.XMATCH(J$12,Table1[#Headers],0,1),0)=0,"",VLOOKUP($A21,Table1[#All],_xlfn.XMATCH(J$12,Table1[#Headers],0,1),0))</f>
        <v>4.8</v>
      </c>
      <c r="K21" s="77"/>
      <c r="L21" s="76" t="str">
        <f>IF(VLOOKUP($A21,Table1[#All],_xlfn.XMATCH(L$12,Table1[#Headers],0,1),0)=0,"",VLOOKUP($A21,Table1[#All],_xlfn.XMATCH(L$12,Table1[#Headers],0,1),0))</f>
        <v>Klei, zandig, sterk, organisch, zwak, plantenresten, weinig, grijs, neutraal, Pulsinstallatie machinaal</v>
      </c>
      <c r="M21" s="76">
        <f>IF(VLOOKUP($A21,Table1[#All],_xlfn.XMATCH(M$12,Table1[#Headers],0,1),0)=0,"",VLOOKUP($A21,Table1[#All],_xlfn.XMATCH(M$12,Table1[#Headers],0,1),0))</f>
        <v>15.6</v>
      </c>
      <c r="N21" s="76">
        <f>IF(VLOOKUP($A21,Table1[#All],_xlfn.XMATCH(N$12,Table1[#Headers],0,1),0)=0,"",VLOOKUP($A21,Table1[#All],_xlfn.XMATCH(N$12,Table1[#Headers],0,1),0))</f>
        <v>9.6999999999999993</v>
      </c>
      <c r="O21" s="76">
        <f>IF(VLOOKUP($A21,Table1[#All],_xlfn.XMATCH(O$12,Table1[#Headers],0,1),0)=0,"",VLOOKUP($A21,Table1[#All],_xlfn.XMATCH(O$12,Table1[#Headers],0,1),0))</f>
        <v>61.2</v>
      </c>
      <c r="P21" s="76" t="str">
        <f>IF(VLOOKUP($A21,Table1[#All],_xlfn.XMATCH(P$12,Table1[#Headers],0,1),0)=0,"",VLOOKUP($A21,Table1[#All],_xlfn.XMATCH(P$12,Table1[#Headers],0,1),0))</f>
        <v/>
      </c>
      <c r="Q21" s="76" t="str">
        <f>IF(VLOOKUP($A21,Table1[#All],_xlfn.XMATCH(Q$12,Table1[#Headers],0,1),0)=0,"",VLOOKUP($A21,Table1[#All],_xlfn.XMATCH(Q$12,Table1[#Headers],0,1),0))</f>
        <v/>
      </c>
      <c r="R21" s="76" t="str">
        <f>IF(VLOOKUP($A21,Table1[#All],_xlfn.XMATCH(R$12,Table1[#Headers],0,1),0)=0,"",VLOOKUP($A21,Table1[#All],_xlfn.XMATCH(R$12,Table1[#Headers],0,1),0))</f>
        <v/>
      </c>
      <c r="S21" s="76">
        <f>IF(VLOOKUP($A21,Table1[#All],_xlfn.XMATCH(S$12,Table1[#Headers],0,1),0)=0,"",VLOOKUP($A21,Table1[#All],_xlfn.XMATCH(S$12,Table1[#Headers],0,1),0))</f>
        <v>16.2</v>
      </c>
      <c r="T21" s="76">
        <f>IF(VLOOKUP($A21,Table1[#All],_xlfn.XMATCH(T$12,Table1[#Headers],0,1),0)=0,"",VLOOKUP($A21,Table1[#All],_xlfn.XMATCH(T$12,Table1[#Headers],0,1),0))</f>
        <v>10.9</v>
      </c>
      <c r="U21" s="76">
        <f>IF(VLOOKUP($A21,Table1[#All],_xlfn.XMATCH(U$12,Table1[#Headers],0,1),0)=0,"",VLOOKUP($A21,Table1[#All],_xlfn.XMATCH(U$12,Table1[#Headers],0,1),0))</f>
        <v>48.9</v>
      </c>
      <c r="V21" s="77"/>
      <c r="W21" s="76">
        <f>IF(VLOOKUP($A21,Table1[#All],_xlfn.XMATCH(W$12,Table1[#Headers],0,1),0)=0,"",VLOOKUP($A21,Table1[#All],_xlfn.XMATCH(W$12,Table1[#Headers],0,1),0))</f>
        <v>24</v>
      </c>
      <c r="X21" s="76">
        <f>IF(VLOOKUP($A21,Table1[#All],_xlfn.XMATCH(X$12,Table1[#Headers],0,1),0)=0,"",VLOOKUP($A21,Table1[#All],_xlfn.XMATCH(X$12,Table1[#Headers],0,1),0))</f>
        <v>24</v>
      </c>
      <c r="Y21" s="76" t="str">
        <f>IF(VLOOKUP($A21,Table1[#All],_xlfn.XMATCH(Y$12,Table1[#Headers],0,1),0)=0,"",VLOOKUP($A21,Table1[#All],_xlfn.XMATCH(Y$12,Table1[#Headers],0,1),0))</f>
        <v>OC</v>
      </c>
      <c r="Z21" s="76">
        <f>IF(VLOOKUP($A21,Table1[#All],_xlfn.XMATCH(Z$12,Table1[#Headers],0,1),0)=0,"",VLOOKUP($A21,Table1[#All],_xlfn.XMATCH(Z$12,Table1[#Headers],0,1),0))</f>
        <v>19.2</v>
      </c>
      <c r="AA21" s="76">
        <f>IF(VLOOKUP($A21,Table1[#All],_xlfn.XMATCH(AA$12,Table1[#Headers],0,1),0)=0,"",VLOOKUP($A21,Table1[#All],_xlfn.XMATCH(AA$12,Table1[#Headers],0,1),0))</f>
        <v>4.8</v>
      </c>
      <c r="AB21" s="76">
        <f>IF(VLOOKUP($A21,Table1[#All],_xlfn.XMATCH(AB$12,Table1[#Headers],0,1),0)=0,"",VLOOKUP($A21,Table1[#All],_xlfn.XMATCH(AB$12,Table1[#Headers],0,1),0))</f>
        <v>0.6</v>
      </c>
      <c r="AC21" s="76">
        <f>IF(VLOOKUP($A21,Table1[#All],_xlfn.XMATCH(AC$12,Table1[#Headers],0,1),0)=0,"",VLOOKUP($A21,Table1[#All],_xlfn.XMATCH(AC$12,Table1[#Headers],0,1),0))</f>
        <v>1.4</v>
      </c>
      <c r="AD21" s="77"/>
      <c r="AE21" s="76">
        <f>IF(VLOOKUP($A21,Table1[#All],_xlfn.XMATCH(AE$12,Table1[#Headers],0,1),0)=0,"",VLOOKUP($A21,Table1[#All],_xlfn.XMATCH(AE$12,Table1[#Headers],0,1),0))</f>
        <v>16.5</v>
      </c>
      <c r="AF21" s="76">
        <f>IF(VLOOKUP($A21,Table1[#All],_xlfn.XMATCH(AF$12,Table1[#Headers],0,1),0)=0,"",VLOOKUP($A21,Table1[#All],_xlfn.XMATCH(AF$12,Table1[#Headers],0,1),0))</f>
        <v>15.8</v>
      </c>
      <c r="AG21" s="76">
        <f>IF(VLOOKUP($A21,Table1[#All],_xlfn.XMATCH(AG$12,Table1[#Headers],0,1),0)=0,"",VLOOKUP($A21,Table1[#All],_xlfn.XMATCH(AG$12,Table1[#Headers],0,1),0))</f>
        <v>16.2</v>
      </c>
      <c r="AH21" s="76">
        <f>IF(VLOOKUP($A21,Table1[#All],_xlfn.XMATCH(AH$12,Table1[#Headers],0,1),0)=0,"",VLOOKUP($A21,Table1[#All],_xlfn.XMATCH(AH$12,Table1[#Headers],0,1),0))</f>
        <v>10.7</v>
      </c>
      <c r="AI21" s="77"/>
      <c r="AJ21" s="78">
        <f>IF(VLOOKUP($A21,Table1[#All],_xlfn.XMATCH(AJ$12,Table1[#Headers],0,1),0)=0,"",VLOOKUP($A21,Table1[#All],_xlfn.XMATCH(AJ$12,Table1[#Headers],0,1),0))</f>
        <v>40.5</v>
      </c>
      <c r="AK21" s="78">
        <f t="shared" si="0"/>
        <v>16.5</v>
      </c>
      <c r="AL21" s="76">
        <f>IF(VLOOKUP($A21,Table1[#All],_xlfn.XMATCH(AL$12,Table1[#Headers],0,1),0)=0,"",VLOOKUP($A21,Table1[#All],_xlfn.XMATCH(AL$12,Table1[#Headers],0,1),0))</f>
        <v>1.6875</v>
      </c>
      <c r="AM21" s="77"/>
      <c r="AN21" s="76" t="str">
        <f>IF(VLOOKUP($A21,Table1[#All],_xlfn.XMATCH(AN$12,Table1[#Headers],0,1),0)=0,"",VLOOKUP($A21,Table1[#All],_xlfn.XMATCH(AN$12,Table1[#Headers],0,1),0))</f>
        <v>OED_CRS24)GA250495_B05-AL01_11-756.pdf</v>
      </c>
      <c r="AO21" s="79" t="str">
        <f ca="1">HYPERLINK(Hulp!$C$5&amp;Beoordeling!AN21,MID(AN21,1,30))</f>
        <v>OED_CRS24)GA250495_B05-AL01_11</v>
      </c>
      <c r="AP21" s="76">
        <f>IF(VLOOKUP($A21,Table1[#All],_xlfn.XMATCH(AP$12,Table1[#Headers],0,1),0)=0,"",VLOOKUP($A21,Table1[#All],_xlfn.XMATCH(AP$12,Table1[#Headers],0,1),0))</f>
        <v>40.5</v>
      </c>
      <c r="AQ21" s="80"/>
      <c r="AR21" s="81"/>
      <c r="AS21" s="80"/>
      <c r="AT21" s="77"/>
      <c r="AU21" s="76" t="str">
        <f>IF(VLOOKUP($A21,Table1[#All],_xlfn.XMATCH(AU$12,Table1[#Headers],0,1),0)=0,"",VLOOKUP($A21,Table1[#All],_xlfn.XMATCH(AU$12,Table1[#Headers],0,1),0))</f>
        <v>TX25)GA250495_B05-AL01-11-756_Greeuw_V01.pdf</v>
      </c>
      <c r="AV21" s="79" t="str">
        <f ca="1">HYPERLINK(Hulp!$C$4&amp;Beoordeling!AU21,MID(AU21,1,20))</f>
        <v>TX25)GA250495_B05-AL</v>
      </c>
      <c r="AW21" s="82"/>
      <c r="AX21" s="82" t="str">
        <f t="shared" ref="AX21:AX29" si="7">IF(AC21&lt;$AX$5,"laag",IF(AC21&gt;$AX$7,"hoog","middel"))</f>
        <v>laag</v>
      </c>
      <c r="AY21" s="81"/>
      <c r="AZ21" s="83"/>
      <c r="BA21" s="77"/>
      <c r="BB21" s="84">
        <f t="shared" si="1"/>
        <v>0.859375</v>
      </c>
      <c r="BC21" s="84">
        <f t="shared" si="2"/>
        <v>0.67721518987341767</v>
      </c>
      <c r="BD21" s="76" t="str">
        <f>IF(VLOOKUP($A21,Table1[#All],_xlfn.XMATCH(BD$12,Table1[#Headers],0,1),0)=0,"",VLOOKUP($A21,Table1[#All],_xlfn.XMATCH(BD$12,Table1[#Headers],0,1),0))</f>
        <v>OC</v>
      </c>
      <c r="BE21" s="76">
        <f>IF(VLOOKUP($A21,Table1[#All],_xlfn.XMATCH(AL$12,Table1[#Headers],0,1),0)=0,"",VLOOKUP($A21,Table1[#All],_xlfn.XMATCH(AL$12,Table1[#Headers],0,1),0))</f>
        <v>1.6875</v>
      </c>
      <c r="BF21" s="76" t="str">
        <f t="shared" ref="BF21:BF29" si="8">IF(BB21&lt;$BB$4,"NC",IF(BB21&gt;$BB$7,"OC sterk",IF(BB21&gt;$BB$6,"OC matig","NC/OC")))</f>
        <v>NC/OC</v>
      </c>
      <c r="BG21" s="76">
        <f>IF(VLOOKUP($A21,Table1[#All],_xlfn.XMATCH(BG$12,Table1[#Headers],0,1),0)=0,"",VLOOKUP($A21,Table1[#All],_xlfn.XMATCH(BG$12,Table1[#Headers],0,1),0))</f>
        <v>3</v>
      </c>
      <c r="BH21" s="76">
        <f t="shared" si="5"/>
        <v>0.4458333333333333</v>
      </c>
      <c r="BI21" s="85"/>
      <c r="BJ21" s="82"/>
      <c r="BK21" s="86" t="str">
        <f t="shared" si="3"/>
        <v>sterk aflopend</v>
      </c>
      <c r="BL21" s="82"/>
      <c r="BM21" s="82"/>
      <c r="BN21" s="82"/>
      <c r="BO21" s="77"/>
      <c r="BP21" s="81"/>
      <c r="BQ21" s="81"/>
      <c r="BR21" s="81"/>
      <c r="BS21" s="77"/>
      <c r="BT21" s="76" t="str">
        <f>IF(VLOOKUP($A21,Table1[#All],_xlfn.XMATCH(BT$12,Table1[#Headers],0,1),0)=0,"",VLOOKUP($A21,Table1[#All],_xlfn.XMATCH(BT$12,Table1[#Headers],0,1),0))</f>
        <v/>
      </c>
      <c r="BU21" s="79" t="str">
        <f ca="1">HYPERLINK(Hulp!$C$3&amp;Beoordeling!BT21,BT21)</f>
        <v/>
      </c>
      <c r="BV21" s="77"/>
      <c r="BW21" s="81"/>
      <c r="BX21" s="81"/>
      <c r="BY21" s="81"/>
    </row>
    <row r="22" spans="1:77" x14ac:dyDescent="0.3">
      <c r="A22" s="75" t="s">
        <v>1392</v>
      </c>
      <c r="B22" s="76" t="str">
        <f>IF(VLOOKUP($A22,Table1[#All],_xlfn.XMATCH(B$12,Table1[#Headers],0,1),0)=0,"",VLOOKUP($A22,Table1[#All],_xlfn.XMATCH(B$12,Table1[#Headers],0,1),0))</f>
        <v>TXT_voorbeeld</v>
      </c>
      <c r="C22" s="76" t="str">
        <f>IF(VLOOKUP($A22,Table1[#All],_xlfn.XMATCH(C$12,Table1[#Headers],0,1),0)=0,"",VLOOKUP($A22,Table1[#All],_xlfn.XMATCH(C$12,Table1[#Headers],0,1),0))</f>
        <v/>
      </c>
      <c r="D22" s="77"/>
      <c r="E22" s="76" t="str">
        <f>IF(VLOOKUP($A22,Table1[#All],_xlfn.XMATCH(E$12,Table1[#Headers],0,1),0)=0,"",VLOOKUP($A22,Table1[#All],_xlfn.XMATCH(E$12,Table1[#Headers],0,1),0))</f>
        <v>Polderdijk</v>
      </c>
      <c r="F22" s="76" t="str">
        <f>IF(VLOOKUP($A22,Table1[#All],_xlfn.XMATCH(F$12,Table1[#Headers],0,1),0)=0,"",VLOOKUP($A22,Table1[#All],_xlfn.XMATCH(F$12,Table1[#Headers],0,1),0))</f>
        <v>Regionaal</v>
      </c>
      <c r="G22" s="76" t="str">
        <f>IF(VLOOKUP($A22,Table1[#All],_xlfn.XMATCH(G$12,Table1[#Headers],0,1),0)=0,"",VLOOKUP($A22,Table1[#All],_xlfn.XMATCH(G$12,Table1[#Headers],0,1),0))</f>
        <v>B06-AL01</v>
      </c>
      <c r="H22" s="76" t="str">
        <f>IF(VLOOKUP($A22,Table1[#All],_xlfn.XMATCH(H$12,Table1[#Headers],0,1),0)=0,"",VLOOKUP($A22,Table1[#All],_xlfn.XMATCH(H$12,Table1[#Headers],0,1),0))</f>
        <v>AL</v>
      </c>
      <c r="I22" s="76">
        <f>IF(VLOOKUP($A22,Table1[#All],_xlfn.XMATCH(I$12,Table1[#Headers],0,1),0)=0,"",VLOOKUP($A22,Table1[#All],_xlfn.XMATCH(I$12,Table1[#Headers],0,1),0))</f>
        <v>-4.58</v>
      </c>
      <c r="J22" s="76">
        <f>IF(VLOOKUP($A22,Table1[#All],_xlfn.XMATCH(J$12,Table1[#Headers],0,1),0)=0,"",VLOOKUP($A22,Table1[#All],_xlfn.XMATCH(J$12,Table1[#Headers],0,1),0))</f>
        <v>1.6</v>
      </c>
      <c r="K22" s="77"/>
      <c r="L22" s="76" t="str">
        <f>IF(VLOOKUP($A22,Table1[#All],_xlfn.XMATCH(L$12,Table1[#Headers],0,1),0)=0,"",VLOOKUP($A22,Table1[#All],_xlfn.XMATCH(L$12,Table1[#Headers],0,1),0))</f>
        <v>Klei, zandig, zwak, organisch, zwak, plantenresten, weinig, grijs, neutraal, Pulsinstallatie machinaal</v>
      </c>
      <c r="M22" s="76">
        <f>IF(VLOOKUP($A22,Table1[#All],_xlfn.XMATCH(M$12,Table1[#Headers],0,1),0)=0,"",VLOOKUP($A22,Table1[#All],_xlfn.XMATCH(M$12,Table1[#Headers],0,1),0))</f>
        <v>15.8</v>
      </c>
      <c r="N22" s="76">
        <f>IF(VLOOKUP($A22,Table1[#All],_xlfn.XMATCH(N$12,Table1[#Headers],0,1),0)=0,"",VLOOKUP($A22,Table1[#All],_xlfn.XMATCH(N$12,Table1[#Headers],0,1),0))</f>
        <v>10.6</v>
      </c>
      <c r="O22" s="76">
        <f>IF(VLOOKUP($A22,Table1[#All],_xlfn.XMATCH(O$12,Table1[#Headers],0,1),0)=0,"",VLOOKUP($A22,Table1[#All],_xlfn.XMATCH(O$12,Table1[#Headers],0,1),0))</f>
        <v>49</v>
      </c>
      <c r="P22" s="76" t="str">
        <f>IF(VLOOKUP($A22,Table1[#All],_xlfn.XMATCH(P$12,Table1[#Headers],0,1),0)=0,"",VLOOKUP($A22,Table1[#All],_xlfn.XMATCH(P$12,Table1[#Headers],0,1),0))</f>
        <v/>
      </c>
      <c r="Q22" s="76" t="str">
        <f>IF(VLOOKUP($A22,Table1[#All],_xlfn.XMATCH(Q$12,Table1[#Headers],0,1),0)=0,"",VLOOKUP($A22,Table1[#All],_xlfn.XMATCH(Q$12,Table1[#Headers],0,1),0))</f>
        <v/>
      </c>
      <c r="R22" s="76" t="str">
        <f>IF(VLOOKUP($A22,Table1[#All],_xlfn.XMATCH(R$12,Table1[#Headers],0,1),0)=0,"",VLOOKUP($A22,Table1[#All],_xlfn.XMATCH(R$12,Table1[#Headers],0,1),0))</f>
        <v/>
      </c>
      <c r="S22" s="76">
        <f>IF(VLOOKUP($A22,Table1[#All],_xlfn.XMATCH(S$12,Table1[#Headers],0,1),0)=0,"",VLOOKUP($A22,Table1[#All],_xlfn.XMATCH(S$12,Table1[#Headers],0,1),0))</f>
        <v>13.6</v>
      </c>
      <c r="T22" s="76">
        <f>IF(VLOOKUP($A22,Table1[#All],_xlfn.XMATCH(T$12,Table1[#Headers],0,1),0)=0,"",VLOOKUP($A22,Table1[#All],_xlfn.XMATCH(T$12,Table1[#Headers],0,1),0))</f>
        <v>6.6</v>
      </c>
      <c r="U22" s="76">
        <f>IF(VLOOKUP($A22,Table1[#All],_xlfn.XMATCH(U$12,Table1[#Headers],0,1),0)=0,"",VLOOKUP($A22,Table1[#All],_xlfn.XMATCH(U$12,Table1[#Headers],0,1),0))</f>
        <v>105</v>
      </c>
      <c r="V22" s="77"/>
      <c r="W22" s="76">
        <f>IF(VLOOKUP($A22,Table1[#All],_xlfn.XMATCH(W$12,Table1[#Headers],0,1),0)=0,"",VLOOKUP($A22,Table1[#All],_xlfn.XMATCH(W$12,Table1[#Headers],0,1),0))</f>
        <v>8.5</v>
      </c>
      <c r="X22" s="76">
        <f>IF(VLOOKUP($A22,Table1[#All],_xlfn.XMATCH(X$12,Table1[#Headers],0,1),0)=0,"",VLOOKUP($A22,Table1[#All],_xlfn.XMATCH(X$12,Table1[#Headers],0,1),0))</f>
        <v>9</v>
      </c>
      <c r="Y22" s="76" t="str">
        <f>IF(VLOOKUP($A22,Table1[#All],_xlfn.XMATCH(Y$12,Table1[#Headers],0,1),0)=0,"",VLOOKUP($A22,Table1[#All],_xlfn.XMATCH(Y$12,Table1[#Headers],0,1),0))</f>
        <v>OC</v>
      </c>
      <c r="Z22" s="76">
        <f>IF(VLOOKUP($A22,Table1[#All],_xlfn.XMATCH(Z$12,Table1[#Headers],0,1),0)=0,"",VLOOKUP($A22,Table1[#All],_xlfn.XMATCH(Z$12,Table1[#Headers],0,1),0))</f>
        <v>7.2</v>
      </c>
      <c r="AA22" s="76">
        <f>IF(VLOOKUP($A22,Table1[#All],_xlfn.XMATCH(AA$12,Table1[#Headers],0,1),0)=0,"",VLOOKUP($A22,Table1[#All],_xlfn.XMATCH(AA$12,Table1[#Headers],0,1),0))</f>
        <v>1.8</v>
      </c>
      <c r="AB22" s="76">
        <f>IF(VLOOKUP($A22,Table1[#All],_xlfn.XMATCH(AB$12,Table1[#Headers],0,1),0)=0,"",VLOOKUP($A22,Table1[#All],_xlfn.XMATCH(AB$12,Table1[#Headers],0,1),0))</f>
        <v>0.59</v>
      </c>
      <c r="AC22" s="76">
        <f>IF(VLOOKUP($A22,Table1[#All],_xlfn.XMATCH(AC$12,Table1[#Headers],0,1),0)=0,"",VLOOKUP($A22,Table1[#All],_xlfn.XMATCH(AC$12,Table1[#Headers],0,1),0))</f>
        <v>1.6</v>
      </c>
      <c r="AD22" s="77"/>
      <c r="AE22" s="76">
        <f>IF(VLOOKUP($A22,Table1[#All],_xlfn.XMATCH(AE$12,Table1[#Headers],0,1),0)=0,"",VLOOKUP($A22,Table1[#All],_xlfn.XMATCH(AE$12,Table1[#Headers],0,1),0))</f>
        <v>10.7</v>
      </c>
      <c r="AF22" s="76">
        <f>IF(VLOOKUP($A22,Table1[#All],_xlfn.XMATCH(AF$12,Table1[#Headers],0,1),0)=0,"",VLOOKUP($A22,Table1[#All],_xlfn.XMATCH(AF$12,Table1[#Headers],0,1),0))</f>
        <v>8.1</v>
      </c>
      <c r="AG22" s="76">
        <f>IF(VLOOKUP($A22,Table1[#All],_xlfn.XMATCH(AG$12,Table1[#Headers],0,1),0)=0,"",VLOOKUP($A22,Table1[#All],_xlfn.XMATCH(AG$12,Table1[#Headers],0,1),0))</f>
        <v>8.5</v>
      </c>
      <c r="AH22" s="76">
        <f>IF(VLOOKUP($A22,Table1[#All],_xlfn.XMATCH(AH$12,Table1[#Headers],0,1),0)=0,"",VLOOKUP($A22,Table1[#All],_xlfn.XMATCH(AH$12,Table1[#Headers],0,1),0))</f>
        <v>7.5</v>
      </c>
      <c r="AI22" s="77"/>
      <c r="AJ22" s="78">
        <f>IF(VLOOKUP($A22,Table1[#All],_xlfn.XMATCH(AJ$12,Table1[#Headers],0,1),0)=0,"",VLOOKUP($A22,Table1[#All],_xlfn.XMATCH(AJ$12,Table1[#Headers],0,1),0))</f>
        <v>30</v>
      </c>
      <c r="AK22" s="78">
        <f t="shared" si="0"/>
        <v>21.5</v>
      </c>
      <c r="AL22" s="76">
        <f>IF(VLOOKUP($A22,Table1[#All],_xlfn.XMATCH(AL$12,Table1[#Headers],0,1),0)=0,"",VLOOKUP($A22,Table1[#All],_xlfn.XMATCH(AL$12,Table1[#Headers],0,1),0))</f>
        <v>3.5294117647058818</v>
      </c>
      <c r="AM22" s="77"/>
      <c r="AN22" s="76" t="str">
        <f>IF(VLOOKUP($A22,Table1[#All],_xlfn.XMATCH(AN$12,Table1[#Headers],0,1),0)=0,"",VLOOKUP($A22,Table1[#All],_xlfn.XMATCH(AN$12,Table1[#Headers],0,1),0))</f>
        <v>OED_CRS74)GA250495_B06-AL01_3-318.pdf</v>
      </c>
      <c r="AO22" s="79" t="str">
        <f ca="1">HYPERLINK(Hulp!$C$5&amp;Beoordeling!AN22,MID(AN22,1,30))</f>
        <v>OED_CRS74)GA250495_B06-AL01_3-</v>
      </c>
      <c r="AP22" s="76">
        <f>IF(VLOOKUP($A22,Table1[#All],_xlfn.XMATCH(AP$12,Table1[#Headers],0,1),0)=0,"",VLOOKUP($A22,Table1[#All],_xlfn.XMATCH(AP$12,Table1[#Headers],0,1),0))</f>
        <v>18.7</v>
      </c>
      <c r="AQ22" s="80"/>
      <c r="AR22" s="81"/>
      <c r="AS22" s="80"/>
      <c r="AT22" s="77"/>
      <c r="AU22" s="76" t="str">
        <f>IF(VLOOKUP($A22,Table1[#All],_xlfn.XMATCH(AU$12,Table1[#Headers],0,1),0)=0,"",VLOOKUP($A22,Table1[#All],_xlfn.XMATCH(AU$12,Table1[#Headers],0,1),0))</f>
        <v>TX103)GA250495_B06-AL01-3-318_Greeuw_V01.pdf</v>
      </c>
      <c r="AV22" s="79" t="str">
        <f ca="1">HYPERLINK(Hulp!$C$4&amp;Beoordeling!AU22,MID(AU22,1,20))</f>
        <v>TX103)GA250495_B06-A</v>
      </c>
      <c r="AW22" s="82"/>
      <c r="AX22" s="82" t="str">
        <f t="shared" si="7"/>
        <v>laag</v>
      </c>
      <c r="AY22" s="81"/>
      <c r="AZ22" s="83"/>
      <c r="BA22" s="77"/>
      <c r="BB22" s="84">
        <f t="shared" si="1"/>
        <v>1.4861111111111109</v>
      </c>
      <c r="BC22" s="84">
        <f t="shared" si="2"/>
        <v>0.92592592592592593</v>
      </c>
      <c r="BD22" s="76" t="str">
        <f>IF(VLOOKUP($A22,Table1[#All],_xlfn.XMATCH(BD$12,Table1[#Headers],0,1),0)=0,"",VLOOKUP($A22,Table1[#All],_xlfn.XMATCH(BD$12,Table1[#Headers],0,1),0))</f>
        <v>OC</v>
      </c>
      <c r="BE22" s="76">
        <f>IF(VLOOKUP($A22,Table1[#All],_xlfn.XMATCH(AL$12,Table1[#Headers],0,1),0)=0,"",VLOOKUP($A22,Table1[#All],_xlfn.XMATCH(AL$12,Table1[#Headers],0,1),0))</f>
        <v>3.5294117647058818</v>
      </c>
      <c r="BF22" s="76" t="str">
        <f t="shared" si="8"/>
        <v>OC matig</v>
      </c>
      <c r="BG22" s="76">
        <f>IF(VLOOKUP($A22,Table1[#All],_xlfn.XMATCH(BG$12,Table1[#Headers],0,1),0)=0,"",VLOOKUP($A22,Table1[#All],_xlfn.XMATCH(BG$12,Table1[#Headers],0,1),0))</f>
        <v>3.3</v>
      </c>
      <c r="BH22" s="76">
        <f t="shared" ref="BH22:BH29" si="9">AH22/X22</f>
        <v>0.83333333333333337</v>
      </c>
      <c r="BI22" s="85"/>
      <c r="BJ22" s="82"/>
      <c r="BK22" s="86" t="str">
        <f t="shared" si="3"/>
        <v>constant</v>
      </c>
      <c r="BL22" s="82"/>
      <c r="BM22" s="82"/>
      <c r="BN22" s="82"/>
      <c r="BO22" s="77"/>
      <c r="BP22" s="81"/>
      <c r="BQ22" s="81"/>
      <c r="BR22" s="81"/>
      <c r="BS22" s="77"/>
      <c r="BT22" s="76" t="str">
        <f>IF(VLOOKUP($A22,Table1[#All],_xlfn.XMATCH(BT$12,Table1[#Headers],0,1),0)=0,"",VLOOKUP($A22,Table1[#All],_xlfn.XMATCH(BT$12,Table1[#Headers],0,1),0))</f>
        <v/>
      </c>
      <c r="BU22" s="79" t="str">
        <f ca="1">HYPERLINK(Hulp!$C$3&amp;Beoordeling!BT22,BT22)</f>
        <v/>
      </c>
      <c r="BV22" s="77"/>
      <c r="BW22" s="81"/>
      <c r="BX22" s="81"/>
      <c r="BY22" s="81"/>
    </row>
    <row r="23" spans="1:77" x14ac:dyDescent="0.3">
      <c r="A23" s="75" t="s">
        <v>1393</v>
      </c>
      <c r="B23" s="76" t="str">
        <f>IF(VLOOKUP($A23,Table1[#All],_xlfn.XMATCH(B$12,Table1[#Headers],0,1),0)=0,"",VLOOKUP($A23,Table1[#All],_xlfn.XMATCH(B$12,Table1[#Headers],0,1),0))</f>
        <v>TXT_voorbeeld</v>
      </c>
      <c r="C23" s="76" t="str">
        <f>IF(VLOOKUP($A23,Table1[#All],_xlfn.XMATCH(C$12,Table1[#Headers],0,1),0)=0,"",VLOOKUP($A23,Table1[#All],_xlfn.XMATCH(C$12,Table1[#Headers],0,1),0))</f>
        <v/>
      </c>
      <c r="D23" s="77"/>
      <c r="E23" s="76" t="str">
        <f>IF(VLOOKUP($A23,Table1[#All],_xlfn.XMATCH(E$12,Table1[#Headers],0,1),0)=0,"",VLOOKUP($A23,Table1[#All],_xlfn.XMATCH(E$12,Table1[#Headers],0,1),0))</f>
        <v>Polderdijk</v>
      </c>
      <c r="F23" s="76" t="str">
        <f>IF(VLOOKUP($A23,Table1[#All],_xlfn.XMATCH(F$12,Table1[#Headers],0,1),0)=0,"",VLOOKUP($A23,Table1[#All],_xlfn.XMATCH(F$12,Table1[#Headers],0,1),0))</f>
        <v>Regionaal</v>
      </c>
      <c r="G23" s="76" t="str">
        <f>IF(VLOOKUP($A23,Table1[#All],_xlfn.XMATCH(G$12,Table1[#Headers],0,1),0)=0,"",VLOOKUP($A23,Table1[#All],_xlfn.XMATCH(G$12,Table1[#Headers],0,1),0))</f>
        <v>B07-AL01</v>
      </c>
      <c r="H23" s="76" t="str">
        <f>IF(VLOOKUP($A23,Table1[#All],_xlfn.XMATCH(H$12,Table1[#Headers],0,1),0)=0,"",VLOOKUP($A23,Table1[#All],_xlfn.XMATCH(H$12,Table1[#Headers],0,1),0))</f>
        <v>AL</v>
      </c>
      <c r="I23" s="76">
        <f>IF(VLOOKUP($A23,Table1[#All],_xlfn.XMATCH(I$12,Table1[#Headers],0,1),0)=0,"",VLOOKUP($A23,Table1[#All],_xlfn.XMATCH(I$12,Table1[#Headers],0,1),0))</f>
        <v>-4.5810000000000004</v>
      </c>
      <c r="J23" s="76">
        <f>IF(VLOOKUP($A23,Table1[#All],_xlfn.XMATCH(J$12,Table1[#Headers],0,1),0)=0,"",VLOOKUP($A23,Table1[#All],_xlfn.XMATCH(J$12,Table1[#Headers],0,1),0))</f>
        <v>2.4</v>
      </c>
      <c r="K23" s="77"/>
      <c r="L23" s="76" t="str">
        <f>IF(VLOOKUP($A23,Table1[#All],_xlfn.XMATCH(L$12,Table1[#Headers],0,1),0)=0,"",VLOOKUP($A23,Table1[#All],_xlfn.XMATCH(L$12,Table1[#Headers],0,1),0))</f>
        <v>Klei, zandig, zwak, organisch, zwak, plantenresten, weinig, grijs, neutraal, Pulsinstallatie machinaal</v>
      </c>
      <c r="M23" s="76">
        <f>IF(VLOOKUP($A23,Table1[#All],_xlfn.XMATCH(M$12,Table1[#Headers],0,1),0)=0,"",VLOOKUP($A23,Table1[#All],_xlfn.XMATCH(M$12,Table1[#Headers],0,1),0))</f>
        <v>14</v>
      </c>
      <c r="N23" s="76">
        <f>IF(VLOOKUP($A23,Table1[#All],_xlfn.XMATCH(N$12,Table1[#Headers],0,1),0)=0,"",VLOOKUP($A23,Table1[#All],_xlfn.XMATCH(N$12,Table1[#Headers],0,1),0))</f>
        <v>7</v>
      </c>
      <c r="O23" s="76">
        <f>IF(VLOOKUP($A23,Table1[#All],_xlfn.XMATCH(O$12,Table1[#Headers],0,1),0)=0,"",VLOOKUP($A23,Table1[#All],_xlfn.XMATCH(O$12,Table1[#Headers],0,1),0))</f>
        <v>99.1</v>
      </c>
      <c r="P23" s="76" t="str">
        <f>IF(VLOOKUP($A23,Table1[#All],_xlfn.XMATCH(P$12,Table1[#Headers],0,1),0)=0,"",VLOOKUP($A23,Table1[#All],_xlfn.XMATCH(P$12,Table1[#Headers],0,1),0))</f>
        <v/>
      </c>
      <c r="Q23" s="76" t="str">
        <f>IF(VLOOKUP($A23,Table1[#All],_xlfn.XMATCH(Q$12,Table1[#Headers],0,1),0)=0,"",VLOOKUP($A23,Table1[#All],_xlfn.XMATCH(Q$12,Table1[#Headers],0,1),0))</f>
        <v/>
      </c>
      <c r="R23" s="76" t="str">
        <f>IF(VLOOKUP($A23,Table1[#All],_xlfn.XMATCH(R$12,Table1[#Headers],0,1),0)=0,"",VLOOKUP($A23,Table1[#All],_xlfn.XMATCH(R$12,Table1[#Headers],0,1),0))</f>
        <v/>
      </c>
      <c r="S23" s="76">
        <f>IF(VLOOKUP($A23,Table1[#All],_xlfn.XMATCH(S$12,Table1[#Headers],0,1),0)=0,"",VLOOKUP($A23,Table1[#All],_xlfn.XMATCH(S$12,Table1[#Headers],0,1),0))</f>
        <v>14</v>
      </c>
      <c r="T23" s="76">
        <f>IF(VLOOKUP($A23,Table1[#All],_xlfn.XMATCH(T$12,Table1[#Headers],0,1),0)=0,"",VLOOKUP($A23,Table1[#All],_xlfn.XMATCH(T$12,Table1[#Headers],0,1),0))</f>
        <v>7.3</v>
      </c>
      <c r="U23" s="76">
        <f>IF(VLOOKUP($A23,Table1[#All],_xlfn.XMATCH(U$12,Table1[#Headers],0,1),0)=0,"",VLOOKUP($A23,Table1[#All],_xlfn.XMATCH(U$12,Table1[#Headers],0,1),0))</f>
        <v>92.4</v>
      </c>
      <c r="V23" s="77"/>
      <c r="W23" s="76">
        <f>IF(VLOOKUP($A23,Table1[#All],_xlfn.XMATCH(W$12,Table1[#Headers],0,1),0)=0,"",VLOOKUP($A23,Table1[#All],_xlfn.XMATCH(W$12,Table1[#Headers],0,1),0))</f>
        <v>29.2</v>
      </c>
      <c r="X23" s="76">
        <f>IF(VLOOKUP($A23,Table1[#All],_xlfn.XMATCH(X$12,Table1[#Headers],0,1),0)=0,"",VLOOKUP($A23,Table1[#All],_xlfn.XMATCH(X$12,Table1[#Headers],0,1),0))</f>
        <v>29</v>
      </c>
      <c r="Y23" s="76" t="str">
        <f>IF(VLOOKUP($A23,Table1[#All],_xlfn.XMATCH(Y$12,Table1[#Headers],0,1),0)=0,"",VLOOKUP($A23,Table1[#All],_xlfn.XMATCH(Y$12,Table1[#Headers],0,1),0))</f>
        <v>OC</v>
      </c>
      <c r="Z23" s="76">
        <f>IF(VLOOKUP($A23,Table1[#All],_xlfn.XMATCH(Z$12,Table1[#Headers],0,1),0)=0,"",VLOOKUP($A23,Table1[#All],_xlfn.XMATCH(Z$12,Table1[#Headers],0,1),0))</f>
        <v>22.8</v>
      </c>
      <c r="AA23" s="76">
        <f>IF(VLOOKUP($A23,Table1[#All],_xlfn.XMATCH(AA$12,Table1[#Headers],0,1),0)=0,"",VLOOKUP($A23,Table1[#All],_xlfn.XMATCH(AA$12,Table1[#Headers],0,1),0))</f>
        <v>6.2</v>
      </c>
      <c r="AB23" s="76">
        <f>IF(VLOOKUP($A23,Table1[#All],_xlfn.XMATCH(AB$12,Table1[#Headers],0,1),0)=0,"",VLOOKUP($A23,Table1[#All],_xlfn.XMATCH(AB$12,Table1[#Headers],0,1),0))</f>
        <v>0.56999999999999995</v>
      </c>
      <c r="AC23" s="76">
        <f>IF(VLOOKUP($A23,Table1[#All],_xlfn.XMATCH(AC$12,Table1[#Headers],0,1),0)=0,"",VLOOKUP($A23,Table1[#All],_xlfn.XMATCH(AC$12,Table1[#Headers],0,1),0))</f>
        <v>3.4</v>
      </c>
      <c r="AD23" s="77"/>
      <c r="AE23" s="76">
        <f>IF(VLOOKUP($A23,Table1[#All],_xlfn.XMATCH(AE$12,Table1[#Headers],0,1),0)=0,"",VLOOKUP($A23,Table1[#All],_xlfn.XMATCH(AE$12,Table1[#Headers],0,1),0))</f>
        <v>17.399999999999999</v>
      </c>
      <c r="AF23" s="76">
        <f>IF(VLOOKUP($A23,Table1[#All],_xlfn.XMATCH(AF$12,Table1[#Headers],0,1),0)=0,"",VLOOKUP($A23,Table1[#All],_xlfn.XMATCH(AF$12,Table1[#Headers],0,1),0))</f>
        <v>14.7</v>
      </c>
      <c r="AG23" s="76">
        <f>IF(VLOOKUP($A23,Table1[#All],_xlfn.XMATCH(AG$12,Table1[#Headers],0,1),0)=0,"",VLOOKUP($A23,Table1[#All],_xlfn.XMATCH(AG$12,Table1[#Headers],0,1),0))</f>
        <v>14.8</v>
      </c>
      <c r="AH23" s="76">
        <f>IF(VLOOKUP($A23,Table1[#All],_xlfn.XMATCH(AH$12,Table1[#Headers],0,1),0)=0,"",VLOOKUP($A23,Table1[#All],_xlfn.XMATCH(AH$12,Table1[#Headers],0,1),0))</f>
        <v>10.5</v>
      </c>
      <c r="AI23" s="77"/>
      <c r="AJ23" s="78">
        <f>IF(VLOOKUP($A23,Table1[#All],_xlfn.XMATCH(AJ$12,Table1[#Headers],0,1),0)=0,"",VLOOKUP($A23,Table1[#All],_xlfn.XMATCH(AJ$12,Table1[#Headers],0,1),0))</f>
        <v>44.9</v>
      </c>
      <c r="AK23" s="78">
        <f t="shared" si="0"/>
        <v>15.7</v>
      </c>
      <c r="AL23" s="76">
        <f>IF(VLOOKUP($A23,Table1[#All],_xlfn.XMATCH(AL$12,Table1[#Headers],0,1),0)=0,"",VLOOKUP($A23,Table1[#All],_xlfn.XMATCH(AL$12,Table1[#Headers],0,1),0))</f>
        <v>1.5376712328767119</v>
      </c>
      <c r="AM23" s="77"/>
      <c r="AN23" s="76" t="str">
        <f>IF(VLOOKUP($A23,Table1[#All],_xlfn.XMATCH(AN$12,Table1[#Headers],0,1),0)=0,"",VLOOKUP($A23,Table1[#All],_xlfn.XMATCH(AN$12,Table1[#Headers],0,1),0))</f>
        <v>OED_CRS79)GA250495_B07-AL01_5-22549.pdf</v>
      </c>
      <c r="AO23" s="79" t="str">
        <f ca="1">HYPERLINK(Hulp!$C$5&amp;Beoordeling!AN23,MID(AN23,1,30))</f>
        <v>OED_CRS79)GA250495_B07-AL01_5-</v>
      </c>
      <c r="AP23" s="76">
        <f>IF(VLOOKUP($A23,Table1[#All],_xlfn.XMATCH(AP$12,Table1[#Headers],0,1),0)=0,"",VLOOKUP($A23,Table1[#All],_xlfn.XMATCH(AP$12,Table1[#Headers],0,1),0))</f>
        <v>44.9</v>
      </c>
      <c r="AQ23" s="80"/>
      <c r="AR23" s="81"/>
      <c r="AS23" s="80"/>
      <c r="AT23" s="77"/>
      <c r="AU23" s="76" t="str">
        <f>IF(VLOOKUP($A23,Table1[#All],_xlfn.XMATCH(AU$12,Table1[#Headers],0,1),0)=0,"",VLOOKUP($A23,Table1[#All],_xlfn.XMATCH(AU$12,Table1[#Headers],0,1),0))</f>
        <v>TX109)GA250495_B07-AL01-5-22549_Greeuw_V01.pdf</v>
      </c>
      <c r="AV23" s="79" t="str">
        <f ca="1">HYPERLINK(Hulp!$C$4&amp;Beoordeling!AU23,MID(AU23,1,20))</f>
        <v>TX109)GA250495_B07-A</v>
      </c>
      <c r="AW23" s="82"/>
      <c r="AX23" s="82" t="str">
        <f t="shared" si="7"/>
        <v>laag</v>
      </c>
      <c r="AY23" s="81"/>
      <c r="AZ23" s="83"/>
      <c r="BA23" s="77"/>
      <c r="BB23" s="84">
        <f t="shared" si="1"/>
        <v>0.76315789473684204</v>
      </c>
      <c r="BC23" s="84">
        <f t="shared" si="2"/>
        <v>0.7142857142857143</v>
      </c>
      <c r="BD23" s="76" t="str">
        <f>IF(VLOOKUP($A23,Table1[#All],_xlfn.XMATCH(BD$12,Table1[#Headers],0,1),0)=0,"",VLOOKUP($A23,Table1[#All],_xlfn.XMATCH(BD$12,Table1[#Headers],0,1),0))</f>
        <v>OC</v>
      </c>
      <c r="BE23" s="76">
        <f>IF(VLOOKUP($A23,Table1[#All],_xlfn.XMATCH(AL$12,Table1[#Headers],0,1),0)=0,"",VLOOKUP($A23,Table1[#All],_xlfn.XMATCH(AL$12,Table1[#Headers],0,1),0))</f>
        <v>1.5376712328767119</v>
      </c>
      <c r="BF23" s="76" t="str">
        <f t="shared" si="8"/>
        <v>NC</v>
      </c>
      <c r="BG23" s="76">
        <f>IF(VLOOKUP($A23,Table1[#All],_xlfn.XMATCH(BG$12,Table1[#Headers],0,1),0)=0,"",VLOOKUP($A23,Table1[#All],_xlfn.XMATCH(BG$12,Table1[#Headers],0,1),0))</f>
        <v>6.2</v>
      </c>
      <c r="BH23" s="76">
        <f t="shared" si="9"/>
        <v>0.36206896551724138</v>
      </c>
      <c r="BI23" s="85"/>
      <c r="BJ23" s="82"/>
      <c r="BK23" s="86" t="str">
        <f t="shared" si="3"/>
        <v>sterk aflopend</v>
      </c>
      <c r="BL23" s="82"/>
      <c r="BM23" s="82"/>
      <c r="BN23" s="82"/>
      <c r="BO23" s="77"/>
      <c r="BP23" s="81"/>
      <c r="BQ23" s="81"/>
      <c r="BR23" s="81"/>
      <c r="BS23" s="77"/>
      <c r="BT23" s="76" t="str">
        <f>IF(VLOOKUP($A23,Table1[#All],_xlfn.XMATCH(BT$12,Table1[#Headers],0,1),0)=0,"",VLOOKUP($A23,Table1[#All],_xlfn.XMATCH(BT$12,Table1[#Headers],0,1),0))</f>
        <v/>
      </c>
      <c r="BU23" s="79" t="str">
        <f ca="1">HYPERLINK(Hulp!$C$3&amp;Beoordeling!BT23,BT23)</f>
        <v/>
      </c>
      <c r="BV23" s="77"/>
      <c r="BW23" s="81"/>
      <c r="BX23" s="81"/>
      <c r="BY23" s="81"/>
    </row>
    <row r="24" spans="1:77" x14ac:dyDescent="0.3">
      <c r="A24" s="75" t="s">
        <v>1394</v>
      </c>
      <c r="B24" s="76" t="str">
        <f>IF(VLOOKUP($A24,Table1[#All],_xlfn.XMATCH(B$12,Table1[#Headers],0,1),0)=0,"",VLOOKUP($A24,Table1[#All],_xlfn.XMATCH(B$12,Table1[#Headers],0,1),0))</f>
        <v>TXT_voorbeeld</v>
      </c>
      <c r="C24" s="76" t="str">
        <f>IF(VLOOKUP($A24,Table1[#All],_xlfn.XMATCH(C$12,Table1[#Headers],0,1),0)=0,"",VLOOKUP($A24,Table1[#All],_xlfn.XMATCH(C$12,Table1[#Headers],0,1),0))</f>
        <v/>
      </c>
      <c r="D24" s="77"/>
      <c r="E24" s="76" t="str">
        <f>IF(VLOOKUP($A24,Table1[#All],_xlfn.XMATCH(E$12,Table1[#Headers],0,1),0)=0,"",VLOOKUP($A24,Table1[#All],_xlfn.XMATCH(E$12,Table1[#Headers],0,1),0))</f>
        <v>Polderdijk</v>
      </c>
      <c r="F24" s="76" t="str">
        <f>IF(VLOOKUP($A24,Table1[#All],_xlfn.XMATCH(F$12,Table1[#Headers],0,1),0)=0,"",VLOOKUP($A24,Table1[#All],_xlfn.XMATCH(F$12,Table1[#Headers],0,1),0))</f>
        <v>Regionaal</v>
      </c>
      <c r="G24" s="76" t="str">
        <f>IF(VLOOKUP($A24,Table1[#All],_xlfn.XMATCH(G$12,Table1[#Headers],0,1),0)=0,"",VLOOKUP($A24,Table1[#All],_xlfn.XMATCH(G$12,Table1[#Headers],0,1),0))</f>
        <v>B08-K01</v>
      </c>
      <c r="H24" s="76" t="str">
        <f>IF(VLOOKUP($A24,Table1[#All],_xlfn.XMATCH(H$12,Table1[#Headers],0,1),0)=0,"",VLOOKUP($A24,Table1[#All],_xlfn.XMATCH(H$12,Table1[#Headers],0,1),0))</f>
        <v>KR</v>
      </c>
      <c r="I24" s="76">
        <f>IF(VLOOKUP($A24,Table1[#All],_xlfn.XMATCH(I$12,Table1[#Headers],0,1),0)=0,"",VLOOKUP($A24,Table1[#All],_xlfn.XMATCH(I$12,Table1[#Headers],0,1),0))</f>
        <v>-7.601</v>
      </c>
      <c r="J24" s="76">
        <f>IF(VLOOKUP($A24,Table1[#All],_xlfn.XMATCH(J$12,Table1[#Headers],0,1),0)=0,"",VLOOKUP($A24,Table1[#All],_xlfn.XMATCH(J$12,Table1[#Headers],0,1),0))</f>
        <v>7.6</v>
      </c>
      <c r="K24" s="77"/>
      <c r="L24" s="76" t="str">
        <f>IF(VLOOKUP($A24,Table1[#All],_xlfn.XMATCH(L$12,Table1[#Headers],0,1),0)=0,"",VLOOKUP($A24,Table1[#All],_xlfn.XMATCH(L$12,Table1[#Headers],0,1),0))</f>
        <v>Silt, organisch, zwak, plantenresten, weinig, grijs, neutraal, Pulsinstallatie machinaal</v>
      </c>
      <c r="M24" s="76">
        <f>IF(VLOOKUP($A24,Table1[#All],_xlfn.XMATCH(M$12,Table1[#Headers],0,1),0)=0,"",VLOOKUP($A24,Table1[#All],_xlfn.XMATCH(M$12,Table1[#Headers],0,1),0))</f>
        <v>16</v>
      </c>
      <c r="N24" s="76">
        <f>IF(VLOOKUP($A24,Table1[#All],_xlfn.XMATCH(N$12,Table1[#Headers],0,1),0)=0,"",VLOOKUP($A24,Table1[#All],_xlfn.XMATCH(N$12,Table1[#Headers],0,1),0))</f>
        <v>9.6</v>
      </c>
      <c r="O24" s="76">
        <f>IF(VLOOKUP($A24,Table1[#All],_xlfn.XMATCH(O$12,Table1[#Headers],0,1),0)=0,"",VLOOKUP($A24,Table1[#All],_xlfn.XMATCH(O$12,Table1[#Headers],0,1),0))</f>
        <v>66.5</v>
      </c>
      <c r="P24" s="76" t="str">
        <f>IF(VLOOKUP($A24,Table1[#All],_xlfn.XMATCH(P$12,Table1[#Headers],0,1),0)=0,"",VLOOKUP($A24,Table1[#All],_xlfn.XMATCH(P$12,Table1[#Headers],0,1),0))</f>
        <v/>
      </c>
      <c r="Q24" s="76" t="str">
        <f>IF(VLOOKUP($A24,Table1[#All],_xlfn.XMATCH(Q$12,Table1[#Headers],0,1),0)=0,"",VLOOKUP($A24,Table1[#All],_xlfn.XMATCH(Q$12,Table1[#Headers],0,1),0))</f>
        <v/>
      </c>
      <c r="R24" s="76" t="str">
        <f>IF(VLOOKUP($A24,Table1[#All],_xlfn.XMATCH(R$12,Table1[#Headers],0,1),0)=0,"",VLOOKUP($A24,Table1[#All],_xlfn.XMATCH(R$12,Table1[#Headers],0,1),0))</f>
        <v/>
      </c>
      <c r="S24" s="76">
        <f>IF(VLOOKUP($A24,Table1[#All],_xlfn.XMATCH(S$12,Table1[#Headers],0,1),0)=0,"",VLOOKUP($A24,Table1[#All],_xlfn.XMATCH(S$12,Table1[#Headers],0,1),0))</f>
        <v>16.2</v>
      </c>
      <c r="T24" s="76">
        <f>IF(VLOOKUP($A24,Table1[#All],_xlfn.XMATCH(T$12,Table1[#Headers],0,1),0)=0,"",VLOOKUP($A24,Table1[#All],_xlfn.XMATCH(T$12,Table1[#Headers],0,1),0))</f>
        <v>10.4</v>
      </c>
      <c r="U24" s="76">
        <f>IF(VLOOKUP($A24,Table1[#All],_xlfn.XMATCH(U$12,Table1[#Headers],0,1),0)=0,"",VLOOKUP($A24,Table1[#All],_xlfn.XMATCH(U$12,Table1[#Headers],0,1),0))</f>
        <v>56.1</v>
      </c>
      <c r="V24" s="77"/>
      <c r="W24" s="76">
        <f>IF(VLOOKUP($A24,Table1[#All],_xlfn.XMATCH(W$12,Table1[#Headers],0,1),0)=0,"",VLOOKUP($A24,Table1[#All],_xlfn.XMATCH(W$12,Table1[#Headers],0,1),0))</f>
        <v>47.8</v>
      </c>
      <c r="X24" s="76">
        <f>IF(VLOOKUP($A24,Table1[#All],_xlfn.XMATCH(X$12,Table1[#Headers],0,1),0)=0,"",VLOOKUP($A24,Table1[#All],_xlfn.XMATCH(X$12,Table1[#Headers],0,1),0))</f>
        <v>48</v>
      </c>
      <c r="Y24" s="76" t="str">
        <f>IF(VLOOKUP($A24,Table1[#All],_xlfn.XMATCH(Y$12,Table1[#Headers],0,1),0)=0,"",VLOOKUP($A24,Table1[#All],_xlfn.XMATCH(Y$12,Table1[#Headers],0,1),0))</f>
        <v>OC</v>
      </c>
      <c r="Z24" s="76">
        <f>IF(VLOOKUP($A24,Table1[#All],_xlfn.XMATCH(Z$12,Table1[#Headers],0,1),0)=0,"",VLOOKUP($A24,Table1[#All],_xlfn.XMATCH(Z$12,Table1[#Headers],0,1),0))</f>
        <v>38.6</v>
      </c>
      <c r="AA24" s="76">
        <f>IF(VLOOKUP($A24,Table1[#All],_xlfn.XMATCH(AA$12,Table1[#Headers],0,1),0)=0,"",VLOOKUP($A24,Table1[#All],_xlfn.XMATCH(AA$12,Table1[#Headers],0,1),0))</f>
        <v>9.4</v>
      </c>
      <c r="AB24" s="76">
        <f>IF(VLOOKUP($A24,Table1[#All],_xlfn.XMATCH(AB$12,Table1[#Headers],0,1),0)=0,"",VLOOKUP($A24,Table1[#All],_xlfn.XMATCH(AB$12,Table1[#Headers],0,1),0))</f>
        <v>0.61</v>
      </c>
      <c r="AC24" s="76">
        <f>IF(VLOOKUP($A24,Table1[#All],_xlfn.XMATCH(AC$12,Table1[#Headers],0,1),0)=0,"",VLOOKUP($A24,Table1[#All],_xlfn.XMATCH(AC$12,Table1[#Headers],0,1),0))</f>
        <v>2.1</v>
      </c>
      <c r="AD24" s="77"/>
      <c r="AE24" s="76">
        <f>IF(VLOOKUP($A24,Table1[#All],_xlfn.XMATCH(AE$12,Table1[#Headers],0,1),0)=0,"",VLOOKUP($A24,Table1[#All],_xlfn.XMATCH(AE$12,Table1[#Headers],0,1),0))</f>
        <v>29.9</v>
      </c>
      <c r="AF24" s="76">
        <f>IF(VLOOKUP($A24,Table1[#All],_xlfn.XMATCH(AF$12,Table1[#Headers],0,1),0)=0,"",VLOOKUP($A24,Table1[#All],_xlfn.XMATCH(AF$12,Table1[#Headers],0,1),0))</f>
        <v>26</v>
      </c>
      <c r="AG24" s="76">
        <f>IF(VLOOKUP($A24,Table1[#All],_xlfn.XMATCH(AG$12,Table1[#Headers],0,1),0)=0,"",VLOOKUP($A24,Table1[#All],_xlfn.XMATCH(AG$12,Table1[#Headers],0,1),0))</f>
        <v>26.1</v>
      </c>
      <c r="AH24" s="76">
        <f>IF(VLOOKUP($A24,Table1[#All],_xlfn.XMATCH(AH$12,Table1[#Headers],0,1),0)=0,"",VLOOKUP($A24,Table1[#All],_xlfn.XMATCH(AH$12,Table1[#Headers],0,1),0))</f>
        <v>17.2</v>
      </c>
      <c r="AI24" s="77"/>
      <c r="AJ24" s="78">
        <f>IF(VLOOKUP($A24,Table1[#All],_xlfn.XMATCH(AJ$12,Table1[#Headers],0,1),0)=0,"",VLOOKUP($A24,Table1[#All],_xlfn.XMATCH(AJ$12,Table1[#Headers],0,1),0))</f>
        <v>85.6</v>
      </c>
      <c r="AK24" s="78">
        <f t="shared" si="0"/>
        <v>37.799999999999997</v>
      </c>
      <c r="AL24" s="76">
        <f>IF(VLOOKUP($A24,Table1[#All],_xlfn.XMATCH(AL$12,Table1[#Headers],0,1),0)=0,"",VLOOKUP($A24,Table1[#All],_xlfn.XMATCH(AL$12,Table1[#Headers],0,1),0))</f>
        <v>1.7907949790794979</v>
      </c>
      <c r="AM24" s="77"/>
      <c r="AN24" s="76" t="str">
        <f>IF(VLOOKUP($A24,Table1[#All],_xlfn.XMATCH(AN$12,Table1[#Headers],0,1),0)=0,"",VLOOKUP($A24,Table1[#All],_xlfn.XMATCH(AN$12,Table1[#Headers],0,1),0))</f>
        <v>OED_CRS68)GA250495_B08-K01_18-23040.pdf</v>
      </c>
      <c r="AO24" s="79" t="str">
        <f ca="1">HYPERLINK(Hulp!$C$5&amp;Beoordeling!AN24,MID(AN24,1,30))</f>
        <v>OED_CRS68)GA250495_B08-K01_18-</v>
      </c>
      <c r="AP24" s="76">
        <f>IF(VLOOKUP($A24,Table1[#All],_xlfn.XMATCH(AP$12,Table1[#Headers],0,1),0)=0,"",VLOOKUP($A24,Table1[#All],_xlfn.XMATCH(AP$12,Table1[#Headers],0,1),0))</f>
        <v>85.6</v>
      </c>
      <c r="AQ24" s="80"/>
      <c r="AR24" s="81"/>
      <c r="AS24" s="80"/>
      <c r="AT24" s="77"/>
      <c r="AU24" s="76" t="str">
        <f>IF(VLOOKUP($A24,Table1[#All],_xlfn.XMATCH(AU$12,Table1[#Headers],0,1),0)=0,"",VLOOKUP($A24,Table1[#All],_xlfn.XMATCH(AU$12,Table1[#Headers],0,1),0))</f>
        <v>TX85)GA250495_B08-K01-18-23040_Greeuw_V01.pdf</v>
      </c>
      <c r="AV24" s="79" t="str">
        <f ca="1">HYPERLINK(Hulp!$C$4&amp;Beoordeling!AU24,MID(AU24,1,20))</f>
        <v>TX85)GA250495_B08-K0</v>
      </c>
      <c r="AW24" s="82"/>
      <c r="AX24" s="82" t="str">
        <f t="shared" si="7"/>
        <v>laag</v>
      </c>
      <c r="AY24" s="81"/>
      <c r="AZ24" s="83"/>
      <c r="BA24" s="77"/>
      <c r="BB24" s="84">
        <f t="shared" si="1"/>
        <v>0.77461139896373055</v>
      </c>
      <c r="BC24" s="84">
        <f t="shared" si="2"/>
        <v>0.66153846153846152</v>
      </c>
      <c r="BD24" s="76" t="str">
        <f>IF(VLOOKUP($A24,Table1[#All],_xlfn.XMATCH(BD$12,Table1[#Headers],0,1),0)=0,"",VLOOKUP($A24,Table1[#All],_xlfn.XMATCH(BD$12,Table1[#Headers],0,1),0))</f>
        <v>OC</v>
      </c>
      <c r="BE24" s="76">
        <f>IF(VLOOKUP($A24,Table1[#All],_xlfn.XMATCH(AL$12,Table1[#Headers],0,1),0)=0,"",VLOOKUP($A24,Table1[#All],_xlfn.XMATCH(AL$12,Table1[#Headers],0,1),0))</f>
        <v>1.7907949790794979</v>
      </c>
      <c r="BF24" s="76" t="str">
        <f t="shared" si="8"/>
        <v>NC</v>
      </c>
      <c r="BG24" s="76">
        <f>IF(VLOOKUP($A24,Table1[#All],_xlfn.XMATCH(BG$12,Table1[#Headers],0,1),0)=0,"",VLOOKUP($A24,Table1[#All],_xlfn.XMATCH(BG$12,Table1[#Headers],0,1),0))</f>
        <v>5.6</v>
      </c>
      <c r="BH24" s="76">
        <f t="shared" si="9"/>
        <v>0.35833333333333334</v>
      </c>
      <c r="BI24" s="85"/>
      <c r="BJ24" s="82"/>
      <c r="BK24" s="86" t="str">
        <f t="shared" si="3"/>
        <v>sterk aflopend</v>
      </c>
      <c r="BL24" s="82"/>
      <c r="BM24" s="82"/>
      <c r="BN24" s="82"/>
      <c r="BO24" s="77"/>
      <c r="BP24" s="81"/>
      <c r="BQ24" s="81"/>
      <c r="BR24" s="81"/>
      <c r="BS24" s="77"/>
      <c r="BT24" s="76" t="str">
        <f>IF(VLOOKUP($A24,Table1[#All],_xlfn.XMATCH(BT$12,Table1[#Headers],0,1),0)=0,"",VLOOKUP($A24,Table1[#All],_xlfn.XMATCH(BT$12,Table1[#Headers],0,1),0))</f>
        <v/>
      </c>
      <c r="BU24" s="79" t="str">
        <f ca="1">HYPERLINK(Hulp!$C$3&amp;Beoordeling!BT24,BT24)</f>
        <v/>
      </c>
      <c r="BV24" s="77"/>
      <c r="BW24" s="81"/>
      <c r="BX24" s="81"/>
      <c r="BY24" s="81"/>
    </row>
    <row r="25" spans="1:77" x14ac:dyDescent="0.3">
      <c r="A25" s="75" t="s">
        <v>1395</v>
      </c>
      <c r="B25" s="76" t="str">
        <f>IF(VLOOKUP($A25,Table1[#All],_xlfn.XMATCH(B$12,Table1[#Headers],0,1),0)=0,"",VLOOKUP($A25,Table1[#All],_xlfn.XMATCH(B$12,Table1[#Headers],0,1),0))</f>
        <v>TXT_voorbeeld</v>
      </c>
      <c r="C25" s="76" t="str">
        <f>IF(VLOOKUP($A25,Table1[#All],_xlfn.XMATCH(C$12,Table1[#Headers],0,1),0)=0,"",VLOOKUP($A25,Table1[#All],_xlfn.XMATCH(C$12,Table1[#Headers],0,1),0))</f>
        <v/>
      </c>
      <c r="D25" s="77"/>
      <c r="E25" s="76" t="str">
        <f>IF(VLOOKUP($A25,Table1[#All],_xlfn.XMATCH(E$12,Table1[#Headers],0,1),0)=0,"",VLOOKUP($A25,Table1[#All],_xlfn.XMATCH(E$12,Table1[#Headers],0,1),0))</f>
        <v>Polderdijk</v>
      </c>
      <c r="F25" s="76" t="str">
        <f>IF(VLOOKUP($A25,Table1[#All],_xlfn.XMATCH(F$12,Table1[#Headers],0,1),0)=0,"",VLOOKUP($A25,Table1[#All],_xlfn.XMATCH(F$12,Table1[#Headers],0,1),0))</f>
        <v>Regionaal</v>
      </c>
      <c r="G25" s="76" t="str">
        <f>IF(VLOOKUP($A25,Table1[#All],_xlfn.XMATCH(G$12,Table1[#Headers],0,1),0)=0,"",VLOOKUP($A25,Table1[#All],_xlfn.XMATCH(G$12,Table1[#Headers],0,1),0))</f>
        <v>B08-K02</v>
      </c>
      <c r="H25" s="76" t="str">
        <f>IF(VLOOKUP($A25,Table1[#All],_xlfn.XMATCH(H$12,Table1[#Headers],0,1),0)=0,"",VLOOKUP($A25,Table1[#All],_xlfn.XMATCH(H$12,Table1[#Headers],0,1),0))</f>
        <v>KR</v>
      </c>
      <c r="I25" s="76">
        <f>IF(VLOOKUP($A25,Table1[#All],_xlfn.XMATCH(I$12,Table1[#Headers],0,1),0)=0,"",VLOOKUP($A25,Table1[#All],_xlfn.XMATCH(I$12,Table1[#Headers],0,1),0))</f>
        <v>-3.198</v>
      </c>
      <c r="J25" s="76">
        <f>IF(VLOOKUP($A25,Table1[#All],_xlfn.XMATCH(J$12,Table1[#Headers],0,1),0)=0,"",VLOOKUP($A25,Table1[#All],_xlfn.XMATCH(J$12,Table1[#Headers],0,1),0))</f>
        <v>3.2</v>
      </c>
      <c r="K25" s="77"/>
      <c r="L25" s="76" t="str">
        <f>IF(VLOOKUP($A25,Table1[#All],_xlfn.XMATCH(L$12,Table1[#Headers],0,1),0)=0,"",VLOOKUP($A25,Table1[#All],_xlfn.XMATCH(L$12,Table1[#Headers],0,1),0))</f>
        <v>Klei, organisch, sterk, plantenresten, weinig, grijs, donker, Pulsinstallatie machinaal</v>
      </c>
      <c r="M25" s="76">
        <f>IF(VLOOKUP($A25,Table1[#All],_xlfn.XMATCH(M$12,Table1[#Headers],0,1),0)=0,"",VLOOKUP($A25,Table1[#All],_xlfn.XMATCH(M$12,Table1[#Headers],0,1),0))</f>
        <v>14.1</v>
      </c>
      <c r="N25" s="76">
        <f>IF(VLOOKUP($A25,Table1[#All],_xlfn.XMATCH(N$12,Table1[#Headers],0,1),0)=0,"",VLOOKUP($A25,Table1[#All],_xlfn.XMATCH(N$12,Table1[#Headers],0,1),0))</f>
        <v>6.7</v>
      </c>
      <c r="O25" s="76">
        <f>IF(VLOOKUP($A25,Table1[#All],_xlfn.XMATCH(O$12,Table1[#Headers],0,1),0)=0,"",VLOOKUP($A25,Table1[#All],_xlfn.XMATCH(O$12,Table1[#Headers],0,1),0))</f>
        <v>109.6</v>
      </c>
      <c r="P25" s="76" t="str">
        <f>IF(VLOOKUP($A25,Table1[#All],_xlfn.XMATCH(P$12,Table1[#Headers],0,1),0)=0,"",VLOOKUP($A25,Table1[#All],_xlfn.XMATCH(P$12,Table1[#Headers],0,1),0))</f>
        <v/>
      </c>
      <c r="Q25" s="76" t="str">
        <f>IF(VLOOKUP($A25,Table1[#All],_xlfn.XMATCH(Q$12,Table1[#Headers],0,1),0)=0,"",VLOOKUP($A25,Table1[#All],_xlfn.XMATCH(Q$12,Table1[#Headers],0,1),0))</f>
        <v/>
      </c>
      <c r="R25" s="76" t="str">
        <f>IF(VLOOKUP($A25,Table1[#All],_xlfn.XMATCH(R$12,Table1[#Headers],0,1),0)=0,"",VLOOKUP($A25,Table1[#All],_xlfn.XMATCH(R$12,Table1[#Headers],0,1),0))</f>
        <v/>
      </c>
      <c r="S25" s="76">
        <f>IF(VLOOKUP($A25,Table1[#All],_xlfn.XMATCH(S$12,Table1[#Headers],0,1),0)=0,"",VLOOKUP($A25,Table1[#All],_xlfn.XMATCH(S$12,Table1[#Headers],0,1),0))</f>
        <v>13.4</v>
      </c>
      <c r="T25" s="76">
        <f>IF(VLOOKUP($A25,Table1[#All],_xlfn.XMATCH(T$12,Table1[#Headers],0,1),0)=0,"",VLOOKUP($A25,Table1[#All],_xlfn.XMATCH(T$12,Table1[#Headers],0,1),0))</f>
        <v>6.3</v>
      </c>
      <c r="U25" s="76">
        <f>IF(VLOOKUP($A25,Table1[#All],_xlfn.XMATCH(U$12,Table1[#Headers],0,1),0)=0,"",VLOOKUP($A25,Table1[#All],_xlfn.XMATCH(U$12,Table1[#Headers],0,1),0))</f>
        <v>111.7</v>
      </c>
      <c r="V25" s="77"/>
      <c r="W25" s="76">
        <f>IF(VLOOKUP($A25,Table1[#All],_xlfn.XMATCH(W$12,Table1[#Headers],0,1),0)=0,"",VLOOKUP($A25,Table1[#All],_xlfn.XMATCH(W$12,Table1[#Headers],0,1),0))</f>
        <v>32</v>
      </c>
      <c r="X25" s="76">
        <f>IF(VLOOKUP($A25,Table1[#All],_xlfn.XMATCH(X$12,Table1[#Headers],0,1),0)=0,"",VLOOKUP($A25,Table1[#All],_xlfn.XMATCH(X$12,Table1[#Headers],0,1),0))</f>
        <v>32</v>
      </c>
      <c r="Y25" s="76" t="str">
        <f>IF(VLOOKUP($A25,Table1[#All],_xlfn.XMATCH(Y$12,Table1[#Headers],0,1),0)=0,"",VLOOKUP($A25,Table1[#All],_xlfn.XMATCH(Y$12,Table1[#Headers],0,1),0))</f>
        <v>OC</v>
      </c>
      <c r="Z25" s="76">
        <f>IF(VLOOKUP($A25,Table1[#All],_xlfn.XMATCH(Z$12,Table1[#Headers],0,1),0)=0,"",VLOOKUP($A25,Table1[#All],_xlfn.XMATCH(Z$12,Table1[#Headers],0,1),0))</f>
        <v>24.3</v>
      </c>
      <c r="AA25" s="76">
        <f>IF(VLOOKUP($A25,Table1[#All],_xlfn.XMATCH(AA$12,Table1[#Headers],0,1),0)=0,"",VLOOKUP($A25,Table1[#All],_xlfn.XMATCH(AA$12,Table1[#Headers],0,1),0))</f>
        <v>7.7</v>
      </c>
      <c r="AB25" s="76">
        <f>IF(VLOOKUP($A25,Table1[#All],_xlfn.XMATCH(AB$12,Table1[#Headers],0,1),0)=0,"",VLOOKUP($A25,Table1[#All],_xlfn.XMATCH(AB$12,Table1[#Headers],0,1),0))</f>
        <v>0.52</v>
      </c>
      <c r="AC25" s="76">
        <f>IF(VLOOKUP($A25,Table1[#All],_xlfn.XMATCH(AC$12,Table1[#Headers],0,1),0)=0,"",VLOOKUP($A25,Table1[#All],_xlfn.XMATCH(AC$12,Table1[#Headers],0,1),0))</f>
        <v>2.8</v>
      </c>
      <c r="AD25" s="77"/>
      <c r="AE25" s="76">
        <f>IF(VLOOKUP($A25,Table1[#All],_xlfn.XMATCH(AE$12,Table1[#Headers],0,1),0)=0,"",VLOOKUP($A25,Table1[#All],_xlfn.XMATCH(AE$12,Table1[#Headers],0,1),0))</f>
        <v>28.1</v>
      </c>
      <c r="AF25" s="76">
        <f>IF(VLOOKUP($A25,Table1[#All],_xlfn.XMATCH(AF$12,Table1[#Headers],0,1),0)=0,"",VLOOKUP($A25,Table1[#All],_xlfn.XMATCH(AF$12,Table1[#Headers],0,1),0))</f>
        <v>22.2</v>
      </c>
      <c r="AG25" s="76">
        <f>IF(VLOOKUP($A25,Table1[#All],_xlfn.XMATCH(AG$12,Table1[#Headers],0,1),0)=0,"",VLOOKUP($A25,Table1[#All],_xlfn.XMATCH(AG$12,Table1[#Headers],0,1),0))</f>
        <v>23.8</v>
      </c>
      <c r="AH25" s="76">
        <f>IF(VLOOKUP($A25,Table1[#All],_xlfn.XMATCH(AH$12,Table1[#Headers],0,1),0)=0,"",VLOOKUP($A25,Table1[#All],_xlfn.XMATCH(AH$12,Table1[#Headers],0,1),0))</f>
        <v>18.5</v>
      </c>
      <c r="AI25" s="77"/>
      <c r="AJ25" s="78">
        <f>IF(VLOOKUP($A25,Table1[#All],_xlfn.XMATCH(AJ$12,Table1[#Headers],0,1),0)=0,"",VLOOKUP($A25,Table1[#All],_xlfn.XMATCH(AJ$12,Table1[#Headers],0,1),0))</f>
        <v>58.6</v>
      </c>
      <c r="AK25" s="78">
        <f t="shared" si="0"/>
        <v>26.6</v>
      </c>
      <c r="AL25" s="76">
        <f>IF(VLOOKUP($A25,Table1[#All],_xlfn.XMATCH(AL$12,Table1[#Headers],0,1),0)=0,"",VLOOKUP($A25,Table1[#All],_xlfn.XMATCH(AL$12,Table1[#Headers],0,1),0))</f>
        <v>1.83125</v>
      </c>
      <c r="AM25" s="77"/>
      <c r="AN25" s="76" t="str">
        <f>IF(VLOOKUP($A25,Table1[#All],_xlfn.XMATCH(AN$12,Table1[#Headers],0,1),0)=0,"",VLOOKUP($A25,Table1[#All],_xlfn.XMATCH(AN$12,Table1[#Headers],0,1),0))</f>
        <v>OED_CRS69)GA250495_B08-K02_7-K624.pdf</v>
      </c>
      <c r="AO25" s="79" t="str">
        <f ca="1">HYPERLINK(Hulp!$C$5&amp;Beoordeling!AN25,MID(AN25,1,30))</f>
        <v>OED_CRS69)GA250495_B08-K02_7-K</v>
      </c>
      <c r="AP25" s="76">
        <f>IF(VLOOKUP($A25,Table1[#All],_xlfn.XMATCH(AP$12,Table1[#Headers],0,1),0)=0,"",VLOOKUP($A25,Table1[#All],_xlfn.XMATCH(AP$12,Table1[#Headers],0,1),0))</f>
        <v>58.6</v>
      </c>
      <c r="AQ25" s="80"/>
      <c r="AR25" s="81"/>
      <c r="AS25" s="80"/>
      <c r="AT25" s="77"/>
      <c r="AU25" s="76" t="str">
        <f>IF(VLOOKUP($A25,Table1[#All],_xlfn.XMATCH(AU$12,Table1[#Headers],0,1),0)=0,"",VLOOKUP($A25,Table1[#All],_xlfn.XMATCH(AU$12,Table1[#Headers],0,1),0))</f>
        <v>TX90)GA250495_B08-K02-7-K624_Greeuw_V01.pdf</v>
      </c>
      <c r="AV25" s="79" t="str">
        <f ca="1">HYPERLINK(Hulp!$C$4&amp;Beoordeling!AU25,MID(AU25,1,20))</f>
        <v>TX90)GA250495_B08-K0</v>
      </c>
      <c r="AW25" s="82"/>
      <c r="AX25" s="82" t="str">
        <f t="shared" si="7"/>
        <v>laag</v>
      </c>
      <c r="AY25" s="81"/>
      <c r="AZ25" s="83"/>
      <c r="BA25" s="77"/>
      <c r="BB25" s="84">
        <f t="shared" si="1"/>
        <v>1.1563786008230452</v>
      </c>
      <c r="BC25" s="84">
        <f t="shared" si="2"/>
        <v>0.83333333333333337</v>
      </c>
      <c r="BD25" s="76" t="str">
        <f>IF(VLOOKUP($A25,Table1[#All],_xlfn.XMATCH(BD$12,Table1[#Headers],0,1),0)=0,"",VLOOKUP($A25,Table1[#All],_xlfn.XMATCH(BD$12,Table1[#Headers],0,1),0))</f>
        <v>OC</v>
      </c>
      <c r="BE25" s="76">
        <f>IF(VLOOKUP($A25,Table1[#All],_xlfn.XMATCH(AL$12,Table1[#Headers],0,1),0)=0,"",VLOOKUP($A25,Table1[#All],_xlfn.XMATCH(AL$12,Table1[#Headers],0,1),0))</f>
        <v>1.83125</v>
      </c>
      <c r="BF25" s="76" t="str">
        <f t="shared" si="8"/>
        <v>NC/OC</v>
      </c>
      <c r="BG25" s="76">
        <f>IF(VLOOKUP($A25,Table1[#All],_xlfn.XMATCH(BG$12,Table1[#Headers],0,1),0)=0,"",VLOOKUP($A25,Table1[#All],_xlfn.XMATCH(BG$12,Table1[#Headers],0,1),0))</f>
        <v>8.3000000000000007</v>
      </c>
      <c r="BH25" s="76">
        <f t="shared" si="9"/>
        <v>0.578125</v>
      </c>
      <c r="BI25" s="85"/>
      <c r="BJ25" s="82"/>
      <c r="BK25" s="86" t="str">
        <f t="shared" si="3"/>
        <v>aflopend</v>
      </c>
      <c r="BL25" s="82"/>
      <c r="BM25" s="82"/>
      <c r="BN25" s="82"/>
      <c r="BO25" s="77"/>
      <c r="BP25" s="81"/>
      <c r="BQ25" s="81"/>
      <c r="BR25" s="81"/>
      <c r="BS25" s="77"/>
      <c r="BT25" s="76" t="str">
        <f>IF(VLOOKUP($A25,Table1[#All],_xlfn.XMATCH(BT$12,Table1[#Headers],0,1),0)=0,"",VLOOKUP($A25,Table1[#All],_xlfn.XMATCH(BT$12,Table1[#Headers],0,1),0))</f>
        <v/>
      </c>
      <c r="BU25" s="79" t="str">
        <f ca="1">HYPERLINK(Hulp!$C$3&amp;Beoordeling!BT25,BT25)</f>
        <v/>
      </c>
      <c r="BV25" s="77"/>
      <c r="BW25" s="81"/>
      <c r="BX25" s="81"/>
      <c r="BY25" s="81"/>
    </row>
    <row r="26" spans="1:77" x14ac:dyDescent="0.3">
      <c r="A26" s="75" t="s">
        <v>1396</v>
      </c>
      <c r="B26" s="76" t="str">
        <f>IF(VLOOKUP($A26,Table1[#All],_xlfn.XMATCH(B$12,Table1[#Headers],0,1),0)=0,"",VLOOKUP($A26,Table1[#All],_xlfn.XMATCH(B$12,Table1[#Headers],0,1),0))</f>
        <v>TXT_voorbeeld</v>
      </c>
      <c r="C26" s="76" t="str">
        <f>IF(VLOOKUP($A26,Table1[#All],_xlfn.XMATCH(C$12,Table1[#Headers],0,1),0)=0,"",VLOOKUP($A26,Table1[#All],_xlfn.XMATCH(C$12,Table1[#Headers],0,1),0))</f>
        <v/>
      </c>
      <c r="D26" s="77"/>
      <c r="E26" s="76" t="str">
        <f>IF(VLOOKUP($A26,Table1[#All],_xlfn.XMATCH(E$12,Table1[#Headers],0,1),0)=0,"",VLOOKUP($A26,Table1[#All],_xlfn.XMATCH(E$12,Table1[#Headers],0,1),0))</f>
        <v>Polderdijk</v>
      </c>
      <c r="F26" s="76" t="str">
        <f>IF(VLOOKUP($A26,Table1[#All],_xlfn.XMATCH(F$12,Table1[#Headers],0,1),0)=0,"",VLOOKUP($A26,Table1[#All],_xlfn.XMATCH(F$12,Table1[#Headers],0,1),0))</f>
        <v>Regionaal</v>
      </c>
      <c r="G26" s="76" t="str">
        <f>IF(VLOOKUP($A26,Table1[#All],_xlfn.XMATCH(G$12,Table1[#Headers],0,1),0)=0,"",VLOOKUP($A26,Table1[#All],_xlfn.XMATCH(G$12,Table1[#Headers],0,1),0))</f>
        <v>B09-K01</v>
      </c>
      <c r="H26" s="76" t="str">
        <f>IF(VLOOKUP($A26,Table1[#All],_xlfn.XMATCH(H$12,Table1[#Headers],0,1),0)=0,"",VLOOKUP($A26,Table1[#All],_xlfn.XMATCH(H$12,Table1[#Headers],0,1),0))</f>
        <v>KR</v>
      </c>
      <c r="I26" s="76">
        <f>IF(VLOOKUP($A26,Table1[#All],_xlfn.XMATCH(I$12,Table1[#Headers],0,1),0)=0,"",VLOOKUP($A26,Table1[#All],_xlfn.XMATCH(I$12,Table1[#Headers],0,1),0))</f>
        <v>-2.63</v>
      </c>
      <c r="J26" s="76">
        <f>IF(VLOOKUP($A26,Table1[#All],_xlfn.XMATCH(J$12,Table1[#Headers],0,1),0)=0,"",VLOOKUP($A26,Table1[#All],_xlfn.XMATCH(J$12,Table1[#Headers],0,1),0))</f>
        <v>2.8</v>
      </c>
      <c r="K26" s="77"/>
      <c r="L26" s="76" t="str">
        <f>IF(VLOOKUP($A26,Table1[#All],_xlfn.XMATCH(L$12,Table1[#Headers],0,1),0)=0,"",VLOOKUP($A26,Table1[#All],_xlfn.XMATCH(L$12,Table1[#Headers],0,1),0))</f>
        <v>Klei, organisch, sterk, plantenresten, weinig, grijs, neutraal, Pulsinstallatie machinaal</v>
      </c>
      <c r="M26" s="76">
        <f>IF(VLOOKUP($A26,Table1[#All],_xlfn.XMATCH(M$12,Table1[#Headers],0,1),0)=0,"",VLOOKUP($A26,Table1[#All],_xlfn.XMATCH(M$12,Table1[#Headers],0,1),0))</f>
        <v>14.1</v>
      </c>
      <c r="N26" s="76">
        <f>IF(VLOOKUP($A26,Table1[#All],_xlfn.XMATCH(N$12,Table1[#Headers],0,1),0)=0,"",VLOOKUP($A26,Table1[#All],_xlfn.XMATCH(N$12,Table1[#Headers],0,1),0))</f>
        <v>6.9</v>
      </c>
      <c r="O26" s="76">
        <f>IF(VLOOKUP($A26,Table1[#All],_xlfn.XMATCH(O$12,Table1[#Headers],0,1),0)=0,"",VLOOKUP($A26,Table1[#All],_xlfn.XMATCH(O$12,Table1[#Headers],0,1),0))</f>
        <v>104.1</v>
      </c>
      <c r="P26" s="76" t="str">
        <f>IF(VLOOKUP($A26,Table1[#All],_xlfn.XMATCH(P$12,Table1[#Headers],0,1),0)=0,"",VLOOKUP($A26,Table1[#All],_xlfn.XMATCH(P$12,Table1[#Headers],0,1),0))</f>
        <v/>
      </c>
      <c r="Q26" s="76" t="str">
        <f>IF(VLOOKUP($A26,Table1[#All],_xlfn.XMATCH(Q$12,Table1[#Headers],0,1),0)=0,"",VLOOKUP($A26,Table1[#All],_xlfn.XMATCH(Q$12,Table1[#Headers],0,1),0))</f>
        <v/>
      </c>
      <c r="R26" s="76" t="str">
        <f>IF(VLOOKUP($A26,Table1[#All],_xlfn.XMATCH(R$12,Table1[#Headers],0,1),0)=0,"",VLOOKUP($A26,Table1[#All],_xlfn.XMATCH(R$12,Table1[#Headers],0,1),0))</f>
        <v/>
      </c>
      <c r="S26" s="76">
        <f>IF(VLOOKUP($A26,Table1[#All],_xlfn.XMATCH(S$12,Table1[#Headers],0,1),0)=0,"",VLOOKUP($A26,Table1[#All],_xlfn.XMATCH(S$12,Table1[#Headers],0,1),0))</f>
        <v>12.5</v>
      </c>
      <c r="T26" s="76">
        <f>IF(VLOOKUP($A26,Table1[#All],_xlfn.XMATCH(T$12,Table1[#Headers],0,1),0)=0,"",VLOOKUP($A26,Table1[#All],_xlfn.XMATCH(T$12,Table1[#Headers],0,1),0))</f>
        <v>5.2</v>
      </c>
      <c r="U26" s="76">
        <f>IF(VLOOKUP($A26,Table1[#All],_xlfn.XMATCH(U$12,Table1[#Headers],0,1),0)=0,"",VLOOKUP($A26,Table1[#All],_xlfn.XMATCH(U$12,Table1[#Headers],0,1),0))</f>
        <v>140.4</v>
      </c>
      <c r="V26" s="77"/>
      <c r="W26" s="76">
        <f>IF(VLOOKUP($A26,Table1[#All],_xlfn.XMATCH(W$12,Table1[#Headers],0,1),0)=0,"",VLOOKUP($A26,Table1[#All],_xlfn.XMATCH(W$12,Table1[#Headers],0,1),0))</f>
        <v>41.8</v>
      </c>
      <c r="X26" s="76">
        <f>IF(VLOOKUP($A26,Table1[#All],_xlfn.XMATCH(X$12,Table1[#Headers],0,1),0)=0,"",VLOOKUP($A26,Table1[#All],_xlfn.XMATCH(X$12,Table1[#Headers],0,1),0))</f>
        <v>42</v>
      </c>
      <c r="Y26" s="76" t="str">
        <f>IF(VLOOKUP($A26,Table1[#All],_xlfn.XMATCH(Y$12,Table1[#Headers],0,1),0)=0,"",VLOOKUP($A26,Table1[#All],_xlfn.XMATCH(Y$12,Table1[#Headers],0,1),0))</f>
        <v>OC</v>
      </c>
      <c r="Z26" s="76">
        <f>IF(VLOOKUP($A26,Table1[#All],_xlfn.XMATCH(Z$12,Table1[#Headers],0,1),0)=0,"",VLOOKUP($A26,Table1[#All],_xlfn.XMATCH(Z$12,Table1[#Headers],0,1),0))</f>
        <v>31.5</v>
      </c>
      <c r="AA26" s="76">
        <f>IF(VLOOKUP($A26,Table1[#All],_xlfn.XMATCH(AA$12,Table1[#Headers],0,1),0)=0,"",VLOOKUP($A26,Table1[#All],_xlfn.XMATCH(AA$12,Table1[#Headers],0,1),0))</f>
        <v>10.5</v>
      </c>
      <c r="AB26" s="76">
        <f>IF(VLOOKUP($A26,Table1[#All],_xlfn.XMATCH(AB$12,Table1[#Headers],0,1),0)=0,"",VLOOKUP($A26,Table1[#All],_xlfn.XMATCH(AB$12,Table1[#Headers],0,1),0))</f>
        <v>0.5</v>
      </c>
      <c r="AC26" s="76">
        <f>IF(VLOOKUP($A26,Table1[#All],_xlfn.XMATCH(AC$12,Table1[#Headers],0,1),0)=0,"",VLOOKUP($A26,Table1[#All],_xlfn.XMATCH(AC$12,Table1[#Headers],0,1),0))</f>
        <v>4</v>
      </c>
      <c r="AD26" s="77"/>
      <c r="AE26" s="76">
        <f>IF(VLOOKUP($A26,Table1[#All],_xlfn.XMATCH(AE$12,Table1[#Headers],0,1),0)=0,"",VLOOKUP($A26,Table1[#All],_xlfn.XMATCH(AE$12,Table1[#Headers],0,1),0))</f>
        <v>24.9</v>
      </c>
      <c r="AF26" s="76">
        <f>IF(VLOOKUP($A26,Table1[#All],_xlfn.XMATCH(AF$12,Table1[#Headers],0,1),0)=0,"",VLOOKUP($A26,Table1[#All],_xlfn.XMATCH(AF$12,Table1[#Headers],0,1),0))</f>
        <v>20.3</v>
      </c>
      <c r="AG26" s="76">
        <f>IF(VLOOKUP($A26,Table1[#All],_xlfn.XMATCH(AG$12,Table1[#Headers],0,1),0)=0,"",VLOOKUP($A26,Table1[#All],_xlfn.XMATCH(AG$12,Table1[#Headers],0,1),0))</f>
        <v>20.3</v>
      </c>
      <c r="AH26" s="76">
        <f>IF(VLOOKUP($A26,Table1[#All],_xlfn.XMATCH(AH$12,Table1[#Headers],0,1),0)=0,"",VLOOKUP($A26,Table1[#All],_xlfn.XMATCH(AH$12,Table1[#Headers],0,1),0))</f>
        <v>16.600000000000001</v>
      </c>
      <c r="AI26" s="77"/>
      <c r="AJ26" s="78">
        <f>IF(VLOOKUP($A26,Table1[#All],_xlfn.XMATCH(AJ$12,Table1[#Headers],0,1),0)=0,"",VLOOKUP($A26,Table1[#All],_xlfn.XMATCH(AJ$12,Table1[#Headers],0,1),0))</f>
        <v>72.099999999999994</v>
      </c>
      <c r="AK26" s="78">
        <f t="shared" si="0"/>
        <v>30.299999999999997</v>
      </c>
      <c r="AL26" s="76">
        <f>IF(VLOOKUP($A26,Table1[#All],_xlfn.XMATCH(AL$12,Table1[#Headers],0,1),0)=0,"",VLOOKUP($A26,Table1[#All],_xlfn.XMATCH(AL$12,Table1[#Headers],0,1),0))</f>
        <v>1.72488038277512</v>
      </c>
      <c r="AM26" s="77"/>
      <c r="AN26" s="76" t="str">
        <f>IF(VLOOKUP($A26,Table1[#All],_xlfn.XMATCH(AN$12,Table1[#Headers],0,1),0)=0,"",VLOOKUP($A26,Table1[#All],_xlfn.XMATCH(AN$12,Table1[#Headers],0,1),0))</f>
        <v>OED_CRS67)GA250495_B09-K01_6-S 323</v>
      </c>
      <c r="AO26" s="79" t="str">
        <f ca="1">HYPERLINK(Hulp!$C$5&amp;Beoordeling!AN26,MID(AN26,1,30))</f>
        <v>OED_CRS67)GA250495_B09-K01_6-S</v>
      </c>
      <c r="AP26" s="76">
        <f>IF(VLOOKUP($A26,Table1[#All],_xlfn.XMATCH(AP$12,Table1[#Headers],0,1),0)=0,"",VLOOKUP($A26,Table1[#All],_xlfn.XMATCH(AP$12,Table1[#Headers],0,1),0))</f>
        <v>72.099999999999994</v>
      </c>
      <c r="AQ26" s="80"/>
      <c r="AR26" s="81"/>
      <c r="AS26" s="80"/>
      <c r="AT26" s="77"/>
      <c r="AU26" s="76" t="str">
        <f>IF(VLOOKUP($A26,Table1[#All],_xlfn.XMATCH(AU$12,Table1[#Headers],0,1),0)=0,"",VLOOKUP($A26,Table1[#All],_xlfn.XMATCH(AU$12,Table1[#Headers],0,1),0))</f>
        <v>TX86)GA250495_B09-K01-6- S 323_Greeuw_V01.pdf</v>
      </c>
      <c r="AV26" s="79" t="str">
        <f ca="1">HYPERLINK(Hulp!$C$4&amp;Beoordeling!AU26,MID(AU26,1,20))</f>
        <v>TX86)GA250495_B09-K0</v>
      </c>
      <c r="AW26" s="82"/>
      <c r="AX26" s="82" t="str">
        <f t="shared" si="7"/>
        <v>laag</v>
      </c>
      <c r="AY26" s="81"/>
      <c r="AZ26" s="83"/>
      <c r="BA26" s="77"/>
      <c r="BB26" s="84">
        <f t="shared" si="1"/>
        <v>0.79047619047619044</v>
      </c>
      <c r="BC26" s="84">
        <f t="shared" si="2"/>
        <v>0.81773399014778325</v>
      </c>
      <c r="BD26" s="76" t="str">
        <f>IF(VLOOKUP($A26,Table1[#All],_xlfn.XMATCH(BD$12,Table1[#Headers],0,1),0)=0,"",VLOOKUP($A26,Table1[#All],_xlfn.XMATCH(BD$12,Table1[#Headers],0,1),0))</f>
        <v>OC</v>
      </c>
      <c r="BE26" s="76">
        <f>IF(VLOOKUP($A26,Table1[#All],_xlfn.XMATCH(AL$12,Table1[#Headers],0,1),0)=0,"",VLOOKUP($A26,Table1[#All],_xlfn.XMATCH(AL$12,Table1[#Headers],0,1),0))</f>
        <v>1.72488038277512</v>
      </c>
      <c r="BF26" s="76" t="str">
        <f t="shared" si="8"/>
        <v>NC</v>
      </c>
      <c r="BG26" s="76">
        <f>IF(VLOOKUP($A26,Table1[#All],_xlfn.XMATCH(BG$12,Table1[#Headers],0,1),0)=0,"",VLOOKUP($A26,Table1[#All],_xlfn.XMATCH(BG$12,Table1[#Headers],0,1),0))</f>
        <v>5</v>
      </c>
      <c r="BH26" s="76">
        <f t="shared" si="9"/>
        <v>0.39523809523809528</v>
      </c>
      <c r="BI26" s="85"/>
      <c r="BJ26" s="82"/>
      <c r="BK26" s="86" t="str">
        <f t="shared" si="3"/>
        <v>aflopend</v>
      </c>
      <c r="BL26" s="82"/>
      <c r="BM26" s="82"/>
      <c r="BN26" s="82"/>
      <c r="BO26" s="77"/>
      <c r="BP26" s="81"/>
      <c r="BQ26" s="81"/>
      <c r="BR26" s="81"/>
      <c r="BS26" s="77"/>
      <c r="BT26" s="76" t="str">
        <f>IF(VLOOKUP($A26,Table1[#All],_xlfn.XMATCH(BT$12,Table1[#Headers],0,1),0)=0,"",VLOOKUP($A26,Table1[#All],_xlfn.XMATCH(BT$12,Table1[#Headers],0,1),0))</f>
        <v/>
      </c>
      <c r="BU26" s="79" t="str">
        <f ca="1">HYPERLINK(Hulp!$C$3&amp;Beoordeling!BT26,BT26)</f>
        <v/>
      </c>
      <c r="BV26" s="77"/>
      <c r="BW26" s="81"/>
      <c r="BX26" s="81"/>
      <c r="BY26" s="81"/>
    </row>
    <row r="27" spans="1:77" x14ac:dyDescent="0.3">
      <c r="A27" s="75" t="s">
        <v>1397</v>
      </c>
      <c r="B27" s="76" t="str">
        <f>IF(VLOOKUP($A27,Table1[#All],_xlfn.XMATCH(B$12,Table1[#Headers],0,1),0)=0,"",VLOOKUP($A27,Table1[#All],_xlfn.XMATCH(B$12,Table1[#Headers],0,1),0))</f>
        <v>TXT_voorbeeld</v>
      </c>
      <c r="C27" s="76" t="str">
        <f>IF(VLOOKUP($A27,Table1[#All],_xlfn.XMATCH(C$12,Table1[#Headers],0,1),0)=0,"",VLOOKUP($A27,Table1[#All],_xlfn.XMATCH(C$12,Table1[#Headers],0,1),0))</f>
        <v/>
      </c>
      <c r="D27" s="77"/>
      <c r="E27" s="76" t="str">
        <f>IF(VLOOKUP($A27,Table1[#All],_xlfn.XMATCH(E$12,Table1[#Headers],0,1),0)=0,"",VLOOKUP($A27,Table1[#All],_xlfn.XMATCH(E$12,Table1[#Headers],0,1),0))</f>
        <v>Polderdijk</v>
      </c>
      <c r="F27" s="76" t="str">
        <f>IF(VLOOKUP($A27,Table1[#All],_xlfn.XMATCH(F$12,Table1[#Headers],0,1),0)=0,"",VLOOKUP($A27,Table1[#All],_xlfn.XMATCH(F$12,Table1[#Headers],0,1),0))</f>
        <v>Regionaal</v>
      </c>
      <c r="G27" s="76" t="str">
        <f>IF(VLOOKUP($A27,Table1[#All],_xlfn.XMATCH(G$12,Table1[#Headers],0,1),0)=0,"",VLOOKUP($A27,Table1[#All],_xlfn.XMATCH(G$12,Table1[#Headers],0,1),0))</f>
        <v>B03-AL01</v>
      </c>
      <c r="H27" s="76" t="str">
        <f>IF(VLOOKUP($A27,Table1[#All],_xlfn.XMATCH(H$12,Table1[#Headers],0,1),0)=0,"",VLOOKUP($A27,Table1[#All],_xlfn.XMATCH(H$12,Table1[#Headers],0,1),0))</f>
        <v>AL</v>
      </c>
      <c r="I27" s="76">
        <f>IF(VLOOKUP($A27,Table1[#All],_xlfn.XMATCH(I$12,Table1[#Headers],0,1),0)=0,"",VLOOKUP($A27,Table1[#All],_xlfn.XMATCH(I$12,Table1[#Headers],0,1),0))</f>
        <v>-8.9170000000000016</v>
      </c>
      <c r="J27" s="76">
        <f>IF(VLOOKUP($A27,Table1[#All],_xlfn.XMATCH(J$12,Table1[#Headers],0,1),0)=0,"",VLOOKUP($A27,Table1[#All],_xlfn.XMATCH(J$12,Table1[#Headers],0,1),0))</f>
        <v>4.4000000000000004</v>
      </c>
      <c r="K27" s="77"/>
      <c r="L27" s="76" t="str">
        <f>IF(VLOOKUP($A27,Table1[#All],_xlfn.XMATCH(L$12,Table1[#Headers],0,1),0)=0,"",VLOOKUP($A27,Table1[#All],_xlfn.XMATCH(L$12,Table1[#Headers],0,1),0))</f>
        <v>Klei, zandig, zwak, organisch, zwak, grijs, neutraal, Pulsinstallatie machinaal</v>
      </c>
      <c r="M27" s="76">
        <f>IF(VLOOKUP($A27,Table1[#All],_xlfn.XMATCH(M$12,Table1[#Headers],0,1),0)=0,"",VLOOKUP($A27,Table1[#All],_xlfn.XMATCH(M$12,Table1[#Headers],0,1),0))</f>
        <v>15.4</v>
      </c>
      <c r="N27" s="76">
        <f>IF(VLOOKUP($A27,Table1[#All],_xlfn.XMATCH(N$12,Table1[#Headers],0,1),0)=0,"",VLOOKUP($A27,Table1[#All],_xlfn.XMATCH(N$12,Table1[#Headers],0,1),0))</f>
        <v>9.1</v>
      </c>
      <c r="O27" s="76">
        <f>IF(VLOOKUP($A27,Table1[#All],_xlfn.XMATCH(O$12,Table1[#Headers],0,1),0)=0,"",VLOOKUP($A27,Table1[#All],_xlfn.XMATCH(O$12,Table1[#Headers],0,1),0))</f>
        <v>68.7</v>
      </c>
      <c r="P27" s="76" t="str">
        <f>IF(VLOOKUP($A27,Table1[#All],_xlfn.XMATCH(P$12,Table1[#Headers],0,1),0)=0,"",VLOOKUP($A27,Table1[#All],_xlfn.XMATCH(P$12,Table1[#Headers],0,1),0))</f>
        <v/>
      </c>
      <c r="Q27" s="76" t="str">
        <f>IF(VLOOKUP($A27,Table1[#All],_xlfn.XMATCH(Q$12,Table1[#Headers],0,1),0)=0,"",VLOOKUP($A27,Table1[#All],_xlfn.XMATCH(Q$12,Table1[#Headers],0,1),0))</f>
        <v/>
      </c>
      <c r="R27" s="76" t="str">
        <f>IF(VLOOKUP($A27,Table1[#All],_xlfn.XMATCH(R$12,Table1[#Headers],0,1),0)=0,"",VLOOKUP($A27,Table1[#All],_xlfn.XMATCH(R$12,Table1[#Headers],0,1),0))</f>
        <v/>
      </c>
      <c r="S27" s="76" t="str">
        <f>IF(VLOOKUP($A27,Table1[#All],_xlfn.XMATCH(S$12,Table1[#Headers],0,1),0)=0,"",VLOOKUP($A27,Table1[#All],_xlfn.XMATCH(S$12,Table1[#Headers],0,1),0))</f>
        <v/>
      </c>
      <c r="T27" s="76" t="str">
        <f>IF(VLOOKUP($A27,Table1[#All],_xlfn.XMATCH(T$12,Table1[#Headers],0,1),0)=0,"",VLOOKUP($A27,Table1[#All],_xlfn.XMATCH(T$12,Table1[#Headers],0,1),0))</f>
        <v/>
      </c>
      <c r="U27" s="76" t="str">
        <f>IF(VLOOKUP($A27,Table1[#All],_xlfn.XMATCH(U$12,Table1[#Headers],0,1),0)=0,"",VLOOKUP($A27,Table1[#All],_xlfn.XMATCH(U$12,Table1[#Headers],0,1),0))</f>
        <v/>
      </c>
      <c r="V27" s="77"/>
      <c r="W27" s="76">
        <f>IF(VLOOKUP($A27,Table1[#All],_xlfn.XMATCH(W$12,Table1[#Headers],0,1),0)=0,"",VLOOKUP($A27,Table1[#All],_xlfn.XMATCH(W$12,Table1[#Headers],0,1),0))</f>
        <v>45</v>
      </c>
      <c r="X27" s="76">
        <f>IF(VLOOKUP($A27,Table1[#All],_xlfn.XMATCH(X$12,Table1[#Headers],0,1),0)=0,"",VLOOKUP($A27,Table1[#All],_xlfn.XMATCH(X$12,Table1[#Headers],0,1),0))</f>
        <v>118.1</v>
      </c>
      <c r="Y27" s="76" t="str">
        <f>IF(VLOOKUP($A27,Table1[#All],_xlfn.XMATCH(Y$12,Table1[#Headers],0,1),0)=0,"",VLOOKUP($A27,Table1[#All],_xlfn.XMATCH(Y$12,Table1[#Headers],0,1),0))</f>
        <v>NC</v>
      </c>
      <c r="Z27" s="76">
        <f>IF(VLOOKUP($A27,Table1[#All],_xlfn.XMATCH(Z$12,Table1[#Headers],0,1),0)=0,"",VLOOKUP($A27,Table1[#All],_xlfn.XMATCH(Z$12,Table1[#Headers],0,1),0))</f>
        <v>85.6</v>
      </c>
      <c r="AA27" s="76">
        <f>IF(VLOOKUP($A27,Table1[#All],_xlfn.XMATCH(AA$12,Table1[#Headers],0,1),0)=0,"",VLOOKUP($A27,Table1[#All],_xlfn.XMATCH(AA$12,Table1[#Headers],0,1),0))</f>
        <v>32.5</v>
      </c>
      <c r="AB27" s="76">
        <f>IF(VLOOKUP($A27,Table1[#All],_xlfn.XMATCH(AB$12,Table1[#Headers],0,1),0)=0,"",VLOOKUP($A27,Table1[#All],_xlfn.XMATCH(AB$12,Table1[#Headers],0,1),0))</f>
        <v>0.45</v>
      </c>
      <c r="AC27" s="76">
        <f>IF(VLOOKUP($A27,Table1[#All],_xlfn.XMATCH(AC$12,Table1[#Headers],0,1),0)=0,"",VLOOKUP($A27,Table1[#All],_xlfn.XMATCH(AC$12,Table1[#Headers],0,1),0))</f>
        <v>12.8</v>
      </c>
      <c r="AD27" s="77"/>
      <c r="AE27" s="76">
        <f>IF(VLOOKUP($A27,Table1[#All],_xlfn.XMATCH(AE$12,Table1[#Headers],0,1),0)=0,"",VLOOKUP($A27,Table1[#All],_xlfn.XMATCH(AE$12,Table1[#Headers],0,1),0))</f>
        <v>52.8</v>
      </c>
      <c r="AF27" s="76">
        <f>IF(VLOOKUP($A27,Table1[#All],_xlfn.XMATCH(AF$12,Table1[#Headers],0,1),0)=0,"",VLOOKUP($A27,Table1[#All],_xlfn.XMATCH(AF$12,Table1[#Headers],0,1),0))</f>
        <v>42.9</v>
      </c>
      <c r="AG27" s="76">
        <f>IF(VLOOKUP($A27,Table1[#All],_xlfn.XMATCH(AG$12,Table1[#Headers],0,1),0)=0,"",VLOOKUP($A27,Table1[#All],_xlfn.XMATCH(AG$12,Table1[#Headers],0,1),0))</f>
        <v>45.2</v>
      </c>
      <c r="AH27" s="76">
        <f>IF(VLOOKUP($A27,Table1[#All],_xlfn.XMATCH(AH$12,Table1[#Headers],0,1),0)=0,"",VLOOKUP($A27,Table1[#All],_xlfn.XMATCH(AH$12,Table1[#Headers],0,1),0))</f>
        <v>33.9</v>
      </c>
      <c r="AI27" s="77"/>
      <c r="AJ27" s="78" t="str">
        <f>IF(VLOOKUP($A27,Table1[#All],_xlfn.XMATCH(AJ$12,Table1[#Headers],0,1),0)=0,"",VLOOKUP($A27,Table1[#All],_xlfn.XMATCH(AJ$12,Table1[#Headers],0,1),0))</f>
        <v/>
      </c>
      <c r="AK27" s="78" t="str">
        <f t="shared" si="0"/>
        <v/>
      </c>
      <c r="AL27" s="76" t="str">
        <f>IF(VLOOKUP($A27,Table1[#All],_xlfn.XMATCH(AL$12,Table1[#Headers],0,1),0)=0,"",VLOOKUP($A27,Table1[#All],_xlfn.XMATCH(AL$12,Table1[#Headers],0,1),0))</f>
        <v/>
      </c>
      <c r="AM27" s="77"/>
      <c r="AN27" s="76" t="str">
        <f>IF(VLOOKUP($A27,Table1[#All],_xlfn.XMATCH(AN$12,Table1[#Headers],0,1),0)=0,"",VLOOKUP($A27,Table1[#All],_xlfn.XMATCH(AN$12,Table1[#Headers],0,1),0))</f>
        <v/>
      </c>
      <c r="AO27" s="79" t="str">
        <f ca="1">HYPERLINK(Hulp!$C$5&amp;Beoordeling!AN27,MID(AN27,1,30))</f>
        <v/>
      </c>
      <c r="AP27" s="76" t="str">
        <f>IF(VLOOKUP($A27,Table1[#All],_xlfn.XMATCH(AP$12,Table1[#Headers],0,1),0)=0,"",VLOOKUP($A27,Table1[#All],_xlfn.XMATCH(AP$12,Table1[#Headers],0,1),0))</f>
        <v/>
      </c>
      <c r="AQ27" s="80"/>
      <c r="AR27" s="81"/>
      <c r="AS27" s="80"/>
      <c r="AT27" s="77"/>
      <c r="AU27" s="76" t="str">
        <f>IF(VLOOKUP($A27,Table1[#All],_xlfn.XMATCH(AU$12,Table1[#Headers],0,1),0)=0,"",VLOOKUP($A27,Table1[#All],_xlfn.XMATCH(AU$12,Table1[#Headers],0,1),0))</f>
        <v>TX53)GA250495_B03-AL01-10-991_Greeuw_V01.pdf</v>
      </c>
      <c r="AV27" s="79" t="str">
        <f ca="1">HYPERLINK(Hulp!$C$4&amp;Beoordeling!AU27,MID(AU27,1,20))</f>
        <v>TX53)GA250495_B03-AL</v>
      </c>
      <c r="AW27" s="82"/>
      <c r="AX27" s="82" t="str">
        <f t="shared" si="7"/>
        <v>hoog</v>
      </c>
      <c r="AY27" s="81"/>
      <c r="AZ27" s="83"/>
      <c r="BA27" s="77"/>
      <c r="BB27" s="84">
        <f t="shared" si="1"/>
        <v>0.61682242990654201</v>
      </c>
      <c r="BC27" s="84">
        <f t="shared" si="2"/>
        <v>0.79020979020979021</v>
      </c>
      <c r="BD27" s="76" t="str">
        <f>IF(VLOOKUP($A27,Table1[#All],_xlfn.XMATCH(BD$12,Table1[#Headers],0,1),0)=0,"",VLOOKUP($A27,Table1[#All],_xlfn.XMATCH(BD$12,Table1[#Headers],0,1),0))</f>
        <v>NC</v>
      </c>
      <c r="BE27" s="76" t="str">
        <f>IF(VLOOKUP($A27,Table1[#All],_xlfn.XMATCH(AL$12,Table1[#Headers],0,1),0)=0,"",VLOOKUP($A27,Table1[#All],_xlfn.XMATCH(AL$12,Table1[#Headers],0,1),0))</f>
        <v/>
      </c>
      <c r="BF27" s="76" t="str">
        <f t="shared" si="8"/>
        <v>NC</v>
      </c>
      <c r="BG27" s="76">
        <f>IF(VLOOKUP($A27,Table1[#All],_xlfn.XMATCH(BG$12,Table1[#Headers],0,1),0)=0,"",VLOOKUP($A27,Table1[#All],_xlfn.XMATCH(BG$12,Table1[#Headers],0,1),0))</f>
        <v>1.3</v>
      </c>
      <c r="BH27" s="76">
        <f t="shared" si="9"/>
        <v>0.28704487722269262</v>
      </c>
      <c r="BI27" s="85"/>
      <c r="BJ27" s="82"/>
      <c r="BK27" s="86" t="str">
        <f t="shared" si="3"/>
        <v>aflopend</v>
      </c>
      <c r="BL27" s="82"/>
      <c r="BM27" s="82"/>
      <c r="BN27" s="82"/>
      <c r="BO27" s="77"/>
      <c r="BP27" s="81"/>
      <c r="BQ27" s="81"/>
      <c r="BR27" s="81"/>
      <c r="BS27" s="77"/>
      <c r="BT27" s="76" t="str">
        <f>IF(VLOOKUP($A27,Table1[#All],_xlfn.XMATCH(BT$12,Table1[#Headers],0,1),0)=0,"",VLOOKUP($A27,Table1[#All],_xlfn.XMATCH(BT$12,Table1[#Headers],0,1),0))</f>
        <v/>
      </c>
      <c r="BU27" s="79" t="str">
        <f ca="1">HYPERLINK(Hulp!$C$3&amp;Beoordeling!BT27,BT27)</f>
        <v/>
      </c>
      <c r="BV27" s="77"/>
      <c r="BW27" s="81"/>
      <c r="BX27" s="81"/>
      <c r="BY27" s="81"/>
    </row>
    <row r="28" spans="1:77" x14ac:dyDescent="0.3">
      <c r="A28" s="75" t="s">
        <v>1398</v>
      </c>
      <c r="B28" s="76" t="str">
        <f>IF(VLOOKUP($A28,Table1[#All],_xlfn.XMATCH(B$12,Table1[#Headers],0,1),0)=0,"",VLOOKUP($A28,Table1[#All],_xlfn.XMATCH(B$12,Table1[#Headers],0,1),0))</f>
        <v>TXT_voorbeeld</v>
      </c>
      <c r="C28" s="76" t="str">
        <f>IF(VLOOKUP($A28,Table1[#All],_xlfn.XMATCH(C$12,Table1[#Headers],0,1),0)=0,"",VLOOKUP($A28,Table1[#All],_xlfn.XMATCH(C$12,Table1[#Headers],0,1),0))</f>
        <v/>
      </c>
      <c r="D28" s="77"/>
      <c r="E28" s="76" t="str">
        <f>IF(VLOOKUP($A28,Table1[#All],_xlfn.XMATCH(E$12,Table1[#Headers],0,1),0)=0,"",VLOOKUP($A28,Table1[#All],_xlfn.XMATCH(E$12,Table1[#Headers],0,1),0))</f>
        <v>Polderdijk</v>
      </c>
      <c r="F28" s="76" t="str">
        <f>IF(VLOOKUP($A28,Table1[#All],_xlfn.XMATCH(F$12,Table1[#Headers],0,1),0)=0,"",VLOOKUP($A28,Table1[#All],_xlfn.XMATCH(F$12,Table1[#Headers],0,1),0))</f>
        <v>Regionaal</v>
      </c>
      <c r="G28" s="76" t="str">
        <f>IF(VLOOKUP($A28,Table1[#All],_xlfn.XMATCH(G$12,Table1[#Headers],0,1),0)=0,"",VLOOKUP($A28,Table1[#All],_xlfn.XMATCH(G$12,Table1[#Headers],0,1),0))</f>
        <v>B08-K01</v>
      </c>
      <c r="H28" s="76" t="str">
        <f>IF(VLOOKUP($A28,Table1[#All],_xlfn.XMATCH(H$12,Table1[#Headers],0,1),0)=0,"",VLOOKUP($A28,Table1[#All],_xlfn.XMATCH(H$12,Table1[#Headers],0,1),0))</f>
        <v>KR</v>
      </c>
      <c r="I28" s="76">
        <f>IF(VLOOKUP($A28,Table1[#All],_xlfn.XMATCH(I$12,Table1[#Headers],0,1),0)=0,"",VLOOKUP($A28,Table1[#All],_xlfn.XMATCH(I$12,Table1[#Headers],0,1),0))</f>
        <v>-6.4010000000000007</v>
      </c>
      <c r="J28" s="76">
        <f>IF(VLOOKUP($A28,Table1[#All],_xlfn.XMATCH(J$12,Table1[#Headers],0,1),0)=0,"",VLOOKUP($A28,Table1[#All],_xlfn.XMATCH(J$12,Table1[#Headers],0,1),0))</f>
        <v>6.4</v>
      </c>
      <c r="K28" s="77"/>
      <c r="L28" s="76" t="str">
        <f>IF(VLOOKUP($A28,Table1[#All],_xlfn.XMATCH(L$12,Table1[#Headers],0,1),0)=0,"",VLOOKUP($A28,Table1[#All],_xlfn.XMATCH(L$12,Table1[#Headers],0,1),0))</f>
        <v>Klei, organisch, zwak, plantenresten, weinig, schelpen, weinig, grijs, neutraal, Pulsinstallatie machinaal</v>
      </c>
      <c r="M28" s="76">
        <f>IF(VLOOKUP($A28,Table1[#All],_xlfn.XMATCH(M$12,Table1[#Headers],0,1),0)=0,"",VLOOKUP($A28,Table1[#All],_xlfn.XMATCH(M$12,Table1[#Headers],0,1),0))</f>
        <v>15.1</v>
      </c>
      <c r="N28" s="76">
        <f>IF(VLOOKUP($A28,Table1[#All],_xlfn.XMATCH(N$12,Table1[#Headers],0,1),0)=0,"",VLOOKUP($A28,Table1[#All],_xlfn.XMATCH(N$12,Table1[#Headers],0,1),0))</f>
        <v>8</v>
      </c>
      <c r="O28" s="76">
        <f>IF(VLOOKUP($A28,Table1[#All],_xlfn.XMATCH(O$12,Table1[#Headers],0,1),0)=0,"",VLOOKUP($A28,Table1[#All],_xlfn.XMATCH(O$12,Table1[#Headers],0,1),0))</f>
        <v>89.3</v>
      </c>
      <c r="P28" s="76" t="str">
        <f>IF(VLOOKUP($A28,Table1[#All],_xlfn.XMATCH(P$12,Table1[#Headers],0,1),0)=0,"",VLOOKUP($A28,Table1[#All],_xlfn.XMATCH(P$12,Table1[#Headers],0,1),0))</f>
        <v/>
      </c>
      <c r="Q28" s="76" t="str">
        <f>IF(VLOOKUP($A28,Table1[#All],_xlfn.XMATCH(Q$12,Table1[#Headers],0,1),0)=0,"",VLOOKUP($A28,Table1[#All],_xlfn.XMATCH(Q$12,Table1[#Headers],0,1),0))</f>
        <v/>
      </c>
      <c r="R28" s="76" t="str">
        <f>IF(VLOOKUP($A28,Table1[#All],_xlfn.XMATCH(R$12,Table1[#Headers],0,1),0)=0,"",VLOOKUP($A28,Table1[#All],_xlfn.XMATCH(R$12,Table1[#Headers],0,1),0))</f>
        <v/>
      </c>
      <c r="S28" s="76" t="str">
        <f>IF(VLOOKUP($A28,Table1[#All],_xlfn.XMATCH(S$12,Table1[#Headers],0,1),0)=0,"",VLOOKUP($A28,Table1[#All],_xlfn.XMATCH(S$12,Table1[#Headers],0,1),0))</f>
        <v/>
      </c>
      <c r="T28" s="76" t="str">
        <f>IF(VLOOKUP($A28,Table1[#All],_xlfn.XMATCH(T$12,Table1[#Headers],0,1),0)=0,"",VLOOKUP($A28,Table1[#All],_xlfn.XMATCH(T$12,Table1[#Headers],0,1),0))</f>
        <v/>
      </c>
      <c r="U28" s="76" t="str">
        <f>IF(VLOOKUP($A28,Table1[#All],_xlfn.XMATCH(U$12,Table1[#Headers],0,1),0)=0,"",VLOOKUP($A28,Table1[#All],_xlfn.XMATCH(U$12,Table1[#Headers],0,1),0))</f>
        <v/>
      </c>
      <c r="V28" s="77"/>
      <c r="W28" s="76">
        <f>IF(VLOOKUP($A28,Table1[#All],_xlfn.XMATCH(W$12,Table1[#Headers],0,1),0)=0,"",VLOOKUP($A28,Table1[#All],_xlfn.XMATCH(W$12,Table1[#Headers],0,1),0))</f>
        <v>43.7</v>
      </c>
      <c r="X28" s="76">
        <f>IF(VLOOKUP($A28,Table1[#All],_xlfn.XMATCH(X$12,Table1[#Headers],0,1),0)=0,"",VLOOKUP($A28,Table1[#All],_xlfn.XMATCH(X$12,Table1[#Headers],0,1),0))</f>
        <v>110.1</v>
      </c>
      <c r="Y28" s="76" t="str">
        <f>IF(VLOOKUP($A28,Table1[#All],_xlfn.XMATCH(Y$12,Table1[#Headers],0,1),0)=0,"",VLOOKUP($A28,Table1[#All],_xlfn.XMATCH(Y$12,Table1[#Headers],0,1),0))</f>
        <v>NC</v>
      </c>
      <c r="Z28" s="76">
        <f>IF(VLOOKUP($A28,Table1[#All],_xlfn.XMATCH(Z$12,Table1[#Headers],0,1),0)=0,"",VLOOKUP($A28,Table1[#All],_xlfn.XMATCH(Z$12,Table1[#Headers],0,1),0))</f>
        <v>79.8</v>
      </c>
      <c r="AA28" s="76">
        <f>IF(VLOOKUP($A28,Table1[#All],_xlfn.XMATCH(AA$12,Table1[#Headers],0,1),0)=0,"",VLOOKUP($A28,Table1[#All],_xlfn.XMATCH(AA$12,Table1[#Headers],0,1),0))</f>
        <v>30.3</v>
      </c>
      <c r="AB28" s="76">
        <f>IF(VLOOKUP($A28,Table1[#All],_xlfn.XMATCH(AB$12,Table1[#Headers],0,1),0)=0,"",VLOOKUP($A28,Table1[#All],_xlfn.XMATCH(AB$12,Table1[#Headers],0,1),0))</f>
        <v>0.45</v>
      </c>
      <c r="AC28" s="76">
        <f>IF(VLOOKUP($A28,Table1[#All],_xlfn.XMATCH(AC$12,Table1[#Headers],0,1),0)=0,"",VLOOKUP($A28,Table1[#All],_xlfn.XMATCH(AC$12,Table1[#Headers],0,1),0))</f>
        <v>12</v>
      </c>
      <c r="AD28" s="77"/>
      <c r="AE28" s="76">
        <f>IF(VLOOKUP($A28,Table1[#All],_xlfn.XMATCH(AE$12,Table1[#Headers],0,1),0)=0,"",VLOOKUP($A28,Table1[#All],_xlfn.XMATCH(AE$12,Table1[#Headers],0,1),0))</f>
        <v>47.6</v>
      </c>
      <c r="AF28" s="76">
        <f>IF(VLOOKUP($A28,Table1[#All],_xlfn.XMATCH(AF$12,Table1[#Headers],0,1),0)=0,"",VLOOKUP($A28,Table1[#All],_xlfn.XMATCH(AF$12,Table1[#Headers],0,1),0))</f>
        <v>39.5</v>
      </c>
      <c r="AG28" s="76">
        <f>IF(VLOOKUP($A28,Table1[#All],_xlfn.XMATCH(AG$12,Table1[#Headers],0,1),0)=0,"",VLOOKUP($A28,Table1[#All],_xlfn.XMATCH(AG$12,Table1[#Headers],0,1),0))</f>
        <v>41.2</v>
      </c>
      <c r="AH28" s="76">
        <f>IF(VLOOKUP($A28,Table1[#All],_xlfn.XMATCH(AH$12,Table1[#Headers],0,1),0)=0,"",VLOOKUP($A28,Table1[#All],_xlfn.XMATCH(AH$12,Table1[#Headers],0,1),0))</f>
        <v>31.2</v>
      </c>
      <c r="AI28" s="77"/>
      <c r="AJ28" s="78">
        <f>IF(VLOOKUP($A28,Table1[#All],_xlfn.XMATCH(AJ$12,Table1[#Headers],0,1),0)=0,"",VLOOKUP($A28,Table1[#All],_xlfn.XMATCH(AJ$12,Table1[#Headers],0,1),0))</f>
        <v>81.5</v>
      </c>
      <c r="AK28" s="78">
        <f t="shared" si="0"/>
        <v>37.799999999999997</v>
      </c>
      <c r="AL28" s="76">
        <f>IF(VLOOKUP($A28,Table1[#All],_xlfn.XMATCH(AL$12,Table1[#Headers],0,1),0)=0,"",VLOOKUP($A28,Table1[#All],_xlfn.XMATCH(AL$12,Table1[#Headers],0,1),0))</f>
        <v>1</v>
      </c>
      <c r="AM28" s="77"/>
      <c r="AN28" s="76" t="str">
        <f>IF(VLOOKUP($A28,Table1[#All],_xlfn.XMATCH(AN$12,Table1[#Headers],0,1),0)=0,"",VLOOKUP($A28,Table1[#All],_xlfn.XMATCH(AN$12,Table1[#Headers],0,1),0))</f>
        <v/>
      </c>
      <c r="AO28" s="79" t="str">
        <f ca="1">HYPERLINK(Hulp!$C$5&amp;Beoordeling!AN28,MID(AN28,1,30))</f>
        <v/>
      </c>
      <c r="AP28" s="76" t="str">
        <f>IF(VLOOKUP($A28,Table1[#All],_xlfn.XMATCH(AP$12,Table1[#Headers],0,1),0)=0,"",VLOOKUP($A28,Table1[#All],_xlfn.XMATCH(AP$12,Table1[#Headers],0,1),0))</f>
        <v/>
      </c>
      <c r="AQ28" s="80"/>
      <c r="AR28" s="81"/>
      <c r="AS28" s="80"/>
      <c r="AT28" s="77"/>
      <c r="AU28" s="76" t="str">
        <f>IF(VLOOKUP($A28,Table1[#All],_xlfn.XMATCH(AU$12,Table1[#Headers],0,1),0)=0,"",VLOOKUP($A28,Table1[#All],_xlfn.XMATCH(AU$12,Table1[#Headers],0,1),0))</f>
        <v>TX83)GA250495_B08-K01-15-22380_Greeuw_V01.pdf</v>
      </c>
      <c r="AV28" s="79" t="str">
        <f ca="1">HYPERLINK(Hulp!$C$4&amp;Beoordeling!AU28,MID(AU28,1,20))</f>
        <v>TX83)GA250495_B08-K0</v>
      </c>
      <c r="AW28" s="82"/>
      <c r="AX28" s="82" t="str">
        <f t="shared" si="7"/>
        <v>hoog</v>
      </c>
      <c r="AY28" s="81"/>
      <c r="AZ28" s="83"/>
      <c r="BA28" s="77"/>
      <c r="BB28" s="84">
        <f t="shared" si="1"/>
        <v>0.59649122807017552</v>
      </c>
      <c r="BC28" s="84">
        <f t="shared" si="2"/>
        <v>0.78987341772151898</v>
      </c>
      <c r="BD28" s="76" t="str">
        <f>IF(VLOOKUP($A28,Table1[#All],_xlfn.XMATCH(BD$12,Table1[#Headers],0,1),0)=0,"",VLOOKUP($A28,Table1[#All],_xlfn.XMATCH(BD$12,Table1[#Headers],0,1),0))</f>
        <v>NC</v>
      </c>
      <c r="BE28" s="76">
        <f>IF(VLOOKUP($A28,Table1[#All],_xlfn.XMATCH(AL$12,Table1[#Headers],0,1),0)=0,"",VLOOKUP($A28,Table1[#All],_xlfn.XMATCH(AL$12,Table1[#Headers],0,1),0))</f>
        <v>1</v>
      </c>
      <c r="BF28" s="76" t="str">
        <f t="shared" si="8"/>
        <v>NC</v>
      </c>
      <c r="BG28" s="76">
        <f>IF(VLOOKUP($A28,Table1[#All],_xlfn.XMATCH(BG$12,Table1[#Headers],0,1),0)=0,"",VLOOKUP($A28,Table1[#All],_xlfn.XMATCH(BG$12,Table1[#Headers],0,1),0))</f>
        <v>1.4</v>
      </c>
      <c r="BH28" s="76">
        <f t="shared" si="9"/>
        <v>0.28337874659400547</v>
      </c>
      <c r="BI28" s="85"/>
      <c r="BJ28" s="82"/>
      <c r="BK28" s="86" t="str">
        <f t="shared" si="3"/>
        <v>aflopend</v>
      </c>
      <c r="BL28" s="82"/>
      <c r="BM28" s="82"/>
      <c r="BN28" s="82"/>
      <c r="BO28" s="77"/>
      <c r="BP28" s="81"/>
      <c r="BQ28" s="81"/>
      <c r="BR28" s="81"/>
      <c r="BS28" s="77"/>
      <c r="BT28" s="76" t="str">
        <f>IF(VLOOKUP($A28,Table1[#All],_xlfn.XMATCH(BT$12,Table1[#Headers],0,1),0)=0,"",VLOOKUP($A28,Table1[#All],_xlfn.XMATCH(BT$12,Table1[#Headers],0,1),0))</f>
        <v/>
      </c>
      <c r="BU28" s="79" t="str">
        <f ca="1">HYPERLINK(Hulp!$C$3&amp;Beoordeling!BT28,BT28)</f>
        <v/>
      </c>
      <c r="BV28" s="77"/>
      <c r="BW28" s="81"/>
      <c r="BX28" s="81"/>
      <c r="BY28" s="81"/>
    </row>
    <row r="29" spans="1:77" x14ac:dyDescent="0.3">
      <c r="A29" s="75" t="s">
        <v>1399</v>
      </c>
      <c r="B29" s="76" t="str">
        <f>IF(VLOOKUP($A29,Table1[#All],_xlfn.XMATCH(B$12,Table1[#Headers],0,1),0)=0,"",VLOOKUP($A29,Table1[#All],_xlfn.XMATCH(B$12,Table1[#Headers],0,1),0))</f>
        <v>TXT_voorbeeld</v>
      </c>
      <c r="C29" s="76" t="str">
        <f>IF(VLOOKUP($A29,Table1[#All],_xlfn.XMATCH(C$12,Table1[#Headers],0,1),0)=0,"",VLOOKUP($A29,Table1[#All],_xlfn.XMATCH(C$12,Table1[#Headers],0,1),0))</f>
        <v/>
      </c>
      <c r="D29" s="77"/>
      <c r="E29" s="76" t="str">
        <f>IF(VLOOKUP($A29,Table1[#All],_xlfn.XMATCH(E$12,Table1[#Headers],0,1),0)=0,"",VLOOKUP($A29,Table1[#All],_xlfn.XMATCH(E$12,Table1[#Headers],0,1),0))</f>
        <v>Polderdijk</v>
      </c>
      <c r="F29" s="76" t="str">
        <f>IF(VLOOKUP($A29,Table1[#All],_xlfn.XMATCH(F$12,Table1[#Headers],0,1),0)=0,"",VLOOKUP($A29,Table1[#All],_xlfn.XMATCH(F$12,Table1[#Headers],0,1),0))</f>
        <v>Regionaal</v>
      </c>
      <c r="G29" s="76" t="str">
        <f>IF(VLOOKUP($A29,Table1[#All],_xlfn.XMATCH(G$12,Table1[#Headers],0,1),0)=0,"",VLOOKUP($A29,Table1[#All],_xlfn.XMATCH(G$12,Table1[#Headers],0,1),0))</f>
        <v>B11-K01</v>
      </c>
      <c r="H29" s="76" t="str">
        <f>IF(VLOOKUP($A29,Table1[#All],_xlfn.XMATCH(H$12,Table1[#Headers],0,1),0)=0,"",VLOOKUP($A29,Table1[#All],_xlfn.XMATCH(H$12,Table1[#Headers],0,1),0))</f>
        <v>KR</v>
      </c>
      <c r="I29" s="76">
        <f>IF(VLOOKUP($A29,Table1[#All],_xlfn.XMATCH(I$12,Table1[#Headers],0,1),0)=0,"",VLOOKUP($A29,Table1[#All],_xlfn.XMATCH(I$12,Table1[#Headers],0,1),0))</f>
        <v>-5.7270000000000003</v>
      </c>
      <c r="J29" s="76">
        <f>IF(VLOOKUP($A29,Table1[#All],_xlfn.XMATCH(J$12,Table1[#Headers],0,1),0)=0,"",VLOOKUP($A29,Table1[#All],_xlfn.XMATCH(J$12,Table1[#Headers],0,1),0))</f>
        <v>10.8</v>
      </c>
      <c r="K29" s="77"/>
      <c r="L29" s="76" t="str">
        <f>IF(VLOOKUP($A29,Table1[#All],_xlfn.XMATCH(L$12,Table1[#Headers],0,1),0)=0,"",VLOOKUP($A29,Table1[#All],_xlfn.XMATCH(L$12,Table1[#Headers],0,1),0))</f>
        <v>Silt, zandig, sterk, organisch, zwak, grijs, donker, Pulsinstallatie machinaal</v>
      </c>
      <c r="M29" s="76">
        <f>IF(VLOOKUP($A29,Table1[#All],_xlfn.XMATCH(M$12,Table1[#Headers],0,1),0)=0,"",VLOOKUP($A29,Table1[#All],_xlfn.XMATCH(M$12,Table1[#Headers],0,1),0))</f>
        <v>15.1</v>
      </c>
      <c r="N29" s="76">
        <f>IF(VLOOKUP($A29,Table1[#All],_xlfn.XMATCH(N$12,Table1[#Headers],0,1),0)=0,"",VLOOKUP($A29,Table1[#All],_xlfn.XMATCH(N$12,Table1[#Headers],0,1),0))</f>
        <v>8.8000000000000007</v>
      </c>
      <c r="O29" s="76">
        <f>IF(VLOOKUP($A29,Table1[#All],_xlfn.XMATCH(O$12,Table1[#Headers],0,1),0)=0,"",VLOOKUP($A29,Table1[#All],_xlfn.XMATCH(O$12,Table1[#Headers],0,1),0))</f>
        <v>72.599999999999994</v>
      </c>
      <c r="P29" s="76" t="str">
        <f>IF(VLOOKUP($A29,Table1[#All],_xlfn.XMATCH(P$12,Table1[#Headers],0,1),0)=0,"",VLOOKUP($A29,Table1[#All],_xlfn.XMATCH(P$12,Table1[#Headers],0,1),0))</f>
        <v/>
      </c>
      <c r="Q29" s="76" t="str">
        <f>IF(VLOOKUP($A29,Table1[#All],_xlfn.XMATCH(Q$12,Table1[#Headers],0,1),0)=0,"",VLOOKUP($A29,Table1[#All],_xlfn.XMATCH(Q$12,Table1[#Headers],0,1),0))</f>
        <v/>
      </c>
      <c r="R29" s="76" t="str">
        <f>IF(VLOOKUP($A29,Table1[#All],_xlfn.XMATCH(R$12,Table1[#Headers],0,1),0)=0,"",VLOOKUP($A29,Table1[#All],_xlfn.XMATCH(R$12,Table1[#Headers],0,1),0))</f>
        <v/>
      </c>
      <c r="S29" s="76" t="str">
        <f>IF(VLOOKUP($A29,Table1[#All],_xlfn.XMATCH(S$12,Table1[#Headers],0,1),0)=0,"",VLOOKUP($A29,Table1[#All],_xlfn.XMATCH(S$12,Table1[#Headers],0,1),0))</f>
        <v/>
      </c>
      <c r="T29" s="76" t="str">
        <f>IF(VLOOKUP($A29,Table1[#All],_xlfn.XMATCH(T$12,Table1[#Headers],0,1),0)=0,"",VLOOKUP($A29,Table1[#All],_xlfn.XMATCH(T$12,Table1[#Headers],0,1),0))</f>
        <v/>
      </c>
      <c r="U29" s="76" t="str">
        <f>IF(VLOOKUP($A29,Table1[#All],_xlfn.XMATCH(U$12,Table1[#Headers],0,1),0)=0,"",VLOOKUP($A29,Table1[#All],_xlfn.XMATCH(U$12,Table1[#Headers],0,1),0))</f>
        <v/>
      </c>
      <c r="V29" s="77"/>
      <c r="W29" s="76">
        <f>IF(VLOOKUP($A29,Table1[#All],_xlfn.XMATCH(W$12,Table1[#Headers],0,1),0)=0,"",VLOOKUP($A29,Table1[#All],_xlfn.XMATCH(W$12,Table1[#Headers],0,1),0))</f>
        <v>107.6</v>
      </c>
      <c r="X29" s="76">
        <f>IF(VLOOKUP($A29,Table1[#All],_xlfn.XMATCH(X$12,Table1[#Headers],0,1),0)=0,"",VLOOKUP($A29,Table1[#All],_xlfn.XMATCH(X$12,Table1[#Headers],0,1),0))</f>
        <v>280</v>
      </c>
      <c r="Y29" s="76" t="str">
        <f>IF(VLOOKUP($A29,Table1[#All],_xlfn.XMATCH(Y$12,Table1[#Headers],0,1),0)=0,"",VLOOKUP($A29,Table1[#All],_xlfn.XMATCH(Y$12,Table1[#Headers],0,1),0))</f>
        <v>NC</v>
      </c>
      <c r="Z29" s="76">
        <f>IF(VLOOKUP($A29,Table1[#All],_xlfn.XMATCH(Z$12,Table1[#Headers],0,1),0)=0,"",VLOOKUP($A29,Table1[#All],_xlfn.XMATCH(Z$12,Table1[#Headers],0,1),0))</f>
        <v>203</v>
      </c>
      <c r="AA29" s="76">
        <f>IF(VLOOKUP($A29,Table1[#All],_xlfn.XMATCH(AA$12,Table1[#Headers],0,1),0)=0,"",VLOOKUP($A29,Table1[#All],_xlfn.XMATCH(AA$12,Table1[#Headers],0,1),0))</f>
        <v>77</v>
      </c>
      <c r="AB29" s="76">
        <f>IF(VLOOKUP($A29,Table1[#All],_xlfn.XMATCH(AB$12,Table1[#Headers],0,1),0)=0,"",VLOOKUP($A29,Table1[#All],_xlfn.XMATCH(AB$12,Table1[#Headers],0,1),0))</f>
        <v>0.45</v>
      </c>
      <c r="AC29" s="76">
        <f>IF(VLOOKUP($A29,Table1[#All],_xlfn.XMATCH(AC$12,Table1[#Headers],0,1),0)=0,"",VLOOKUP($A29,Table1[#All],_xlfn.XMATCH(AC$12,Table1[#Headers],0,1),0))</f>
        <v>16.899999999999999</v>
      </c>
      <c r="AD29" s="77"/>
      <c r="AE29" s="76">
        <f>IF(VLOOKUP($A29,Table1[#All],_xlfn.XMATCH(AE$12,Table1[#Headers],0,1),0)=0,"",VLOOKUP($A29,Table1[#All],_xlfn.XMATCH(AE$12,Table1[#Headers],0,1),0))</f>
        <v>129.9</v>
      </c>
      <c r="AF29" s="76">
        <f>IF(VLOOKUP($A29,Table1[#All],_xlfn.XMATCH(AF$12,Table1[#Headers],0,1),0)=0,"",VLOOKUP($A29,Table1[#All],_xlfn.XMATCH(AF$12,Table1[#Headers],0,1),0))</f>
        <v>105</v>
      </c>
      <c r="AG29" s="76">
        <f>IF(VLOOKUP($A29,Table1[#All],_xlfn.XMATCH(AG$12,Table1[#Headers],0,1),0)=0,"",VLOOKUP($A29,Table1[#All],_xlfn.XMATCH(AG$12,Table1[#Headers],0,1),0))</f>
        <v>106.4</v>
      </c>
      <c r="AH29" s="76">
        <f>IF(VLOOKUP($A29,Table1[#All],_xlfn.XMATCH(AH$12,Table1[#Headers],0,1),0)=0,"",VLOOKUP($A29,Table1[#All],_xlfn.XMATCH(AH$12,Table1[#Headers],0,1),0))</f>
        <v>74.2</v>
      </c>
      <c r="AI29" s="77"/>
      <c r="AJ29" s="78" t="str">
        <f>IF(VLOOKUP($A29,Table1[#All],_xlfn.XMATCH(AJ$12,Table1[#Headers],0,1),0)=0,"",VLOOKUP($A29,Table1[#All],_xlfn.XMATCH(AJ$12,Table1[#Headers],0,1),0))</f>
        <v/>
      </c>
      <c r="AK29" s="78" t="str">
        <f t="shared" si="0"/>
        <v/>
      </c>
      <c r="AL29" s="76" t="str">
        <f>IF(VLOOKUP($A29,Table1[#All],_xlfn.XMATCH(AL$12,Table1[#Headers],0,1),0)=0,"",VLOOKUP($A29,Table1[#All],_xlfn.XMATCH(AL$12,Table1[#Headers],0,1),0))</f>
        <v/>
      </c>
      <c r="AM29" s="77"/>
      <c r="AN29" s="76" t="str">
        <f>IF(VLOOKUP($A29,Table1[#All],_xlfn.XMATCH(AN$12,Table1[#Headers],0,1),0)=0,"",VLOOKUP($A29,Table1[#All],_xlfn.XMATCH(AN$12,Table1[#Headers],0,1),0))</f>
        <v/>
      </c>
      <c r="AO29" s="79" t="str">
        <f ca="1">HYPERLINK(Hulp!$C$5&amp;Beoordeling!AN29,MID(AN29,1,30))</f>
        <v/>
      </c>
      <c r="AP29" s="76" t="str">
        <f>IF(VLOOKUP($A29,Table1[#All],_xlfn.XMATCH(AP$12,Table1[#Headers],0,1),0)=0,"",VLOOKUP($A29,Table1[#All],_xlfn.XMATCH(AP$12,Table1[#Headers],0,1),0))</f>
        <v/>
      </c>
      <c r="AQ29" s="80"/>
      <c r="AR29" s="81"/>
      <c r="AS29" s="80"/>
      <c r="AT29" s="77"/>
      <c r="AU29" s="76" t="str">
        <f>IF(VLOOKUP($A29,Table1[#All],_xlfn.XMATCH(AU$12,Table1[#Headers],0,1),0)=0,"",VLOOKUP($A29,Table1[#All],_xlfn.XMATCH(AU$12,Table1[#Headers],0,1),0))</f>
        <v>TX2)GA250495_B11-K01-26-1116_Greeuw_V01.pdf</v>
      </c>
      <c r="AV29" s="79" t="str">
        <f ca="1">HYPERLINK(Hulp!$C$4&amp;Beoordeling!AU29,MID(AU29,1,20))</f>
        <v>TX2)GA250495_B11-K01</v>
      </c>
      <c r="AW29" s="82"/>
      <c r="AX29" s="82" t="str">
        <f t="shared" si="7"/>
        <v>hoog</v>
      </c>
      <c r="AY29" s="81"/>
      <c r="AZ29" s="83"/>
      <c r="BA29" s="77"/>
      <c r="BB29" s="84">
        <f t="shared" si="1"/>
        <v>0.63990147783251239</v>
      </c>
      <c r="BC29" s="84">
        <f t="shared" si="2"/>
        <v>0.70666666666666667</v>
      </c>
      <c r="BD29" s="76" t="str">
        <f>IF(VLOOKUP($A29,Table1[#All],_xlfn.XMATCH(BD$12,Table1[#Headers],0,1),0)=0,"",VLOOKUP($A29,Table1[#All],_xlfn.XMATCH(BD$12,Table1[#Headers],0,1),0))</f>
        <v>NC</v>
      </c>
      <c r="BE29" s="76" t="str">
        <f>IF(VLOOKUP($A29,Table1[#All],_xlfn.XMATCH(AL$12,Table1[#Headers],0,1),0)=0,"",VLOOKUP($A29,Table1[#All],_xlfn.XMATCH(AL$12,Table1[#Headers],0,1),0))</f>
        <v/>
      </c>
      <c r="BF29" s="76" t="str">
        <f t="shared" si="8"/>
        <v>NC</v>
      </c>
      <c r="BG29" s="76">
        <f>IF(VLOOKUP($A29,Table1[#All],_xlfn.XMATCH(BG$12,Table1[#Headers],0,1),0)=0,"",VLOOKUP($A29,Table1[#All],_xlfn.XMATCH(BG$12,Table1[#Headers],0,1),0))</f>
        <v>2.6</v>
      </c>
      <c r="BH29" s="76">
        <f t="shared" si="9"/>
        <v>0.26500000000000001</v>
      </c>
      <c r="BI29" s="85"/>
      <c r="BJ29" s="82"/>
      <c r="BK29" s="86" t="str">
        <f t="shared" si="3"/>
        <v>sterk aflopend</v>
      </c>
      <c r="BL29" s="82"/>
      <c r="BM29" s="82"/>
      <c r="BN29" s="82"/>
      <c r="BO29" s="77"/>
      <c r="BP29" s="81"/>
      <c r="BQ29" s="81"/>
      <c r="BR29" s="81"/>
      <c r="BS29" s="77"/>
      <c r="BT29" s="76" t="str">
        <f>IF(VLOOKUP($A29,Table1[#All],_xlfn.XMATCH(BT$12,Table1[#Headers],0,1),0)=0,"",VLOOKUP($A29,Table1[#All],_xlfn.XMATCH(BT$12,Table1[#Headers],0,1),0))</f>
        <v/>
      </c>
      <c r="BU29" s="79" t="str">
        <f ca="1">HYPERLINK(Hulp!$C$3&amp;Beoordeling!BT29,BT29)</f>
        <v/>
      </c>
      <c r="BV29" s="77"/>
      <c r="BW29" s="81"/>
      <c r="BX29" s="81"/>
      <c r="BY29" s="81"/>
    </row>
    <row r="30" spans="1:77" s="43" customFormat="1" x14ac:dyDescent="0.3">
      <c r="A30" s="113"/>
      <c r="B30" s="114"/>
      <c r="C30" s="114"/>
      <c r="D30" s="77"/>
      <c r="E30" s="114"/>
      <c r="F30" s="114"/>
      <c r="G30" s="114"/>
      <c r="H30" s="114"/>
      <c r="I30" s="114"/>
      <c r="J30" s="114"/>
      <c r="K30" s="77"/>
      <c r="L30" s="114"/>
      <c r="M30" s="114"/>
      <c r="N30" s="114"/>
      <c r="O30" s="114"/>
      <c r="P30" s="114"/>
      <c r="Q30" s="114"/>
      <c r="R30" s="114"/>
      <c r="S30" s="114"/>
      <c r="T30" s="114"/>
      <c r="U30" s="114"/>
      <c r="V30" s="77"/>
      <c r="W30" s="114"/>
      <c r="X30" s="114"/>
      <c r="Y30" s="114"/>
      <c r="Z30" s="114"/>
      <c r="AA30" s="114"/>
      <c r="AB30" s="114"/>
      <c r="AC30" s="114"/>
      <c r="AD30" s="77"/>
      <c r="AE30" s="114"/>
      <c r="AF30" s="114"/>
      <c r="AG30" s="114"/>
      <c r="AH30" s="114"/>
      <c r="AI30" s="77"/>
      <c r="AJ30" s="115"/>
      <c r="AK30" s="115"/>
      <c r="AL30" s="114"/>
      <c r="AM30" s="77"/>
      <c r="AN30" s="114"/>
      <c r="AO30" s="116"/>
      <c r="AP30" s="114"/>
      <c r="AQ30" s="114"/>
      <c r="AR30" s="117"/>
      <c r="AS30" s="114"/>
      <c r="AT30" s="77"/>
      <c r="AU30" s="114"/>
      <c r="AV30" s="116"/>
      <c r="AW30" s="118"/>
      <c r="AX30" s="118"/>
      <c r="AY30" s="117"/>
      <c r="AZ30" s="116"/>
      <c r="BA30" s="77"/>
      <c r="BB30" s="119"/>
      <c r="BC30" s="119"/>
      <c r="BD30" s="114"/>
      <c r="BE30" s="114"/>
      <c r="BF30" s="114"/>
      <c r="BG30" s="114"/>
      <c r="BH30" s="114"/>
      <c r="BI30" s="120"/>
      <c r="BJ30" s="120"/>
      <c r="BK30" s="121"/>
      <c r="BL30" s="121"/>
      <c r="BM30" s="121"/>
      <c r="BN30" s="121"/>
      <c r="BO30" s="77"/>
      <c r="BP30" s="117"/>
      <c r="BQ30" s="117"/>
      <c r="BR30" s="117"/>
      <c r="BS30" s="77"/>
      <c r="BT30" s="114"/>
      <c r="BU30" s="116"/>
      <c r="BV30" s="77"/>
      <c r="BW30" s="81"/>
      <c r="BX30" s="117"/>
      <c r="BY30" s="117"/>
    </row>
    <row r="31" spans="1:77" s="43" customFormat="1" x14ac:dyDescent="0.3">
      <c r="A31" s="122" t="s">
        <v>10</v>
      </c>
      <c r="B31" s="114"/>
      <c r="C31" s="114"/>
      <c r="D31" s="77"/>
      <c r="E31" s="114"/>
      <c r="F31" s="114"/>
      <c r="G31" s="114"/>
      <c r="H31" s="114"/>
      <c r="I31" s="114"/>
      <c r="J31" s="114"/>
      <c r="K31" s="77"/>
      <c r="L31" s="114"/>
      <c r="M31" s="114"/>
      <c r="N31" s="114"/>
      <c r="O31" s="114"/>
      <c r="P31" s="114"/>
      <c r="Q31" s="114"/>
      <c r="R31" s="114"/>
      <c r="S31" s="114"/>
      <c r="T31" s="114"/>
      <c r="U31" s="114"/>
      <c r="V31" s="77"/>
      <c r="W31" s="114"/>
      <c r="X31" s="114"/>
      <c r="Y31" s="114"/>
      <c r="Z31" s="114"/>
      <c r="AA31" s="114"/>
      <c r="AB31" s="114"/>
      <c r="AC31" s="114"/>
      <c r="AD31" s="77"/>
      <c r="AE31" s="114"/>
      <c r="AF31" s="114"/>
      <c r="AG31" s="114"/>
      <c r="AH31" s="114"/>
      <c r="AI31" s="77"/>
      <c r="AJ31" s="115"/>
      <c r="AK31" s="115"/>
      <c r="AL31" s="114"/>
      <c r="AM31" s="77"/>
      <c r="AN31" s="114"/>
      <c r="AO31" s="116"/>
      <c r="AP31" s="114"/>
      <c r="AQ31" s="114"/>
      <c r="AR31" s="117"/>
      <c r="AS31" s="114"/>
      <c r="AT31" s="77"/>
      <c r="AU31" s="114"/>
      <c r="AV31" s="116"/>
      <c r="AW31" s="118"/>
      <c r="AX31" s="118"/>
      <c r="AY31" s="117"/>
      <c r="AZ31" s="116"/>
      <c r="BA31" s="77"/>
      <c r="BB31" s="119"/>
      <c r="BC31" s="119"/>
      <c r="BD31" s="114"/>
      <c r="BE31" s="114"/>
      <c r="BF31" s="114"/>
      <c r="BG31" s="114"/>
      <c r="BH31" s="114"/>
      <c r="BI31" s="120"/>
      <c r="BJ31" s="120"/>
      <c r="BK31" s="121"/>
      <c r="BL31" s="121"/>
      <c r="BM31" s="121"/>
      <c r="BN31" s="121"/>
      <c r="BO31" s="77"/>
      <c r="BP31" s="117"/>
      <c r="BQ31" s="117"/>
      <c r="BR31" s="117"/>
      <c r="BS31" s="77"/>
      <c r="BT31" s="114"/>
      <c r="BU31" s="116"/>
      <c r="BV31" s="77"/>
      <c r="BW31" s="81"/>
      <c r="BX31" s="117"/>
      <c r="BY31" s="117"/>
    </row>
    <row r="32" spans="1:77" x14ac:dyDescent="0.3">
      <c r="A32" s="75" t="s">
        <v>1281</v>
      </c>
      <c r="B32" s="76" t="str">
        <f>IF(VLOOKUP($A32,Table1[#All],_xlfn.XMATCH(B$12,Table1[#Headers],0,1),0)=0,"",VLOOKUP($A32,Table1[#All],_xlfn.XMATCH(B$12,Table1[#Headers],0,1),0))</f>
        <v>DSS_voorbeeld</v>
      </c>
      <c r="C32" s="76" t="str">
        <f>IF(VLOOKUP($A32,Table1[#All],_xlfn.XMATCH(C$12,Table1[#Headers],0,1),0)=0,"",VLOOKUP($A32,Table1[#All],_xlfn.XMATCH(C$12,Table1[#Headers],0,1),0))</f>
        <v/>
      </c>
      <c r="D32" s="77"/>
      <c r="E32" s="76" t="str">
        <f>IF(VLOOKUP($A32,Table1[#All],_xlfn.XMATCH(E$12,Table1[#Headers],0,1),0)=0,"",VLOOKUP($A32,Table1[#All],_xlfn.XMATCH(E$12,Table1[#Headers],0,1),0))</f>
        <v>Polderdijk</v>
      </c>
      <c r="F32" s="76" t="str">
        <f>IF(VLOOKUP($A32,Table1[#All],_xlfn.XMATCH(F$12,Table1[#Headers],0,1),0)=0,"",VLOOKUP($A32,Table1[#All],_xlfn.XMATCH(F$12,Table1[#Headers],0,1),0))</f>
        <v>Regionaal</v>
      </c>
      <c r="G32" s="76" t="str">
        <f>IF(VLOOKUP($A32,Table1[#All],_xlfn.XMATCH(G$12,Table1[#Headers],0,1),0)=0,"",VLOOKUP($A32,Table1[#All],_xlfn.XMATCH(G$12,Table1[#Headers],0,1),0))</f>
        <v>B01-K01</v>
      </c>
      <c r="H32" s="76" t="str">
        <f>IF(VLOOKUP($A32,Table1[#All],_xlfn.XMATCH(H$12,Table1[#Headers],0,1),0)=0,"",VLOOKUP($A32,Table1[#All],_xlfn.XMATCH(H$12,Table1[#Headers],0,1),0))</f>
        <v>KR</v>
      </c>
      <c r="I32" s="76">
        <f>IF(VLOOKUP($A32,Table1[#All],_xlfn.XMATCH(I$12,Table1[#Headers],0,1),0)=0,"",VLOOKUP($A32,Table1[#All],_xlfn.XMATCH(I$12,Table1[#Headers],0,1),0))</f>
        <v>-3.5449999999999999</v>
      </c>
      <c r="J32" s="76">
        <f>IF(VLOOKUP($A32,Table1[#All],_xlfn.XMATCH(J$12,Table1[#Headers],0,1),0)=0,"",VLOOKUP($A32,Table1[#All],_xlfn.XMATCH(J$12,Table1[#Headers],0,1),0))</f>
        <v>3.6</v>
      </c>
      <c r="K32" s="77"/>
      <c r="L32" s="76" t="str">
        <f>IF(VLOOKUP($A32,Table1[#All],_xlfn.XMATCH(L$12,Table1[#Headers],0,1),0)=0,"",VLOOKUP($A32,Table1[#All],_xlfn.XMATCH(L$12,Table1[#Headers],0,1),0))</f>
        <v>Veen, kleiïg, bruin, donker, Pulsinstallatie machinaal</v>
      </c>
      <c r="M32" s="76" t="str">
        <f>IF(VLOOKUP($A32,Table1[#All],_xlfn.XMATCH(M$12,Table1[#Headers],0,1),0)=0,"",VLOOKUP($A32,Table1[#All],_xlfn.XMATCH(M$12,Table1[#Headers],0,1),0))</f>
        <v/>
      </c>
      <c r="N32" s="76" t="str">
        <f>IF(VLOOKUP($A32,Table1[#All],_xlfn.XMATCH(N$12,Table1[#Headers],0,1),0)=0,"",VLOOKUP($A32,Table1[#All],_xlfn.XMATCH(N$12,Table1[#Headers],0,1),0))</f>
        <v/>
      </c>
      <c r="O32" s="76" t="str">
        <f>IF(VLOOKUP($A32,Table1[#All],_xlfn.XMATCH(O$12,Table1[#Headers],0,1),0)=0,"",VLOOKUP($A32,Table1[#All],_xlfn.XMATCH(O$12,Table1[#Headers],0,1),0))</f>
        <v/>
      </c>
      <c r="P32" s="76">
        <f>IF(VLOOKUP($A32,Table1[#All],_xlfn.XMATCH(P$12,Table1[#Headers],0,1),0)=0,"",VLOOKUP($A32,Table1[#All],_xlfn.XMATCH(P$12,Table1[#Headers],0,1),0))</f>
        <v>9.6449541197453872</v>
      </c>
      <c r="Q32" s="76">
        <f>IF(VLOOKUP($A32,Table1[#All],_xlfn.XMATCH(Q$12,Table1[#Headers],0,1),0)=0,"",VLOOKUP($A32,Table1[#All],_xlfn.XMATCH(Q$12,Table1[#Headers],0,1),0))</f>
        <v>1.6322581752780769</v>
      </c>
      <c r="R32" s="76">
        <f>IF(VLOOKUP($A32,Table1[#All],_xlfn.XMATCH(R$12,Table1[#Headers],0,1),0)=0,"",VLOOKUP($A32,Table1[#All],_xlfn.XMATCH(R$12,Table1[#Headers],0,1),0))</f>
        <v>490.89635854341731</v>
      </c>
      <c r="S32" s="76">
        <f>IF(VLOOKUP($A32,Table1[#All],_xlfn.XMATCH(S$12,Table1[#Headers],0,1),0)=0,"",VLOOKUP($A32,Table1[#All],_xlfn.XMATCH(S$12,Table1[#Headers],0,1),0))</f>
        <v>9.9</v>
      </c>
      <c r="T32" s="76">
        <f>IF(VLOOKUP($A32,Table1[#All],_xlfn.XMATCH(T$12,Table1[#Headers],0,1),0)=0,"",VLOOKUP($A32,Table1[#All],_xlfn.XMATCH(T$12,Table1[#Headers],0,1),0))</f>
        <v>1.7</v>
      </c>
      <c r="U32" s="76">
        <f>IF(VLOOKUP($A32,Table1[#All],_xlfn.XMATCH(U$12,Table1[#Headers],0,1),0)=0,"",VLOOKUP($A32,Table1[#All],_xlfn.XMATCH(U$12,Table1[#Headers],0,1),0))</f>
        <v>490.4</v>
      </c>
      <c r="V32" s="77"/>
      <c r="W32" s="76">
        <f>IF(VLOOKUP($A32,Table1[#All],_xlfn.XMATCH(W$12,Table1[#Headers],0,1),0)=0,"",VLOOKUP($A32,Table1[#All],_xlfn.XMATCH(W$12,Table1[#Headers],0,1),0))</f>
        <v>49.3</v>
      </c>
      <c r="X32" s="76" t="str">
        <f>IF(VLOOKUP($A32,Table1[#All],_xlfn.XMATCH(X$12,Table1[#Headers],0,1),0)=0,"",VLOOKUP($A32,Table1[#All],_xlfn.XMATCH(X$12,Table1[#Headers],0,1),0))</f>
        <v/>
      </c>
      <c r="Y32" s="76" t="str">
        <f>IF(VLOOKUP($A32,Table1[#All],_xlfn.XMATCH(Y$12,Table1[#Headers],0,1),0)=0,"",VLOOKUP($A32,Table1[#All],_xlfn.XMATCH(Y$12,Table1[#Headers],0,1),0))</f>
        <v/>
      </c>
      <c r="Z32" s="76" t="str">
        <f>IF(VLOOKUP($A32,Table1[#All],_xlfn.XMATCH(Z$12,Table1[#Headers],0,1),0)=0,"",VLOOKUP($A32,Table1[#All],_xlfn.XMATCH(Z$12,Table1[#Headers],0,1),0))</f>
        <v/>
      </c>
      <c r="AA32" s="76" t="str">
        <f>IF(VLOOKUP($A32,Table1[#All],_xlfn.XMATCH(AA$12,Table1[#Headers],0,1),0)=0,"",VLOOKUP($A32,Table1[#All],_xlfn.XMATCH(AA$12,Table1[#Headers],0,1),0))</f>
        <v/>
      </c>
      <c r="AB32" s="76" t="str">
        <f>IF(VLOOKUP($A32,Table1[#All],_xlfn.XMATCH(AB$12,Table1[#Headers],0,1),0)=0,"",VLOOKUP($A32,Table1[#All],_xlfn.XMATCH(AB$12,Table1[#Headers],0,1),0))</f>
        <v/>
      </c>
      <c r="AC32" s="76" t="str">
        <f>IF(VLOOKUP($A32,Table1[#All],_xlfn.XMATCH(AC$12,Table1[#Headers],0,1),0)=0,"",VLOOKUP($A32,Table1[#All],_xlfn.XMATCH(AC$12,Table1[#Headers],0,1),0))</f>
        <v/>
      </c>
      <c r="AD32" s="77"/>
      <c r="AE32" s="76" t="str">
        <f>IF(VLOOKUP($A32,Table1[#All],_xlfn.XMATCH(AE$12,Table1[#Headers],0,1),0)=0,"",VLOOKUP($A32,Table1[#All],_xlfn.XMATCH(AE$12,Table1[#Headers],0,1),0))</f>
        <v/>
      </c>
      <c r="AF32" s="76" t="str">
        <f>IF(VLOOKUP($A32,Table1[#All],_xlfn.XMATCH(AF$12,Table1[#Headers],0,1),0)=0,"",VLOOKUP($A32,Table1[#All],_xlfn.XMATCH(AF$12,Table1[#Headers],0,1),0))</f>
        <v/>
      </c>
      <c r="AG32" s="76" t="str">
        <f>IF(VLOOKUP($A32,Table1[#All],_xlfn.XMATCH(AG$12,Table1[#Headers],0,1),0)=0,"",VLOOKUP($A32,Table1[#All],_xlfn.XMATCH(AG$12,Table1[#Headers],0,1),0))</f>
        <v/>
      </c>
      <c r="AH32" s="76" t="str">
        <f>IF(VLOOKUP($A32,Table1[#All],_xlfn.XMATCH(AH$12,Table1[#Headers],0,1),0)=0,"",VLOOKUP($A32,Table1[#All],_xlfn.XMATCH(AH$12,Table1[#Headers],0,1),0))</f>
        <v/>
      </c>
      <c r="AI32" s="77"/>
      <c r="AJ32" s="78">
        <f>IF(VLOOKUP($A32,Table1[#All],_xlfn.XMATCH(AJ$12,Table1[#Headers],0,1),0)=0,"",VLOOKUP($A32,Table1[#All],_xlfn.XMATCH(AJ$12,Table1[#Headers],0,1),0))</f>
        <v>57.3</v>
      </c>
      <c r="AK32" s="78">
        <f t="shared" ref="AK32:AK48" si="10">IFERROR(AJ32-W32,"")</f>
        <v>8</v>
      </c>
      <c r="AL32" s="76" t="str">
        <f>IF(VLOOKUP($A32,Table1[#All],_xlfn.XMATCH(AL$12,Table1[#Headers],0,1),0)=0,"",VLOOKUP($A32,Table1[#All],_xlfn.XMATCH(AL$12,Table1[#Headers],0,1),0))</f>
        <v/>
      </c>
      <c r="AM32" s="77"/>
      <c r="AN32" s="76" t="str">
        <f>IF(VLOOKUP($A32,Table1[#All],_xlfn.XMATCH(AN$12,Table1[#Headers],0,1),0)=0,"",VLOOKUP($A32,Table1[#All],_xlfn.XMATCH(AN$12,Table1[#Headers],0,1),0))</f>
        <v>OED_CRS30)GA250495_B01-K01_8-K405.pdf</v>
      </c>
      <c r="AO32" s="79" t="str">
        <f ca="1">HYPERLINK(Hulp!$C$5&amp;Beoordeling!AN32,MID(AN32,1,30))</f>
        <v>OED_CRS30)GA250495_B01-K01_8-K</v>
      </c>
      <c r="AP32" s="76">
        <f>IF(VLOOKUP($A32,Table1[#All],_xlfn.XMATCH(AP$12,Table1[#Headers],0,1),0)=0,"",VLOOKUP($A32,Table1[#All],_xlfn.XMATCH(AP$12,Table1[#Headers],0,1),0))</f>
        <v>57.3</v>
      </c>
      <c r="AQ32" s="80"/>
      <c r="AR32" s="81"/>
      <c r="AS32" s="80"/>
      <c r="AT32" s="77"/>
      <c r="AU32" s="114" t="s">
        <v>388</v>
      </c>
      <c r="AV32" s="114" t="s">
        <v>388</v>
      </c>
      <c r="AW32" s="114" t="s">
        <v>388</v>
      </c>
      <c r="AX32" s="114" t="s">
        <v>388</v>
      </c>
      <c r="AY32" s="114" t="s">
        <v>388</v>
      </c>
      <c r="AZ32" s="114" t="s">
        <v>388</v>
      </c>
      <c r="BA32" s="77"/>
      <c r="BB32" s="114" t="s">
        <v>388</v>
      </c>
      <c r="BC32" s="114" t="s">
        <v>388</v>
      </c>
      <c r="BD32" s="114" t="s">
        <v>388</v>
      </c>
      <c r="BE32" s="114" t="s">
        <v>388</v>
      </c>
      <c r="BF32" s="114" t="s">
        <v>388</v>
      </c>
      <c r="BG32" s="114" t="s">
        <v>388</v>
      </c>
      <c r="BH32" s="114" t="s">
        <v>388</v>
      </c>
      <c r="BI32" s="114" t="s">
        <v>388</v>
      </c>
      <c r="BJ32" s="114" t="s">
        <v>388</v>
      </c>
      <c r="BK32" s="114" t="s">
        <v>388</v>
      </c>
      <c r="BL32" s="114" t="s">
        <v>388</v>
      </c>
      <c r="BM32" s="114" t="s">
        <v>388</v>
      </c>
      <c r="BN32" s="114" t="s">
        <v>388</v>
      </c>
      <c r="BO32" s="77"/>
      <c r="BP32" s="114" t="s">
        <v>388</v>
      </c>
      <c r="BQ32" s="114" t="s">
        <v>388</v>
      </c>
      <c r="BR32" s="114" t="s">
        <v>388</v>
      </c>
      <c r="BS32" s="77"/>
      <c r="BT32" s="76" t="str">
        <f>IF(VLOOKUP($A32,Table1[#All],_xlfn.XMATCH(BT$12,Table1[#Headers],0,1),0)=0,"",VLOOKUP($A32,Table1[#All],_xlfn.XMATCH(BT$12,Table1[#Headers],0,1),0))</f>
        <v>DSS7)GA250495_B01-K01_8-K405.pdf</v>
      </c>
      <c r="BU32" s="79" t="str">
        <f ca="1">HYPERLINK(Hulp!$C$3&amp;Beoordeling!BT32,BT32)</f>
        <v>DSS7)GA250495_B01-K01_8-K405.pdf</v>
      </c>
      <c r="BV32" s="77"/>
      <c r="BW32" s="81"/>
      <c r="BX32" s="81"/>
      <c r="BY32" s="81"/>
    </row>
    <row r="33" spans="1:77" x14ac:dyDescent="0.3">
      <c r="A33" s="75" t="s">
        <v>1282</v>
      </c>
      <c r="B33" s="76" t="str">
        <f>IF(VLOOKUP($A33,Table1[#All],_xlfn.XMATCH(B$12,Table1[#Headers],0,1),0)=0,"",VLOOKUP($A33,Table1[#All],_xlfn.XMATCH(B$12,Table1[#Headers],0,1),0))</f>
        <v>DSS_voorbeeld</v>
      </c>
      <c r="C33" s="76" t="str">
        <f>IF(VLOOKUP($A33,Table1[#All],_xlfn.XMATCH(C$12,Table1[#Headers],0,1),0)=0,"",VLOOKUP($A33,Table1[#All],_xlfn.XMATCH(C$12,Table1[#Headers],0,1),0))</f>
        <v/>
      </c>
      <c r="D33" s="77"/>
      <c r="E33" s="76" t="str">
        <f>IF(VLOOKUP($A33,Table1[#All],_xlfn.XMATCH(E$12,Table1[#Headers],0,1),0)=0,"",VLOOKUP($A33,Table1[#All],_xlfn.XMATCH(E$12,Table1[#Headers],0,1),0))</f>
        <v>Polderdijk</v>
      </c>
      <c r="F33" s="76" t="str">
        <f>IF(VLOOKUP($A33,Table1[#All],_xlfn.XMATCH(F$12,Table1[#Headers],0,1),0)=0,"",VLOOKUP($A33,Table1[#All],_xlfn.XMATCH(F$12,Table1[#Headers],0,1),0))</f>
        <v>Regionaal</v>
      </c>
      <c r="G33" s="76" t="str">
        <f>IF(VLOOKUP($A33,Table1[#All],_xlfn.XMATCH(G$12,Table1[#Headers],0,1),0)=0,"",VLOOKUP($A33,Table1[#All],_xlfn.XMATCH(G$12,Table1[#Headers],0,1),0))</f>
        <v>B01-K02</v>
      </c>
      <c r="H33" s="76" t="str">
        <f>IF(VLOOKUP($A33,Table1[#All],_xlfn.XMATCH(H$12,Table1[#Headers],0,1),0)=0,"",VLOOKUP($A33,Table1[#All],_xlfn.XMATCH(H$12,Table1[#Headers],0,1),0))</f>
        <v>KR</v>
      </c>
      <c r="I33" s="76">
        <f>IF(VLOOKUP($A33,Table1[#All],_xlfn.XMATCH(I$12,Table1[#Headers],0,1),0)=0,"",VLOOKUP($A33,Table1[#All],_xlfn.XMATCH(I$12,Table1[#Headers],0,1),0))</f>
        <v>-3.556</v>
      </c>
      <c r="J33" s="76">
        <f>IF(VLOOKUP($A33,Table1[#All],_xlfn.XMATCH(J$12,Table1[#Headers],0,1),0)=0,"",VLOOKUP($A33,Table1[#All],_xlfn.XMATCH(J$12,Table1[#Headers],0,1),0))</f>
        <v>3.6</v>
      </c>
      <c r="K33" s="77"/>
      <c r="L33" s="76" t="str">
        <f>IF(VLOOKUP($A33,Table1[#All],_xlfn.XMATCH(L$12,Table1[#Headers],0,1),0)=0,"",VLOOKUP($A33,Table1[#All],_xlfn.XMATCH(L$12,Table1[#Headers],0,1),0))</f>
        <v>Veen, kleiïg, bruin, donker, Pulsinstallatie machinaal, Laag</v>
      </c>
      <c r="M33" s="76" t="str">
        <f>IF(VLOOKUP($A33,Table1[#All],_xlfn.XMATCH(M$12,Table1[#Headers],0,1),0)=0,"",VLOOKUP($A33,Table1[#All],_xlfn.XMATCH(M$12,Table1[#Headers],0,1),0))</f>
        <v/>
      </c>
      <c r="N33" s="76" t="str">
        <f>IF(VLOOKUP($A33,Table1[#All],_xlfn.XMATCH(N$12,Table1[#Headers],0,1),0)=0,"",VLOOKUP($A33,Table1[#All],_xlfn.XMATCH(N$12,Table1[#Headers],0,1),0))</f>
        <v/>
      </c>
      <c r="O33" s="76" t="str">
        <f>IF(VLOOKUP($A33,Table1[#All],_xlfn.XMATCH(O$12,Table1[#Headers],0,1),0)=0,"",VLOOKUP($A33,Table1[#All],_xlfn.XMATCH(O$12,Table1[#Headers],0,1),0))</f>
        <v/>
      </c>
      <c r="P33" s="76">
        <f>IF(VLOOKUP($A33,Table1[#All],_xlfn.XMATCH(P$12,Table1[#Headers],0,1),0)=0,"",VLOOKUP($A33,Table1[#All],_xlfn.XMATCH(P$12,Table1[#Headers],0,1),0))</f>
        <v>9.3944521790211208</v>
      </c>
      <c r="Q33" s="76">
        <f>IF(VLOOKUP($A33,Table1[#All],_xlfn.XMATCH(Q$12,Table1[#Headers],0,1),0)=0,"",VLOOKUP($A33,Table1[#All],_xlfn.XMATCH(Q$12,Table1[#Headers],0,1),0))</f>
        <v>1.4242996883264729</v>
      </c>
      <c r="R33" s="76">
        <f>IF(VLOOKUP($A33,Table1[#All],_xlfn.XMATCH(R$12,Table1[#Headers],0,1),0)=0,"",VLOOKUP($A33,Table1[#All],_xlfn.XMATCH(R$12,Table1[#Headers],0,1),0))</f>
        <v>559.5839524517088</v>
      </c>
      <c r="S33" s="76" t="str">
        <f>IF(VLOOKUP($A33,Table1[#All],_xlfn.XMATCH(S$12,Table1[#Headers],0,1),0)=0,"",VLOOKUP($A33,Table1[#All],_xlfn.XMATCH(S$12,Table1[#Headers],0,1),0))</f>
        <v/>
      </c>
      <c r="T33" s="76" t="str">
        <f>IF(VLOOKUP($A33,Table1[#All],_xlfn.XMATCH(T$12,Table1[#Headers],0,1),0)=0,"",VLOOKUP($A33,Table1[#All],_xlfn.XMATCH(T$12,Table1[#Headers],0,1),0))</f>
        <v/>
      </c>
      <c r="U33" s="76" t="str">
        <f>IF(VLOOKUP($A33,Table1[#All],_xlfn.XMATCH(U$12,Table1[#Headers],0,1),0)=0,"",VLOOKUP($A33,Table1[#All],_xlfn.XMATCH(U$12,Table1[#Headers],0,1),0))</f>
        <v/>
      </c>
      <c r="V33" s="77"/>
      <c r="W33" s="76">
        <f>IF(VLOOKUP($A33,Table1[#All],_xlfn.XMATCH(W$12,Table1[#Headers],0,1),0)=0,"",VLOOKUP($A33,Table1[#All],_xlfn.XMATCH(W$12,Table1[#Headers],0,1),0))</f>
        <v>46.3</v>
      </c>
      <c r="X33" s="76" t="str">
        <f>IF(VLOOKUP($A33,Table1[#All],_xlfn.XMATCH(X$12,Table1[#Headers],0,1),0)=0,"",VLOOKUP($A33,Table1[#All],_xlfn.XMATCH(X$12,Table1[#Headers],0,1),0))</f>
        <v/>
      </c>
      <c r="Y33" s="76" t="str">
        <f>IF(VLOOKUP($A33,Table1[#All],_xlfn.XMATCH(Y$12,Table1[#Headers],0,1),0)=0,"",VLOOKUP($A33,Table1[#All],_xlfn.XMATCH(Y$12,Table1[#Headers],0,1),0))</f>
        <v/>
      </c>
      <c r="Z33" s="76" t="str">
        <f>IF(VLOOKUP($A33,Table1[#All],_xlfn.XMATCH(Z$12,Table1[#Headers],0,1),0)=0,"",VLOOKUP($A33,Table1[#All],_xlfn.XMATCH(Z$12,Table1[#Headers],0,1),0))</f>
        <v/>
      </c>
      <c r="AA33" s="76" t="str">
        <f>IF(VLOOKUP($A33,Table1[#All],_xlfn.XMATCH(AA$12,Table1[#Headers],0,1),0)=0,"",VLOOKUP($A33,Table1[#All],_xlfn.XMATCH(AA$12,Table1[#Headers],0,1),0))</f>
        <v/>
      </c>
      <c r="AB33" s="76" t="str">
        <f>IF(VLOOKUP($A33,Table1[#All],_xlfn.XMATCH(AB$12,Table1[#Headers],0,1),0)=0,"",VLOOKUP($A33,Table1[#All],_xlfn.XMATCH(AB$12,Table1[#Headers],0,1),0))</f>
        <v/>
      </c>
      <c r="AC33" s="76" t="str">
        <f>IF(VLOOKUP($A33,Table1[#All],_xlfn.XMATCH(AC$12,Table1[#Headers],0,1),0)=0,"",VLOOKUP($A33,Table1[#All],_xlfn.XMATCH(AC$12,Table1[#Headers],0,1),0))</f>
        <v/>
      </c>
      <c r="AD33" s="77"/>
      <c r="AE33" s="76" t="str">
        <f>IF(VLOOKUP($A33,Table1[#All],_xlfn.XMATCH(AE$12,Table1[#Headers],0,1),0)=0,"",VLOOKUP($A33,Table1[#All],_xlfn.XMATCH(AE$12,Table1[#Headers],0,1),0))</f>
        <v/>
      </c>
      <c r="AF33" s="76" t="str">
        <f>IF(VLOOKUP($A33,Table1[#All],_xlfn.XMATCH(AF$12,Table1[#Headers],0,1),0)=0,"",VLOOKUP($A33,Table1[#All],_xlfn.XMATCH(AF$12,Table1[#Headers],0,1),0))</f>
        <v/>
      </c>
      <c r="AG33" s="76" t="str">
        <f>IF(VLOOKUP($A33,Table1[#All],_xlfn.XMATCH(AG$12,Table1[#Headers],0,1),0)=0,"",VLOOKUP($A33,Table1[#All],_xlfn.XMATCH(AG$12,Table1[#Headers],0,1),0))</f>
        <v/>
      </c>
      <c r="AH33" s="76" t="str">
        <f>IF(VLOOKUP($A33,Table1[#All],_xlfn.XMATCH(AH$12,Table1[#Headers],0,1),0)=0,"",VLOOKUP($A33,Table1[#All],_xlfn.XMATCH(AH$12,Table1[#Headers],0,1),0))</f>
        <v/>
      </c>
      <c r="AI33" s="77"/>
      <c r="AJ33" s="78">
        <f>IF(VLOOKUP($A33,Table1[#All],_xlfn.XMATCH(AJ$12,Table1[#Headers],0,1),0)=0,"",VLOOKUP($A33,Table1[#All],_xlfn.XMATCH(AJ$12,Table1[#Headers],0,1),0))</f>
        <v>70</v>
      </c>
      <c r="AK33" s="78">
        <f t="shared" si="10"/>
        <v>23.700000000000003</v>
      </c>
      <c r="AL33" s="76" t="str">
        <f>IF(VLOOKUP($A33,Table1[#All],_xlfn.XMATCH(AL$12,Table1[#Headers],0,1),0)=0,"",VLOOKUP($A33,Table1[#All],_xlfn.XMATCH(AL$12,Table1[#Headers],0,1),0))</f>
        <v/>
      </c>
      <c r="AM33" s="77"/>
      <c r="AN33" s="76" t="str">
        <f>IF(VLOOKUP($A33,Table1[#All],_xlfn.XMATCH(AN$12,Table1[#Headers],0,1),0)=0,"",VLOOKUP($A33,Table1[#All],_xlfn.XMATCH(AN$12,Table1[#Headers],0,1),0))</f>
        <v/>
      </c>
      <c r="AO33" s="79" t="str">
        <f ca="1">HYPERLINK(Hulp!$C$5&amp;Beoordeling!AN33,MID(AN33,1,30))</f>
        <v/>
      </c>
      <c r="AP33" s="76" t="str">
        <f>IF(VLOOKUP($A33,Table1[#All],_xlfn.XMATCH(AP$12,Table1[#Headers],0,1),0)=0,"",VLOOKUP($A33,Table1[#All],_xlfn.XMATCH(AP$12,Table1[#Headers],0,1),0))</f>
        <v/>
      </c>
      <c r="AQ33" s="80"/>
      <c r="AR33" s="81"/>
      <c r="AS33" s="80"/>
      <c r="AT33" s="77"/>
      <c r="AU33" s="114" t="s">
        <v>388</v>
      </c>
      <c r="AV33" s="114" t="s">
        <v>388</v>
      </c>
      <c r="AW33" s="114" t="s">
        <v>388</v>
      </c>
      <c r="AX33" s="114" t="s">
        <v>388</v>
      </c>
      <c r="AY33" s="114" t="s">
        <v>388</v>
      </c>
      <c r="AZ33" s="114" t="s">
        <v>388</v>
      </c>
      <c r="BA33" s="77"/>
      <c r="BB33" s="114" t="s">
        <v>388</v>
      </c>
      <c r="BC33" s="114" t="s">
        <v>388</v>
      </c>
      <c r="BD33" s="114" t="s">
        <v>388</v>
      </c>
      <c r="BE33" s="114" t="s">
        <v>388</v>
      </c>
      <c r="BF33" s="114" t="s">
        <v>388</v>
      </c>
      <c r="BG33" s="114" t="s">
        <v>388</v>
      </c>
      <c r="BH33" s="114" t="s">
        <v>388</v>
      </c>
      <c r="BI33" s="114" t="s">
        <v>388</v>
      </c>
      <c r="BJ33" s="114" t="s">
        <v>388</v>
      </c>
      <c r="BK33" s="114" t="s">
        <v>388</v>
      </c>
      <c r="BL33" s="114" t="s">
        <v>388</v>
      </c>
      <c r="BM33" s="114" t="s">
        <v>388</v>
      </c>
      <c r="BN33" s="114" t="s">
        <v>388</v>
      </c>
      <c r="BO33" s="77"/>
      <c r="BP33" s="114" t="s">
        <v>388</v>
      </c>
      <c r="BQ33" s="114" t="s">
        <v>388</v>
      </c>
      <c r="BR33" s="114" t="s">
        <v>388</v>
      </c>
      <c r="BS33" s="77"/>
      <c r="BT33" s="76" t="str">
        <f>IF(VLOOKUP($A33,Table1[#All],_xlfn.XMATCH(BT$12,Table1[#Headers],0,1),0)=0,"",VLOOKUP($A33,Table1[#All],_xlfn.XMATCH(BT$12,Table1[#Headers],0,1),0))</f>
        <v>DSS9)GA250495_B01-K02_8-505.pdf</v>
      </c>
      <c r="BU33" s="79" t="str">
        <f ca="1">HYPERLINK(Hulp!$C$3&amp;Beoordeling!BT33,BT33)</f>
        <v>DSS9)GA250495_B01-K02_8-505.pdf</v>
      </c>
      <c r="BV33" s="77"/>
      <c r="BW33" s="81"/>
      <c r="BX33" s="81"/>
      <c r="BY33" s="81"/>
    </row>
    <row r="34" spans="1:77" x14ac:dyDescent="0.3">
      <c r="A34" s="75" t="s">
        <v>1283</v>
      </c>
      <c r="B34" s="76" t="str">
        <f>IF(VLOOKUP($A34,Table1[#All],_xlfn.XMATCH(B$12,Table1[#Headers],0,1),0)=0,"",VLOOKUP($A34,Table1[#All],_xlfn.XMATCH(B$12,Table1[#Headers],0,1),0))</f>
        <v>DSS_voorbeeld</v>
      </c>
      <c r="C34" s="76" t="str">
        <f>IF(VLOOKUP($A34,Table1[#All],_xlfn.XMATCH(C$12,Table1[#Headers],0,1),0)=0,"",VLOOKUP($A34,Table1[#All],_xlfn.XMATCH(C$12,Table1[#Headers],0,1),0))</f>
        <v/>
      </c>
      <c r="D34" s="77"/>
      <c r="E34" s="76" t="str">
        <f>IF(VLOOKUP($A34,Table1[#All],_xlfn.XMATCH(E$12,Table1[#Headers],0,1),0)=0,"",VLOOKUP($A34,Table1[#All],_xlfn.XMATCH(E$12,Table1[#Headers],0,1),0))</f>
        <v>Polderdijk</v>
      </c>
      <c r="F34" s="76" t="str">
        <f>IF(VLOOKUP($A34,Table1[#All],_xlfn.XMATCH(F$12,Table1[#Headers],0,1),0)=0,"",VLOOKUP($A34,Table1[#All],_xlfn.XMATCH(F$12,Table1[#Headers],0,1),0))</f>
        <v>Regionaal</v>
      </c>
      <c r="G34" s="76" t="str">
        <f>IF(VLOOKUP($A34,Table1[#All],_xlfn.XMATCH(G$12,Table1[#Headers],0,1),0)=0,"",VLOOKUP($A34,Table1[#All],_xlfn.XMATCH(G$12,Table1[#Headers],0,1),0))</f>
        <v>B02-AL01</v>
      </c>
      <c r="H34" s="76" t="str">
        <f>IF(VLOOKUP($A34,Table1[#All],_xlfn.XMATCH(H$12,Table1[#Headers],0,1),0)=0,"",VLOOKUP($A34,Table1[#All],_xlfn.XMATCH(H$12,Table1[#Headers],0,1),0))</f>
        <v>AL</v>
      </c>
      <c r="I34" s="76">
        <f>IF(VLOOKUP($A34,Table1[#All],_xlfn.XMATCH(I$12,Table1[#Headers],0,1),0)=0,"",VLOOKUP($A34,Table1[#All],_xlfn.XMATCH(I$12,Table1[#Headers],0,1),0))</f>
        <v>-7.7679999999999998</v>
      </c>
      <c r="J34" s="76">
        <f>IF(VLOOKUP($A34,Table1[#All],_xlfn.XMATCH(J$12,Table1[#Headers],0,1),0)=0,"",VLOOKUP($A34,Table1[#All],_xlfn.XMATCH(J$12,Table1[#Headers],0,1),0))</f>
        <v>6</v>
      </c>
      <c r="K34" s="77"/>
      <c r="L34" s="76" t="str">
        <f>IF(VLOOKUP($A34,Table1[#All],_xlfn.XMATCH(L$12,Table1[#Headers],0,1),0)=0,"",VLOOKUP($A34,Table1[#All],_xlfn.XMATCH(L$12,Table1[#Headers],0,1),0))</f>
        <v>Veen, kleiïg, bruin, donker, Pulsinstallatie machinaal, Geen sterkte</v>
      </c>
      <c r="M34" s="76" t="str">
        <f>IF(VLOOKUP($A34,Table1[#All],_xlfn.XMATCH(M$12,Table1[#Headers],0,1),0)=0,"",VLOOKUP($A34,Table1[#All],_xlfn.XMATCH(M$12,Table1[#Headers],0,1),0))</f>
        <v/>
      </c>
      <c r="N34" s="76" t="str">
        <f>IF(VLOOKUP($A34,Table1[#All],_xlfn.XMATCH(N$12,Table1[#Headers],0,1),0)=0,"",VLOOKUP($A34,Table1[#All],_xlfn.XMATCH(N$12,Table1[#Headers],0,1),0))</f>
        <v/>
      </c>
      <c r="O34" s="76" t="str">
        <f>IF(VLOOKUP($A34,Table1[#All],_xlfn.XMATCH(O$12,Table1[#Headers],0,1),0)=0,"",VLOOKUP($A34,Table1[#All],_xlfn.XMATCH(O$12,Table1[#Headers],0,1),0))</f>
        <v/>
      </c>
      <c r="P34" s="76">
        <f>IF(VLOOKUP($A34,Table1[#All],_xlfn.XMATCH(P$12,Table1[#Headers],0,1),0)=0,"",VLOOKUP($A34,Table1[#All],_xlfn.XMATCH(P$12,Table1[#Headers],0,1),0))</f>
        <v>9.9747606949702998</v>
      </c>
      <c r="Q34" s="76">
        <f>IF(VLOOKUP($A34,Table1[#All],_xlfn.XMATCH(Q$12,Table1[#Headers],0,1),0)=0,"",VLOOKUP($A34,Table1[#All],_xlfn.XMATCH(Q$12,Table1[#Headers],0,1),0))</f>
        <v>1.770454116953972</v>
      </c>
      <c r="R34" s="76">
        <f>IF(VLOOKUP($A34,Table1[#All],_xlfn.XMATCH(R$12,Table1[#Headers],0,1),0)=0,"",VLOOKUP($A34,Table1[#All],_xlfn.XMATCH(R$12,Table1[#Headers],0,1),0))</f>
        <v>463.40125391849529</v>
      </c>
      <c r="S34" s="76">
        <f>IF(VLOOKUP($A34,Table1[#All],_xlfn.XMATCH(S$12,Table1[#Headers],0,1),0)=0,"",VLOOKUP($A34,Table1[#All],_xlfn.XMATCH(S$12,Table1[#Headers],0,1),0))</f>
        <v>10.1</v>
      </c>
      <c r="T34" s="76">
        <f>IF(VLOOKUP($A34,Table1[#All],_xlfn.XMATCH(T$12,Table1[#Headers],0,1),0)=0,"",VLOOKUP($A34,Table1[#All],_xlfn.XMATCH(T$12,Table1[#Headers],0,1),0))</f>
        <v>1.7</v>
      </c>
      <c r="U34" s="76">
        <f>IF(VLOOKUP($A34,Table1[#All],_xlfn.XMATCH(U$12,Table1[#Headers],0,1),0)=0,"",VLOOKUP($A34,Table1[#All],_xlfn.XMATCH(U$12,Table1[#Headers],0,1),0))</f>
        <v>486.5</v>
      </c>
      <c r="V34" s="77"/>
      <c r="W34" s="76">
        <f>IF(VLOOKUP($A34,Table1[#All],_xlfn.XMATCH(W$12,Table1[#Headers],0,1),0)=0,"",VLOOKUP($A34,Table1[#All],_xlfn.XMATCH(W$12,Table1[#Headers],0,1),0))</f>
        <v>49.3</v>
      </c>
      <c r="X34" s="76" t="str">
        <f>IF(VLOOKUP($A34,Table1[#All],_xlfn.XMATCH(X$12,Table1[#Headers],0,1),0)=0,"",VLOOKUP($A34,Table1[#All],_xlfn.XMATCH(X$12,Table1[#Headers],0,1),0))</f>
        <v/>
      </c>
      <c r="Y34" s="76" t="str">
        <f>IF(VLOOKUP($A34,Table1[#All],_xlfn.XMATCH(Y$12,Table1[#Headers],0,1),0)=0,"",VLOOKUP($A34,Table1[#All],_xlfn.XMATCH(Y$12,Table1[#Headers],0,1),0))</f>
        <v/>
      </c>
      <c r="Z34" s="76" t="str">
        <f>IF(VLOOKUP($A34,Table1[#All],_xlfn.XMATCH(Z$12,Table1[#Headers],0,1),0)=0,"",VLOOKUP($A34,Table1[#All],_xlfn.XMATCH(Z$12,Table1[#Headers],0,1),0))</f>
        <v/>
      </c>
      <c r="AA34" s="76" t="str">
        <f>IF(VLOOKUP($A34,Table1[#All],_xlfn.XMATCH(AA$12,Table1[#Headers],0,1),0)=0,"",VLOOKUP($A34,Table1[#All],_xlfn.XMATCH(AA$12,Table1[#Headers],0,1),0))</f>
        <v/>
      </c>
      <c r="AB34" s="76" t="str">
        <f>IF(VLOOKUP($A34,Table1[#All],_xlfn.XMATCH(AB$12,Table1[#Headers],0,1),0)=0,"",VLOOKUP($A34,Table1[#All],_xlfn.XMATCH(AB$12,Table1[#Headers],0,1),0))</f>
        <v/>
      </c>
      <c r="AC34" s="76" t="str">
        <f>IF(VLOOKUP($A34,Table1[#All],_xlfn.XMATCH(AC$12,Table1[#Headers],0,1),0)=0,"",VLOOKUP($A34,Table1[#All],_xlfn.XMATCH(AC$12,Table1[#Headers],0,1),0))</f>
        <v/>
      </c>
      <c r="AD34" s="77"/>
      <c r="AE34" s="76" t="str">
        <f>IF(VLOOKUP($A34,Table1[#All],_xlfn.XMATCH(AE$12,Table1[#Headers],0,1),0)=0,"",VLOOKUP($A34,Table1[#All],_xlfn.XMATCH(AE$12,Table1[#Headers],0,1),0))</f>
        <v/>
      </c>
      <c r="AF34" s="76" t="str">
        <f>IF(VLOOKUP($A34,Table1[#All],_xlfn.XMATCH(AF$12,Table1[#Headers],0,1),0)=0,"",VLOOKUP($A34,Table1[#All],_xlfn.XMATCH(AF$12,Table1[#Headers],0,1),0))</f>
        <v/>
      </c>
      <c r="AG34" s="76" t="str">
        <f>IF(VLOOKUP($A34,Table1[#All],_xlfn.XMATCH(AG$12,Table1[#Headers],0,1),0)=0,"",VLOOKUP($A34,Table1[#All],_xlfn.XMATCH(AG$12,Table1[#Headers],0,1),0))</f>
        <v/>
      </c>
      <c r="AH34" s="76" t="str">
        <f>IF(VLOOKUP($A34,Table1[#All],_xlfn.XMATCH(AH$12,Table1[#Headers],0,1),0)=0,"",VLOOKUP($A34,Table1[#All],_xlfn.XMATCH(AH$12,Table1[#Headers],0,1),0))</f>
        <v/>
      </c>
      <c r="AI34" s="77"/>
      <c r="AJ34" s="78">
        <f>IF(VLOOKUP($A34,Table1[#All],_xlfn.XMATCH(AJ$12,Table1[#Headers],0,1),0)=0,"",VLOOKUP($A34,Table1[#All],_xlfn.XMATCH(AJ$12,Table1[#Headers],0,1),0))</f>
        <v>67.900000000000006</v>
      </c>
      <c r="AK34" s="78">
        <f t="shared" si="10"/>
        <v>18.600000000000009</v>
      </c>
      <c r="AL34" s="76" t="str">
        <f>IF(VLOOKUP($A34,Table1[#All],_xlfn.XMATCH(AL$12,Table1[#Headers],0,1),0)=0,"",VLOOKUP($A34,Table1[#All],_xlfn.XMATCH(AL$12,Table1[#Headers],0,1),0))</f>
        <v/>
      </c>
      <c r="AM34" s="77"/>
      <c r="AN34" s="76" t="str">
        <f>IF(VLOOKUP($A34,Table1[#All],_xlfn.XMATCH(AN$12,Table1[#Headers],0,1),0)=0,"",VLOOKUP($A34,Table1[#All],_xlfn.XMATCH(AN$12,Table1[#Headers],0,1),0))</f>
        <v>OED_CRS9)GA250495_B02-AL01_14-1088.pdf</v>
      </c>
      <c r="AO34" s="79" t="str">
        <f ca="1">HYPERLINK(Hulp!$C$5&amp;Beoordeling!AN34,MID(AN34,1,30))</f>
        <v>OED_CRS9)GA250495_B02-AL01_14-</v>
      </c>
      <c r="AP34" s="76">
        <f>IF(VLOOKUP($A34,Table1[#All],_xlfn.XMATCH(AP$12,Table1[#Headers],0,1),0)=0,"",VLOOKUP($A34,Table1[#All],_xlfn.XMATCH(AP$12,Table1[#Headers],0,1),0))</f>
        <v>67.900000000000006</v>
      </c>
      <c r="AQ34" s="80"/>
      <c r="AR34" s="81"/>
      <c r="AS34" s="80"/>
      <c r="AT34" s="77"/>
      <c r="AU34" s="114" t="s">
        <v>388</v>
      </c>
      <c r="AV34" s="114" t="s">
        <v>388</v>
      </c>
      <c r="AW34" s="114" t="s">
        <v>388</v>
      </c>
      <c r="AX34" s="114" t="s">
        <v>388</v>
      </c>
      <c r="AY34" s="114" t="s">
        <v>388</v>
      </c>
      <c r="AZ34" s="114" t="s">
        <v>388</v>
      </c>
      <c r="BA34" s="77"/>
      <c r="BB34" s="114" t="s">
        <v>388</v>
      </c>
      <c r="BC34" s="114" t="s">
        <v>388</v>
      </c>
      <c r="BD34" s="114" t="s">
        <v>388</v>
      </c>
      <c r="BE34" s="114" t="s">
        <v>388</v>
      </c>
      <c r="BF34" s="114" t="s">
        <v>388</v>
      </c>
      <c r="BG34" s="114" t="s">
        <v>388</v>
      </c>
      <c r="BH34" s="114" t="s">
        <v>388</v>
      </c>
      <c r="BI34" s="114" t="s">
        <v>388</v>
      </c>
      <c r="BJ34" s="114" t="s">
        <v>388</v>
      </c>
      <c r="BK34" s="114" t="s">
        <v>388</v>
      </c>
      <c r="BL34" s="114" t="s">
        <v>388</v>
      </c>
      <c r="BM34" s="114" t="s">
        <v>388</v>
      </c>
      <c r="BN34" s="114" t="s">
        <v>388</v>
      </c>
      <c r="BO34" s="77"/>
      <c r="BP34" s="114" t="s">
        <v>388</v>
      </c>
      <c r="BQ34" s="114" t="s">
        <v>388</v>
      </c>
      <c r="BR34" s="114" t="s">
        <v>388</v>
      </c>
      <c r="BS34" s="77"/>
      <c r="BT34" s="76" t="str">
        <f>IF(VLOOKUP($A34,Table1[#All],_xlfn.XMATCH(BT$12,Table1[#Headers],0,1),0)=0,"",VLOOKUP($A34,Table1[#All],_xlfn.XMATCH(BT$12,Table1[#Headers],0,1),0))</f>
        <v>DSS3)GA250495_B02-AL01_14-1088.pdf</v>
      </c>
      <c r="BU34" s="79" t="str">
        <f ca="1">HYPERLINK(Hulp!$C$3&amp;Beoordeling!BT34,BT34)</f>
        <v>DSS3)GA250495_B02-AL01_14-1088.pdf</v>
      </c>
      <c r="BV34" s="77"/>
      <c r="BW34" s="81"/>
      <c r="BX34" s="81"/>
      <c r="BY34" s="81"/>
    </row>
    <row r="35" spans="1:77" x14ac:dyDescent="0.3">
      <c r="A35" s="75" t="s">
        <v>1284</v>
      </c>
      <c r="B35" s="76" t="str">
        <f>IF(VLOOKUP($A35,Table1[#All],_xlfn.XMATCH(B$12,Table1[#Headers],0,1),0)=0,"",VLOOKUP($A35,Table1[#All],_xlfn.XMATCH(B$12,Table1[#Headers],0,1),0))</f>
        <v>DSS_voorbeeld</v>
      </c>
      <c r="C35" s="76" t="str">
        <f>IF(VLOOKUP($A35,Table1[#All],_xlfn.XMATCH(C$12,Table1[#Headers],0,1),0)=0,"",VLOOKUP($A35,Table1[#All],_xlfn.XMATCH(C$12,Table1[#Headers],0,1),0))</f>
        <v/>
      </c>
      <c r="D35" s="77"/>
      <c r="E35" s="76" t="str">
        <f>IF(VLOOKUP($A35,Table1[#All],_xlfn.XMATCH(E$12,Table1[#Headers],0,1),0)=0,"",VLOOKUP($A35,Table1[#All],_xlfn.XMATCH(E$12,Table1[#Headers],0,1),0))</f>
        <v>Polderdijk</v>
      </c>
      <c r="F35" s="76" t="str">
        <f>IF(VLOOKUP($A35,Table1[#All],_xlfn.XMATCH(F$12,Table1[#Headers],0,1),0)=0,"",VLOOKUP($A35,Table1[#All],_xlfn.XMATCH(F$12,Table1[#Headers],0,1),0))</f>
        <v>Regionaal</v>
      </c>
      <c r="G35" s="76" t="str">
        <f>IF(VLOOKUP($A35,Table1[#All],_xlfn.XMATCH(G$12,Table1[#Headers],0,1),0)=0,"",VLOOKUP($A35,Table1[#All],_xlfn.XMATCH(G$12,Table1[#Headers],0,1),0))</f>
        <v>B02-AL01</v>
      </c>
      <c r="H35" s="76" t="str">
        <f>IF(VLOOKUP($A35,Table1[#All],_xlfn.XMATCH(H$12,Table1[#Headers],0,1),0)=0,"",VLOOKUP($A35,Table1[#All],_xlfn.XMATCH(H$12,Table1[#Headers],0,1),0))</f>
        <v>AL</v>
      </c>
      <c r="I35" s="76">
        <f>IF(VLOOKUP($A35,Table1[#All],_xlfn.XMATCH(I$12,Table1[#Headers],0,1),0)=0,"",VLOOKUP($A35,Table1[#All],_xlfn.XMATCH(I$12,Table1[#Headers],0,1),0))</f>
        <v>-8.168000000000001</v>
      </c>
      <c r="J35" s="76">
        <f>IF(VLOOKUP($A35,Table1[#All],_xlfn.XMATCH(J$12,Table1[#Headers],0,1),0)=0,"",VLOOKUP($A35,Table1[#All],_xlfn.XMATCH(J$12,Table1[#Headers],0,1),0))</f>
        <v>6.4</v>
      </c>
      <c r="K35" s="77"/>
      <c r="L35" s="76" t="str">
        <f>IF(VLOOKUP($A35,Table1[#All],_xlfn.XMATCH(L$12,Table1[#Headers],0,1),0)=0,"",VLOOKUP($A35,Table1[#All],_xlfn.XMATCH(L$12,Table1[#Headers],0,1),0))</f>
        <v>Veen, kleiïg, bruin, donker, Pulsinstallatie machinaal, Geen sterkte</v>
      </c>
      <c r="M35" s="76" t="str">
        <f>IF(VLOOKUP($A35,Table1[#All],_xlfn.XMATCH(M$12,Table1[#Headers],0,1),0)=0,"",VLOOKUP($A35,Table1[#All],_xlfn.XMATCH(M$12,Table1[#Headers],0,1),0))</f>
        <v/>
      </c>
      <c r="N35" s="76" t="str">
        <f>IF(VLOOKUP($A35,Table1[#All],_xlfn.XMATCH(N$12,Table1[#Headers],0,1),0)=0,"",VLOOKUP($A35,Table1[#All],_xlfn.XMATCH(N$12,Table1[#Headers],0,1),0))</f>
        <v/>
      </c>
      <c r="O35" s="76" t="str">
        <f>IF(VLOOKUP($A35,Table1[#All],_xlfn.XMATCH(O$12,Table1[#Headers],0,1),0)=0,"",VLOOKUP($A35,Table1[#All],_xlfn.XMATCH(O$12,Table1[#Headers],0,1),0))</f>
        <v/>
      </c>
      <c r="P35" s="76">
        <f>IF(VLOOKUP($A35,Table1[#All],_xlfn.XMATCH(P$12,Table1[#Headers],0,1),0)=0,"",VLOOKUP($A35,Table1[#All],_xlfn.XMATCH(P$12,Table1[#Headers],0,1),0))</f>
        <v>10.05280652574872</v>
      </c>
      <c r="Q35" s="76">
        <f>IF(VLOOKUP($A35,Table1[#All],_xlfn.XMATCH(Q$12,Table1[#Headers],0,1),0)=0,"",VLOOKUP($A35,Table1[#All],_xlfn.XMATCH(Q$12,Table1[#Headers],0,1),0))</f>
        <v>1.9202718094951881</v>
      </c>
      <c r="R35" s="76">
        <f>IF(VLOOKUP($A35,Table1[#All],_xlfn.XMATCH(R$12,Table1[#Headers],0,1),0)=0,"",VLOOKUP($A35,Table1[#All],_xlfn.XMATCH(R$12,Table1[#Headers],0,1),0))</f>
        <v>423.50956130483701</v>
      </c>
      <c r="S35" s="76" t="str">
        <f>IF(VLOOKUP($A35,Table1[#All],_xlfn.XMATCH(S$12,Table1[#Headers],0,1),0)=0,"",VLOOKUP($A35,Table1[#All],_xlfn.XMATCH(S$12,Table1[#Headers],0,1),0))</f>
        <v/>
      </c>
      <c r="T35" s="76" t="str">
        <f>IF(VLOOKUP($A35,Table1[#All],_xlfn.XMATCH(T$12,Table1[#Headers],0,1),0)=0,"",VLOOKUP($A35,Table1[#All],_xlfn.XMATCH(T$12,Table1[#Headers],0,1),0))</f>
        <v/>
      </c>
      <c r="U35" s="76" t="str">
        <f>IF(VLOOKUP($A35,Table1[#All],_xlfn.XMATCH(U$12,Table1[#Headers],0,1),0)=0,"",VLOOKUP($A35,Table1[#All],_xlfn.XMATCH(U$12,Table1[#Headers],0,1),0))</f>
        <v/>
      </c>
      <c r="V35" s="77"/>
      <c r="W35" s="76">
        <f>IF(VLOOKUP($A35,Table1[#All],_xlfn.XMATCH(W$12,Table1[#Headers],0,1),0)=0,"",VLOOKUP($A35,Table1[#All],_xlfn.XMATCH(W$12,Table1[#Headers],0,1),0))</f>
        <v>49.3</v>
      </c>
      <c r="X35" s="76" t="str">
        <f>IF(VLOOKUP($A35,Table1[#All],_xlfn.XMATCH(X$12,Table1[#Headers],0,1),0)=0,"",VLOOKUP($A35,Table1[#All],_xlfn.XMATCH(X$12,Table1[#Headers],0,1),0))</f>
        <v/>
      </c>
      <c r="Y35" s="76" t="str">
        <f>IF(VLOOKUP($A35,Table1[#All],_xlfn.XMATCH(Y$12,Table1[#Headers],0,1),0)=0,"",VLOOKUP($A35,Table1[#All],_xlfn.XMATCH(Y$12,Table1[#Headers],0,1),0))</f>
        <v/>
      </c>
      <c r="Z35" s="76" t="str">
        <f>IF(VLOOKUP($A35,Table1[#All],_xlfn.XMATCH(Z$12,Table1[#Headers],0,1),0)=0,"",VLOOKUP($A35,Table1[#All],_xlfn.XMATCH(Z$12,Table1[#Headers],0,1),0))</f>
        <v/>
      </c>
      <c r="AA35" s="76" t="str">
        <f>IF(VLOOKUP($A35,Table1[#All],_xlfn.XMATCH(AA$12,Table1[#Headers],0,1),0)=0,"",VLOOKUP($A35,Table1[#All],_xlfn.XMATCH(AA$12,Table1[#Headers],0,1),0))</f>
        <v/>
      </c>
      <c r="AB35" s="76" t="str">
        <f>IF(VLOOKUP($A35,Table1[#All],_xlfn.XMATCH(AB$12,Table1[#Headers],0,1),0)=0,"",VLOOKUP($A35,Table1[#All],_xlfn.XMATCH(AB$12,Table1[#Headers],0,1),0))</f>
        <v/>
      </c>
      <c r="AC35" s="76" t="str">
        <f>IF(VLOOKUP($A35,Table1[#All],_xlfn.XMATCH(AC$12,Table1[#Headers],0,1),0)=0,"",VLOOKUP($A35,Table1[#All],_xlfn.XMATCH(AC$12,Table1[#Headers],0,1),0))</f>
        <v/>
      </c>
      <c r="AD35" s="77"/>
      <c r="AE35" s="76" t="str">
        <f>IF(VLOOKUP($A35,Table1[#All],_xlfn.XMATCH(AE$12,Table1[#Headers],0,1),0)=0,"",VLOOKUP($A35,Table1[#All],_xlfn.XMATCH(AE$12,Table1[#Headers],0,1),0))</f>
        <v/>
      </c>
      <c r="AF35" s="76" t="str">
        <f>IF(VLOOKUP($A35,Table1[#All],_xlfn.XMATCH(AF$12,Table1[#Headers],0,1),0)=0,"",VLOOKUP($A35,Table1[#All],_xlfn.XMATCH(AF$12,Table1[#Headers],0,1),0))</f>
        <v/>
      </c>
      <c r="AG35" s="76" t="str">
        <f>IF(VLOOKUP($A35,Table1[#All],_xlfn.XMATCH(AG$12,Table1[#Headers],0,1),0)=0,"",VLOOKUP($A35,Table1[#All],_xlfn.XMATCH(AG$12,Table1[#Headers],0,1),0))</f>
        <v/>
      </c>
      <c r="AH35" s="76" t="str">
        <f>IF(VLOOKUP($A35,Table1[#All],_xlfn.XMATCH(AH$12,Table1[#Headers],0,1),0)=0,"",VLOOKUP($A35,Table1[#All],_xlfn.XMATCH(AH$12,Table1[#Headers],0,1),0))</f>
        <v/>
      </c>
      <c r="AI35" s="77"/>
      <c r="AJ35" s="78">
        <f>IF(VLOOKUP($A35,Table1[#All],_xlfn.XMATCH(AJ$12,Table1[#Headers],0,1),0)=0,"",VLOOKUP($A35,Table1[#All],_xlfn.XMATCH(AJ$12,Table1[#Headers],0,1),0))</f>
        <v>69.366666666666674</v>
      </c>
      <c r="AK35" s="78">
        <f t="shared" si="10"/>
        <v>20.066666666666677</v>
      </c>
      <c r="AL35" s="76" t="str">
        <f>IF(VLOOKUP($A35,Table1[#All],_xlfn.XMATCH(AL$12,Table1[#Headers],0,1),0)=0,"",VLOOKUP($A35,Table1[#All],_xlfn.XMATCH(AL$12,Table1[#Headers],0,1),0))</f>
        <v/>
      </c>
      <c r="AM35" s="77"/>
      <c r="AN35" s="76" t="str">
        <f>IF(VLOOKUP($A35,Table1[#All],_xlfn.XMATCH(AN$12,Table1[#Headers],0,1),0)=0,"",VLOOKUP($A35,Table1[#All],_xlfn.XMATCH(AN$12,Table1[#Headers],0,1),0))</f>
        <v/>
      </c>
      <c r="AO35" s="79" t="str">
        <f ca="1">HYPERLINK(Hulp!$C$5&amp;Beoordeling!AN35,MID(AN35,1,30))</f>
        <v/>
      </c>
      <c r="AP35" s="76" t="str">
        <f>IF(VLOOKUP($A35,Table1[#All],_xlfn.XMATCH(AP$12,Table1[#Headers],0,1),0)=0,"",VLOOKUP($A35,Table1[#All],_xlfn.XMATCH(AP$12,Table1[#Headers],0,1),0))</f>
        <v/>
      </c>
      <c r="AQ35" s="80"/>
      <c r="AR35" s="81"/>
      <c r="AS35" s="80"/>
      <c r="AT35" s="77"/>
      <c r="AU35" s="114" t="s">
        <v>388</v>
      </c>
      <c r="AV35" s="114" t="s">
        <v>388</v>
      </c>
      <c r="AW35" s="114" t="s">
        <v>388</v>
      </c>
      <c r="AX35" s="114" t="s">
        <v>388</v>
      </c>
      <c r="AY35" s="114" t="s">
        <v>388</v>
      </c>
      <c r="AZ35" s="114" t="s">
        <v>388</v>
      </c>
      <c r="BA35" s="77"/>
      <c r="BB35" s="114" t="s">
        <v>388</v>
      </c>
      <c r="BC35" s="114" t="s">
        <v>388</v>
      </c>
      <c r="BD35" s="114" t="s">
        <v>388</v>
      </c>
      <c r="BE35" s="114" t="s">
        <v>388</v>
      </c>
      <c r="BF35" s="114" t="s">
        <v>388</v>
      </c>
      <c r="BG35" s="114" t="s">
        <v>388</v>
      </c>
      <c r="BH35" s="114" t="s">
        <v>388</v>
      </c>
      <c r="BI35" s="114" t="s">
        <v>388</v>
      </c>
      <c r="BJ35" s="114" t="s">
        <v>388</v>
      </c>
      <c r="BK35" s="114" t="s">
        <v>388</v>
      </c>
      <c r="BL35" s="114" t="s">
        <v>388</v>
      </c>
      <c r="BM35" s="114" t="s">
        <v>388</v>
      </c>
      <c r="BN35" s="114" t="s">
        <v>388</v>
      </c>
      <c r="BO35" s="77"/>
      <c r="BP35" s="114" t="s">
        <v>388</v>
      </c>
      <c r="BQ35" s="114" t="s">
        <v>388</v>
      </c>
      <c r="BR35" s="114" t="s">
        <v>388</v>
      </c>
      <c r="BS35" s="77"/>
      <c r="BT35" s="76" t="str">
        <f>IF(VLOOKUP($A35,Table1[#All],_xlfn.XMATCH(BT$12,Table1[#Headers],0,1),0)=0,"",VLOOKUP($A35,Table1[#All],_xlfn.XMATCH(BT$12,Table1[#Headers],0,1),0))</f>
        <v>DSS4)GA250495_B02-AL01_15-1321.pdf</v>
      </c>
      <c r="BU35" s="79" t="str">
        <f ca="1">HYPERLINK(Hulp!$C$3&amp;Beoordeling!BT35,BT35)</f>
        <v>DSS4)GA250495_B02-AL01_15-1321.pdf</v>
      </c>
      <c r="BV35" s="77"/>
      <c r="BW35" s="81"/>
      <c r="BX35" s="81"/>
      <c r="BY35" s="81"/>
    </row>
    <row r="36" spans="1:77" x14ac:dyDescent="0.3">
      <c r="A36" s="75" t="s">
        <v>1285</v>
      </c>
      <c r="B36" s="76" t="str">
        <f>IF(VLOOKUP($A36,Table1[#All],_xlfn.XMATCH(B$12,Table1[#Headers],0,1),0)=0,"",VLOOKUP($A36,Table1[#All],_xlfn.XMATCH(B$12,Table1[#Headers],0,1),0))</f>
        <v>DSS_voorbeeld</v>
      </c>
      <c r="C36" s="76" t="str">
        <f>IF(VLOOKUP($A36,Table1[#All],_xlfn.XMATCH(C$12,Table1[#Headers],0,1),0)=0,"",VLOOKUP($A36,Table1[#All],_xlfn.XMATCH(C$12,Table1[#Headers],0,1),0))</f>
        <v/>
      </c>
      <c r="D36" s="77"/>
      <c r="E36" s="76" t="str">
        <f>IF(VLOOKUP($A36,Table1[#All],_xlfn.XMATCH(E$12,Table1[#Headers],0,1),0)=0,"",VLOOKUP($A36,Table1[#All],_xlfn.XMATCH(E$12,Table1[#Headers],0,1),0))</f>
        <v>Polderdijk</v>
      </c>
      <c r="F36" s="76" t="str">
        <f>IF(VLOOKUP($A36,Table1[#All],_xlfn.XMATCH(F$12,Table1[#Headers],0,1),0)=0,"",VLOOKUP($A36,Table1[#All],_xlfn.XMATCH(F$12,Table1[#Headers],0,1),0))</f>
        <v>Regionaal</v>
      </c>
      <c r="G36" s="76" t="str">
        <f>IF(VLOOKUP($A36,Table1[#All],_xlfn.XMATCH(G$12,Table1[#Headers],0,1),0)=0,"",VLOOKUP($A36,Table1[#All],_xlfn.XMATCH(G$12,Table1[#Headers],0,1),0))</f>
        <v>B02-K01</v>
      </c>
      <c r="H36" s="76" t="str">
        <f>IF(VLOOKUP($A36,Table1[#All],_xlfn.XMATCH(H$12,Table1[#Headers],0,1),0)=0,"",VLOOKUP($A36,Table1[#All],_xlfn.XMATCH(H$12,Table1[#Headers],0,1),0))</f>
        <v>KR</v>
      </c>
      <c r="I36" s="76">
        <f>IF(VLOOKUP($A36,Table1[#All],_xlfn.XMATCH(I$12,Table1[#Headers],0,1),0)=0,"",VLOOKUP($A36,Table1[#All],_xlfn.XMATCH(I$12,Table1[#Headers],0,1),0))</f>
        <v>-6.9669999999999996</v>
      </c>
      <c r="J36" s="76">
        <f>IF(VLOOKUP($A36,Table1[#All],_xlfn.XMATCH(J$12,Table1[#Headers],0,1),0)=0,"",VLOOKUP($A36,Table1[#All],_xlfn.XMATCH(J$12,Table1[#Headers],0,1),0))</f>
        <v>6.8</v>
      </c>
      <c r="K36" s="77"/>
      <c r="L36" s="76" t="str">
        <f>IF(VLOOKUP($A36,Table1[#All],_xlfn.XMATCH(L$12,Table1[#Headers],0,1),0)=0,"",VLOOKUP($A36,Table1[#All],_xlfn.XMATCH(L$12,Table1[#Headers],0,1),0))</f>
        <v>Veen, bruin, donker, Pulsinstallatie machinaal, Laag</v>
      </c>
      <c r="M36" s="76" t="str">
        <f>IF(VLOOKUP($A36,Table1[#All],_xlfn.XMATCH(M$12,Table1[#Headers],0,1),0)=0,"",VLOOKUP($A36,Table1[#All],_xlfn.XMATCH(M$12,Table1[#Headers],0,1),0))</f>
        <v/>
      </c>
      <c r="N36" s="76" t="str">
        <f>IF(VLOOKUP($A36,Table1[#All],_xlfn.XMATCH(N$12,Table1[#Headers],0,1),0)=0,"",VLOOKUP($A36,Table1[#All],_xlfn.XMATCH(N$12,Table1[#Headers],0,1),0))</f>
        <v/>
      </c>
      <c r="O36" s="76" t="str">
        <f>IF(VLOOKUP($A36,Table1[#All],_xlfn.XMATCH(O$12,Table1[#Headers],0,1),0)=0,"",VLOOKUP($A36,Table1[#All],_xlfn.XMATCH(O$12,Table1[#Headers],0,1),0))</f>
        <v/>
      </c>
      <c r="P36" s="76">
        <f>IF(VLOOKUP($A36,Table1[#All],_xlfn.XMATCH(P$12,Table1[#Headers],0,1),0)=0,"",VLOOKUP($A36,Table1[#All],_xlfn.XMATCH(P$12,Table1[#Headers],0,1),0))</f>
        <v>10.035183273637459</v>
      </c>
      <c r="Q36" s="76">
        <f>IF(VLOOKUP($A36,Table1[#All],_xlfn.XMATCH(Q$12,Table1[#Headers],0,1),0)=0,"",VLOOKUP($A36,Table1[#All],_xlfn.XMATCH(Q$12,Table1[#Headers],0,1),0))</f>
        <v>1.674932916398554</v>
      </c>
      <c r="R36" s="76">
        <f>IF(VLOOKUP($A36,Table1[#All],_xlfn.XMATCH(R$12,Table1[#Headers],0,1),0)=0,"",VLOOKUP($A36,Table1[#All],_xlfn.XMATCH(R$12,Table1[#Headers],0,1),0))</f>
        <v>499.1394148020654</v>
      </c>
      <c r="S36" s="76">
        <f>IF(VLOOKUP($A36,Table1[#All],_xlfn.XMATCH(S$12,Table1[#Headers],0,1),0)=0,"",VLOOKUP($A36,Table1[#All],_xlfn.XMATCH(S$12,Table1[#Headers],0,1),0))</f>
        <v>9.8000000000000007</v>
      </c>
      <c r="T36" s="76">
        <f>IF(VLOOKUP($A36,Table1[#All],_xlfn.XMATCH(T$12,Table1[#Headers],0,1),0)=0,"",VLOOKUP($A36,Table1[#All],_xlfn.XMATCH(T$12,Table1[#Headers],0,1),0))</f>
        <v>1.6</v>
      </c>
      <c r="U36" s="76">
        <f>IF(VLOOKUP($A36,Table1[#All],_xlfn.XMATCH(U$12,Table1[#Headers],0,1),0)=0,"",VLOOKUP($A36,Table1[#All],_xlfn.XMATCH(U$12,Table1[#Headers],0,1),0))</f>
        <v>522</v>
      </c>
      <c r="V36" s="77"/>
      <c r="W36" s="76">
        <f>IF(VLOOKUP($A36,Table1[#All],_xlfn.XMATCH(W$12,Table1[#Headers],0,1),0)=0,"",VLOOKUP($A36,Table1[#All],_xlfn.XMATCH(W$12,Table1[#Headers],0,1),0))</f>
        <v>60.7</v>
      </c>
      <c r="X36" s="76" t="str">
        <f>IF(VLOOKUP($A36,Table1[#All],_xlfn.XMATCH(X$12,Table1[#Headers],0,1),0)=0,"",VLOOKUP($A36,Table1[#All],_xlfn.XMATCH(X$12,Table1[#Headers],0,1),0))</f>
        <v/>
      </c>
      <c r="Y36" s="76" t="str">
        <f>IF(VLOOKUP($A36,Table1[#All],_xlfn.XMATCH(Y$12,Table1[#Headers],0,1),0)=0,"",VLOOKUP($A36,Table1[#All],_xlfn.XMATCH(Y$12,Table1[#Headers],0,1),0))</f>
        <v/>
      </c>
      <c r="Z36" s="76" t="str">
        <f>IF(VLOOKUP($A36,Table1[#All],_xlfn.XMATCH(Z$12,Table1[#Headers],0,1),0)=0,"",VLOOKUP($A36,Table1[#All],_xlfn.XMATCH(Z$12,Table1[#Headers],0,1),0))</f>
        <v/>
      </c>
      <c r="AA36" s="76" t="str">
        <f>IF(VLOOKUP($A36,Table1[#All],_xlfn.XMATCH(AA$12,Table1[#Headers],0,1),0)=0,"",VLOOKUP($A36,Table1[#All],_xlfn.XMATCH(AA$12,Table1[#Headers],0,1),0))</f>
        <v/>
      </c>
      <c r="AB36" s="76" t="str">
        <f>IF(VLOOKUP($A36,Table1[#All],_xlfn.XMATCH(AB$12,Table1[#Headers],0,1),0)=0,"",VLOOKUP($A36,Table1[#All],_xlfn.XMATCH(AB$12,Table1[#Headers],0,1),0))</f>
        <v/>
      </c>
      <c r="AC36" s="76" t="str">
        <f>IF(VLOOKUP($A36,Table1[#All],_xlfn.XMATCH(AC$12,Table1[#Headers],0,1),0)=0,"",VLOOKUP($A36,Table1[#All],_xlfn.XMATCH(AC$12,Table1[#Headers],0,1),0))</f>
        <v/>
      </c>
      <c r="AD36" s="77"/>
      <c r="AE36" s="76" t="str">
        <f>IF(VLOOKUP($A36,Table1[#All],_xlfn.XMATCH(AE$12,Table1[#Headers],0,1),0)=0,"",VLOOKUP($A36,Table1[#All],_xlfn.XMATCH(AE$12,Table1[#Headers],0,1),0))</f>
        <v/>
      </c>
      <c r="AF36" s="76" t="str">
        <f>IF(VLOOKUP($A36,Table1[#All],_xlfn.XMATCH(AF$12,Table1[#Headers],0,1),0)=0,"",VLOOKUP($A36,Table1[#All],_xlfn.XMATCH(AF$12,Table1[#Headers],0,1),0))</f>
        <v/>
      </c>
      <c r="AG36" s="76" t="str">
        <f>IF(VLOOKUP($A36,Table1[#All],_xlfn.XMATCH(AG$12,Table1[#Headers],0,1),0)=0,"",VLOOKUP($A36,Table1[#All],_xlfn.XMATCH(AG$12,Table1[#Headers],0,1),0))</f>
        <v/>
      </c>
      <c r="AH36" s="76" t="str">
        <f>IF(VLOOKUP($A36,Table1[#All],_xlfn.XMATCH(AH$12,Table1[#Headers],0,1),0)=0,"",VLOOKUP($A36,Table1[#All],_xlfn.XMATCH(AH$12,Table1[#Headers],0,1),0))</f>
        <v/>
      </c>
      <c r="AI36" s="77"/>
      <c r="AJ36" s="78">
        <f>IF(VLOOKUP($A36,Table1[#All],_xlfn.XMATCH(AJ$12,Table1[#Headers],0,1),0)=0,"",VLOOKUP($A36,Table1[#All],_xlfn.XMATCH(AJ$12,Table1[#Headers],0,1),0))</f>
        <v>67.8</v>
      </c>
      <c r="AK36" s="78">
        <f t="shared" si="10"/>
        <v>7.0999999999999943</v>
      </c>
      <c r="AL36" s="76" t="str">
        <f>IF(VLOOKUP($A36,Table1[#All],_xlfn.XMATCH(AL$12,Table1[#Headers],0,1),0)=0,"",VLOOKUP($A36,Table1[#All],_xlfn.XMATCH(AL$12,Table1[#Headers],0,1),0))</f>
        <v/>
      </c>
      <c r="AM36" s="77"/>
      <c r="AN36" s="76" t="str">
        <f>IF(VLOOKUP($A36,Table1[#All],_xlfn.XMATCH(AN$12,Table1[#Headers],0,1),0)=0,"",VLOOKUP($A36,Table1[#All],_xlfn.XMATCH(AN$12,Table1[#Headers],0,1),0))</f>
        <v>OED_CRS15)GA250495_B02-K01_16-667.pdf</v>
      </c>
      <c r="AO36" s="79" t="str">
        <f ca="1">HYPERLINK(Hulp!$C$5&amp;Beoordeling!AN36,MID(AN36,1,30))</f>
        <v>OED_CRS15)GA250495_B02-K01_16-</v>
      </c>
      <c r="AP36" s="76">
        <f>IF(VLOOKUP($A36,Table1[#All],_xlfn.XMATCH(AP$12,Table1[#Headers],0,1),0)=0,"",VLOOKUP($A36,Table1[#All],_xlfn.XMATCH(AP$12,Table1[#Headers],0,1),0))</f>
        <v>67.8</v>
      </c>
      <c r="AQ36" s="80"/>
      <c r="AR36" s="81"/>
      <c r="AS36" s="80"/>
      <c r="AT36" s="77"/>
      <c r="AU36" s="114" t="s">
        <v>388</v>
      </c>
      <c r="AV36" s="114" t="s">
        <v>388</v>
      </c>
      <c r="AW36" s="114" t="s">
        <v>388</v>
      </c>
      <c r="AX36" s="114" t="s">
        <v>388</v>
      </c>
      <c r="AY36" s="114" t="s">
        <v>388</v>
      </c>
      <c r="AZ36" s="114" t="s">
        <v>388</v>
      </c>
      <c r="BA36" s="77"/>
      <c r="BB36" s="114" t="s">
        <v>388</v>
      </c>
      <c r="BC36" s="114" t="s">
        <v>388</v>
      </c>
      <c r="BD36" s="114" t="s">
        <v>388</v>
      </c>
      <c r="BE36" s="114" t="s">
        <v>388</v>
      </c>
      <c r="BF36" s="114" t="s">
        <v>388</v>
      </c>
      <c r="BG36" s="114" t="s">
        <v>388</v>
      </c>
      <c r="BH36" s="114" t="s">
        <v>388</v>
      </c>
      <c r="BI36" s="114" t="s">
        <v>388</v>
      </c>
      <c r="BJ36" s="114" t="s">
        <v>388</v>
      </c>
      <c r="BK36" s="114" t="s">
        <v>388</v>
      </c>
      <c r="BL36" s="114" t="s">
        <v>388</v>
      </c>
      <c r="BM36" s="114" t="s">
        <v>388</v>
      </c>
      <c r="BN36" s="114" t="s">
        <v>388</v>
      </c>
      <c r="BO36" s="77"/>
      <c r="BP36" s="114" t="s">
        <v>388</v>
      </c>
      <c r="BQ36" s="114" t="s">
        <v>388</v>
      </c>
      <c r="BR36" s="114" t="s">
        <v>388</v>
      </c>
      <c r="BS36" s="77"/>
      <c r="BT36" s="76" t="str">
        <f>IF(VLOOKUP($A36,Table1[#All],_xlfn.XMATCH(BT$12,Table1[#Headers],0,1),0)=0,"",VLOOKUP($A36,Table1[#All],_xlfn.XMATCH(BT$12,Table1[#Headers],0,1),0))</f>
        <v>DSS5)GA250495_B02-K01_16-667.pdf</v>
      </c>
      <c r="BU36" s="79" t="str">
        <f ca="1">HYPERLINK(Hulp!$C$3&amp;Beoordeling!BT36,BT36)</f>
        <v>DSS5)GA250495_B02-K01_16-667.pdf</v>
      </c>
      <c r="BV36" s="77"/>
      <c r="BW36" s="81"/>
      <c r="BX36" s="81"/>
      <c r="BY36" s="81"/>
    </row>
    <row r="37" spans="1:77" x14ac:dyDescent="0.3">
      <c r="A37" s="75" t="s">
        <v>1286</v>
      </c>
      <c r="B37" s="76" t="str">
        <f>IF(VLOOKUP($A37,Table1[#All],_xlfn.XMATCH(B$12,Table1[#Headers],0,1),0)=0,"",VLOOKUP($A37,Table1[#All],_xlfn.XMATCH(B$12,Table1[#Headers],0,1),0))</f>
        <v>DSS_voorbeeld</v>
      </c>
      <c r="C37" s="76" t="str">
        <f>IF(VLOOKUP($A37,Table1[#All],_xlfn.XMATCH(C$12,Table1[#Headers],0,1),0)=0,"",VLOOKUP($A37,Table1[#All],_xlfn.XMATCH(C$12,Table1[#Headers],0,1),0))</f>
        <v/>
      </c>
      <c r="D37" s="77"/>
      <c r="E37" s="76" t="str">
        <f>IF(VLOOKUP($A37,Table1[#All],_xlfn.XMATCH(E$12,Table1[#Headers],0,1),0)=0,"",VLOOKUP($A37,Table1[#All],_xlfn.XMATCH(E$12,Table1[#Headers],0,1),0))</f>
        <v>Polderdijk</v>
      </c>
      <c r="F37" s="76" t="str">
        <f>IF(VLOOKUP($A37,Table1[#All],_xlfn.XMATCH(F$12,Table1[#Headers],0,1),0)=0,"",VLOOKUP($A37,Table1[#All],_xlfn.XMATCH(F$12,Table1[#Headers],0,1),0))</f>
        <v>Regionaal</v>
      </c>
      <c r="G37" s="76" t="str">
        <f>IF(VLOOKUP($A37,Table1[#All],_xlfn.XMATCH(G$12,Table1[#Headers],0,1),0)=0,"",VLOOKUP($A37,Table1[#All],_xlfn.XMATCH(G$12,Table1[#Headers],0,1),0))</f>
        <v>B02-K02</v>
      </c>
      <c r="H37" s="76" t="str">
        <f>IF(VLOOKUP($A37,Table1[#All],_xlfn.XMATCH(H$12,Table1[#Headers],0,1),0)=0,"",VLOOKUP($A37,Table1[#All],_xlfn.XMATCH(H$12,Table1[#Headers],0,1),0))</f>
        <v>KR</v>
      </c>
      <c r="I37" s="76">
        <f>IF(VLOOKUP($A37,Table1[#All],_xlfn.XMATCH(I$12,Table1[#Headers],0,1),0)=0,"",VLOOKUP($A37,Table1[#All],_xlfn.XMATCH(I$12,Table1[#Headers],0,1),0))</f>
        <v>-7.4050000000000002</v>
      </c>
      <c r="J37" s="76">
        <f>IF(VLOOKUP($A37,Table1[#All],_xlfn.XMATCH(J$12,Table1[#Headers],0,1),0)=0,"",VLOOKUP($A37,Table1[#All],_xlfn.XMATCH(J$12,Table1[#Headers],0,1),0))</f>
        <v>7.2</v>
      </c>
      <c r="K37" s="77"/>
      <c r="L37" s="76" t="str">
        <f>IF(VLOOKUP($A37,Table1[#All],_xlfn.XMATCH(L$12,Table1[#Headers],0,1),0)=0,"",VLOOKUP($A37,Table1[#All],_xlfn.XMATCH(L$12,Table1[#Headers],0,1),0))</f>
        <v>Veen, bruin, donker, Pulsinstallatie machinaal, Matig</v>
      </c>
      <c r="M37" s="76" t="str">
        <f>IF(VLOOKUP($A37,Table1[#All],_xlfn.XMATCH(M$12,Table1[#Headers],0,1),0)=0,"",VLOOKUP($A37,Table1[#All],_xlfn.XMATCH(M$12,Table1[#Headers],0,1),0))</f>
        <v/>
      </c>
      <c r="N37" s="76" t="str">
        <f>IF(VLOOKUP($A37,Table1[#All],_xlfn.XMATCH(N$12,Table1[#Headers],0,1),0)=0,"",VLOOKUP($A37,Table1[#All],_xlfn.XMATCH(N$12,Table1[#Headers],0,1),0))</f>
        <v/>
      </c>
      <c r="O37" s="76" t="str">
        <f>IF(VLOOKUP($A37,Table1[#All],_xlfn.XMATCH(O$12,Table1[#Headers],0,1),0)=0,"",VLOOKUP($A37,Table1[#All],_xlfn.XMATCH(O$12,Table1[#Headers],0,1),0))</f>
        <v/>
      </c>
      <c r="P37" s="76">
        <f>IF(VLOOKUP($A37,Table1[#All],_xlfn.XMATCH(P$12,Table1[#Headers],0,1),0)=0,"",VLOOKUP($A37,Table1[#All],_xlfn.XMATCH(P$12,Table1[#Headers],0,1),0))</f>
        <v>9.587049148522695</v>
      </c>
      <c r="Q37" s="76">
        <f>IF(VLOOKUP($A37,Table1[#All],_xlfn.XMATCH(Q$12,Table1[#Headers],0,1),0)=0,"",VLOOKUP($A37,Table1[#All],_xlfn.XMATCH(Q$12,Table1[#Headers],0,1),0))</f>
        <v>1.5239805430641331</v>
      </c>
      <c r="R37" s="76">
        <f>IF(VLOOKUP($A37,Table1[#All],_xlfn.XMATCH(R$12,Table1[#Headers],0,1),0)=0,"",VLOOKUP($A37,Table1[#All],_xlfn.XMATCH(R$12,Table1[#Headers],0,1),0))</f>
        <v>529.07949790794976</v>
      </c>
      <c r="S37" s="76">
        <f>IF(VLOOKUP($A37,Table1[#All],_xlfn.XMATCH(S$12,Table1[#Headers],0,1),0)=0,"",VLOOKUP($A37,Table1[#All],_xlfn.XMATCH(S$12,Table1[#Headers],0,1),0))</f>
        <v>9.1</v>
      </c>
      <c r="T37" s="76">
        <f>IF(VLOOKUP($A37,Table1[#All],_xlfn.XMATCH(T$12,Table1[#Headers],0,1),0)=0,"",VLOOKUP($A37,Table1[#All],_xlfn.XMATCH(T$12,Table1[#Headers],0,1),0))</f>
        <v>1.6</v>
      </c>
      <c r="U37" s="76">
        <f>IF(VLOOKUP($A37,Table1[#All],_xlfn.XMATCH(U$12,Table1[#Headers],0,1),0)=0,"",VLOOKUP($A37,Table1[#All],_xlfn.XMATCH(U$12,Table1[#Headers],0,1),0))</f>
        <v>474.4</v>
      </c>
      <c r="V37" s="77"/>
      <c r="W37" s="76">
        <f>IF(VLOOKUP($A37,Table1[#All],_xlfn.XMATCH(W$12,Table1[#Headers],0,1),0)=0,"",VLOOKUP($A37,Table1[#All],_xlfn.XMATCH(W$12,Table1[#Headers],0,1),0))</f>
        <v>55.8</v>
      </c>
      <c r="X37" s="76" t="str">
        <f>IF(VLOOKUP($A37,Table1[#All],_xlfn.XMATCH(X$12,Table1[#Headers],0,1),0)=0,"",VLOOKUP($A37,Table1[#All],_xlfn.XMATCH(X$12,Table1[#Headers],0,1),0))</f>
        <v/>
      </c>
      <c r="Y37" s="76" t="str">
        <f>IF(VLOOKUP($A37,Table1[#All],_xlfn.XMATCH(Y$12,Table1[#Headers],0,1),0)=0,"",VLOOKUP($A37,Table1[#All],_xlfn.XMATCH(Y$12,Table1[#Headers],0,1),0))</f>
        <v/>
      </c>
      <c r="Z37" s="76" t="str">
        <f>IF(VLOOKUP($A37,Table1[#All],_xlfn.XMATCH(Z$12,Table1[#Headers],0,1),0)=0,"",VLOOKUP($A37,Table1[#All],_xlfn.XMATCH(Z$12,Table1[#Headers],0,1),0))</f>
        <v/>
      </c>
      <c r="AA37" s="76" t="str">
        <f>IF(VLOOKUP($A37,Table1[#All],_xlfn.XMATCH(AA$12,Table1[#Headers],0,1),0)=0,"",VLOOKUP($A37,Table1[#All],_xlfn.XMATCH(AA$12,Table1[#Headers],0,1),0))</f>
        <v/>
      </c>
      <c r="AB37" s="76" t="str">
        <f>IF(VLOOKUP($A37,Table1[#All],_xlfn.XMATCH(AB$12,Table1[#Headers],0,1),0)=0,"",VLOOKUP($A37,Table1[#All],_xlfn.XMATCH(AB$12,Table1[#Headers],0,1),0))</f>
        <v/>
      </c>
      <c r="AC37" s="76" t="str">
        <f>IF(VLOOKUP($A37,Table1[#All],_xlfn.XMATCH(AC$12,Table1[#Headers],0,1),0)=0,"",VLOOKUP($A37,Table1[#All],_xlfn.XMATCH(AC$12,Table1[#Headers],0,1),0))</f>
        <v/>
      </c>
      <c r="AD37" s="77"/>
      <c r="AE37" s="76" t="str">
        <f>IF(VLOOKUP($A37,Table1[#All],_xlfn.XMATCH(AE$12,Table1[#Headers],0,1),0)=0,"",VLOOKUP($A37,Table1[#All],_xlfn.XMATCH(AE$12,Table1[#Headers],0,1),0))</f>
        <v/>
      </c>
      <c r="AF37" s="76" t="str">
        <f>IF(VLOOKUP($A37,Table1[#All],_xlfn.XMATCH(AF$12,Table1[#Headers],0,1),0)=0,"",VLOOKUP($A37,Table1[#All],_xlfn.XMATCH(AF$12,Table1[#Headers],0,1),0))</f>
        <v/>
      </c>
      <c r="AG37" s="76" t="str">
        <f>IF(VLOOKUP($A37,Table1[#All],_xlfn.XMATCH(AG$12,Table1[#Headers],0,1),0)=0,"",VLOOKUP($A37,Table1[#All],_xlfn.XMATCH(AG$12,Table1[#Headers],0,1),0))</f>
        <v/>
      </c>
      <c r="AH37" s="76" t="str">
        <f>IF(VLOOKUP($A37,Table1[#All],_xlfn.XMATCH(AH$12,Table1[#Headers],0,1),0)=0,"",VLOOKUP($A37,Table1[#All],_xlfn.XMATCH(AH$12,Table1[#Headers],0,1),0))</f>
        <v/>
      </c>
      <c r="AI37" s="77"/>
      <c r="AJ37" s="78">
        <f>IF(VLOOKUP($A37,Table1[#All],_xlfn.XMATCH(AJ$12,Table1[#Headers],0,1),0)=0,"",VLOOKUP($A37,Table1[#All],_xlfn.XMATCH(AJ$12,Table1[#Headers],0,1),0))</f>
        <v>62.2</v>
      </c>
      <c r="AK37" s="78">
        <f t="shared" si="10"/>
        <v>6.4000000000000057</v>
      </c>
      <c r="AL37" s="76" t="str">
        <f>IF(VLOOKUP($A37,Table1[#All],_xlfn.XMATCH(AL$12,Table1[#Headers],0,1),0)=0,"",VLOOKUP($A37,Table1[#All],_xlfn.XMATCH(AL$12,Table1[#Headers],0,1),0))</f>
        <v/>
      </c>
      <c r="AM37" s="77"/>
      <c r="AN37" s="76" t="str">
        <f>IF(VLOOKUP($A37,Table1[#All],_xlfn.XMATCH(AN$12,Table1[#Headers],0,1),0)=0,"",VLOOKUP($A37,Table1[#All],_xlfn.XMATCH(AN$12,Table1[#Headers],0,1),0))</f>
        <v>OED_CRS18)GA250495_B02-K02_17-22905.pdf</v>
      </c>
      <c r="AO37" s="79" t="str">
        <f ca="1">HYPERLINK(Hulp!$C$5&amp;Beoordeling!AN37,MID(AN37,1,30))</f>
        <v>OED_CRS18)GA250495_B02-K02_17-</v>
      </c>
      <c r="AP37" s="76">
        <f>IF(VLOOKUP($A37,Table1[#All],_xlfn.XMATCH(AP$12,Table1[#Headers],0,1),0)=0,"",VLOOKUP($A37,Table1[#All],_xlfn.XMATCH(AP$12,Table1[#Headers],0,1),0))</f>
        <v>62.2</v>
      </c>
      <c r="AQ37" s="80"/>
      <c r="AR37" s="81"/>
      <c r="AS37" s="80"/>
      <c r="AT37" s="77"/>
      <c r="AU37" s="114" t="s">
        <v>388</v>
      </c>
      <c r="AV37" s="114" t="s">
        <v>388</v>
      </c>
      <c r="AW37" s="114" t="s">
        <v>388</v>
      </c>
      <c r="AX37" s="114" t="s">
        <v>388</v>
      </c>
      <c r="AY37" s="114" t="s">
        <v>388</v>
      </c>
      <c r="AZ37" s="114" t="s">
        <v>388</v>
      </c>
      <c r="BA37" s="77"/>
      <c r="BB37" s="114" t="s">
        <v>388</v>
      </c>
      <c r="BC37" s="114" t="s">
        <v>388</v>
      </c>
      <c r="BD37" s="114" t="s">
        <v>388</v>
      </c>
      <c r="BE37" s="114" t="s">
        <v>388</v>
      </c>
      <c r="BF37" s="114" t="s">
        <v>388</v>
      </c>
      <c r="BG37" s="114" t="s">
        <v>388</v>
      </c>
      <c r="BH37" s="114" t="s">
        <v>388</v>
      </c>
      <c r="BI37" s="114" t="s">
        <v>388</v>
      </c>
      <c r="BJ37" s="114" t="s">
        <v>388</v>
      </c>
      <c r="BK37" s="114" t="s">
        <v>388</v>
      </c>
      <c r="BL37" s="114" t="s">
        <v>388</v>
      </c>
      <c r="BM37" s="114" t="s">
        <v>388</v>
      </c>
      <c r="BN37" s="114" t="s">
        <v>388</v>
      </c>
      <c r="BO37" s="77"/>
      <c r="BP37" s="114" t="s">
        <v>388</v>
      </c>
      <c r="BQ37" s="114" t="s">
        <v>388</v>
      </c>
      <c r="BR37" s="114" t="s">
        <v>388</v>
      </c>
      <c r="BS37" s="77"/>
      <c r="BT37" s="76" t="str">
        <f>IF(VLOOKUP($A37,Table1[#All],_xlfn.XMATCH(BT$12,Table1[#Headers],0,1),0)=0,"",VLOOKUP($A37,Table1[#All],_xlfn.XMATCH(BT$12,Table1[#Headers],0,1),0))</f>
        <v>DSS8)GA250495_B02-K02_17-22905.pdf</v>
      </c>
      <c r="BU37" s="79" t="str">
        <f ca="1">HYPERLINK(Hulp!$C$3&amp;Beoordeling!BT37,BT37)</f>
        <v>DSS8)GA250495_B02-K02_17-22905.pdf</v>
      </c>
      <c r="BV37" s="77"/>
      <c r="BW37" s="81"/>
      <c r="BX37" s="81"/>
      <c r="BY37" s="81"/>
    </row>
    <row r="38" spans="1:77" x14ac:dyDescent="0.3">
      <c r="A38" s="75" t="s">
        <v>1287</v>
      </c>
      <c r="B38" s="76" t="str">
        <f>IF(VLOOKUP($A38,Table1[#All],_xlfn.XMATCH(B$12,Table1[#Headers],0,1),0)=0,"",VLOOKUP($A38,Table1[#All],_xlfn.XMATCH(B$12,Table1[#Headers],0,1),0))</f>
        <v>DSS_voorbeeld</v>
      </c>
      <c r="C38" s="76" t="str">
        <f>IF(VLOOKUP($A38,Table1[#All],_xlfn.XMATCH(C$12,Table1[#Headers],0,1),0)=0,"",VLOOKUP($A38,Table1[#All],_xlfn.XMATCH(C$12,Table1[#Headers],0,1),0))</f>
        <v/>
      </c>
      <c r="D38" s="77"/>
      <c r="E38" s="76" t="str">
        <f>IF(VLOOKUP($A38,Table1[#All],_xlfn.XMATCH(E$12,Table1[#Headers],0,1),0)=0,"",VLOOKUP($A38,Table1[#All],_xlfn.XMATCH(E$12,Table1[#Headers],0,1),0))</f>
        <v>Polderdijk</v>
      </c>
      <c r="F38" s="76" t="str">
        <f>IF(VLOOKUP($A38,Table1[#All],_xlfn.XMATCH(F$12,Table1[#Headers],0,1),0)=0,"",VLOOKUP($A38,Table1[#All],_xlfn.XMATCH(F$12,Table1[#Headers],0,1),0))</f>
        <v>Regionaal</v>
      </c>
      <c r="G38" s="76" t="str">
        <f>IF(VLOOKUP($A38,Table1[#All],_xlfn.XMATCH(G$12,Table1[#Headers],0,1),0)=0,"",VLOOKUP($A38,Table1[#All],_xlfn.XMATCH(G$12,Table1[#Headers],0,1),0))</f>
        <v>B03-K01</v>
      </c>
      <c r="H38" s="76" t="str">
        <f>IF(VLOOKUP($A38,Table1[#All],_xlfn.XMATCH(H$12,Table1[#Headers],0,1),0)=0,"",VLOOKUP($A38,Table1[#All],_xlfn.XMATCH(H$12,Table1[#Headers],0,1),0))</f>
        <v>KR</v>
      </c>
      <c r="I38" s="76">
        <f>IF(VLOOKUP($A38,Table1[#All],_xlfn.XMATCH(I$12,Table1[#Headers],0,1),0)=0,"",VLOOKUP($A38,Table1[#All],_xlfn.XMATCH(I$12,Table1[#Headers],0,1),0))</f>
        <v>-3.0680000000000001</v>
      </c>
      <c r="J38" s="76">
        <f>IF(VLOOKUP($A38,Table1[#All],_xlfn.XMATCH(J$12,Table1[#Headers],0,1),0)=0,"",VLOOKUP($A38,Table1[#All],_xlfn.XMATCH(J$12,Table1[#Headers],0,1),0))</f>
        <v>1.2</v>
      </c>
      <c r="K38" s="77"/>
      <c r="L38" s="76" t="str">
        <f>IF(VLOOKUP($A38,Table1[#All],_xlfn.XMATCH(L$12,Table1[#Headers],0,1),0)=0,"",VLOOKUP($A38,Table1[#All],_xlfn.XMATCH(L$12,Table1[#Headers],0,1),0))</f>
        <v>Veen, bruin, donker, Machinale Boring, Laag</v>
      </c>
      <c r="M38" s="76" t="str">
        <f>IF(VLOOKUP($A38,Table1[#All],_xlfn.XMATCH(M$12,Table1[#Headers],0,1),0)=0,"",VLOOKUP($A38,Table1[#All],_xlfn.XMATCH(M$12,Table1[#Headers],0,1),0))</f>
        <v/>
      </c>
      <c r="N38" s="76" t="str">
        <f>IF(VLOOKUP($A38,Table1[#All],_xlfn.XMATCH(N$12,Table1[#Headers],0,1),0)=0,"",VLOOKUP($A38,Table1[#All],_xlfn.XMATCH(N$12,Table1[#Headers],0,1),0))</f>
        <v/>
      </c>
      <c r="O38" s="76" t="str">
        <f>IF(VLOOKUP($A38,Table1[#All],_xlfn.XMATCH(O$12,Table1[#Headers],0,1),0)=0,"",VLOOKUP($A38,Table1[#All],_xlfn.XMATCH(O$12,Table1[#Headers],0,1),0))</f>
        <v/>
      </c>
      <c r="P38" s="76">
        <f>IF(VLOOKUP($A38,Table1[#All],_xlfn.XMATCH(P$12,Table1[#Headers],0,1),0)=0,"",VLOOKUP($A38,Table1[#All],_xlfn.XMATCH(P$12,Table1[#Headers],0,1),0))</f>
        <v>9.5417322145223231</v>
      </c>
      <c r="Q38" s="76">
        <f>IF(VLOOKUP($A38,Table1[#All],_xlfn.XMATCH(Q$12,Table1[#Headers],0,1),0)=0,"",VLOOKUP($A38,Table1[#All],_xlfn.XMATCH(Q$12,Table1[#Headers],0,1),0))</f>
        <v>1.2220113187019821</v>
      </c>
      <c r="R38" s="76">
        <f>IF(VLOOKUP($A38,Table1[#All],_xlfn.XMATCH(R$12,Table1[#Headers],0,1),0)=0,"",VLOOKUP($A38,Table1[#All],_xlfn.XMATCH(R$12,Table1[#Headers],0,1),0))</f>
        <v>680.82191780821915</v>
      </c>
      <c r="S38" s="76">
        <f>IF(VLOOKUP($A38,Table1[#All],_xlfn.XMATCH(S$12,Table1[#Headers],0,1),0)=0,"",VLOOKUP($A38,Table1[#All],_xlfn.XMATCH(S$12,Table1[#Headers],0,1),0))</f>
        <v>9.6999999999999993</v>
      </c>
      <c r="T38" s="76">
        <f>IF(VLOOKUP($A38,Table1[#All],_xlfn.XMATCH(T$12,Table1[#Headers],0,1),0)=0,"",VLOOKUP($A38,Table1[#All],_xlfn.XMATCH(T$12,Table1[#Headers],0,1),0))</f>
        <v>1.7</v>
      </c>
      <c r="U38" s="76">
        <f>IF(VLOOKUP($A38,Table1[#All],_xlfn.XMATCH(U$12,Table1[#Headers],0,1),0)=0,"",VLOOKUP($A38,Table1[#All],_xlfn.XMATCH(U$12,Table1[#Headers],0,1),0))</f>
        <v>479.7</v>
      </c>
      <c r="V38" s="77"/>
      <c r="W38" s="76">
        <f>IF(VLOOKUP($A38,Table1[#All],_xlfn.XMATCH(W$12,Table1[#Headers],0,1),0)=0,"",VLOOKUP($A38,Table1[#All],_xlfn.XMATCH(W$12,Table1[#Headers],0,1),0))</f>
        <v>12.3</v>
      </c>
      <c r="X38" s="76" t="str">
        <f>IF(VLOOKUP($A38,Table1[#All],_xlfn.XMATCH(X$12,Table1[#Headers],0,1),0)=0,"",VLOOKUP($A38,Table1[#All],_xlfn.XMATCH(X$12,Table1[#Headers],0,1),0))</f>
        <v/>
      </c>
      <c r="Y38" s="76" t="str">
        <f>IF(VLOOKUP($A38,Table1[#All],_xlfn.XMATCH(Y$12,Table1[#Headers],0,1),0)=0,"",VLOOKUP($A38,Table1[#All],_xlfn.XMATCH(Y$12,Table1[#Headers],0,1),0))</f>
        <v/>
      </c>
      <c r="Z38" s="76" t="str">
        <f>IF(VLOOKUP($A38,Table1[#All],_xlfn.XMATCH(Z$12,Table1[#Headers],0,1),0)=0,"",VLOOKUP($A38,Table1[#All],_xlfn.XMATCH(Z$12,Table1[#Headers],0,1),0))</f>
        <v/>
      </c>
      <c r="AA38" s="76" t="str">
        <f>IF(VLOOKUP($A38,Table1[#All],_xlfn.XMATCH(AA$12,Table1[#Headers],0,1),0)=0,"",VLOOKUP($A38,Table1[#All],_xlfn.XMATCH(AA$12,Table1[#Headers],0,1),0))</f>
        <v/>
      </c>
      <c r="AB38" s="76" t="str">
        <f>IF(VLOOKUP($A38,Table1[#All],_xlfn.XMATCH(AB$12,Table1[#Headers],0,1),0)=0,"",VLOOKUP($A38,Table1[#All],_xlfn.XMATCH(AB$12,Table1[#Headers],0,1),0))</f>
        <v/>
      </c>
      <c r="AC38" s="76" t="str">
        <f>IF(VLOOKUP($A38,Table1[#All],_xlfn.XMATCH(AC$12,Table1[#Headers],0,1),0)=0,"",VLOOKUP($A38,Table1[#All],_xlfn.XMATCH(AC$12,Table1[#Headers],0,1),0))</f>
        <v/>
      </c>
      <c r="AD38" s="77"/>
      <c r="AE38" s="76" t="str">
        <f>IF(VLOOKUP($A38,Table1[#All],_xlfn.XMATCH(AE$12,Table1[#Headers],0,1),0)=0,"",VLOOKUP($A38,Table1[#All],_xlfn.XMATCH(AE$12,Table1[#Headers],0,1),0))</f>
        <v/>
      </c>
      <c r="AF38" s="76" t="str">
        <f>IF(VLOOKUP($A38,Table1[#All],_xlfn.XMATCH(AF$12,Table1[#Headers],0,1),0)=0,"",VLOOKUP($A38,Table1[#All],_xlfn.XMATCH(AF$12,Table1[#Headers],0,1),0))</f>
        <v/>
      </c>
      <c r="AG38" s="76" t="str">
        <f>IF(VLOOKUP($A38,Table1[#All],_xlfn.XMATCH(AG$12,Table1[#Headers],0,1),0)=0,"",VLOOKUP($A38,Table1[#All],_xlfn.XMATCH(AG$12,Table1[#Headers],0,1),0))</f>
        <v/>
      </c>
      <c r="AH38" s="76" t="str">
        <f>IF(VLOOKUP($A38,Table1[#All],_xlfn.XMATCH(AH$12,Table1[#Headers],0,1),0)=0,"",VLOOKUP($A38,Table1[#All],_xlfn.XMATCH(AH$12,Table1[#Headers],0,1),0))</f>
        <v/>
      </c>
      <c r="AI38" s="77"/>
      <c r="AJ38" s="78">
        <f>IF(VLOOKUP($A38,Table1[#All],_xlfn.XMATCH(AJ$12,Table1[#Headers],0,1),0)=0,"",VLOOKUP($A38,Table1[#All],_xlfn.XMATCH(AJ$12,Table1[#Headers],0,1),0))</f>
        <v>19.3</v>
      </c>
      <c r="AK38" s="78">
        <f t="shared" si="10"/>
        <v>7</v>
      </c>
      <c r="AL38" s="76" t="str">
        <f>IF(VLOOKUP($A38,Table1[#All],_xlfn.XMATCH(AL$12,Table1[#Headers],0,1),0)=0,"",VLOOKUP($A38,Table1[#All],_xlfn.XMATCH(AL$12,Table1[#Headers],0,1),0))</f>
        <v/>
      </c>
      <c r="AM38" s="77"/>
      <c r="AN38" s="76" t="str">
        <f>IF(VLOOKUP($A38,Table1[#All],_xlfn.XMATCH(AN$12,Table1[#Headers],0,1),0)=0,"",VLOOKUP($A38,Table1[#All],_xlfn.XMATCH(AN$12,Table1[#Headers],0,1),0))</f>
        <v>OED_CRS50)GA250495_B03-K01_2-K 44.pdf</v>
      </c>
      <c r="AO38" s="79" t="str">
        <f ca="1">HYPERLINK(Hulp!$C$5&amp;Beoordeling!AN38,MID(AN38,1,30))</f>
        <v>OED_CRS50)GA250495_B03-K01_2-K</v>
      </c>
      <c r="AP38" s="76">
        <f>IF(VLOOKUP($A38,Table1[#All],_xlfn.XMATCH(AP$12,Table1[#Headers],0,1),0)=0,"",VLOOKUP($A38,Table1[#All],_xlfn.XMATCH(AP$12,Table1[#Headers],0,1),0))</f>
        <v>19.3</v>
      </c>
      <c r="AQ38" s="80"/>
      <c r="AR38" s="81"/>
      <c r="AS38" s="80"/>
      <c r="AT38" s="77"/>
      <c r="AU38" s="114" t="s">
        <v>388</v>
      </c>
      <c r="AV38" s="114" t="s">
        <v>388</v>
      </c>
      <c r="AW38" s="114" t="s">
        <v>388</v>
      </c>
      <c r="AX38" s="114" t="s">
        <v>388</v>
      </c>
      <c r="AY38" s="114" t="s">
        <v>388</v>
      </c>
      <c r="AZ38" s="114" t="s">
        <v>388</v>
      </c>
      <c r="BA38" s="77"/>
      <c r="BB38" s="114" t="s">
        <v>388</v>
      </c>
      <c r="BC38" s="114" t="s">
        <v>388</v>
      </c>
      <c r="BD38" s="114" t="s">
        <v>388</v>
      </c>
      <c r="BE38" s="114" t="s">
        <v>388</v>
      </c>
      <c r="BF38" s="114" t="s">
        <v>388</v>
      </c>
      <c r="BG38" s="114" t="s">
        <v>388</v>
      </c>
      <c r="BH38" s="114" t="s">
        <v>388</v>
      </c>
      <c r="BI38" s="114" t="s">
        <v>388</v>
      </c>
      <c r="BJ38" s="114" t="s">
        <v>388</v>
      </c>
      <c r="BK38" s="114" t="s">
        <v>388</v>
      </c>
      <c r="BL38" s="114" t="s">
        <v>388</v>
      </c>
      <c r="BM38" s="114" t="s">
        <v>388</v>
      </c>
      <c r="BN38" s="114" t="s">
        <v>388</v>
      </c>
      <c r="BO38" s="77"/>
      <c r="BP38" s="114" t="s">
        <v>388</v>
      </c>
      <c r="BQ38" s="114" t="s">
        <v>388</v>
      </c>
      <c r="BR38" s="114" t="s">
        <v>388</v>
      </c>
      <c r="BS38" s="77"/>
      <c r="BT38" s="76" t="str">
        <f>IF(VLOOKUP($A38,Table1[#All],_xlfn.XMATCH(BT$12,Table1[#Headers],0,1),0)=0,"",VLOOKUP($A38,Table1[#All],_xlfn.XMATCH(BT$12,Table1[#Headers],0,1),0))</f>
        <v>DSS15)GA250495_B03-K01_2-K44.pdf</v>
      </c>
      <c r="BU38" s="79" t="str">
        <f ca="1">HYPERLINK(Hulp!$C$3&amp;Beoordeling!BT38,BT38)</f>
        <v>DSS15)GA250495_B03-K01_2-K44.pdf</v>
      </c>
      <c r="BV38" s="77"/>
      <c r="BW38" s="81"/>
      <c r="BX38" s="81"/>
      <c r="BY38" s="81"/>
    </row>
    <row r="39" spans="1:77" x14ac:dyDescent="0.3">
      <c r="A39" s="75" t="s">
        <v>1288</v>
      </c>
      <c r="B39" s="76" t="str">
        <f>IF(VLOOKUP($A39,Table1[#All],_xlfn.XMATCH(B$12,Table1[#Headers],0,1),0)=0,"",VLOOKUP($A39,Table1[#All],_xlfn.XMATCH(B$12,Table1[#Headers],0,1),0))</f>
        <v>DSS_voorbeeld</v>
      </c>
      <c r="C39" s="76" t="str">
        <f>IF(VLOOKUP($A39,Table1[#All],_xlfn.XMATCH(C$12,Table1[#Headers],0,1),0)=0,"",VLOOKUP($A39,Table1[#All],_xlfn.XMATCH(C$12,Table1[#Headers],0,1),0))</f>
        <v/>
      </c>
      <c r="D39" s="77"/>
      <c r="E39" s="76" t="str">
        <f>IF(VLOOKUP($A39,Table1[#All],_xlfn.XMATCH(E$12,Table1[#Headers],0,1),0)=0,"",VLOOKUP($A39,Table1[#All],_xlfn.XMATCH(E$12,Table1[#Headers],0,1),0))</f>
        <v>Polderdijk</v>
      </c>
      <c r="F39" s="76" t="str">
        <f>IF(VLOOKUP($A39,Table1[#All],_xlfn.XMATCH(F$12,Table1[#Headers],0,1),0)=0,"",VLOOKUP($A39,Table1[#All],_xlfn.XMATCH(F$12,Table1[#Headers],0,1),0))</f>
        <v>Regionaal</v>
      </c>
      <c r="G39" s="76" t="str">
        <f>IF(VLOOKUP($A39,Table1[#All],_xlfn.XMATCH(G$12,Table1[#Headers],0,1),0)=0,"",VLOOKUP($A39,Table1[#All],_xlfn.XMATCH(G$12,Table1[#Headers],0,1),0))</f>
        <v>B03-K01</v>
      </c>
      <c r="H39" s="76" t="str">
        <f>IF(VLOOKUP($A39,Table1[#All],_xlfn.XMATCH(H$12,Table1[#Headers],0,1),0)=0,"",VLOOKUP($A39,Table1[#All],_xlfn.XMATCH(H$12,Table1[#Headers],0,1),0))</f>
        <v>KR</v>
      </c>
      <c r="I39" s="76">
        <f>IF(VLOOKUP($A39,Table1[#All],_xlfn.XMATCH(I$12,Table1[#Headers],0,1),0)=0,"",VLOOKUP($A39,Table1[#All],_xlfn.XMATCH(I$12,Table1[#Headers],0,1),0))</f>
        <v>-3.468</v>
      </c>
      <c r="J39" s="76">
        <f>IF(VLOOKUP($A39,Table1[#All],_xlfn.XMATCH(J$12,Table1[#Headers],0,1),0)=0,"",VLOOKUP($A39,Table1[#All],_xlfn.XMATCH(J$12,Table1[#Headers],0,1),0))</f>
        <v>1.6</v>
      </c>
      <c r="K39" s="77"/>
      <c r="L39" s="76" t="str">
        <f>IF(VLOOKUP($A39,Table1[#All],_xlfn.XMATCH(L$12,Table1[#Headers],0,1),0)=0,"",VLOOKUP($A39,Table1[#All],_xlfn.XMATCH(L$12,Table1[#Headers],0,1),0))</f>
        <v>Veen, plantenresten, weinig, bruin, donker, Pulsinstallatie machinaal, Laag</v>
      </c>
      <c r="M39" s="76" t="str">
        <f>IF(VLOOKUP($A39,Table1[#All],_xlfn.XMATCH(M$12,Table1[#Headers],0,1),0)=0,"",VLOOKUP($A39,Table1[#All],_xlfn.XMATCH(M$12,Table1[#Headers],0,1),0))</f>
        <v/>
      </c>
      <c r="N39" s="76" t="str">
        <f>IF(VLOOKUP($A39,Table1[#All],_xlfn.XMATCH(N$12,Table1[#Headers],0,1),0)=0,"",VLOOKUP($A39,Table1[#All],_xlfn.XMATCH(N$12,Table1[#Headers],0,1),0))</f>
        <v/>
      </c>
      <c r="O39" s="76" t="str">
        <f>IF(VLOOKUP($A39,Table1[#All],_xlfn.XMATCH(O$12,Table1[#Headers],0,1),0)=0,"",VLOOKUP($A39,Table1[#All],_xlfn.XMATCH(O$12,Table1[#Headers],0,1),0))</f>
        <v/>
      </c>
      <c r="P39" s="76">
        <f>IF(VLOOKUP($A39,Table1[#All],_xlfn.XMATCH(P$12,Table1[#Headers],0,1),0)=0,"",VLOOKUP($A39,Table1[#All],_xlfn.XMATCH(P$12,Table1[#Headers],0,1),0))</f>
        <v>9.6487305309120863</v>
      </c>
      <c r="Q39" s="76">
        <f>IF(VLOOKUP($A39,Table1[#All],_xlfn.XMATCH(Q$12,Table1[#Headers],0,1),0)=0,"",VLOOKUP($A39,Table1[#All],_xlfn.XMATCH(Q$12,Table1[#Headers],0,1),0))</f>
        <v>2.0390625131366891</v>
      </c>
      <c r="R39" s="76">
        <f>IF(VLOOKUP($A39,Table1[#All],_xlfn.XMATCH(R$12,Table1[#Headers],0,1),0)=0,"",VLOOKUP($A39,Table1[#All],_xlfn.XMATCH(R$12,Table1[#Headers],0,1),0))</f>
        <v>373.19444444444451</v>
      </c>
      <c r="S39" s="76" t="str">
        <f>IF(VLOOKUP($A39,Table1[#All],_xlfn.XMATCH(S$12,Table1[#Headers],0,1),0)=0,"",VLOOKUP($A39,Table1[#All],_xlfn.XMATCH(S$12,Table1[#Headers],0,1),0))</f>
        <v/>
      </c>
      <c r="T39" s="76" t="str">
        <f>IF(VLOOKUP($A39,Table1[#All],_xlfn.XMATCH(T$12,Table1[#Headers],0,1),0)=0,"",VLOOKUP($A39,Table1[#All],_xlfn.XMATCH(T$12,Table1[#Headers],0,1),0))</f>
        <v/>
      </c>
      <c r="U39" s="76" t="str">
        <f>IF(VLOOKUP($A39,Table1[#All],_xlfn.XMATCH(U$12,Table1[#Headers],0,1),0)=0,"",VLOOKUP($A39,Table1[#All],_xlfn.XMATCH(U$12,Table1[#Headers],0,1),0))</f>
        <v/>
      </c>
      <c r="V39" s="77"/>
      <c r="W39" s="76">
        <f>IF(VLOOKUP($A39,Table1[#All],_xlfn.XMATCH(W$12,Table1[#Headers],0,1),0)=0,"",VLOOKUP($A39,Table1[#All],_xlfn.XMATCH(W$12,Table1[#Headers],0,1),0))</f>
        <v>12.7</v>
      </c>
      <c r="X39" s="76" t="str">
        <f>IF(VLOOKUP($A39,Table1[#All],_xlfn.XMATCH(X$12,Table1[#Headers],0,1),0)=0,"",VLOOKUP($A39,Table1[#All],_xlfn.XMATCH(X$12,Table1[#Headers],0,1),0))</f>
        <v/>
      </c>
      <c r="Y39" s="76" t="str">
        <f>IF(VLOOKUP($A39,Table1[#All],_xlfn.XMATCH(Y$12,Table1[#Headers],0,1),0)=0,"",VLOOKUP($A39,Table1[#All],_xlfn.XMATCH(Y$12,Table1[#Headers],0,1),0))</f>
        <v/>
      </c>
      <c r="Z39" s="76" t="str">
        <f>IF(VLOOKUP($A39,Table1[#All],_xlfn.XMATCH(Z$12,Table1[#Headers],0,1),0)=0,"",VLOOKUP($A39,Table1[#All],_xlfn.XMATCH(Z$12,Table1[#Headers],0,1),0))</f>
        <v/>
      </c>
      <c r="AA39" s="76" t="str">
        <f>IF(VLOOKUP($A39,Table1[#All],_xlfn.XMATCH(AA$12,Table1[#Headers],0,1),0)=0,"",VLOOKUP($A39,Table1[#All],_xlfn.XMATCH(AA$12,Table1[#Headers],0,1),0))</f>
        <v/>
      </c>
      <c r="AB39" s="76" t="str">
        <f>IF(VLOOKUP($A39,Table1[#All],_xlfn.XMATCH(AB$12,Table1[#Headers],0,1),0)=0,"",VLOOKUP($A39,Table1[#All],_xlfn.XMATCH(AB$12,Table1[#Headers],0,1),0))</f>
        <v/>
      </c>
      <c r="AC39" s="76" t="str">
        <f>IF(VLOOKUP($A39,Table1[#All],_xlfn.XMATCH(AC$12,Table1[#Headers],0,1),0)=0,"",VLOOKUP($A39,Table1[#All],_xlfn.XMATCH(AC$12,Table1[#Headers],0,1),0))</f>
        <v/>
      </c>
      <c r="AD39" s="77"/>
      <c r="AE39" s="76" t="str">
        <f>IF(VLOOKUP($A39,Table1[#All],_xlfn.XMATCH(AE$12,Table1[#Headers],0,1),0)=0,"",VLOOKUP($A39,Table1[#All],_xlfn.XMATCH(AE$12,Table1[#Headers],0,1),0))</f>
        <v/>
      </c>
      <c r="AF39" s="76" t="str">
        <f>IF(VLOOKUP($A39,Table1[#All],_xlfn.XMATCH(AF$12,Table1[#Headers],0,1),0)=0,"",VLOOKUP($A39,Table1[#All],_xlfn.XMATCH(AF$12,Table1[#Headers],0,1),0))</f>
        <v/>
      </c>
      <c r="AG39" s="76" t="str">
        <f>IF(VLOOKUP($A39,Table1[#All],_xlfn.XMATCH(AG$12,Table1[#Headers],0,1),0)=0,"",VLOOKUP($A39,Table1[#All],_xlfn.XMATCH(AG$12,Table1[#Headers],0,1),0))</f>
        <v/>
      </c>
      <c r="AH39" s="76" t="str">
        <f>IF(VLOOKUP($A39,Table1[#All],_xlfn.XMATCH(AH$12,Table1[#Headers],0,1),0)=0,"",VLOOKUP($A39,Table1[#All],_xlfn.XMATCH(AH$12,Table1[#Headers],0,1),0))</f>
        <v/>
      </c>
      <c r="AI39" s="77"/>
      <c r="AJ39" s="78">
        <f>IF(VLOOKUP($A39,Table1[#All],_xlfn.XMATCH(AJ$12,Table1[#Headers],0,1),0)=0,"",VLOOKUP($A39,Table1[#All],_xlfn.XMATCH(AJ$12,Table1[#Headers],0,1),0))</f>
        <v>22.45</v>
      </c>
      <c r="AK39" s="78">
        <f t="shared" si="10"/>
        <v>9.75</v>
      </c>
      <c r="AL39" s="76" t="str">
        <f>IF(VLOOKUP($A39,Table1[#All],_xlfn.XMATCH(AL$12,Table1[#Headers],0,1),0)=0,"",VLOOKUP($A39,Table1[#All],_xlfn.XMATCH(AL$12,Table1[#Headers],0,1),0))</f>
        <v/>
      </c>
      <c r="AM39" s="77"/>
      <c r="AN39" s="76" t="str">
        <f>IF(VLOOKUP($A39,Table1[#All],_xlfn.XMATCH(AN$12,Table1[#Headers],0,1),0)=0,"",VLOOKUP($A39,Table1[#All],_xlfn.XMATCH(AN$12,Table1[#Headers],0,1),0))</f>
        <v/>
      </c>
      <c r="AO39" s="79" t="str">
        <f ca="1">HYPERLINK(Hulp!$C$5&amp;Beoordeling!AN39,MID(AN39,1,30))</f>
        <v/>
      </c>
      <c r="AP39" s="76" t="str">
        <f>IF(VLOOKUP($A39,Table1[#All],_xlfn.XMATCH(AP$12,Table1[#Headers],0,1),0)=0,"",VLOOKUP($A39,Table1[#All],_xlfn.XMATCH(AP$12,Table1[#Headers],0,1),0))</f>
        <v/>
      </c>
      <c r="AQ39" s="80"/>
      <c r="AR39" s="81"/>
      <c r="AS39" s="80"/>
      <c r="AT39" s="77"/>
      <c r="AU39" s="114" t="s">
        <v>388</v>
      </c>
      <c r="AV39" s="114" t="s">
        <v>388</v>
      </c>
      <c r="AW39" s="114" t="s">
        <v>388</v>
      </c>
      <c r="AX39" s="114" t="s">
        <v>388</v>
      </c>
      <c r="AY39" s="114" t="s">
        <v>388</v>
      </c>
      <c r="AZ39" s="114" t="s">
        <v>388</v>
      </c>
      <c r="BA39" s="77"/>
      <c r="BB39" s="114" t="s">
        <v>388</v>
      </c>
      <c r="BC39" s="114" t="s">
        <v>388</v>
      </c>
      <c r="BD39" s="114" t="s">
        <v>388</v>
      </c>
      <c r="BE39" s="114" t="s">
        <v>388</v>
      </c>
      <c r="BF39" s="114" t="s">
        <v>388</v>
      </c>
      <c r="BG39" s="114" t="s">
        <v>388</v>
      </c>
      <c r="BH39" s="114" t="s">
        <v>388</v>
      </c>
      <c r="BI39" s="114" t="s">
        <v>388</v>
      </c>
      <c r="BJ39" s="114" t="s">
        <v>388</v>
      </c>
      <c r="BK39" s="114" t="s">
        <v>388</v>
      </c>
      <c r="BL39" s="114" t="s">
        <v>388</v>
      </c>
      <c r="BM39" s="114" t="s">
        <v>388</v>
      </c>
      <c r="BN39" s="114" t="s">
        <v>388</v>
      </c>
      <c r="BO39" s="77"/>
      <c r="BP39" s="114" t="s">
        <v>388</v>
      </c>
      <c r="BQ39" s="114" t="s">
        <v>388</v>
      </c>
      <c r="BR39" s="114" t="s">
        <v>388</v>
      </c>
      <c r="BS39" s="77"/>
      <c r="BT39" s="76" t="str">
        <f>IF(VLOOKUP($A39,Table1[#All],_xlfn.XMATCH(BT$12,Table1[#Headers],0,1),0)=0,"",VLOOKUP($A39,Table1[#All],_xlfn.XMATCH(BT$12,Table1[#Headers],0,1),0))</f>
        <v>DSS16)GA250495_B03-K01_3-197.pdf</v>
      </c>
      <c r="BU39" s="79" t="str">
        <f ca="1">HYPERLINK(Hulp!$C$3&amp;Beoordeling!BT39,BT39)</f>
        <v>DSS16)GA250495_B03-K01_3-197.pdf</v>
      </c>
      <c r="BV39" s="77"/>
      <c r="BW39" s="81"/>
      <c r="BX39" s="88"/>
      <c r="BY39" s="81"/>
    </row>
    <row r="40" spans="1:77" x14ac:dyDescent="0.3">
      <c r="A40" s="75" t="s">
        <v>1289</v>
      </c>
      <c r="B40" s="76" t="str">
        <f>IF(VLOOKUP($A40,Table1[#All],_xlfn.XMATCH(B$12,Table1[#Headers],0,1),0)=0,"",VLOOKUP($A40,Table1[#All],_xlfn.XMATCH(B$12,Table1[#Headers],0,1),0))</f>
        <v>DSS_voorbeeld</v>
      </c>
      <c r="C40" s="76" t="str">
        <f>IF(VLOOKUP($A40,Table1[#All],_xlfn.XMATCH(C$12,Table1[#Headers],0,1),0)=0,"",VLOOKUP($A40,Table1[#All],_xlfn.XMATCH(C$12,Table1[#Headers],0,1),0))</f>
        <v/>
      </c>
      <c r="D40" s="77"/>
      <c r="E40" s="76" t="str">
        <f>IF(VLOOKUP($A40,Table1[#All],_xlfn.XMATCH(E$12,Table1[#Headers],0,1),0)=0,"",VLOOKUP($A40,Table1[#All],_xlfn.XMATCH(E$12,Table1[#Headers],0,1),0))</f>
        <v>Polderdijk</v>
      </c>
      <c r="F40" s="76" t="str">
        <f>IF(VLOOKUP($A40,Table1[#All],_xlfn.XMATCH(F$12,Table1[#Headers],0,1),0)=0,"",VLOOKUP($A40,Table1[#All],_xlfn.XMATCH(F$12,Table1[#Headers],0,1),0))</f>
        <v>Regionaal</v>
      </c>
      <c r="G40" s="76" t="str">
        <f>IF(VLOOKUP($A40,Table1[#All],_xlfn.XMATCH(G$12,Table1[#Headers],0,1),0)=0,"",VLOOKUP($A40,Table1[#All],_xlfn.XMATCH(G$12,Table1[#Headers],0,1),0))</f>
        <v>B03-K01</v>
      </c>
      <c r="H40" s="76" t="str">
        <f>IF(VLOOKUP($A40,Table1[#All],_xlfn.XMATCH(H$12,Table1[#Headers],0,1),0)=0,"",VLOOKUP($A40,Table1[#All],_xlfn.XMATCH(H$12,Table1[#Headers],0,1),0))</f>
        <v>KR</v>
      </c>
      <c r="I40" s="76">
        <f>IF(VLOOKUP($A40,Table1[#All],_xlfn.XMATCH(I$12,Table1[#Headers],0,1),0)=0,"",VLOOKUP($A40,Table1[#All],_xlfn.XMATCH(I$12,Table1[#Headers],0,1),0))</f>
        <v>-3.8679999999999999</v>
      </c>
      <c r="J40" s="76">
        <f>IF(VLOOKUP($A40,Table1[#All],_xlfn.XMATCH(J$12,Table1[#Headers],0,1),0)=0,"",VLOOKUP($A40,Table1[#All],_xlfn.XMATCH(J$12,Table1[#Headers],0,1),0))</f>
        <v>2</v>
      </c>
      <c r="K40" s="77"/>
      <c r="L40" s="76" t="str">
        <f>IF(VLOOKUP($A40,Table1[#All],_xlfn.XMATCH(L$12,Table1[#Headers],0,1),0)=0,"",VLOOKUP($A40,Table1[#All],_xlfn.XMATCH(L$12,Table1[#Headers],0,1),0))</f>
        <v>Veen, plantenresten, weinig, bruin, donker, Pulsinstallatie machinaal, Laag</v>
      </c>
      <c r="M40" s="76" t="str">
        <f>IF(VLOOKUP($A40,Table1[#All],_xlfn.XMATCH(M$12,Table1[#Headers],0,1),0)=0,"",VLOOKUP($A40,Table1[#All],_xlfn.XMATCH(M$12,Table1[#Headers],0,1),0))</f>
        <v/>
      </c>
      <c r="N40" s="76" t="str">
        <f>IF(VLOOKUP($A40,Table1[#All],_xlfn.XMATCH(N$12,Table1[#Headers],0,1),0)=0,"",VLOOKUP($A40,Table1[#All],_xlfn.XMATCH(N$12,Table1[#Headers],0,1),0))</f>
        <v/>
      </c>
      <c r="O40" s="76" t="str">
        <f>IF(VLOOKUP($A40,Table1[#All],_xlfn.XMATCH(O$12,Table1[#Headers],0,1),0)=0,"",VLOOKUP($A40,Table1[#All],_xlfn.XMATCH(O$12,Table1[#Headers],0,1),0))</f>
        <v/>
      </c>
      <c r="P40" s="76">
        <f>IF(VLOOKUP($A40,Table1[#All],_xlfn.XMATCH(P$12,Table1[#Headers],0,1),0)=0,"",VLOOKUP($A40,Table1[#All],_xlfn.XMATCH(P$12,Table1[#Headers],0,1),0))</f>
        <v>8.8959659050170519</v>
      </c>
      <c r="Q40" s="76">
        <f>IF(VLOOKUP($A40,Table1[#All],_xlfn.XMATCH(Q$12,Table1[#Headers],0,1),0)=0,"",VLOOKUP($A40,Table1[#All],_xlfn.XMATCH(Q$12,Table1[#Headers],0,1),0))</f>
        <v>1.1127252345658769</v>
      </c>
      <c r="R40" s="76">
        <f>IF(VLOOKUP($A40,Table1[#All],_xlfn.XMATCH(R$12,Table1[#Headers],0,1),0)=0,"",VLOOKUP($A40,Table1[#All],_xlfn.XMATCH(R$12,Table1[#Headers],0,1),0))</f>
        <v>699.47552447552448</v>
      </c>
      <c r="S40" s="76">
        <f>IF(VLOOKUP($A40,Table1[#All],_xlfn.XMATCH(S$12,Table1[#Headers],0,1),0)=0,"",VLOOKUP($A40,Table1[#All],_xlfn.XMATCH(S$12,Table1[#Headers],0,1),0))</f>
        <v>9.8000000000000007</v>
      </c>
      <c r="T40" s="76">
        <f>IF(VLOOKUP($A40,Table1[#All],_xlfn.XMATCH(T$12,Table1[#Headers],0,1),0)=0,"",VLOOKUP($A40,Table1[#All],_xlfn.XMATCH(T$12,Table1[#Headers],0,1),0))</f>
        <v>1.2</v>
      </c>
      <c r="U40" s="76">
        <f>IF(VLOOKUP($A40,Table1[#All],_xlfn.XMATCH(U$12,Table1[#Headers],0,1),0)=0,"",VLOOKUP($A40,Table1[#All],_xlfn.XMATCH(U$12,Table1[#Headers],0,1),0))</f>
        <v>713.5</v>
      </c>
      <c r="V40" s="77"/>
      <c r="W40" s="76">
        <f>IF(VLOOKUP($A40,Table1[#All],_xlfn.XMATCH(W$12,Table1[#Headers],0,1),0)=0,"",VLOOKUP($A40,Table1[#All],_xlfn.XMATCH(W$12,Table1[#Headers],0,1),0))</f>
        <v>13</v>
      </c>
      <c r="X40" s="76" t="str">
        <f>IF(VLOOKUP($A40,Table1[#All],_xlfn.XMATCH(X$12,Table1[#Headers],0,1),0)=0,"",VLOOKUP($A40,Table1[#All],_xlfn.XMATCH(X$12,Table1[#Headers],0,1),0))</f>
        <v/>
      </c>
      <c r="Y40" s="76" t="str">
        <f>IF(VLOOKUP($A40,Table1[#All],_xlfn.XMATCH(Y$12,Table1[#Headers],0,1),0)=0,"",VLOOKUP($A40,Table1[#All],_xlfn.XMATCH(Y$12,Table1[#Headers],0,1),0))</f>
        <v/>
      </c>
      <c r="Z40" s="76" t="str">
        <f>IF(VLOOKUP($A40,Table1[#All],_xlfn.XMATCH(Z$12,Table1[#Headers],0,1),0)=0,"",VLOOKUP($A40,Table1[#All],_xlfn.XMATCH(Z$12,Table1[#Headers],0,1),0))</f>
        <v/>
      </c>
      <c r="AA40" s="76" t="str">
        <f>IF(VLOOKUP($A40,Table1[#All],_xlfn.XMATCH(AA$12,Table1[#Headers],0,1),0)=0,"",VLOOKUP($A40,Table1[#All],_xlfn.XMATCH(AA$12,Table1[#Headers],0,1),0))</f>
        <v/>
      </c>
      <c r="AB40" s="76" t="str">
        <f>IF(VLOOKUP($A40,Table1[#All],_xlfn.XMATCH(AB$12,Table1[#Headers],0,1),0)=0,"",VLOOKUP($A40,Table1[#All],_xlfn.XMATCH(AB$12,Table1[#Headers],0,1),0))</f>
        <v/>
      </c>
      <c r="AC40" s="76" t="str">
        <f>IF(VLOOKUP($A40,Table1[#All],_xlfn.XMATCH(AC$12,Table1[#Headers],0,1),0)=0,"",VLOOKUP($A40,Table1[#All],_xlfn.XMATCH(AC$12,Table1[#Headers],0,1),0))</f>
        <v/>
      </c>
      <c r="AD40" s="77"/>
      <c r="AE40" s="76" t="str">
        <f>IF(VLOOKUP($A40,Table1[#All],_xlfn.XMATCH(AE$12,Table1[#Headers],0,1),0)=0,"",VLOOKUP($A40,Table1[#All],_xlfn.XMATCH(AE$12,Table1[#Headers],0,1),0))</f>
        <v/>
      </c>
      <c r="AF40" s="76" t="str">
        <f>IF(VLOOKUP($A40,Table1[#All],_xlfn.XMATCH(AF$12,Table1[#Headers],0,1),0)=0,"",VLOOKUP($A40,Table1[#All],_xlfn.XMATCH(AF$12,Table1[#Headers],0,1),0))</f>
        <v/>
      </c>
      <c r="AG40" s="76" t="str">
        <f>IF(VLOOKUP($A40,Table1[#All],_xlfn.XMATCH(AG$12,Table1[#Headers],0,1),0)=0,"",VLOOKUP($A40,Table1[#All],_xlfn.XMATCH(AG$12,Table1[#Headers],0,1),0))</f>
        <v/>
      </c>
      <c r="AH40" s="76" t="str">
        <f>IF(VLOOKUP($A40,Table1[#All],_xlfn.XMATCH(AH$12,Table1[#Headers],0,1),0)=0,"",VLOOKUP($A40,Table1[#All],_xlfn.XMATCH(AH$12,Table1[#Headers],0,1),0))</f>
        <v/>
      </c>
      <c r="AI40" s="77"/>
      <c r="AJ40" s="78">
        <f>IF(VLOOKUP($A40,Table1[#All],_xlfn.XMATCH(AJ$12,Table1[#Headers],0,1),0)=0,"",VLOOKUP($A40,Table1[#All],_xlfn.XMATCH(AJ$12,Table1[#Headers],0,1),0))</f>
        <v>25.5</v>
      </c>
      <c r="AK40" s="78">
        <f t="shared" si="10"/>
        <v>12.5</v>
      </c>
      <c r="AL40" s="76" t="str">
        <f>IF(VLOOKUP($A40,Table1[#All],_xlfn.XMATCH(AL$12,Table1[#Headers],0,1),0)=0,"",VLOOKUP($A40,Table1[#All],_xlfn.XMATCH(AL$12,Table1[#Headers],0,1),0))</f>
        <v/>
      </c>
      <c r="AM40" s="77"/>
      <c r="AN40" s="76" t="str">
        <f>IF(VLOOKUP($A40,Table1[#All],_xlfn.XMATCH(AN$12,Table1[#Headers],0,1),0)=0,"",VLOOKUP($A40,Table1[#All],_xlfn.XMATCH(AN$12,Table1[#Headers],0,1),0))</f>
        <v>OED_CRS51)GA250495_B03-K01_4-954.pdf</v>
      </c>
      <c r="AO40" s="79" t="str">
        <f ca="1">HYPERLINK(Hulp!$C$5&amp;Beoordeling!AN40,MID(AN40,1,30))</f>
        <v>OED_CRS51)GA250495_B03-K01_4-9</v>
      </c>
      <c r="AP40" s="76">
        <f>IF(VLOOKUP($A40,Table1[#All],_xlfn.XMATCH(AP$12,Table1[#Headers],0,1),0)=0,"",VLOOKUP($A40,Table1[#All],_xlfn.XMATCH(AP$12,Table1[#Headers],0,1),0))</f>
        <v>25.5</v>
      </c>
      <c r="AQ40" s="80"/>
      <c r="AR40" s="81"/>
      <c r="AS40" s="80"/>
      <c r="AT40" s="77"/>
      <c r="AU40" s="114" t="s">
        <v>388</v>
      </c>
      <c r="AV40" s="114" t="s">
        <v>388</v>
      </c>
      <c r="AW40" s="114" t="s">
        <v>388</v>
      </c>
      <c r="AX40" s="114" t="s">
        <v>388</v>
      </c>
      <c r="AY40" s="114" t="s">
        <v>388</v>
      </c>
      <c r="AZ40" s="114" t="s">
        <v>388</v>
      </c>
      <c r="BA40" s="77"/>
      <c r="BB40" s="114" t="s">
        <v>388</v>
      </c>
      <c r="BC40" s="114" t="s">
        <v>388</v>
      </c>
      <c r="BD40" s="114" t="s">
        <v>388</v>
      </c>
      <c r="BE40" s="114" t="s">
        <v>388</v>
      </c>
      <c r="BF40" s="114" t="s">
        <v>388</v>
      </c>
      <c r="BG40" s="114" t="s">
        <v>388</v>
      </c>
      <c r="BH40" s="114" t="s">
        <v>388</v>
      </c>
      <c r="BI40" s="114" t="s">
        <v>388</v>
      </c>
      <c r="BJ40" s="114" t="s">
        <v>388</v>
      </c>
      <c r="BK40" s="114" t="s">
        <v>388</v>
      </c>
      <c r="BL40" s="114" t="s">
        <v>388</v>
      </c>
      <c r="BM40" s="114" t="s">
        <v>388</v>
      </c>
      <c r="BN40" s="114" t="s">
        <v>388</v>
      </c>
      <c r="BO40" s="77"/>
      <c r="BP40" s="114" t="s">
        <v>388</v>
      </c>
      <c r="BQ40" s="114" t="s">
        <v>388</v>
      </c>
      <c r="BR40" s="114" t="s">
        <v>388</v>
      </c>
      <c r="BS40" s="77"/>
      <c r="BT40" s="76" t="str">
        <f>IF(VLOOKUP($A40,Table1[#All],_xlfn.XMATCH(BT$12,Table1[#Headers],0,1),0)=0,"",VLOOKUP($A40,Table1[#All],_xlfn.XMATCH(BT$12,Table1[#Headers],0,1),0))</f>
        <v>DSS17)GA250495_B03-K01_4-954.pdf</v>
      </c>
      <c r="BU40" s="79" t="str">
        <f ca="1">HYPERLINK(Hulp!$C$3&amp;Beoordeling!BT40,BT40)</f>
        <v>DSS17)GA250495_B03-K01_4-954.pdf</v>
      </c>
      <c r="BV40" s="77"/>
      <c r="BW40" s="81"/>
      <c r="BX40" s="81"/>
      <c r="BY40" s="81"/>
    </row>
    <row r="41" spans="1:77" x14ac:dyDescent="0.3">
      <c r="A41" s="75" t="s">
        <v>1290</v>
      </c>
      <c r="B41" s="76" t="str">
        <f>IF(VLOOKUP($A41,Table1[#All],_xlfn.XMATCH(B$12,Table1[#Headers],0,1),0)=0,"",VLOOKUP($A41,Table1[#All],_xlfn.XMATCH(B$12,Table1[#Headers],0,1),0))</f>
        <v>DSS_voorbeeld</v>
      </c>
      <c r="C41" s="76" t="str">
        <f>IF(VLOOKUP($A41,Table1[#All],_xlfn.XMATCH(C$12,Table1[#Headers],0,1),0)=0,"",VLOOKUP($A41,Table1[#All],_xlfn.XMATCH(C$12,Table1[#Headers],0,1),0))</f>
        <v/>
      </c>
      <c r="D41" s="77"/>
      <c r="E41" s="76" t="str">
        <f>IF(VLOOKUP($A41,Table1[#All],_xlfn.XMATCH(E$12,Table1[#Headers],0,1),0)=0,"",VLOOKUP($A41,Table1[#All],_xlfn.XMATCH(E$12,Table1[#Headers],0,1),0))</f>
        <v>Polderdijk</v>
      </c>
      <c r="F41" s="76" t="str">
        <f>IF(VLOOKUP($A41,Table1[#All],_xlfn.XMATCH(F$12,Table1[#Headers],0,1),0)=0,"",VLOOKUP($A41,Table1[#All],_xlfn.XMATCH(F$12,Table1[#Headers],0,1),0))</f>
        <v>Regionaal</v>
      </c>
      <c r="G41" s="76" t="str">
        <f>IF(VLOOKUP($A41,Table1[#All],_xlfn.XMATCH(G$12,Table1[#Headers],0,1),0)=0,"",VLOOKUP($A41,Table1[#All],_xlfn.XMATCH(G$12,Table1[#Headers],0,1),0))</f>
        <v>B03-K01</v>
      </c>
      <c r="H41" s="76" t="str">
        <f>IF(VLOOKUP($A41,Table1[#All],_xlfn.XMATCH(H$12,Table1[#Headers],0,1),0)=0,"",VLOOKUP($A41,Table1[#All],_xlfn.XMATCH(H$12,Table1[#Headers],0,1),0))</f>
        <v>KR</v>
      </c>
      <c r="I41" s="76">
        <f>IF(VLOOKUP($A41,Table1[#All],_xlfn.XMATCH(I$12,Table1[#Headers],0,1),0)=0,"",VLOOKUP($A41,Table1[#All],_xlfn.XMATCH(I$12,Table1[#Headers],0,1),0))</f>
        <v>-4.2679999999999998</v>
      </c>
      <c r="J41" s="76">
        <f>IF(VLOOKUP($A41,Table1[#All],_xlfn.XMATCH(J$12,Table1[#Headers],0,1),0)=0,"",VLOOKUP($A41,Table1[#All],_xlfn.XMATCH(J$12,Table1[#Headers],0,1),0))</f>
        <v>2.4</v>
      </c>
      <c r="K41" s="77"/>
      <c r="L41" s="76" t="str">
        <f>IF(VLOOKUP($A41,Table1[#All],_xlfn.XMATCH(L$12,Table1[#Headers],0,1),0)=0,"",VLOOKUP($A41,Table1[#All],_xlfn.XMATCH(L$12,Table1[#Headers],0,1),0))</f>
        <v>Veen, plantenresten, weinig, bruin, donker, Pulsinstallatie machinaal, Geen sterkte</v>
      </c>
      <c r="M41" s="76" t="str">
        <f>IF(VLOOKUP($A41,Table1[#All],_xlfn.XMATCH(M$12,Table1[#Headers],0,1),0)=0,"",VLOOKUP($A41,Table1[#All],_xlfn.XMATCH(M$12,Table1[#Headers],0,1),0))</f>
        <v/>
      </c>
      <c r="N41" s="76" t="str">
        <f>IF(VLOOKUP($A41,Table1[#All],_xlfn.XMATCH(N$12,Table1[#Headers],0,1),0)=0,"",VLOOKUP($A41,Table1[#All],_xlfn.XMATCH(N$12,Table1[#Headers],0,1),0))</f>
        <v/>
      </c>
      <c r="O41" s="76" t="str">
        <f>IF(VLOOKUP($A41,Table1[#All],_xlfn.XMATCH(O$12,Table1[#Headers],0,1),0)=0,"",VLOOKUP($A41,Table1[#All],_xlfn.XMATCH(O$12,Table1[#Headers],0,1),0))</f>
        <v/>
      </c>
      <c r="P41" s="76">
        <f>IF(VLOOKUP($A41,Table1[#All],_xlfn.XMATCH(P$12,Table1[#Headers],0,1),0)=0,"",VLOOKUP($A41,Table1[#All],_xlfn.XMATCH(P$12,Table1[#Headers],0,1),0))</f>
        <v>9.9445494056367227</v>
      </c>
      <c r="Q41" s="76">
        <f>IF(VLOOKUP($A41,Table1[#All],_xlfn.XMATCH(Q$12,Table1[#Headers],0,1),0)=0,"",VLOOKUP($A41,Table1[#All],_xlfn.XMATCH(Q$12,Table1[#Headers],0,1),0))</f>
        <v>1.8155047422376469</v>
      </c>
      <c r="R41" s="76">
        <f>IF(VLOOKUP($A41,Table1[#All],_xlfn.XMATCH(R$12,Table1[#Headers],0,1),0)=0,"",VLOOKUP($A41,Table1[#All],_xlfn.XMATCH(R$12,Table1[#Headers],0,1),0))</f>
        <v>447.75672981056817</v>
      </c>
      <c r="S41" s="76" t="str">
        <f>IF(VLOOKUP($A41,Table1[#All],_xlfn.XMATCH(S$12,Table1[#Headers],0,1),0)=0,"",VLOOKUP($A41,Table1[#All],_xlfn.XMATCH(S$12,Table1[#Headers],0,1),0))</f>
        <v/>
      </c>
      <c r="T41" s="76" t="str">
        <f>IF(VLOOKUP($A41,Table1[#All],_xlfn.XMATCH(T$12,Table1[#Headers],0,1),0)=0,"",VLOOKUP($A41,Table1[#All],_xlfn.XMATCH(T$12,Table1[#Headers],0,1),0))</f>
        <v/>
      </c>
      <c r="U41" s="76" t="str">
        <f>IF(VLOOKUP($A41,Table1[#All],_xlfn.XMATCH(U$12,Table1[#Headers],0,1),0)=0,"",VLOOKUP($A41,Table1[#All],_xlfn.XMATCH(U$12,Table1[#Headers],0,1),0))</f>
        <v/>
      </c>
      <c r="V41" s="77"/>
      <c r="W41" s="76">
        <f>IF(VLOOKUP($A41,Table1[#All],_xlfn.XMATCH(W$12,Table1[#Headers],0,1),0)=0,"",VLOOKUP($A41,Table1[#All],_xlfn.XMATCH(W$12,Table1[#Headers],0,1),0))</f>
        <v>13.5</v>
      </c>
      <c r="X41" s="76" t="str">
        <f>IF(VLOOKUP($A41,Table1[#All],_xlfn.XMATCH(X$12,Table1[#Headers],0,1),0)=0,"",VLOOKUP($A41,Table1[#All],_xlfn.XMATCH(X$12,Table1[#Headers],0,1),0))</f>
        <v/>
      </c>
      <c r="Y41" s="76" t="str">
        <f>IF(VLOOKUP($A41,Table1[#All],_xlfn.XMATCH(Y$12,Table1[#Headers],0,1),0)=0,"",VLOOKUP($A41,Table1[#All],_xlfn.XMATCH(Y$12,Table1[#Headers],0,1),0))</f>
        <v/>
      </c>
      <c r="Z41" s="76" t="str">
        <f>IF(VLOOKUP($A41,Table1[#All],_xlfn.XMATCH(Z$12,Table1[#Headers],0,1),0)=0,"",VLOOKUP($A41,Table1[#All],_xlfn.XMATCH(Z$12,Table1[#Headers],0,1),0))</f>
        <v/>
      </c>
      <c r="AA41" s="76" t="str">
        <f>IF(VLOOKUP($A41,Table1[#All],_xlfn.XMATCH(AA$12,Table1[#Headers],0,1),0)=0,"",VLOOKUP($A41,Table1[#All],_xlfn.XMATCH(AA$12,Table1[#Headers],0,1),0))</f>
        <v/>
      </c>
      <c r="AB41" s="76" t="str">
        <f>IF(VLOOKUP($A41,Table1[#All],_xlfn.XMATCH(AB$12,Table1[#Headers],0,1),0)=0,"",VLOOKUP($A41,Table1[#All],_xlfn.XMATCH(AB$12,Table1[#Headers],0,1),0))</f>
        <v/>
      </c>
      <c r="AC41" s="76" t="str">
        <f>IF(VLOOKUP($A41,Table1[#All],_xlfn.XMATCH(AC$12,Table1[#Headers],0,1),0)=0,"",VLOOKUP($A41,Table1[#All],_xlfn.XMATCH(AC$12,Table1[#Headers],0,1),0))</f>
        <v/>
      </c>
      <c r="AD41" s="77"/>
      <c r="AE41" s="76" t="str">
        <f>IF(VLOOKUP($A41,Table1[#All],_xlfn.XMATCH(AE$12,Table1[#Headers],0,1),0)=0,"",VLOOKUP($A41,Table1[#All],_xlfn.XMATCH(AE$12,Table1[#Headers],0,1),0))</f>
        <v/>
      </c>
      <c r="AF41" s="76" t="str">
        <f>IF(VLOOKUP($A41,Table1[#All],_xlfn.XMATCH(AF$12,Table1[#Headers],0,1),0)=0,"",VLOOKUP($A41,Table1[#All],_xlfn.XMATCH(AF$12,Table1[#Headers],0,1),0))</f>
        <v/>
      </c>
      <c r="AG41" s="76" t="str">
        <f>IF(VLOOKUP($A41,Table1[#All],_xlfn.XMATCH(AG$12,Table1[#Headers],0,1),0)=0,"",VLOOKUP($A41,Table1[#All],_xlfn.XMATCH(AG$12,Table1[#Headers],0,1),0))</f>
        <v/>
      </c>
      <c r="AH41" s="76" t="str">
        <f>IF(VLOOKUP($A41,Table1[#All],_xlfn.XMATCH(AH$12,Table1[#Headers],0,1),0)=0,"",VLOOKUP($A41,Table1[#All],_xlfn.XMATCH(AH$12,Table1[#Headers],0,1),0))</f>
        <v/>
      </c>
      <c r="AI41" s="77"/>
      <c r="AJ41" s="78">
        <f>IF(VLOOKUP($A41,Table1[#All],_xlfn.XMATCH(AJ$12,Table1[#Headers],0,1),0)=0,"",VLOOKUP($A41,Table1[#All],_xlfn.XMATCH(AJ$12,Table1[#Headers],0,1),0))</f>
        <v>23.25</v>
      </c>
      <c r="AK41" s="78">
        <f t="shared" si="10"/>
        <v>9.75</v>
      </c>
      <c r="AL41" s="76" t="str">
        <f>IF(VLOOKUP($A41,Table1[#All],_xlfn.XMATCH(AL$12,Table1[#Headers],0,1),0)=0,"",VLOOKUP($A41,Table1[#All],_xlfn.XMATCH(AL$12,Table1[#Headers],0,1),0))</f>
        <v/>
      </c>
      <c r="AM41" s="77"/>
      <c r="AN41" s="76" t="str">
        <f>IF(VLOOKUP($A41,Table1[#All],_xlfn.XMATCH(AN$12,Table1[#Headers],0,1),0)=0,"",VLOOKUP($A41,Table1[#All],_xlfn.XMATCH(AN$12,Table1[#Headers],0,1),0))</f>
        <v/>
      </c>
      <c r="AO41" s="79" t="str">
        <f ca="1">HYPERLINK(Hulp!$C$5&amp;Beoordeling!AN41,MID(AN41,1,30))</f>
        <v/>
      </c>
      <c r="AP41" s="76" t="str">
        <f>IF(VLOOKUP($A41,Table1[#All],_xlfn.XMATCH(AP$12,Table1[#Headers],0,1),0)=0,"",VLOOKUP($A41,Table1[#All],_xlfn.XMATCH(AP$12,Table1[#Headers],0,1),0))</f>
        <v/>
      </c>
      <c r="AQ41" s="80"/>
      <c r="AR41" s="81"/>
      <c r="AS41" s="80"/>
      <c r="AT41" s="77"/>
      <c r="AU41" s="114" t="s">
        <v>388</v>
      </c>
      <c r="AV41" s="114" t="s">
        <v>388</v>
      </c>
      <c r="AW41" s="114" t="s">
        <v>388</v>
      </c>
      <c r="AX41" s="114" t="s">
        <v>388</v>
      </c>
      <c r="AY41" s="114" t="s">
        <v>388</v>
      </c>
      <c r="AZ41" s="114" t="s">
        <v>388</v>
      </c>
      <c r="BA41" s="77"/>
      <c r="BB41" s="114" t="s">
        <v>388</v>
      </c>
      <c r="BC41" s="114" t="s">
        <v>388</v>
      </c>
      <c r="BD41" s="114" t="s">
        <v>388</v>
      </c>
      <c r="BE41" s="114" t="s">
        <v>388</v>
      </c>
      <c r="BF41" s="114" t="s">
        <v>388</v>
      </c>
      <c r="BG41" s="114" t="s">
        <v>388</v>
      </c>
      <c r="BH41" s="114" t="s">
        <v>388</v>
      </c>
      <c r="BI41" s="114" t="s">
        <v>388</v>
      </c>
      <c r="BJ41" s="114" t="s">
        <v>388</v>
      </c>
      <c r="BK41" s="114" t="s">
        <v>388</v>
      </c>
      <c r="BL41" s="114" t="s">
        <v>388</v>
      </c>
      <c r="BM41" s="114" t="s">
        <v>388</v>
      </c>
      <c r="BN41" s="114" t="s">
        <v>388</v>
      </c>
      <c r="BO41" s="77"/>
      <c r="BP41" s="114" t="s">
        <v>388</v>
      </c>
      <c r="BQ41" s="114" t="s">
        <v>388</v>
      </c>
      <c r="BR41" s="114" t="s">
        <v>388</v>
      </c>
      <c r="BS41" s="77"/>
      <c r="BT41" s="76" t="str">
        <f>IF(VLOOKUP($A41,Table1[#All],_xlfn.XMATCH(BT$12,Table1[#Headers],0,1),0)=0,"",VLOOKUP($A41,Table1[#All],_xlfn.XMATCH(BT$12,Table1[#Headers],0,1),0))</f>
        <v>DSS18)GA250495_B03-K01_5-1001.pdf</v>
      </c>
      <c r="BU41" s="79" t="str">
        <f ca="1">HYPERLINK(Hulp!$C$3&amp;Beoordeling!BT41,BT41)</f>
        <v>DSS18)GA250495_B03-K01_5-1001.pdf</v>
      </c>
      <c r="BV41" s="77"/>
      <c r="BW41" s="81"/>
      <c r="BX41" s="81"/>
      <c r="BY41" s="81"/>
    </row>
    <row r="42" spans="1:77" x14ac:dyDescent="0.3">
      <c r="A42" s="75" t="s">
        <v>1291</v>
      </c>
      <c r="B42" s="76" t="str">
        <f>IF(VLOOKUP($A42,Table1[#All],_xlfn.XMATCH(B$12,Table1[#Headers],0,1),0)=0,"",VLOOKUP($A42,Table1[#All],_xlfn.XMATCH(B$12,Table1[#Headers],0,1),0))</f>
        <v>DSS_voorbeeld</v>
      </c>
      <c r="C42" s="76" t="str">
        <f>IF(VLOOKUP($A42,Table1[#All],_xlfn.XMATCH(C$12,Table1[#Headers],0,1),0)=0,"",VLOOKUP($A42,Table1[#All],_xlfn.XMATCH(C$12,Table1[#Headers],0,1),0))</f>
        <v/>
      </c>
      <c r="D42" s="77"/>
      <c r="E42" s="76" t="str">
        <f>IF(VLOOKUP($A42,Table1[#All],_xlfn.XMATCH(E$12,Table1[#Headers],0,1),0)=0,"",VLOOKUP($A42,Table1[#All],_xlfn.XMATCH(E$12,Table1[#Headers],0,1),0))</f>
        <v>Polderdijk</v>
      </c>
      <c r="F42" s="76" t="str">
        <f>IF(VLOOKUP($A42,Table1[#All],_xlfn.XMATCH(F$12,Table1[#Headers],0,1),0)=0,"",VLOOKUP($A42,Table1[#All],_xlfn.XMATCH(F$12,Table1[#Headers],0,1),0))</f>
        <v>Regionaal</v>
      </c>
      <c r="G42" s="76" t="str">
        <f>IF(VLOOKUP($A42,Table1[#All],_xlfn.XMATCH(G$12,Table1[#Headers],0,1),0)=0,"",VLOOKUP($A42,Table1[#All],_xlfn.XMATCH(G$12,Table1[#Headers],0,1),0))</f>
        <v>B03-K02</v>
      </c>
      <c r="H42" s="76" t="str">
        <f>IF(VLOOKUP($A42,Table1[#All],_xlfn.XMATCH(H$12,Table1[#Headers],0,1),0)=0,"",VLOOKUP($A42,Table1[#All],_xlfn.XMATCH(H$12,Table1[#Headers],0,1),0))</f>
        <v>KR</v>
      </c>
      <c r="I42" s="76">
        <f>IF(VLOOKUP($A42,Table1[#All],_xlfn.XMATCH(I$12,Table1[#Headers],0,1),0)=0,"",VLOOKUP($A42,Table1[#All],_xlfn.XMATCH(I$12,Table1[#Headers],0,1),0))</f>
        <v>-2.7040000000000002</v>
      </c>
      <c r="J42" s="76">
        <f>IF(VLOOKUP($A42,Table1[#All],_xlfn.XMATCH(J$12,Table1[#Headers],0,1),0)=0,"",VLOOKUP($A42,Table1[#All],_xlfn.XMATCH(J$12,Table1[#Headers],0,1),0))</f>
        <v>0.8</v>
      </c>
      <c r="K42" s="77"/>
      <c r="L42" s="76" t="str">
        <f>IF(VLOOKUP($A42,Table1[#All],_xlfn.XMATCH(L$12,Table1[#Headers],0,1),0)=0,"",VLOOKUP($A42,Table1[#All],_xlfn.XMATCH(L$12,Table1[#Headers],0,1),0))</f>
        <v>Veen, glas, weinig, bruin, donker, Pulsinstallatie machinaal, Geen sterkte</v>
      </c>
      <c r="M42" s="76" t="str">
        <f>IF(VLOOKUP($A42,Table1[#All],_xlfn.XMATCH(M$12,Table1[#Headers],0,1),0)=0,"",VLOOKUP($A42,Table1[#All],_xlfn.XMATCH(M$12,Table1[#Headers],0,1),0))</f>
        <v/>
      </c>
      <c r="N42" s="76" t="str">
        <f>IF(VLOOKUP($A42,Table1[#All],_xlfn.XMATCH(N$12,Table1[#Headers],0,1),0)=0,"",VLOOKUP($A42,Table1[#All],_xlfn.XMATCH(N$12,Table1[#Headers],0,1),0))</f>
        <v/>
      </c>
      <c r="O42" s="76" t="str">
        <f>IF(VLOOKUP($A42,Table1[#All],_xlfn.XMATCH(O$12,Table1[#Headers],0,1),0)=0,"",VLOOKUP($A42,Table1[#All],_xlfn.XMATCH(O$12,Table1[#Headers],0,1),0))</f>
        <v/>
      </c>
      <c r="P42" s="76">
        <f>IF(VLOOKUP($A42,Table1[#All],_xlfn.XMATCH(P$12,Table1[#Headers],0,1),0)=0,"",VLOOKUP($A42,Table1[#All],_xlfn.XMATCH(P$12,Table1[#Headers],0,1),0))</f>
        <v>10.2730971771394</v>
      </c>
      <c r="Q42" s="76">
        <f>IF(VLOOKUP($A42,Table1[#All],_xlfn.XMATCH(Q$12,Table1[#Headers],0,1),0)=0,"",VLOOKUP($A42,Table1[#All],_xlfn.XMATCH(Q$12,Table1[#Headers],0,1),0))</f>
        <v>2.247240007499244</v>
      </c>
      <c r="R42" s="76">
        <f>IF(VLOOKUP($A42,Table1[#All],_xlfn.XMATCH(R$12,Table1[#Headers],0,1),0)=0,"",VLOOKUP($A42,Table1[#All],_xlfn.XMATCH(R$12,Table1[#Headers],0,1),0))</f>
        <v>357.14285714285711</v>
      </c>
      <c r="S42" s="76" t="str">
        <f>IF(VLOOKUP($A42,Table1[#All],_xlfn.XMATCH(S$12,Table1[#Headers],0,1),0)=0,"",VLOOKUP($A42,Table1[#All],_xlfn.XMATCH(S$12,Table1[#Headers],0,1),0))</f>
        <v/>
      </c>
      <c r="T42" s="76" t="str">
        <f>IF(VLOOKUP($A42,Table1[#All],_xlfn.XMATCH(T$12,Table1[#Headers],0,1),0)=0,"",VLOOKUP($A42,Table1[#All],_xlfn.XMATCH(T$12,Table1[#Headers],0,1),0))</f>
        <v/>
      </c>
      <c r="U42" s="76" t="str">
        <f>IF(VLOOKUP($A42,Table1[#All],_xlfn.XMATCH(U$12,Table1[#Headers],0,1),0)=0,"",VLOOKUP($A42,Table1[#All],_xlfn.XMATCH(U$12,Table1[#Headers],0,1),0))</f>
        <v/>
      </c>
      <c r="V42" s="77"/>
      <c r="W42" s="76">
        <f>IF(VLOOKUP($A42,Table1[#All],_xlfn.XMATCH(W$12,Table1[#Headers],0,1),0)=0,"",VLOOKUP($A42,Table1[#All],_xlfn.XMATCH(W$12,Table1[#Headers],0,1),0))</f>
        <v>5.9</v>
      </c>
      <c r="X42" s="76" t="str">
        <f>IF(VLOOKUP($A42,Table1[#All],_xlfn.XMATCH(X$12,Table1[#Headers],0,1),0)=0,"",VLOOKUP($A42,Table1[#All],_xlfn.XMATCH(X$12,Table1[#Headers],0,1),0))</f>
        <v/>
      </c>
      <c r="Y42" s="76" t="str">
        <f>IF(VLOOKUP($A42,Table1[#All],_xlfn.XMATCH(Y$12,Table1[#Headers],0,1),0)=0,"",VLOOKUP($A42,Table1[#All],_xlfn.XMATCH(Y$12,Table1[#Headers],0,1),0))</f>
        <v/>
      </c>
      <c r="Z42" s="76" t="str">
        <f>IF(VLOOKUP($A42,Table1[#All],_xlfn.XMATCH(Z$12,Table1[#Headers],0,1),0)=0,"",VLOOKUP($A42,Table1[#All],_xlfn.XMATCH(Z$12,Table1[#Headers],0,1),0))</f>
        <v/>
      </c>
      <c r="AA42" s="76" t="str">
        <f>IF(VLOOKUP($A42,Table1[#All],_xlfn.XMATCH(AA$12,Table1[#Headers],0,1),0)=0,"",VLOOKUP($A42,Table1[#All],_xlfn.XMATCH(AA$12,Table1[#Headers],0,1),0))</f>
        <v/>
      </c>
      <c r="AB42" s="76" t="str">
        <f>IF(VLOOKUP($A42,Table1[#All],_xlfn.XMATCH(AB$12,Table1[#Headers],0,1),0)=0,"",VLOOKUP($A42,Table1[#All],_xlfn.XMATCH(AB$12,Table1[#Headers],0,1),0))</f>
        <v/>
      </c>
      <c r="AC42" s="76" t="str">
        <f>IF(VLOOKUP($A42,Table1[#All],_xlfn.XMATCH(AC$12,Table1[#Headers],0,1),0)=0,"",VLOOKUP($A42,Table1[#All],_xlfn.XMATCH(AC$12,Table1[#Headers],0,1),0))</f>
        <v/>
      </c>
      <c r="AD42" s="77"/>
      <c r="AE42" s="76" t="str">
        <f>IF(VLOOKUP($A42,Table1[#All],_xlfn.XMATCH(AE$12,Table1[#Headers],0,1),0)=0,"",VLOOKUP($A42,Table1[#All],_xlfn.XMATCH(AE$12,Table1[#Headers],0,1),0))</f>
        <v/>
      </c>
      <c r="AF42" s="76" t="str">
        <f>IF(VLOOKUP($A42,Table1[#All],_xlfn.XMATCH(AF$12,Table1[#Headers],0,1),0)=0,"",VLOOKUP($A42,Table1[#All],_xlfn.XMATCH(AF$12,Table1[#Headers],0,1),0))</f>
        <v/>
      </c>
      <c r="AG42" s="76" t="str">
        <f>IF(VLOOKUP($A42,Table1[#All],_xlfn.XMATCH(AG$12,Table1[#Headers],0,1),0)=0,"",VLOOKUP($A42,Table1[#All],_xlfn.XMATCH(AG$12,Table1[#Headers],0,1),0))</f>
        <v/>
      </c>
      <c r="AH42" s="76" t="str">
        <f>IF(VLOOKUP($A42,Table1[#All],_xlfn.XMATCH(AH$12,Table1[#Headers],0,1),0)=0,"",VLOOKUP($A42,Table1[#All],_xlfn.XMATCH(AH$12,Table1[#Headers],0,1),0))</f>
        <v/>
      </c>
      <c r="AI42" s="77"/>
      <c r="AJ42" s="78">
        <f>IF(VLOOKUP($A42,Table1[#All],_xlfn.XMATCH(AJ$12,Table1[#Headers],0,1),0)=0,"",VLOOKUP($A42,Table1[#All],_xlfn.XMATCH(AJ$12,Table1[#Headers],0,1),0))</f>
        <v>30</v>
      </c>
      <c r="AK42" s="78">
        <f t="shared" si="10"/>
        <v>24.1</v>
      </c>
      <c r="AL42" s="76" t="str">
        <f>IF(VLOOKUP($A42,Table1[#All],_xlfn.XMATCH(AL$12,Table1[#Headers],0,1),0)=0,"",VLOOKUP($A42,Table1[#All],_xlfn.XMATCH(AL$12,Table1[#Headers],0,1),0))</f>
        <v/>
      </c>
      <c r="AM42" s="77"/>
      <c r="AN42" s="76" t="str">
        <f>IF(VLOOKUP($A42,Table1[#All],_xlfn.XMATCH(AN$12,Table1[#Headers],0,1),0)=0,"",VLOOKUP($A42,Table1[#All],_xlfn.XMATCH(AN$12,Table1[#Headers],0,1),0))</f>
        <v/>
      </c>
      <c r="AO42" s="79" t="str">
        <f ca="1">HYPERLINK(Hulp!$C$5&amp;Beoordeling!AN42,MID(AN42,1,30))</f>
        <v/>
      </c>
      <c r="AP42" s="76" t="str">
        <f>IF(VLOOKUP($A42,Table1[#All],_xlfn.XMATCH(AP$12,Table1[#Headers],0,1),0)=0,"",VLOOKUP($A42,Table1[#All],_xlfn.XMATCH(AP$12,Table1[#Headers],0,1),0))</f>
        <v/>
      </c>
      <c r="AQ42" s="80"/>
      <c r="AR42" s="81"/>
      <c r="AS42" s="80"/>
      <c r="AT42" s="77"/>
      <c r="AU42" s="114" t="s">
        <v>388</v>
      </c>
      <c r="AV42" s="114" t="s">
        <v>388</v>
      </c>
      <c r="AW42" s="114" t="s">
        <v>388</v>
      </c>
      <c r="AX42" s="114" t="s">
        <v>388</v>
      </c>
      <c r="AY42" s="114" t="s">
        <v>388</v>
      </c>
      <c r="AZ42" s="114" t="s">
        <v>388</v>
      </c>
      <c r="BA42" s="77"/>
      <c r="BB42" s="114" t="s">
        <v>388</v>
      </c>
      <c r="BC42" s="114" t="s">
        <v>388</v>
      </c>
      <c r="BD42" s="114" t="s">
        <v>388</v>
      </c>
      <c r="BE42" s="114" t="s">
        <v>388</v>
      </c>
      <c r="BF42" s="114" t="s">
        <v>388</v>
      </c>
      <c r="BG42" s="114" t="s">
        <v>388</v>
      </c>
      <c r="BH42" s="114" t="s">
        <v>388</v>
      </c>
      <c r="BI42" s="114" t="s">
        <v>388</v>
      </c>
      <c r="BJ42" s="114" t="s">
        <v>388</v>
      </c>
      <c r="BK42" s="114" t="s">
        <v>388</v>
      </c>
      <c r="BL42" s="114" t="s">
        <v>388</v>
      </c>
      <c r="BM42" s="114" t="s">
        <v>388</v>
      </c>
      <c r="BN42" s="114" t="s">
        <v>388</v>
      </c>
      <c r="BO42" s="77"/>
      <c r="BP42" s="114" t="s">
        <v>388</v>
      </c>
      <c r="BQ42" s="114" t="s">
        <v>388</v>
      </c>
      <c r="BR42" s="114" t="s">
        <v>388</v>
      </c>
      <c r="BS42" s="77"/>
      <c r="BT42" s="76" t="str">
        <f>IF(VLOOKUP($A42,Table1[#All],_xlfn.XMATCH(BT$12,Table1[#Headers],0,1),0)=0,"",VLOOKUP($A42,Table1[#All],_xlfn.XMATCH(BT$12,Table1[#Headers],0,1),0))</f>
        <v>DSS20)GA250495_B03-K02_1-E 201.pdf</v>
      </c>
      <c r="BU42" s="79" t="str">
        <f ca="1">HYPERLINK(Hulp!$C$3&amp;Beoordeling!BT42,BT42)</f>
        <v>DSS20)GA250495_B03-K02_1-E 201.pdf</v>
      </c>
      <c r="BV42" s="77"/>
      <c r="BW42" s="81"/>
      <c r="BX42" s="81"/>
      <c r="BY42" s="81"/>
    </row>
    <row r="43" spans="1:77" x14ac:dyDescent="0.3">
      <c r="A43" s="75" t="s">
        <v>1292</v>
      </c>
      <c r="B43" s="76" t="str">
        <f>IF(VLOOKUP($A43,Table1[#All],_xlfn.XMATCH(B$12,Table1[#Headers],0,1),0)=0,"",VLOOKUP($A43,Table1[#All],_xlfn.XMATCH(B$12,Table1[#Headers],0,1),0))</f>
        <v>DSS_voorbeeld</v>
      </c>
      <c r="C43" s="76" t="str">
        <f>IF(VLOOKUP($A43,Table1[#All],_xlfn.XMATCH(C$12,Table1[#Headers],0,1),0)=0,"",VLOOKUP($A43,Table1[#All],_xlfn.XMATCH(C$12,Table1[#Headers],0,1),0))</f>
        <v/>
      </c>
      <c r="D43" s="77"/>
      <c r="E43" s="76" t="str">
        <f>IF(VLOOKUP($A43,Table1[#All],_xlfn.XMATCH(E$12,Table1[#Headers],0,1),0)=0,"",VLOOKUP($A43,Table1[#All],_xlfn.XMATCH(E$12,Table1[#Headers],0,1),0))</f>
        <v>Polderdijk</v>
      </c>
      <c r="F43" s="76" t="str">
        <f>IF(VLOOKUP($A43,Table1[#All],_xlfn.XMATCH(F$12,Table1[#Headers],0,1),0)=0,"",VLOOKUP($A43,Table1[#All],_xlfn.XMATCH(F$12,Table1[#Headers],0,1),0))</f>
        <v>Regionaal</v>
      </c>
      <c r="G43" s="76" t="str">
        <f>IF(VLOOKUP($A43,Table1[#All],_xlfn.XMATCH(G$12,Table1[#Headers],0,1),0)=0,"",VLOOKUP($A43,Table1[#All],_xlfn.XMATCH(G$12,Table1[#Headers],0,1),0))</f>
        <v>B03-K02</v>
      </c>
      <c r="H43" s="76" t="str">
        <f>IF(VLOOKUP($A43,Table1[#All],_xlfn.XMATCH(H$12,Table1[#Headers],0,1),0)=0,"",VLOOKUP($A43,Table1[#All],_xlfn.XMATCH(H$12,Table1[#Headers],0,1),0))</f>
        <v>KR</v>
      </c>
      <c r="I43" s="76">
        <f>IF(VLOOKUP($A43,Table1[#All],_xlfn.XMATCH(I$12,Table1[#Headers],0,1),0)=0,"",VLOOKUP($A43,Table1[#All],_xlfn.XMATCH(I$12,Table1[#Headers],0,1),0))</f>
        <v>-3.1040000000000001</v>
      </c>
      <c r="J43" s="76">
        <f>IF(VLOOKUP($A43,Table1[#All],_xlfn.XMATCH(J$12,Table1[#Headers],0,1),0)=0,"",VLOOKUP($A43,Table1[#All],_xlfn.XMATCH(J$12,Table1[#Headers],0,1),0))</f>
        <v>1.2</v>
      </c>
      <c r="K43" s="77"/>
      <c r="L43" s="76" t="str">
        <f>IF(VLOOKUP($A43,Table1[#All],_xlfn.XMATCH(L$12,Table1[#Headers],0,1),0)=0,"",VLOOKUP($A43,Table1[#All],_xlfn.XMATCH(L$12,Table1[#Headers],0,1),0))</f>
        <v>Veen, bruin, donker, Pulsinstallatie machinaal, Laag</v>
      </c>
      <c r="M43" s="76" t="str">
        <f>IF(VLOOKUP($A43,Table1[#All],_xlfn.XMATCH(M$12,Table1[#Headers],0,1),0)=0,"",VLOOKUP($A43,Table1[#All],_xlfn.XMATCH(M$12,Table1[#Headers],0,1),0))</f>
        <v/>
      </c>
      <c r="N43" s="76" t="str">
        <f>IF(VLOOKUP($A43,Table1[#All],_xlfn.XMATCH(N$12,Table1[#Headers],0,1),0)=0,"",VLOOKUP($A43,Table1[#All],_xlfn.XMATCH(N$12,Table1[#Headers],0,1),0))</f>
        <v/>
      </c>
      <c r="O43" s="76" t="str">
        <f>IF(VLOOKUP($A43,Table1[#All],_xlfn.XMATCH(O$12,Table1[#Headers],0,1),0)=0,"",VLOOKUP($A43,Table1[#All],_xlfn.XMATCH(O$12,Table1[#Headers],0,1),0))</f>
        <v/>
      </c>
      <c r="P43" s="76">
        <f>IF(VLOOKUP($A43,Table1[#All],_xlfn.XMATCH(P$12,Table1[#Headers],0,1),0)=0,"",VLOOKUP($A43,Table1[#All],_xlfn.XMATCH(P$12,Table1[#Headers],0,1),0))</f>
        <v>9.1087037340743429</v>
      </c>
      <c r="Q43" s="76">
        <f>IF(VLOOKUP($A43,Table1[#All],_xlfn.XMATCH(Q$12,Table1[#Headers],0,1),0)=0,"",VLOOKUP($A43,Table1[#All],_xlfn.XMATCH(Q$12,Table1[#Headers],0,1),0))</f>
        <v>1.292699873371157</v>
      </c>
      <c r="R43" s="76">
        <f>IF(VLOOKUP($A43,Table1[#All],_xlfn.XMATCH(R$12,Table1[#Headers],0,1),0)=0,"",VLOOKUP($A43,Table1[#All],_xlfn.XMATCH(R$12,Table1[#Headers],0,1),0))</f>
        <v>604.62633451957311</v>
      </c>
      <c r="S43" s="76" t="str">
        <f>IF(VLOOKUP($A43,Table1[#All],_xlfn.XMATCH(S$12,Table1[#Headers],0,1),0)=0,"",VLOOKUP($A43,Table1[#All],_xlfn.XMATCH(S$12,Table1[#Headers],0,1),0))</f>
        <v/>
      </c>
      <c r="T43" s="76" t="str">
        <f>IF(VLOOKUP($A43,Table1[#All],_xlfn.XMATCH(T$12,Table1[#Headers],0,1),0)=0,"",VLOOKUP($A43,Table1[#All],_xlfn.XMATCH(T$12,Table1[#Headers],0,1),0))</f>
        <v/>
      </c>
      <c r="U43" s="76" t="str">
        <f>IF(VLOOKUP($A43,Table1[#All],_xlfn.XMATCH(U$12,Table1[#Headers],0,1),0)=0,"",VLOOKUP($A43,Table1[#All],_xlfn.XMATCH(U$12,Table1[#Headers],0,1),0))</f>
        <v/>
      </c>
      <c r="V43" s="77"/>
      <c r="W43" s="76">
        <f>IF(VLOOKUP($A43,Table1[#All],_xlfn.XMATCH(W$12,Table1[#Headers],0,1),0)=0,"",VLOOKUP($A43,Table1[#All],_xlfn.XMATCH(W$12,Table1[#Headers],0,1),0))</f>
        <v>6.1</v>
      </c>
      <c r="X43" s="76" t="str">
        <f>IF(VLOOKUP($A43,Table1[#All],_xlfn.XMATCH(X$12,Table1[#Headers],0,1),0)=0,"",VLOOKUP($A43,Table1[#All],_xlfn.XMATCH(X$12,Table1[#Headers],0,1),0))</f>
        <v/>
      </c>
      <c r="Y43" s="76" t="str">
        <f>IF(VLOOKUP($A43,Table1[#All],_xlfn.XMATCH(Y$12,Table1[#Headers],0,1),0)=0,"",VLOOKUP($A43,Table1[#All],_xlfn.XMATCH(Y$12,Table1[#Headers],0,1),0))</f>
        <v/>
      </c>
      <c r="Z43" s="76" t="str">
        <f>IF(VLOOKUP($A43,Table1[#All],_xlfn.XMATCH(Z$12,Table1[#Headers],0,1),0)=0,"",VLOOKUP($A43,Table1[#All],_xlfn.XMATCH(Z$12,Table1[#Headers],0,1),0))</f>
        <v/>
      </c>
      <c r="AA43" s="76" t="str">
        <f>IF(VLOOKUP($A43,Table1[#All],_xlfn.XMATCH(AA$12,Table1[#Headers],0,1),0)=0,"",VLOOKUP($A43,Table1[#All],_xlfn.XMATCH(AA$12,Table1[#Headers],0,1),0))</f>
        <v/>
      </c>
      <c r="AB43" s="76" t="str">
        <f>IF(VLOOKUP($A43,Table1[#All],_xlfn.XMATCH(AB$12,Table1[#Headers],0,1),0)=0,"",VLOOKUP($A43,Table1[#All],_xlfn.XMATCH(AB$12,Table1[#Headers],0,1),0))</f>
        <v/>
      </c>
      <c r="AC43" s="76" t="str">
        <f>IF(VLOOKUP($A43,Table1[#All],_xlfn.XMATCH(AC$12,Table1[#Headers],0,1),0)=0,"",VLOOKUP($A43,Table1[#All],_xlfn.XMATCH(AC$12,Table1[#Headers],0,1),0))</f>
        <v/>
      </c>
      <c r="AD43" s="77"/>
      <c r="AE43" s="76" t="str">
        <f>IF(VLOOKUP($A43,Table1[#All],_xlfn.XMATCH(AE$12,Table1[#Headers],0,1),0)=0,"",VLOOKUP($A43,Table1[#All],_xlfn.XMATCH(AE$12,Table1[#Headers],0,1),0))</f>
        <v/>
      </c>
      <c r="AF43" s="76" t="str">
        <f>IF(VLOOKUP($A43,Table1[#All],_xlfn.XMATCH(AF$12,Table1[#Headers],0,1),0)=0,"",VLOOKUP($A43,Table1[#All],_xlfn.XMATCH(AF$12,Table1[#Headers],0,1),0))</f>
        <v/>
      </c>
      <c r="AG43" s="76" t="str">
        <f>IF(VLOOKUP($A43,Table1[#All],_xlfn.XMATCH(AG$12,Table1[#Headers],0,1),0)=0,"",VLOOKUP($A43,Table1[#All],_xlfn.XMATCH(AG$12,Table1[#Headers],0,1),0))</f>
        <v/>
      </c>
      <c r="AH43" s="76" t="str">
        <f>IF(VLOOKUP($A43,Table1[#All],_xlfn.XMATCH(AH$12,Table1[#Headers],0,1),0)=0,"",VLOOKUP($A43,Table1[#All],_xlfn.XMATCH(AH$12,Table1[#Headers],0,1),0))</f>
        <v/>
      </c>
      <c r="AI43" s="77"/>
      <c r="AJ43" s="78">
        <f>IF(VLOOKUP($A43,Table1[#All],_xlfn.XMATCH(AJ$12,Table1[#Headers],0,1),0)=0,"",VLOOKUP($A43,Table1[#All],_xlfn.XMATCH(AJ$12,Table1[#Headers],0,1),0))</f>
        <v>30</v>
      </c>
      <c r="AK43" s="78">
        <f t="shared" si="10"/>
        <v>23.9</v>
      </c>
      <c r="AL43" s="76" t="str">
        <f>IF(VLOOKUP($A43,Table1[#All],_xlfn.XMATCH(AL$12,Table1[#Headers],0,1),0)=0,"",VLOOKUP($A43,Table1[#All],_xlfn.XMATCH(AL$12,Table1[#Headers],0,1),0))</f>
        <v/>
      </c>
      <c r="AM43" s="77"/>
      <c r="AN43" s="76" t="str">
        <f>IF(VLOOKUP($A43,Table1[#All],_xlfn.XMATCH(AN$12,Table1[#Headers],0,1),0)=0,"",VLOOKUP($A43,Table1[#All],_xlfn.XMATCH(AN$12,Table1[#Headers],0,1),0))</f>
        <v/>
      </c>
      <c r="AO43" s="79" t="str">
        <f ca="1">HYPERLINK(Hulp!$C$5&amp;Beoordeling!AN43,MID(AN43,1,30))</f>
        <v/>
      </c>
      <c r="AP43" s="76" t="str">
        <f>IF(VLOOKUP($A43,Table1[#All],_xlfn.XMATCH(AP$12,Table1[#Headers],0,1),0)=0,"",VLOOKUP($A43,Table1[#All],_xlfn.XMATCH(AP$12,Table1[#Headers],0,1),0))</f>
        <v/>
      </c>
      <c r="AQ43" s="80"/>
      <c r="AR43" s="81"/>
      <c r="AS43" s="80"/>
      <c r="AT43" s="77"/>
      <c r="AU43" s="114" t="s">
        <v>388</v>
      </c>
      <c r="AV43" s="114" t="s">
        <v>388</v>
      </c>
      <c r="AW43" s="114" t="s">
        <v>388</v>
      </c>
      <c r="AX43" s="114" t="s">
        <v>388</v>
      </c>
      <c r="AY43" s="114" t="s">
        <v>388</v>
      </c>
      <c r="AZ43" s="114" t="s">
        <v>388</v>
      </c>
      <c r="BA43" s="77"/>
      <c r="BB43" s="114" t="s">
        <v>388</v>
      </c>
      <c r="BC43" s="114" t="s">
        <v>388</v>
      </c>
      <c r="BD43" s="114" t="s">
        <v>388</v>
      </c>
      <c r="BE43" s="114" t="s">
        <v>388</v>
      </c>
      <c r="BF43" s="114" t="s">
        <v>388</v>
      </c>
      <c r="BG43" s="114" t="s">
        <v>388</v>
      </c>
      <c r="BH43" s="114" t="s">
        <v>388</v>
      </c>
      <c r="BI43" s="114" t="s">
        <v>388</v>
      </c>
      <c r="BJ43" s="114" t="s">
        <v>388</v>
      </c>
      <c r="BK43" s="114" t="s">
        <v>388</v>
      </c>
      <c r="BL43" s="114" t="s">
        <v>388</v>
      </c>
      <c r="BM43" s="114" t="s">
        <v>388</v>
      </c>
      <c r="BN43" s="114" t="s">
        <v>388</v>
      </c>
      <c r="BO43" s="77"/>
      <c r="BP43" s="114" t="s">
        <v>388</v>
      </c>
      <c r="BQ43" s="114" t="s">
        <v>388</v>
      </c>
      <c r="BR43" s="114" t="s">
        <v>388</v>
      </c>
      <c r="BS43" s="77"/>
      <c r="BT43" s="76" t="str">
        <f>IF(VLOOKUP($A43,Table1[#All],_xlfn.XMATCH(BT$12,Table1[#Headers],0,1),0)=0,"",VLOOKUP($A43,Table1[#All],_xlfn.XMATCH(BT$12,Table1[#Headers],0,1),0))</f>
        <v>DSS21)GA250495_B03-K02_2-507.pdf</v>
      </c>
      <c r="BU43" s="79" t="str">
        <f ca="1">HYPERLINK(Hulp!$C$3&amp;Beoordeling!BT43,BT43)</f>
        <v>DSS21)GA250495_B03-K02_2-507.pdf</v>
      </c>
      <c r="BV43" s="77"/>
      <c r="BW43" s="81"/>
      <c r="BX43" s="81"/>
      <c r="BY43" s="81"/>
    </row>
    <row r="44" spans="1:77" x14ac:dyDescent="0.3">
      <c r="A44" s="75" t="s">
        <v>1293</v>
      </c>
      <c r="B44" s="76" t="str">
        <f>IF(VLOOKUP($A44,Table1[#All],_xlfn.XMATCH(B$12,Table1[#Headers],0,1),0)=0,"",VLOOKUP($A44,Table1[#All],_xlfn.XMATCH(B$12,Table1[#Headers],0,1),0))</f>
        <v>DSS_voorbeeld</v>
      </c>
      <c r="C44" s="76" t="str">
        <f>IF(VLOOKUP($A44,Table1[#All],_xlfn.XMATCH(C$12,Table1[#Headers],0,1),0)=0,"",VLOOKUP($A44,Table1[#All],_xlfn.XMATCH(C$12,Table1[#Headers],0,1),0))</f>
        <v/>
      </c>
      <c r="D44" s="77"/>
      <c r="E44" s="76" t="str">
        <f>IF(VLOOKUP($A44,Table1[#All],_xlfn.XMATCH(E$12,Table1[#Headers],0,1),0)=0,"",VLOOKUP($A44,Table1[#All],_xlfn.XMATCH(E$12,Table1[#Headers],0,1),0))</f>
        <v>Polderdijk</v>
      </c>
      <c r="F44" s="76" t="str">
        <f>IF(VLOOKUP($A44,Table1[#All],_xlfn.XMATCH(F$12,Table1[#Headers],0,1),0)=0,"",VLOOKUP($A44,Table1[#All],_xlfn.XMATCH(F$12,Table1[#Headers],0,1),0))</f>
        <v>Regionaal</v>
      </c>
      <c r="G44" s="76" t="str">
        <f>IF(VLOOKUP($A44,Table1[#All],_xlfn.XMATCH(G$12,Table1[#Headers],0,1),0)=0,"",VLOOKUP($A44,Table1[#All],_xlfn.XMATCH(G$12,Table1[#Headers],0,1),0))</f>
        <v>B03-K02</v>
      </c>
      <c r="H44" s="76" t="str">
        <f>IF(VLOOKUP($A44,Table1[#All],_xlfn.XMATCH(H$12,Table1[#Headers],0,1),0)=0,"",VLOOKUP($A44,Table1[#All],_xlfn.XMATCH(H$12,Table1[#Headers],0,1),0))</f>
        <v>KR</v>
      </c>
      <c r="I44" s="76">
        <f>IF(VLOOKUP($A44,Table1[#All],_xlfn.XMATCH(I$12,Table1[#Headers],0,1),0)=0,"",VLOOKUP($A44,Table1[#All],_xlfn.XMATCH(I$12,Table1[#Headers],0,1),0))</f>
        <v>-3.504</v>
      </c>
      <c r="J44" s="76">
        <f>IF(VLOOKUP($A44,Table1[#All],_xlfn.XMATCH(J$12,Table1[#Headers],0,1),0)=0,"",VLOOKUP($A44,Table1[#All],_xlfn.XMATCH(J$12,Table1[#Headers],0,1),0))</f>
        <v>1.6</v>
      </c>
      <c r="K44" s="77"/>
      <c r="L44" s="76" t="str">
        <f>IF(VLOOKUP($A44,Table1[#All],_xlfn.XMATCH(L$12,Table1[#Headers],0,1),0)=0,"",VLOOKUP($A44,Table1[#All],_xlfn.XMATCH(L$12,Table1[#Headers],0,1),0))</f>
        <v>Veen, bruin, donker, Pulsinstallatie machinaal, Laag</v>
      </c>
      <c r="M44" s="76" t="str">
        <f>IF(VLOOKUP($A44,Table1[#All],_xlfn.XMATCH(M$12,Table1[#Headers],0,1),0)=0,"",VLOOKUP($A44,Table1[#All],_xlfn.XMATCH(M$12,Table1[#Headers],0,1),0))</f>
        <v/>
      </c>
      <c r="N44" s="76" t="str">
        <f>IF(VLOOKUP($A44,Table1[#All],_xlfn.XMATCH(N$12,Table1[#Headers],0,1),0)=0,"",VLOOKUP($A44,Table1[#All],_xlfn.XMATCH(N$12,Table1[#Headers],0,1),0))</f>
        <v/>
      </c>
      <c r="O44" s="76" t="str">
        <f>IF(VLOOKUP($A44,Table1[#All],_xlfn.XMATCH(O$12,Table1[#Headers],0,1),0)=0,"",VLOOKUP($A44,Table1[#All],_xlfn.XMATCH(O$12,Table1[#Headers],0,1),0))</f>
        <v/>
      </c>
      <c r="P44" s="76">
        <f>IF(VLOOKUP($A44,Table1[#All],_xlfn.XMATCH(P$12,Table1[#Headers],0,1),0)=0,"",VLOOKUP($A44,Table1[#All],_xlfn.XMATCH(P$12,Table1[#Headers],0,1),0))</f>
        <v>9.5392146070778576</v>
      </c>
      <c r="Q44" s="76">
        <f>IF(VLOOKUP($A44,Table1[#All],_xlfn.XMATCH(Q$12,Table1[#Headers],0,1),0)=0,"",VLOOKUP($A44,Table1[#All],_xlfn.XMATCH(Q$12,Table1[#Headers],0,1),0))</f>
        <v>1.242474215726155</v>
      </c>
      <c r="R44" s="76">
        <f>IF(VLOOKUP($A44,Table1[#All],_xlfn.XMATCH(R$12,Table1[#Headers],0,1),0)=0,"",VLOOKUP($A44,Table1[#All],_xlfn.XMATCH(R$12,Table1[#Headers],0,1),0))</f>
        <v>667.75956284153006</v>
      </c>
      <c r="S44" s="76" t="str">
        <f>IF(VLOOKUP($A44,Table1[#All],_xlfn.XMATCH(S$12,Table1[#Headers],0,1),0)=0,"",VLOOKUP($A44,Table1[#All],_xlfn.XMATCH(S$12,Table1[#Headers],0,1),0))</f>
        <v/>
      </c>
      <c r="T44" s="76" t="str">
        <f>IF(VLOOKUP($A44,Table1[#All],_xlfn.XMATCH(T$12,Table1[#Headers],0,1),0)=0,"",VLOOKUP($A44,Table1[#All],_xlfn.XMATCH(T$12,Table1[#Headers],0,1),0))</f>
        <v/>
      </c>
      <c r="U44" s="76" t="str">
        <f>IF(VLOOKUP($A44,Table1[#All],_xlfn.XMATCH(U$12,Table1[#Headers],0,1),0)=0,"",VLOOKUP($A44,Table1[#All],_xlfn.XMATCH(U$12,Table1[#Headers],0,1),0))</f>
        <v/>
      </c>
      <c r="V44" s="77"/>
      <c r="W44" s="76">
        <f>IF(VLOOKUP($A44,Table1[#All],_xlfn.XMATCH(W$12,Table1[#Headers],0,1),0)=0,"",VLOOKUP($A44,Table1[#All],_xlfn.XMATCH(W$12,Table1[#Headers],0,1),0))</f>
        <v>6.4</v>
      </c>
      <c r="X44" s="76" t="str">
        <f>IF(VLOOKUP($A44,Table1[#All],_xlfn.XMATCH(X$12,Table1[#Headers],0,1),0)=0,"",VLOOKUP($A44,Table1[#All],_xlfn.XMATCH(X$12,Table1[#Headers],0,1),0))</f>
        <v/>
      </c>
      <c r="Y44" s="76" t="str">
        <f>IF(VLOOKUP($A44,Table1[#All],_xlfn.XMATCH(Y$12,Table1[#Headers],0,1),0)=0,"",VLOOKUP($A44,Table1[#All],_xlfn.XMATCH(Y$12,Table1[#Headers],0,1),0))</f>
        <v/>
      </c>
      <c r="Z44" s="76" t="str">
        <f>IF(VLOOKUP($A44,Table1[#All],_xlfn.XMATCH(Z$12,Table1[#Headers],0,1),0)=0,"",VLOOKUP($A44,Table1[#All],_xlfn.XMATCH(Z$12,Table1[#Headers],0,1),0))</f>
        <v/>
      </c>
      <c r="AA44" s="76" t="str">
        <f>IF(VLOOKUP($A44,Table1[#All],_xlfn.XMATCH(AA$12,Table1[#Headers],0,1),0)=0,"",VLOOKUP($A44,Table1[#All],_xlfn.XMATCH(AA$12,Table1[#Headers],0,1),0))</f>
        <v/>
      </c>
      <c r="AB44" s="76" t="str">
        <f>IF(VLOOKUP($A44,Table1[#All],_xlfn.XMATCH(AB$12,Table1[#Headers],0,1),0)=0,"",VLOOKUP($A44,Table1[#All],_xlfn.XMATCH(AB$12,Table1[#Headers],0,1),0))</f>
        <v/>
      </c>
      <c r="AC44" s="76" t="str">
        <f>IF(VLOOKUP($A44,Table1[#All],_xlfn.XMATCH(AC$12,Table1[#Headers],0,1),0)=0,"",VLOOKUP($A44,Table1[#All],_xlfn.XMATCH(AC$12,Table1[#Headers],0,1),0))</f>
        <v/>
      </c>
      <c r="AD44" s="77"/>
      <c r="AE44" s="76" t="str">
        <f>IF(VLOOKUP($A44,Table1[#All],_xlfn.XMATCH(AE$12,Table1[#Headers],0,1),0)=0,"",VLOOKUP($A44,Table1[#All],_xlfn.XMATCH(AE$12,Table1[#Headers],0,1),0))</f>
        <v/>
      </c>
      <c r="AF44" s="76" t="str">
        <f>IF(VLOOKUP($A44,Table1[#All],_xlfn.XMATCH(AF$12,Table1[#Headers],0,1),0)=0,"",VLOOKUP($A44,Table1[#All],_xlfn.XMATCH(AF$12,Table1[#Headers],0,1),0))</f>
        <v/>
      </c>
      <c r="AG44" s="76" t="str">
        <f>IF(VLOOKUP($A44,Table1[#All],_xlfn.XMATCH(AG$12,Table1[#Headers],0,1),0)=0,"",VLOOKUP($A44,Table1[#All],_xlfn.XMATCH(AG$12,Table1[#Headers],0,1),0))</f>
        <v/>
      </c>
      <c r="AH44" s="76" t="str">
        <f>IF(VLOOKUP($A44,Table1[#All],_xlfn.XMATCH(AH$12,Table1[#Headers],0,1),0)=0,"",VLOOKUP($A44,Table1[#All],_xlfn.XMATCH(AH$12,Table1[#Headers],0,1),0))</f>
        <v/>
      </c>
      <c r="AI44" s="77"/>
      <c r="AJ44" s="78">
        <f>IF(VLOOKUP($A44,Table1[#All],_xlfn.XMATCH(AJ$12,Table1[#Headers],0,1),0)=0,"",VLOOKUP($A44,Table1[#All],_xlfn.XMATCH(AJ$12,Table1[#Headers],0,1),0))</f>
        <v>30</v>
      </c>
      <c r="AK44" s="78">
        <f t="shared" si="10"/>
        <v>23.6</v>
      </c>
      <c r="AL44" s="76" t="str">
        <f>IF(VLOOKUP($A44,Table1[#All],_xlfn.XMATCH(AL$12,Table1[#Headers],0,1),0)=0,"",VLOOKUP($A44,Table1[#All],_xlfn.XMATCH(AL$12,Table1[#Headers],0,1),0))</f>
        <v/>
      </c>
      <c r="AM44" s="77"/>
      <c r="AN44" s="76" t="str">
        <f>IF(VLOOKUP($A44,Table1[#All],_xlfn.XMATCH(AN$12,Table1[#Headers],0,1),0)=0,"",VLOOKUP($A44,Table1[#All],_xlfn.XMATCH(AN$12,Table1[#Headers],0,1),0))</f>
        <v/>
      </c>
      <c r="AO44" s="79" t="str">
        <f ca="1">HYPERLINK(Hulp!$C$5&amp;Beoordeling!AN44,MID(AN44,1,30))</f>
        <v/>
      </c>
      <c r="AP44" s="76" t="str">
        <f>IF(VLOOKUP($A44,Table1[#All],_xlfn.XMATCH(AP$12,Table1[#Headers],0,1),0)=0,"",VLOOKUP($A44,Table1[#All],_xlfn.XMATCH(AP$12,Table1[#Headers],0,1),0))</f>
        <v/>
      </c>
      <c r="AQ44" s="80"/>
      <c r="AR44" s="81"/>
      <c r="AS44" s="80"/>
      <c r="AT44" s="77"/>
      <c r="AU44" s="114" t="s">
        <v>388</v>
      </c>
      <c r="AV44" s="114" t="s">
        <v>388</v>
      </c>
      <c r="AW44" s="114" t="s">
        <v>388</v>
      </c>
      <c r="AX44" s="114" t="s">
        <v>388</v>
      </c>
      <c r="AY44" s="114" t="s">
        <v>388</v>
      </c>
      <c r="AZ44" s="114" t="s">
        <v>388</v>
      </c>
      <c r="BA44" s="77"/>
      <c r="BB44" s="114" t="s">
        <v>388</v>
      </c>
      <c r="BC44" s="114" t="s">
        <v>388</v>
      </c>
      <c r="BD44" s="114" t="s">
        <v>388</v>
      </c>
      <c r="BE44" s="114" t="s">
        <v>388</v>
      </c>
      <c r="BF44" s="114" t="s">
        <v>388</v>
      </c>
      <c r="BG44" s="114" t="s">
        <v>388</v>
      </c>
      <c r="BH44" s="114" t="s">
        <v>388</v>
      </c>
      <c r="BI44" s="114" t="s">
        <v>388</v>
      </c>
      <c r="BJ44" s="114" t="s">
        <v>388</v>
      </c>
      <c r="BK44" s="114" t="s">
        <v>388</v>
      </c>
      <c r="BL44" s="114" t="s">
        <v>388</v>
      </c>
      <c r="BM44" s="114" t="s">
        <v>388</v>
      </c>
      <c r="BN44" s="114" t="s">
        <v>388</v>
      </c>
      <c r="BO44" s="77"/>
      <c r="BP44" s="114" t="s">
        <v>388</v>
      </c>
      <c r="BQ44" s="114" t="s">
        <v>388</v>
      </c>
      <c r="BR44" s="114" t="s">
        <v>388</v>
      </c>
      <c r="BS44" s="77"/>
      <c r="BT44" s="76" t="str">
        <f>IF(VLOOKUP($A44,Table1[#All],_xlfn.XMATCH(BT$12,Table1[#Headers],0,1),0)=0,"",VLOOKUP($A44,Table1[#All],_xlfn.XMATCH(BT$12,Table1[#Headers],0,1),0))</f>
        <v>DSS22)GA250495_B03-K02_3-581.pdf</v>
      </c>
      <c r="BU44" s="79" t="str">
        <f ca="1">HYPERLINK(Hulp!$C$3&amp;Beoordeling!BT44,BT44)</f>
        <v>DSS22)GA250495_B03-K02_3-581.pdf</v>
      </c>
      <c r="BV44" s="77"/>
      <c r="BW44" s="81"/>
      <c r="BX44" s="81"/>
      <c r="BY44" s="81"/>
    </row>
    <row r="45" spans="1:77" x14ac:dyDescent="0.3">
      <c r="A45" s="75" t="s">
        <v>1294</v>
      </c>
      <c r="B45" s="76" t="str">
        <f>IF(VLOOKUP($A45,Table1[#All],_xlfn.XMATCH(B$12,Table1[#Headers],0,1),0)=0,"",VLOOKUP($A45,Table1[#All],_xlfn.XMATCH(B$12,Table1[#Headers],0,1),0))</f>
        <v>DSS_voorbeeld</v>
      </c>
      <c r="C45" s="76" t="str">
        <f>IF(VLOOKUP($A45,Table1[#All],_xlfn.XMATCH(C$12,Table1[#Headers],0,1),0)=0,"",VLOOKUP($A45,Table1[#All],_xlfn.XMATCH(C$12,Table1[#Headers],0,1),0))</f>
        <v/>
      </c>
      <c r="D45" s="77"/>
      <c r="E45" s="76" t="str">
        <f>IF(VLOOKUP($A45,Table1[#All],_xlfn.XMATCH(E$12,Table1[#Headers],0,1),0)=0,"",VLOOKUP($A45,Table1[#All],_xlfn.XMATCH(E$12,Table1[#Headers],0,1),0))</f>
        <v>Polderdijk</v>
      </c>
      <c r="F45" s="76" t="str">
        <f>IF(VLOOKUP($A45,Table1[#All],_xlfn.XMATCH(F$12,Table1[#Headers],0,1),0)=0,"",VLOOKUP($A45,Table1[#All],_xlfn.XMATCH(F$12,Table1[#Headers],0,1),0))</f>
        <v>Regionaal</v>
      </c>
      <c r="G45" s="76" t="str">
        <f>IF(VLOOKUP($A45,Table1[#All],_xlfn.XMATCH(G$12,Table1[#Headers],0,1),0)=0,"",VLOOKUP($A45,Table1[#All],_xlfn.XMATCH(G$12,Table1[#Headers],0,1),0))</f>
        <v>B03-K02</v>
      </c>
      <c r="H45" s="76" t="str">
        <f>IF(VLOOKUP($A45,Table1[#All],_xlfn.XMATCH(H$12,Table1[#Headers],0,1),0)=0,"",VLOOKUP($A45,Table1[#All],_xlfn.XMATCH(H$12,Table1[#Headers],0,1),0))</f>
        <v>KR</v>
      </c>
      <c r="I45" s="76">
        <f>IF(VLOOKUP($A45,Table1[#All],_xlfn.XMATCH(I$12,Table1[#Headers],0,1),0)=0,"",VLOOKUP($A45,Table1[#All],_xlfn.XMATCH(I$12,Table1[#Headers],0,1),0))</f>
        <v>-3.9039999999999999</v>
      </c>
      <c r="J45" s="76">
        <f>IF(VLOOKUP($A45,Table1[#All],_xlfn.XMATCH(J$12,Table1[#Headers],0,1),0)=0,"",VLOOKUP($A45,Table1[#All],_xlfn.XMATCH(J$12,Table1[#Headers],0,1),0))</f>
        <v>2</v>
      </c>
      <c r="K45" s="77"/>
      <c r="L45" s="76" t="str">
        <f>IF(VLOOKUP($A45,Table1[#All],_xlfn.XMATCH(L$12,Table1[#Headers],0,1),0)=0,"",VLOOKUP($A45,Table1[#All],_xlfn.XMATCH(L$12,Table1[#Headers],0,1),0))</f>
        <v>Veen, kleiïg, plantenresten, veel, bruin, donker, Pulsinstallatie machinaal, Laag</v>
      </c>
      <c r="M45" s="76" t="str">
        <f>IF(VLOOKUP($A45,Table1[#All],_xlfn.XMATCH(M$12,Table1[#Headers],0,1),0)=0,"",VLOOKUP($A45,Table1[#All],_xlfn.XMATCH(M$12,Table1[#Headers],0,1),0))</f>
        <v/>
      </c>
      <c r="N45" s="76" t="str">
        <f>IF(VLOOKUP($A45,Table1[#All],_xlfn.XMATCH(N$12,Table1[#Headers],0,1),0)=0,"",VLOOKUP($A45,Table1[#All],_xlfn.XMATCH(N$12,Table1[#Headers],0,1),0))</f>
        <v/>
      </c>
      <c r="O45" s="76" t="str">
        <f>IF(VLOOKUP($A45,Table1[#All],_xlfn.XMATCH(O$12,Table1[#Headers],0,1),0)=0,"",VLOOKUP($A45,Table1[#All],_xlfn.XMATCH(O$12,Table1[#Headers],0,1),0))</f>
        <v/>
      </c>
      <c r="P45" s="76">
        <f>IF(VLOOKUP($A45,Table1[#All],_xlfn.XMATCH(P$12,Table1[#Headers],0,1),0)=0,"",VLOOKUP($A45,Table1[#All],_xlfn.XMATCH(P$12,Table1[#Headers],0,1),0))</f>
        <v>9.7607640621907787</v>
      </c>
      <c r="Q45" s="76">
        <f>IF(VLOOKUP($A45,Table1[#All],_xlfn.XMATCH(Q$12,Table1[#Headers],0,1),0)=0,"",VLOOKUP($A45,Table1[#All],_xlfn.XMATCH(Q$12,Table1[#Headers],0,1),0))</f>
        <v>1.3544672597313201</v>
      </c>
      <c r="R45" s="76">
        <f>IF(VLOOKUP($A45,Table1[#All],_xlfn.XMATCH(R$12,Table1[#Headers],0,1),0)=0,"",VLOOKUP($A45,Table1[#All],_xlfn.XMATCH(R$12,Table1[#Headers],0,1),0))</f>
        <v>620.63492063492049</v>
      </c>
      <c r="S45" s="76">
        <f>IF(VLOOKUP($A45,Table1[#All],_xlfn.XMATCH(S$12,Table1[#Headers],0,1),0)=0,"",VLOOKUP($A45,Table1[#All],_xlfn.XMATCH(S$12,Table1[#Headers],0,1),0))</f>
        <v>10</v>
      </c>
      <c r="T45" s="76">
        <f>IF(VLOOKUP($A45,Table1[#All],_xlfn.XMATCH(T$12,Table1[#Headers],0,1),0)=0,"",VLOOKUP($A45,Table1[#All],_xlfn.XMATCH(T$12,Table1[#Headers],0,1),0))</f>
        <v>1.6</v>
      </c>
      <c r="U45" s="76">
        <f>IF(VLOOKUP($A45,Table1[#All],_xlfn.XMATCH(U$12,Table1[#Headers],0,1),0)=0,"",VLOOKUP($A45,Table1[#All],_xlfn.XMATCH(U$12,Table1[#Headers],0,1),0))</f>
        <v>541.4</v>
      </c>
      <c r="V45" s="77"/>
      <c r="W45" s="76">
        <f>IF(VLOOKUP($A45,Table1[#All],_xlfn.XMATCH(W$12,Table1[#Headers],0,1),0)=0,"",VLOOKUP($A45,Table1[#All],_xlfn.XMATCH(W$12,Table1[#Headers],0,1),0))</f>
        <v>6.7</v>
      </c>
      <c r="X45" s="76" t="str">
        <f>IF(VLOOKUP($A45,Table1[#All],_xlfn.XMATCH(X$12,Table1[#Headers],0,1),0)=0,"",VLOOKUP($A45,Table1[#All],_xlfn.XMATCH(X$12,Table1[#Headers],0,1),0))</f>
        <v/>
      </c>
      <c r="Y45" s="76" t="str">
        <f>IF(VLOOKUP($A45,Table1[#All],_xlfn.XMATCH(Y$12,Table1[#Headers],0,1),0)=0,"",VLOOKUP($A45,Table1[#All],_xlfn.XMATCH(Y$12,Table1[#Headers],0,1),0))</f>
        <v/>
      </c>
      <c r="Z45" s="76" t="str">
        <f>IF(VLOOKUP($A45,Table1[#All],_xlfn.XMATCH(Z$12,Table1[#Headers],0,1),0)=0,"",VLOOKUP($A45,Table1[#All],_xlfn.XMATCH(Z$12,Table1[#Headers],0,1),0))</f>
        <v/>
      </c>
      <c r="AA45" s="76" t="str">
        <f>IF(VLOOKUP($A45,Table1[#All],_xlfn.XMATCH(AA$12,Table1[#Headers],0,1),0)=0,"",VLOOKUP($A45,Table1[#All],_xlfn.XMATCH(AA$12,Table1[#Headers],0,1),0))</f>
        <v/>
      </c>
      <c r="AB45" s="76" t="str">
        <f>IF(VLOOKUP($A45,Table1[#All],_xlfn.XMATCH(AB$12,Table1[#Headers],0,1),0)=0,"",VLOOKUP($A45,Table1[#All],_xlfn.XMATCH(AB$12,Table1[#Headers],0,1),0))</f>
        <v/>
      </c>
      <c r="AC45" s="76" t="str">
        <f>IF(VLOOKUP($A45,Table1[#All],_xlfn.XMATCH(AC$12,Table1[#Headers],0,1),0)=0,"",VLOOKUP($A45,Table1[#All],_xlfn.XMATCH(AC$12,Table1[#Headers],0,1),0))</f>
        <v/>
      </c>
      <c r="AD45" s="77"/>
      <c r="AE45" s="76" t="str">
        <f>IF(VLOOKUP($A45,Table1[#All],_xlfn.XMATCH(AE$12,Table1[#Headers],0,1),0)=0,"",VLOOKUP($A45,Table1[#All],_xlfn.XMATCH(AE$12,Table1[#Headers],0,1),0))</f>
        <v/>
      </c>
      <c r="AF45" s="76" t="str">
        <f>IF(VLOOKUP($A45,Table1[#All],_xlfn.XMATCH(AF$12,Table1[#Headers],0,1),0)=0,"",VLOOKUP($A45,Table1[#All],_xlfn.XMATCH(AF$12,Table1[#Headers],0,1),0))</f>
        <v/>
      </c>
      <c r="AG45" s="76" t="str">
        <f>IF(VLOOKUP($A45,Table1[#All],_xlfn.XMATCH(AG$12,Table1[#Headers],0,1),0)=0,"",VLOOKUP($A45,Table1[#All],_xlfn.XMATCH(AG$12,Table1[#Headers],0,1),0))</f>
        <v/>
      </c>
      <c r="AH45" s="76" t="str">
        <f>IF(VLOOKUP($A45,Table1[#All],_xlfn.XMATCH(AH$12,Table1[#Headers],0,1),0)=0,"",VLOOKUP($A45,Table1[#All],_xlfn.XMATCH(AH$12,Table1[#Headers],0,1),0))</f>
        <v/>
      </c>
      <c r="AI45" s="77"/>
      <c r="AJ45" s="78">
        <f>IF(VLOOKUP($A45,Table1[#All],_xlfn.XMATCH(AJ$12,Table1[#Headers],0,1),0)=0,"",VLOOKUP($A45,Table1[#All],_xlfn.XMATCH(AJ$12,Table1[#Headers],0,1),0))</f>
        <v>30</v>
      </c>
      <c r="AK45" s="78">
        <f t="shared" si="10"/>
        <v>23.3</v>
      </c>
      <c r="AL45" s="76" t="str">
        <f>IF(VLOOKUP($A45,Table1[#All],_xlfn.XMATCH(AL$12,Table1[#Headers],0,1),0)=0,"",VLOOKUP($A45,Table1[#All],_xlfn.XMATCH(AL$12,Table1[#Headers],0,1),0))</f>
        <v/>
      </c>
      <c r="AM45" s="77"/>
      <c r="AN45" s="76" t="str">
        <f>IF(VLOOKUP($A45,Table1[#All],_xlfn.XMATCH(AN$12,Table1[#Headers],0,1),0)=0,"",VLOOKUP($A45,Table1[#All],_xlfn.XMATCH(AN$12,Table1[#Headers],0,1),0))</f>
        <v>OED_CRS54)GA250495_B03-K02_4-928.pdf</v>
      </c>
      <c r="AO45" s="79" t="str">
        <f ca="1">HYPERLINK(Hulp!$C$5&amp;Beoordeling!AN45,MID(AN45,1,30))</f>
        <v>OED_CRS54)GA250495_B03-K02_4-9</v>
      </c>
      <c r="AP45" s="76">
        <f>IF(VLOOKUP($A45,Table1[#All],_xlfn.XMATCH(AP$12,Table1[#Headers],0,1),0)=0,"",VLOOKUP($A45,Table1[#All],_xlfn.XMATCH(AP$12,Table1[#Headers],0,1),0))</f>
        <v>18.899999999999999</v>
      </c>
      <c r="AQ45" s="80"/>
      <c r="AR45" s="81"/>
      <c r="AS45" s="80"/>
      <c r="AT45" s="77"/>
      <c r="AU45" s="114" t="s">
        <v>388</v>
      </c>
      <c r="AV45" s="114" t="s">
        <v>388</v>
      </c>
      <c r="AW45" s="114" t="s">
        <v>388</v>
      </c>
      <c r="AX45" s="114" t="s">
        <v>388</v>
      </c>
      <c r="AY45" s="114" t="s">
        <v>388</v>
      </c>
      <c r="AZ45" s="114" t="s">
        <v>388</v>
      </c>
      <c r="BA45" s="77"/>
      <c r="BB45" s="114" t="s">
        <v>388</v>
      </c>
      <c r="BC45" s="114" t="s">
        <v>388</v>
      </c>
      <c r="BD45" s="114" t="s">
        <v>388</v>
      </c>
      <c r="BE45" s="114" t="s">
        <v>388</v>
      </c>
      <c r="BF45" s="114" t="s">
        <v>388</v>
      </c>
      <c r="BG45" s="114" t="s">
        <v>388</v>
      </c>
      <c r="BH45" s="114" t="s">
        <v>388</v>
      </c>
      <c r="BI45" s="114" t="s">
        <v>388</v>
      </c>
      <c r="BJ45" s="114" t="s">
        <v>388</v>
      </c>
      <c r="BK45" s="114" t="s">
        <v>388</v>
      </c>
      <c r="BL45" s="114" t="s">
        <v>388</v>
      </c>
      <c r="BM45" s="114" t="s">
        <v>388</v>
      </c>
      <c r="BN45" s="114" t="s">
        <v>388</v>
      </c>
      <c r="BO45" s="77"/>
      <c r="BP45" s="114" t="s">
        <v>388</v>
      </c>
      <c r="BQ45" s="114" t="s">
        <v>388</v>
      </c>
      <c r="BR45" s="114" t="s">
        <v>388</v>
      </c>
      <c r="BS45" s="77"/>
      <c r="BT45" s="76" t="str">
        <f>IF(VLOOKUP($A45,Table1[#All],_xlfn.XMATCH(BT$12,Table1[#Headers],0,1),0)=0,"",VLOOKUP($A45,Table1[#All],_xlfn.XMATCH(BT$12,Table1[#Headers],0,1),0))</f>
        <v>DSS23)GA250495_B03-K02_4-928.pdf</v>
      </c>
      <c r="BU45" s="79" t="str">
        <f ca="1">HYPERLINK(Hulp!$C$3&amp;Beoordeling!BT45,BT45)</f>
        <v>DSS23)GA250495_B03-K02_4-928.pdf</v>
      </c>
      <c r="BV45" s="77"/>
      <c r="BW45" s="81"/>
      <c r="BX45" s="81"/>
      <c r="BY45" s="81"/>
    </row>
    <row r="46" spans="1:77" x14ac:dyDescent="0.3">
      <c r="A46" s="75" t="s">
        <v>1295</v>
      </c>
      <c r="B46" s="76" t="str">
        <f>IF(VLOOKUP($A46,Table1[#All],_xlfn.XMATCH(B$12,Table1[#Headers],0,1),0)=0,"",VLOOKUP($A46,Table1[#All],_xlfn.XMATCH(B$12,Table1[#Headers],0,1),0))</f>
        <v>DSS_voorbeeld</v>
      </c>
      <c r="C46" s="76" t="str">
        <f>IF(VLOOKUP($A46,Table1[#All],_xlfn.XMATCH(C$12,Table1[#Headers],0,1),0)=0,"",VLOOKUP($A46,Table1[#All],_xlfn.XMATCH(C$12,Table1[#Headers],0,1),0))</f>
        <v/>
      </c>
      <c r="D46" s="77"/>
      <c r="E46" s="76" t="str">
        <f>IF(VLOOKUP($A46,Table1[#All],_xlfn.XMATCH(E$12,Table1[#Headers],0,1),0)=0,"",VLOOKUP($A46,Table1[#All],_xlfn.XMATCH(E$12,Table1[#Headers],0,1),0))</f>
        <v>Polderdijk</v>
      </c>
      <c r="F46" s="76" t="str">
        <f>IF(VLOOKUP($A46,Table1[#All],_xlfn.XMATCH(F$12,Table1[#Headers],0,1),0)=0,"",VLOOKUP($A46,Table1[#All],_xlfn.XMATCH(F$12,Table1[#Headers],0,1),0))</f>
        <v>Regionaal</v>
      </c>
      <c r="G46" s="76" t="str">
        <f>IF(VLOOKUP($A46,Table1[#All],_xlfn.XMATCH(G$12,Table1[#Headers],0,1),0)=0,"",VLOOKUP($A46,Table1[#All],_xlfn.XMATCH(G$12,Table1[#Headers],0,1),0))</f>
        <v>B03-K03</v>
      </c>
      <c r="H46" s="76" t="str">
        <f>IF(VLOOKUP($A46,Table1[#All],_xlfn.XMATCH(H$12,Table1[#Headers],0,1),0)=0,"",VLOOKUP($A46,Table1[#All],_xlfn.XMATCH(H$12,Table1[#Headers],0,1),0))</f>
        <v>KR</v>
      </c>
      <c r="I46" s="76">
        <f>IF(VLOOKUP($A46,Table1[#All],_xlfn.XMATCH(I$12,Table1[#Headers],0,1),0)=0,"",VLOOKUP($A46,Table1[#All],_xlfn.XMATCH(I$12,Table1[#Headers],0,1),0))</f>
        <v>-3.2080000000000002</v>
      </c>
      <c r="J46" s="76">
        <f>IF(VLOOKUP($A46,Table1[#All],_xlfn.XMATCH(J$12,Table1[#Headers],0,1),0)=0,"",VLOOKUP($A46,Table1[#All],_xlfn.XMATCH(J$12,Table1[#Headers],0,1),0))</f>
        <v>1.2</v>
      </c>
      <c r="K46" s="77"/>
      <c r="L46" s="76" t="str">
        <f>IF(VLOOKUP($A46,Table1[#All],_xlfn.XMATCH(L$12,Table1[#Headers],0,1),0)=0,"",VLOOKUP($A46,Table1[#All],_xlfn.XMATCH(L$12,Table1[#Headers],0,1),0))</f>
        <v>Veen, bruin, donker, Pulsinstallatie machinaal, Laag</v>
      </c>
      <c r="M46" s="76" t="str">
        <f>IF(VLOOKUP($A46,Table1[#All],_xlfn.XMATCH(M$12,Table1[#Headers],0,1),0)=0,"",VLOOKUP($A46,Table1[#All],_xlfn.XMATCH(M$12,Table1[#Headers],0,1),0))</f>
        <v/>
      </c>
      <c r="N46" s="76" t="str">
        <f>IF(VLOOKUP($A46,Table1[#All],_xlfn.XMATCH(N$12,Table1[#Headers],0,1),0)=0,"",VLOOKUP($A46,Table1[#All],_xlfn.XMATCH(N$12,Table1[#Headers],0,1),0))</f>
        <v/>
      </c>
      <c r="O46" s="76" t="str">
        <f>IF(VLOOKUP($A46,Table1[#All],_xlfn.XMATCH(O$12,Table1[#Headers],0,1),0)=0,"",VLOOKUP($A46,Table1[#All],_xlfn.XMATCH(O$12,Table1[#Headers],0,1),0))</f>
        <v/>
      </c>
      <c r="P46" s="76">
        <f>IF(VLOOKUP($A46,Table1[#All],_xlfn.XMATCH(P$12,Table1[#Headers],0,1),0)=0,"",VLOOKUP($A46,Table1[#All],_xlfn.XMATCH(P$12,Table1[#Headers],0,1),0))</f>
        <v>10.651997097531391</v>
      </c>
      <c r="Q46" s="76">
        <f>IF(VLOOKUP($A46,Table1[#All],_xlfn.XMATCH(Q$12,Table1[#Headers],0,1),0)=0,"",VLOOKUP($A46,Table1[#All],_xlfn.XMATCH(Q$12,Table1[#Headers],0,1),0))</f>
        <v>2.907697625748217</v>
      </c>
      <c r="R46" s="76">
        <f>IF(VLOOKUP($A46,Table1[#All],_xlfn.XMATCH(R$12,Table1[#Headers],0,1),0)=0,"",VLOOKUP($A46,Table1[#All],_xlfn.XMATCH(R$12,Table1[#Headers],0,1),0))</f>
        <v>266.33785450061657</v>
      </c>
      <c r="S46" s="76" t="str">
        <f>IF(VLOOKUP($A46,Table1[#All],_xlfn.XMATCH(S$12,Table1[#Headers],0,1),0)=0,"",VLOOKUP($A46,Table1[#All],_xlfn.XMATCH(S$12,Table1[#Headers],0,1),0))</f>
        <v/>
      </c>
      <c r="T46" s="76" t="str">
        <f>IF(VLOOKUP($A46,Table1[#All],_xlfn.XMATCH(T$12,Table1[#Headers],0,1),0)=0,"",VLOOKUP($A46,Table1[#All],_xlfn.XMATCH(T$12,Table1[#Headers],0,1),0))</f>
        <v/>
      </c>
      <c r="U46" s="76" t="str">
        <f>IF(VLOOKUP($A46,Table1[#All],_xlfn.XMATCH(U$12,Table1[#Headers],0,1),0)=0,"",VLOOKUP($A46,Table1[#All],_xlfn.XMATCH(U$12,Table1[#Headers],0,1),0))</f>
        <v/>
      </c>
      <c r="V46" s="77"/>
      <c r="W46" s="76">
        <f>IF(VLOOKUP($A46,Table1[#All],_xlfn.XMATCH(W$12,Table1[#Headers],0,1),0)=0,"",VLOOKUP($A46,Table1[#All],_xlfn.XMATCH(W$12,Table1[#Headers],0,1),0))</f>
        <v>10.3</v>
      </c>
      <c r="X46" s="76" t="str">
        <f>IF(VLOOKUP($A46,Table1[#All],_xlfn.XMATCH(X$12,Table1[#Headers],0,1),0)=0,"",VLOOKUP($A46,Table1[#All],_xlfn.XMATCH(X$12,Table1[#Headers],0,1),0))</f>
        <v/>
      </c>
      <c r="Y46" s="76" t="str">
        <f>IF(VLOOKUP($A46,Table1[#All],_xlfn.XMATCH(Y$12,Table1[#Headers],0,1),0)=0,"",VLOOKUP($A46,Table1[#All],_xlfn.XMATCH(Y$12,Table1[#Headers],0,1),0))</f>
        <v/>
      </c>
      <c r="Z46" s="76" t="str">
        <f>IF(VLOOKUP($A46,Table1[#All],_xlfn.XMATCH(Z$12,Table1[#Headers],0,1),0)=0,"",VLOOKUP($A46,Table1[#All],_xlfn.XMATCH(Z$12,Table1[#Headers],0,1),0))</f>
        <v/>
      </c>
      <c r="AA46" s="76" t="str">
        <f>IF(VLOOKUP($A46,Table1[#All],_xlfn.XMATCH(AA$12,Table1[#Headers],0,1),0)=0,"",VLOOKUP($A46,Table1[#All],_xlfn.XMATCH(AA$12,Table1[#Headers],0,1),0))</f>
        <v/>
      </c>
      <c r="AB46" s="76" t="str">
        <f>IF(VLOOKUP($A46,Table1[#All],_xlfn.XMATCH(AB$12,Table1[#Headers],0,1),0)=0,"",VLOOKUP($A46,Table1[#All],_xlfn.XMATCH(AB$12,Table1[#Headers],0,1),0))</f>
        <v/>
      </c>
      <c r="AC46" s="76" t="str">
        <f>IF(VLOOKUP($A46,Table1[#All],_xlfn.XMATCH(AC$12,Table1[#Headers],0,1),0)=0,"",VLOOKUP($A46,Table1[#All],_xlfn.XMATCH(AC$12,Table1[#Headers],0,1),0))</f>
        <v/>
      </c>
      <c r="AD46" s="77"/>
      <c r="AE46" s="76" t="str">
        <f>IF(VLOOKUP($A46,Table1[#All],_xlfn.XMATCH(AE$12,Table1[#Headers],0,1),0)=0,"",VLOOKUP($A46,Table1[#All],_xlfn.XMATCH(AE$12,Table1[#Headers],0,1),0))</f>
        <v/>
      </c>
      <c r="AF46" s="76" t="str">
        <f>IF(VLOOKUP($A46,Table1[#All],_xlfn.XMATCH(AF$12,Table1[#Headers],0,1),0)=0,"",VLOOKUP($A46,Table1[#All],_xlfn.XMATCH(AF$12,Table1[#Headers],0,1),0))</f>
        <v/>
      </c>
      <c r="AG46" s="76" t="str">
        <f>IF(VLOOKUP($A46,Table1[#All],_xlfn.XMATCH(AG$12,Table1[#Headers],0,1),0)=0,"",VLOOKUP($A46,Table1[#All],_xlfn.XMATCH(AG$12,Table1[#Headers],0,1),0))</f>
        <v/>
      </c>
      <c r="AH46" s="76" t="str">
        <f>IF(VLOOKUP($A46,Table1[#All],_xlfn.XMATCH(AH$12,Table1[#Headers],0,1),0)=0,"",VLOOKUP($A46,Table1[#All],_xlfn.XMATCH(AH$12,Table1[#Headers],0,1),0))</f>
        <v/>
      </c>
      <c r="AI46" s="77"/>
      <c r="AJ46" s="78" t="str">
        <f>IF(VLOOKUP($A46,Table1[#All],_xlfn.XMATCH(AJ$12,Table1[#Headers],0,1),0)=0,"",VLOOKUP($A46,Table1[#All],_xlfn.XMATCH(AJ$12,Table1[#Headers],0,1),0))</f>
        <v/>
      </c>
      <c r="AK46" s="78" t="str">
        <f t="shared" si="10"/>
        <v/>
      </c>
      <c r="AL46" s="76" t="str">
        <f>IF(VLOOKUP($A46,Table1[#All],_xlfn.XMATCH(AL$12,Table1[#Headers],0,1),0)=0,"",VLOOKUP($A46,Table1[#All],_xlfn.XMATCH(AL$12,Table1[#Headers],0,1),0))</f>
        <v/>
      </c>
      <c r="AM46" s="77"/>
      <c r="AN46" s="76" t="str">
        <f>IF(VLOOKUP($A46,Table1[#All],_xlfn.XMATCH(AN$12,Table1[#Headers],0,1),0)=0,"",VLOOKUP($A46,Table1[#All],_xlfn.XMATCH(AN$12,Table1[#Headers],0,1),0))</f>
        <v/>
      </c>
      <c r="AO46" s="79" t="str">
        <f ca="1">HYPERLINK(Hulp!$C$5&amp;Beoordeling!AN46,MID(AN46,1,30))</f>
        <v/>
      </c>
      <c r="AP46" s="76" t="str">
        <f>IF(VLOOKUP($A46,Table1[#All],_xlfn.XMATCH(AP$12,Table1[#Headers],0,1),0)=0,"",VLOOKUP($A46,Table1[#All],_xlfn.XMATCH(AP$12,Table1[#Headers],0,1),0))</f>
        <v/>
      </c>
      <c r="AQ46" s="80"/>
      <c r="AR46" s="81"/>
      <c r="AS46" s="80"/>
      <c r="AT46" s="77"/>
      <c r="AU46" s="114" t="s">
        <v>388</v>
      </c>
      <c r="AV46" s="114" t="s">
        <v>388</v>
      </c>
      <c r="AW46" s="114" t="s">
        <v>388</v>
      </c>
      <c r="AX46" s="114" t="s">
        <v>388</v>
      </c>
      <c r="AY46" s="114" t="s">
        <v>388</v>
      </c>
      <c r="AZ46" s="114" t="s">
        <v>388</v>
      </c>
      <c r="BA46" s="77"/>
      <c r="BB46" s="114" t="s">
        <v>388</v>
      </c>
      <c r="BC46" s="114" t="s">
        <v>388</v>
      </c>
      <c r="BD46" s="114" t="s">
        <v>388</v>
      </c>
      <c r="BE46" s="114" t="s">
        <v>388</v>
      </c>
      <c r="BF46" s="114" t="s">
        <v>388</v>
      </c>
      <c r="BG46" s="114" t="s">
        <v>388</v>
      </c>
      <c r="BH46" s="114" t="s">
        <v>388</v>
      </c>
      <c r="BI46" s="114" t="s">
        <v>388</v>
      </c>
      <c r="BJ46" s="114" t="s">
        <v>388</v>
      </c>
      <c r="BK46" s="114" t="s">
        <v>388</v>
      </c>
      <c r="BL46" s="114" t="s">
        <v>388</v>
      </c>
      <c r="BM46" s="114" t="s">
        <v>388</v>
      </c>
      <c r="BN46" s="114" t="s">
        <v>388</v>
      </c>
      <c r="BO46" s="77"/>
      <c r="BP46" s="114" t="s">
        <v>388</v>
      </c>
      <c r="BQ46" s="114" t="s">
        <v>388</v>
      </c>
      <c r="BR46" s="114" t="s">
        <v>388</v>
      </c>
      <c r="BS46" s="77"/>
      <c r="BT46" s="76" t="str">
        <f>IF(VLOOKUP($A46,Table1[#All],_xlfn.XMATCH(BT$12,Table1[#Headers],0,1),0)=0,"",VLOOKUP($A46,Table1[#All],_xlfn.XMATCH(BT$12,Table1[#Headers],0,1),0))</f>
        <v>DSS25)GA250495_B03-K03_2-032.pdf</v>
      </c>
      <c r="BU46" s="79" t="str">
        <f ca="1">HYPERLINK(Hulp!$C$3&amp;Beoordeling!BT46,BT46)</f>
        <v>DSS25)GA250495_B03-K03_2-032.pdf</v>
      </c>
      <c r="BV46" s="77"/>
      <c r="BW46" s="81"/>
      <c r="BX46" s="81"/>
      <c r="BY46" s="81"/>
    </row>
    <row r="47" spans="1:77" x14ac:dyDescent="0.3">
      <c r="A47" s="75" t="s">
        <v>1400</v>
      </c>
      <c r="B47" s="76" t="str">
        <f>IF(VLOOKUP($A47,Table1[#All],_xlfn.XMATCH(B$12,Table1[#Headers],0,1),0)=0,"",VLOOKUP($A47,Table1[#All],_xlfn.XMATCH(B$12,Table1[#Headers],0,1),0))</f>
        <v>DSS_voorbeeld</v>
      </c>
      <c r="C47" s="76" t="str">
        <f>IF(VLOOKUP($A47,Table1[#All],_xlfn.XMATCH(C$12,Table1[#Headers],0,1),0)=0,"",VLOOKUP($A47,Table1[#All],_xlfn.XMATCH(C$12,Table1[#Headers],0,1),0))</f>
        <v/>
      </c>
      <c r="D47" s="77"/>
      <c r="E47" s="76" t="str">
        <f>IF(VLOOKUP($A47,Table1[#All],_xlfn.XMATCH(E$12,Table1[#Headers],0,1),0)=0,"",VLOOKUP($A47,Table1[#All],_xlfn.XMATCH(E$12,Table1[#Headers],0,1),0))</f>
        <v>Polderdijk</v>
      </c>
      <c r="F47" s="76" t="str">
        <f>IF(VLOOKUP($A47,Table1[#All],_xlfn.XMATCH(F$12,Table1[#Headers],0,1),0)=0,"",VLOOKUP($A47,Table1[#All],_xlfn.XMATCH(F$12,Table1[#Headers],0,1),0))</f>
        <v>Regionaal</v>
      </c>
      <c r="G47" s="76" t="str">
        <f>IF(VLOOKUP($A47,Table1[#All],_xlfn.XMATCH(G$12,Table1[#Headers],0,1),0)=0,"",VLOOKUP($A47,Table1[#All],_xlfn.XMATCH(G$12,Table1[#Headers],0,1),0))</f>
        <v>B03-K03</v>
      </c>
      <c r="H47" s="76" t="str">
        <f>IF(VLOOKUP($A47,Table1[#All],_xlfn.XMATCH(H$12,Table1[#Headers],0,1),0)=0,"",VLOOKUP($A47,Table1[#All],_xlfn.XMATCH(H$12,Table1[#Headers],0,1),0))</f>
        <v>KR</v>
      </c>
      <c r="I47" s="76">
        <f>IF(VLOOKUP($A47,Table1[#All],_xlfn.XMATCH(I$12,Table1[#Headers],0,1),0)=0,"",VLOOKUP($A47,Table1[#All],_xlfn.XMATCH(I$12,Table1[#Headers],0,1),0))</f>
        <v>-4.008</v>
      </c>
      <c r="J47" s="76">
        <f>IF(VLOOKUP($A47,Table1[#All],_xlfn.XMATCH(J$12,Table1[#Headers],0,1),0)=0,"",VLOOKUP($A47,Table1[#All],_xlfn.XMATCH(J$12,Table1[#Headers],0,1),0))</f>
        <v>2</v>
      </c>
      <c r="K47" s="77"/>
      <c r="L47" s="76" t="str">
        <f>IF(VLOOKUP($A47,Table1[#All],_xlfn.XMATCH(L$12,Table1[#Headers],0,1),0)=0,"",VLOOKUP($A47,Table1[#All],_xlfn.XMATCH(L$12,Table1[#Headers],0,1),0))</f>
        <v>Veen, plantenresten, weinig, bruin, donker, Pulsinstallatie machinaal, Laag</v>
      </c>
      <c r="M47" s="76" t="str">
        <f>IF(VLOOKUP($A47,Table1[#All],_xlfn.XMATCH(M$12,Table1[#Headers],0,1),0)=0,"",VLOOKUP($A47,Table1[#All],_xlfn.XMATCH(M$12,Table1[#Headers],0,1),0))</f>
        <v/>
      </c>
      <c r="N47" s="76" t="str">
        <f>IF(VLOOKUP($A47,Table1[#All],_xlfn.XMATCH(N$12,Table1[#Headers],0,1),0)=0,"",VLOOKUP($A47,Table1[#All],_xlfn.XMATCH(N$12,Table1[#Headers],0,1),0))</f>
        <v/>
      </c>
      <c r="O47" s="76" t="str">
        <f>IF(VLOOKUP($A47,Table1[#All],_xlfn.XMATCH(O$12,Table1[#Headers],0,1),0)=0,"",VLOOKUP($A47,Table1[#All],_xlfn.XMATCH(O$12,Table1[#Headers],0,1),0))</f>
        <v/>
      </c>
      <c r="P47" s="76">
        <f>IF(VLOOKUP($A47,Table1[#All],_xlfn.XMATCH(P$12,Table1[#Headers],0,1),0)=0,"",VLOOKUP($A47,Table1[#All],_xlfn.XMATCH(P$12,Table1[#Headers],0,1),0))</f>
        <v>9.4145930385768413</v>
      </c>
      <c r="Q47" s="76">
        <f>IF(VLOOKUP($A47,Table1[#All],_xlfn.XMATCH(Q$12,Table1[#Headers],0,1),0)=0,"",VLOOKUP($A47,Table1[#All],_xlfn.XMATCH(Q$12,Table1[#Headers],0,1),0))</f>
        <v>4.443218442070993</v>
      </c>
      <c r="R47" s="76">
        <f>IF(VLOOKUP($A47,Table1[#All],_xlfn.XMATCH(R$12,Table1[#Headers],0,1),0)=0,"",VLOOKUP($A47,Table1[#All],_xlfn.XMATCH(R$12,Table1[#Headers],0,1),0))</f>
        <v>111.88679245283021</v>
      </c>
      <c r="S47" s="76" t="str">
        <f>IF(VLOOKUP($A47,Table1[#All],_xlfn.XMATCH(S$12,Table1[#Headers],0,1),0)=0,"",VLOOKUP($A47,Table1[#All],_xlfn.XMATCH(S$12,Table1[#Headers],0,1),0))</f>
        <v/>
      </c>
      <c r="T47" s="76" t="str">
        <f>IF(VLOOKUP($A47,Table1[#All],_xlfn.XMATCH(T$12,Table1[#Headers],0,1),0)=0,"",VLOOKUP($A47,Table1[#All],_xlfn.XMATCH(T$12,Table1[#Headers],0,1),0))</f>
        <v/>
      </c>
      <c r="U47" s="76" t="str">
        <f>IF(VLOOKUP($A47,Table1[#All],_xlfn.XMATCH(U$12,Table1[#Headers],0,1),0)=0,"",VLOOKUP($A47,Table1[#All],_xlfn.XMATCH(U$12,Table1[#Headers],0,1),0))</f>
        <v/>
      </c>
      <c r="V47" s="77"/>
      <c r="W47" s="76">
        <f>IF(VLOOKUP($A47,Table1[#All],_xlfn.XMATCH(W$12,Table1[#Headers],0,1),0)=0,"",VLOOKUP($A47,Table1[#All],_xlfn.XMATCH(W$12,Table1[#Headers],0,1),0))</f>
        <v>11.2</v>
      </c>
      <c r="X47" s="76" t="str">
        <f>IF(VLOOKUP($A47,Table1[#All],_xlfn.XMATCH(X$12,Table1[#Headers],0,1),0)=0,"",VLOOKUP($A47,Table1[#All],_xlfn.XMATCH(X$12,Table1[#Headers],0,1),0))</f>
        <v/>
      </c>
      <c r="Y47" s="76" t="str">
        <f>IF(VLOOKUP($A47,Table1[#All],_xlfn.XMATCH(Y$12,Table1[#Headers],0,1),0)=0,"",VLOOKUP($A47,Table1[#All],_xlfn.XMATCH(Y$12,Table1[#Headers],0,1),0))</f>
        <v/>
      </c>
      <c r="Z47" s="76" t="str">
        <f>IF(VLOOKUP($A47,Table1[#All],_xlfn.XMATCH(Z$12,Table1[#Headers],0,1),0)=0,"",VLOOKUP($A47,Table1[#All],_xlfn.XMATCH(Z$12,Table1[#Headers],0,1),0))</f>
        <v/>
      </c>
      <c r="AA47" s="76" t="str">
        <f>IF(VLOOKUP($A47,Table1[#All],_xlfn.XMATCH(AA$12,Table1[#Headers],0,1),0)=0,"",VLOOKUP($A47,Table1[#All],_xlfn.XMATCH(AA$12,Table1[#Headers],0,1),0))</f>
        <v/>
      </c>
      <c r="AB47" s="76" t="str">
        <f>IF(VLOOKUP($A47,Table1[#All],_xlfn.XMATCH(AB$12,Table1[#Headers],0,1),0)=0,"",VLOOKUP($A47,Table1[#All],_xlfn.XMATCH(AB$12,Table1[#Headers],0,1),0))</f>
        <v/>
      </c>
      <c r="AC47" s="76" t="str">
        <f>IF(VLOOKUP($A47,Table1[#All],_xlfn.XMATCH(AC$12,Table1[#Headers],0,1),0)=0,"",VLOOKUP($A47,Table1[#All],_xlfn.XMATCH(AC$12,Table1[#Headers],0,1),0))</f>
        <v/>
      </c>
      <c r="AD47" s="77"/>
      <c r="AE47" s="76" t="str">
        <f>IF(VLOOKUP($A47,Table1[#All],_xlfn.XMATCH(AE$12,Table1[#Headers],0,1),0)=0,"",VLOOKUP($A47,Table1[#All],_xlfn.XMATCH(AE$12,Table1[#Headers],0,1),0))</f>
        <v/>
      </c>
      <c r="AF47" s="76" t="str">
        <f>IF(VLOOKUP($A47,Table1[#All],_xlfn.XMATCH(AF$12,Table1[#Headers],0,1),0)=0,"",VLOOKUP($A47,Table1[#All],_xlfn.XMATCH(AF$12,Table1[#Headers],0,1),0))</f>
        <v/>
      </c>
      <c r="AG47" s="76" t="str">
        <f>IF(VLOOKUP($A47,Table1[#All],_xlfn.XMATCH(AG$12,Table1[#Headers],0,1),0)=0,"",VLOOKUP($A47,Table1[#All],_xlfn.XMATCH(AG$12,Table1[#Headers],0,1),0))</f>
        <v/>
      </c>
      <c r="AH47" s="76" t="str">
        <f>IF(VLOOKUP($A47,Table1[#All],_xlfn.XMATCH(AH$12,Table1[#Headers],0,1),0)=0,"",VLOOKUP($A47,Table1[#All],_xlfn.XMATCH(AH$12,Table1[#Headers],0,1),0))</f>
        <v/>
      </c>
      <c r="AI47" s="77"/>
      <c r="AJ47" s="78" t="str">
        <f>IF(VLOOKUP($A47,Table1[#All],_xlfn.XMATCH(AJ$12,Table1[#Headers],0,1),0)=0,"",VLOOKUP($A47,Table1[#All],_xlfn.XMATCH(AJ$12,Table1[#Headers],0,1),0))</f>
        <v/>
      </c>
      <c r="AK47" s="78" t="str">
        <f t="shared" si="10"/>
        <v/>
      </c>
      <c r="AL47" s="76" t="str">
        <f>IF(VLOOKUP($A47,Table1[#All],_xlfn.XMATCH(AL$12,Table1[#Headers],0,1),0)=0,"",VLOOKUP($A47,Table1[#All],_xlfn.XMATCH(AL$12,Table1[#Headers],0,1),0))</f>
        <v/>
      </c>
      <c r="AM47" s="77"/>
      <c r="AN47" s="76" t="str">
        <f>IF(VLOOKUP($A47,Table1[#All],_xlfn.XMATCH(AN$12,Table1[#Headers],0,1),0)=0,"",VLOOKUP($A47,Table1[#All],_xlfn.XMATCH(AN$12,Table1[#Headers],0,1),0))</f>
        <v/>
      </c>
      <c r="AO47" s="79" t="str">
        <f ca="1">HYPERLINK(Hulp!$C$5&amp;Beoordeling!AN47,MID(AN47,1,30))</f>
        <v/>
      </c>
      <c r="AP47" s="76" t="str">
        <f>IF(VLOOKUP($A47,Table1[#All],_xlfn.XMATCH(AP$12,Table1[#Headers],0,1),0)=0,"",VLOOKUP($A47,Table1[#All],_xlfn.XMATCH(AP$12,Table1[#Headers],0,1),0))</f>
        <v/>
      </c>
      <c r="AQ47" s="80"/>
      <c r="AR47" s="81"/>
      <c r="AS47" s="80"/>
      <c r="AT47" s="77"/>
      <c r="AU47" s="114" t="s">
        <v>388</v>
      </c>
      <c r="AV47" s="114" t="s">
        <v>388</v>
      </c>
      <c r="AW47" s="114" t="s">
        <v>388</v>
      </c>
      <c r="AX47" s="114" t="s">
        <v>388</v>
      </c>
      <c r="AY47" s="114" t="s">
        <v>388</v>
      </c>
      <c r="AZ47" s="114" t="s">
        <v>388</v>
      </c>
      <c r="BA47" s="77"/>
      <c r="BB47" s="114" t="s">
        <v>388</v>
      </c>
      <c r="BC47" s="114" t="s">
        <v>388</v>
      </c>
      <c r="BD47" s="114" t="s">
        <v>388</v>
      </c>
      <c r="BE47" s="114" t="s">
        <v>388</v>
      </c>
      <c r="BF47" s="114" t="s">
        <v>388</v>
      </c>
      <c r="BG47" s="114" t="s">
        <v>388</v>
      </c>
      <c r="BH47" s="114" t="s">
        <v>388</v>
      </c>
      <c r="BI47" s="114" t="s">
        <v>388</v>
      </c>
      <c r="BJ47" s="114" t="s">
        <v>388</v>
      </c>
      <c r="BK47" s="114" t="s">
        <v>388</v>
      </c>
      <c r="BL47" s="114" t="s">
        <v>388</v>
      </c>
      <c r="BM47" s="114" t="s">
        <v>388</v>
      </c>
      <c r="BN47" s="114" t="s">
        <v>388</v>
      </c>
      <c r="BO47" s="77"/>
      <c r="BP47" s="114" t="s">
        <v>388</v>
      </c>
      <c r="BQ47" s="114" t="s">
        <v>388</v>
      </c>
      <c r="BR47" s="114" t="s">
        <v>388</v>
      </c>
      <c r="BS47" s="77"/>
      <c r="BT47" s="76" t="str">
        <f>IF(VLOOKUP($A47,Table1[#All],_xlfn.XMATCH(BT$12,Table1[#Headers],0,1),0)=0,"",VLOOKUP($A47,Table1[#All],_xlfn.XMATCH(BT$12,Table1[#Headers],0,1),0))</f>
        <v>DSS27)GA250495_B03-K03_4-092.pdf</v>
      </c>
      <c r="BU47" s="79" t="str">
        <f ca="1">HYPERLINK(Hulp!$C$3&amp;Beoordeling!BT47,BT47)</f>
        <v>DSS27)GA250495_B03-K03_4-092.pdf</v>
      </c>
      <c r="BV47" s="77"/>
      <c r="BW47" s="81"/>
      <c r="BX47" s="81"/>
      <c r="BY47" s="81"/>
    </row>
    <row r="48" spans="1:77" x14ac:dyDescent="0.3">
      <c r="A48" s="75" t="s">
        <v>1401</v>
      </c>
      <c r="B48" s="76" t="str">
        <f>IF(VLOOKUP($A48,Table1[#All],_xlfn.XMATCH(B$12,Table1[#Headers],0,1),0)=0,"",VLOOKUP($A48,Table1[#All],_xlfn.XMATCH(B$12,Table1[#Headers],0,1),0))</f>
        <v>DSS_voorbeeld</v>
      </c>
      <c r="C48" s="76" t="str">
        <f>IF(VLOOKUP($A48,Table1[#All],_xlfn.XMATCH(C$12,Table1[#Headers],0,1),0)=0,"",VLOOKUP($A48,Table1[#All],_xlfn.XMATCH(C$12,Table1[#Headers],0,1),0))</f>
        <v/>
      </c>
      <c r="D48" s="77"/>
      <c r="E48" s="76" t="str">
        <f>IF(VLOOKUP($A48,Table1[#All],_xlfn.XMATCH(E$12,Table1[#Headers],0,1),0)=0,"",VLOOKUP($A48,Table1[#All],_xlfn.XMATCH(E$12,Table1[#Headers],0,1),0))</f>
        <v>Polderdijk</v>
      </c>
      <c r="F48" s="76" t="str">
        <f>IF(VLOOKUP($A48,Table1[#All],_xlfn.XMATCH(F$12,Table1[#Headers],0,1),0)=0,"",VLOOKUP($A48,Table1[#All],_xlfn.XMATCH(F$12,Table1[#Headers],0,1),0))</f>
        <v>Regionaal</v>
      </c>
      <c r="G48" s="76" t="str">
        <f>IF(VLOOKUP($A48,Table1[#All],_xlfn.XMATCH(G$12,Table1[#Headers],0,1),0)=0,"",VLOOKUP($A48,Table1[#All],_xlfn.XMATCH(G$12,Table1[#Headers],0,1),0))</f>
        <v>B03-K03</v>
      </c>
      <c r="H48" s="76" t="str">
        <f>IF(VLOOKUP($A48,Table1[#All],_xlfn.XMATCH(H$12,Table1[#Headers],0,1),0)=0,"",VLOOKUP($A48,Table1[#All],_xlfn.XMATCH(H$12,Table1[#Headers],0,1),0))</f>
        <v>KR</v>
      </c>
      <c r="I48" s="76">
        <f>IF(VLOOKUP($A48,Table1[#All],_xlfn.XMATCH(I$12,Table1[#Headers],0,1),0)=0,"",VLOOKUP($A48,Table1[#All],_xlfn.XMATCH(I$12,Table1[#Headers],0,1),0))</f>
        <v>-4.4079999999999986</v>
      </c>
      <c r="J48" s="76">
        <f>IF(VLOOKUP($A48,Table1[#All],_xlfn.XMATCH(J$12,Table1[#Headers],0,1),0)=0,"",VLOOKUP($A48,Table1[#All],_xlfn.XMATCH(J$12,Table1[#Headers],0,1),0))</f>
        <v>2.4</v>
      </c>
      <c r="K48" s="77"/>
      <c r="L48" s="76" t="str">
        <f>IF(VLOOKUP($A48,Table1[#All],_xlfn.XMATCH(L$12,Table1[#Headers],0,1),0)=0,"",VLOOKUP($A48,Table1[#All],_xlfn.XMATCH(L$12,Table1[#Headers],0,1),0))</f>
        <v>Veen, plantenresten, weinig, bruin, donker, Machinale Boring, Geen sterkte</v>
      </c>
      <c r="M48" s="76" t="str">
        <f>IF(VLOOKUP($A48,Table1[#All],_xlfn.XMATCH(M$12,Table1[#Headers],0,1),0)=0,"",VLOOKUP($A48,Table1[#All],_xlfn.XMATCH(M$12,Table1[#Headers],0,1),0))</f>
        <v/>
      </c>
      <c r="N48" s="76" t="str">
        <f>IF(VLOOKUP($A48,Table1[#All],_xlfn.XMATCH(N$12,Table1[#Headers],0,1),0)=0,"",VLOOKUP($A48,Table1[#All],_xlfn.XMATCH(N$12,Table1[#Headers],0,1),0))</f>
        <v/>
      </c>
      <c r="O48" s="76" t="str">
        <f>IF(VLOOKUP($A48,Table1[#All],_xlfn.XMATCH(O$12,Table1[#Headers],0,1),0)=0,"",VLOOKUP($A48,Table1[#All],_xlfn.XMATCH(O$12,Table1[#Headers],0,1),0))</f>
        <v/>
      </c>
      <c r="P48" s="76">
        <f>IF(VLOOKUP($A48,Table1[#All],_xlfn.XMATCH(P$12,Table1[#Headers],0,1),0)=0,"",VLOOKUP($A48,Table1[#All],_xlfn.XMATCH(P$12,Table1[#Headers],0,1),0))</f>
        <v>9.4662039911883724</v>
      </c>
      <c r="Q48" s="76">
        <f>IF(VLOOKUP($A48,Table1[#All],_xlfn.XMATCH(Q$12,Table1[#Headers],0,1),0)=0,"",VLOOKUP($A48,Table1[#All],_xlfn.XMATCH(Q$12,Table1[#Headers],0,1),0))</f>
        <v>1.2327767428846119</v>
      </c>
      <c r="R48" s="76">
        <f>IF(VLOOKUP($A48,Table1[#All],_xlfn.XMATCH(R$12,Table1[#Headers],0,1),0)=0,"",VLOOKUP($A48,Table1[#All],_xlfn.XMATCH(R$12,Table1[#Headers],0,1),0))</f>
        <v>667.87658802177873</v>
      </c>
      <c r="S48" s="76" t="str">
        <f>IF(VLOOKUP($A48,Table1[#All],_xlfn.XMATCH(S$12,Table1[#Headers],0,1),0)=0,"",VLOOKUP($A48,Table1[#All],_xlfn.XMATCH(S$12,Table1[#Headers],0,1),0))</f>
        <v/>
      </c>
      <c r="T48" s="76" t="str">
        <f>IF(VLOOKUP($A48,Table1[#All],_xlfn.XMATCH(T$12,Table1[#Headers],0,1),0)=0,"",VLOOKUP($A48,Table1[#All],_xlfn.XMATCH(T$12,Table1[#Headers],0,1),0))</f>
        <v/>
      </c>
      <c r="U48" s="76" t="str">
        <f>IF(VLOOKUP($A48,Table1[#All],_xlfn.XMATCH(U$12,Table1[#Headers],0,1),0)=0,"",VLOOKUP($A48,Table1[#All],_xlfn.XMATCH(U$12,Table1[#Headers],0,1),0))</f>
        <v/>
      </c>
      <c r="V48" s="77"/>
      <c r="W48" s="76">
        <f>IF(VLOOKUP($A48,Table1[#All],_xlfn.XMATCH(W$12,Table1[#Headers],0,1),0)=0,"",VLOOKUP($A48,Table1[#All],_xlfn.XMATCH(W$12,Table1[#Headers],0,1),0))</f>
        <v>11.7</v>
      </c>
      <c r="X48" s="76" t="str">
        <f>IF(VLOOKUP($A48,Table1[#All],_xlfn.XMATCH(X$12,Table1[#Headers],0,1),0)=0,"",VLOOKUP($A48,Table1[#All],_xlfn.XMATCH(X$12,Table1[#Headers],0,1),0))</f>
        <v/>
      </c>
      <c r="Y48" s="76" t="str">
        <f>IF(VLOOKUP($A48,Table1[#All],_xlfn.XMATCH(Y$12,Table1[#Headers],0,1),0)=0,"",VLOOKUP($A48,Table1[#All],_xlfn.XMATCH(Y$12,Table1[#Headers],0,1),0))</f>
        <v/>
      </c>
      <c r="Z48" s="76" t="str">
        <f>IF(VLOOKUP($A48,Table1[#All],_xlfn.XMATCH(Z$12,Table1[#Headers],0,1),0)=0,"",VLOOKUP($A48,Table1[#All],_xlfn.XMATCH(Z$12,Table1[#Headers],0,1),0))</f>
        <v/>
      </c>
      <c r="AA48" s="76" t="str">
        <f>IF(VLOOKUP($A48,Table1[#All],_xlfn.XMATCH(AA$12,Table1[#Headers],0,1),0)=0,"",VLOOKUP($A48,Table1[#All],_xlfn.XMATCH(AA$12,Table1[#Headers],0,1),0))</f>
        <v/>
      </c>
      <c r="AB48" s="76" t="str">
        <f>IF(VLOOKUP($A48,Table1[#All],_xlfn.XMATCH(AB$12,Table1[#Headers],0,1),0)=0,"",VLOOKUP($A48,Table1[#All],_xlfn.XMATCH(AB$12,Table1[#Headers],0,1),0))</f>
        <v/>
      </c>
      <c r="AC48" s="76" t="str">
        <f>IF(VLOOKUP($A48,Table1[#All],_xlfn.XMATCH(AC$12,Table1[#Headers],0,1),0)=0,"",VLOOKUP($A48,Table1[#All],_xlfn.XMATCH(AC$12,Table1[#Headers],0,1),0))</f>
        <v/>
      </c>
      <c r="AD48" s="77"/>
      <c r="AE48" s="76" t="str">
        <f>IF(VLOOKUP($A48,Table1[#All],_xlfn.XMATCH(AE$12,Table1[#Headers],0,1),0)=0,"",VLOOKUP($A48,Table1[#All],_xlfn.XMATCH(AE$12,Table1[#Headers],0,1),0))</f>
        <v/>
      </c>
      <c r="AF48" s="76" t="str">
        <f>IF(VLOOKUP($A48,Table1[#All],_xlfn.XMATCH(AF$12,Table1[#Headers],0,1),0)=0,"",VLOOKUP($A48,Table1[#All],_xlfn.XMATCH(AF$12,Table1[#Headers],0,1),0))</f>
        <v/>
      </c>
      <c r="AG48" s="76" t="str">
        <f>IF(VLOOKUP($A48,Table1[#All],_xlfn.XMATCH(AG$12,Table1[#Headers],0,1),0)=0,"",VLOOKUP($A48,Table1[#All],_xlfn.XMATCH(AG$12,Table1[#Headers],0,1),0))</f>
        <v/>
      </c>
      <c r="AH48" s="76" t="str">
        <f>IF(VLOOKUP($A48,Table1[#All],_xlfn.XMATCH(AH$12,Table1[#Headers],0,1),0)=0,"",VLOOKUP($A48,Table1[#All],_xlfn.XMATCH(AH$12,Table1[#Headers],0,1),0))</f>
        <v/>
      </c>
      <c r="AI48" s="77"/>
      <c r="AJ48" s="78" t="str">
        <f>IF(VLOOKUP($A48,Table1[#All],_xlfn.XMATCH(AJ$12,Table1[#Headers],0,1),0)=0,"",VLOOKUP($A48,Table1[#All],_xlfn.XMATCH(AJ$12,Table1[#Headers],0,1),0))</f>
        <v/>
      </c>
      <c r="AK48" s="78" t="str">
        <f t="shared" si="10"/>
        <v/>
      </c>
      <c r="AL48" s="76" t="str">
        <f>IF(VLOOKUP($A48,Table1[#All],_xlfn.XMATCH(AL$12,Table1[#Headers],0,1),0)=0,"",VLOOKUP($A48,Table1[#All],_xlfn.XMATCH(AL$12,Table1[#Headers],0,1),0))</f>
        <v/>
      </c>
      <c r="AM48" s="77"/>
      <c r="AN48" s="76" t="str">
        <f>IF(VLOOKUP($A48,Table1[#All],_xlfn.XMATCH(AN$12,Table1[#Headers],0,1),0)=0,"",VLOOKUP($A48,Table1[#All],_xlfn.XMATCH(AN$12,Table1[#Headers],0,1),0))</f>
        <v/>
      </c>
      <c r="AO48" s="79" t="str">
        <f ca="1">HYPERLINK(Hulp!$C$5&amp;Beoordeling!AN48,MID(AN48,1,30))</f>
        <v/>
      </c>
      <c r="AP48" s="76" t="str">
        <f>IF(VLOOKUP($A48,Table1[#All],_xlfn.XMATCH(AP$12,Table1[#Headers],0,1),0)=0,"",VLOOKUP($A48,Table1[#All],_xlfn.XMATCH(AP$12,Table1[#Headers],0,1),0))</f>
        <v/>
      </c>
      <c r="AQ48" s="80"/>
      <c r="AR48" s="81"/>
      <c r="AS48" s="80"/>
      <c r="AT48" s="77"/>
      <c r="AU48" s="114" t="s">
        <v>388</v>
      </c>
      <c r="AV48" s="114" t="s">
        <v>388</v>
      </c>
      <c r="AW48" s="114" t="s">
        <v>388</v>
      </c>
      <c r="AX48" s="114" t="s">
        <v>388</v>
      </c>
      <c r="AY48" s="114" t="s">
        <v>388</v>
      </c>
      <c r="AZ48" s="114" t="s">
        <v>388</v>
      </c>
      <c r="BA48" s="77"/>
      <c r="BB48" s="114" t="s">
        <v>388</v>
      </c>
      <c r="BC48" s="114" t="s">
        <v>388</v>
      </c>
      <c r="BD48" s="114" t="s">
        <v>388</v>
      </c>
      <c r="BE48" s="114" t="s">
        <v>388</v>
      </c>
      <c r="BF48" s="114" t="s">
        <v>388</v>
      </c>
      <c r="BG48" s="114" t="s">
        <v>388</v>
      </c>
      <c r="BH48" s="114" t="s">
        <v>388</v>
      </c>
      <c r="BI48" s="114" t="s">
        <v>388</v>
      </c>
      <c r="BJ48" s="114" t="s">
        <v>388</v>
      </c>
      <c r="BK48" s="114" t="s">
        <v>388</v>
      </c>
      <c r="BL48" s="114" t="s">
        <v>388</v>
      </c>
      <c r="BM48" s="114" t="s">
        <v>388</v>
      </c>
      <c r="BN48" s="114" t="s">
        <v>388</v>
      </c>
      <c r="BO48" s="77"/>
      <c r="BP48" s="114" t="s">
        <v>388</v>
      </c>
      <c r="BQ48" s="114" t="s">
        <v>388</v>
      </c>
      <c r="BR48" s="114" t="s">
        <v>388</v>
      </c>
      <c r="BS48" s="77"/>
      <c r="BT48" s="76" t="str">
        <f>IF(VLOOKUP($A48,Table1[#All],_xlfn.XMATCH(BT$12,Table1[#Headers],0,1),0)=0,"",VLOOKUP($A48,Table1[#All],_xlfn.XMATCH(BT$12,Table1[#Headers],0,1),0))</f>
        <v>DSS28)GA250495_B03-K03_5-G94.pdf</v>
      </c>
      <c r="BU48" s="79" t="str">
        <f ca="1">HYPERLINK(Hulp!$C$3&amp;Beoordeling!BT48,BT48)</f>
        <v>DSS28)GA250495_B03-K03_5-G94.pdf</v>
      </c>
      <c r="BV48" s="77"/>
      <c r="BW48" s="81"/>
      <c r="BX48" s="81"/>
      <c r="BY48" s="81"/>
    </row>
    <row r="49" spans="1:77" x14ac:dyDescent="0.3">
      <c r="A49" s="89" t="s">
        <v>1115</v>
      </c>
      <c r="B49" s="89" t="s">
        <v>1115</v>
      </c>
      <c r="C49" s="89" t="s">
        <v>1115</v>
      </c>
      <c r="D49" s="89" t="s">
        <v>1115</v>
      </c>
      <c r="E49" s="89" t="s">
        <v>1115</v>
      </c>
      <c r="F49" s="89" t="s">
        <v>1115</v>
      </c>
      <c r="G49" s="89" t="s">
        <v>1115</v>
      </c>
      <c r="H49" s="89" t="s">
        <v>1115</v>
      </c>
      <c r="I49" s="89" t="s">
        <v>1115</v>
      </c>
      <c r="J49" s="89" t="s">
        <v>1115</v>
      </c>
      <c r="K49" s="89" t="s">
        <v>1115</v>
      </c>
      <c r="L49" s="89" t="s">
        <v>1115</v>
      </c>
      <c r="M49" s="89" t="s">
        <v>1115</v>
      </c>
      <c r="N49" s="89" t="s">
        <v>1115</v>
      </c>
      <c r="O49" s="89" t="s">
        <v>1115</v>
      </c>
      <c r="P49" s="89" t="s">
        <v>1115</v>
      </c>
      <c r="Q49" s="89" t="s">
        <v>1115</v>
      </c>
      <c r="R49" s="89" t="s">
        <v>1115</v>
      </c>
      <c r="S49" s="89" t="s">
        <v>1115</v>
      </c>
      <c r="T49" s="89" t="s">
        <v>1115</v>
      </c>
      <c r="U49" s="89" t="s">
        <v>1115</v>
      </c>
      <c r="V49" s="89" t="s">
        <v>1115</v>
      </c>
      <c r="W49" s="89" t="s">
        <v>1115</v>
      </c>
      <c r="X49" s="89" t="s">
        <v>1115</v>
      </c>
      <c r="Y49" s="89" t="s">
        <v>1115</v>
      </c>
      <c r="Z49" s="89" t="s">
        <v>1115</v>
      </c>
      <c r="AA49" s="89" t="s">
        <v>1115</v>
      </c>
      <c r="AB49" s="89" t="s">
        <v>1115</v>
      </c>
      <c r="AC49" s="89" t="s">
        <v>1115</v>
      </c>
      <c r="AD49" s="89" t="s">
        <v>1115</v>
      </c>
      <c r="AE49" s="89" t="s">
        <v>1115</v>
      </c>
      <c r="AF49" s="89" t="s">
        <v>1115</v>
      </c>
      <c r="AG49" s="89" t="s">
        <v>1115</v>
      </c>
      <c r="AH49" s="89" t="s">
        <v>1115</v>
      </c>
      <c r="AI49" s="89" t="s">
        <v>1115</v>
      </c>
      <c r="AJ49" s="89" t="s">
        <v>1115</v>
      </c>
      <c r="AK49" s="89" t="s">
        <v>1115</v>
      </c>
      <c r="AL49" s="89" t="s">
        <v>1115</v>
      </c>
      <c r="AM49" s="89" t="s">
        <v>1115</v>
      </c>
      <c r="AN49" s="89" t="s">
        <v>1115</v>
      </c>
      <c r="AO49" s="89" t="s">
        <v>1115</v>
      </c>
      <c r="AP49" s="89" t="s">
        <v>1115</v>
      </c>
      <c r="AQ49" s="89" t="s">
        <v>1115</v>
      </c>
      <c r="AR49" s="89" t="s">
        <v>1115</v>
      </c>
      <c r="AS49" s="89" t="s">
        <v>1115</v>
      </c>
      <c r="AT49" s="89" t="s">
        <v>1115</v>
      </c>
      <c r="AU49" s="89" t="s">
        <v>1115</v>
      </c>
      <c r="AV49" s="89" t="s">
        <v>1115</v>
      </c>
      <c r="AW49" s="89" t="s">
        <v>1115</v>
      </c>
      <c r="AX49" s="89" t="s">
        <v>1115</v>
      </c>
      <c r="AY49" s="89" t="s">
        <v>1115</v>
      </c>
      <c r="AZ49" s="89" t="s">
        <v>1115</v>
      </c>
      <c r="BA49" s="89" t="s">
        <v>1115</v>
      </c>
      <c r="BB49" s="90" t="s">
        <v>1115</v>
      </c>
      <c r="BC49" s="90"/>
      <c r="BD49" s="89" t="s">
        <v>1115</v>
      </c>
      <c r="BE49" s="89" t="s">
        <v>1115</v>
      </c>
      <c r="BF49" s="89" t="s">
        <v>1115</v>
      </c>
      <c r="BG49" s="89" t="s">
        <v>1115</v>
      </c>
      <c r="BH49" s="89" t="s">
        <v>1115</v>
      </c>
      <c r="BI49" s="89" t="s">
        <v>1115</v>
      </c>
      <c r="BJ49" s="89" t="s">
        <v>1115</v>
      </c>
      <c r="BK49" s="89" t="s">
        <v>1115</v>
      </c>
      <c r="BL49" s="89" t="s">
        <v>1115</v>
      </c>
      <c r="BM49" s="89" t="s">
        <v>1115</v>
      </c>
      <c r="BN49" s="89" t="s">
        <v>1115</v>
      </c>
      <c r="BO49" s="89" t="s">
        <v>1115</v>
      </c>
      <c r="BP49" s="89" t="s">
        <v>1115</v>
      </c>
      <c r="BQ49" s="89" t="s">
        <v>1115</v>
      </c>
      <c r="BR49" s="89" t="s">
        <v>1115</v>
      </c>
      <c r="BS49" s="89" t="s">
        <v>1115</v>
      </c>
      <c r="BT49" s="89" t="s">
        <v>1115</v>
      </c>
      <c r="BU49" s="89" t="s">
        <v>1115</v>
      </c>
      <c r="BV49" s="89" t="s">
        <v>1115</v>
      </c>
      <c r="BW49" s="89" t="s">
        <v>1115</v>
      </c>
      <c r="BX49" s="89" t="s">
        <v>1115</v>
      </c>
      <c r="BY49" s="89" t="s">
        <v>1115</v>
      </c>
    </row>
    <row r="50" spans="1:77" x14ac:dyDescent="0.3">
      <c r="A50" s="89"/>
      <c r="B50" s="89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89"/>
      <c r="Y50" s="89"/>
      <c r="Z50" s="91"/>
      <c r="AA50" s="91"/>
      <c r="AB50" s="91"/>
      <c r="AC50" s="91"/>
      <c r="AD50" s="91"/>
      <c r="AE50" s="91"/>
      <c r="AF50" s="91"/>
      <c r="AG50" s="91"/>
      <c r="AH50" s="91"/>
      <c r="AI50" s="91"/>
      <c r="AL50" s="89"/>
      <c r="AM50" s="91"/>
      <c r="AN50" s="91"/>
      <c r="AP50" s="91"/>
      <c r="AQ50" s="91"/>
      <c r="AR50" s="91"/>
      <c r="AS50" s="91"/>
      <c r="AT50" s="91"/>
      <c r="BA50" s="91"/>
      <c r="BD50" s="89"/>
      <c r="BE50" s="89"/>
      <c r="BF50" s="91"/>
      <c r="BG50" s="91"/>
      <c r="BH50" s="91"/>
      <c r="BI50" s="91"/>
      <c r="BJ50" s="91"/>
      <c r="BK50" s="91"/>
      <c r="BO50" s="91"/>
      <c r="BS50" s="91"/>
      <c r="BT50" s="91"/>
      <c r="BV50" s="91"/>
    </row>
    <row r="51" spans="1:77" x14ac:dyDescent="0.3">
      <c r="A51" s="89"/>
      <c r="B51" s="89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89"/>
      <c r="Y51" s="89"/>
      <c r="Z51" s="91"/>
      <c r="AA51" s="91"/>
      <c r="AB51" s="91"/>
      <c r="AC51" s="91"/>
      <c r="AD51" s="91"/>
      <c r="AE51" s="91"/>
      <c r="AF51" s="91"/>
      <c r="AG51" s="91"/>
      <c r="AH51" s="91"/>
      <c r="AI51" s="91"/>
      <c r="AL51" s="89"/>
      <c r="AM51" s="91"/>
      <c r="AN51" s="91"/>
      <c r="AP51" s="91"/>
      <c r="AQ51" s="91"/>
      <c r="AR51" s="91"/>
      <c r="AS51" s="91"/>
      <c r="AT51" s="91"/>
      <c r="BA51" s="91"/>
      <c r="BD51" s="89"/>
      <c r="BE51" s="89"/>
      <c r="BF51" s="91"/>
      <c r="BG51" s="91"/>
      <c r="BH51" s="91"/>
      <c r="BI51" s="91"/>
      <c r="BJ51" s="91"/>
      <c r="BK51" s="91"/>
      <c r="BO51" s="91"/>
      <c r="BS51" s="91"/>
      <c r="BT51" s="91"/>
      <c r="BV51" s="91"/>
    </row>
    <row r="52" spans="1:77" x14ac:dyDescent="0.3">
      <c r="A52" s="89"/>
      <c r="B52" s="89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89"/>
      <c r="Y52" s="89"/>
      <c r="Z52" s="91"/>
      <c r="AA52" s="91"/>
      <c r="AB52" s="91"/>
      <c r="AC52" s="91"/>
      <c r="AD52" s="91"/>
      <c r="AE52" s="91"/>
      <c r="AF52" s="91"/>
      <c r="AG52" s="91"/>
      <c r="AH52" s="91"/>
      <c r="AI52" s="91"/>
      <c r="AL52" s="89"/>
      <c r="AM52" s="91"/>
      <c r="AN52" s="91"/>
      <c r="AP52" s="91"/>
      <c r="AQ52" s="91"/>
      <c r="AR52" s="91"/>
      <c r="AS52" s="91"/>
      <c r="AT52" s="91"/>
      <c r="BA52" s="91"/>
      <c r="BD52" s="89"/>
      <c r="BE52" s="89"/>
      <c r="BF52" s="91"/>
      <c r="BG52" s="91"/>
      <c r="BH52" s="91"/>
      <c r="BI52" s="91"/>
      <c r="BJ52" s="91"/>
      <c r="BK52" s="91"/>
      <c r="BO52" s="91"/>
      <c r="BS52" s="91"/>
      <c r="BT52" s="91"/>
      <c r="BV52" s="91"/>
    </row>
    <row r="53" spans="1:77" x14ac:dyDescent="0.3">
      <c r="A53" s="89"/>
      <c r="B53" s="89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89"/>
      <c r="Y53" s="89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L53" s="89"/>
      <c r="AM53" s="91"/>
      <c r="AN53" s="91"/>
      <c r="AP53" s="91"/>
      <c r="AQ53" s="91"/>
      <c r="AR53" s="91"/>
      <c r="AS53" s="91"/>
      <c r="AT53" s="91"/>
      <c r="BA53" s="91"/>
      <c r="BD53" s="89"/>
      <c r="BE53" s="89"/>
      <c r="BF53" s="91"/>
      <c r="BG53" s="91"/>
      <c r="BH53" s="91"/>
      <c r="BI53" s="91"/>
      <c r="BJ53" s="91"/>
      <c r="BK53" s="91"/>
      <c r="BO53" s="91"/>
      <c r="BS53" s="91"/>
      <c r="BT53" s="91"/>
      <c r="BV53" s="91"/>
    </row>
    <row r="54" spans="1:77" x14ac:dyDescent="0.3">
      <c r="B54" s="89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89"/>
      <c r="Y54" s="89"/>
      <c r="Z54" s="91"/>
      <c r="AA54" s="91"/>
      <c r="AB54" s="91"/>
      <c r="AC54" s="91"/>
      <c r="AD54" s="91"/>
      <c r="AE54" s="91"/>
      <c r="AF54" s="91"/>
      <c r="AG54" s="91"/>
      <c r="AH54" s="91"/>
      <c r="AI54" s="91"/>
      <c r="AL54" s="89"/>
      <c r="AM54" s="91"/>
      <c r="AN54" s="91"/>
      <c r="AP54" s="91"/>
      <c r="AQ54" s="91"/>
      <c r="AR54" s="91"/>
      <c r="AS54" s="91"/>
      <c r="AT54" s="91"/>
      <c r="BA54" s="91"/>
      <c r="BD54" s="89"/>
      <c r="BE54" s="89"/>
      <c r="BF54" s="91"/>
      <c r="BG54" s="91"/>
      <c r="BH54" s="91"/>
      <c r="BI54" s="91"/>
      <c r="BJ54" s="91"/>
      <c r="BK54" s="91"/>
      <c r="BO54" s="91"/>
      <c r="BS54" s="91"/>
      <c r="BT54" s="91"/>
      <c r="BV54" s="91"/>
    </row>
    <row r="55" spans="1:77" x14ac:dyDescent="0.3">
      <c r="B55" s="89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89"/>
      <c r="Y55" s="89"/>
      <c r="Z55" s="91"/>
      <c r="AA55" s="91"/>
      <c r="AB55" s="91"/>
      <c r="AC55" s="91"/>
      <c r="AD55" s="91"/>
      <c r="AE55" s="91"/>
      <c r="AF55" s="91"/>
      <c r="AG55" s="91"/>
      <c r="AH55" s="91"/>
      <c r="AI55" s="91"/>
      <c r="AL55" s="89"/>
      <c r="AM55" s="91"/>
      <c r="AN55" s="91"/>
      <c r="AP55" s="91"/>
      <c r="AQ55" s="91"/>
      <c r="AR55" s="91"/>
      <c r="AS55" s="91"/>
      <c r="AT55" s="91"/>
      <c r="BA55" s="91"/>
      <c r="BD55" s="89"/>
      <c r="BE55" s="89"/>
      <c r="BF55" s="91"/>
      <c r="BG55" s="91"/>
      <c r="BH55" s="91"/>
      <c r="BI55" s="91"/>
      <c r="BJ55" s="91"/>
      <c r="BK55" s="91"/>
      <c r="BO55" s="91"/>
      <c r="BS55" s="91"/>
      <c r="BT55" s="91"/>
      <c r="BV55" s="91"/>
    </row>
    <row r="56" spans="1:77" x14ac:dyDescent="0.3">
      <c r="A56" s="89"/>
      <c r="B56" s="89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89"/>
      <c r="Y56" s="89"/>
      <c r="Z56" s="91"/>
      <c r="AA56" s="91"/>
      <c r="AB56" s="91"/>
      <c r="AC56" s="91"/>
      <c r="AD56" s="91"/>
      <c r="AE56" s="91"/>
      <c r="AF56" s="91"/>
      <c r="AG56" s="91"/>
      <c r="AH56" s="91"/>
      <c r="AI56" s="91"/>
      <c r="AL56" s="89"/>
      <c r="AM56" s="91"/>
      <c r="AN56" s="91"/>
      <c r="AP56" s="91"/>
      <c r="AQ56" s="91"/>
      <c r="AR56" s="91"/>
      <c r="AS56" s="91"/>
      <c r="AT56" s="91"/>
      <c r="BA56" s="91"/>
      <c r="BD56" s="89"/>
      <c r="BE56" s="89"/>
      <c r="BF56" s="91"/>
      <c r="BG56" s="91"/>
      <c r="BH56" s="91"/>
      <c r="BI56" s="91"/>
      <c r="BJ56" s="91"/>
      <c r="BK56" s="91"/>
      <c r="BO56" s="91"/>
      <c r="BS56" s="91"/>
      <c r="BT56" s="91"/>
      <c r="BV56" s="91"/>
    </row>
    <row r="57" spans="1:77" x14ac:dyDescent="0.3">
      <c r="A57" s="89"/>
      <c r="B57" s="89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89"/>
      <c r="Y57" s="89"/>
      <c r="Z57" s="91"/>
      <c r="AA57" s="91"/>
      <c r="AB57" s="91"/>
      <c r="AC57" s="91"/>
      <c r="AD57" s="91"/>
      <c r="AE57" s="91"/>
      <c r="AF57" s="91"/>
      <c r="AG57" s="91"/>
      <c r="AH57" s="91"/>
      <c r="AI57" s="91"/>
      <c r="AL57" s="89"/>
      <c r="AM57" s="91"/>
      <c r="AN57" s="91"/>
      <c r="AP57" s="91"/>
      <c r="AQ57" s="91"/>
      <c r="AR57" s="91"/>
      <c r="AS57" s="91"/>
      <c r="AT57" s="91"/>
      <c r="BA57" s="91"/>
      <c r="BD57" s="89"/>
      <c r="BE57" s="89"/>
      <c r="BF57" s="91"/>
      <c r="BG57" s="91"/>
      <c r="BH57" s="91"/>
      <c r="BI57" s="91"/>
      <c r="BJ57" s="91"/>
      <c r="BK57" s="91"/>
      <c r="BO57" s="91"/>
      <c r="BS57" s="91"/>
      <c r="BT57" s="91"/>
      <c r="BV57" s="91"/>
    </row>
    <row r="58" spans="1:77" x14ac:dyDescent="0.3">
      <c r="A58" s="89"/>
      <c r="B58" s="89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89"/>
      <c r="Y58" s="89"/>
      <c r="Z58" s="91"/>
      <c r="AA58" s="91"/>
      <c r="AB58" s="91"/>
      <c r="AC58" s="91"/>
      <c r="AD58" s="91"/>
      <c r="AE58" s="91"/>
      <c r="AF58" s="91"/>
      <c r="AG58" s="91"/>
      <c r="AH58" s="91"/>
      <c r="AI58" s="91"/>
      <c r="AL58" s="89"/>
      <c r="AM58" s="91"/>
      <c r="AN58" s="91"/>
      <c r="AP58" s="91"/>
      <c r="AQ58" s="91"/>
      <c r="AR58" s="91"/>
      <c r="AS58" s="91"/>
      <c r="AT58" s="91"/>
      <c r="BA58" s="91"/>
      <c r="BD58" s="89"/>
      <c r="BE58" s="89"/>
      <c r="BF58" s="91"/>
      <c r="BG58" s="91"/>
      <c r="BH58" s="91"/>
      <c r="BI58" s="91"/>
      <c r="BJ58" s="91"/>
      <c r="BK58" s="91"/>
      <c r="BO58" s="91"/>
      <c r="BS58" s="91"/>
      <c r="BT58" s="91"/>
      <c r="BV58" s="91"/>
    </row>
    <row r="59" spans="1:77" x14ac:dyDescent="0.3">
      <c r="A59" s="89"/>
      <c r="B59" s="89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89"/>
      <c r="Y59" s="89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L59" s="89"/>
      <c r="AM59" s="91"/>
      <c r="AN59" s="91"/>
      <c r="AP59" s="91"/>
      <c r="AQ59" s="91"/>
      <c r="AR59" s="91"/>
      <c r="AS59" s="91"/>
      <c r="AT59" s="91"/>
      <c r="BA59" s="91"/>
      <c r="BD59" s="89"/>
      <c r="BE59" s="89"/>
      <c r="BF59" s="91"/>
      <c r="BG59" s="91"/>
      <c r="BH59" s="91"/>
      <c r="BI59" s="91"/>
      <c r="BJ59" s="91"/>
      <c r="BK59" s="91"/>
      <c r="BO59" s="91"/>
      <c r="BS59" s="91"/>
      <c r="BT59" s="91"/>
      <c r="BV59" s="91"/>
    </row>
    <row r="60" spans="1:77" x14ac:dyDescent="0.3">
      <c r="A60" s="89"/>
      <c r="B60" s="89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89"/>
      <c r="Y60" s="89"/>
      <c r="Z60" s="91"/>
      <c r="AA60" s="91"/>
      <c r="AB60" s="91"/>
      <c r="AC60" s="91"/>
      <c r="AD60" s="91"/>
      <c r="AE60" s="91"/>
      <c r="AF60" s="91"/>
      <c r="AG60" s="91"/>
      <c r="AH60" s="91"/>
      <c r="AI60" s="91"/>
      <c r="AL60" s="89"/>
      <c r="AM60" s="91"/>
      <c r="AN60" s="91"/>
      <c r="AP60" s="91"/>
      <c r="AQ60" s="91"/>
      <c r="AR60" s="91"/>
      <c r="AS60" s="91"/>
      <c r="AT60" s="91"/>
      <c r="BA60" s="91"/>
      <c r="BD60" s="89"/>
      <c r="BE60" s="89"/>
      <c r="BF60" s="91"/>
      <c r="BG60" s="91"/>
      <c r="BH60" s="91"/>
      <c r="BI60" s="91"/>
      <c r="BJ60" s="91"/>
      <c r="BK60" s="91"/>
      <c r="BO60" s="91"/>
      <c r="BS60" s="91"/>
      <c r="BT60" s="91"/>
      <c r="BV60" s="91"/>
    </row>
    <row r="61" spans="1:77" x14ac:dyDescent="0.3">
      <c r="A61" s="89"/>
      <c r="B61" s="89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89"/>
      <c r="Y61" s="89"/>
      <c r="Z61" s="91"/>
      <c r="AA61" s="91"/>
      <c r="AB61" s="91"/>
      <c r="AC61" s="91"/>
      <c r="AD61" s="91"/>
      <c r="AE61" s="91"/>
      <c r="AF61" s="91"/>
      <c r="AG61" s="91"/>
      <c r="AH61" s="91"/>
      <c r="AI61" s="91"/>
      <c r="AL61" s="89"/>
      <c r="AM61" s="91"/>
      <c r="AN61" s="91"/>
      <c r="AP61" s="91"/>
      <c r="AQ61" s="91"/>
      <c r="AR61" s="91"/>
      <c r="AS61" s="91"/>
      <c r="AT61" s="91"/>
      <c r="BA61" s="91"/>
      <c r="BD61" s="89"/>
      <c r="BE61" s="89"/>
      <c r="BF61" s="91"/>
      <c r="BG61" s="91"/>
      <c r="BH61" s="91"/>
      <c r="BI61" s="91"/>
      <c r="BJ61" s="91"/>
      <c r="BK61" s="91"/>
      <c r="BO61" s="91"/>
      <c r="BS61" s="91"/>
      <c r="BT61" s="91"/>
      <c r="BV61" s="91"/>
    </row>
    <row r="62" spans="1:77" x14ac:dyDescent="0.3">
      <c r="A62" s="89"/>
      <c r="B62" s="89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89"/>
      <c r="Y62" s="89"/>
      <c r="Z62" s="91"/>
      <c r="AA62" s="91"/>
      <c r="AB62" s="91"/>
      <c r="AC62" s="91"/>
      <c r="AD62" s="91"/>
      <c r="AE62" s="91"/>
      <c r="AF62" s="91"/>
      <c r="AG62" s="91"/>
      <c r="AH62" s="91"/>
      <c r="AI62" s="91"/>
      <c r="AL62" s="89"/>
      <c r="AM62" s="91"/>
      <c r="AN62" s="91"/>
      <c r="AP62" s="91"/>
      <c r="AQ62" s="91"/>
      <c r="AR62" s="91"/>
      <c r="AS62" s="91"/>
      <c r="AT62" s="91"/>
      <c r="BA62" s="91"/>
      <c r="BD62" s="89"/>
      <c r="BE62" s="89"/>
      <c r="BF62" s="91"/>
      <c r="BG62" s="91"/>
      <c r="BH62" s="91"/>
      <c r="BI62" s="91"/>
      <c r="BJ62" s="91"/>
      <c r="BK62" s="91"/>
      <c r="BO62" s="91"/>
      <c r="BS62" s="91"/>
      <c r="BT62" s="91"/>
      <c r="BV62" s="91"/>
    </row>
    <row r="63" spans="1:77" x14ac:dyDescent="0.3">
      <c r="A63" s="89"/>
      <c r="B63" s="89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89"/>
      <c r="Y63" s="89"/>
      <c r="Z63" s="91"/>
      <c r="AA63" s="91"/>
      <c r="AB63" s="91"/>
      <c r="AC63" s="91"/>
      <c r="AD63" s="91"/>
      <c r="AE63" s="91"/>
      <c r="AF63" s="91"/>
      <c r="AG63" s="91"/>
      <c r="AH63" s="91"/>
      <c r="AI63" s="91"/>
      <c r="AL63" s="89"/>
      <c r="AM63" s="91"/>
      <c r="AN63" s="91"/>
      <c r="AP63" s="91"/>
      <c r="AQ63" s="91"/>
      <c r="AR63" s="91"/>
      <c r="AS63" s="91"/>
      <c r="AT63" s="91"/>
      <c r="BA63" s="91"/>
      <c r="BD63" s="89"/>
      <c r="BE63" s="89"/>
      <c r="BF63" s="91"/>
      <c r="BG63" s="91"/>
      <c r="BH63" s="91"/>
      <c r="BI63" s="91"/>
      <c r="BJ63" s="91"/>
      <c r="BK63" s="91"/>
      <c r="BO63" s="91"/>
      <c r="BS63" s="91"/>
      <c r="BT63" s="91"/>
      <c r="BV63" s="91"/>
    </row>
    <row r="64" spans="1:77" x14ac:dyDescent="0.3">
      <c r="A64" s="89"/>
      <c r="B64" s="89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89"/>
      <c r="Y64" s="89"/>
      <c r="Z64" s="91"/>
      <c r="AA64" s="91"/>
      <c r="AB64" s="91"/>
      <c r="AC64" s="91"/>
      <c r="AD64" s="91"/>
      <c r="AE64" s="91"/>
      <c r="AF64" s="91"/>
      <c r="AG64" s="91"/>
      <c r="AH64" s="91"/>
      <c r="AI64" s="91"/>
      <c r="AL64" s="89"/>
      <c r="AM64" s="91"/>
      <c r="AN64" s="91"/>
      <c r="AP64" s="91"/>
      <c r="AQ64" s="91"/>
      <c r="AR64" s="91"/>
      <c r="AS64" s="91"/>
      <c r="AT64" s="91"/>
      <c r="BA64" s="91"/>
      <c r="BD64" s="89"/>
      <c r="BE64" s="89"/>
      <c r="BF64" s="91"/>
      <c r="BG64" s="91"/>
      <c r="BH64" s="91"/>
      <c r="BI64" s="91"/>
      <c r="BJ64" s="91"/>
      <c r="BK64" s="91"/>
      <c r="BO64" s="91"/>
      <c r="BS64" s="91"/>
      <c r="BT64" s="91"/>
      <c r="BV64" s="91"/>
    </row>
    <row r="65" spans="1:74" x14ac:dyDescent="0.3">
      <c r="A65" s="89"/>
      <c r="B65" s="89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89"/>
      <c r="Y65" s="89"/>
      <c r="Z65" s="91"/>
      <c r="AA65" s="91"/>
      <c r="AB65" s="91"/>
      <c r="AC65" s="91"/>
      <c r="AD65" s="91"/>
      <c r="AE65" s="91"/>
      <c r="AF65" s="91"/>
      <c r="AG65" s="91"/>
      <c r="AH65" s="91"/>
      <c r="AI65" s="91"/>
      <c r="AL65" s="89"/>
      <c r="AM65" s="91"/>
      <c r="AN65" s="91"/>
      <c r="AP65" s="91"/>
      <c r="AQ65" s="91"/>
      <c r="AR65" s="91"/>
      <c r="AS65" s="91"/>
      <c r="AT65" s="91"/>
      <c r="BA65" s="91"/>
      <c r="BD65" s="89"/>
      <c r="BE65" s="89"/>
      <c r="BF65" s="91"/>
      <c r="BG65" s="91"/>
      <c r="BH65" s="91"/>
      <c r="BI65" s="91"/>
      <c r="BJ65" s="91"/>
      <c r="BK65" s="91"/>
      <c r="BO65" s="91"/>
      <c r="BS65" s="91"/>
      <c r="BT65" s="91"/>
      <c r="BV65" s="91"/>
    </row>
    <row r="66" spans="1:74" x14ac:dyDescent="0.3">
      <c r="A66" s="89"/>
      <c r="B66" s="89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89"/>
      <c r="Y66" s="89"/>
      <c r="Z66" s="91"/>
      <c r="AA66" s="91"/>
      <c r="AB66" s="91"/>
      <c r="AC66" s="91"/>
      <c r="AD66" s="91"/>
      <c r="AE66" s="91"/>
      <c r="AF66" s="91"/>
      <c r="AG66" s="91"/>
      <c r="AH66" s="91"/>
      <c r="AI66" s="91"/>
      <c r="AL66" s="89"/>
      <c r="AM66" s="91"/>
      <c r="AN66" s="91"/>
      <c r="AP66" s="91"/>
      <c r="AQ66" s="91"/>
      <c r="AR66" s="91"/>
      <c r="AS66" s="91"/>
      <c r="AT66" s="91"/>
      <c r="BA66" s="91"/>
      <c r="BD66" s="89"/>
      <c r="BE66" s="89"/>
      <c r="BF66" s="91"/>
      <c r="BG66" s="91"/>
      <c r="BH66" s="91"/>
      <c r="BI66" s="91"/>
      <c r="BJ66" s="91"/>
      <c r="BK66" s="91"/>
      <c r="BO66" s="91"/>
      <c r="BS66" s="91"/>
      <c r="BT66" s="91"/>
      <c r="BV66" s="91"/>
    </row>
    <row r="67" spans="1:74" x14ac:dyDescent="0.3">
      <c r="A67" s="89"/>
      <c r="B67" s="89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89"/>
      <c r="Y67" s="89"/>
      <c r="Z67" s="91"/>
      <c r="AA67" s="91"/>
      <c r="AB67" s="91"/>
      <c r="AC67" s="91"/>
      <c r="AD67" s="91"/>
      <c r="AE67" s="91"/>
      <c r="AF67" s="91"/>
      <c r="AG67" s="91"/>
      <c r="AH67" s="91"/>
      <c r="AI67" s="91"/>
      <c r="AL67" s="89"/>
      <c r="AM67" s="91"/>
      <c r="AN67" s="91"/>
      <c r="AP67" s="91"/>
      <c r="AQ67" s="91"/>
      <c r="AR67" s="91"/>
      <c r="AS67" s="91"/>
      <c r="AT67" s="91"/>
      <c r="BA67" s="91"/>
      <c r="BD67" s="89"/>
      <c r="BE67" s="89"/>
      <c r="BF67" s="91"/>
      <c r="BG67" s="91"/>
      <c r="BH67" s="91"/>
      <c r="BI67" s="91"/>
      <c r="BJ67" s="91"/>
      <c r="BK67" s="91"/>
      <c r="BO67" s="91"/>
      <c r="BS67" s="91"/>
      <c r="BT67" s="91"/>
      <c r="BV67" s="91"/>
    </row>
    <row r="68" spans="1:74" x14ac:dyDescent="0.3">
      <c r="A68" s="89"/>
      <c r="B68" s="89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89"/>
      <c r="Y68" s="89"/>
      <c r="Z68" s="91"/>
      <c r="AA68" s="91"/>
      <c r="AB68" s="91"/>
      <c r="AC68" s="91"/>
      <c r="AD68" s="91"/>
      <c r="AE68" s="91"/>
      <c r="AF68" s="91"/>
      <c r="AG68" s="91"/>
      <c r="AH68" s="91"/>
      <c r="AI68" s="91"/>
      <c r="AL68" s="89"/>
      <c r="AM68" s="91"/>
      <c r="AN68" s="91"/>
      <c r="AP68" s="91"/>
      <c r="AQ68" s="91"/>
      <c r="AR68" s="91"/>
      <c r="AS68" s="91"/>
      <c r="AT68" s="91"/>
      <c r="BA68" s="91"/>
      <c r="BD68" s="89"/>
      <c r="BE68" s="89"/>
      <c r="BF68" s="91"/>
      <c r="BG68" s="91"/>
      <c r="BH68" s="91"/>
      <c r="BI68" s="91"/>
      <c r="BJ68" s="91"/>
      <c r="BK68" s="91"/>
      <c r="BO68" s="91"/>
      <c r="BS68" s="91"/>
      <c r="BT68" s="91"/>
      <c r="BV68" s="91"/>
    </row>
    <row r="69" spans="1:74" x14ac:dyDescent="0.3">
      <c r="A69" s="89"/>
      <c r="B69" s="89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89"/>
      <c r="Y69" s="89"/>
      <c r="Z69" s="91"/>
      <c r="AA69" s="91"/>
      <c r="AB69" s="91"/>
      <c r="AC69" s="91"/>
      <c r="AD69" s="91"/>
      <c r="AE69" s="91"/>
      <c r="AF69" s="91"/>
      <c r="AG69" s="91"/>
      <c r="AH69" s="91"/>
      <c r="AI69" s="91"/>
      <c r="AL69" s="89"/>
      <c r="AM69" s="91"/>
      <c r="AN69" s="91"/>
      <c r="AP69" s="91"/>
      <c r="AQ69" s="91"/>
      <c r="AR69" s="91"/>
      <c r="AS69" s="91"/>
      <c r="AT69" s="91"/>
      <c r="BA69" s="91"/>
      <c r="BD69" s="89"/>
      <c r="BE69" s="89"/>
      <c r="BF69" s="91"/>
      <c r="BG69" s="91"/>
      <c r="BH69" s="91"/>
      <c r="BI69" s="91"/>
      <c r="BJ69" s="91"/>
      <c r="BK69" s="91"/>
      <c r="BO69" s="91"/>
      <c r="BS69" s="91"/>
      <c r="BT69" s="91"/>
      <c r="BV69" s="91"/>
    </row>
    <row r="70" spans="1:74" x14ac:dyDescent="0.3">
      <c r="A70" s="89"/>
      <c r="B70" s="89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89"/>
      <c r="Y70" s="89"/>
      <c r="Z70" s="91"/>
      <c r="AA70" s="91"/>
      <c r="AB70" s="91"/>
      <c r="AC70" s="91"/>
      <c r="AD70" s="91"/>
      <c r="AE70" s="91"/>
      <c r="AF70" s="91"/>
      <c r="AG70" s="91"/>
      <c r="AH70" s="91"/>
      <c r="AI70" s="91"/>
      <c r="AL70" s="89"/>
      <c r="AM70" s="91"/>
      <c r="AN70" s="91"/>
      <c r="AP70" s="91"/>
      <c r="AQ70" s="91"/>
      <c r="AR70" s="91"/>
      <c r="AS70" s="91"/>
      <c r="AT70" s="91"/>
      <c r="BA70" s="91"/>
      <c r="BD70" s="89"/>
      <c r="BE70" s="89"/>
      <c r="BF70" s="91"/>
      <c r="BG70" s="91"/>
      <c r="BH70" s="91"/>
      <c r="BI70" s="91"/>
      <c r="BJ70" s="91"/>
      <c r="BK70" s="91"/>
      <c r="BO70" s="91"/>
      <c r="BS70" s="91"/>
      <c r="BT70" s="91"/>
      <c r="BV70" s="91"/>
    </row>
    <row r="71" spans="1:74" x14ac:dyDescent="0.3">
      <c r="A71" s="89"/>
      <c r="B71" s="89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89"/>
      <c r="Y71" s="89"/>
      <c r="Z71" s="91"/>
      <c r="AA71" s="91"/>
      <c r="AB71" s="91"/>
      <c r="AC71" s="91"/>
      <c r="AD71" s="91"/>
      <c r="AE71" s="91"/>
      <c r="AF71" s="91"/>
      <c r="AG71" s="91"/>
      <c r="AH71" s="91"/>
      <c r="AI71" s="91"/>
      <c r="AL71" s="89"/>
      <c r="AM71" s="91"/>
      <c r="AN71" s="91"/>
      <c r="AP71" s="91"/>
      <c r="AQ71" s="91"/>
      <c r="AR71" s="91"/>
      <c r="AS71" s="91"/>
      <c r="AT71" s="91"/>
      <c r="BA71" s="91"/>
      <c r="BD71" s="89"/>
      <c r="BE71" s="89"/>
      <c r="BF71" s="91"/>
      <c r="BG71" s="91"/>
      <c r="BH71" s="91"/>
      <c r="BI71" s="91"/>
      <c r="BJ71" s="91"/>
      <c r="BK71" s="91"/>
      <c r="BO71" s="91"/>
      <c r="BS71" s="91"/>
      <c r="BT71" s="91"/>
      <c r="BV71" s="91"/>
    </row>
    <row r="72" spans="1:74" x14ac:dyDescent="0.3">
      <c r="A72" s="89"/>
      <c r="B72" s="89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89"/>
      <c r="Y72" s="89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L72" s="89"/>
      <c r="AM72" s="91"/>
      <c r="AN72" s="91"/>
      <c r="AP72" s="91"/>
      <c r="AQ72" s="91"/>
      <c r="AR72" s="91"/>
      <c r="AS72" s="91"/>
      <c r="AT72" s="91"/>
      <c r="BA72" s="91"/>
      <c r="BD72" s="89"/>
      <c r="BE72" s="89"/>
      <c r="BF72" s="91"/>
      <c r="BG72" s="91"/>
      <c r="BH72" s="91"/>
      <c r="BI72" s="91"/>
      <c r="BJ72" s="91"/>
      <c r="BK72" s="91"/>
      <c r="BO72" s="91"/>
      <c r="BS72" s="91"/>
      <c r="BT72" s="91"/>
      <c r="BV72" s="91"/>
    </row>
    <row r="73" spans="1:74" x14ac:dyDescent="0.3">
      <c r="A73" s="89"/>
      <c r="B73" s="89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89"/>
      <c r="Y73" s="89"/>
      <c r="Z73" s="91"/>
      <c r="AA73" s="91"/>
      <c r="AB73" s="91"/>
      <c r="AC73" s="91"/>
      <c r="AD73" s="91"/>
      <c r="AE73" s="91"/>
      <c r="AF73" s="91"/>
      <c r="AG73" s="91"/>
      <c r="AH73" s="91"/>
      <c r="AI73" s="91"/>
      <c r="AL73" s="89"/>
      <c r="AM73" s="91"/>
      <c r="AN73" s="91"/>
      <c r="AP73" s="91"/>
      <c r="AQ73" s="91"/>
      <c r="AR73" s="91"/>
      <c r="AS73" s="91"/>
      <c r="AT73" s="91"/>
      <c r="BA73" s="91"/>
      <c r="BD73" s="89"/>
      <c r="BE73" s="89"/>
      <c r="BF73" s="91"/>
      <c r="BG73" s="91"/>
      <c r="BH73" s="91"/>
      <c r="BI73" s="91"/>
      <c r="BJ73" s="91"/>
      <c r="BK73" s="91"/>
      <c r="BO73" s="91"/>
      <c r="BS73" s="91"/>
      <c r="BT73" s="91"/>
      <c r="BV73" s="91"/>
    </row>
    <row r="74" spans="1:74" x14ac:dyDescent="0.3">
      <c r="A74" s="89"/>
      <c r="B74" s="89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89"/>
      <c r="Y74" s="89"/>
      <c r="Z74" s="91"/>
      <c r="AA74" s="91"/>
      <c r="AB74" s="91"/>
      <c r="AC74" s="91"/>
      <c r="AD74" s="91"/>
      <c r="AE74" s="91"/>
      <c r="AF74" s="91"/>
      <c r="AG74" s="91"/>
      <c r="AH74" s="91"/>
      <c r="AI74" s="91"/>
      <c r="AL74" s="89"/>
      <c r="AM74" s="91"/>
      <c r="AN74" s="91"/>
      <c r="AP74" s="91"/>
      <c r="AQ74" s="91"/>
      <c r="AR74" s="91"/>
      <c r="AS74" s="91"/>
      <c r="AT74" s="91"/>
      <c r="BA74" s="91"/>
      <c r="BD74" s="89"/>
      <c r="BE74" s="89"/>
      <c r="BF74" s="91"/>
      <c r="BG74" s="91"/>
      <c r="BH74" s="91"/>
      <c r="BI74" s="91"/>
      <c r="BJ74" s="91"/>
      <c r="BK74" s="91"/>
      <c r="BO74" s="91"/>
      <c r="BS74" s="91"/>
      <c r="BT74" s="91"/>
      <c r="BV74" s="91"/>
    </row>
    <row r="75" spans="1:74" x14ac:dyDescent="0.3">
      <c r="A75" s="89"/>
      <c r="B75" s="89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89"/>
      <c r="Y75" s="89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L75" s="89"/>
      <c r="AM75" s="91"/>
      <c r="AN75" s="91"/>
      <c r="AP75" s="91"/>
      <c r="AQ75" s="91"/>
      <c r="AR75" s="91"/>
      <c r="AS75" s="91"/>
      <c r="AT75" s="91"/>
      <c r="BA75" s="91"/>
      <c r="BD75" s="89"/>
      <c r="BE75" s="89"/>
      <c r="BF75" s="91"/>
      <c r="BG75" s="91"/>
      <c r="BH75" s="91"/>
      <c r="BI75" s="91"/>
      <c r="BJ75" s="91"/>
      <c r="BK75" s="91"/>
      <c r="BO75" s="91"/>
      <c r="BS75" s="91"/>
      <c r="BT75" s="91"/>
      <c r="BV75" s="91"/>
    </row>
    <row r="76" spans="1:74" x14ac:dyDescent="0.3">
      <c r="A76" s="89"/>
      <c r="B76" s="89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89"/>
      <c r="Y76" s="89"/>
      <c r="Z76" s="91"/>
      <c r="AA76" s="91"/>
      <c r="AB76" s="91"/>
      <c r="AC76" s="91"/>
      <c r="AD76" s="91"/>
      <c r="AE76" s="91"/>
      <c r="AF76" s="91"/>
      <c r="AG76" s="91"/>
      <c r="AH76" s="91"/>
      <c r="AI76" s="91"/>
      <c r="AL76" s="89"/>
      <c r="AM76" s="91"/>
      <c r="AN76" s="91"/>
      <c r="AP76" s="91"/>
      <c r="AQ76" s="91"/>
      <c r="AR76" s="91"/>
      <c r="AS76" s="91"/>
      <c r="AT76" s="91"/>
      <c r="BA76" s="91"/>
      <c r="BD76" s="89"/>
      <c r="BE76" s="89"/>
      <c r="BF76" s="91"/>
      <c r="BG76" s="91"/>
      <c r="BH76" s="91"/>
      <c r="BI76" s="91"/>
      <c r="BJ76" s="91"/>
      <c r="BK76" s="91"/>
      <c r="BO76" s="91"/>
      <c r="BS76" s="91"/>
      <c r="BT76" s="91"/>
      <c r="BV76" s="91"/>
    </row>
    <row r="77" spans="1:74" x14ac:dyDescent="0.3">
      <c r="A77" s="89"/>
      <c r="B77" s="89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89"/>
      <c r="Y77" s="89"/>
      <c r="Z77" s="91"/>
      <c r="AA77" s="91"/>
      <c r="AB77" s="91"/>
      <c r="AC77" s="91"/>
      <c r="AD77" s="91"/>
      <c r="AE77" s="91"/>
      <c r="AF77" s="91"/>
      <c r="AG77" s="91"/>
      <c r="AH77" s="91"/>
      <c r="AI77" s="91"/>
      <c r="AL77" s="89"/>
      <c r="AM77" s="91"/>
      <c r="AN77" s="91"/>
      <c r="AP77" s="91"/>
      <c r="AQ77" s="91"/>
      <c r="AR77" s="91"/>
      <c r="AS77" s="91"/>
      <c r="AT77" s="91"/>
      <c r="BA77" s="91"/>
      <c r="BD77" s="89"/>
      <c r="BE77" s="89"/>
      <c r="BF77" s="91"/>
      <c r="BG77" s="91"/>
      <c r="BH77" s="91"/>
      <c r="BI77" s="91"/>
      <c r="BJ77" s="91"/>
      <c r="BK77" s="91"/>
      <c r="BO77" s="91"/>
      <c r="BS77" s="91"/>
      <c r="BT77" s="91"/>
      <c r="BV77" s="91"/>
    </row>
    <row r="78" spans="1:74" x14ac:dyDescent="0.3">
      <c r="A78" s="89"/>
      <c r="B78" s="89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89"/>
      <c r="Y78" s="89"/>
      <c r="Z78" s="91"/>
      <c r="AA78" s="91"/>
      <c r="AB78" s="91"/>
      <c r="AC78" s="91"/>
      <c r="AD78" s="91"/>
      <c r="AE78" s="91"/>
      <c r="AF78" s="91"/>
      <c r="AG78" s="91"/>
      <c r="AH78" s="91"/>
      <c r="AI78" s="91"/>
      <c r="AL78" s="89"/>
      <c r="AM78" s="91"/>
      <c r="AN78" s="91"/>
      <c r="AP78" s="91"/>
      <c r="AQ78" s="91"/>
      <c r="AR78" s="91"/>
      <c r="AS78" s="91"/>
      <c r="AT78" s="91"/>
      <c r="BA78" s="91"/>
      <c r="BD78" s="89"/>
      <c r="BE78" s="89"/>
      <c r="BF78" s="91"/>
      <c r="BG78" s="91"/>
      <c r="BH78" s="91"/>
      <c r="BI78" s="91"/>
      <c r="BJ78" s="91"/>
      <c r="BK78" s="91"/>
      <c r="BO78" s="91"/>
      <c r="BS78" s="91"/>
      <c r="BT78" s="91"/>
      <c r="BV78" s="91"/>
    </row>
    <row r="79" spans="1:74" x14ac:dyDescent="0.3">
      <c r="A79" s="89"/>
      <c r="B79" s="89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89"/>
      <c r="Y79" s="89"/>
      <c r="Z79" s="91"/>
      <c r="AA79" s="91"/>
      <c r="AB79" s="91"/>
      <c r="AC79" s="91"/>
      <c r="AD79" s="91"/>
      <c r="AE79" s="91"/>
      <c r="AF79" s="91"/>
      <c r="AG79" s="91"/>
      <c r="AH79" s="91"/>
      <c r="AI79" s="91"/>
      <c r="AL79" s="89"/>
      <c r="AM79" s="91"/>
      <c r="AN79" s="91"/>
      <c r="AP79" s="91"/>
      <c r="AQ79" s="91"/>
      <c r="AR79" s="91"/>
      <c r="AS79" s="91"/>
      <c r="AT79" s="91"/>
      <c r="BA79" s="91"/>
      <c r="BD79" s="89"/>
      <c r="BE79" s="89"/>
      <c r="BF79" s="91"/>
      <c r="BG79" s="91"/>
      <c r="BH79" s="91"/>
      <c r="BI79" s="91"/>
      <c r="BJ79" s="91"/>
      <c r="BK79" s="91"/>
      <c r="BO79" s="91"/>
      <c r="BS79" s="91"/>
      <c r="BT79" s="91"/>
      <c r="BV79" s="91"/>
    </row>
    <row r="80" spans="1:74" x14ac:dyDescent="0.3">
      <c r="A80" s="89"/>
      <c r="B80" s="89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89"/>
      <c r="Y80" s="89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L80" s="89"/>
      <c r="AM80" s="91"/>
      <c r="AN80" s="91"/>
      <c r="AP80" s="91"/>
      <c r="AQ80" s="91"/>
      <c r="AR80" s="91"/>
      <c r="AS80" s="91"/>
      <c r="AT80" s="91"/>
      <c r="BA80" s="91"/>
      <c r="BD80" s="89"/>
      <c r="BE80" s="89"/>
      <c r="BF80" s="91"/>
      <c r="BG80" s="91"/>
      <c r="BH80" s="91"/>
      <c r="BI80" s="91"/>
      <c r="BJ80" s="91"/>
      <c r="BK80" s="91"/>
      <c r="BO80" s="91"/>
      <c r="BS80" s="91"/>
      <c r="BT80" s="91"/>
      <c r="BV80" s="91"/>
    </row>
    <row r="81" spans="1:74" x14ac:dyDescent="0.3">
      <c r="A81" s="89"/>
      <c r="B81" s="89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89"/>
      <c r="Y81" s="89"/>
      <c r="Z81" s="91"/>
      <c r="AA81" s="91"/>
      <c r="AB81" s="91"/>
      <c r="AC81" s="91"/>
      <c r="AD81" s="91"/>
      <c r="AE81" s="91"/>
      <c r="AF81" s="91"/>
      <c r="AG81" s="91"/>
      <c r="AH81" s="91"/>
      <c r="AI81" s="91"/>
      <c r="AL81" s="89"/>
      <c r="AM81" s="91"/>
      <c r="AN81" s="91"/>
      <c r="AP81" s="91"/>
      <c r="AQ81" s="91"/>
      <c r="AR81" s="91"/>
      <c r="AS81" s="91"/>
      <c r="AT81" s="91"/>
      <c r="BA81" s="91"/>
      <c r="BD81" s="89"/>
      <c r="BE81" s="89"/>
      <c r="BF81" s="91"/>
      <c r="BG81" s="91"/>
      <c r="BH81" s="91"/>
      <c r="BI81" s="91"/>
      <c r="BJ81" s="91"/>
      <c r="BK81" s="91"/>
      <c r="BO81" s="91"/>
      <c r="BS81" s="91"/>
      <c r="BT81" s="91"/>
      <c r="BV81" s="91"/>
    </row>
    <row r="82" spans="1:74" x14ac:dyDescent="0.3">
      <c r="A82" s="89"/>
      <c r="B82" s="89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89"/>
      <c r="Y82" s="89"/>
      <c r="Z82" s="91"/>
      <c r="AA82" s="91"/>
      <c r="AB82" s="91"/>
      <c r="AC82" s="91"/>
      <c r="AD82" s="91"/>
      <c r="AE82" s="91"/>
      <c r="AF82" s="91"/>
      <c r="AG82" s="91"/>
      <c r="AH82" s="91"/>
      <c r="AI82" s="91"/>
      <c r="AL82" s="89"/>
      <c r="AM82" s="91"/>
      <c r="AN82" s="91"/>
      <c r="AP82" s="91"/>
      <c r="AQ82" s="91"/>
      <c r="AR82" s="91"/>
      <c r="AS82" s="91"/>
      <c r="AT82" s="91"/>
      <c r="BA82" s="91"/>
      <c r="BD82" s="89"/>
      <c r="BE82" s="89"/>
      <c r="BF82" s="91"/>
      <c r="BG82" s="91"/>
      <c r="BH82" s="91"/>
      <c r="BI82" s="91"/>
      <c r="BJ82" s="91"/>
      <c r="BK82" s="91"/>
      <c r="BO82" s="91"/>
      <c r="BS82" s="91"/>
      <c r="BT82" s="91"/>
      <c r="BV82" s="91"/>
    </row>
    <row r="83" spans="1:74" x14ac:dyDescent="0.3">
      <c r="A83" s="89"/>
      <c r="B83" s="89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89"/>
      <c r="Y83" s="89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L83" s="89"/>
      <c r="AM83" s="91"/>
      <c r="AN83" s="91"/>
      <c r="AP83" s="91"/>
      <c r="AQ83" s="91"/>
      <c r="AR83" s="91"/>
      <c r="AS83" s="91"/>
      <c r="AT83" s="91"/>
      <c r="BA83" s="91"/>
      <c r="BD83" s="89"/>
      <c r="BE83" s="89"/>
      <c r="BF83" s="91"/>
      <c r="BG83" s="91"/>
      <c r="BH83" s="91"/>
      <c r="BI83" s="91"/>
      <c r="BJ83" s="91"/>
      <c r="BK83" s="91"/>
      <c r="BO83" s="91"/>
      <c r="BS83" s="91"/>
      <c r="BT83" s="91"/>
      <c r="BV83" s="91"/>
    </row>
    <row r="84" spans="1:74" x14ac:dyDescent="0.3">
      <c r="A84" s="89"/>
      <c r="B84" s="89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89"/>
      <c r="Y84" s="89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L84" s="89"/>
      <c r="AM84" s="91"/>
      <c r="AN84" s="91"/>
      <c r="AP84" s="91"/>
      <c r="AQ84" s="91"/>
      <c r="AR84" s="91"/>
      <c r="AS84" s="91"/>
      <c r="AT84" s="91"/>
      <c r="BA84" s="91"/>
      <c r="BD84" s="89"/>
      <c r="BE84" s="89"/>
      <c r="BF84" s="91"/>
      <c r="BG84" s="91"/>
      <c r="BH84" s="91"/>
      <c r="BI84" s="91"/>
      <c r="BJ84" s="91"/>
      <c r="BK84" s="91"/>
      <c r="BO84" s="91"/>
      <c r="BS84" s="91"/>
      <c r="BT84" s="91"/>
      <c r="BV84" s="91"/>
    </row>
    <row r="85" spans="1:74" x14ac:dyDescent="0.3">
      <c r="A85" s="89"/>
      <c r="B85" s="89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89"/>
      <c r="Y85" s="89"/>
      <c r="Z85" s="91"/>
      <c r="AA85" s="91"/>
      <c r="AB85" s="91"/>
      <c r="AC85" s="91"/>
      <c r="AD85" s="91"/>
      <c r="AE85" s="91"/>
      <c r="AF85" s="91"/>
      <c r="AG85" s="91"/>
      <c r="AH85" s="91"/>
      <c r="AI85" s="91"/>
      <c r="AL85" s="89"/>
      <c r="AM85" s="91"/>
      <c r="AN85" s="91"/>
      <c r="AP85" s="91"/>
      <c r="AQ85" s="91"/>
      <c r="AR85" s="91"/>
      <c r="AS85" s="91"/>
      <c r="AT85" s="91"/>
      <c r="BA85" s="91"/>
      <c r="BD85" s="89"/>
      <c r="BE85" s="89"/>
      <c r="BF85" s="91"/>
      <c r="BG85" s="91"/>
      <c r="BH85" s="91"/>
      <c r="BI85" s="91"/>
      <c r="BJ85" s="91"/>
      <c r="BK85" s="91"/>
      <c r="BO85" s="91"/>
      <c r="BS85" s="91"/>
      <c r="BT85" s="91"/>
      <c r="BV85" s="91"/>
    </row>
    <row r="86" spans="1:74" x14ac:dyDescent="0.3">
      <c r="A86" s="89"/>
      <c r="B86" s="89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89"/>
      <c r="Y86" s="89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L86" s="89"/>
      <c r="AM86" s="91"/>
      <c r="AN86" s="91"/>
      <c r="AP86" s="91"/>
      <c r="AQ86" s="91"/>
      <c r="AR86" s="91"/>
      <c r="AS86" s="91"/>
      <c r="AT86" s="91"/>
      <c r="BA86" s="91"/>
      <c r="BD86" s="89"/>
      <c r="BE86" s="89"/>
      <c r="BF86" s="91"/>
      <c r="BG86" s="91"/>
      <c r="BH86" s="91"/>
      <c r="BI86" s="91"/>
      <c r="BJ86" s="91"/>
      <c r="BK86" s="91"/>
      <c r="BO86" s="91"/>
      <c r="BS86" s="91"/>
      <c r="BT86" s="91"/>
      <c r="BV86" s="91"/>
    </row>
    <row r="87" spans="1:74" x14ac:dyDescent="0.3">
      <c r="A87" s="89"/>
      <c r="B87" s="89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89"/>
      <c r="Y87" s="89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L87" s="89"/>
      <c r="AM87" s="91"/>
      <c r="AN87" s="91"/>
      <c r="AP87" s="91"/>
      <c r="AQ87" s="91"/>
      <c r="AR87" s="91"/>
      <c r="AS87" s="91"/>
      <c r="AT87" s="91"/>
      <c r="BA87" s="91"/>
      <c r="BD87" s="89"/>
      <c r="BE87" s="89"/>
      <c r="BF87" s="91"/>
      <c r="BG87" s="91"/>
      <c r="BH87" s="91"/>
      <c r="BI87" s="91"/>
      <c r="BJ87" s="91"/>
      <c r="BK87" s="91"/>
      <c r="BO87" s="91"/>
      <c r="BS87" s="91"/>
      <c r="BT87" s="91"/>
      <c r="BV87" s="91"/>
    </row>
    <row r="88" spans="1:74" x14ac:dyDescent="0.3">
      <c r="A88" s="89"/>
      <c r="B88" s="89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89"/>
      <c r="Y88" s="89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L88" s="89"/>
      <c r="AM88" s="91"/>
      <c r="AN88" s="91"/>
      <c r="AP88" s="91"/>
      <c r="AQ88" s="91"/>
      <c r="AR88" s="91"/>
      <c r="AS88" s="91"/>
      <c r="AT88" s="91"/>
      <c r="BA88" s="91"/>
      <c r="BD88" s="89"/>
      <c r="BE88" s="89"/>
      <c r="BF88" s="91"/>
      <c r="BG88" s="91"/>
      <c r="BH88" s="91"/>
      <c r="BI88" s="91"/>
      <c r="BJ88" s="91"/>
      <c r="BK88" s="91"/>
      <c r="BO88" s="91"/>
      <c r="BS88" s="91"/>
      <c r="BT88" s="91"/>
      <c r="BV88" s="91"/>
    </row>
    <row r="89" spans="1:74" x14ac:dyDescent="0.3">
      <c r="A89" s="89"/>
      <c r="B89" s="89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89"/>
      <c r="Y89" s="89"/>
      <c r="Z89" s="91"/>
      <c r="AA89" s="91"/>
      <c r="AB89" s="91"/>
      <c r="AC89" s="91"/>
      <c r="AD89" s="91"/>
      <c r="AE89" s="91"/>
      <c r="AF89" s="91"/>
      <c r="AG89" s="91"/>
      <c r="AH89" s="91"/>
      <c r="AI89" s="91"/>
      <c r="AL89" s="89"/>
      <c r="AM89" s="91"/>
      <c r="AN89" s="91"/>
      <c r="AP89" s="91"/>
      <c r="AQ89" s="91"/>
      <c r="AR89" s="91"/>
      <c r="AS89" s="91"/>
      <c r="AT89" s="91"/>
      <c r="BA89" s="91"/>
      <c r="BD89" s="89"/>
      <c r="BE89" s="89"/>
      <c r="BF89" s="91"/>
      <c r="BG89" s="91"/>
      <c r="BH89" s="91"/>
      <c r="BI89" s="91"/>
      <c r="BJ89" s="91"/>
      <c r="BK89" s="91"/>
      <c r="BO89" s="91"/>
      <c r="BS89" s="91"/>
      <c r="BT89" s="91"/>
      <c r="BV89" s="91"/>
    </row>
    <row r="90" spans="1:74" x14ac:dyDescent="0.3">
      <c r="A90" s="89"/>
      <c r="B90" s="89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89"/>
      <c r="Y90" s="89"/>
      <c r="Z90" s="91"/>
      <c r="AA90" s="91"/>
      <c r="AB90" s="91"/>
      <c r="AC90" s="91"/>
      <c r="AD90" s="91"/>
      <c r="AE90" s="91"/>
      <c r="AF90" s="91"/>
      <c r="AG90" s="91"/>
      <c r="AH90" s="91"/>
      <c r="AI90" s="91"/>
      <c r="AL90" s="89"/>
      <c r="AM90" s="91"/>
      <c r="AN90" s="91"/>
      <c r="AP90" s="91"/>
      <c r="AQ90" s="91"/>
      <c r="AR90" s="91"/>
      <c r="AS90" s="91"/>
      <c r="AT90" s="91"/>
      <c r="BA90" s="91"/>
      <c r="BD90" s="89"/>
      <c r="BE90" s="89"/>
      <c r="BF90" s="91"/>
      <c r="BG90" s="91"/>
      <c r="BH90" s="91"/>
      <c r="BI90" s="91"/>
      <c r="BJ90" s="91"/>
      <c r="BK90" s="91"/>
      <c r="BO90" s="91"/>
      <c r="BS90" s="91"/>
      <c r="BT90" s="91"/>
      <c r="BV90" s="91"/>
    </row>
    <row r="91" spans="1:74" x14ac:dyDescent="0.3">
      <c r="A91" s="89"/>
      <c r="B91" s="89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89"/>
      <c r="Y91" s="89"/>
      <c r="Z91" s="91"/>
      <c r="AA91" s="91"/>
      <c r="AB91" s="91"/>
      <c r="AC91" s="91"/>
      <c r="AD91" s="91"/>
      <c r="AE91" s="91"/>
      <c r="AF91" s="91"/>
      <c r="AG91" s="91"/>
      <c r="AH91" s="91"/>
      <c r="AI91" s="91"/>
      <c r="AL91" s="89"/>
      <c r="AM91" s="91"/>
      <c r="AN91" s="91"/>
      <c r="AP91" s="91"/>
      <c r="AQ91" s="91"/>
      <c r="AR91" s="91"/>
      <c r="AS91" s="91"/>
      <c r="AT91" s="91"/>
      <c r="BA91" s="91"/>
      <c r="BD91" s="89"/>
      <c r="BE91" s="89"/>
      <c r="BF91" s="91"/>
      <c r="BG91" s="91"/>
      <c r="BH91" s="91"/>
      <c r="BI91" s="91"/>
      <c r="BJ91" s="91"/>
      <c r="BK91" s="91"/>
      <c r="BO91" s="91"/>
      <c r="BS91" s="91"/>
      <c r="BT91" s="91"/>
      <c r="BV91" s="91"/>
    </row>
    <row r="92" spans="1:74" x14ac:dyDescent="0.3">
      <c r="A92" s="89"/>
      <c r="B92" s="89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89"/>
      <c r="Y92" s="89"/>
      <c r="Z92" s="91"/>
      <c r="AA92" s="91"/>
      <c r="AB92" s="91"/>
      <c r="AC92" s="91"/>
      <c r="AD92" s="91"/>
      <c r="AE92" s="91"/>
      <c r="AF92" s="91"/>
      <c r="AG92" s="91"/>
      <c r="AH92" s="91"/>
      <c r="AI92" s="91"/>
      <c r="AL92" s="89"/>
      <c r="AM92" s="91"/>
      <c r="AN92" s="91"/>
      <c r="AP92" s="91"/>
      <c r="AQ92" s="91"/>
      <c r="AR92" s="91"/>
      <c r="AS92" s="91"/>
      <c r="AT92" s="91"/>
      <c r="BA92" s="91"/>
      <c r="BD92" s="89"/>
      <c r="BE92" s="89"/>
      <c r="BF92" s="91"/>
      <c r="BG92" s="91"/>
      <c r="BH92" s="91"/>
      <c r="BI92" s="91"/>
      <c r="BJ92" s="91"/>
      <c r="BK92" s="91"/>
      <c r="BO92" s="91"/>
      <c r="BS92" s="91"/>
      <c r="BT92" s="91"/>
      <c r="BV92" s="91"/>
    </row>
    <row r="93" spans="1:74" x14ac:dyDescent="0.3">
      <c r="A93" s="89"/>
      <c r="B93" s="89"/>
      <c r="C93" s="91"/>
      <c r="D93" s="91"/>
      <c r="E93" s="91"/>
      <c r="F93" s="91"/>
      <c r="G93" s="91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89"/>
      <c r="Y93" s="89"/>
      <c r="Z93" s="91"/>
      <c r="AA93" s="91"/>
      <c r="AB93" s="91"/>
      <c r="AC93" s="91"/>
      <c r="AD93" s="91"/>
      <c r="AE93" s="91"/>
      <c r="AF93" s="91"/>
      <c r="AG93" s="91"/>
      <c r="AH93" s="91"/>
      <c r="AI93" s="91"/>
      <c r="AL93" s="89"/>
      <c r="AM93" s="91"/>
      <c r="AN93" s="91"/>
      <c r="AP93" s="91"/>
      <c r="AQ93" s="91"/>
      <c r="AR93" s="91"/>
      <c r="AS93" s="91"/>
      <c r="AT93" s="91"/>
      <c r="BA93" s="91"/>
      <c r="BD93" s="89"/>
      <c r="BE93" s="89"/>
      <c r="BF93" s="91"/>
      <c r="BG93" s="91"/>
      <c r="BH93" s="91"/>
      <c r="BI93" s="91"/>
      <c r="BJ93" s="91"/>
      <c r="BK93" s="91"/>
      <c r="BO93" s="91"/>
      <c r="BS93" s="91"/>
      <c r="BT93" s="91"/>
      <c r="BV93" s="91"/>
    </row>
    <row r="94" spans="1:74" x14ac:dyDescent="0.3">
      <c r="A94" s="89"/>
      <c r="B94" s="89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89"/>
      <c r="Y94" s="89"/>
      <c r="Z94" s="91"/>
      <c r="AA94" s="91"/>
      <c r="AB94" s="91"/>
      <c r="AC94" s="91"/>
      <c r="AD94" s="91"/>
      <c r="AE94" s="91"/>
      <c r="AF94" s="91"/>
      <c r="AG94" s="91"/>
      <c r="AH94" s="91"/>
      <c r="AI94" s="91"/>
      <c r="AL94" s="89"/>
      <c r="AM94" s="91"/>
      <c r="AN94" s="91"/>
      <c r="AP94" s="91"/>
      <c r="AQ94" s="91"/>
      <c r="AR94" s="91"/>
      <c r="AS94" s="91"/>
      <c r="AT94" s="91"/>
      <c r="BA94" s="91"/>
      <c r="BD94" s="89"/>
      <c r="BE94" s="89"/>
      <c r="BF94" s="91"/>
      <c r="BG94" s="91"/>
      <c r="BH94" s="91"/>
      <c r="BI94" s="91"/>
      <c r="BJ94" s="91"/>
      <c r="BK94" s="91"/>
      <c r="BO94" s="91"/>
      <c r="BS94" s="91"/>
      <c r="BT94" s="91"/>
      <c r="BV94" s="91"/>
    </row>
    <row r="95" spans="1:74" x14ac:dyDescent="0.3">
      <c r="A95" s="89"/>
      <c r="B95" s="89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89"/>
      <c r="Y95" s="89"/>
      <c r="Z95" s="91"/>
      <c r="AA95" s="91"/>
      <c r="AB95" s="91"/>
      <c r="AC95" s="91"/>
      <c r="AD95" s="91"/>
      <c r="AE95" s="91"/>
      <c r="AF95" s="91"/>
      <c r="AG95" s="91"/>
      <c r="AH95" s="91"/>
      <c r="AI95" s="91"/>
      <c r="AL95" s="89"/>
      <c r="AM95" s="91"/>
      <c r="AN95" s="91"/>
      <c r="AP95" s="91"/>
      <c r="AQ95" s="91"/>
      <c r="AR95" s="91"/>
      <c r="AS95" s="91"/>
      <c r="AT95" s="91"/>
      <c r="BA95" s="91"/>
      <c r="BD95" s="89"/>
      <c r="BE95" s="89"/>
      <c r="BF95" s="91"/>
      <c r="BG95" s="91"/>
      <c r="BH95" s="91"/>
      <c r="BI95" s="91"/>
      <c r="BJ95" s="91"/>
      <c r="BK95" s="91"/>
      <c r="BO95" s="91"/>
      <c r="BS95" s="91"/>
      <c r="BT95" s="91"/>
      <c r="BV95" s="91"/>
    </row>
    <row r="96" spans="1:74" x14ac:dyDescent="0.3">
      <c r="A96" s="89"/>
      <c r="B96" s="89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89"/>
      <c r="Y96" s="89"/>
      <c r="Z96" s="91"/>
      <c r="AA96" s="91"/>
      <c r="AB96" s="91"/>
      <c r="AC96" s="91"/>
      <c r="AD96" s="91"/>
      <c r="AE96" s="91"/>
      <c r="AF96" s="91"/>
      <c r="AG96" s="91"/>
      <c r="AH96" s="91"/>
      <c r="AI96" s="91"/>
      <c r="AL96" s="89"/>
      <c r="AM96" s="91"/>
      <c r="AN96" s="91"/>
      <c r="AP96" s="91"/>
      <c r="AQ96" s="91"/>
      <c r="AR96" s="91"/>
      <c r="AS96" s="91"/>
      <c r="AT96" s="91"/>
      <c r="BA96" s="91"/>
      <c r="BD96" s="89"/>
      <c r="BE96" s="89"/>
      <c r="BF96" s="91"/>
      <c r="BG96" s="91"/>
      <c r="BH96" s="91"/>
      <c r="BI96" s="91"/>
      <c r="BJ96" s="91"/>
      <c r="BK96" s="91"/>
      <c r="BO96" s="91"/>
      <c r="BS96" s="91"/>
      <c r="BT96" s="91"/>
      <c r="BV96" s="91"/>
    </row>
    <row r="97" spans="1:74" x14ac:dyDescent="0.3">
      <c r="A97" s="89"/>
      <c r="B97" s="89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89"/>
      <c r="Y97" s="89"/>
      <c r="Z97" s="91"/>
      <c r="AA97" s="91"/>
      <c r="AB97" s="91"/>
      <c r="AC97" s="91"/>
      <c r="AD97" s="91"/>
      <c r="AE97" s="91"/>
      <c r="AF97" s="91"/>
      <c r="AG97" s="91"/>
      <c r="AH97" s="91"/>
      <c r="AI97" s="91"/>
      <c r="AL97" s="89"/>
      <c r="AM97" s="91"/>
      <c r="AN97" s="91"/>
      <c r="AP97" s="91"/>
      <c r="AQ97" s="91"/>
      <c r="AR97" s="91"/>
      <c r="AS97" s="91"/>
      <c r="AT97" s="91"/>
      <c r="BA97" s="91"/>
      <c r="BD97" s="89"/>
      <c r="BE97" s="89"/>
      <c r="BF97" s="91"/>
      <c r="BG97" s="91"/>
      <c r="BH97" s="91"/>
      <c r="BI97" s="91"/>
      <c r="BJ97" s="91"/>
      <c r="BK97" s="91"/>
      <c r="BO97" s="91"/>
      <c r="BS97" s="91"/>
      <c r="BT97" s="91"/>
      <c r="BV97" s="91"/>
    </row>
    <row r="98" spans="1:74" x14ac:dyDescent="0.3">
      <c r="A98" s="89"/>
      <c r="B98" s="89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89"/>
      <c r="Y98" s="89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L98" s="89"/>
      <c r="AM98" s="91"/>
      <c r="AN98" s="91"/>
      <c r="AP98" s="91"/>
      <c r="AQ98" s="91"/>
      <c r="AR98" s="91"/>
      <c r="AS98" s="91"/>
      <c r="AT98" s="91"/>
      <c r="BA98" s="91"/>
      <c r="BD98" s="89"/>
      <c r="BE98" s="89"/>
      <c r="BF98" s="91"/>
      <c r="BG98" s="91"/>
      <c r="BH98" s="91"/>
      <c r="BI98" s="91"/>
      <c r="BJ98" s="91"/>
      <c r="BK98" s="91"/>
      <c r="BO98" s="91"/>
      <c r="BS98" s="91"/>
      <c r="BT98" s="91"/>
      <c r="BV98" s="91"/>
    </row>
    <row r="99" spans="1:74" x14ac:dyDescent="0.3">
      <c r="A99" s="89"/>
      <c r="B99" s="89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89"/>
      <c r="Y99" s="89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L99" s="89"/>
      <c r="AM99" s="91"/>
      <c r="AN99" s="91"/>
      <c r="AP99" s="91"/>
      <c r="AQ99" s="91"/>
      <c r="AR99" s="91"/>
      <c r="AS99" s="91"/>
      <c r="AT99" s="91"/>
      <c r="BA99" s="91"/>
      <c r="BD99" s="89"/>
      <c r="BE99" s="89"/>
      <c r="BF99" s="91"/>
      <c r="BG99" s="91"/>
      <c r="BH99" s="91"/>
      <c r="BI99" s="91"/>
      <c r="BJ99" s="91"/>
      <c r="BK99" s="91"/>
      <c r="BO99" s="91"/>
      <c r="BS99" s="91"/>
      <c r="BT99" s="91"/>
      <c r="BV99" s="91"/>
    </row>
    <row r="100" spans="1:74" x14ac:dyDescent="0.3">
      <c r="A100" s="89"/>
      <c r="B100" s="89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89"/>
      <c r="Y100" s="89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L100" s="89"/>
      <c r="AM100" s="91"/>
      <c r="AN100" s="91"/>
      <c r="AP100" s="91"/>
      <c r="AQ100" s="91"/>
      <c r="AR100" s="91"/>
      <c r="AS100" s="91"/>
      <c r="AT100" s="91"/>
      <c r="BA100" s="91"/>
      <c r="BD100" s="89"/>
      <c r="BE100" s="89"/>
      <c r="BF100" s="91"/>
      <c r="BG100" s="91"/>
      <c r="BH100" s="91"/>
      <c r="BI100" s="91"/>
      <c r="BJ100" s="91"/>
      <c r="BK100" s="91"/>
      <c r="BO100" s="91"/>
      <c r="BS100" s="91"/>
      <c r="BT100" s="91"/>
      <c r="BV100" s="91"/>
    </row>
    <row r="101" spans="1:74" x14ac:dyDescent="0.3">
      <c r="A101" s="89"/>
      <c r="B101" s="89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89"/>
      <c r="Y101" s="89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L101" s="89"/>
      <c r="AM101" s="91"/>
      <c r="AN101" s="91"/>
      <c r="AP101" s="91"/>
      <c r="AQ101" s="91"/>
      <c r="AR101" s="91"/>
      <c r="AS101" s="91"/>
      <c r="AT101" s="91"/>
      <c r="BA101" s="91"/>
      <c r="BD101" s="89"/>
      <c r="BE101" s="89"/>
      <c r="BF101" s="91"/>
      <c r="BG101" s="91"/>
      <c r="BH101" s="91"/>
      <c r="BI101" s="91"/>
      <c r="BJ101" s="91"/>
      <c r="BK101" s="91"/>
      <c r="BO101" s="91"/>
      <c r="BS101" s="91"/>
      <c r="BT101" s="91"/>
      <c r="BV101" s="91"/>
    </row>
    <row r="102" spans="1:74" x14ac:dyDescent="0.3">
      <c r="A102" s="89"/>
      <c r="B102" s="89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89"/>
      <c r="Y102" s="89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L102" s="89"/>
      <c r="AM102" s="91"/>
      <c r="AN102" s="91"/>
      <c r="AP102" s="91"/>
      <c r="AQ102" s="91"/>
      <c r="AR102" s="91"/>
      <c r="AS102" s="91"/>
      <c r="AT102" s="91"/>
      <c r="BA102" s="91"/>
      <c r="BD102" s="89"/>
      <c r="BE102" s="89"/>
      <c r="BF102" s="91"/>
      <c r="BG102" s="91"/>
      <c r="BH102" s="91"/>
      <c r="BI102" s="91"/>
      <c r="BJ102" s="91"/>
      <c r="BK102" s="91"/>
      <c r="BO102" s="91"/>
      <c r="BS102" s="91"/>
      <c r="BT102" s="91"/>
      <c r="BV102" s="91"/>
    </row>
    <row r="103" spans="1:74" x14ac:dyDescent="0.3">
      <c r="A103" s="89"/>
      <c r="B103" s="89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89"/>
      <c r="Y103" s="89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L103" s="89"/>
      <c r="AM103" s="91"/>
      <c r="AN103" s="91"/>
      <c r="AP103" s="91"/>
      <c r="AQ103" s="91"/>
      <c r="AR103" s="91"/>
      <c r="AS103" s="91"/>
      <c r="AT103" s="91"/>
      <c r="BA103" s="91"/>
      <c r="BD103" s="89"/>
      <c r="BE103" s="89"/>
      <c r="BF103" s="91"/>
      <c r="BG103" s="91"/>
      <c r="BH103" s="91"/>
      <c r="BI103" s="91"/>
      <c r="BJ103" s="91"/>
      <c r="BK103" s="91"/>
      <c r="BO103" s="91"/>
      <c r="BS103" s="91"/>
      <c r="BT103" s="91"/>
      <c r="BV103" s="91"/>
    </row>
    <row r="104" spans="1:74" x14ac:dyDescent="0.3">
      <c r="A104" s="89"/>
      <c r="B104" s="89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89"/>
      <c r="Y104" s="89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L104" s="89"/>
      <c r="AM104" s="91"/>
      <c r="AN104" s="91"/>
      <c r="AP104" s="91"/>
      <c r="AQ104" s="91"/>
      <c r="AR104" s="91"/>
      <c r="AS104" s="91"/>
      <c r="AT104" s="91"/>
      <c r="BA104" s="91"/>
      <c r="BD104" s="89"/>
      <c r="BE104" s="89"/>
      <c r="BF104" s="91"/>
      <c r="BG104" s="91"/>
      <c r="BH104" s="91"/>
      <c r="BI104" s="91"/>
      <c r="BJ104" s="91"/>
      <c r="BK104" s="91"/>
      <c r="BO104" s="91"/>
      <c r="BS104" s="91"/>
      <c r="BT104" s="91"/>
      <c r="BV104" s="91"/>
    </row>
    <row r="105" spans="1:74" x14ac:dyDescent="0.3">
      <c r="A105" s="89"/>
      <c r="B105" s="89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89"/>
      <c r="Y105" s="89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L105" s="89"/>
      <c r="AM105" s="91"/>
      <c r="AN105" s="91"/>
      <c r="AP105" s="91"/>
      <c r="AQ105" s="91"/>
      <c r="AR105" s="91"/>
      <c r="AS105" s="91"/>
      <c r="AT105" s="91"/>
      <c r="BA105" s="91"/>
      <c r="BD105" s="89"/>
      <c r="BE105" s="89"/>
      <c r="BF105" s="91"/>
      <c r="BG105" s="91"/>
      <c r="BH105" s="91"/>
      <c r="BI105" s="91"/>
      <c r="BJ105" s="91"/>
      <c r="BK105" s="91"/>
      <c r="BO105" s="91"/>
      <c r="BS105" s="91"/>
      <c r="BT105" s="91"/>
      <c r="BV105" s="91"/>
    </row>
    <row r="106" spans="1:74" x14ac:dyDescent="0.3">
      <c r="A106" s="89"/>
      <c r="B106" s="89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89"/>
      <c r="Y106" s="89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L106" s="89"/>
      <c r="AM106" s="91"/>
      <c r="AN106" s="91"/>
      <c r="AP106" s="91"/>
      <c r="AQ106" s="91"/>
      <c r="AR106" s="91"/>
      <c r="AS106" s="91"/>
      <c r="AT106" s="91"/>
      <c r="BA106" s="91"/>
      <c r="BD106" s="89"/>
      <c r="BE106" s="89"/>
      <c r="BF106" s="91"/>
      <c r="BG106" s="91"/>
      <c r="BH106" s="91"/>
      <c r="BI106" s="91"/>
      <c r="BJ106" s="91"/>
      <c r="BK106" s="91"/>
      <c r="BO106" s="91"/>
      <c r="BS106" s="91"/>
      <c r="BT106" s="91"/>
      <c r="BV106" s="91"/>
    </row>
    <row r="107" spans="1:74" x14ac:dyDescent="0.3">
      <c r="A107" s="89"/>
      <c r="B107" s="89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89"/>
      <c r="Y107" s="89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L107" s="89"/>
      <c r="AM107" s="91"/>
      <c r="AN107" s="91"/>
      <c r="AP107" s="91"/>
      <c r="AQ107" s="91"/>
      <c r="AR107" s="91"/>
      <c r="AS107" s="91"/>
      <c r="AT107" s="91"/>
      <c r="BA107" s="91"/>
      <c r="BD107" s="89"/>
      <c r="BE107" s="89"/>
      <c r="BF107" s="91"/>
      <c r="BG107" s="91"/>
      <c r="BH107" s="91"/>
      <c r="BI107" s="91"/>
      <c r="BJ107" s="91"/>
      <c r="BK107" s="91"/>
      <c r="BO107" s="91"/>
      <c r="BS107" s="91"/>
      <c r="BT107" s="91"/>
      <c r="BV107" s="91"/>
    </row>
    <row r="108" spans="1:74" x14ac:dyDescent="0.3">
      <c r="A108" s="89"/>
      <c r="B108" s="89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89"/>
      <c r="Y108" s="89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L108" s="89"/>
      <c r="AM108" s="91"/>
      <c r="AN108" s="91"/>
      <c r="AP108" s="91"/>
      <c r="AQ108" s="91"/>
      <c r="AR108" s="91"/>
      <c r="AS108" s="91"/>
      <c r="AT108" s="91"/>
      <c r="BA108" s="91"/>
      <c r="BD108" s="89"/>
      <c r="BE108" s="89"/>
      <c r="BF108" s="91"/>
      <c r="BG108" s="91"/>
      <c r="BH108" s="91"/>
      <c r="BO108" s="91"/>
      <c r="BS108" s="91"/>
      <c r="BT108" s="91"/>
      <c r="BV108" s="91"/>
    </row>
    <row r="109" spans="1:74" x14ac:dyDescent="0.3">
      <c r="A109" s="89"/>
      <c r="B109" s="89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89"/>
      <c r="Y109" s="89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L109" s="89"/>
      <c r="AM109" s="91"/>
      <c r="AN109" s="91"/>
      <c r="AP109" s="91"/>
      <c r="AQ109" s="91"/>
      <c r="AR109" s="91"/>
      <c r="AS109" s="91"/>
      <c r="AT109" s="91"/>
      <c r="BA109" s="91"/>
      <c r="BD109" s="89"/>
      <c r="BE109" s="89"/>
      <c r="BF109" s="91"/>
      <c r="BG109" s="91"/>
      <c r="BH109" s="91"/>
      <c r="BO109" s="91"/>
      <c r="BS109" s="91"/>
      <c r="BT109" s="91"/>
      <c r="BV109" s="91"/>
    </row>
    <row r="110" spans="1:74" x14ac:dyDescent="0.3">
      <c r="A110" s="89"/>
      <c r="B110" s="89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89"/>
      <c r="Y110" s="89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L110" s="89"/>
      <c r="AM110" s="91"/>
      <c r="AN110" s="91"/>
      <c r="AP110" s="91"/>
      <c r="AQ110" s="91"/>
      <c r="AR110" s="91"/>
      <c r="AS110" s="91"/>
      <c r="AT110" s="91"/>
      <c r="BA110" s="91"/>
      <c r="BD110" s="89"/>
      <c r="BE110" s="89"/>
      <c r="BF110" s="91"/>
      <c r="BG110" s="91"/>
      <c r="BH110" s="91"/>
      <c r="BO110" s="91"/>
      <c r="BS110" s="91"/>
      <c r="BT110" s="91"/>
      <c r="BV110" s="91"/>
    </row>
    <row r="111" spans="1:74" x14ac:dyDescent="0.3">
      <c r="A111" s="89"/>
      <c r="B111" s="89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89"/>
      <c r="Y111" s="89"/>
      <c r="Z111" s="91"/>
      <c r="AA111" s="91"/>
      <c r="AB111" s="91"/>
      <c r="AC111" s="91"/>
      <c r="AD111" s="91"/>
      <c r="AE111" s="91"/>
      <c r="AF111" s="91"/>
      <c r="AG111" s="91"/>
      <c r="AH111" s="91"/>
      <c r="AI111" s="91"/>
      <c r="AL111" s="89"/>
      <c r="AM111" s="91"/>
      <c r="AN111" s="91"/>
      <c r="AP111" s="91"/>
      <c r="AQ111" s="91"/>
      <c r="AR111" s="91"/>
      <c r="AS111" s="91"/>
      <c r="AT111" s="91"/>
      <c r="BA111" s="91"/>
      <c r="BD111" s="89"/>
      <c r="BE111" s="89"/>
      <c r="BF111" s="91"/>
      <c r="BG111" s="91"/>
      <c r="BH111" s="91"/>
      <c r="BO111" s="91"/>
      <c r="BS111" s="91"/>
      <c r="BT111" s="91"/>
      <c r="BV111" s="91"/>
    </row>
    <row r="112" spans="1:74" x14ac:dyDescent="0.3">
      <c r="A112" s="89"/>
      <c r="B112" s="89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89"/>
      <c r="Y112" s="89"/>
      <c r="Z112" s="91"/>
      <c r="AA112" s="91"/>
      <c r="AB112" s="91"/>
      <c r="AC112" s="91"/>
      <c r="AD112" s="91"/>
      <c r="AE112" s="91"/>
      <c r="AF112" s="91"/>
      <c r="AG112" s="91"/>
      <c r="AH112" s="91"/>
      <c r="AI112" s="91"/>
      <c r="AL112" s="89"/>
      <c r="AM112" s="91"/>
      <c r="AN112" s="91"/>
      <c r="AP112" s="91"/>
      <c r="AQ112" s="91"/>
      <c r="AR112" s="91"/>
      <c r="AS112" s="91"/>
      <c r="AT112" s="91"/>
      <c r="BA112" s="91"/>
      <c r="BD112" s="89"/>
      <c r="BE112" s="89"/>
      <c r="BF112" s="91"/>
      <c r="BG112" s="91"/>
      <c r="BH112" s="91"/>
      <c r="BO112" s="91"/>
      <c r="BS112" s="91"/>
      <c r="BT112" s="91"/>
      <c r="BV112" s="91"/>
    </row>
    <row r="113" spans="1:74" x14ac:dyDescent="0.3">
      <c r="A113" s="89"/>
      <c r="B113" s="89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89"/>
      <c r="Y113" s="89"/>
      <c r="Z113" s="91"/>
      <c r="AA113" s="91"/>
      <c r="AB113" s="91"/>
      <c r="AC113" s="91"/>
      <c r="AD113" s="91"/>
      <c r="AE113" s="91"/>
      <c r="AF113" s="91"/>
      <c r="AG113" s="91"/>
      <c r="AH113" s="91"/>
      <c r="AI113" s="91"/>
      <c r="AL113" s="89"/>
      <c r="AM113" s="91"/>
      <c r="AN113" s="91"/>
      <c r="AP113" s="91"/>
      <c r="AQ113" s="91"/>
      <c r="AR113" s="91"/>
      <c r="AS113" s="91"/>
      <c r="AT113" s="91"/>
      <c r="BA113" s="91"/>
      <c r="BD113" s="89"/>
      <c r="BE113" s="89"/>
      <c r="BF113" s="91"/>
      <c r="BG113" s="91"/>
      <c r="BH113" s="91"/>
      <c r="BO113" s="91"/>
      <c r="BS113" s="91"/>
      <c r="BT113" s="91"/>
      <c r="BV113" s="91"/>
    </row>
    <row r="114" spans="1:74" x14ac:dyDescent="0.3">
      <c r="A114" s="89"/>
      <c r="B114" s="89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89"/>
      <c r="Y114" s="89"/>
      <c r="Z114" s="91"/>
      <c r="AA114" s="91"/>
      <c r="AB114" s="91"/>
      <c r="AC114" s="91"/>
      <c r="AD114" s="91"/>
      <c r="AE114" s="91"/>
      <c r="AF114" s="91"/>
      <c r="AG114" s="91"/>
      <c r="AH114" s="91"/>
      <c r="AI114" s="91"/>
      <c r="AL114" s="89"/>
      <c r="AM114" s="91"/>
      <c r="AN114" s="91"/>
      <c r="AP114" s="91"/>
      <c r="AQ114" s="91"/>
      <c r="AR114" s="91"/>
      <c r="AS114" s="91"/>
      <c r="AT114" s="91"/>
      <c r="BA114" s="91"/>
      <c r="BD114" s="89"/>
      <c r="BE114" s="89"/>
      <c r="BF114" s="91"/>
      <c r="BG114" s="91"/>
      <c r="BH114" s="91"/>
      <c r="BO114" s="91"/>
      <c r="BS114" s="91"/>
      <c r="BT114" s="91"/>
      <c r="BV114" s="91"/>
    </row>
    <row r="115" spans="1:74" x14ac:dyDescent="0.3">
      <c r="A115" s="89"/>
      <c r="B115" s="89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89"/>
      <c r="Y115" s="89"/>
      <c r="Z115" s="91"/>
      <c r="AA115" s="91"/>
      <c r="AB115" s="91"/>
      <c r="AC115" s="91"/>
      <c r="AD115" s="91"/>
      <c r="AE115" s="91"/>
      <c r="AF115" s="91"/>
      <c r="AG115" s="91"/>
      <c r="AH115" s="91"/>
      <c r="AI115" s="91"/>
      <c r="AL115" s="89"/>
      <c r="AM115" s="91"/>
      <c r="AN115" s="91"/>
      <c r="AP115" s="91"/>
      <c r="AQ115" s="91"/>
      <c r="AR115" s="91"/>
      <c r="AS115" s="91"/>
      <c r="AT115" s="91"/>
      <c r="BA115" s="91"/>
      <c r="BD115" s="89"/>
      <c r="BE115" s="89"/>
      <c r="BF115" s="91"/>
      <c r="BG115" s="91"/>
      <c r="BH115" s="91"/>
      <c r="BO115" s="91"/>
      <c r="BS115" s="91"/>
      <c r="BT115" s="91"/>
      <c r="BV115" s="91"/>
    </row>
    <row r="116" spans="1:74" x14ac:dyDescent="0.3">
      <c r="A116" s="89"/>
      <c r="B116" s="89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89"/>
      <c r="Y116" s="89"/>
      <c r="Z116" s="91"/>
      <c r="AA116" s="91"/>
      <c r="AB116" s="91"/>
      <c r="AC116" s="91"/>
      <c r="AD116" s="91"/>
      <c r="AE116" s="91"/>
      <c r="AF116" s="91"/>
      <c r="AG116" s="91"/>
      <c r="AH116" s="91"/>
      <c r="AI116" s="91"/>
      <c r="AL116" s="89"/>
      <c r="AM116" s="91"/>
      <c r="AN116" s="91"/>
      <c r="AP116" s="91"/>
      <c r="AQ116" s="91"/>
      <c r="AR116" s="91"/>
      <c r="AS116" s="91"/>
      <c r="AT116" s="91"/>
      <c r="BA116" s="91"/>
      <c r="BD116" s="89"/>
      <c r="BE116" s="89"/>
      <c r="BF116" s="91"/>
      <c r="BG116" s="91"/>
      <c r="BH116" s="91"/>
      <c r="BO116" s="91"/>
      <c r="BS116" s="91"/>
      <c r="BT116" s="91"/>
      <c r="BV116" s="91"/>
    </row>
    <row r="117" spans="1:74" x14ac:dyDescent="0.3">
      <c r="A117" s="89"/>
      <c r="B117" s="89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89"/>
      <c r="Y117" s="89"/>
      <c r="Z117" s="91"/>
      <c r="AA117" s="91"/>
      <c r="AB117" s="91"/>
      <c r="AC117" s="91"/>
      <c r="AD117" s="91"/>
      <c r="AE117" s="91"/>
      <c r="AF117" s="91"/>
      <c r="AG117" s="91"/>
      <c r="AH117" s="91"/>
      <c r="AI117" s="91"/>
      <c r="AL117" s="89"/>
      <c r="AM117" s="91"/>
      <c r="AN117" s="91"/>
      <c r="AP117" s="91"/>
      <c r="AQ117" s="91"/>
      <c r="AR117" s="91"/>
      <c r="AS117" s="91"/>
      <c r="AT117" s="91"/>
      <c r="BA117" s="91"/>
      <c r="BD117" s="89"/>
      <c r="BE117" s="89"/>
      <c r="BF117" s="91"/>
      <c r="BG117" s="91"/>
      <c r="BH117" s="91"/>
      <c r="BO117" s="91"/>
      <c r="BS117" s="91"/>
      <c r="BT117" s="91"/>
      <c r="BV117" s="91"/>
    </row>
    <row r="118" spans="1:74" x14ac:dyDescent="0.3">
      <c r="A118" s="89"/>
      <c r="B118" s="89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89"/>
      <c r="Y118" s="89"/>
      <c r="Z118" s="91"/>
      <c r="AA118" s="91"/>
      <c r="AB118" s="91"/>
      <c r="AC118" s="91"/>
      <c r="AD118" s="91"/>
      <c r="AE118" s="91"/>
      <c r="AF118" s="91"/>
      <c r="AG118" s="91"/>
      <c r="AH118" s="91"/>
      <c r="AI118" s="91"/>
      <c r="AL118" s="89"/>
      <c r="AM118" s="91"/>
      <c r="AN118" s="91"/>
      <c r="AP118" s="91"/>
      <c r="AQ118" s="91"/>
      <c r="AR118" s="91"/>
      <c r="AS118" s="91"/>
      <c r="AT118" s="91"/>
      <c r="BA118" s="91"/>
      <c r="BD118" s="89"/>
      <c r="BE118" s="89"/>
      <c r="BF118" s="91"/>
      <c r="BG118" s="91"/>
      <c r="BH118" s="91"/>
      <c r="BO118" s="91"/>
      <c r="BS118" s="91"/>
      <c r="BT118" s="91"/>
      <c r="BV118" s="91"/>
    </row>
    <row r="119" spans="1:74" x14ac:dyDescent="0.3">
      <c r="A119" s="89"/>
      <c r="B119" s="89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89"/>
      <c r="Y119" s="89"/>
      <c r="Z119" s="91"/>
      <c r="AA119" s="91"/>
      <c r="AB119" s="91"/>
      <c r="AC119" s="91"/>
      <c r="AD119" s="91"/>
      <c r="AE119" s="91"/>
      <c r="AF119" s="91"/>
      <c r="AG119" s="91"/>
      <c r="AH119" s="91"/>
      <c r="AI119" s="91"/>
      <c r="AL119" s="89"/>
      <c r="AM119" s="91"/>
      <c r="AN119" s="91"/>
      <c r="AP119" s="91"/>
      <c r="AQ119" s="91"/>
      <c r="AR119" s="91"/>
      <c r="AS119" s="91"/>
      <c r="AT119" s="91"/>
      <c r="BA119" s="91"/>
      <c r="BD119" s="89"/>
      <c r="BE119" s="89"/>
      <c r="BF119" s="91"/>
      <c r="BG119" s="91"/>
      <c r="BH119" s="91"/>
      <c r="BO119" s="91"/>
      <c r="BS119" s="91"/>
      <c r="BT119" s="91"/>
      <c r="BV119" s="91"/>
    </row>
    <row r="120" spans="1:74" x14ac:dyDescent="0.3">
      <c r="A120" s="89"/>
      <c r="B120" s="89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89"/>
      <c r="Y120" s="89"/>
      <c r="Z120" s="91"/>
      <c r="AA120" s="91"/>
      <c r="AB120" s="91"/>
      <c r="AC120" s="91"/>
      <c r="AD120" s="91"/>
      <c r="AE120" s="91"/>
      <c r="AF120" s="91"/>
      <c r="AG120" s="91"/>
      <c r="AH120" s="91"/>
      <c r="AI120" s="91"/>
      <c r="AL120" s="89"/>
      <c r="AM120" s="91"/>
      <c r="AN120" s="91"/>
      <c r="AP120" s="91"/>
      <c r="AQ120" s="91"/>
      <c r="AR120" s="91"/>
      <c r="AS120" s="91"/>
      <c r="AT120" s="91"/>
      <c r="BA120" s="91"/>
      <c r="BD120" s="89"/>
      <c r="BE120" s="89"/>
      <c r="BF120" s="91"/>
      <c r="BG120" s="91"/>
      <c r="BH120" s="91"/>
      <c r="BO120" s="91"/>
      <c r="BS120" s="91"/>
      <c r="BT120" s="91"/>
      <c r="BV120" s="91"/>
    </row>
    <row r="121" spans="1:74" x14ac:dyDescent="0.3">
      <c r="A121" s="89"/>
      <c r="B121" s="89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89"/>
      <c r="Y121" s="89"/>
      <c r="Z121" s="91"/>
      <c r="AA121" s="91"/>
      <c r="AB121" s="91"/>
      <c r="AC121" s="91"/>
      <c r="AD121" s="91"/>
      <c r="AE121" s="91"/>
      <c r="AF121" s="91"/>
      <c r="AG121" s="91"/>
      <c r="AH121" s="91"/>
      <c r="AI121" s="91"/>
      <c r="AL121" s="89"/>
      <c r="AM121" s="91"/>
      <c r="AN121" s="91"/>
      <c r="AP121" s="91"/>
      <c r="AQ121" s="91"/>
      <c r="AR121" s="91"/>
      <c r="AS121" s="91"/>
      <c r="AT121" s="91"/>
      <c r="BA121" s="91"/>
      <c r="BD121" s="89"/>
      <c r="BE121" s="89"/>
      <c r="BF121" s="91"/>
      <c r="BG121" s="91"/>
      <c r="BH121" s="91"/>
      <c r="BO121" s="91"/>
      <c r="BS121" s="91"/>
      <c r="BT121" s="91"/>
      <c r="BV121" s="91"/>
    </row>
    <row r="122" spans="1:74" x14ac:dyDescent="0.3">
      <c r="A122" s="89"/>
      <c r="B122" s="89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89"/>
      <c r="Y122" s="89"/>
      <c r="Z122" s="91"/>
      <c r="AA122" s="91"/>
      <c r="AB122" s="91"/>
      <c r="AC122" s="91"/>
      <c r="AD122" s="91"/>
      <c r="AE122" s="91"/>
      <c r="AF122" s="91"/>
      <c r="AG122" s="91"/>
      <c r="AH122" s="91"/>
      <c r="AI122" s="91"/>
      <c r="AL122" s="89"/>
      <c r="AM122" s="91"/>
      <c r="AN122" s="91"/>
      <c r="AP122" s="91"/>
      <c r="AQ122" s="91"/>
      <c r="AR122" s="91"/>
      <c r="AS122" s="91"/>
      <c r="AT122" s="91"/>
      <c r="BA122" s="91"/>
      <c r="BD122" s="89"/>
      <c r="BE122" s="89"/>
      <c r="BF122" s="91"/>
      <c r="BG122" s="91"/>
      <c r="BH122" s="91"/>
      <c r="BO122" s="91"/>
      <c r="BS122" s="91"/>
      <c r="BT122" s="91"/>
      <c r="BV122" s="91"/>
    </row>
    <row r="123" spans="1:74" x14ac:dyDescent="0.3">
      <c r="A123" s="89"/>
      <c r="B123" s="89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89"/>
      <c r="Y123" s="89"/>
      <c r="Z123" s="91"/>
      <c r="AA123" s="91"/>
      <c r="AB123" s="91"/>
      <c r="AC123" s="91"/>
      <c r="AD123" s="91"/>
      <c r="AE123" s="91"/>
      <c r="AF123" s="91"/>
      <c r="AG123" s="91"/>
      <c r="AH123" s="91"/>
      <c r="AI123" s="91"/>
      <c r="AL123" s="89"/>
      <c r="AM123" s="91"/>
      <c r="AN123" s="91"/>
      <c r="AP123" s="91"/>
      <c r="AQ123" s="91"/>
      <c r="AR123" s="91"/>
      <c r="AS123" s="91"/>
      <c r="AT123" s="91"/>
      <c r="BA123" s="91"/>
      <c r="BD123" s="89"/>
      <c r="BE123" s="89"/>
      <c r="BF123" s="91"/>
      <c r="BG123" s="91"/>
      <c r="BH123" s="91"/>
      <c r="BO123" s="91"/>
      <c r="BS123" s="91"/>
      <c r="BT123" s="91"/>
      <c r="BV123" s="91"/>
    </row>
    <row r="124" spans="1:74" x14ac:dyDescent="0.3">
      <c r="A124" s="89"/>
      <c r="B124" s="89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89"/>
      <c r="Y124" s="89"/>
      <c r="Z124" s="91"/>
      <c r="AA124" s="91"/>
      <c r="AB124" s="91"/>
      <c r="AC124" s="91"/>
      <c r="AD124" s="91"/>
      <c r="AE124" s="91"/>
      <c r="AF124" s="91"/>
      <c r="AG124" s="91"/>
      <c r="AH124" s="91"/>
      <c r="AI124" s="91"/>
      <c r="AL124" s="89"/>
      <c r="AM124" s="91"/>
      <c r="AN124" s="91"/>
      <c r="AP124" s="91"/>
      <c r="AQ124" s="91"/>
      <c r="AR124" s="91"/>
      <c r="AS124" s="91"/>
      <c r="AT124" s="91"/>
      <c r="BA124" s="91"/>
      <c r="BD124" s="89"/>
      <c r="BE124" s="89"/>
      <c r="BF124" s="91"/>
      <c r="BG124" s="91"/>
      <c r="BH124" s="91"/>
      <c r="BO124" s="91"/>
      <c r="BS124" s="91"/>
      <c r="BT124" s="91"/>
      <c r="BV124" s="91"/>
    </row>
    <row r="125" spans="1:74" x14ac:dyDescent="0.3">
      <c r="A125" s="89"/>
      <c r="B125" s="89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89"/>
      <c r="Y125" s="89"/>
      <c r="Z125" s="91"/>
      <c r="AA125" s="91"/>
      <c r="AB125" s="91"/>
      <c r="AC125" s="91"/>
      <c r="AD125" s="91"/>
      <c r="AE125" s="91"/>
      <c r="AF125" s="91"/>
      <c r="AG125" s="91"/>
      <c r="AH125" s="91"/>
      <c r="AI125" s="91"/>
      <c r="AL125" s="89"/>
      <c r="AM125" s="91"/>
      <c r="AN125" s="91"/>
      <c r="AP125" s="91"/>
      <c r="AQ125" s="91"/>
      <c r="AR125" s="91"/>
      <c r="AS125" s="91"/>
      <c r="AT125" s="91"/>
      <c r="BA125" s="91"/>
      <c r="BD125" s="89"/>
      <c r="BE125" s="89"/>
      <c r="BF125" s="91"/>
      <c r="BG125" s="91"/>
      <c r="BH125" s="91"/>
      <c r="BO125" s="91"/>
      <c r="BS125" s="91"/>
      <c r="BT125" s="91"/>
      <c r="BV125" s="91"/>
    </row>
    <row r="126" spans="1:74" x14ac:dyDescent="0.3">
      <c r="A126" s="89"/>
      <c r="B126" s="89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89"/>
      <c r="Y126" s="89"/>
      <c r="Z126" s="91"/>
      <c r="AA126" s="91"/>
      <c r="AB126" s="91"/>
      <c r="AC126" s="91"/>
      <c r="AD126" s="91"/>
      <c r="AE126" s="91"/>
      <c r="AF126" s="91"/>
      <c r="AG126" s="91"/>
      <c r="AH126" s="91"/>
      <c r="AI126" s="91"/>
      <c r="AL126" s="89"/>
      <c r="AM126" s="91"/>
      <c r="AN126" s="91"/>
      <c r="AP126" s="91"/>
      <c r="AQ126" s="91"/>
      <c r="AR126" s="91"/>
      <c r="AS126" s="91"/>
      <c r="AT126" s="91"/>
      <c r="BA126" s="91"/>
      <c r="BD126" s="89"/>
      <c r="BE126" s="89"/>
      <c r="BF126" s="91"/>
      <c r="BG126" s="91"/>
      <c r="BH126" s="91"/>
      <c r="BO126" s="91"/>
      <c r="BS126" s="91"/>
      <c r="BT126" s="91"/>
      <c r="BV126" s="91"/>
    </row>
    <row r="127" spans="1:74" x14ac:dyDescent="0.3">
      <c r="A127" s="89"/>
      <c r="B127" s="89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89"/>
      <c r="Y127" s="89"/>
      <c r="Z127" s="91"/>
      <c r="AA127" s="91"/>
      <c r="AB127" s="91"/>
      <c r="AC127" s="91"/>
      <c r="AD127" s="91"/>
      <c r="AE127" s="91"/>
      <c r="AF127" s="91"/>
      <c r="AG127" s="91"/>
      <c r="AH127" s="91"/>
      <c r="AI127" s="91"/>
      <c r="AL127" s="89"/>
      <c r="AM127" s="91"/>
      <c r="AN127" s="91"/>
      <c r="AP127" s="91"/>
      <c r="AQ127" s="91"/>
      <c r="AR127" s="91"/>
      <c r="AS127" s="91"/>
      <c r="AT127" s="91"/>
      <c r="BA127" s="91"/>
      <c r="BD127" s="89"/>
      <c r="BE127" s="89"/>
      <c r="BF127" s="91"/>
      <c r="BG127" s="91"/>
      <c r="BH127" s="91"/>
      <c r="BO127" s="91"/>
      <c r="BS127" s="91"/>
      <c r="BT127" s="91"/>
      <c r="BV127" s="91"/>
    </row>
    <row r="128" spans="1:74" x14ac:dyDescent="0.3">
      <c r="A128" s="89"/>
      <c r="B128" s="89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89"/>
      <c r="Y128" s="89"/>
      <c r="Z128" s="91"/>
      <c r="AA128" s="91"/>
      <c r="AB128" s="91"/>
      <c r="AC128" s="91"/>
      <c r="AD128" s="91"/>
      <c r="AE128" s="91"/>
      <c r="AF128" s="91"/>
      <c r="AG128" s="91"/>
      <c r="AH128" s="91"/>
      <c r="AI128" s="91"/>
      <c r="AL128" s="89"/>
      <c r="AM128" s="91"/>
      <c r="AN128" s="91"/>
      <c r="AP128" s="91"/>
      <c r="AQ128" s="91"/>
      <c r="AR128" s="91"/>
      <c r="AS128" s="91"/>
      <c r="AT128" s="91"/>
      <c r="BA128" s="91"/>
      <c r="BD128" s="89"/>
      <c r="BE128" s="89"/>
      <c r="BF128" s="91"/>
      <c r="BG128" s="91"/>
      <c r="BH128" s="91"/>
      <c r="BO128" s="91"/>
      <c r="BS128" s="91"/>
      <c r="BT128" s="91"/>
      <c r="BV128" s="91"/>
    </row>
    <row r="129" spans="1:74" x14ac:dyDescent="0.3">
      <c r="A129" s="89"/>
      <c r="B129" s="89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89"/>
      <c r="Y129" s="89"/>
      <c r="Z129" s="91"/>
      <c r="AA129" s="91"/>
      <c r="AB129" s="91"/>
      <c r="AC129" s="91"/>
      <c r="AD129" s="91"/>
      <c r="AE129" s="91"/>
      <c r="AF129" s="91"/>
      <c r="AG129" s="91"/>
      <c r="AH129" s="91"/>
      <c r="AI129" s="91"/>
      <c r="AL129" s="89"/>
      <c r="AM129" s="91"/>
      <c r="AN129" s="91"/>
      <c r="AP129" s="91"/>
      <c r="AQ129" s="91"/>
      <c r="AR129" s="91"/>
      <c r="AS129" s="91"/>
      <c r="AT129" s="91"/>
      <c r="BA129" s="91"/>
      <c r="BD129" s="89"/>
      <c r="BE129" s="89"/>
      <c r="BF129" s="91"/>
      <c r="BG129" s="91"/>
      <c r="BH129" s="91"/>
      <c r="BO129" s="91"/>
      <c r="BS129" s="91"/>
      <c r="BT129" s="91"/>
      <c r="BV129" s="91"/>
    </row>
    <row r="130" spans="1:74" x14ac:dyDescent="0.3">
      <c r="A130" s="89"/>
      <c r="B130" s="89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89"/>
      <c r="Y130" s="89"/>
      <c r="Z130" s="91"/>
      <c r="AA130" s="91"/>
      <c r="AB130" s="91"/>
      <c r="AC130" s="91"/>
      <c r="AD130" s="91"/>
      <c r="AE130" s="91"/>
      <c r="AF130" s="91"/>
      <c r="AG130" s="91"/>
      <c r="AH130" s="91"/>
      <c r="AI130" s="91"/>
      <c r="AL130" s="89"/>
      <c r="AM130" s="91"/>
      <c r="AN130" s="91"/>
      <c r="AP130" s="91"/>
      <c r="AQ130" s="91"/>
      <c r="AR130" s="91"/>
      <c r="AS130" s="91"/>
      <c r="AT130" s="91"/>
      <c r="BA130" s="91"/>
      <c r="BD130" s="89"/>
      <c r="BE130" s="89"/>
      <c r="BF130" s="91"/>
      <c r="BG130" s="91"/>
      <c r="BH130" s="91"/>
      <c r="BO130" s="91"/>
      <c r="BS130" s="91"/>
      <c r="BT130" s="91"/>
      <c r="BV130" s="91"/>
    </row>
    <row r="131" spans="1:74" x14ac:dyDescent="0.3">
      <c r="A131" s="89"/>
      <c r="B131" s="89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89"/>
      <c r="Y131" s="89"/>
      <c r="Z131" s="91"/>
      <c r="AA131" s="91"/>
      <c r="AB131" s="91"/>
      <c r="AC131" s="91"/>
      <c r="AD131" s="91"/>
      <c r="AE131" s="91"/>
      <c r="AF131" s="91"/>
      <c r="AG131" s="91"/>
      <c r="AH131" s="91"/>
      <c r="AI131" s="91"/>
      <c r="AL131" s="89"/>
      <c r="AM131" s="91"/>
      <c r="AN131" s="91"/>
      <c r="AP131" s="91"/>
      <c r="AQ131" s="91"/>
      <c r="AR131" s="91"/>
      <c r="AS131" s="91"/>
      <c r="AT131" s="91"/>
      <c r="BA131" s="91"/>
      <c r="BD131" s="89"/>
      <c r="BE131" s="89"/>
      <c r="BF131" s="91"/>
      <c r="BG131" s="91"/>
      <c r="BH131" s="91"/>
      <c r="BO131" s="91"/>
      <c r="BS131" s="91"/>
      <c r="BT131" s="91"/>
      <c r="BV131" s="91"/>
    </row>
    <row r="132" spans="1:74" x14ac:dyDescent="0.3">
      <c r="A132" s="89"/>
      <c r="B132" s="89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89"/>
      <c r="Y132" s="89"/>
      <c r="Z132" s="91"/>
      <c r="AA132" s="91"/>
      <c r="AB132" s="91"/>
      <c r="AC132" s="91"/>
      <c r="AD132" s="91"/>
      <c r="AE132" s="91"/>
      <c r="AF132" s="91"/>
      <c r="AG132" s="91"/>
      <c r="AH132" s="91"/>
      <c r="AI132" s="91"/>
      <c r="AL132" s="89"/>
      <c r="AM132" s="91"/>
      <c r="AN132" s="91"/>
      <c r="AP132" s="91"/>
      <c r="AQ132" s="91"/>
      <c r="AR132" s="91"/>
      <c r="AS132" s="91"/>
      <c r="AT132" s="91"/>
      <c r="BA132" s="91"/>
      <c r="BD132" s="89"/>
      <c r="BE132" s="89"/>
      <c r="BF132" s="91"/>
      <c r="BG132" s="91"/>
      <c r="BH132" s="91"/>
      <c r="BO132" s="91"/>
      <c r="BS132" s="91"/>
      <c r="BT132" s="91"/>
      <c r="BV132" s="91"/>
    </row>
    <row r="133" spans="1:74" x14ac:dyDescent="0.3">
      <c r="A133" s="89"/>
      <c r="B133" s="89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89"/>
      <c r="Y133" s="89"/>
      <c r="Z133" s="91"/>
      <c r="AA133" s="91"/>
      <c r="AB133" s="91"/>
      <c r="AC133" s="91"/>
      <c r="AD133" s="91"/>
      <c r="AE133" s="91"/>
      <c r="AF133" s="91"/>
      <c r="AG133" s="91"/>
      <c r="AH133" s="91"/>
      <c r="AI133" s="91"/>
      <c r="AL133" s="89"/>
      <c r="AM133" s="91"/>
      <c r="AN133" s="91"/>
      <c r="AP133" s="91"/>
      <c r="AQ133" s="91"/>
      <c r="AR133" s="91"/>
      <c r="AS133" s="91"/>
      <c r="AT133" s="91"/>
      <c r="BA133" s="91"/>
      <c r="BD133" s="89"/>
      <c r="BE133" s="89"/>
      <c r="BF133" s="91"/>
      <c r="BG133" s="91"/>
      <c r="BH133" s="91"/>
      <c r="BO133" s="91"/>
      <c r="BS133" s="91"/>
      <c r="BT133" s="91"/>
      <c r="BV133" s="91"/>
    </row>
    <row r="134" spans="1:74" x14ac:dyDescent="0.3">
      <c r="A134" s="89"/>
      <c r="B134" s="89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89"/>
      <c r="Y134" s="89"/>
      <c r="Z134" s="91"/>
      <c r="AA134" s="91"/>
      <c r="AB134" s="91"/>
      <c r="AC134" s="91"/>
      <c r="AD134" s="91"/>
      <c r="AE134" s="91"/>
      <c r="AF134" s="91"/>
      <c r="AG134" s="91"/>
      <c r="AH134" s="91"/>
      <c r="AI134" s="91"/>
      <c r="AL134" s="89"/>
      <c r="AM134" s="91"/>
      <c r="AN134" s="91"/>
      <c r="AP134" s="91"/>
      <c r="AQ134" s="91"/>
      <c r="AR134" s="91"/>
      <c r="AS134" s="91"/>
      <c r="AT134" s="91"/>
      <c r="BA134" s="91"/>
      <c r="BD134" s="89"/>
      <c r="BE134" s="89"/>
      <c r="BF134" s="91"/>
      <c r="BG134" s="91"/>
      <c r="BH134" s="91"/>
      <c r="BO134" s="91"/>
      <c r="BS134" s="91"/>
      <c r="BT134" s="91"/>
      <c r="BV134" s="91"/>
    </row>
    <row r="135" spans="1:74" x14ac:dyDescent="0.3">
      <c r="A135" s="89"/>
      <c r="B135" s="89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89"/>
      <c r="Y135" s="89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L135" s="89"/>
      <c r="AM135" s="91"/>
      <c r="AN135" s="91"/>
      <c r="AP135" s="91"/>
      <c r="AQ135" s="91"/>
      <c r="AR135" s="91"/>
      <c r="AS135" s="91"/>
      <c r="AT135" s="91"/>
      <c r="BA135" s="91"/>
      <c r="BD135" s="89"/>
      <c r="BE135" s="89"/>
      <c r="BF135" s="91"/>
      <c r="BG135" s="91"/>
      <c r="BH135" s="91"/>
      <c r="BO135" s="91"/>
      <c r="BS135" s="91"/>
      <c r="BT135" s="91"/>
      <c r="BV135" s="91"/>
    </row>
    <row r="136" spans="1:74" x14ac:dyDescent="0.3">
      <c r="A136" s="89"/>
      <c r="B136" s="89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89"/>
      <c r="Y136" s="89"/>
      <c r="Z136" s="91"/>
      <c r="AA136" s="91"/>
      <c r="AB136" s="91"/>
      <c r="AC136" s="91"/>
      <c r="AD136" s="91"/>
      <c r="AE136" s="91"/>
      <c r="AF136" s="91"/>
      <c r="AG136" s="91"/>
      <c r="AH136" s="91"/>
      <c r="AI136" s="91"/>
      <c r="AL136" s="89"/>
      <c r="AM136" s="91"/>
      <c r="AN136" s="91"/>
      <c r="AP136" s="91"/>
      <c r="AQ136" s="91"/>
      <c r="AR136" s="91"/>
      <c r="AS136" s="91"/>
      <c r="AT136" s="91"/>
      <c r="BA136" s="91"/>
      <c r="BD136" s="89"/>
      <c r="BE136" s="89"/>
      <c r="BF136" s="91"/>
      <c r="BG136" s="91"/>
      <c r="BH136" s="91"/>
      <c r="BO136" s="91"/>
      <c r="BS136" s="91"/>
      <c r="BT136" s="91"/>
      <c r="BV136" s="91"/>
    </row>
    <row r="137" spans="1:74" x14ac:dyDescent="0.3">
      <c r="A137" s="89"/>
      <c r="B137" s="89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89"/>
      <c r="Y137" s="89"/>
      <c r="Z137" s="91"/>
      <c r="AA137" s="91"/>
      <c r="AB137" s="91"/>
      <c r="AC137" s="91"/>
      <c r="AD137" s="91"/>
      <c r="AE137" s="91"/>
      <c r="AF137" s="91"/>
      <c r="AG137" s="91"/>
      <c r="AH137" s="91"/>
      <c r="AI137" s="91"/>
      <c r="AL137" s="89"/>
      <c r="AM137" s="91"/>
      <c r="AN137" s="91"/>
      <c r="AP137" s="91"/>
      <c r="AQ137" s="91"/>
      <c r="AR137" s="91"/>
      <c r="AS137" s="91"/>
      <c r="AT137" s="91"/>
      <c r="BA137" s="91"/>
      <c r="BD137" s="89"/>
      <c r="BE137" s="89"/>
      <c r="BF137" s="91"/>
      <c r="BG137" s="91"/>
      <c r="BH137" s="91"/>
      <c r="BO137" s="91"/>
      <c r="BS137" s="91"/>
      <c r="BT137" s="91"/>
      <c r="BV137" s="91"/>
    </row>
    <row r="138" spans="1:74" x14ac:dyDescent="0.3">
      <c r="A138" s="89"/>
      <c r="B138" s="89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89"/>
      <c r="Y138" s="89"/>
      <c r="Z138" s="91"/>
      <c r="AA138" s="91"/>
      <c r="AB138" s="91"/>
      <c r="AC138" s="91"/>
      <c r="AD138" s="91"/>
      <c r="AE138" s="91"/>
      <c r="AF138" s="91"/>
      <c r="AG138" s="91"/>
      <c r="AH138" s="91"/>
      <c r="AI138" s="91"/>
      <c r="AL138" s="89"/>
      <c r="AM138" s="91"/>
      <c r="AN138" s="91"/>
      <c r="AP138" s="91"/>
      <c r="AQ138" s="91"/>
      <c r="AR138" s="91"/>
      <c r="AS138" s="91"/>
      <c r="AT138" s="91"/>
      <c r="BA138" s="91"/>
      <c r="BD138" s="89"/>
      <c r="BE138" s="89"/>
      <c r="BF138" s="91"/>
      <c r="BG138" s="91"/>
      <c r="BH138" s="91"/>
      <c r="BO138" s="91"/>
      <c r="BS138" s="91"/>
      <c r="BT138" s="91"/>
      <c r="BV138" s="91"/>
    </row>
    <row r="139" spans="1:74" x14ac:dyDescent="0.3">
      <c r="A139" s="89"/>
      <c r="B139" s="89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89"/>
      <c r="Y139" s="89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L139" s="89"/>
      <c r="AM139" s="91"/>
      <c r="AN139" s="91"/>
      <c r="AP139" s="91"/>
      <c r="AQ139" s="91"/>
      <c r="AR139" s="91"/>
      <c r="AS139" s="91"/>
      <c r="AT139" s="91"/>
      <c r="BA139" s="91"/>
      <c r="BD139" s="89"/>
      <c r="BE139" s="89"/>
      <c r="BF139" s="91"/>
      <c r="BG139" s="91"/>
      <c r="BH139" s="91"/>
      <c r="BO139" s="91"/>
      <c r="BS139" s="91"/>
      <c r="BT139" s="91"/>
      <c r="BV139" s="91"/>
    </row>
    <row r="140" spans="1:74" x14ac:dyDescent="0.3">
      <c r="A140" s="89"/>
      <c r="B140" s="89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89"/>
      <c r="Y140" s="89"/>
      <c r="Z140" s="91"/>
      <c r="AA140" s="91"/>
      <c r="AB140" s="91"/>
      <c r="AC140" s="91"/>
      <c r="AD140" s="91"/>
      <c r="AE140" s="91"/>
      <c r="AF140" s="91"/>
      <c r="AG140" s="91"/>
      <c r="AH140" s="91"/>
      <c r="AI140" s="91"/>
      <c r="AL140" s="89"/>
      <c r="AM140" s="91"/>
      <c r="AN140" s="91"/>
      <c r="AP140" s="91"/>
      <c r="AQ140" s="91"/>
      <c r="AR140" s="91"/>
      <c r="AS140" s="91"/>
      <c r="AT140" s="91"/>
      <c r="BA140" s="91"/>
      <c r="BD140" s="89"/>
      <c r="BE140" s="89"/>
      <c r="BF140" s="91"/>
      <c r="BG140" s="91"/>
      <c r="BH140" s="91"/>
      <c r="BO140" s="91"/>
      <c r="BS140" s="91"/>
      <c r="BT140" s="91"/>
      <c r="BV140" s="91"/>
    </row>
    <row r="141" spans="1:74" x14ac:dyDescent="0.3">
      <c r="A141" s="89"/>
      <c r="B141" s="89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89"/>
      <c r="Y141" s="89"/>
      <c r="Z141" s="91"/>
      <c r="AA141" s="91"/>
      <c r="AB141" s="91"/>
      <c r="AC141" s="91"/>
      <c r="AD141" s="91"/>
      <c r="AE141" s="91"/>
      <c r="AF141" s="91"/>
      <c r="AG141" s="91"/>
      <c r="AH141" s="91"/>
      <c r="AI141" s="91"/>
      <c r="AL141" s="89"/>
      <c r="AM141" s="91"/>
      <c r="AN141" s="91"/>
      <c r="AP141" s="91"/>
      <c r="AQ141" s="91"/>
      <c r="AR141" s="91"/>
      <c r="AS141" s="91"/>
      <c r="AT141" s="91"/>
      <c r="BA141" s="91"/>
      <c r="BD141" s="89"/>
      <c r="BE141" s="89"/>
      <c r="BF141" s="91"/>
      <c r="BG141" s="91"/>
      <c r="BH141" s="91"/>
      <c r="BO141" s="91"/>
      <c r="BS141" s="91"/>
      <c r="BT141" s="91"/>
      <c r="BV141" s="91"/>
    </row>
    <row r="142" spans="1:74" x14ac:dyDescent="0.3">
      <c r="A142" s="89"/>
      <c r="B142" s="89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89"/>
      <c r="Y142" s="89"/>
      <c r="Z142" s="91"/>
      <c r="AA142" s="91"/>
      <c r="AB142" s="91"/>
      <c r="AC142" s="91"/>
      <c r="AD142" s="91"/>
      <c r="AE142" s="91"/>
      <c r="AF142" s="91"/>
      <c r="AG142" s="91"/>
      <c r="AH142" s="91"/>
      <c r="AI142" s="91"/>
      <c r="AL142" s="89"/>
      <c r="AM142" s="91"/>
      <c r="AN142" s="91"/>
      <c r="AP142" s="91"/>
      <c r="AQ142" s="91"/>
      <c r="AR142" s="91"/>
      <c r="AS142" s="91"/>
      <c r="AT142" s="91"/>
      <c r="BA142" s="91"/>
      <c r="BD142" s="89"/>
      <c r="BE142" s="89"/>
      <c r="BF142" s="91"/>
      <c r="BG142" s="91"/>
      <c r="BH142" s="91"/>
      <c r="BO142" s="91"/>
      <c r="BS142" s="91"/>
      <c r="BT142" s="91"/>
      <c r="BV142" s="91"/>
    </row>
    <row r="143" spans="1:74" x14ac:dyDescent="0.3">
      <c r="A143" s="89"/>
      <c r="B143" s="89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89"/>
      <c r="Y143" s="89"/>
      <c r="Z143" s="91"/>
      <c r="AA143" s="91"/>
      <c r="AB143" s="91"/>
      <c r="AC143" s="91"/>
      <c r="AD143" s="91"/>
      <c r="AE143" s="91"/>
      <c r="AF143" s="91"/>
      <c r="AG143" s="91"/>
      <c r="AH143" s="91"/>
      <c r="AI143" s="91"/>
      <c r="AL143" s="89"/>
      <c r="AM143" s="91"/>
      <c r="AN143" s="91"/>
      <c r="AP143" s="91"/>
      <c r="AQ143" s="91"/>
      <c r="AR143" s="91"/>
      <c r="AS143" s="91"/>
      <c r="AT143" s="91"/>
      <c r="BA143" s="91"/>
      <c r="BD143" s="89"/>
      <c r="BE143" s="89"/>
      <c r="BF143" s="91"/>
      <c r="BG143" s="91"/>
      <c r="BH143" s="91"/>
      <c r="BO143" s="91"/>
      <c r="BS143" s="91"/>
      <c r="BT143" s="91"/>
      <c r="BV143" s="91"/>
    </row>
    <row r="144" spans="1:74" x14ac:dyDescent="0.3">
      <c r="A144" s="89"/>
      <c r="B144" s="89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89"/>
      <c r="Y144" s="89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L144" s="89"/>
      <c r="AM144" s="91"/>
      <c r="AN144" s="91"/>
      <c r="AP144" s="91"/>
      <c r="AQ144" s="91"/>
      <c r="AR144" s="91"/>
      <c r="AS144" s="91"/>
      <c r="AT144" s="91"/>
      <c r="BA144" s="91"/>
      <c r="BD144" s="89"/>
      <c r="BE144" s="89"/>
      <c r="BF144" s="91"/>
      <c r="BG144" s="91"/>
      <c r="BH144" s="91"/>
      <c r="BO144" s="91"/>
      <c r="BS144" s="91"/>
      <c r="BT144" s="91"/>
      <c r="BV144" s="91"/>
    </row>
    <row r="145" spans="1:74" x14ac:dyDescent="0.3">
      <c r="A145" s="89"/>
      <c r="B145" s="89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89"/>
      <c r="Y145" s="89"/>
      <c r="Z145" s="91"/>
      <c r="AA145" s="91"/>
      <c r="AB145" s="91"/>
      <c r="AC145" s="91"/>
      <c r="AD145" s="91"/>
      <c r="AE145" s="91"/>
      <c r="AF145" s="91"/>
      <c r="AG145" s="91"/>
      <c r="AH145" s="91"/>
      <c r="AI145" s="91"/>
      <c r="AL145" s="89"/>
      <c r="AM145" s="91"/>
      <c r="AN145" s="91"/>
      <c r="AP145" s="91"/>
      <c r="AQ145" s="91"/>
      <c r="AR145" s="91"/>
      <c r="AS145" s="91"/>
      <c r="AT145" s="91"/>
      <c r="BA145" s="91"/>
      <c r="BD145" s="89"/>
      <c r="BE145" s="89"/>
      <c r="BF145" s="91"/>
      <c r="BG145" s="91"/>
      <c r="BH145" s="91"/>
      <c r="BO145" s="91"/>
      <c r="BS145" s="91"/>
      <c r="BT145" s="91"/>
      <c r="BV145" s="91"/>
    </row>
    <row r="146" spans="1:74" x14ac:dyDescent="0.3">
      <c r="A146" s="89"/>
      <c r="B146" s="89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89"/>
      <c r="Y146" s="89"/>
      <c r="Z146" s="91"/>
      <c r="AA146" s="91"/>
      <c r="AB146" s="91"/>
      <c r="AC146" s="91"/>
      <c r="AD146" s="91"/>
      <c r="AE146" s="91"/>
      <c r="AF146" s="91"/>
      <c r="AG146" s="91"/>
      <c r="AH146" s="91"/>
      <c r="AI146" s="91"/>
      <c r="AL146" s="89"/>
      <c r="AM146" s="91"/>
      <c r="AN146" s="91"/>
      <c r="AP146" s="91"/>
      <c r="AQ146" s="91"/>
      <c r="AR146" s="91"/>
      <c r="AS146" s="91"/>
      <c r="AT146" s="91"/>
      <c r="BA146" s="91"/>
      <c r="BD146" s="89"/>
      <c r="BE146" s="89"/>
      <c r="BF146" s="91"/>
      <c r="BG146" s="91"/>
      <c r="BH146" s="91"/>
      <c r="BO146" s="91"/>
      <c r="BS146" s="91"/>
      <c r="BT146" s="91"/>
      <c r="BV146" s="91"/>
    </row>
    <row r="147" spans="1:74" x14ac:dyDescent="0.3">
      <c r="A147" s="89"/>
      <c r="B147" s="89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89"/>
      <c r="Y147" s="89"/>
      <c r="Z147" s="91"/>
      <c r="AA147" s="91"/>
      <c r="AB147" s="91"/>
      <c r="AC147" s="91"/>
      <c r="AD147" s="91"/>
      <c r="AE147" s="91"/>
      <c r="AF147" s="91"/>
      <c r="AG147" s="91"/>
      <c r="AH147" s="91"/>
      <c r="AI147" s="91"/>
      <c r="AL147" s="89"/>
      <c r="AM147" s="91"/>
      <c r="AN147" s="91"/>
      <c r="AP147" s="91"/>
      <c r="AQ147" s="91"/>
      <c r="AR147" s="91"/>
      <c r="AS147" s="91"/>
      <c r="AT147" s="91"/>
      <c r="BA147" s="91"/>
      <c r="BD147" s="89"/>
      <c r="BE147" s="89"/>
      <c r="BF147" s="91"/>
      <c r="BG147" s="91"/>
      <c r="BH147" s="91"/>
      <c r="BO147" s="91"/>
      <c r="BS147" s="91"/>
      <c r="BT147" s="91"/>
      <c r="BV147" s="91"/>
    </row>
    <row r="148" spans="1:74" x14ac:dyDescent="0.3">
      <c r="A148" s="89"/>
      <c r="B148" s="89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89"/>
      <c r="Y148" s="89"/>
      <c r="Z148" s="91"/>
      <c r="AA148" s="91"/>
      <c r="AB148" s="91"/>
      <c r="AC148" s="91"/>
      <c r="AD148" s="91"/>
      <c r="AE148" s="91"/>
      <c r="AF148" s="91"/>
      <c r="AG148" s="91"/>
      <c r="AH148" s="91"/>
      <c r="AI148" s="91"/>
      <c r="AL148" s="89"/>
      <c r="AM148" s="91"/>
      <c r="AN148" s="91"/>
      <c r="AP148" s="91"/>
      <c r="AQ148" s="91"/>
      <c r="AR148" s="91"/>
      <c r="AS148" s="91"/>
      <c r="AT148" s="91"/>
      <c r="BA148" s="91"/>
      <c r="BD148" s="89"/>
      <c r="BE148" s="89"/>
      <c r="BF148" s="91"/>
      <c r="BG148" s="91"/>
      <c r="BH148" s="91"/>
      <c r="BO148" s="91"/>
      <c r="BS148" s="91"/>
      <c r="BT148" s="91"/>
      <c r="BV148" s="91"/>
    </row>
    <row r="149" spans="1:74" x14ac:dyDescent="0.3">
      <c r="A149" s="89"/>
      <c r="B149" s="89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89"/>
      <c r="Y149" s="89"/>
      <c r="Z149" s="91"/>
      <c r="AA149" s="91"/>
      <c r="AB149" s="91"/>
      <c r="AC149" s="91"/>
      <c r="AD149" s="91"/>
      <c r="AE149" s="91"/>
      <c r="AF149" s="91"/>
      <c r="AG149" s="91"/>
      <c r="AH149" s="91"/>
      <c r="AI149" s="91"/>
      <c r="AL149" s="89"/>
      <c r="AM149" s="91"/>
      <c r="AN149" s="91"/>
      <c r="AP149" s="91"/>
      <c r="AQ149" s="91"/>
      <c r="AR149" s="91"/>
      <c r="AS149" s="91"/>
      <c r="AT149" s="91"/>
      <c r="BA149" s="91"/>
      <c r="BD149" s="89"/>
      <c r="BE149" s="89"/>
      <c r="BF149" s="91"/>
      <c r="BG149" s="91"/>
      <c r="BH149" s="91"/>
      <c r="BO149" s="91"/>
      <c r="BS149" s="91"/>
      <c r="BT149" s="91"/>
      <c r="BV149" s="91"/>
    </row>
    <row r="150" spans="1:74" x14ac:dyDescent="0.3">
      <c r="A150" s="89"/>
      <c r="B150" s="89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89"/>
      <c r="Y150" s="89"/>
      <c r="Z150" s="91"/>
      <c r="AA150" s="91"/>
      <c r="AB150" s="91"/>
      <c r="AC150" s="91"/>
      <c r="AD150" s="91"/>
      <c r="AE150" s="91"/>
      <c r="AF150" s="91"/>
      <c r="AG150" s="91"/>
      <c r="AH150" s="91"/>
      <c r="AI150" s="91"/>
      <c r="AL150" s="89"/>
      <c r="AM150" s="91"/>
      <c r="AN150" s="91"/>
      <c r="AP150" s="91"/>
      <c r="AQ150" s="91"/>
      <c r="AR150" s="91"/>
      <c r="AS150" s="91"/>
      <c r="AT150" s="91"/>
      <c r="BA150" s="91"/>
      <c r="BD150" s="89"/>
      <c r="BE150" s="89"/>
      <c r="BF150" s="91"/>
      <c r="BG150" s="91"/>
      <c r="BH150" s="91"/>
      <c r="BO150" s="91"/>
      <c r="BS150" s="91"/>
      <c r="BT150" s="91"/>
      <c r="BV150" s="91"/>
    </row>
    <row r="151" spans="1:74" x14ac:dyDescent="0.3">
      <c r="A151" s="89"/>
      <c r="B151" s="89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89"/>
      <c r="Y151" s="89"/>
      <c r="Z151" s="91"/>
      <c r="AA151" s="91"/>
      <c r="AB151" s="91"/>
      <c r="AC151" s="91"/>
      <c r="AD151" s="91"/>
      <c r="AE151" s="91"/>
      <c r="AF151" s="91"/>
      <c r="AG151" s="91"/>
      <c r="AH151" s="91"/>
      <c r="AI151" s="91"/>
      <c r="AL151" s="89"/>
      <c r="AM151" s="91"/>
      <c r="AN151" s="91"/>
      <c r="AP151" s="91"/>
      <c r="AQ151" s="91"/>
      <c r="AR151" s="91"/>
      <c r="AS151" s="91"/>
      <c r="AT151" s="91"/>
      <c r="BA151" s="91"/>
      <c r="BD151" s="89"/>
      <c r="BE151" s="89"/>
      <c r="BF151" s="91"/>
      <c r="BG151" s="91"/>
      <c r="BH151" s="91"/>
      <c r="BO151" s="91"/>
      <c r="BS151" s="91"/>
      <c r="BT151" s="91"/>
      <c r="BV151" s="91"/>
    </row>
    <row r="152" spans="1:74" x14ac:dyDescent="0.3">
      <c r="A152" s="89"/>
      <c r="B152" s="89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89"/>
      <c r="Y152" s="89"/>
      <c r="Z152" s="91"/>
      <c r="AA152" s="91"/>
      <c r="AB152" s="91"/>
      <c r="AC152" s="91"/>
      <c r="AD152" s="91"/>
      <c r="AE152" s="91"/>
      <c r="AF152" s="91"/>
      <c r="AG152" s="91"/>
      <c r="AH152" s="91"/>
      <c r="AI152" s="91"/>
      <c r="AL152" s="89"/>
      <c r="AM152" s="91"/>
      <c r="AN152" s="91"/>
      <c r="AP152" s="91"/>
      <c r="AQ152" s="91"/>
      <c r="AR152" s="91"/>
      <c r="AS152" s="91"/>
      <c r="AT152" s="91"/>
      <c r="BA152" s="91"/>
      <c r="BD152" s="89"/>
      <c r="BE152" s="89"/>
      <c r="BF152" s="91"/>
      <c r="BG152" s="91"/>
      <c r="BH152" s="91"/>
      <c r="BO152" s="91"/>
      <c r="BS152" s="91"/>
      <c r="BT152" s="91"/>
      <c r="BV152" s="91"/>
    </row>
    <row r="153" spans="1:74" x14ac:dyDescent="0.3">
      <c r="A153" s="89"/>
      <c r="B153" s="89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89"/>
      <c r="Y153" s="89"/>
      <c r="Z153" s="91"/>
      <c r="AA153" s="91"/>
      <c r="AB153" s="91"/>
      <c r="AC153" s="91"/>
      <c r="AD153" s="91"/>
      <c r="AE153" s="91"/>
      <c r="AF153" s="91"/>
      <c r="AG153" s="91"/>
      <c r="AH153" s="91"/>
      <c r="AI153" s="91"/>
      <c r="AL153" s="89"/>
      <c r="AM153" s="91"/>
      <c r="AN153" s="91"/>
      <c r="AP153" s="91"/>
      <c r="AQ153" s="91"/>
      <c r="AR153" s="91"/>
      <c r="AS153" s="91"/>
      <c r="AT153" s="91"/>
      <c r="BA153" s="91"/>
      <c r="BD153" s="89"/>
      <c r="BE153" s="89"/>
      <c r="BF153" s="91"/>
      <c r="BG153" s="91"/>
      <c r="BH153" s="91"/>
      <c r="BO153" s="91"/>
      <c r="BS153" s="91"/>
      <c r="BT153" s="91"/>
      <c r="BV153" s="91"/>
    </row>
    <row r="154" spans="1:74" x14ac:dyDescent="0.3">
      <c r="A154" s="89"/>
      <c r="B154" s="89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89"/>
      <c r="Y154" s="89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L154" s="89"/>
      <c r="AM154" s="91"/>
      <c r="AN154" s="91"/>
      <c r="AP154" s="91"/>
      <c r="AQ154" s="91"/>
      <c r="AR154" s="91"/>
      <c r="AS154" s="91"/>
      <c r="AT154" s="91"/>
      <c r="BA154" s="91"/>
      <c r="BD154" s="89"/>
      <c r="BE154" s="89"/>
      <c r="BF154" s="91"/>
      <c r="BG154" s="91"/>
      <c r="BH154" s="91"/>
      <c r="BO154" s="91"/>
      <c r="BS154" s="91"/>
      <c r="BT154" s="91"/>
      <c r="BV154" s="91"/>
    </row>
    <row r="155" spans="1:74" x14ac:dyDescent="0.3">
      <c r="A155" s="89"/>
      <c r="B155" s="89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89"/>
      <c r="Y155" s="89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L155" s="89"/>
      <c r="AM155" s="91"/>
      <c r="AN155" s="91"/>
      <c r="AP155" s="91"/>
      <c r="AQ155" s="91"/>
      <c r="AR155" s="91"/>
      <c r="AS155" s="91"/>
      <c r="AT155" s="91"/>
      <c r="BA155" s="91"/>
      <c r="BD155" s="89"/>
      <c r="BE155" s="89"/>
      <c r="BF155" s="91"/>
      <c r="BG155" s="91"/>
      <c r="BH155" s="91"/>
      <c r="BO155" s="91"/>
      <c r="BS155" s="91"/>
      <c r="BT155" s="91"/>
      <c r="BV155" s="91"/>
    </row>
    <row r="156" spans="1:74" x14ac:dyDescent="0.3">
      <c r="A156" s="89"/>
      <c r="B156" s="89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89"/>
      <c r="Y156" s="89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L156" s="89"/>
      <c r="AM156" s="91"/>
      <c r="AN156" s="91"/>
      <c r="AP156" s="91"/>
      <c r="AQ156" s="91"/>
      <c r="AR156" s="91"/>
      <c r="AS156" s="91"/>
      <c r="AT156" s="91"/>
      <c r="BA156" s="91"/>
      <c r="BD156" s="89"/>
      <c r="BE156" s="89"/>
      <c r="BF156" s="91"/>
      <c r="BG156" s="91"/>
      <c r="BH156" s="91"/>
      <c r="BO156" s="91"/>
      <c r="BS156" s="91"/>
      <c r="BT156" s="91"/>
      <c r="BV156" s="91"/>
    </row>
    <row r="157" spans="1:74" x14ac:dyDescent="0.3">
      <c r="A157" s="89"/>
      <c r="B157" s="89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89"/>
      <c r="Y157" s="89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L157" s="89"/>
      <c r="AM157" s="91"/>
      <c r="AN157" s="91"/>
      <c r="AP157" s="91"/>
      <c r="AQ157" s="91"/>
      <c r="AR157" s="91"/>
      <c r="AS157" s="91"/>
      <c r="AT157" s="91"/>
      <c r="BA157" s="91"/>
      <c r="BD157" s="89"/>
      <c r="BE157" s="89"/>
      <c r="BF157" s="91"/>
      <c r="BG157" s="91"/>
      <c r="BH157" s="91"/>
      <c r="BO157" s="91"/>
      <c r="BS157" s="91"/>
      <c r="BT157" s="91"/>
      <c r="BV157" s="91"/>
    </row>
    <row r="158" spans="1:74" x14ac:dyDescent="0.3">
      <c r="A158" s="89"/>
      <c r="B158" s="89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89"/>
      <c r="Y158" s="89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L158" s="89"/>
      <c r="AM158" s="91"/>
      <c r="AN158" s="91"/>
      <c r="AP158" s="91"/>
      <c r="AQ158" s="91"/>
      <c r="AR158" s="91"/>
      <c r="AS158" s="91"/>
      <c r="AT158" s="91"/>
      <c r="BA158" s="91"/>
      <c r="BD158" s="89"/>
      <c r="BE158" s="89"/>
      <c r="BF158" s="91"/>
      <c r="BG158" s="91"/>
      <c r="BH158" s="91"/>
      <c r="BO158" s="91"/>
      <c r="BS158" s="91"/>
      <c r="BT158" s="91"/>
      <c r="BV158" s="91"/>
    </row>
    <row r="159" spans="1:74" x14ac:dyDescent="0.3">
      <c r="A159" s="89"/>
      <c r="B159" s="89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89"/>
      <c r="Y159" s="89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L159" s="89"/>
      <c r="AM159" s="91"/>
      <c r="AN159" s="91"/>
      <c r="AP159" s="91"/>
      <c r="AQ159" s="91"/>
      <c r="AR159" s="91"/>
      <c r="AS159" s="91"/>
      <c r="AT159" s="91"/>
      <c r="BA159" s="91"/>
      <c r="BD159" s="89"/>
      <c r="BE159" s="89"/>
      <c r="BF159" s="91"/>
      <c r="BG159" s="91"/>
      <c r="BH159" s="91"/>
      <c r="BO159" s="91"/>
      <c r="BS159" s="91"/>
      <c r="BT159" s="91"/>
      <c r="BV159" s="91"/>
    </row>
    <row r="160" spans="1:74" x14ac:dyDescent="0.3">
      <c r="A160" s="89"/>
      <c r="B160" s="89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89"/>
      <c r="Y160" s="89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L160" s="89"/>
      <c r="AM160" s="91"/>
      <c r="AN160" s="91"/>
      <c r="AP160" s="91"/>
      <c r="AQ160" s="91"/>
      <c r="AR160" s="91"/>
      <c r="AS160" s="91"/>
      <c r="AT160" s="91"/>
      <c r="BA160" s="91"/>
      <c r="BD160" s="89"/>
      <c r="BE160" s="89"/>
      <c r="BF160" s="91"/>
      <c r="BG160" s="91"/>
      <c r="BH160" s="91"/>
      <c r="BO160" s="91"/>
      <c r="BS160" s="91"/>
      <c r="BT160" s="91"/>
      <c r="BV160" s="91"/>
    </row>
    <row r="161" spans="1:74" x14ac:dyDescent="0.3">
      <c r="A161" s="89"/>
      <c r="B161" s="89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89"/>
      <c r="Y161" s="89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L161" s="89"/>
      <c r="AM161" s="91"/>
      <c r="AN161" s="91"/>
      <c r="AP161" s="91"/>
      <c r="AQ161" s="91"/>
      <c r="AR161" s="91"/>
      <c r="AS161" s="91"/>
      <c r="AT161" s="91"/>
      <c r="BA161" s="91"/>
      <c r="BD161" s="89"/>
      <c r="BE161" s="89"/>
      <c r="BF161" s="91"/>
      <c r="BG161" s="91"/>
      <c r="BH161" s="91"/>
      <c r="BO161" s="91"/>
      <c r="BS161" s="91"/>
      <c r="BT161" s="91"/>
      <c r="BV161" s="91"/>
    </row>
    <row r="162" spans="1:74" x14ac:dyDescent="0.3">
      <c r="A162" s="89"/>
      <c r="B162" s="89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89"/>
      <c r="Y162" s="89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L162" s="89"/>
      <c r="AM162" s="91"/>
      <c r="AN162" s="91"/>
      <c r="AP162" s="91"/>
      <c r="AQ162" s="91"/>
      <c r="AR162" s="91"/>
      <c r="AS162" s="91"/>
      <c r="AT162" s="91"/>
      <c r="BA162" s="91"/>
      <c r="BD162" s="89"/>
      <c r="BE162" s="89"/>
      <c r="BF162" s="91"/>
      <c r="BG162" s="91"/>
      <c r="BH162" s="91"/>
      <c r="BO162" s="91"/>
      <c r="BS162" s="91"/>
      <c r="BT162" s="91"/>
      <c r="BV162" s="91"/>
    </row>
    <row r="163" spans="1:74" x14ac:dyDescent="0.3">
      <c r="A163" s="89"/>
      <c r="B163" s="89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89"/>
      <c r="Y163" s="89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L163" s="89"/>
      <c r="AM163" s="91"/>
      <c r="AN163" s="91"/>
      <c r="AP163" s="91"/>
      <c r="AQ163" s="91"/>
      <c r="AR163" s="91"/>
      <c r="AS163" s="91"/>
      <c r="AT163" s="91"/>
      <c r="BA163" s="91"/>
      <c r="BD163" s="89"/>
      <c r="BE163" s="89"/>
      <c r="BF163" s="91"/>
      <c r="BG163" s="91"/>
      <c r="BH163" s="91"/>
      <c r="BO163" s="91"/>
      <c r="BS163" s="91"/>
      <c r="BT163" s="91"/>
      <c r="BV163" s="91"/>
    </row>
    <row r="164" spans="1:74" x14ac:dyDescent="0.3">
      <c r="A164" s="89"/>
      <c r="B164" s="89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89"/>
      <c r="Y164" s="89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L164" s="89"/>
      <c r="AM164" s="91"/>
      <c r="AN164" s="91"/>
      <c r="AP164" s="91"/>
      <c r="AQ164" s="91"/>
      <c r="AR164" s="91"/>
      <c r="AS164" s="91"/>
      <c r="AT164" s="91"/>
      <c r="BA164" s="91"/>
      <c r="BD164" s="89"/>
      <c r="BE164" s="89"/>
      <c r="BF164" s="91"/>
      <c r="BG164" s="91"/>
      <c r="BH164" s="91"/>
      <c r="BO164" s="91"/>
      <c r="BS164" s="91"/>
      <c r="BT164" s="91"/>
      <c r="BV164" s="91"/>
    </row>
    <row r="165" spans="1:74" x14ac:dyDescent="0.3">
      <c r="A165" s="89"/>
      <c r="B165" s="89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89"/>
      <c r="Y165" s="89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L165" s="89"/>
      <c r="AM165" s="91"/>
      <c r="AN165" s="91"/>
      <c r="AP165" s="91"/>
      <c r="AQ165" s="91"/>
      <c r="AR165" s="91"/>
      <c r="AS165" s="91"/>
      <c r="AT165" s="91"/>
      <c r="BA165" s="91"/>
      <c r="BD165" s="89"/>
      <c r="BE165" s="89"/>
      <c r="BF165" s="91"/>
      <c r="BG165" s="91"/>
      <c r="BH165" s="91"/>
      <c r="BO165" s="91"/>
      <c r="BS165" s="91"/>
      <c r="BT165" s="91"/>
      <c r="BV165" s="91"/>
    </row>
    <row r="166" spans="1:74" x14ac:dyDescent="0.3">
      <c r="A166" s="89"/>
      <c r="B166" s="89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89"/>
      <c r="Y166" s="89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L166" s="89"/>
      <c r="AM166" s="91"/>
      <c r="AN166" s="91"/>
      <c r="AP166" s="91"/>
      <c r="AQ166" s="91"/>
      <c r="AR166" s="91"/>
      <c r="AS166" s="91"/>
      <c r="AT166" s="91"/>
      <c r="BA166" s="91"/>
      <c r="BD166" s="89"/>
      <c r="BE166" s="89"/>
      <c r="BF166" s="91"/>
      <c r="BG166" s="91"/>
      <c r="BH166" s="91"/>
      <c r="BO166" s="91"/>
      <c r="BS166" s="91"/>
      <c r="BT166" s="91"/>
      <c r="BV166" s="91"/>
    </row>
    <row r="167" spans="1:74" x14ac:dyDescent="0.3">
      <c r="A167" s="89"/>
      <c r="B167" s="89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89"/>
      <c r="Y167" s="89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L167" s="89"/>
      <c r="AM167" s="91"/>
      <c r="AN167" s="91"/>
      <c r="AP167" s="91"/>
      <c r="AQ167" s="91"/>
      <c r="AR167" s="91"/>
      <c r="AS167" s="91"/>
      <c r="AT167" s="91"/>
      <c r="BA167" s="91"/>
      <c r="BD167" s="89"/>
      <c r="BE167" s="89"/>
      <c r="BF167" s="91"/>
      <c r="BG167" s="91"/>
      <c r="BH167" s="91"/>
      <c r="BO167" s="91"/>
      <c r="BS167" s="91"/>
      <c r="BT167" s="91"/>
      <c r="BV167" s="91"/>
    </row>
    <row r="168" spans="1:74" x14ac:dyDescent="0.3">
      <c r="A168" s="89"/>
      <c r="B168" s="89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89"/>
      <c r="Y168" s="89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L168" s="89"/>
      <c r="AM168" s="91"/>
      <c r="AN168" s="91"/>
      <c r="AP168" s="91"/>
      <c r="AQ168" s="91"/>
      <c r="AR168" s="91"/>
      <c r="AS168" s="91"/>
      <c r="AT168" s="91"/>
      <c r="BA168" s="91"/>
      <c r="BD168" s="89"/>
      <c r="BE168" s="89"/>
      <c r="BF168" s="91"/>
      <c r="BG168" s="91"/>
      <c r="BH168" s="91"/>
      <c r="BO168" s="91"/>
      <c r="BS168" s="91"/>
      <c r="BT168" s="91"/>
      <c r="BV168" s="91"/>
    </row>
    <row r="169" spans="1:74" x14ac:dyDescent="0.3">
      <c r="A169" s="89"/>
      <c r="B169" s="89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89"/>
      <c r="Y169" s="89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L169" s="89"/>
      <c r="AM169" s="91"/>
      <c r="AN169" s="91"/>
      <c r="AP169" s="91"/>
      <c r="AQ169" s="91"/>
      <c r="AR169" s="91"/>
      <c r="AS169" s="91"/>
      <c r="AT169" s="91"/>
      <c r="BA169" s="91"/>
      <c r="BD169" s="89"/>
      <c r="BE169" s="89"/>
      <c r="BF169" s="91"/>
      <c r="BG169" s="91"/>
      <c r="BH169" s="91"/>
      <c r="BO169" s="91"/>
      <c r="BS169" s="91"/>
      <c r="BT169" s="91"/>
      <c r="BV169" s="91"/>
    </row>
    <row r="170" spans="1:74" x14ac:dyDescent="0.3">
      <c r="A170" s="89"/>
      <c r="B170" s="89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89"/>
      <c r="Y170" s="89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L170" s="89"/>
      <c r="AM170" s="91"/>
      <c r="AN170" s="91"/>
      <c r="AP170" s="91"/>
      <c r="AQ170" s="91"/>
      <c r="AR170" s="91"/>
      <c r="AS170" s="91"/>
      <c r="AT170" s="91"/>
      <c r="BA170" s="91"/>
      <c r="BD170" s="89"/>
      <c r="BE170" s="89"/>
      <c r="BF170" s="91"/>
      <c r="BG170" s="91"/>
      <c r="BH170" s="91"/>
      <c r="BO170" s="91"/>
      <c r="BS170" s="91"/>
      <c r="BT170" s="91"/>
      <c r="BV170" s="91"/>
    </row>
    <row r="171" spans="1:74" x14ac:dyDescent="0.3">
      <c r="A171" s="89"/>
      <c r="B171" s="89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89"/>
      <c r="Y171" s="89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L171" s="89"/>
      <c r="AM171" s="91"/>
      <c r="AN171" s="91"/>
      <c r="AP171" s="91"/>
      <c r="AQ171" s="91"/>
      <c r="AR171" s="91"/>
      <c r="AS171" s="91"/>
      <c r="AT171" s="91"/>
      <c r="BA171" s="91"/>
      <c r="BD171" s="89"/>
      <c r="BE171" s="89"/>
      <c r="BF171" s="91"/>
      <c r="BG171" s="91"/>
      <c r="BH171" s="91"/>
      <c r="BO171" s="91"/>
      <c r="BS171" s="91"/>
      <c r="BT171" s="91"/>
      <c r="BV171" s="91"/>
    </row>
    <row r="172" spans="1:74" x14ac:dyDescent="0.3">
      <c r="A172" s="89"/>
      <c r="B172" s="89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89"/>
      <c r="Y172" s="89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L172" s="89"/>
      <c r="AM172" s="91"/>
      <c r="AN172" s="91"/>
      <c r="AP172" s="91"/>
      <c r="AQ172" s="91"/>
      <c r="AR172" s="91"/>
      <c r="AS172" s="91"/>
      <c r="AT172" s="91"/>
      <c r="BA172" s="91"/>
      <c r="BD172" s="89"/>
      <c r="BE172" s="89"/>
      <c r="BF172" s="91"/>
      <c r="BG172" s="91"/>
      <c r="BH172" s="91"/>
      <c r="BO172" s="91"/>
      <c r="BS172" s="91"/>
      <c r="BT172" s="91"/>
      <c r="BV172" s="91"/>
    </row>
    <row r="173" spans="1:74" x14ac:dyDescent="0.3">
      <c r="A173" s="89"/>
      <c r="B173" s="89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89"/>
      <c r="Y173" s="89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L173" s="89"/>
      <c r="AM173" s="91"/>
      <c r="AN173" s="91"/>
      <c r="AP173" s="91"/>
      <c r="AQ173" s="91"/>
      <c r="AR173" s="91"/>
      <c r="AS173" s="91"/>
      <c r="AT173" s="91"/>
      <c r="BA173" s="91"/>
      <c r="BD173" s="89"/>
      <c r="BE173" s="89"/>
      <c r="BF173" s="91"/>
      <c r="BG173" s="91"/>
      <c r="BH173" s="91"/>
      <c r="BO173" s="91"/>
      <c r="BS173" s="91"/>
      <c r="BT173" s="91"/>
      <c r="BV173" s="91"/>
    </row>
    <row r="174" spans="1:74" x14ac:dyDescent="0.3">
      <c r="A174" s="89"/>
      <c r="B174" s="89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89"/>
      <c r="Y174" s="89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L174" s="89"/>
      <c r="AM174" s="91"/>
      <c r="AN174" s="91"/>
      <c r="AP174" s="91"/>
      <c r="AQ174" s="91"/>
      <c r="AR174" s="91"/>
      <c r="AS174" s="91"/>
      <c r="AT174" s="91"/>
      <c r="BA174" s="91"/>
      <c r="BD174" s="89"/>
      <c r="BE174" s="89"/>
      <c r="BF174" s="91"/>
      <c r="BG174" s="91"/>
      <c r="BH174" s="91"/>
      <c r="BO174" s="91"/>
      <c r="BS174" s="91"/>
      <c r="BT174" s="91"/>
      <c r="BV174" s="91"/>
    </row>
    <row r="175" spans="1:74" x14ac:dyDescent="0.3">
      <c r="A175" s="89"/>
      <c r="B175" s="89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89"/>
      <c r="Y175" s="89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L175" s="89"/>
      <c r="AM175" s="91"/>
      <c r="AN175" s="91"/>
      <c r="AP175" s="91"/>
      <c r="AQ175" s="91"/>
      <c r="AR175" s="91"/>
      <c r="AS175" s="91"/>
      <c r="AT175" s="91"/>
      <c r="BA175" s="91"/>
      <c r="BD175" s="89"/>
      <c r="BE175" s="89"/>
      <c r="BF175" s="91"/>
      <c r="BG175" s="91"/>
      <c r="BH175" s="91"/>
      <c r="BO175" s="91"/>
      <c r="BS175" s="91"/>
      <c r="BT175" s="91"/>
      <c r="BV175" s="91"/>
    </row>
    <row r="176" spans="1:74" x14ac:dyDescent="0.3">
      <c r="A176" s="89"/>
      <c r="B176" s="89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89"/>
      <c r="Y176" s="89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L176" s="89"/>
      <c r="AM176" s="91"/>
      <c r="AN176" s="91"/>
      <c r="AP176" s="91"/>
      <c r="AQ176" s="91"/>
      <c r="AR176" s="91"/>
      <c r="AS176" s="91"/>
      <c r="AT176" s="91"/>
      <c r="BA176" s="91"/>
      <c r="BD176" s="89"/>
      <c r="BE176" s="89"/>
      <c r="BF176" s="91"/>
      <c r="BG176" s="91"/>
      <c r="BH176" s="91"/>
      <c r="BO176" s="91"/>
      <c r="BS176" s="91"/>
      <c r="BT176" s="91"/>
      <c r="BV176" s="91"/>
    </row>
    <row r="177" spans="1:74" x14ac:dyDescent="0.3">
      <c r="A177" s="89"/>
      <c r="B177" s="89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89"/>
      <c r="Y177" s="89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L177" s="89"/>
      <c r="AM177" s="91"/>
      <c r="AN177" s="91"/>
      <c r="AP177" s="91"/>
      <c r="AQ177" s="91"/>
      <c r="AR177" s="91"/>
      <c r="AS177" s="91"/>
      <c r="AT177" s="91"/>
      <c r="BA177" s="91"/>
      <c r="BD177" s="89"/>
      <c r="BE177" s="89"/>
      <c r="BF177" s="91"/>
      <c r="BG177" s="91"/>
      <c r="BH177" s="91"/>
      <c r="BO177" s="91"/>
      <c r="BS177" s="91"/>
      <c r="BT177" s="91"/>
      <c r="BV177" s="91"/>
    </row>
    <row r="178" spans="1:74" x14ac:dyDescent="0.3">
      <c r="A178" s="89"/>
      <c r="B178" s="89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89"/>
      <c r="Y178" s="89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L178" s="89"/>
      <c r="AM178" s="91"/>
      <c r="AN178" s="91"/>
      <c r="AP178" s="91"/>
      <c r="AQ178" s="91"/>
      <c r="AR178" s="91"/>
      <c r="AS178" s="91"/>
      <c r="AT178" s="91"/>
      <c r="BA178" s="91"/>
      <c r="BD178" s="89"/>
      <c r="BE178" s="89"/>
      <c r="BF178" s="91"/>
      <c r="BG178" s="91"/>
      <c r="BH178" s="91"/>
      <c r="BO178" s="91"/>
      <c r="BS178" s="91"/>
      <c r="BT178" s="91"/>
      <c r="BV178" s="91"/>
    </row>
    <row r="179" spans="1:74" x14ac:dyDescent="0.3">
      <c r="A179" s="89"/>
      <c r="B179" s="89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89"/>
      <c r="Y179" s="89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L179" s="89"/>
      <c r="AM179" s="91"/>
      <c r="AN179" s="91"/>
      <c r="AP179" s="91"/>
      <c r="AQ179" s="91"/>
      <c r="AR179" s="91"/>
      <c r="AS179" s="91"/>
      <c r="AT179" s="91"/>
      <c r="BA179" s="91"/>
      <c r="BD179" s="89"/>
      <c r="BE179" s="89"/>
      <c r="BF179" s="91"/>
      <c r="BG179" s="91"/>
      <c r="BH179" s="91"/>
      <c r="BO179" s="91"/>
      <c r="BS179" s="91"/>
      <c r="BT179" s="91"/>
      <c r="BV179" s="91"/>
    </row>
    <row r="180" spans="1:74" x14ac:dyDescent="0.3">
      <c r="A180" s="89"/>
      <c r="B180" s="89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89"/>
      <c r="Y180" s="89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L180" s="89"/>
      <c r="AM180" s="91"/>
      <c r="AN180" s="91"/>
      <c r="AP180" s="91"/>
      <c r="AQ180" s="91"/>
      <c r="AR180" s="91"/>
      <c r="AS180" s="91"/>
      <c r="AT180" s="91"/>
      <c r="BA180" s="91"/>
      <c r="BD180" s="89"/>
      <c r="BE180" s="89"/>
      <c r="BF180" s="91"/>
      <c r="BG180" s="91"/>
      <c r="BH180" s="91"/>
      <c r="BO180" s="91"/>
      <c r="BS180" s="91"/>
      <c r="BT180" s="91"/>
      <c r="BV180" s="91"/>
    </row>
    <row r="181" spans="1:74" x14ac:dyDescent="0.3">
      <c r="A181" s="89"/>
      <c r="B181" s="89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89"/>
      <c r="Y181" s="89"/>
      <c r="Z181" s="91"/>
      <c r="AA181" s="91"/>
      <c r="AB181" s="91"/>
      <c r="AC181" s="91"/>
      <c r="AD181" s="91"/>
      <c r="AE181" s="91"/>
      <c r="AF181" s="91"/>
      <c r="AG181" s="91"/>
      <c r="AH181" s="91"/>
      <c r="AI181" s="91"/>
      <c r="AL181" s="89"/>
      <c r="AM181" s="91"/>
      <c r="AN181" s="91"/>
      <c r="AP181" s="91"/>
      <c r="AQ181" s="91"/>
      <c r="AR181" s="91"/>
      <c r="AS181" s="91"/>
      <c r="AT181" s="91"/>
      <c r="BA181" s="91"/>
      <c r="BD181" s="89"/>
      <c r="BE181" s="89"/>
      <c r="BF181" s="91"/>
      <c r="BG181" s="91"/>
      <c r="BH181" s="91"/>
      <c r="BO181" s="91"/>
      <c r="BS181" s="91"/>
      <c r="BT181" s="91"/>
      <c r="BV181" s="91"/>
    </row>
    <row r="182" spans="1:74" x14ac:dyDescent="0.3">
      <c r="A182" s="89"/>
      <c r="B182" s="89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89"/>
      <c r="Y182" s="89"/>
      <c r="Z182" s="91"/>
      <c r="AA182" s="91"/>
      <c r="AB182" s="91"/>
      <c r="AC182" s="91"/>
      <c r="AD182" s="91"/>
      <c r="AE182" s="91"/>
      <c r="AF182" s="91"/>
      <c r="AG182" s="91"/>
      <c r="AH182" s="91"/>
      <c r="AI182" s="91"/>
      <c r="AL182" s="89"/>
      <c r="AM182" s="91"/>
      <c r="AN182" s="91"/>
      <c r="AP182" s="91"/>
      <c r="AQ182" s="91"/>
      <c r="AR182" s="91"/>
      <c r="AS182" s="91"/>
      <c r="AT182" s="91"/>
      <c r="BA182" s="91"/>
      <c r="BD182" s="89"/>
      <c r="BE182" s="89"/>
      <c r="BF182" s="91"/>
      <c r="BG182" s="91"/>
      <c r="BH182" s="91"/>
      <c r="BO182" s="91"/>
      <c r="BS182" s="91"/>
      <c r="BT182" s="91"/>
      <c r="BV182" s="91"/>
    </row>
    <row r="183" spans="1:74" x14ac:dyDescent="0.3">
      <c r="A183" s="89"/>
      <c r="B183" s="89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89"/>
      <c r="Y183" s="89"/>
      <c r="Z183" s="91"/>
      <c r="AA183" s="91"/>
      <c r="AB183" s="91"/>
      <c r="AC183" s="91"/>
      <c r="AD183" s="91"/>
      <c r="AE183" s="91"/>
      <c r="AF183" s="91"/>
      <c r="AG183" s="91"/>
      <c r="AH183" s="91"/>
      <c r="AI183" s="91"/>
      <c r="AL183" s="89"/>
      <c r="AM183" s="91"/>
      <c r="AN183" s="91"/>
      <c r="AP183" s="91"/>
      <c r="AQ183" s="91"/>
      <c r="AR183" s="91"/>
      <c r="AS183" s="91"/>
      <c r="AT183" s="91"/>
      <c r="BA183" s="91"/>
      <c r="BD183" s="89"/>
      <c r="BE183" s="89"/>
      <c r="BF183" s="91"/>
      <c r="BG183" s="91"/>
      <c r="BH183" s="91"/>
      <c r="BO183" s="91"/>
      <c r="BS183" s="91"/>
      <c r="BT183" s="91"/>
      <c r="BV183" s="91"/>
    </row>
    <row r="184" spans="1:74" x14ac:dyDescent="0.3">
      <c r="A184" s="89"/>
      <c r="B184" s="89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89"/>
      <c r="Y184" s="89"/>
      <c r="Z184" s="91"/>
      <c r="AA184" s="91"/>
      <c r="AB184" s="91"/>
      <c r="AC184" s="91"/>
      <c r="AD184" s="91"/>
      <c r="AE184" s="91"/>
      <c r="AF184" s="91"/>
      <c r="AG184" s="91"/>
      <c r="AH184" s="91"/>
      <c r="AI184" s="91"/>
      <c r="AL184" s="89"/>
      <c r="AM184" s="91"/>
      <c r="AN184" s="91"/>
      <c r="AP184" s="91"/>
      <c r="AQ184" s="91"/>
      <c r="AR184" s="91"/>
      <c r="AS184" s="91"/>
      <c r="AT184" s="91"/>
      <c r="BA184" s="91"/>
      <c r="BD184" s="89"/>
      <c r="BE184" s="89"/>
      <c r="BF184" s="91"/>
      <c r="BG184" s="91"/>
      <c r="BH184" s="91"/>
      <c r="BO184" s="91"/>
      <c r="BS184" s="91"/>
      <c r="BT184" s="91"/>
      <c r="BV184" s="91"/>
    </row>
    <row r="185" spans="1:74" x14ac:dyDescent="0.3">
      <c r="A185" s="89"/>
      <c r="B185" s="89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89"/>
      <c r="Y185" s="89"/>
      <c r="Z185" s="91"/>
      <c r="AA185" s="91"/>
      <c r="AB185" s="91"/>
      <c r="AC185" s="91"/>
      <c r="AD185" s="91"/>
      <c r="AE185" s="91"/>
      <c r="AF185" s="91"/>
      <c r="AG185" s="91"/>
      <c r="AH185" s="91"/>
      <c r="AI185" s="91"/>
      <c r="AL185" s="89"/>
      <c r="AM185" s="91"/>
      <c r="AN185" s="91"/>
      <c r="AP185" s="91"/>
      <c r="AQ185" s="91"/>
      <c r="AR185" s="91"/>
      <c r="AS185" s="91"/>
      <c r="AT185" s="91"/>
      <c r="BA185" s="91"/>
      <c r="BD185" s="89"/>
      <c r="BE185" s="89"/>
      <c r="BF185" s="91"/>
      <c r="BG185" s="91"/>
      <c r="BH185" s="91"/>
      <c r="BO185" s="91"/>
      <c r="BS185" s="91"/>
      <c r="BT185" s="91"/>
      <c r="BV185" s="91"/>
    </row>
    <row r="186" spans="1:74" x14ac:dyDescent="0.3">
      <c r="A186" s="89"/>
      <c r="B186" s="89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89"/>
      <c r="Y186" s="89"/>
      <c r="Z186" s="91"/>
      <c r="AA186" s="91"/>
      <c r="AB186" s="91"/>
      <c r="AC186" s="91"/>
      <c r="AD186" s="91"/>
      <c r="AE186" s="91"/>
      <c r="AF186" s="91"/>
      <c r="AG186" s="91"/>
      <c r="AH186" s="91"/>
      <c r="AI186" s="91"/>
      <c r="AL186" s="89"/>
      <c r="AM186" s="91"/>
      <c r="AN186" s="91"/>
      <c r="AP186" s="91"/>
      <c r="AQ186" s="91"/>
      <c r="AR186" s="91"/>
      <c r="AS186" s="91"/>
      <c r="AT186" s="91"/>
      <c r="BA186" s="91"/>
      <c r="BD186" s="89"/>
      <c r="BE186" s="89"/>
      <c r="BF186" s="91"/>
      <c r="BG186" s="91"/>
      <c r="BH186" s="91"/>
      <c r="BO186" s="91"/>
      <c r="BS186" s="91"/>
      <c r="BT186" s="91"/>
      <c r="BV186" s="91"/>
    </row>
    <row r="187" spans="1:74" x14ac:dyDescent="0.3">
      <c r="A187" s="89"/>
      <c r="B187" s="89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89"/>
      <c r="Y187" s="89"/>
      <c r="Z187" s="91"/>
      <c r="AA187" s="91"/>
      <c r="AB187" s="91"/>
      <c r="AC187" s="91"/>
      <c r="AD187" s="91"/>
      <c r="AE187" s="91"/>
      <c r="AF187" s="91"/>
      <c r="AG187" s="91"/>
      <c r="AH187" s="91"/>
      <c r="AI187" s="91"/>
      <c r="AL187" s="89"/>
      <c r="AM187" s="91"/>
      <c r="AN187" s="91"/>
      <c r="AP187" s="91"/>
      <c r="AQ187" s="91"/>
      <c r="AR187" s="91"/>
      <c r="AS187" s="91"/>
      <c r="AT187" s="91"/>
      <c r="BA187" s="91"/>
      <c r="BD187" s="89"/>
      <c r="BE187" s="89"/>
      <c r="BF187" s="91"/>
      <c r="BG187" s="91"/>
      <c r="BH187" s="91"/>
      <c r="BO187" s="91"/>
      <c r="BS187" s="91"/>
      <c r="BT187" s="91"/>
      <c r="BV187" s="91"/>
    </row>
    <row r="188" spans="1:74" x14ac:dyDescent="0.3">
      <c r="A188" s="89"/>
      <c r="B188" s="89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89"/>
      <c r="Y188" s="89"/>
      <c r="Z188" s="91"/>
      <c r="AA188" s="91"/>
      <c r="AB188" s="91"/>
      <c r="AC188" s="91"/>
      <c r="AD188" s="91"/>
      <c r="AE188" s="91"/>
      <c r="AF188" s="91"/>
      <c r="AG188" s="91"/>
      <c r="AH188" s="91"/>
      <c r="AI188" s="91"/>
      <c r="AL188" s="89"/>
      <c r="AM188" s="91"/>
      <c r="AN188" s="91"/>
      <c r="AP188" s="91"/>
      <c r="AQ188" s="91"/>
      <c r="AR188" s="91"/>
      <c r="AS188" s="91"/>
      <c r="AT188" s="91"/>
      <c r="BA188" s="91"/>
      <c r="BD188" s="89"/>
      <c r="BE188" s="89"/>
      <c r="BF188" s="91"/>
      <c r="BG188" s="91"/>
      <c r="BH188" s="91"/>
      <c r="BO188" s="91"/>
      <c r="BS188" s="91"/>
      <c r="BT188" s="91"/>
      <c r="BV188" s="91"/>
    </row>
    <row r="189" spans="1:74" x14ac:dyDescent="0.3">
      <c r="A189" s="89"/>
      <c r="B189" s="89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89"/>
      <c r="Y189" s="89"/>
      <c r="Z189" s="91"/>
      <c r="AA189" s="91"/>
      <c r="AB189" s="91"/>
      <c r="AC189" s="91"/>
      <c r="AD189" s="91"/>
      <c r="AE189" s="91"/>
      <c r="AF189" s="91"/>
      <c r="AG189" s="91"/>
      <c r="AH189" s="91"/>
      <c r="AI189" s="91"/>
      <c r="AL189" s="89"/>
      <c r="AM189" s="91"/>
      <c r="AN189" s="91"/>
      <c r="AP189" s="91"/>
      <c r="AQ189" s="91"/>
      <c r="AR189" s="91"/>
      <c r="AS189" s="91"/>
      <c r="AT189" s="91"/>
      <c r="BA189" s="91"/>
      <c r="BD189" s="89"/>
      <c r="BE189" s="89"/>
      <c r="BF189" s="91"/>
      <c r="BG189" s="91"/>
      <c r="BH189" s="91"/>
      <c r="BO189" s="91"/>
      <c r="BS189" s="91"/>
      <c r="BT189" s="91"/>
      <c r="BV189" s="91"/>
    </row>
    <row r="190" spans="1:74" x14ac:dyDescent="0.3">
      <c r="A190" s="89"/>
      <c r="B190" s="89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89"/>
      <c r="Y190" s="89"/>
      <c r="Z190" s="91"/>
      <c r="AA190" s="91"/>
      <c r="AB190" s="91"/>
      <c r="AC190" s="91"/>
      <c r="AD190" s="91"/>
      <c r="AE190" s="91"/>
      <c r="AF190" s="91"/>
      <c r="AG190" s="91"/>
      <c r="AH190" s="91"/>
      <c r="AI190" s="91"/>
      <c r="AL190" s="89"/>
      <c r="AM190" s="91"/>
      <c r="AN190" s="91"/>
      <c r="AP190" s="91"/>
      <c r="AQ190" s="91"/>
      <c r="AR190" s="91"/>
      <c r="AS190" s="91"/>
      <c r="AT190" s="91"/>
      <c r="BA190" s="91"/>
      <c r="BD190" s="89"/>
      <c r="BE190" s="89"/>
      <c r="BF190" s="91"/>
      <c r="BG190" s="91"/>
      <c r="BH190" s="91"/>
      <c r="BO190" s="91"/>
      <c r="BS190" s="91"/>
      <c r="BT190" s="91"/>
      <c r="BV190" s="91"/>
    </row>
    <row r="191" spans="1:74" x14ac:dyDescent="0.3">
      <c r="A191" s="89"/>
      <c r="B191" s="89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89"/>
      <c r="Y191" s="89"/>
      <c r="Z191" s="91"/>
      <c r="AA191" s="91"/>
      <c r="AB191" s="91"/>
      <c r="AC191" s="91"/>
      <c r="AD191" s="91"/>
      <c r="AE191" s="91"/>
      <c r="AF191" s="91"/>
      <c r="AG191" s="91"/>
      <c r="AH191" s="91"/>
      <c r="AI191" s="91"/>
      <c r="AL191" s="89"/>
      <c r="AM191" s="91"/>
      <c r="AN191" s="91"/>
      <c r="AP191" s="91"/>
      <c r="AQ191" s="91"/>
      <c r="AR191" s="91"/>
      <c r="AS191" s="91"/>
      <c r="AT191" s="91"/>
      <c r="BA191" s="91"/>
      <c r="BD191" s="89"/>
      <c r="BE191" s="89"/>
      <c r="BF191" s="91"/>
      <c r="BG191" s="91"/>
      <c r="BH191" s="91"/>
      <c r="BO191" s="91"/>
      <c r="BS191" s="91"/>
      <c r="BT191" s="91"/>
      <c r="BV191" s="91"/>
    </row>
    <row r="192" spans="1:74" x14ac:dyDescent="0.3">
      <c r="A192" s="89"/>
      <c r="B192" s="89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89"/>
      <c r="Y192" s="89"/>
      <c r="Z192" s="91"/>
      <c r="AA192" s="91"/>
      <c r="AB192" s="91"/>
      <c r="AC192" s="91"/>
      <c r="AD192" s="91"/>
      <c r="AE192" s="91"/>
      <c r="AF192" s="91"/>
      <c r="AG192" s="91"/>
      <c r="AH192" s="91"/>
      <c r="AI192" s="91"/>
      <c r="AL192" s="89"/>
      <c r="AM192" s="91"/>
      <c r="AN192" s="91"/>
      <c r="AP192" s="91"/>
      <c r="AQ192" s="91"/>
      <c r="AR192" s="91"/>
      <c r="AS192" s="91"/>
      <c r="AT192" s="91"/>
      <c r="BA192" s="91"/>
      <c r="BD192" s="89"/>
      <c r="BE192" s="89"/>
      <c r="BF192" s="91"/>
      <c r="BG192" s="91"/>
      <c r="BH192" s="91"/>
      <c r="BO192" s="91"/>
      <c r="BS192" s="91"/>
      <c r="BT192" s="91"/>
      <c r="BV192" s="91"/>
    </row>
    <row r="193" spans="1:74" x14ac:dyDescent="0.3">
      <c r="A193" s="89"/>
      <c r="B193" s="89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89"/>
      <c r="Y193" s="89"/>
      <c r="Z193" s="91"/>
      <c r="AA193" s="91"/>
      <c r="AB193" s="91"/>
      <c r="AC193" s="91"/>
      <c r="AD193" s="91"/>
      <c r="AE193" s="91"/>
      <c r="AF193" s="91"/>
      <c r="AG193" s="91"/>
      <c r="AH193" s="91"/>
      <c r="AI193" s="91"/>
      <c r="AL193" s="89"/>
      <c r="AM193" s="91"/>
      <c r="AN193" s="91"/>
      <c r="AP193" s="91"/>
      <c r="AQ193" s="91"/>
      <c r="AR193" s="91"/>
      <c r="AS193" s="91"/>
      <c r="AT193" s="91"/>
      <c r="BA193" s="91"/>
      <c r="BD193" s="89"/>
      <c r="BE193" s="89"/>
      <c r="BF193" s="91"/>
      <c r="BG193" s="91"/>
      <c r="BH193" s="91"/>
      <c r="BO193" s="91"/>
      <c r="BS193" s="91"/>
      <c r="BT193" s="91"/>
      <c r="BV193" s="91"/>
    </row>
    <row r="194" spans="1:74" x14ac:dyDescent="0.3">
      <c r="A194" s="89"/>
      <c r="B194" s="89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89"/>
      <c r="Y194" s="89"/>
      <c r="Z194" s="91"/>
      <c r="AA194" s="91"/>
      <c r="AB194" s="91"/>
      <c r="AC194" s="91"/>
      <c r="AD194" s="91"/>
      <c r="AE194" s="91"/>
      <c r="AF194" s="91"/>
      <c r="AG194" s="91"/>
      <c r="AH194" s="91"/>
      <c r="AI194" s="91"/>
      <c r="AL194" s="89"/>
      <c r="AM194" s="91"/>
      <c r="AN194" s="91"/>
      <c r="AP194" s="91"/>
      <c r="AQ194" s="91"/>
      <c r="AR194" s="91"/>
      <c r="AS194" s="91"/>
      <c r="AT194" s="91"/>
      <c r="BA194" s="91"/>
      <c r="BD194" s="89"/>
      <c r="BE194" s="89"/>
      <c r="BF194" s="91"/>
      <c r="BG194" s="91"/>
      <c r="BH194" s="91"/>
      <c r="BO194" s="91"/>
      <c r="BS194" s="91"/>
      <c r="BT194" s="91"/>
      <c r="BV194" s="91"/>
    </row>
    <row r="195" spans="1:74" x14ac:dyDescent="0.3">
      <c r="A195" s="89"/>
      <c r="B195" s="89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89"/>
      <c r="Y195" s="89"/>
      <c r="Z195" s="91"/>
      <c r="AA195" s="91"/>
      <c r="AB195" s="91"/>
      <c r="AC195" s="91"/>
      <c r="AD195" s="91"/>
      <c r="AE195" s="91"/>
      <c r="AF195" s="91"/>
      <c r="AG195" s="91"/>
      <c r="AH195" s="91"/>
      <c r="AI195" s="91"/>
      <c r="AL195" s="89"/>
      <c r="AM195" s="91"/>
      <c r="AN195" s="91"/>
      <c r="AP195" s="91"/>
      <c r="AQ195" s="91"/>
      <c r="AR195" s="91"/>
      <c r="AS195" s="91"/>
      <c r="AT195" s="91"/>
      <c r="BA195" s="91"/>
      <c r="BD195" s="89"/>
      <c r="BE195" s="89"/>
      <c r="BF195" s="91"/>
      <c r="BG195" s="91"/>
      <c r="BH195" s="91"/>
      <c r="BO195" s="91"/>
      <c r="BS195" s="91"/>
      <c r="BT195" s="91"/>
      <c r="BV195" s="91"/>
    </row>
    <row r="196" spans="1:74" x14ac:dyDescent="0.3">
      <c r="A196" s="89"/>
      <c r="B196" s="89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89"/>
      <c r="Y196" s="89"/>
      <c r="Z196" s="91"/>
      <c r="AA196" s="91"/>
      <c r="AB196" s="91"/>
      <c r="AC196" s="91"/>
      <c r="AD196" s="91"/>
      <c r="AE196" s="91"/>
      <c r="AF196" s="91"/>
      <c r="AG196" s="91"/>
      <c r="AH196" s="91"/>
      <c r="AI196" s="91"/>
      <c r="AL196" s="89"/>
      <c r="AM196" s="91"/>
      <c r="AN196" s="91"/>
      <c r="AP196" s="91"/>
      <c r="AQ196" s="91"/>
      <c r="AR196" s="91"/>
      <c r="AS196" s="91"/>
      <c r="AT196" s="91"/>
      <c r="BA196" s="91"/>
      <c r="BD196" s="89"/>
      <c r="BE196" s="89"/>
      <c r="BF196" s="91"/>
      <c r="BG196" s="91"/>
      <c r="BH196" s="91"/>
      <c r="BO196" s="91"/>
      <c r="BS196" s="91"/>
      <c r="BT196" s="91"/>
      <c r="BV196" s="91"/>
    </row>
    <row r="197" spans="1:74" x14ac:dyDescent="0.3">
      <c r="A197" s="89"/>
      <c r="B197" s="89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89"/>
      <c r="Y197" s="89"/>
      <c r="Z197" s="91"/>
      <c r="AA197" s="91"/>
      <c r="AB197" s="91"/>
      <c r="AC197" s="91"/>
      <c r="AD197" s="91"/>
      <c r="AE197" s="91"/>
      <c r="AF197" s="91"/>
      <c r="AG197" s="91"/>
      <c r="AH197" s="91"/>
      <c r="AI197" s="91"/>
      <c r="AL197" s="89"/>
      <c r="AM197" s="91"/>
      <c r="AN197" s="91"/>
      <c r="AP197" s="91"/>
      <c r="AQ197" s="91"/>
      <c r="AR197" s="91"/>
      <c r="AS197" s="91"/>
      <c r="AT197" s="91"/>
      <c r="BA197" s="91"/>
      <c r="BD197" s="89"/>
      <c r="BE197" s="89"/>
      <c r="BF197" s="91"/>
      <c r="BG197" s="91"/>
      <c r="BH197" s="91"/>
      <c r="BO197" s="91"/>
      <c r="BS197" s="91"/>
      <c r="BT197" s="91"/>
      <c r="BV197" s="91"/>
    </row>
    <row r="198" spans="1:74" x14ac:dyDescent="0.3">
      <c r="A198" s="89"/>
      <c r="B198" s="89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89"/>
      <c r="Y198" s="89"/>
      <c r="Z198" s="91"/>
      <c r="AA198" s="91"/>
      <c r="AB198" s="91"/>
      <c r="AC198" s="91"/>
      <c r="AD198" s="91"/>
      <c r="AE198" s="91"/>
      <c r="AF198" s="91"/>
      <c r="AG198" s="91"/>
      <c r="AH198" s="91"/>
      <c r="AI198" s="91"/>
      <c r="AL198" s="89"/>
      <c r="AM198" s="91"/>
      <c r="AN198" s="91"/>
      <c r="AP198" s="91"/>
      <c r="AQ198" s="91"/>
      <c r="AR198" s="91"/>
      <c r="AS198" s="91"/>
      <c r="AT198" s="91"/>
      <c r="BA198" s="91"/>
      <c r="BD198" s="89"/>
      <c r="BE198" s="89"/>
      <c r="BF198" s="91"/>
      <c r="BG198" s="91"/>
      <c r="BH198" s="91"/>
      <c r="BO198" s="91"/>
      <c r="BS198" s="91"/>
      <c r="BT198" s="91"/>
      <c r="BV198" s="91"/>
    </row>
    <row r="199" spans="1:74" x14ac:dyDescent="0.3">
      <c r="A199" s="89"/>
      <c r="B199" s="89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89"/>
      <c r="Y199" s="89"/>
      <c r="Z199" s="91"/>
      <c r="AA199" s="91"/>
      <c r="AB199" s="91"/>
      <c r="AC199" s="91"/>
      <c r="AD199" s="91"/>
      <c r="AE199" s="91"/>
      <c r="AF199" s="91"/>
      <c r="AG199" s="91"/>
      <c r="AH199" s="91"/>
      <c r="AI199" s="91"/>
      <c r="AL199" s="89"/>
      <c r="AM199" s="91"/>
      <c r="AN199" s="91"/>
      <c r="AP199" s="91"/>
      <c r="AQ199" s="91"/>
      <c r="AR199" s="91"/>
      <c r="AS199" s="91"/>
      <c r="AT199" s="91"/>
      <c r="BA199" s="91"/>
      <c r="BD199" s="89"/>
      <c r="BE199" s="89"/>
      <c r="BF199" s="91"/>
      <c r="BG199" s="91"/>
      <c r="BH199" s="91"/>
      <c r="BO199" s="91"/>
      <c r="BS199" s="91"/>
      <c r="BT199" s="91"/>
      <c r="BV199" s="91"/>
    </row>
    <row r="200" spans="1:74" x14ac:dyDescent="0.3">
      <c r="A200" s="89"/>
      <c r="B200" s="89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89"/>
      <c r="Y200" s="89"/>
      <c r="Z200" s="91"/>
      <c r="AA200" s="91"/>
      <c r="AB200" s="91"/>
      <c r="AC200" s="91"/>
      <c r="AD200" s="91"/>
      <c r="AE200" s="91"/>
      <c r="AF200" s="91"/>
      <c r="AG200" s="91"/>
      <c r="AH200" s="91"/>
      <c r="AI200" s="91"/>
      <c r="AL200" s="89"/>
      <c r="AM200" s="91"/>
      <c r="AN200" s="91"/>
      <c r="AP200" s="91"/>
      <c r="AQ200" s="91"/>
      <c r="AR200" s="91"/>
      <c r="AS200" s="91"/>
      <c r="AT200" s="91"/>
      <c r="BA200" s="91"/>
      <c r="BD200" s="89"/>
      <c r="BE200" s="89"/>
      <c r="BF200" s="91"/>
      <c r="BG200" s="91"/>
      <c r="BH200" s="91"/>
      <c r="BO200" s="91"/>
      <c r="BS200" s="91"/>
      <c r="BT200" s="91"/>
      <c r="BV200" s="91"/>
    </row>
    <row r="201" spans="1:74" x14ac:dyDescent="0.3">
      <c r="A201" s="89"/>
      <c r="B201" s="89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89"/>
      <c r="Y201" s="89"/>
      <c r="Z201" s="91"/>
      <c r="AA201" s="91"/>
      <c r="AB201" s="91"/>
      <c r="AC201" s="91"/>
      <c r="AD201" s="91"/>
      <c r="AE201" s="91"/>
      <c r="AF201" s="91"/>
      <c r="AG201" s="91"/>
      <c r="AH201" s="91"/>
      <c r="AI201" s="91"/>
      <c r="AL201" s="89"/>
      <c r="AM201" s="91"/>
      <c r="AN201" s="91"/>
      <c r="AP201" s="91"/>
      <c r="AQ201" s="91"/>
      <c r="AR201" s="91"/>
      <c r="AS201" s="91"/>
      <c r="AT201" s="91"/>
      <c r="BA201" s="91"/>
      <c r="BD201" s="89"/>
      <c r="BE201" s="89"/>
      <c r="BF201" s="91"/>
      <c r="BG201" s="91"/>
      <c r="BH201" s="91"/>
      <c r="BO201" s="91"/>
      <c r="BS201" s="91"/>
      <c r="BT201" s="91"/>
      <c r="BV201" s="91"/>
    </row>
    <row r="202" spans="1:74" x14ac:dyDescent="0.3">
      <c r="A202" s="89"/>
      <c r="B202" s="89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89"/>
      <c r="Y202" s="89"/>
      <c r="Z202" s="91"/>
      <c r="AA202" s="91"/>
      <c r="AB202" s="91"/>
      <c r="AC202" s="91"/>
      <c r="AD202" s="91"/>
      <c r="AE202" s="91"/>
      <c r="AF202" s="91"/>
      <c r="AG202" s="91"/>
      <c r="AH202" s="91"/>
      <c r="AI202" s="91"/>
      <c r="AL202" s="89"/>
      <c r="AM202" s="91"/>
      <c r="AN202" s="91"/>
      <c r="AP202" s="91"/>
      <c r="AQ202" s="91"/>
      <c r="AR202" s="91"/>
      <c r="AS202" s="91"/>
      <c r="AT202" s="91"/>
      <c r="BA202" s="91"/>
      <c r="BD202" s="89"/>
      <c r="BE202" s="89"/>
      <c r="BF202" s="91"/>
      <c r="BG202" s="91"/>
      <c r="BH202" s="91"/>
      <c r="BO202" s="91"/>
      <c r="BS202" s="91"/>
      <c r="BT202" s="91"/>
      <c r="BV202" s="91"/>
    </row>
    <row r="203" spans="1:74" x14ac:dyDescent="0.3">
      <c r="A203" s="89"/>
      <c r="B203" s="89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89"/>
      <c r="Y203" s="89"/>
      <c r="Z203" s="91"/>
      <c r="AA203" s="91"/>
      <c r="AB203" s="91"/>
      <c r="AC203" s="91"/>
      <c r="AD203" s="91"/>
      <c r="AE203" s="91"/>
      <c r="AF203" s="91"/>
      <c r="AG203" s="91"/>
      <c r="AH203" s="91"/>
      <c r="AI203" s="91"/>
      <c r="AL203" s="89"/>
      <c r="AM203" s="91"/>
      <c r="AN203" s="91"/>
      <c r="AP203" s="91"/>
      <c r="AQ203" s="91"/>
      <c r="AR203" s="91"/>
      <c r="AS203" s="91"/>
      <c r="AT203" s="91"/>
      <c r="BA203" s="91"/>
      <c r="BD203" s="89"/>
      <c r="BE203" s="89"/>
      <c r="BF203" s="91"/>
      <c r="BG203" s="91"/>
      <c r="BH203" s="91"/>
      <c r="BO203" s="91"/>
      <c r="BS203" s="91"/>
      <c r="BT203" s="91"/>
      <c r="BV203" s="91"/>
    </row>
    <row r="204" spans="1:74" x14ac:dyDescent="0.3">
      <c r="A204" s="89"/>
      <c r="B204" s="89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89"/>
      <c r="Y204" s="89"/>
      <c r="Z204" s="91"/>
      <c r="AA204" s="91"/>
      <c r="AB204" s="91"/>
      <c r="AC204" s="91"/>
      <c r="AD204" s="91"/>
      <c r="AE204" s="91"/>
      <c r="AF204" s="91"/>
      <c r="AG204" s="91"/>
      <c r="AH204" s="91"/>
      <c r="AI204" s="91"/>
      <c r="AL204" s="89"/>
      <c r="AM204" s="91"/>
      <c r="AN204" s="91"/>
      <c r="AP204" s="91"/>
      <c r="AQ204" s="91"/>
      <c r="AR204" s="91"/>
      <c r="AS204" s="91"/>
      <c r="AT204" s="91"/>
      <c r="BA204" s="91"/>
      <c r="BD204" s="89"/>
      <c r="BE204" s="89"/>
      <c r="BF204" s="91"/>
      <c r="BG204" s="91"/>
      <c r="BH204" s="91"/>
      <c r="BO204" s="91"/>
      <c r="BS204" s="91"/>
      <c r="BT204" s="91"/>
      <c r="BV204" s="91"/>
    </row>
    <row r="205" spans="1:74" x14ac:dyDescent="0.3">
      <c r="A205" s="89"/>
      <c r="B205" s="89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89"/>
      <c r="Y205" s="89"/>
      <c r="Z205" s="91"/>
      <c r="AA205" s="91"/>
      <c r="AB205" s="91"/>
      <c r="AC205" s="91"/>
      <c r="AD205" s="91"/>
      <c r="AE205" s="91"/>
      <c r="AF205" s="91"/>
      <c r="AG205" s="91"/>
      <c r="AH205" s="91"/>
      <c r="AI205" s="91"/>
      <c r="AL205" s="89"/>
      <c r="AM205" s="91"/>
      <c r="AN205" s="91"/>
      <c r="AP205" s="91"/>
      <c r="AQ205" s="91"/>
      <c r="AR205" s="91"/>
      <c r="AS205" s="91"/>
      <c r="AT205" s="91"/>
      <c r="BA205" s="91"/>
      <c r="BD205" s="89"/>
      <c r="BE205" s="89"/>
      <c r="BF205" s="91"/>
      <c r="BG205" s="91"/>
      <c r="BH205" s="91"/>
      <c r="BO205" s="91"/>
      <c r="BS205" s="91"/>
      <c r="BT205" s="91"/>
      <c r="BV205" s="91"/>
    </row>
    <row r="206" spans="1:74" x14ac:dyDescent="0.3">
      <c r="A206" s="89"/>
      <c r="B206" s="89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89"/>
      <c r="Y206" s="89"/>
      <c r="Z206" s="91"/>
      <c r="AA206" s="91"/>
      <c r="AB206" s="91"/>
      <c r="AC206" s="91"/>
      <c r="AD206" s="91"/>
      <c r="AE206" s="91"/>
      <c r="AF206" s="91"/>
      <c r="AG206" s="91"/>
      <c r="AH206" s="91"/>
      <c r="AI206" s="91"/>
      <c r="AL206" s="89"/>
      <c r="AM206" s="91"/>
      <c r="AN206" s="91"/>
      <c r="AP206" s="91"/>
      <c r="AQ206" s="91"/>
      <c r="AR206" s="91"/>
      <c r="AS206" s="91"/>
      <c r="AT206" s="91"/>
      <c r="BA206" s="91"/>
      <c r="BD206" s="89"/>
      <c r="BE206" s="89"/>
      <c r="BF206" s="91"/>
      <c r="BG206" s="91"/>
      <c r="BH206" s="91"/>
      <c r="BO206" s="91"/>
      <c r="BS206" s="91"/>
      <c r="BT206" s="91"/>
      <c r="BV206" s="91"/>
    </row>
    <row r="207" spans="1:74" x14ac:dyDescent="0.3">
      <c r="A207" s="89"/>
      <c r="B207" s="89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89"/>
      <c r="Y207" s="89"/>
      <c r="Z207" s="91"/>
      <c r="AA207" s="91"/>
      <c r="AB207" s="91"/>
      <c r="AC207" s="91"/>
      <c r="AD207" s="91"/>
      <c r="AE207" s="91"/>
      <c r="AF207" s="91"/>
      <c r="AG207" s="91"/>
      <c r="AH207" s="91"/>
      <c r="AI207" s="91"/>
      <c r="AL207" s="89"/>
      <c r="AM207" s="91"/>
      <c r="AN207" s="91"/>
      <c r="AP207" s="91"/>
      <c r="AQ207" s="91"/>
      <c r="AR207" s="91"/>
      <c r="AS207" s="91"/>
      <c r="AT207" s="91"/>
      <c r="BA207" s="91"/>
      <c r="BD207" s="89"/>
      <c r="BE207" s="89"/>
      <c r="BF207" s="91"/>
      <c r="BG207" s="91"/>
      <c r="BH207" s="91"/>
      <c r="BO207" s="91"/>
      <c r="BS207" s="91"/>
      <c r="BT207" s="91"/>
      <c r="BV207" s="91"/>
    </row>
    <row r="208" spans="1:74" x14ac:dyDescent="0.3">
      <c r="A208" s="89"/>
      <c r="B208" s="89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89"/>
      <c r="Y208" s="89"/>
      <c r="Z208" s="91"/>
      <c r="AA208" s="91"/>
      <c r="AB208" s="91"/>
      <c r="AC208" s="91"/>
      <c r="AD208" s="91"/>
      <c r="AE208" s="91"/>
      <c r="AF208" s="91"/>
      <c r="AG208" s="91"/>
      <c r="AH208" s="91"/>
      <c r="AI208" s="91"/>
      <c r="AL208" s="89"/>
      <c r="AM208" s="91"/>
      <c r="AN208" s="91"/>
      <c r="AP208" s="91"/>
      <c r="AQ208" s="91"/>
      <c r="AR208" s="91"/>
      <c r="AS208" s="91"/>
      <c r="AT208" s="91"/>
      <c r="BA208" s="91"/>
      <c r="BD208" s="89"/>
      <c r="BE208" s="89"/>
      <c r="BF208" s="91"/>
      <c r="BG208" s="91"/>
      <c r="BH208" s="91"/>
      <c r="BO208" s="91"/>
      <c r="BS208" s="91"/>
      <c r="BT208" s="91"/>
      <c r="BV208" s="91"/>
    </row>
    <row r="209" spans="1:74" x14ac:dyDescent="0.3">
      <c r="A209" s="89"/>
      <c r="B209" s="89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89"/>
      <c r="Y209" s="89"/>
      <c r="Z209" s="91"/>
      <c r="AA209" s="91"/>
      <c r="AB209" s="91"/>
      <c r="AC209" s="91"/>
      <c r="AD209" s="91"/>
      <c r="AE209" s="91"/>
      <c r="AF209" s="91"/>
      <c r="AG209" s="91"/>
      <c r="AH209" s="91"/>
      <c r="AI209" s="91"/>
      <c r="AL209" s="89"/>
      <c r="AM209" s="91"/>
      <c r="AN209" s="91"/>
      <c r="AP209" s="91"/>
      <c r="AQ209" s="91"/>
      <c r="AR209" s="91"/>
      <c r="AS209" s="91"/>
      <c r="AT209" s="91"/>
      <c r="BA209" s="91"/>
      <c r="BD209" s="89"/>
      <c r="BE209" s="89"/>
      <c r="BF209" s="91"/>
      <c r="BG209" s="91"/>
      <c r="BH209" s="91"/>
      <c r="BO209" s="91"/>
      <c r="BS209" s="91"/>
      <c r="BT209" s="91"/>
      <c r="BV209" s="91"/>
    </row>
    <row r="210" spans="1:74" x14ac:dyDescent="0.3">
      <c r="A210" s="89"/>
      <c r="B210" s="89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89"/>
      <c r="Y210" s="89"/>
      <c r="Z210" s="91"/>
      <c r="AA210" s="91"/>
      <c r="AB210" s="91"/>
      <c r="AC210" s="91"/>
      <c r="AD210" s="91"/>
      <c r="AE210" s="91"/>
      <c r="AF210" s="91"/>
      <c r="AG210" s="91"/>
      <c r="AH210" s="91"/>
      <c r="AI210" s="91"/>
      <c r="AL210" s="89"/>
      <c r="AM210" s="91"/>
      <c r="AN210" s="91"/>
      <c r="AP210" s="91"/>
      <c r="AQ210" s="91"/>
      <c r="AR210" s="91"/>
      <c r="AS210" s="91"/>
      <c r="AT210" s="91"/>
      <c r="BA210" s="91"/>
      <c r="BD210" s="89"/>
      <c r="BE210" s="89"/>
      <c r="BF210" s="91"/>
      <c r="BG210" s="91"/>
      <c r="BH210" s="91"/>
      <c r="BO210" s="91"/>
      <c r="BS210" s="91"/>
      <c r="BT210" s="91"/>
      <c r="BV210" s="91"/>
    </row>
    <row r="211" spans="1:74" x14ac:dyDescent="0.3">
      <c r="A211" s="89"/>
      <c r="B211" s="89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89"/>
      <c r="Y211" s="89"/>
      <c r="Z211" s="91"/>
      <c r="AA211" s="91"/>
      <c r="AB211" s="91"/>
      <c r="AC211" s="91"/>
      <c r="AD211" s="91"/>
      <c r="AE211" s="91"/>
      <c r="AF211" s="91"/>
      <c r="AG211" s="91"/>
      <c r="AH211" s="91"/>
      <c r="AI211" s="91"/>
      <c r="AL211" s="89"/>
      <c r="AM211" s="91"/>
      <c r="AN211" s="91"/>
      <c r="AP211" s="91"/>
      <c r="AQ211" s="91"/>
      <c r="AR211" s="91"/>
      <c r="AS211" s="91"/>
      <c r="AT211" s="91"/>
      <c r="BA211" s="91"/>
      <c r="BD211" s="89"/>
      <c r="BE211" s="89"/>
      <c r="BF211" s="91"/>
      <c r="BG211" s="91"/>
      <c r="BH211" s="91"/>
      <c r="BO211" s="91"/>
      <c r="BS211" s="91"/>
      <c r="BT211" s="91"/>
      <c r="BV211" s="91"/>
    </row>
    <row r="212" spans="1:74" x14ac:dyDescent="0.3">
      <c r="A212" s="89"/>
      <c r="B212" s="89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89"/>
      <c r="Y212" s="89"/>
      <c r="Z212" s="91"/>
      <c r="AA212" s="91"/>
      <c r="AB212" s="91"/>
      <c r="AC212" s="91"/>
      <c r="AD212" s="91"/>
      <c r="AE212" s="91"/>
      <c r="AF212" s="91"/>
      <c r="AG212" s="91"/>
      <c r="AH212" s="91"/>
      <c r="AI212" s="91"/>
      <c r="AL212" s="89"/>
      <c r="AM212" s="91"/>
      <c r="AN212" s="91"/>
      <c r="AP212" s="91"/>
      <c r="AQ212" s="91"/>
      <c r="AR212" s="91"/>
      <c r="AS212" s="91"/>
      <c r="AT212" s="91"/>
      <c r="BA212" s="91"/>
      <c r="BD212" s="89"/>
      <c r="BE212" s="89"/>
      <c r="BF212" s="91"/>
      <c r="BG212" s="91"/>
      <c r="BH212" s="91"/>
      <c r="BO212" s="91"/>
      <c r="BS212" s="91"/>
      <c r="BT212" s="91"/>
      <c r="BV212" s="91"/>
    </row>
    <row r="213" spans="1:74" x14ac:dyDescent="0.3">
      <c r="A213" s="89"/>
      <c r="B213" s="89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89"/>
      <c r="Y213" s="89"/>
      <c r="Z213" s="91"/>
      <c r="AA213" s="91"/>
      <c r="AB213" s="91"/>
      <c r="AC213" s="91"/>
      <c r="AD213" s="91"/>
      <c r="AE213" s="91"/>
      <c r="AF213" s="91"/>
      <c r="AG213" s="91"/>
      <c r="AH213" s="91"/>
      <c r="AI213" s="91"/>
      <c r="AL213" s="89"/>
      <c r="AM213" s="91"/>
      <c r="AN213" s="91"/>
      <c r="AP213" s="91"/>
      <c r="AQ213" s="91"/>
      <c r="AR213" s="91"/>
      <c r="AS213" s="91"/>
      <c r="AT213" s="91"/>
      <c r="BA213" s="91"/>
      <c r="BD213" s="89"/>
      <c r="BE213" s="89"/>
      <c r="BF213" s="91"/>
      <c r="BG213" s="91"/>
      <c r="BH213" s="91"/>
      <c r="BO213" s="91"/>
      <c r="BS213" s="91"/>
      <c r="BT213" s="91"/>
      <c r="BV213" s="91"/>
    </row>
    <row r="214" spans="1:74" x14ac:dyDescent="0.3">
      <c r="A214" s="89"/>
      <c r="B214" s="89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89"/>
      <c r="Y214" s="89"/>
      <c r="Z214" s="91"/>
      <c r="AA214" s="91"/>
      <c r="AB214" s="91"/>
      <c r="AC214" s="91"/>
      <c r="AD214" s="91"/>
      <c r="AE214" s="91"/>
      <c r="AF214" s="91"/>
      <c r="AG214" s="91"/>
      <c r="AH214" s="91"/>
      <c r="AI214" s="91"/>
      <c r="AL214" s="89"/>
      <c r="AM214" s="91"/>
      <c r="AN214" s="91"/>
      <c r="AP214" s="91"/>
      <c r="AQ214" s="91"/>
      <c r="AR214" s="91"/>
      <c r="AS214" s="91"/>
      <c r="AT214" s="91"/>
      <c r="BA214" s="91"/>
      <c r="BD214" s="89"/>
      <c r="BE214" s="89"/>
      <c r="BF214" s="91"/>
      <c r="BG214" s="91"/>
      <c r="BH214" s="91"/>
      <c r="BO214" s="91"/>
      <c r="BS214" s="91"/>
      <c r="BT214" s="91"/>
      <c r="BV214" s="91"/>
    </row>
    <row r="215" spans="1:74" x14ac:dyDescent="0.3">
      <c r="A215" s="89"/>
      <c r="B215" s="89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89"/>
      <c r="Y215" s="89"/>
      <c r="Z215" s="91"/>
      <c r="AA215" s="91"/>
      <c r="AB215" s="91"/>
      <c r="AC215" s="91"/>
      <c r="AD215" s="91"/>
      <c r="AE215" s="91"/>
      <c r="AF215" s="91"/>
      <c r="AG215" s="91"/>
      <c r="AH215" s="91"/>
      <c r="AI215" s="91"/>
      <c r="AL215" s="89"/>
      <c r="AM215" s="91"/>
      <c r="AN215" s="91"/>
      <c r="AP215" s="91"/>
      <c r="AQ215" s="91"/>
      <c r="AR215" s="91"/>
      <c r="AS215" s="91"/>
      <c r="AT215" s="91"/>
      <c r="BA215" s="91"/>
      <c r="BD215" s="89"/>
      <c r="BE215" s="89"/>
      <c r="BF215" s="91"/>
      <c r="BG215" s="91"/>
      <c r="BH215" s="91"/>
      <c r="BO215" s="91"/>
      <c r="BS215" s="91"/>
      <c r="BT215" s="91"/>
      <c r="BV215" s="91"/>
    </row>
    <row r="216" spans="1:74" x14ac:dyDescent="0.3">
      <c r="A216" s="89"/>
      <c r="B216" s="89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89"/>
      <c r="Y216" s="89"/>
      <c r="Z216" s="91"/>
      <c r="AA216" s="91"/>
      <c r="AB216" s="91"/>
      <c r="AC216" s="91"/>
      <c r="AD216" s="91"/>
      <c r="AE216" s="91"/>
      <c r="AF216" s="91"/>
      <c r="AG216" s="91"/>
      <c r="AH216" s="91"/>
      <c r="AI216" s="91"/>
      <c r="AL216" s="89"/>
      <c r="AM216" s="91"/>
      <c r="AN216" s="91"/>
      <c r="AP216" s="91"/>
      <c r="AQ216" s="91"/>
      <c r="AR216" s="91"/>
      <c r="AS216" s="91"/>
      <c r="AT216" s="91"/>
      <c r="BA216" s="91"/>
      <c r="BD216" s="89"/>
      <c r="BE216" s="89"/>
      <c r="BF216" s="91"/>
      <c r="BG216" s="91"/>
      <c r="BH216" s="91"/>
      <c r="BO216" s="91"/>
      <c r="BS216" s="91"/>
      <c r="BT216" s="91"/>
      <c r="BV216" s="91"/>
    </row>
    <row r="217" spans="1:74" x14ac:dyDescent="0.3">
      <c r="A217" s="89"/>
      <c r="B217" s="89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89"/>
      <c r="Y217" s="89"/>
      <c r="Z217" s="91"/>
      <c r="AA217" s="91"/>
      <c r="AB217" s="91"/>
      <c r="AC217" s="91"/>
      <c r="AD217" s="91"/>
      <c r="AE217" s="91"/>
      <c r="AF217" s="91"/>
      <c r="AG217" s="91"/>
      <c r="AH217" s="91"/>
      <c r="AI217" s="91"/>
      <c r="AL217" s="89"/>
      <c r="AM217" s="91"/>
      <c r="AN217" s="91"/>
      <c r="AP217" s="91"/>
      <c r="AQ217" s="91"/>
      <c r="AR217" s="91"/>
      <c r="AS217" s="91"/>
      <c r="AT217" s="91"/>
      <c r="BA217" s="91"/>
      <c r="BD217" s="89"/>
      <c r="BE217" s="89"/>
      <c r="BF217" s="91"/>
      <c r="BG217" s="91"/>
      <c r="BH217" s="91"/>
      <c r="BO217" s="91"/>
      <c r="BS217" s="91"/>
      <c r="BT217" s="91"/>
      <c r="BV217" s="91"/>
    </row>
    <row r="218" spans="1:74" x14ac:dyDescent="0.3">
      <c r="A218" s="89"/>
      <c r="B218" s="89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89"/>
      <c r="Y218" s="89"/>
      <c r="Z218" s="91"/>
      <c r="AA218" s="91"/>
      <c r="AB218" s="91"/>
      <c r="AC218" s="91"/>
      <c r="AD218" s="91"/>
      <c r="AE218" s="91"/>
      <c r="AF218" s="91"/>
      <c r="AG218" s="91"/>
      <c r="AH218" s="91"/>
      <c r="AI218" s="91"/>
      <c r="AL218" s="89"/>
      <c r="AM218" s="91"/>
      <c r="AN218" s="91"/>
      <c r="AP218" s="91"/>
      <c r="AQ218" s="91"/>
      <c r="AR218" s="91"/>
      <c r="AS218" s="91"/>
      <c r="AT218" s="91"/>
      <c r="BA218" s="91"/>
      <c r="BD218" s="89"/>
      <c r="BE218" s="89"/>
      <c r="BF218" s="91"/>
      <c r="BG218" s="91"/>
      <c r="BH218" s="91"/>
      <c r="BO218" s="91"/>
      <c r="BS218" s="91"/>
      <c r="BT218" s="91"/>
      <c r="BV218" s="91"/>
    </row>
    <row r="219" spans="1:74" x14ac:dyDescent="0.3">
      <c r="A219" s="89"/>
      <c r="B219" s="89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89"/>
      <c r="Y219" s="89"/>
      <c r="Z219" s="91"/>
      <c r="AA219" s="91"/>
      <c r="AB219" s="91"/>
      <c r="AC219" s="91"/>
      <c r="AD219" s="91"/>
      <c r="AE219" s="91"/>
      <c r="AF219" s="91"/>
      <c r="AG219" s="91"/>
      <c r="AH219" s="91"/>
      <c r="AI219" s="91"/>
      <c r="AL219" s="89"/>
      <c r="AM219" s="91"/>
      <c r="AN219" s="91"/>
      <c r="AP219" s="91"/>
      <c r="AQ219" s="91"/>
      <c r="AR219" s="91"/>
      <c r="AS219" s="91"/>
      <c r="AT219" s="91"/>
      <c r="BA219" s="91"/>
      <c r="BD219" s="89"/>
      <c r="BE219" s="89"/>
      <c r="BF219" s="91"/>
      <c r="BG219" s="91"/>
      <c r="BH219" s="91"/>
      <c r="BO219" s="91"/>
      <c r="BS219" s="91"/>
      <c r="BT219" s="91"/>
      <c r="BV219" s="91"/>
    </row>
    <row r="220" spans="1:74" x14ac:dyDescent="0.3">
      <c r="A220" s="89"/>
      <c r="B220" s="89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89"/>
      <c r="Y220" s="89"/>
      <c r="Z220" s="91"/>
      <c r="AA220" s="91"/>
      <c r="AB220" s="91"/>
      <c r="AC220" s="91"/>
      <c r="AD220" s="91"/>
      <c r="AE220" s="91"/>
      <c r="AF220" s="91"/>
      <c r="AG220" s="91"/>
      <c r="AH220" s="91"/>
      <c r="AI220" s="91"/>
      <c r="AL220" s="89"/>
      <c r="AM220" s="91"/>
      <c r="AN220" s="91"/>
      <c r="AP220" s="91"/>
      <c r="AQ220" s="91"/>
      <c r="AR220" s="91"/>
      <c r="AS220" s="91"/>
      <c r="AT220" s="91"/>
      <c r="BA220" s="91"/>
      <c r="BD220" s="89"/>
      <c r="BE220" s="89"/>
      <c r="BF220" s="91"/>
      <c r="BG220" s="91"/>
      <c r="BH220" s="91"/>
      <c r="BO220" s="91"/>
      <c r="BS220" s="91"/>
      <c r="BT220" s="91"/>
      <c r="BV220" s="91"/>
    </row>
    <row r="221" spans="1:74" x14ac:dyDescent="0.3">
      <c r="A221" s="89"/>
      <c r="B221" s="89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89"/>
      <c r="Y221" s="89"/>
      <c r="Z221" s="91"/>
      <c r="AA221" s="91"/>
      <c r="AB221" s="91"/>
      <c r="AC221" s="91"/>
      <c r="AD221" s="91"/>
      <c r="AE221" s="91"/>
      <c r="AF221" s="91"/>
      <c r="AG221" s="91"/>
      <c r="AH221" s="91"/>
      <c r="AI221" s="91"/>
      <c r="AL221" s="89"/>
      <c r="AM221" s="91"/>
      <c r="AN221" s="91"/>
      <c r="AP221" s="91"/>
      <c r="AQ221" s="91"/>
      <c r="AR221" s="91"/>
      <c r="AS221" s="91"/>
      <c r="AT221" s="91"/>
      <c r="BA221" s="91"/>
      <c r="BD221" s="89"/>
      <c r="BE221" s="89"/>
      <c r="BF221" s="91"/>
      <c r="BG221" s="91"/>
      <c r="BH221" s="91"/>
      <c r="BO221" s="91"/>
      <c r="BS221" s="91"/>
      <c r="BT221" s="91"/>
      <c r="BV221" s="91"/>
    </row>
    <row r="222" spans="1:74" x14ac:dyDescent="0.3">
      <c r="A222" s="89"/>
      <c r="B222" s="89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89"/>
      <c r="Y222" s="89"/>
      <c r="Z222" s="91"/>
      <c r="AA222" s="91"/>
      <c r="AB222" s="91"/>
      <c r="AC222" s="91"/>
      <c r="AD222" s="91"/>
      <c r="AE222" s="91"/>
      <c r="AF222" s="91"/>
      <c r="AG222" s="91"/>
      <c r="AH222" s="91"/>
      <c r="AI222" s="91"/>
      <c r="AL222" s="89"/>
      <c r="AM222" s="91"/>
      <c r="AN222" s="91"/>
      <c r="AP222" s="91"/>
      <c r="AQ222" s="91"/>
      <c r="AR222" s="91"/>
      <c r="AS222" s="91"/>
      <c r="AT222" s="91"/>
      <c r="BA222" s="91"/>
      <c r="BD222" s="89"/>
      <c r="BE222" s="89"/>
      <c r="BF222" s="91"/>
      <c r="BG222" s="91"/>
      <c r="BH222" s="91"/>
      <c r="BO222" s="91"/>
      <c r="BS222" s="91"/>
      <c r="BT222" s="91"/>
      <c r="BV222" s="91"/>
    </row>
    <row r="223" spans="1:74" x14ac:dyDescent="0.3">
      <c r="A223" s="89"/>
      <c r="B223" s="89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89"/>
      <c r="Y223" s="89"/>
      <c r="Z223" s="91"/>
      <c r="AA223" s="91"/>
      <c r="AB223" s="91"/>
      <c r="AC223" s="91"/>
      <c r="AD223" s="91"/>
      <c r="AE223" s="91"/>
      <c r="AF223" s="91"/>
      <c r="AG223" s="91"/>
      <c r="AH223" s="91"/>
      <c r="AI223" s="91"/>
      <c r="AL223" s="89"/>
      <c r="AM223" s="91"/>
      <c r="AN223" s="91"/>
      <c r="AP223" s="91"/>
      <c r="AQ223" s="91"/>
      <c r="AR223" s="91"/>
      <c r="AS223" s="91"/>
      <c r="AT223" s="91"/>
      <c r="BA223" s="91"/>
      <c r="BD223" s="89"/>
      <c r="BE223" s="89"/>
      <c r="BF223" s="91"/>
      <c r="BG223" s="91"/>
      <c r="BH223" s="91"/>
      <c r="BO223" s="91"/>
      <c r="BS223" s="91"/>
      <c r="BT223" s="91"/>
      <c r="BV223" s="91"/>
    </row>
    <row r="224" spans="1:74" x14ac:dyDescent="0.3">
      <c r="A224" s="89"/>
      <c r="B224" s="89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89"/>
      <c r="Y224" s="89"/>
      <c r="Z224" s="91"/>
      <c r="AA224" s="91"/>
      <c r="AB224" s="91"/>
      <c r="AC224" s="91"/>
      <c r="AD224" s="91"/>
      <c r="AE224" s="91"/>
      <c r="AF224" s="91"/>
      <c r="AG224" s="91"/>
      <c r="AH224" s="91"/>
      <c r="AI224" s="91"/>
      <c r="AL224" s="89"/>
      <c r="AM224" s="91"/>
      <c r="AN224" s="91"/>
      <c r="AP224" s="91"/>
      <c r="AQ224" s="91"/>
      <c r="AR224" s="91"/>
      <c r="AS224" s="91"/>
      <c r="AT224" s="91"/>
      <c r="BA224" s="91"/>
      <c r="BD224" s="89"/>
      <c r="BE224" s="89"/>
      <c r="BF224" s="91"/>
      <c r="BG224" s="91"/>
      <c r="BH224" s="91"/>
      <c r="BO224" s="91"/>
      <c r="BS224" s="91"/>
      <c r="BT224" s="91"/>
      <c r="BV224" s="91"/>
    </row>
    <row r="225" spans="1:74" x14ac:dyDescent="0.3">
      <c r="A225" s="89"/>
      <c r="B225" s="89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89"/>
      <c r="Y225" s="89"/>
      <c r="Z225" s="91"/>
      <c r="AA225" s="91"/>
      <c r="AB225" s="91"/>
      <c r="AC225" s="91"/>
      <c r="AD225" s="91"/>
      <c r="AE225" s="91"/>
      <c r="AF225" s="91"/>
      <c r="AG225" s="91"/>
      <c r="AH225" s="91"/>
      <c r="AI225" s="91"/>
      <c r="AL225" s="89"/>
      <c r="AM225" s="91"/>
      <c r="AN225" s="91"/>
      <c r="AP225" s="91"/>
      <c r="AQ225" s="91"/>
      <c r="AR225" s="91"/>
      <c r="AS225" s="91"/>
      <c r="AT225" s="91"/>
      <c r="BA225" s="91"/>
      <c r="BD225" s="89"/>
      <c r="BE225" s="89"/>
      <c r="BF225" s="91"/>
      <c r="BG225" s="91"/>
      <c r="BH225" s="91"/>
      <c r="BO225" s="91"/>
      <c r="BS225" s="91"/>
      <c r="BT225" s="91"/>
      <c r="BV225" s="91"/>
    </row>
    <row r="226" spans="1:74" x14ac:dyDescent="0.3">
      <c r="A226" s="89"/>
      <c r="B226" s="89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89"/>
      <c r="Y226" s="89"/>
      <c r="Z226" s="91"/>
      <c r="AA226" s="91"/>
      <c r="AB226" s="91"/>
      <c r="AC226" s="91"/>
      <c r="AD226" s="91"/>
      <c r="AE226" s="91"/>
      <c r="AF226" s="91"/>
      <c r="AG226" s="91"/>
      <c r="AH226" s="91"/>
      <c r="AI226" s="91"/>
      <c r="AL226" s="89"/>
      <c r="AM226" s="91"/>
      <c r="AN226" s="91"/>
      <c r="AP226" s="91"/>
      <c r="AQ226" s="91"/>
      <c r="AR226" s="91"/>
      <c r="AS226" s="91"/>
      <c r="AT226" s="91"/>
      <c r="BA226" s="91"/>
      <c r="BD226" s="89"/>
      <c r="BE226" s="89"/>
      <c r="BF226" s="91"/>
      <c r="BG226" s="91"/>
      <c r="BH226" s="91"/>
      <c r="BO226" s="91"/>
      <c r="BS226" s="91"/>
      <c r="BT226" s="91"/>
      <c r="BV226" s="91"/>
    </row>
    <row r="227" spans="1:74" x14ac:dyDescent="0.3">
      <c r="A227" s="89"/>
      <c r="B227" s="89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89"/>
      <c r="Y227" s="89"/>
      <c r="Z227" s="91"/>
      <c r="AA227" s="91"/>
      <c r="AB227" s="91"/>
      <c r="AC227" s="91"/>
      <c r="AD227" s="91"/>
      <c r="AE227" s="91"/>
      <c r="AF227" s="91"/>
      <c r="AG227" s="91"/>
      <c r="AH227" s="91"/>
      <c r="AI227" s="91"/>
      <c r="AL227" s="89"/>
      <c r="AM227" s="91"/>
      <c r="AN227" s="91"/>
      <c r="AP227" s="91"/>
      <c r="AQ227" s="91"/>
      <c r="AR227" s="91"/>
      <c r="AS227" s="91"/>
      <c r="AT227" s="91"/>
      <c r="BA227" s="91"/>
      <c r="BD227" s="89"/>
      <c r="BE227" s="89"/>
      <c r="BF227" s="91"/>
      <c r="BG227" s="91"/>
      <c r="BH227" s="91"/>
      <c r="BO227" s="91"/>
      <c r="BS227" s="91"/>
      <c r="BT227" s="91"/>
      <c r="BV227" s="91"/>
    </row>
    <row r="228" spans="1:74" x14ac:dyDescent="0.3">
      <c r="A228" s="89"/>
      <c r="B228" s="89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89"/>
      <c r="Y228" s="89"/>
      <c r="Z228" s="91"/>
      <c r="AA228" s="91"/>
      <c r="AB228" s="91"/>
      <c r="AC228" s="91"/>
      <c r="AD228" s="91"/>
      <c r="AE228" s="91"/>
      <c r="AF228" s="91"/>
      <c r="AG228" s="91"/>
      <c r="AH228" s="91"/>
      <c r="AI228" s="91"/>
      <c r="AL228" s="89"/>
      <c r="AM228" s="91"/>
      <c r="AN228" s="91"/>
      <c r="AP228" s="91"/>
      <c r="AQ228" s="91"/>
      <c r="AR228" s="91"/>
      <c r="AS228" s="91"/>
      <c r="AT228" s="91"/>
      <c r="BA228" s="91"/>
      <c r="BD228" s="89"/>
      <c r="BE228" s="89"/>
      <c r="BF228" s="91"/>
      <c r="BG228" s="91"/>
      <c r="BH228" s="91"/>
      <c r="BO228" s="91"/>
      <c r="BS228" s="91"/>
      <c r="BT228" s="91"/>
      <c r="BV228" s="91"/>
    </row>
    <row r="229" spans="1:74" x14ac:dyDescent="0.3">
      <c r="A229" s="89"/>
      <c r="B229" s="89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89"/>
      <c r="Y229" s="89"/>
      <c r="Z229" s="91"/>
      <c r="AA229" s="91"/>
      <c r="AB229" s="91"/>
      <c r="AC229" s="91"/>
      <c r="AD229" s="91"/>
      <c r="AE229" s="91"/>
      <c r="AF229" s="91"/>
      <c r="AG229" s="91"/>
      <c r="AH229" s="91"/>
      <c r="AI229" s="91"/>
      <c r="AL229" s="89"/>
      <c r="AM229" s="91"/>
      <c r="AN229" s="91"/>
      <c r="AP229" s="91"/>
      <c r="AQ229" s="91"/>
      <c r="AR229" s="91"/>
      <c r="AS229" s="91"/>
      <c r="AT229" s="91"/>
      <c r="BA229" s="91"/>
      <c r="BD229" s="89"/>
      <c r="BE229" s="89"/>
      <c r="BF229" s="91"/>
      <c r="BG229" s="91"/>
      <c r="BH229" s="91"/>
      <c r="BO229" s="91"/>
      <c r="BS229" s="91"/>
      <c r="BT229" s="91"/>
      <c r="BV229" s="91"/>
    </row>
    <row r="230" spans="1:74" x14ac:dyDescent="0.3">
      <c r="A230" s="89"/>
      <c r="B230" s="89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89"/>
      <c r="Y230" s="89"/>
      <c r="Z230" s="91"/>
      <c r="AA230" s="91"/>
      <c r="AB230" s="91"/>
      <c r="AC230" s="91"/>
      <c r="AD230" s="91"/>
      <c r="AE230" s="91"/>
      <c r="AF230" s="91"/>
      <c r="AG230" s="91"/>
      <c r="AH230" s="91"/>
      <c r="AI230" s="91"/>
      <c r="AL230" s="89"/>
      <c r="AM230" s="91"/>
      <c r="AN230" s="91"/>
      <c r="AP230" s="91"/>
      <c r="AQ230" s="91"/>
      <c r="AR230" s="91"/>
      <c r="AS230" s="91"/>
      <c r="AT230" s="91"/>
      <c r="BA230" s="91"/>
      <c r="BD230" s="89"/>
      <c r="BE230" s="89"/>
      <c r="BF230" s="91"/>
      <c r="BG230" s="91"/>
      <c r="BH230" s="91"/>
      <c r="BO230" s="91"/>
      <c r="BS230" s="91"/>
      <c r="BT230" s="91"/>
      <c r="BV230" s="91"/>
    </row>
    <row r="231" spans="1:74" x14ac:dyDescent="0.3">
      <c r="A231" s="89"/>
      <c r="B231" s="89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89"/>
      <c r="Y231" s="89"/>
      <c r="Z231" s="91"/>
      <c r="AA231" s="91"/>
      <c r="AB231" s="91"/>
      <c r="AC231" s="91"/>
      <c r="AD231" s="91"/>
      <c r="AE231" s="91"/>
      <c r="AF231" s="91"/>
      <c r="AG231" s="91"/>
      <c r="AH231" s="91"/>
      <c r="AI231" s="91"/>
      <c r="AL231" s="89"/>
      <c r="AM231" s="91"/>
      <c r="AN231" s="91"/>
      <c r="AP231" s="91"/>
      <c r="AQ231" s="91"/>
      <c r="AR231" s="91"/>
      <c r="AS231" s="91"/>
      <c r="AT231" s="91"/>
      <c r="BA231" s="91"/>
      <c r="BD231" s="89"/>
      <c r="BE231" s="89"/>
      <c r="BF231" s="91"/>
      <c r="BG231" s="91"/>
      <c r="BH231" s="91"/>
      <c r="BO231" s="91"/>
      <c r="BS231" s="91"/>
      <c r="BT231" s="91"/>
      <c r="BV231" s="91"/>
    </row>
    <row r="232" spans="1:74" x14ac:dyDescent="0.3">
      <c r="A232" s="89"/>
      <c r="B232" s="89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89"/>
      <c r="Y232" s="89"/>
      <c r="Z232" s="91"/>
      <c r="AA232" s="91"/>
      <c r="AB232" s="91"/>
      <c r="AC232" s="91"/>
      <c r="AD232" s="91"/>
      <c r="AE232" s="91"/>
      <c r="AF232" s="91"/>
      <c r="AG232" s="91"/>
      <c r="AH232" s="91"/>
      <c r="AI232" s="91"/>
      <c r="AL232" s="89"/>
      <c r="AM232" s="91"/>
      <c r="AN232" s="91"/>
      <c r="AP232" s="91"/>
      <c r="AQ232" s="91"/>
      <c r="AR232" s="91"/>
      <c r="AS232" s="91"/>
      <c r="AT232" s="91"/>
      <c r="BA232" s="91"/>
      <c r="BD232" s="89"/>
      <c r="BE232" s="89"/>
      <c r="BF232" s="91"/>
      <c r="BG232" s="91"/>
      <c r="BH232" s="91"/>
      <c r="BO232" s="91"/>
      <c r="BS232" s="91"/>
      <c r="BT232" s="91"/>
      <c r="BV232" s="91"/>
    </row>
    <row r="233" spans="1:74" x14ac:dyDescent="0.3">
      <c r="A233" s="89"/>
      <c r="B233" s="89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89"/>
      <c r="Y233" s="89"/>
      <c r="Z233" s="91"/>
      <c r="AA233" s="91"/>
      <c r="AB233" s="91"/>
      <c r="AC233" s="91"/>
      <c r="AD233" s="91"/>
      <c r="AE233" s="91"/>
      <c r="AF233" s="91"/>
      <c r="AG233" s="91"/>
      <c r="AH233" s="91"/>
      <c r="AI233" s="91"/>
      <c r="AL233" s="89"/>
      <c r="AM233" s="91"/>
      <c r="AN233" s="91"/>
      <c r="AP233" s="91"/>
      <c r="AQ233" s="91"/>
      <c r="AR233" s="91"/>
      <c r="AS233" s="91"/>
      <c r="AT233" s="91"/>
      <c r="BA233" s="91"/>
      <c r="BD233" s="89"/>
      <c r="BE233" s="89"/>
      <c r="BF233" s="91"/>
      <c r="BG233" s="91"/>
      <c r="BH233" s="91"/>
      <c r="BO233" s="91"/>
      <c r="BS233" s="91"/>
      <c r="BT233" s="91"/>
      <c r="BV233" s="91"/>
    </row>
    <row r="234" spans="1:74" x14ac:dyDescent="0.3">
      <c r="A234" s="89"/>
      <c r="B234" s="89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89"/>
      <c r="Y234" s="89"/>
      <c r="Z234" s="91"/>
      <c r="AA234" s="91"/>
      <c r="AB234" s="91"/>
      <c r="AC234" s="91"/>
      <c r="AD234" s="91"/>
      <c r="AE234" s="91"/>
      <c r="AF234" s="91"/>
      <c r="AG234" s="91"/>
      <c r="AH234" s="91"/>
      <c r="AI234" s="91"/>
      <c r="AL234" s="89"/>
      <c r="AM234" s="91"/>
      <c r="AN234" s="91"/>
      <c r="AP234" s="91"/>
      <c r="AQ234" s="91"/>
      <c r="AR234" s="91"/>
      <c r="AS234" s="91"/>
      <c r="AT234" s="91"/>
      <c r="BA234" s="91"/>
      <c r="BD234" s="89"/>
      <c r="BE234" s="89"/>
      <c r="BF234" s="91"/>
      <c r="BG234" s="91"/>
      <c r="BH234" s="91"/>
      <c r="BO234" s="91"/>
      <c r="BS234" s="91"/>
      <c r="BT234" s="91"/>
      <c r="BV234" s="91"/>
    </row>
    <row r="235" spans="1:74" x14ac:dyDescent="0.3">
      <c r="A235" s="89"/>
      <c r="B235" s="89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89"/>
      <c r="Y235" s="89"/>
      <c r="Z235" s="91"/>
      <c r="AA235" s="91"/>
      <c r="AB235" s="91"/>
      <c r="AC235" s="91"/>
      <c r="AD235" s="91"/>
      <c r="AE235" s="91"/>
      <c r="AF235" s="91"/>
      <c r="AG235" s="91"/>
      <c r="AH235" s="91"/>
      <c r="AI235" s="91"/>
      <c r="AL235" s="89"/>
      <c r="AM235" s="91"/>
      <c r="AN235" s="91"/>
      <c r="AP235" s="91"/>
      <c r="AQ235" s="91"/>
      <c r="AR235" s="91"/>
      <c r="AS235" s="91"/>
      <c r="AT235" s="91"/>
      <c r="BA235" s="91"/>
      <c r="BD235" s="89"/>
      <c r="BE235" s="89"/>
      <c r="BF235" s="91"/>
      <c r="BG235" s="91"/>
      <c r="BH235" s="91"/>
      <c r="BO235" s="91"/>
      <c r="BS235" s="91"/>
      <c r="BT235" s="91"/>
      <c r="BV235" s="91"/>
    </row>
    <row r="236" spans="1:74" x14ac:dyDescent="0.3">
      <c r="A236" s="89"/>
      <c r="B236" s="89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89"/>
      <c r="Y236" s="89"/>
      <c r="Z236" s="91"/>
      <c r="AA236" s="91"/>
      <c r="AB236" s="91"/>
      <c r="AC236" s="91"/>
      <c r="AD236" s="91"/>
      <c r="AE236" s="91"/>
      <c r="AF236" s="91"/>
      <c r="AG236" s="91"/>
      <c r="AH236" s="91"/>
      <c r="AI236" s="91"/>
      <c r="AL236" s="89"/>
      <c r="AM236" s="91"/>
      <c r="AN236" s="91"/>
      <c r="AP236" s="91"/>
      <c r="AQ236" s="91"/>
      <c r="AR236" s="91"/>
      <c r="AS236" s="91"/>
      <c r="AT236" s="91"/>
      <c r="BA236" s="91"/>
      <c r="BD236" s="89"/>
      <c r="BE236" s="89"/>
      <c r="BF236" s="91"/>
      <c r="BG236" s="91"/>
      <c r="BH236" s="91"/>
      <c r="BO236" s="91"/>
      <c r="BS236" s="91"/>
      <c r="BT236" s="91"/>
      <c r="BV236" s="91"/>
    </row>
    <row r="237" spans="1:74" x14ac:dyDescent="0.3">
      <c r="A237" s="89"/>
      <c r="B237" s="89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89"/>
      <c r="Y237" s="89"/>
      <c r="Z237" s="91"/>
      <c r="AA237" s="91"/>
      <c r="AB237" s="91"/>
      <c r="AC237" s="91"/>
      <c r="AD237" s="91"/>
      <c r="AE237" s="91"/>
      <c r="AF237" s="91"/>
      <c r="AG237" s="91"/>
      <c r="AH237" s="91"/>
      <c r="AI237" s="91"/>
      <c r="AL237" s="89"/>
      <c r="AM237" s="91"/>
      <c r="AN237" s="91"/>
      <c r="AP237" s="91"/>
      <c r="AQ237" s="91"/>
      <c r="AR237" s="91"/>
      <c r="AS237" s="91"/>
      <c r="AT237" s="91"/>
      <c r="BA237" s="91"/>
      <c r="BD237" s="89"/>
      <c r="BE237" s="89"/>
      <c r="BF237" s="91"/>
      <c r="BG237" s="91"/>
      <c r="BH237" s="91"/>
      <c r="BO237" s="91"/>
      <c r="BS237" s="91"/>
      <c r="BT237" s="91"/>
      <c r="BV237" s="91"/>
    </row>
    <row r="238" spans="1:74" x14ac:dyDescent="0.3">
      <c r="A238" s="89"/>
      <c r="B238" s="89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89"/>
      <c r="Y238" s="89"/>
      <c r="Z238" s="91"/>
      <c r="AA238" s="91"/>
      <c r="AB238" s="91"/>
      <c r="AC238" s="91"/>
      <c r="AD238" s="91"/>
      <c r="AE238" s="91"/>
      <c r="AF238" s="91"/>
      <c r="AG238" s="91"/>
      <c r="AH238" s="91"/>
      <c r="AI238" s="91"/>
      <c r="AL238" s="89"/>
      <c r="AM238" s="91"/>
      <c r="AN238" s="91"/>
      <c r="AP238" s="91"/>
      <c r="AQ238" s="91"/>
      <c r="AR238" s="91"/>
      <c r="AS238" s="91"/>
      <c r="AT238" s="91"/>
      <c r="BA238" s="91"/>
      <c r="BD238" s="89"/>
      <c r="BE238" s="89"/>
      <c r="BF238" s="91"/>
      <c r="BG238" s="91"/>
      <c r="BH238" s="91"/>
      <c r="BO238" s="91"/>
      <c r="BS238" s="91"/>
      <c r="BT238" s="91"/>
      <c r="BV238" s="91"/>
    </row>
    <row r="239" spans="1:74" x14ac:dyDescent="0.3">
      <c r="A239" s="89"/>
      <c r="B239" s="89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89"/>
      <c r="Y239" s="89"/>
      <c r="Z239" s="91"/>
      <c r="AA239" s="91"/>
      <c r="AB239" s="91"/>
      <c r="AC239" s="91"/>
      <c r="AD239" s="91"/>
      <c r="AE239" s="91"/>
      <c r="AF239" s="91"/>
      <c r="AG239" s="91"/>
      <c r="AH239" s="91"/>
      <c r="AI239" s="91"/>
      <c r="AL239" s="89"/>
      <c r="AM239" s="91"/>
      <c r="AN239" s="91"/>
      <c r="AP239" s="91"/>
      <c r="AQ239" s="91"/>
      <c r="AR239" s="91"/>
      <c r="AS239" s="91"/>
      <c r="AT239" s="91"/>
      <c r="BA239" s="91"/>
      <c r="BD239" s="89"/>
      <c r="BE239" s="89"/>
      <c r="BF239" s="91"/>
      <c r="BG239" s="91"/>
      <c r="BH239" s="91"/>
      <c r="BO239" s="91"/>
      <c r="BS239" s="91"/>
      <c r="BT239" s="91"/>
      <c r="BV239" s="91"/>
    </row>
    <row r="240" spans="1:74" x14ac:dyDescent="0.3">
      <c r="A240" s="89"/>
      <c r="B240" s="89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89"/>
      <c r="Y240" s="89"/>
      <c r="Z240" s="91"/>
      <c r="AA240" s="91"/>
      <c r="AB240" s="91"/>
      <c r="AC240" s="91"/>
      <c r="AD240" s="91"/>
      <c r="AE240" s="91"/>
      <c r="AF240" s="91"/>
      <c r="AG240" s="91"/>
      <c r="AH240" s="91"/>
      <c r="AI240" s="91"/>
      <c r="AL240" s="89"/>
      <c r="AM240" s="91"/>
      <c r="AN240" s="91"/>
      <c r="AP240" s="91"/>
      <c r="AQ240" s="91"/>
      <c r="AR240" s="91"/>
      <c r="AS240" s="91"/>
      <c r="AT240" s="91"/>
      <c r="BA240" s="91"/>
      <c r="BD240" s="89"/>
      <c r="BE240" s="89"/>
      <c r="BF240" s="91"/>
      <c r="BG240" s="91"/>
      <c r="BH240" s="91"/>
      <c r="BO240" s="91"/>
      <c r="BS240" s="91"/>
      <c r="BT240" s="91"/>
      <c r="BV240" s="91"/>
    </row>
    <row r="241" spans="1:74" x14ac:dyDescent="0.3">
      <c r="A241" s="89"/>
      <c r="B241" s="89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89"/>
      <c r="Y241" s="89"/>
      <c r="Z241" s="91"/>
      <c r="AA241" s="91"/>
      <c r="AB241" s="91"/>
      <c r="AC241" s="91"/>
      <c r="AD241" s="91"/>
      <c r="AE241" s="91"/>
      <c r="AF241" s="91"/>
      <c r="AG241" s="91"/>
      <c r="AH241" s="91"/>
      <c r="AI241" s="91"/>
      <c r="AL241" s="89"/>
      <c r="AM241" s="91"/>
      <c r="AN241" s="91"/>
      <c r="AP241" s="91"/>
      <c r="AQ241" s="91"/>
      <c r="AR241" s="91"/>
      <c r="AS241" s="91"/>
      <c r="AT241" s="91"/>
      <c r="BA241" s="91"/>
      <c r="BD241" s="89"/>
      <c r="BE241" s="89"/>
      <c r="BF241" s="91"/>
      <c r="BG241" s="91"/>
      <c r="BH241" s="91"/>
      <c r="BO241" s="91"/>
      <c r="BS241" s="91"/>
      <c r="BT241" s="91"/>
      <c r="BV241" s="91"/>
    </row>
    <row r="242" spans="1:74" x14ac:dyDescent="0.3">
      <c r="A242" s="89"/>
      <c r="B242" s="89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89"/>
      <c r="Y242" s="89"/>
      <c r="Z242" s="91"/>
      <c r="AA242" s="91"/>
      <c r="AB242" s="91"/>
      <c r="AC242" s="91"/>
      <c r="AD242" s="91"/>
      <c r="AE242" s="91"/>
      <c r="AF242" s="91"/>
      <c r="AG242" s="91"/>
      <c r="AH242" s="91"/>
      <c r="AI242" s="91"/>
      <c r="AL242" s="89"/>
      <c r="AM242" s="91"/>
      <c r="AN242" s="91"/>
      <c r="AP242" s="91"/>
      <c r="AQ242" s="91"/>
      <c r="AR242" s="91"/>
      <c r="AS242" s="91"/>
      <c r="AT242" s="91"/>
      <c r="BA242" s="91"/>
      <c r="BD242" s="89"/>
      <c r="BE242" s="89"/>
      <c r="BF242" s="91"/>
      <c r="BG242" s="91"/>
      <c r="BH242" s="91"/>
      <c r="BO242" s="91"/>
      <c r="BS242" s="91"/>
      <c r="BT242" s="91"/>
      <c r="BV242" s="91"/>
    </row>
    <row r="243" spans="1:74" x14ac:dyDescent="0.3">
      <c r="A243" s="89"/>
      <c r="B243" s="89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89"/>
      <c r="Y243" s="89"/>
      <c r="Z243" s="91"/>
      <c r="AA243" s="91"/>
      <c r="AB243" s="91"/>
      <c r="AC243" s="91"/>
      <c r="AD243" s="91"/>
      <c r="AE243" s="91"/>
      <c r="AF243" s="91"/>
      <c r="AG243" s="91"/>
      <c r="AH243" s="91"/>
      <c r="AI243" s="91"/>
      <c r="AL243" s="89"/>
      <c r="AM243" s="91"/>
      <c r="AN243" s="91"/>
      <c r="AP243" s="91"/>
      <c r="AQ243" s="91"/>
      <c r="AR243" s="91"/>
      <c r="AS243" s="91"/>
      <c r="AT243" s="91"/>
      <c r="BA243" s="91"/>
      <c r="BD243" s="89"/>
      <c r="BE243" s="89"/>
      <c r="BF243" s="91"/>
      <c r="BG243" s="91"/>
      <c r="BH243" s="91"/>
      <c r="BO243" s="91"/>
      <c r="BS243" s="91"/>
      <c r="BT243" s="91"/>
      <c r="BV243" s="91"/>
    </row>
    <row r="244" spans="1:74" x14ac:dyDescent="0.3">
      <c r="A244" s="89"/>
      <c r="B244" s="89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89"/>
      <c r="Y244" s="89"/>
      <c r="Z244" s="91"/>
      <c r="AA244" s="91"/>
      <c r="AB244" s="91"/>
      <c r="AC244" s="91"/>
      <c r="AD244" s="91"/>
      <c r="AE244" s="91"/>
      <c r="AF244" s="91"/>
      <c r="AG244" s="91"/>
      <c r="AH244" s="91"/>
      <c r="AI244" s="91"/>
      <c r="AL244" s="89"/>
      <c r="AM244" s="91"/>
      <c r="AN244" s="91"/>
      <c r="AP244" s="91"/>
      <c r="AQ244" s="91"/>
      <c r="AR244" s="91"/>
      <c r="AS244" s="91"/>
      <c r="AT244" s="91"/>
      <c r="BA244" s="91"/>
      <c r="BD244" s="89"/>
      <c r="BE244" s="89"/>
      <c r="BF244" s="91"/>
      <c r="BG244" s="91"/>
      <c r="BH244" s="91"/>
      <c r="BO244" s="91"/>
      <c r="BS244" s="91"/>
      <c r="BT244" s="91"/>
      <c r="BV244" s="91"/>
    </row>
    <row r="245" spans="1:74" x14ac:dyDescent="0.3">
      <c r="A245" s="89"/>
      <c r="B245" s="89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89"/>
      <c r="Y245" s="89"/>
      <c r="Z245" s="91"/>
      <c r="AA245" s="91"/>
      <c r="AB245" s="91"/>
      <c r="AC245" s="91"/>
      <c r="AD245" s="91"/>
      <c r="AE245" s="91"/>
      <c r="AF245" s="91"/>
      <c r="AG245" s="91"/>
      <c r="AH245" s="91"/>
      <c r="AI245" s="91"/>
      <c r="AL245" s="89"/>
      <c r="AM245" s="91"/>
      <c r="AN245" s="91"/>
      <c r="AP245" s="91"/>
      <c r="AQ245" s="91"/>
      <c r="AR245" s="91"/>
      <c r="AS245" s="91"/>
      <c r="AT245" s="91"/>
      <c r="BA245" s="91"/>
      <c r="BD245" s="89"/>
      <c r="BE245" s="89"/>
      <c r="BF245" s="91"/>
      <c r="BG245" s="91"/>
      <c r="BH245" s="91"/>
      <c r="BO245" s="91"/>
      <c r="BS245" s="91"/>
      <c r="BT245" s="91"/>
      <c r="BV245" s="91"/>
    </row>
    <row r="246" spans="1:74" x14ac:dyDescent="0.3">
      <c r="A246" s="89"/>
      <c r="B246" s="89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89"/>
      <c r="Y246" s="89"/>
      <c r="Z246" s="91"/>
      <c r="AA246" s="91"/>
      <c r="AB246" s="91"/>
      <c r="AC246" s="91"/>
      <c r="AD246" s="91"/>
      <c r="AE246" s="91"/>
      <c r="AF246" s="91"/>
      <c r="AG246" s="91"/>
      <c r="AH246" s="91"/>
      <c r="AI246" s="91"/>
      <c r="AL246" s="89"/>
      <c r="AM246" s="91"/>
      <c r="AN246" s="91"/>
      <c r="AP246" s="91"/>
      <c r="AQ246" s="91"/>
      <c r="AR246" s="91"/>
      <c r="AS246" s="91"/>
      <c r="AT246" s="91"/>
      <c r="BA246" s="91"/>
      <c r="BD246" s="89"/>
      <c r="BE246" s="89"/>
      <c r="BF246" s="91"/>
      <c r="BG246" s="91"/>
      <c r="BH246" s="91"/>
      <c r="BO246" s="91"/>
      <c r="BS246" s="91"/>
      <c r="BT246" s="91"/>
      <c r="BV246" s="91"/>
    </row>
    <row r="247" spans="1:74" x14ac:dyDescent="0.3">
      <c r="A247" s="89"/>
      <c r="B247" s="89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89"/>
      <c r="Y247" s="89"/>
      <c r="Z247" s="91"/>
      <c r="AA247" s="91"/>
      <c r="AB247" s="91"/>
      <c r="AC247" s="91"/>
      <c r="AD247" s="91"/>
      <c r="AE247" s="91"/>
      <c r="AF247" s="91"/>
      <c r="AG247" s="91"/>
      <c r="AH247" s="91"/>
      <c r="AI247" s="91"/>
      <c r="AL247" s="89"/>
      <c r="AM247" s="91"/>
      <c r="AN247" s="91"/>
      <c r="AP247" s="91"/>
      <c r="AQ247" s="91"/>
      <c r="AR247" s="91"/>
      <c r="AS247" s="91"/>
      <c r="AT247" s="91"/>
      <c r="BA247" s="91"/>
      <c r="BD247" s="89"/>
      <c r="BE247" s="89"/>
      <c r="BF247" s="91"/>
      <c r="BG247" s="91"/>
      <c r="BH247" s="91"/>
      <c r="BO247" s="91"/>
      <c r="BS247" s="91"/>
      <c r="BT247" s="91"/>
      <c r="BV247" s="91"/>
    </row>
    <row r="248" spans="1:74" x14ac:dyDescent="0.3">
      <c r="A248" s="89"/>
      <c r="B248" s="89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89"/>
      <c r="Y248" s="89"/>
      <c r="Z248" s="91"/>
      <c r="AA248" s="91"/>
      <c r="AB248" s="91"/>
      <c r="AC248" s="91"/>
      <c r="AD248" s="91"/>
      <c r="AE248" s="91"/>
      <c r="AF248" s="91"/>
      <c r="AG248" s="91"/>
      <c r="AH248" s="91"/>
      <c r="AI248" s="91"/>
      <c r="AL248" s="89"/>
      <c r="AM248" s="91"/>
      <c r="AN248" s="91"/>
      <c r="AP248" s="91"/>
      <c r="AQ248" s="91"/>
      <c r="AR248" s="91"/>
      <c r="AS248" s="91"/>
      <c r="AT248" s="91"/>
      <c r="BA248" s="91"/>
      <c r="BD248" s="89"/>
      <c r="BE248" s="89"/>
      <c r="BF248" s="91"/>
      <c r="BG248" s="91"/>
      <c r="BH248" s="91"/>
      <c r="BO248" s="91"/>
      <c r="BS248" s="91"/>
      <c r="BT248" s="91"/>
      <c r="BV248" s="91"/>
    </row>
    <row r="249" spans="1:74" x14ac:dyDescent="0.3">
      <c r="A249" s="89"/>
      <c r="B249" s="89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89"/>
      <c r="Y249" s="89"/>
      <c r="Z249" s="91"/>
      <c r="AA249" s="91"/>
      <c r="AB249" s="91"/>
      <c r="AC249" s="91"/>
      <c r="AD249" s="91"/>
      <c r="AE249" s="91"/>
      <c r="AF249" s="91"/>
      <c r="AG249" s="91"/>
      <c r="AH249" s="91"/>
      <c r="AI249" s="91"/>
      <c r="AL249" s="89"/>
      <c r="AM249" s="91"/>
      <c r="AN249" s="91"/>
      <c r="AP249" s="91"/>
      <c r="AQ249" s="91"/>
      <c r="AR249" s="91"/>
      <c r="AS249" s="91"/>
      <c r="AT249" s="91"/>
      <c r="BA249" s="91"/>
      <c r="BD249" s="89"/>
      <c r="BE249" s="89"/>
      <c r="BF249" s="91"/>
      <c r="BG249" s="91"/>
      <c r="BH249" s="91"/>
      <c r="BO249" s="91"/>
      <c r="BS249" s="91"/>
      <c r="BT249" s="91"/>
      <c r="BV249" s="91"/>
    </row>
    <row r="250" spans="1:74" x14ac:dyDescent="0.3">
      <c r="A250" s="89"/>
      <c r="B250" s="89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89"/>
      <c r="Y250" s="89"/>
      <c r="Z250" s="91"/>
      <c r="AA250" s="91"/>
      <c r="AB250" s="91"/>
      <c r="AC250" s="91"/>
      <c r="AD250" s="91"/>
      <c r="AE250" s="91"/>
      <c r="AF250" s="91"/>
      <c r="AG250" s="91"/>
      <c r="AH250" s="91"/>
      <c r="AI250" s="91"/>
      <c r="AL250" s="89"/>
      <c r="AM250" s="91"/>
      <c r="AN250" s="91"/>
      <c r="AP250" s="91"/>
      <c r="AQ250" s="91"/>
      <c r="AR250" s="91"/>
      <c r="AS250" s="91"/>
      <c r="AT250" s="91"/>
      <c r="BA250" s="91"/>
      <c r="BD250" s="89"/>
      <c r="BE250" s="89"/>
      <c r="BF250" s="91"/>
      <c r="BG250" s="91"/>
      <c r="BH250" s="91"/>
      <c r="BO250" s="91"/>
      <c r="BS250" s="91"/>
      <c r="BT250" s="91"/>
      <c r="BV250" s="91"/>
    </row>
    <row r="251" spans="1:74" x14ac:dyDescent="0.3">
      <c r="A251" s="89"/>
      <c r="B251" s="89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89"/>
      <c r="Y251" s="89"/>
      <c r="Z251" s="91"/>
      <c r="AA251" s="91"/>
      <c r="AB251" s="91"/>
      <c r="AC251" s="91"/>
      <c r="AD251" s="91"/>
      <c r="AE251" s="91"/>
      <c r="AF251" s="91"/>
      <c r="AG251" s="91"/>
      <c r="AH251" s="91"/>
      <c r="AI251" s="91"/>
      <c r="AL251" s="89"/>
      <c r="AM251" s="91"/>
      <c r="AN251" s="91"/>
      <c r="AP251" s="91"/>
      <c r="AQ251" s="91"/>
      <c r="AR251" s="91"/>
      <c r="AS251" s="91"/>
      <c r="AT251" s="91"/>
      <c r="BA251" s="91"/>
      <c r="BD251" s="89"/>
      <c r="BE251" s="89"/>
      <c r="BF251" s="91"/>
      <c r="BG251" s="91"/>
      <c r="BH251" s="91"/>
      <c r="BO251" s="91"/>
      <c r="BS251" s="91"/>
      <c r="BT251" s="91"/>
      <c r="BV251" s="91"/>
    </row>
    <row r="252" spans="1:74" x14ac:dyDescent="0.3">
      <c r="A252" s="89"/>
      <c r="B252" s="89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89"/>
      <c r="Y252" s="89"/>
      <c r="Z252" s="91"/>
      <c r="AA252" s="91"/>
      <c r="AB252" s="91"/>
      <c r="AC252" s="91"/>
      <c r="AD252" s="91"/>
      <c r="AE252" s="91"/>
      <c r="AF252" s="91"/>
      <c r="AG252" s="91"/>
      <c r="AH252" s="91"/>
      <c r="AI252" s="91"/>
      <c r="AL252" s="89"/>
      <c r="AM252" s="91"/>
      <c r="AN252" s="91"/>
      <c r="AP252" s="91"/>
      <c r="AQ252" s="91"/>
      <c r="AR252" s="91"/>
      <c r="AS252" s="91"/>
      <c r="AT252" s="91"/>
      <c r="BA252" s="91"/>
      <c r="BD252" s="89"/>
      <c r="BE252" s="89"/>
      <c r="BF252" s="91"/>
      <c r="BG252" s="91"/>
      <c r="BH252" s="91"/>
      <c r="BO252" s="91"/>
      <c r="BS252" s="91"/>
      <c r="BT252" s="91"/>
      <c r="BV252" s="91"/>
    </row>
    <row r="253" spans="1:74" x14ac:dyDescent="0.3">
      <c r="A253" s="89"/>
      <c r="B253" s="89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89"/>
      <c r="Y253" s="89"/>
      <c r="Z253" s="91"/>
      <c r="AA253" s="91"/>
      <c r="AB253" s="91"/>
      <c r="AC253" s="91"/>
      <c r="AD253" s="91"/>
      <c r="AE253" s="91"/>
      <c r="AF253" s="91"/>
      <c r="AG253" s="91"/>
      <c r="AH253" s="91"/>
      <c r="AI253" s="91"/>
      <c r="AL253" s="89"/>
      <c r="AM253" s="91"/>
      <c r="AN253" s="91"/>
      <c r="AP253" s="91"/>
      <c r="AQ253" s="91"/>
      <c r="AR253" s="91"/>
      <c r="AS253" s="91"/>
      <c r="AT253" s="91"/>
      <c r="BA253" s="91"/>
      <c r="BD253" s="89"/>
      <c r="BE253" s="89"/>
      <c r="BF253" s="91"/>
      <c r="BG253" s="91"/>
      <c r="BH253" s="91"/>
      <c r="BO253" s="91"/>
      <c r="BS253" s="91"/>
      <c r="BT253" s="91"/>
      <c r="BV253" s="91"/>
    </row>
    <row r="254" spans="1:74" x14ac:dyDescent="0.3">
      <c r="A254" s="89"/>
      <c r="B254" s="89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89"/>
      <c r="Y254" s="89"/>
      <c r="Z254" s="91"/>
      <c r="AA254" s="91"/>
      <c r="AB254" s="91"/>
      <c r="AC254" s="91"/>
      <c r="AD254" s="91"/>
      <c r="AE254" s="91"/>
      <c r="AF254" s="91"/>
      <c r="AG254" s="91"/>
      <c r="AH254" s="91"/>
      <c r="AI254" s="91"/>
      <c r="AL254" s="89"/>
      <c r="AM254" s="91"/>
      <c r="AN254" s="91"/>
      <c r="AP254" s="91"/>
      <c r="AQ254" s="91"/>
      <c r="AR254" s="91"/>
      <c r="AS254" s="91"/>
      <c r="AT254" s="91"/>
      <c r="BA254" s="91"/>
      <c r="BD254" s="89"/>
      <c r="BE254" s="89"/>
      <c r="BF254" s="91"/>
      <c r="BG254" s="91"/>
      <c r="BH254" s="91"/>
      <c r="BO254" s="91"/>
      <c r="BS254" s="91"/>
      <c r="BT254" s="91"/>
      <c r="BV254" s="91"/>
    </row>
    <row r="255" spans="1:74" x14ac:dyDescent="0.3">
      <c r="A255" s="89"/>
      <c r="B255" s="89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89"/>
      <c r="Y255" s="89"/>
      <c r="Z255" s="91"/>
      <c r="AA255" s="91"/>
      <c r="AB255" s="91"/>
      <c r="AC255" s="91"/>
      <c r="AD255" s="91"/>
      <c r="AE255" s="91"/>
      <c r="AF255" s="91"/>
      <c r="AG255" s="91"/>
      <c r="AH255" s="91"/>
      <c r="AI255" s="91"/>
      <c r="AL255" s="89"/>
      <c r="AM255" s="91"/>
      <c r="AN255" s="91"/>
      <c r="AP255" s="91"/>
      <c r="AQ255" s="91"/>
      <c r="AR255" s="91"/>
      <c r="AS255" s="91"/>
      <c r="AT255" s="91"/>
      <c r="BA255" s="91"/>
      <c r="BD255" s="89"/>
      <c r="BE255" s="89"/>
      <c r="BF255" s="91"/>
      <c r="BG255" s="91"/>
      <c r="BH255" s="91"/>
      <c r="BO255" s="91"/>
      <c r="BS255" s="91"/>
      <c r="BT255" s="91"/>
      <c r="BV255" s="91"/>
    </row>
    <row r="256" spans="1:74" x14ac:dyDescent="0.3">
      <c r="A256" s="89"/>
      <c r="B256" s="89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89"/>
      <c r="Y256" s="89"/>
      <c r="Z256" s="91"/>
      <c r="AA256" s="91"/>
      <c r="AB256" s="91"/>
      <c r="AC256" s="91"/>
      <c r="AD256" s="91"/>
      <c r="AE256" s="91"/>
      <c r="AF256" s="91"/>
      <c r="AG256" s="91"/>
      <c r="AH256" s="91"/>
      <c r="AI256" s="91"/>
      <c r="AL256" s="89"/>
      <c r="AM256" s="91"/>
      <c r="AN256" s="91"/>
      <c r="AP256" s="91"/>
      <c r="AQ256" s="91"/>
      <c r="AR256" s="91"/>
      <c r="AS256" s="91"/>
      <c r="AT256" s="91"/>
      <c r="BA256" s="91"/>
      <c r="BD256" s="89"/>
      <c r="BE256" s="89"/>
      <c r="BF256" s="91"/>
      <c r="BG256" s="91"/>
      <c r="BH256" s="91"/>
      <c r="BO256" s="91"/>
      <c r="BS256" s="91"/>
      <c r="BT256" s="91"/>
      <c r="BV256" s="91"/>
    </row>
    <row r="257" spans="1:74" x14ac:dyDescent="0.3">
      <c r="A257" s="89"/>
      <c r="B257" s="89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89"/>
      <c r="Y257" s="89"/>
      <c r="Z257" s="91"/>
      <c r="AA257" s="91"/>
      <c r="AB257" s="91"/>
      <c r="AC257" s="91"/>
      <c r="AD257" s="91"/>
      <c r="AE257" s="91"/>
      <c r="AF257" s="91"/>
      <c r="AG257" s="91"/>
      <c r="AH257" s="91"/>
      <c r="AI257" s="91"/>
      <c r="AL257" s="89"/>
      <c r="AM257" s="91"/>
      <c r="AN257" s="91"/>
      <c r="AP257" s="91"/>
      <c r="AQ257" s="91"/>
      <c r="AR257" s="91"/>
      <c r="AS257" s="91"/>
      <c r="AT257" s="91"/>
      <c r="BA257" s="91"/>
      <c r="BD257" s="89"/>
      <c r="BE257" s="89"/>
      <c r="BF257" s="91"/>
      <c r="BG257" s="91"/>
      <c r="BH257" s="91"/>
      <c r="BO257" s="91"/>
      <c r="BS257" s="91"/>
      <c r="BT257" s="91"/>
      <c r="BV257" s="91"/>
    </row>
    <row r="258" spans="1:74" x14ac:dyDescent="0.3">
      <c r="A258" s="89"/>
      <c r="B258" s="89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89"/>
      <c r="Y258" s="89"/>
      <c r="Z258" s="91"/>
      <c r="AA258" s="91"/>
      <c r="AB258" s="91"/>
      <c r="AC258" s="91"/>
      <c r="AD258" s="91"/>
      <c r="AE258" s="91"/>
      <c r="AF258" s="91"/>
      <c r="AG258" s="91"/>
      <c r="AH258" s="91"/>
      <c r="AI258" s="91"/>
      <c r="AL258" s="89"/>
      <c r="AM258" s="91"/>
      <c r="AN258" s="91"/>
      <c r="AP258" s="91"/>
      <c r="AQ258" s="91"/>
      <c r="AR258" s="91"/>
      <c r="AS258" s="91"/>
      <c r="AT258" s="91"/>
      <c r="BA258" s="91"/>
      <c r="BD258" s="89"/>
      <c r="BE258" s="89"/>
      <c r="BF258" s="91"/>
      <c r="BG258" s="91"/>
      <c r="BH258" s="91"/>
      <c r="BO258" s="91"/>
      <c r="BS258" s="91"/>
      <c r="BT258" s="91"/>
      <c r="BV258" s="91"/>
    </row>
    <row r="259" spans="1:74" x14ac:dyDescent="0.3">
      <c r="A259" s="89"/>
      <c r="B259" s="89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89"/>
      <c r="Y259" s="89"/>
      <c r="Z259" s="91"/>
      <c r="AA259" s="91"/>
      <c r="AB259" s="91"/>
      <c r="AC259" s="91"/>
      <c r="AD259" s="91"/>
      <c r="AE259" s="91"/>
      <c r="AF259" s="91"/>
      <c r="AG259" s="91"/>
      <c r="AH259" s="91"/>
      <c r="AI259" s="91"/>
      <c r="AL259" s="89"/>
      <c r="AM259" s="91"/>
      <c r="AN259" s="91"/>
      <c r="AP259" s="91"/>
      <c r="AQ259" s="91"/>
      <c r="AR259" s="91"/>
      <c r="AS259" s="91"/>
      <c r="AT259" s="91"/>
      <c r="BA259" s="91"/>
      <c r="BD259" s="89"/>
      <c r="BE259" s="89"/>
      <c r="BF259" s="91"/>
      <c r="BG259" s="91"/>
      <c r="BH259" s="91"/>
      <c r="BO259" s="91"/>
      <c r="BS259" s="91"/>
      <c r="BT259" s="91"/>
      <c r="BV259" s="91"/>
    </row>
    <row r="260" spans="1:74" x14ac:dyDescent="0.3">
      <c r="A260" s="89"/>
      <c r="B260" s="89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89"/>
      <c r="Y260" s="89"/>
      <c r="Z260" s="91"/>
      <c r="AA260" s="91"/>
      <c r="AB260" s="91"/>
      <c r="AC260" s="91"/>
      <c r="AD260" s="91"/>
      <c r="AE260" s="91"/>
      <c r="AF260" s="91"/>
      <c r="AG260" s="91"/>
      <c r="AH260" s="91"/>
      <c r="AI260" s="91"/>
      <c r="AL260" s="89"/>
      <c r="AM260" s="91"/>
      <c r="AN260" s="91"/>
      <c r="AP260" s="91"/>
      <c r="AQ260" s="91"/>
      <c r="AR260" s="91"/>
      <c r="AS260" s="91"/>
      <c r="AT260" s="91"/>
      <c r="BA260" s="91"/>
      <c r="BD260" s="89"/>
      <c r="BE260" s="89"/>
      <c r="BF260" s="91"/>
      <c r="BG260" s="91"/>
      <c r="BH260" s="91"/>
      <c r="BO260" s="91"/>
      <c r="BS260" s="91"/>
      <c r="BT260" s="91"/>
      <c r="BV260" s="91"/>
    </row>
    <row r="261" spans="1:74" x14ac:dyDescent="0.3">
      <c r="A261" s="89"/>
      <c r="B261" s="89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89"/>
      <c r="Y261" s="89"/>
      <c r="Z261" s="91"/>
      <c r="AA261" s="91"/>
      <c r="AB261" s="91"/>
      <c r="AC261" s="91"/>
      <c r="AD261" s="91"/>
      <c r="AE261" s="91"/>
      <c r="AF261" s="91"/>
      <c r="AG261" s="91"/>
      <c r="AH261" s="91"/>
      <c r="AI261" s="91"/>
      <c r="AL261" s="89"/>
      <c r="AM261" s="91"/>
      <c r="AN261" s="91"/>
      <c r="AP261" s="91"/>
      <c r="AQ261" s="91"/>
      <c r="AR261" s="91"/>
      <c r="AS261" s="91"/>
      <c r="AT261" s="91"/>
      <c r="BA261" s="91"/>
      <c r="BD261" s="89"/>
      <c r="BE261" s="89"/>
      <c r="BF261" s="91"/>
      <c r="BG261" s="91"/>
      <c r="BH261" s="91"/>
      <c r="BO261" s="91"/>
      <c r="BS261" s="91"/>
      <c r="BT261" s="91"/>
      <c r="BV261" s="91"/>
    </row>
    <row r="262" spans="1:74" x14ac:dyDescent="0.3">
      <c r="A262" s="89"/>
      <c r="B262" s="89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89"/>
      <c r="Y262" s="89"/>
      <c r="Z262" s="91"/>
      <c r="AA262" s="91"/>
      <c r="AB262" s="91"/>
      <c r="AC262" s="91"/>
      <c r="AD262" s="91"/>
      <c r="AE262" s="91"/>
      <c r="AF262" s="91"/>
      <c r="AG262" s="91"/>
      <c r="AH262" s="91"/>
      <c r="AI262" s="91"/>
      <c r="AL262" s="89"/>
      <c r="AM262" s="91"/>
      <c r="AN262" s="91"/>
      <c r="AP262" s="91"/>
      <c r="AQ262" s="91"/>
      <c r="AR262" s="91"/>
      <c r="AS262" s="91"/>
      <c r="AT262" s="91"/>
      <c r="BA262" s="91"/>
      <c r="BD262" s="89"/>
      <c r="BE262" s="89"/>
      <c r="BF262" s="91"/>
      <c r="BG262" s="91"/>
      <c r="BH262" s="91"/>
      <c r="BO262" s="91"/>
      <c r="BS262" s="91"/>
      <c r="BT262" s="91"/>
      <c r="BV262" s="91"/>
    </row>
    <row r="263" spans="1:74" x14ac:dyDescent="0.3">
      <c r="A263" s="89"/>
      <c r="B263" s="89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89"/>
      <c r="Y263" s="89"/>
      <c r="Z263" s="91"/>
      <c r="AA263" s="91"/>
      <c r="AB263" s="91"/>
      <c r="AC263" s="91"/>
      <c r="AD263" s="91"/>
      <c r="AE263" s="91"/>
      <c r="AF263" s="91"/>
      <c r="AG263" s="91"/>
      <c r="AH263" s="91"/>
      <c r="AI263" s="91"/>
      <c r="AL263" s="89"/>
      <c r="AM263" s="91"/>
      <c r="AN263" s="91"/>
      <c r="AP263" s="91"/>
      <c r="AQ263" s="91"/>
      <c r="AR263" s="91"/>
      <c r="AS263" s="91"/>
      <c r="AT263" s="91"/>
      <c r="BA263" s="91"/>
      <c r="BD263" s="89"/>
      <c r="BE263" s="89"/>
      <c r="BF263" s="91"/>
      <c r="BG263" s="91"/>
      <c r="BH263" s="91"/>
      <c r="BO263" s="91"/>
      <c r="BS263" s="91"/>
      <c r="BT263" s="91"/>
      <c r="BV263" s="91"/>
    </row>
    <row r="264" spans="1:74" x14ac:dyDescent="0.3">
      <c r="A264" s="89"/>
      <c r="B264" s="89"/>
      <c r="C264" s="91"/>
      <c r="D264" s="91"/>
      <c r="E264" s="91"/>
      <c r="F264" s="91"/>
      <c r="G264" s="91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89"/>
      <c r="Y264" s="89"/>
      <c r="Z264" s="91"/>
      <c r="AA264" s="91"/>
      <c r="AB264" s="91"/>
      <c r="AC264" s="91"/>
      <c r="AD264" s="91"/>
      <c r="AE264" s="91"/>
      <c r="AF264" s="91"/>
      <c r="AG264" s="91"/>
      <c r="AH264" s="91"/>
      <c r="AI264" s="91"/>
      <c r="AL264" s="89"/>
      <c r="AM264" s="91"/>
      <c r="AN264" s="91"/>
      <c r="AP264" s="91"/>
      <c r="AQ264" s="91"/>
      <c r="AR264" s="91"/>
      <c r="AS264" s="91"/>
      <c r="AT264" s="91"/>
      <c r="BA264" s="91"/>
      <c r="BD264" s="89"/>
      <c r="BE264" s="89"/>
      <c r="BF264" s="91"/>
      <c r="BG264" s="91"/>
      <c r="BH264" s="91"/>
      <c r="BO264" s="91"/>
      <c r="BS264" s="91"/>
      <c r="BT264" s="91"/>
      <c r="BV264" s="91"/>
    </row>
    <row r="265" spans="1:74" x14ac:dyDescent="0.3">
      <c r="A265" s="89"/>
      <c r="B265" s="89"/>
      <c r="C265" s="91"/>
      <c r="D265" s="91"/>
      <c r="E265" s="91"/>
      <c r="F265" s="91"/>
      <c r="G265" s="91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89"/>
      <c r="Y265" s="89"/>
      <c r="Z265" s="91"/>
      <c r="AA265" s="91"/>
      <c r="AB265" s="91"/>
      <c r="AC265" s="91"/>
      <c r="AD265" s="91"/>
      <c r="AE265" s="91"/>
      <c r="AF265" s="91"/>
      <c r="AG265" s="91"/>
      <c r="AH265" s="91"/>
      <c r="AI265" s="91"/>
      <c r="AL265" s="89"/>
      <c r="AM265" s="91"/>
      <c r="AN265" s="91"/>
      <c r="AP265" s="91"/>
      <c r="AQ265" s="91"/>
      <c r="AR265" s="91"/>
      <c r="AS265" s="91"/>
      <c r="AT265" s="91"/>
      <c r="BA265" s="91"/>
      <c r="BD265" s="89"/>
      <c r="BE265" s="89"/>
      <c r="BF265" s="91"/>
      <c r="BG265" s="91"/>
      <c r="BH265" s="91"/>
      <c r="BO265" s="91"/>
      <c r="BS265" s="91"/>
      <c r="BT265" s="91"/>
      <c r="BV265" s="91"/>
    </row>
    <row r="266" spans="1:74" x14ac:dyDescent="0.3">
      <c r="A266" s="89"/>
      <c r="B266" s="89"/>
      <c r="C266" s="91"/>
      <c r="D266" s="91"/>
      <c r="E266" s="91"/>
      <c r="F266" s="91"/>
      <c r="G266" s="91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89"/>
      <c r="Y266" s="89"/>
      <c r="Z266" s="91"/>
      <c r="AA266" s="91"/>
      <c r="AB266" s="91"/>
      <c r="AC266" s="91"/>
      <c r="AD266" s="91"/>
      <c r="AE266" s="91"/>
      <c r="AF266" s="91"/>
      <c r="AG266" s="91"/>
      <c r="AH266" s="91"/>
      <c r="AI266" s="91"/>
      <c r="AL266" s="89"/>
      <c r="AM266" s="91"/>
      <c r="AN266" s="91"/>
      <c r="AP266" s="91"/>
      <c r="AQ266" s="91"/>
      <c r="AR266" s="91"/>
      <c r="AS266" s="91"/>
      <c r="AT266" s="91"/>
      <c r="BA266" s="91"/>
      <c r="BD266" s="89"/>
      <c r="BE266" s="89"/>
      <c r="BF266" s="91"/>
      <c r="BG266" s="91"/>
      <c r="BH266" s="91"/>
      <c r="BO266" s="91"/>
      <c r="BS266" s="91"/>
      <c r="BT266" s="91"/>
      <c r="BV266" s="91"/>
    </row>
    <row r="267" spans="1:74" x14ac:dyDescent="0.3">
      <c r="A267" s="89"/>
      <c r="B267" s="89"/>
      <c r="C267" s="91"/>
      <c r="D267" s="91"/>
      <c r="E267" s="91"/>
      <c r="F267" s="91"/>
      <c r="G267" s="91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89"/>
      <c r="Y267" s="89"/>
      <c r="Z267" s="91"/>
      <c r="AA267" s="91"/>
      <c r="AB267" s="91"/>
      <c r="AC267" s="91"/>
      <c r="AD267" s="91"/>
      <c r="AE267" s="91"/>
      <c r="AF267" s="91"/>
      <c r="AG267" s="91"/>
      <c r="AH267" s="91"/>
      <c r="AI267" s="91"/>
      <c r="AL267" s="89"/>
      <c r="AM267" s="91"/>
      <c r="AN267" s="91"/>
      <c r="AP267" s="91"/>
      <c r="AQ267" s="91"/>
      <c r="AR267" s="91"/>
      <c r="AS267" s="91"/>
      <c r="AT267" s="91"/>
      <c r="BA267" s="91"/>
      <c r="BD267" s="89"/>
      <c r="BE267" s="89"/>
      <c r="BF267" s="91"/>
      <c r="BG267" s="91"/>
      <c r="BH267" s="91"/>
      <c r="BO267" s="91"/>
      <c r="BS267" s="91"/>
      <c r="BT267" s="91"/>
      <c r="BV267" s="91"/>
    </row>
    <row r="268" spans="1:74" x14ac:dyDescent="0.3">
      <c r="A268" s="89"/>
      <c r="B268" s="89"/>
      <c r="C268" s="91"/>
      <c r="D268" s="91"/>
      <c r="E268" s="91"/>
      <c r="F268" s="91"/>
      <c r="G268" s="91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89"/>
      <c r="Y268" s="89"/>
      <c r="Z268" s="91"/>
      <c r="AA268" s="91"/>
      <c r="AB268" s="91"/>
      <c r="AC268" s="91"/>
      <c r="AD268" s="91"/>
      <c r="AE268" s="91"/>
      <c r="AF268" s="91"/>
      <c r="AG268" s="91"/>
      <c r="AH268" s="91"/>
      <c r="AI268" s="91"/>
      <c r="AL268" s="89"/>
      <c r="AM268" s="91"/>
      <c r="AN268" s="91"/>
      <c r="AP268" s="91"/>
      <c r="AQ268" s="91"/>
      <c r="AR268" s="91"/>
      <c r="AS268" s="91"/>
      <c r="AT268" s="91"/>
      <c r="BA268" s="91"/>
      <c r="BD268" s="89"/>
      <c r="BE268" s="89"/>
      <c r="BF268" s="91"/>
      <c r="BG268" s="91"/>
      <c r="BH268" s="91"/>
      <c r="BO268" s="91"/>
      <c r="BS268" s="91"/>
      <c r="BT268" s="91"/>
      <c r="BV268" s="91"/>
    </row>
    <row r="269" spans="1:74" x14ac:dyDescent="0.3">
      <c r="A269" s="89"/>
      <c r="B269" s="89"/>
      <c r="C269" s="91"/>
      <c r="D269" s="91"/>
      <c r="E269" s="91"/>
      <c r="F269" s="91"/>
      <c r="G269" s="91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89"/>
      <c r="Y269" s="89"/>
      <c r="Z269" s="91"/>
      <c r="AA269" s="91"/>
      <c r="AB269" s="91"/>
      <c r="AC269" s="91"/>
      <c r="AD269" s="91"/>
      <c r="AE269" s="91"/>
      <c r="AF269" s="91"/>
      <c r="AG269" s="91"/>
      <c r="AH269" s="91"/>
      <c r="AI269" s="91"/>
      <c r="AL269" s="89"/>
      <c r="AM269" s="91"/>
      <c r="AN269" s="91"/>
      <c r="AP269" s="91"/>
      <c r="AQ269" s="91"/>
      <c r="AR269" s="91"/>
      <c r="AS269" s="91"/>
      <c r="AT269" s="91"/>
      <c r="BA269" s="91"/>
      <c r="BD269" s="89"/>
      <c r="BE269" s="89"/>
      <c r="BF269" s="91"/>
      <c r="BG269" s="91"/>
      <c r="BH269" s="91"/>
      <c r="BO269" s="91"/>
      <c r="BS269" s="91"/>
      <c r="BT269" s="91"/>
      <c r="BV269" s="91"/>
    </row>
    <row r="270" spans="1:74" x14ac:dyDescent="0.3">
      <c r="A270" s="89"/>
      <c r="B270" s="89"/>
      <c r="C270" s="91"/>
      <c r="D270" s="91"/>
      <c r="E270" s="91"/>
      <c r="F270" s="91"/>
      <c r="G270" s="91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89"/>
      <c r="Y270" s="89"/>
      <c r="Z270" s="91"/>
      <c r="AA270" s="91"/>
      <c r="AB270" s="91"/>
      <c r="AC270" s="91"/>
      <c r="AD270" s="91"/>
      <c r="AE270" s="91"/>
      <c r="AF270" s="91"/>
      <c r="AG270" s="91"/>
      <c r="AH270" s="91"/>
      <c r="AI270" s="91"/>
      <c r="AL270" s="89"/>
      <c r="AM270" s="91"/>
      <c r="AN270" s="91"/>
      <c r="AP270" s="91"/>
      <c r="AQ270" s="91"/>
      <c r="AR270" s="91"/>
      <c r="AS270" s="91"/>
      <c r="AT270" s="91"/>
      <c r="BA270" s="91"/>
      <c r="BD270" s="89"/>
      <c r="BE270" s="89"/>
      <c r="BF270" s="91"/>
      <c r="BG270" s="91"/>
      <c r="BH270" s="91"/>
      <c r="BO270" s="91"/>
      <c r="BS270" s="91"/>
      <c r="BT270" s="91"/>
      <c r="BV270" s="91"/>
    </row>
    <row r="271" spans="1:74" x14ac:dyDescent="0.3">
      <c r="A271" s="89"/>
      <c r="B271" s="89"/>
      <c r="C271" s="91"/>
      <c r="D271" s="91"/>
      <c r="E271" s="91"/>
      <c r="F271" s="91"/>
      <c r="G271" s="91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89"/>
      <c r="Y271" s="89"/>
      <c r="Z271" s="91"/>
      <c r="AA271" s="91"/>
      <c r="AB271" s="91"/>
      <c r="AC271" s="91"/>
      <c r="AD271" s="91"/>
      <c r="AE271" s="91"/>
      <c r="AF271" s="91"/>
      <c r="AG271" s="91"/>
      <c r="AH271" s="91"/>
      <c r="AI271" s="91"/>
      <c r="AL271" s="89"/>
      <c r="AM271" s="91"/>
      <c r="AN271" s="91"/>
      <c r="AP271" s="91"/>
      <c r="AQ271" s="91"/>
      <c r="AR271" s="91"/>
      <c r="AS271" s="91"/>
      <c r="AT271" s="91"/>
      <c r="BA271" s="91"/>
      <c r="BD271" s="89"/>
      <c r="BE271" s="89"/>
      <c r="BF271" s="91"/>
      <c r="BG271" s="91"/>
      <c r="BH271" s="91"/>
      <c r="BO271" s="91"/>
      <c r="BS271" s="91"/>
      <c r="BT271" s="91"/>
      <c r="BV271" s="91"/>
    </row>
    <row r="272" spans="1:74" x14ac:dyDescent="0.3">
      <c r="A272" s="89"/>
      <c r="B272" s="89"/>
      <c r="C272" s="91"/>
      <c r="D272" s="91"/>
      <c r="E272" s="91"/>
      <c r="F272" s="91"/>
      <c r="G272" s="91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89"/>
      <c r="Y272" s="89"/>
      <c r="Z272" s="91"/>
      <c r="AA272" s="91"/>
      <c r="AB272" s="91"/>
      <c r="AC272" s="91"/>
      <c r="AD272" s="91"/>
      <c r="AE272" s="91"/>
      <c r="AF272" s="91"/>
      <c r="AG272" s="91"/>
      <c r="AH272" s="91"/>
      <c r="AI272" s="91"/>
      <c r="AL272" s="89"/>
      <c r="AM272" s="91"/>
      <c r="AN272" s="91"/>
      <c r="AP272" s="91"/>
      <c r="AQ272" s="91"/>
      <c r="AR272" s="91"/>
      <c r="AS272" s="91"/>
      <c r="AT272" s="91"/>
      <c r="BA272" s="91"/>
      <c r="BD272" s="89"/>
      <c r="BE272" s="89"/>
      <c r="BF272" s="91"/>
      <c r="BG272" s="91"/>
      <c r="BH272" s="91"/>
      <c r="BO272" s="91"/>
      <c r="BS272" s="91"/>
      <c r="BT272" s="91"/>
      <c r="BV272" s="91"/>
    </row>
    <row r="273" spans="1:74" x14ac:dyDescent="0.3">
      <c r="A273" s="89"/>
      <c r="B273" s="89"/>
      <c r="C273" s="91"/>
      <c r="D273" s="91"/>
      <c r="E273" s="91"/>
      <c r="F273" s="91"/>
      <c r="G273" s="91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89"/>
      <c r="Y273" s="89"/>
      <c r="Z273" s="91"/>
      <c r="AA273" s="91"/>
      <c r="AB273" s="91"/>
      <c r="AC273" s="91"/>
      <c r="AD273" s="91"/>
      <c r="AE273" s="91"/>
      <c r="AF273" s="91"/>
      <c r="AG273" s="91"/>
      <c r="AH273" s="91"/>
      <c r="AI273" s="91"/>
      <c r="AL273" s="89"/>
      <c r="AM273" s="91"/>
      <c r="AN273" s="91"/>
      <c r="AP273" s="91"/>
      <c r="AQ273" s="91"/>
      <c r="AR273" s="91"/>
      <c r="AS273" s="91"/>
      <c r="AT273" s="91"/>
      <c r="BA273" s="91"/>
      <c r="BD273" s="89"/>
      <c r="BE273" s="89"/>
      <c r="BF273" s="91"/>
      <c r="BG273" s="91"/>
      <c r="BH273" s="91"/>
      <c r="BO273" s="91"/>
      <c r="BS273" s="91"/>
      <c r="BT273" s="91"/>
      <c r="BV273" s="91"/>
    </row>
    <row r="274" spans="1:74" x14ac:dyDescent="0.3">
      <c r="A274" s="89"/>
      <c r="B274" s="89"/>
      <c r="C274" s="91"/>
      <c r="D274" s="91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89"/>
      <c r="Y274" s="89"/>
      <c r="Z274" s="91"/>
      <c r="AA274" s="91"/>
      <c r="AB274" s="91"/>
      <c r="AC274" s="91"/>
      <c r="AD274" s="91"/>
      <c r="AE274" s="91"/>
      <c r="AF274" s="91"/>
      <c r="AG274" s="91"/>
      <c r="AH274" s="91"/>
      <c r="AI274" s="91"/>
      <c r="AL274" s="89"/>
      <c r="AM274" s="91"/>
      <c r="AN274" s="91"/>
      <c r="AP274" s="91"/>
      <c r="AQ274" s="91"/>
      <c r="AR274" s="91"/>
      <c r="AS274" s="91"/>
      <c r="AT274" s="91"/>
      <c r="BA274" s="91"/>
      <c r="BD274" s="89"/>
      <c r="BE274" s="89"/>
      <c r="BF274" s="91"/>
      <c r="BG274" s="91"/>
      <c r="BH274" s="91"/>
      <c r="BO274" s="91"/>
      <c r="BS274" s="91"/>
      <c r="BT274" s="91"/>
      <c r="BV274" s="91"/>
    </row>
    <row r="275" spans="1:74" x14ac:dyDescent="0.3">
      <c r="A275" s="89"/>
      <c r="B275" s="89"/>
      <c r="C275" s="91"/>
      <c r="D275" s="91"/>
      <c r="E275" s="91"/>
      <c r="F275" s="91"/>
      <c r="G275" s="91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89"/>
      <c r="Y275" s="89"/>
      <c r="Z275" s="91"/>
      <c r="AA275" s="91"/>
      <c r="AB275" s="91"/>
      <c r="AC275" s="91"/>
      <c r="AD275" s="91"/>
      <c r="AE275" s="91"/>
      <c r="AF275" s="91"/>
      <c r="AG275" s="91"/>
      <c r="AH275" s="91"/>
      <c r="AI275" s="91"/>
      <c r="AL275" s="89"/>
      <c r="AM275" s="91"/>
      <c r="AN275" s="91"/>
      <c r="AP275" s="91"/>
      <c r="AQ275" s="91"/>
      <c r="AR275" s="91"/>
      <c r="AS275" s="91"/>
      <c r="AT275" s="91"/>
      <c r="BA275" s="91"/>
      <c r="BD275" s="89"/>
      <c r="BE275" s="89"/>
      <c r="BF275" s="91"/>
      <c r="BG275" s="91"/>
      <c r="BH275" s="91"/>
      <c r="BO275" s="91"/>
      <c r="BS275" s="91"/>
      <c r="BT275" s="91"/>
      <c r="BV275" s="91"/>
    </row>
    <row r="276" spans="1:74" x14ac:dyDescent="0.3">
      <c r="A276" s="89"/>
      <c r="B276" s="89"/>
      <c r="C276" s="91"/>
      <c r="D276" s="91"/>
      <c r="E276" s="91"/>
      <c r="F276" s="91"/>
      <c r="G276" s="91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89"/>
      <c r="Y276" s="89"/>
      <c r="Z276" s="91"/>
      <c r="AA276" s="91"/>
      <c r="AB276" s="91"/>
      <c r="AC276" s="91"/>
      <c r="AD276" s="91"/>
      <c r="AE276" s="91"/>
      <c r="AF276" s="91"/>
      <c r="AG276" s="91"/>
      <c r="AH276" s="91"/>
      <c r="AI276" s="91"/>
      <c r="AL276" s="89"/>
      <c r="AM276" s="91"/>
      <c r="AN276" s="91"/>
      <c r="AP276" s="91"/>
      <c r="AQ276" s="91"/>
      <c r="AR276" s="91"/>
      <c r="AS276" s="91"/>
      <c r="AT276" s="91"/>
      <c r="BA276" s="91"/>
      <c r="BD276" s="89"/>
      <c r="BE276" s="89"/>
      <c r="BF276" s="91"/>
      <c r="BG276" s="91"/>
      <c r="BH276" s="91"/>
      <c r="BO276" s="91"/>
      <c r="BS276" s="91"/>
      <c r="BT276" s="91"/>
      <c r="BV276" s="91"/>
    </row>
    <row r="277" spans="1:74" x14ac:dyDescent="0.3">
      <c r="A277" s="89"/>
      <c r="B277" s="89"/>
      <c r="C277" s="91"/>
      <c r="D277" s="91"/>
      <c r="E277" s="91"/>
      <c r="F277" s="91"/>
      <c r="G277" s="91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89"/>
      <c r="Y277" s="89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L277" s="89"/>
      <c r="AM277" s="91"/>
      <c r="AN277" s="91"/>
      <c r="AP277" s="91"/>
      <c r="AQ277" s="91"/>
      <c r="AR277" s="91"/>
      <c r="AS277" s="91"/>
      <c r="AT277" s="91"/>
      <c r="BA277" s="91"/>
      <c r="BD277" s="89"/>
      <c r="BE277" s="89"/>
      <c r="BF277" s="91"/>
      <c r="BG277" s="91"/>
      <c r="BH277" s="91"/>
      <c r="BO277" s="91"/>
      <c r="BS277" s="91"/>
      <c r="BT277" s="91"/>
      <c r="BV277" s="91"/>
    </row>
    <row r="278" spans="1:74" x14ac:dyDescent="0.3">
      <c r="A278" s="89"/>
      <c r="B278" s="89"/>
      <c r="C278" s="91"/>
      <c r="D278" s="91"/>
      <c r="E278" s="91"/>
      <c r="F278" s="91"/>
      <c r="G278" s="91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89"/>
      <c r="Y278" s="89"/>
      <c r="Z278" s="91"/>
      <c r="AA278" s="91"/>
      <c r="AB278" s="91"/>
      <c r="AC278" s="91"/>
      <c r="AD278" s="91"/>
      <c r="AE278" s="91"/>
      <c r="AF278" s="91"/>
      <c r="AG278" s="91"/>
      <c r="AH278" s="91"/>
      <c r="AI278" s="91"/>
      <c r="AL278" s="89"/>
      <c r="AM278" s="91"/>
      <c r="AN278" s="91"/>
      <c r="AP278" s="91"/>
      <c r="AQ278" s="91"/>
      <c r="AR278" s="91"/>
      <c r="AS278" s="91"/>
      <c r="AT278" s="91"/>
      <c r="BA278" s="91"/>
      <c r="BD278" s="89"/>
      <c r="BE278" s="89"/>
      <c r="BF278" s="91"/>
      <c r="BG278" s="91"/>
      <c r="BH278" s="91"/>
      <c r="BO278" s="91"/>
      <c r="BS278" s="91"/>
      <c r="BT278" s="91"/>
      <c r="BV278" s="91"/>
    </row>
    <row r="279" spans="1:74" x14ac:dyDescent="0.3">
      <c r="A279" s="89"/>
      <c r="B279" s="89"/>
      <c r="C279" s="91"/>
      <c r="D279" s="91"/>
      <c r="E279" s="91"/>
      <c r="F279" s="91"/>
      <c r="G279" s="91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89"/>
      <c r="Y279" s="89"/>
      <c r="Z279" s="91"/>
      <c r="AA279" s="91"/>
      <c r="AB279" s="91"/>
      <c r="AC279" s="91"/>
      <c r="AD279" s="91"/>
      <c r="AE279" s="91"/>
      <c r="AF279" s="91"/>
      <c r="AG279" s="91"/>
      <c r="AH279" s="91"/>
      <c r="AI279" s="91"/>
      <c r="AL279" s="89"/>
      <c r="AM279" s="91"/>
      <c r="AN279" s="91"/>
      <c r="AP279" s="91"/>
      <c r="AQ279" s="91"/>
      <c r="AR279" s="91"/>
      <c r="AS279" s="91"/>
      <c r="AT279" s="91"/>
      <c r="BA279" s="91"/>
      <c r="BD279" s="89"/>
      <c r="BE279" s="89"/>
      <c r="BF279" s="91"/>
      <c r="BG279" s="91"/>
      <c r="BH279" s="91"/>
      <c r="BO279" s="91"/>
      <c r="BS279" s="91"/>
      <c r="BT279" s="91"/>
      <c r="BV279" s="91"/>
    </row>
    <row r="280" spans="1:74" x14ac:dyDescent="0.3">
      <c r="A280" s="89"/>
      <c r="B280" s="89"/>
      <c r="C280" s="91"/>
      <c r="D280" s="91"/>
      <c r="E280" s="91"/>
      <c r="F280" s="91"/>
      <c r="G280" s="91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89"/>
      <c r="Y280" s="89"/>
      <c r="Z280" s="91"/>
      <c r="AA280" s="91"/>
      <c r="AB280" s="91"/>
      <c r="AC280" s="91"/>
      <c r="AD280" s="91"/>
      <c r="AE280" s="91"/>
      <c r="AF280" s="91"/>
      <c r="AG280" s="91"/>
      <c r="AH280" s="91"/>
      <c r="AI280" s="91"/>
      <c r="AL280" s="89"/>
      <c r="AM280" s="91"/>
      <c r="AN280" s="91"/>
      <c r="AP280" s="91"/>
      <c r="AQ280" s="91"/>
      <c r="AR280" s="91"/>
      <c r="AS280" s="91"/>
      <c r="AT280" s="91"/>
      <c r="BA280" s="91"/>
      <c r="BD280" s="89"/>
      <c r="BE280" s="89"/>
      <c r="BF280" s="91"/>
      <c r="BG280" s="91"/>
      <c r="BH280" s="91"/>
      <c r="BO280" s="91"/>
      <c r="BS280" s="91"/>
      <c r="BT280" s="91"/>
      <c r="BV280" s="91"/>
    </row>
    <row r="281" spans="1:74" x14ac:dyDescent="0.3">
      <c r="A281" s="89"/>
      <c r="B281" s="89"/>
      <c r="C281" s="91"/>
      <c r="D281" s="91"/>
      <c r="E281" s="91"/>
      <c r="F281" s="91"/>
      <c r="G281" s="91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89"/>
      <c r="Y281" s="89"/>
      <c r="Z281" s="91"/>
      <c r="AA281" s="91"/>
      <c r="AB281" s="91"/>
      <c r="AC281" s="91"/>
      <c r="AD281" s="91"/>
      <c r="AE281" s="91"/>
      <c r="AF281" s="91"/>
      <c r="AG281" s="91"/>
      <c r="AH281" s="91"/>
      <c r="AI281" s="91"/>
      <c r="AL281" s="89"/>
      <c r="AM281" s="91"/>
      <c r="AN281" s="91"/>
      <c r="AP281" s="91"/>
      <c r="AQ281" s="91"/>
      <c r="AR281" s="91"/>
      <c r="AS281" s="91"/>
      <c r="AT281" s="91"/>
      <c r="BA281" s="91"/>
      <c r="BD281" s="89"/>
      <c r="BE281" s="89"/>
      <c r="BF281" s="91"/>
      <c r="BG281" s="91"/>
      <c r="BH281" s="91"/>
      <c r="BO281" s="91"/>
      <c r="BS281" s="91"/>
      <c r="BT281" s="91"/>
      <c r="BV281" s="91"/>
    </row>
    <row r="282" spans="1:74" x14ac:dyDescent="0.3">
      <c r="A282" s="89"/>
      <c r="B282" s="89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89"/>
      <c r="Y282" s="89"/>
      <c r="Z282" s="91"/>
      <c r="AA282" s="91"/>
      <c r="AB282" s="91"/>
      <c r="AC282" s="91"/>
      <c r="AD282" s="91"/>
      <c r="AE282" s="91"/>
      <c r="AF282" s="91"/>
      <c r="AG282" s="91"/>
      <c r="AH282" s="91"/>
      <c r="AI282" s="91"/>
      <c r="AL282" s="89"/>
      <c r="AM282" s="91"/>
      <c r="AN282" s="91"/>
      <c r="AP282" s="91"/>
      <c r="AQ282" s="91"/>
      <c r="AR282" s="91"/>
      <c r="AS282" s="91"/>
      <c r="AT282" s="91"/>
      <c r="BA282" s="91"/>
      <c r="BD282" s="89"/>
      <c r="BE282" s="89"/>
      <c r="BF282" s="91"/>
      <c r="BG282" s="91"/>
      <c r="BH282" s="91"/>
      <c r="BO282" s="91"/>
      <c r="BS282" s="91"/>
      <c r="BT282" s="91"/>
      <c r="BV282" s="91"/>
    </row>
    <row r="283" spans="1:74" x14ac:dyDescent="0.3">
      <c r="A283" s="89"/>
      <c r="B283" s="89"/>
      <c r="C283" s="91"/>
      <c r="D283" s="91"/>
      <c r="E283" s="91"/>
      <c r="F283" s="91"/>
      <c r="G283" s="91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89"/>
      <c r="Y283" s="89"/>
      <c r="Z283" s="91"/>
      <c r="AA283" s="91"/>
      <c r="AB283" s="91"/>
      <c r="AC283" s="91"/>
      <c r="AD283" s="91"/>
      <c r="AE283" s="91"/>
      <c r="AF283" s="91"/>
      <c r="AG283" s="91"/>
      <c r="AH283" s="91"/>
      <c r="AI283" s="91"/>
      <c r="AL283" s="89"/>
      <c r="AM283" s="91"/>
      <c r="AN283" s="91"/>
      <c r="AP283" s="91"/>
      <c r="AQ283" s="91"/>
      <c r="AR283" s="91"/>
      <c r="AS283" s="91"/>
      <c r="AT283" s="91"/>
      <c r="BA283" s="91"/>
      <c r="BD283" s="89"/>
      <c r="BE283" s="89"/>
      <c r="BF283" s="91"/>
      <c r="BG283" s="91"/>
      <c r="BH283" s="91"/>
      <c r="BO283" s="91"/>
      <c r="BS283" s="91"/>
      <c r="BT283" s="91"/>
      <c r="BV283" s="91"/>
    </row>
    <row r="284" spans="1:74" x14ac:dyDescent="0.3">
      <c r="A284" s="89"/>
      <c r="B284" s="89"/>
      <c r="C284" s="91"/>
      <c r="D284" s="91"/>
      <c r="E284" s="91"/>
      <c r="F284" s="91"/>
      <c r="G284" s="91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89"/>
      <c r="Y284" s="89"/>
      <c r="Z284" s="91"/>
      <c r="AA284" s="91"/>
      <c r="AB284" s="91"/>
      <c r="AC284" s="91"/>
      <c r="AD284" s="91"/>
      <c r="AE284" s="91"/>
      <c r="AF284" s="91"/>
      <c r="AG284" s="91"/>
      <c r="AH284" s="91"/>
      <c r="AI284" s="91"/>
      <c r="AL284" s="89"/>
      <c r="AM284" s="91"/>
      <c r="AN284" s="91"/>
      <c r="AP284" s="91"/>
      <c r="AQ284" s="91"/>
      <c r="AR284" s="91"/>
      <c r="AS284" s="91"/>
      <c r="AT284" s="91"/>
      <c r="BA284" s="91"/>
      <c r="BD284" s="89"/>
      <c r="BE284" s="89"/>
      <c r="BF284" s="91"/>
      <c r="BG284" s="91"/>
      <c r="BH284" s="91"/>
      <c r="BO284" s="91"/>
      <c r="BS284" s="91"/>
      <c r="BT284" s="91"/>
      <c r="BV284" s="91"/>
    </row>
    <row r="285" spans="1:74" x14ac:dyDescent="0.3">
      <c r="A285" s="89"/>
      <c r="B285" s="89"/>
      <c r="C285" s="91"/>
      <c r="D285" s="91"/>
      <c r="E285" s="91"/>
      <c r="F285" s="91"/>
      <c r="G285" s="91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89"/>
      <c r="Y285" s="89"/>
      <c r="Z285" s="91"/>
      <c r="AA285" s="91"/>
      <c r="AB285" s="91"/>
      <c r="AC285" s="91"/>
      <c r="AD285" s="91"/>
      <c r="AE285" s="91"/>
      <c r="AF285" s="91"/>
      <c r="AG285" s="91"/>
      <c r="AH285" s="91"/>
      <c r="AI285" s="91"/>
      <c r="AL285" s="89"/>
      <c r="AM285" s="91"/>
      <c r="AN285" s="91"/>
      <c r="AP285" s="91"/>
      <c r="AQ285" s="91"/>
      <c r="AR285" s="91"/>
      <c r="AS285" s="91"/>
      <c r="AT285" s="91"/>
      <c r="BA285" s="91"/>
      <c r="BD285" s="89"/>
      <c r="BE285" s="89"/>
      <c r="BF285" s="91"/>
      <c r="BG285" s="91"/>
      <c r="BH285" s="91"/>
      <c r="BO285" s="91"/>
      <c r="BS285" s="91"/>
      <c r="BT285" s="91"/>
      <c r="BV285" s="91"/>
    </row>
    <row r="286" spans="1:74" x14ac:dyDescent="0.3">
      <c r="A286" s="89"/>
      <c r="B286" s="89"/>
      <c r="C286" s="91"/>
      <c r="D286" s="91"/>
      <c r="E286" s="91"/>
      <c r="F286" s="91"/>
      <c r="G286" s="91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89"/>
      <c r="Y286" s="89"/>
      <c r="Z286" s="91"/>
      <c r="AA286" s="91"/>
      <c r="AB286" s="91"/>
      <c r="AC286" s="91"/>
      <c r="AD286" s="91"/>
      <c r="AE286" s="91"/>
      <c r="AF286" s="91"/>
      <c r="AG286" s="91"/>
      <c r="AH286" s="91"/>
      <c r="AI286" s="91"/>
      <c r="AL286" s="89"/>
      <c r="AM286" s="91"/>
      <c r="AN286" s="91"/>
      <c r="AP286" s="91"/>
      <c r="AQ286" s="91"/>
      <c r="AR286" s="91"/>
      <c r="AS286" s="91"/>
      <c r="AT286" s="91"/>
      <c r="BA286" s="91"/>
      <c r="BD286" s="89"/>
      <c r="BE286" s="89"/>
      <c r="BF286" s="91"/>
      <c r="BG286" s="91"/>
      <c r="BH286" s="91"/>
      <c r="BO286" s="91"/>
      <c r="BS286" s="91"/>
      <c r="BT286" s="91"/>
      <c r="BV286" s="91"/>
    </row>
    <row r="287" spans="1:74" x14ac:dyDescent="0.3">
      <c r="A287" s="89"/>
      <c r="B287" s="89"/>
      <c r="C287" s="91"/>
      <c r="D287" s="91"/>
      <c r="E287" s="91"/>
      <c r="F287" s="91"/>
      <c r="G287" s="91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89"/>
      <c r="Y287" s="89"/>
      <c r="Z287" s="91"/>
      <c r="AA287" s="91"/>
      <c r="AB287" s="91"/>
      <c r="AC287" s="91"/>
      <c r="AD287" s="91"/>
      <c r="AE287" s="91"/>
      <c r="AF287" s="91"/>
      <c r="AG287" s="91"/>
      <c r="AH287" s="91"/>
      <c r="AI287" s="91"/>
      <c r="AL287" s="89"/>
      <c r="AM287" s="91"/>
      <c r="AN287" s="91"/>
      <c r="AP287" s="91"/>
      <c r="AQ287" s="91"/>
      <c r="AR287" s="91"/>
      <c r="AS287" s="91"/>
      <c r="AT287" s="91"/>
      <c r="BA287" s="91"/>
      <c r="BD287" s="89"/>
      <c r="BE287" s="89"/>
      <c r="BF287" s="91"/>
      <c r="BG287" s="91"/>
      <c r="BH287" s="91"/>
      <c r="BO287" s="91"/>
      <c r="BS287" s="91"/>
      <c r="BT287" s="91"/>
      <c r="BV287" s="91"/>
    </row>
    <row r="288" spans="1:74" x14ac:dyDescent="0.3">
      <c r="A288" s="89"/>
      <c r="B288" s="89"/>
      <c r="C288" s="91"/>
      <c r="D288" s="91"/>
      <c r="E288" s="91"/>
      <c r="F288" s="91"/>
      <c r="G288" s="91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89"/>
      <c r="Y288" s="89"/>
      <c r="Z288" s="91"/>
      <c r="AA288" s="91"/>
      <c r="AB288" s="91"/>
      <c r="AC288" s="91"/>
      <c r="AD288" s="91"/>
      <c r="AE288" s="91"/>
      <c r="AF288" s="91"/>
      <c r="AG288" s="91"/>
      <c r="AH288" s="91"/>
      <c r="AI288" s="91"/>
      <c r="AL288" s="89"/>
      <c r="AM288" s="91"/>
      <c r="AN288" s="91"/>
      <c r="AP288" s="91"/>
      <c r="AQ288" s="91"/>
      <c r="AR288" s="91"/>
      <c r="AS288" s="91"/>
      <c r="AT288" s="91"/>
      <c r="BA288" s="91"/>
      <c r="BD288" s="89"/>
      <c r="BE288" s="89"/>
      <c r="BF288" s="91"/>
      <c r="BG288" s="91"/>
      <c r="BH288" s="91"/>
      <c r="BO288" s="91"/>
      <c r="BS288" s="91"/>
      <c r="BT288" s="91"/>
      <c r="BV288" s="91"/>
    </row>
    <row r="289" spans="1:74" x14ac:dyDescent="0.3">
      <c r="A289" s="89"/>
      <c r="B289" s="89"/>
      <c r="C289" s="91"/>
      <c r="D289" s="91"/>
      <c r="E289" s="91"/>
      <c r="F289" s="91"/>
      <c r="G289" s="91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89"/>
      <c r="Y289" s="89"/>
      <c r="Z289" s="91"/>
      <c r="AA289" s="91"/>
      <c r="AB289" s="91"/>
      <c r="AC289" s="91"/>
      <c r="AD289" s="91"/>
      <c r="AE289" s="91"/>
      <c r="AF289" s="91"/>
      <c r="AG289" s="91"/>
      <c r="AH289" s="91"/>
      <c r="AI289" s="91"/>
      <c r="AL289" s="89"/>
      <c r="AM289" s="91"/>
      <c r="AN289" s="91"/>
      <c r="AP289" s="91"/>
      <c r="AQ289" s="91"/>
      <c r="AR289" s="91"/>
      <c r="AS289" s="91"/>
      <c r="AT289" s="91"/>
      <c r="BA289" s="91"/>
      <c r="BD289" s="89"/>
      <c r="BE289" s="89"/>
      <c r="BF289" s="91"/>
      <c r="BG289" s="91"/>
      <c r="BH289" s="91"/>
      <c r="BO289" s="91"/>
      <c r="BS289" s="91"/>
      <c r="BT289" s="91"/>
      <c r="BV289" s="91"/>
    </row>
    <row r="290" spans="1:74" x14ac:dyDescent="0.3">
      <c r="A290" s="89"/>
      <c r="B290" s="89"/>
      <c r="C290" s="91"/>
      <c r="D290" s="91"/>
      <c r="E290" s="91"/>
      <c r="F290" s="91"/>
      <c r="G290" s="91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89"/>
      <c r="Y290" s="89"/>
      <c r="Z290" s="91"/>
      <c r="AA290" s="91"/>
      <c r="AB290" s="91"/>
      <c r="AC290" s="91"/>
      <c r="AD290" s="91"/>
      <c r="AE290" s="91"/>
      <c r="AF290" s="91"/>
      <c r="AG290" s="91"/>
      <c r="AH290" s="91"/>
      <c r="AI290" s="91"/>
      <c r="AL290" s="89"/>
      <c r="AM290" s="91"/>
      <c r="AN290" s="91"/>
      <c r="AP290" s="91"/>
      <c r="AQ290" s="91"/>
      <c r="AR290" s="91"/>
      <c r="AS290" s="91"/>
      <c r="AT290" s="91"/>
      <c r="BA290" s="91"/>
      <c r="BD290" s="89"/>
      <c r="BE290" s="89"/>
      <c r="BF290" s="91"/>
      <c r="BG290" s="91"/>
      <c r="BH290" s="91"/>
      <c r="BO290" s="91"/>
      <c r="BS290" s="91"/>
      <c r="BT290" s="91"/>
      <c r="BV290" s="91"/>
    </row>
    <row r="291" spans="1:74" x14ac:dyDescent="0.3">
      <c r="A291" s="89"/>
      <c r="B291" s="89"/>
      <c r="C291" s="91"/>
      <c r="D291" s="91"/>
      <c r="E291" s="91"/>
      <c r="F291" s="91"/>
      <c r="G291" s="91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89"/>
      <c r="Y291" s="89"/>
      <c r="Z291" s="91"/>
      <c r="AA291" s="91"/>
      <c r="AB291" s="91"/>
      <c r="AC291" s="91"/>
      <c r="AD291" s="91"/>
      <c r="AE291" s="91"/>
      <c r="AF291" s="91"/>
      <c r="AG291" s="91"/>
      <c r="AH291" s="91"/>
      <c r="AI291" s="91"/>
      <c r="AL291" s="89"/>
      <c r="AM291" s="91"/>
      <c r="AN291" s="91"/>
      <c r="AP291" s="91"/>
      <c r="AQ291" s="91"/>
      <c r="AR291" s="91"/>
      <c r="AS291" s="91"/>
      <c r="AT291" s="91"/>
      <c r="BA291" s="91"/>
      <c r="BD291" s="89"/>
      <c r="BE291" s="89"/>
      <c r="BF291" s="91"/>
      <c r="BG291" s="91"/>
      <c r="BH291" s="91"/>
      <c r="BO291" s="91"/>
      <c r="BS291" s="91"/>
      <c r="BT291" s="91"/>
      <c r="BV291" s="91"/>
    </row>
    <row r="292" spans="1:74" x14ac:dyDescent="0.3">
      <c r="A292" s="89"/>
      <c r="B292" s="89"/>
      <c r="C292" s="91"/>
      <c r="D292" s="91"/>
      <c r="E292" s="91"/>
      <c r="F292" s="91"/>
      <c r="G292" s="91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89"/>
      <c r="Y292" s="89"/>
      <c r="Z292" s="91"/>
      <c r="AA292" s="91"/>
      <c r="AB292" s="91"/>
      <c r="AC292" s="91"/>
      <c r="AD292" s="91"/>
      <c r="AE292" s="91"/>
      <c r="AF292" s="91"/>
      <c r="AG292" s="91"/>
      <c r="AH292" s="91"/>
      <c r="AI292" s="91"/>
      <c r="AL292" s="89"/>
      <c r="AM292" s="91"/>
      <c r="AN292" s="91"/>
      <c r="AP292" s="91"/>
      <c r="AQ292" s="91"/>
      <c r="AR292" s="91"/>
      <c r="AS292" s="91"/>
      <c r="AT292" s="91"/>
      <c r="BA292" s="91"/>
      <c r="BD292" s="89"/>
      <c r="BE292" s="89"/>
      <c r="BF292" s="91"/>
      <c r="BG292" s="91"/>
      <c r="BH292" s="91"/>
      <c r="BO292" s="91"/>
      <c r="BS292" s="91"/>
      <c r="BT292" s="91"/>
      <c r="BV292" s="91"/>
    </row>
    <row r="293" spans="1:74" x14ac:dyDescent="0.3">
      <c r="A293" s="89"/>
      <c r="B293" s="89"/>
      <c r="C293" s="91"/>
      <c r="D293" s="91"/>
      <c r="E293" s="91"/>
      <c r="F293" s="91"/>
      <c r="G293" s="91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89"/>
      <c r="Y293" s="89"/>
      <c r="Z293" s="91"/>
      <c r="AA293" s="91"/>
      <c r="AB293" s="91"/>
      <c r="AC293" s="91"/>
      <c r="AD293" s="91"/>
      <c r="AE293" s="91"/>
      <c r="AF293" s="91"/>
      <c r="AG293" s="91"/>
      <c r="AH293" s="91"/>
      <c r="AI293" s="91"/>
      <c r="AL293" s="89"/>
      <c r="AM293" s="91"/>
      <c r="AN293" s="91"/>
      <c r="AP293" s="91"/>
      <c r="AQ293" s="91"/>
      <c r="AR293" s="91"/>
      <c r="AS293" s="91"/>
      <c r="AT293" s="91"/>
      <c r="BA293" s="91"/>
      <c r="BD293" s="89"/>
      <c r="BE293" s="89"/>
      <c r="BF293" s="91"/>
      <c r="BG293" s="91"/>
      <c r="BH293" s="91"/>
      <c r="BO293" s="91"/>
      <c r="BS293" s="91"/>
      <c r="BT293" s="91"/>
      <c r="BV293" s="91"/>
    </row>
    <row r="294" spans="1:74" x14ac:dyDescent="0.3">
      <c r="A294" s="89"/>
      <c r="B294" s="89"/>
      <c r="C294" s="91"/>
      <c r="D294" s="91"/>
      <c r="E294" s="91"/>
      <c r="F294" s="91"/>
      <c r="G294" s="91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89"/>
      <c r="Y294" s="89"/>
      <c r="Z294" s="91"/>
      <c r="AA294" s="91"/>
      <c r="AB294" s="91"/>
      <c r="AC294" s="91"/>
      <c r="AD294" s="91"/>
      <c r="AE294" s="91"/>
      <c r="AF294" s="91"/>
      <c r="AG294" s="91"/>
      <c r="AH294" s="91"/>
      <c r="AI294" s="91"/>
      <c r="AL294" s="89"/>
      <c r="AM294" s="91"/>
      <c r="AN294" s="91"/>
      <c r="AP294" s="91"/>
      <c r="AQ294" s="91"/>
      <c r="AR294" s="91"/>
      <c r="AS294" s="91"/>
      <c r="AT294" s="91"/>
      <c r="BA294" s="91"/>
      <c r="BD294" s="89"/>
      <c r="BE294" s="89"/>
      <c r="BF294" s="91"/>
      <c r="BG294" s="91"/>
      <c r="BH294" s="91"/>
      <c r="BO294" s="91"/>
      <c r="BS294" s="91"/>
      <c r="BT294" s="91"/>
      <c r="BV294" s="91"/>
    </row>
    <row r="295" spans="1:74" x14ac:dyDescent="0.3">
      <c r="A295" s="89"/>
      <c r="B295" s="89"/>
      <c r="C295" s="91"/>
      <c r="D295" s="91"/>
      <c r="E295" s="91"/>
      <c r="F295" s="91"/>
      <c r="G295" s="91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89"/>
      <c r="Y295" s="89"/>
      <c r="Z295" s="91"/>
      <c r="AA295" s="91"/>
      <c r="AB295" s="91"/>
      <c r="AC295" s="91"/>
      <c r="AD295" s="91"/>
      <c r="AE295" s="91"/>
      <c r="AF295" s="91"/>
      <c r="AG295" s="91"/>
      <c r="AH295" s="91"/>
      <c r="AI295" s="91"/>
      <c r="AL295" s="89"/>
      <c r="AM295" s="91"/>
      <c r="AN295" s="91"/>
      <c r="AP295" s="91"/>
      <c r="AQ295" s="91"/>
      <c r="AR295" s="91"/>
      <c r="AS295" s="91"/>
      <c r="AT295" s="91"/>
      <c r="BA295" s="91"/>
      <c r="BD295" s="89"/>
      <c r="BE295" s="89"/>
      <c r="BF295" s="91"/>
      <c r="BG295" s="91"/>
      <c r="BH295" s="91"/>
      <c r="BO295" s="91"/>
      <c r="BS295" s="91"/>
      <c r="BT295" s="91"/>
      <c r="BV295" s="91"/>
    </row>
    <row r="296" spans="1:74" x14ac:dyDescent="0.3">
      <c r="A296" s="89"/>
      <c r="B296" s="89"/>
      <c r="C296" s="91"/>
      <c r="D296" s="91"/>
      <c r="E296" s="91"/>
      <c r="F296" s="91"/>
      <c r="G296" s="91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89"/>
      <c r="Y296" s="89"/>
      <c r="Z296" s="91"/>
      <c r="AA296" s="91"/>
      <c r="AB296" s="91"/>
      <c r="AC296" s="91"/>
      <c r="AD296" s="91"/>
      <c r="AE296" s="91"/>
      <c r="AF296" s="91"/>
      <c r="AG296" s="91"/>
      <c r="AH296" s="91"/>
      <c r="AI296" s="91"/>
      <c r="AL296" s="89"/>
      <c r="AM296" s="91"/>
      <c r="AN296" s="91"/>
      <c r="AP296" s="91"/>
      <c r="AQ296" s="91"/>
      <c r="AR296" s="91"/>
      <c r="AS296" s="91"/>
      <c r="AT296" s="91"/>
      <c r="BA296" s="91"/>
      <c r="BD296" s="89"/>
      <c r="BE296" s="89"/>
      <c r="BF296" s="91"/>
      <c r="BG296" s="91"/>
      <c r="BH296" s="91"/>
      <c r="BO296" s="91"/>
      <c r="BS296" s="91"/>
      <c r="BT296" s="91"/>
      <c r="BV296" s="91"/>
    </row>
    <row r="297" spans="1:74" x14ac:dyDescent="0.3">
      <c r="A297" s="89"/>
      <c r="B297" s="89"/>
      <c r="C297" s="91"/>
      <c r="D297" s="91"/>
      <c r="E297" s="91"/>
      <c r="F297" s="91"/>
      <c r="G297" s="91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89"/>
      <c r="Y297" s="89"/>
      <c r="Z297" s="91"/>
      <c r="AA297" s="91"/>
      <c r="AB297" s="91"/>
      <c r="AC297" s="91"/>
      <c r="AD297" s="91"/>
      <c r="AE297" s="91"/>
      <c r="AF297" s="91"/>
      <c r="AG297" s="91"/>
      <c r="AH297" s="91"/>
      <c r="AI297" s="91"/>
      <c r="AL297" s="89"/>
      <c r="AM297" s="91"/>
      <c r="AN297" s="91"/>
      <c r="AP297" s="91"/>
      <c r="AQ297" s="91"/>
      <c r="AR297" s="91"/>
      <c r="AS297" s="91"/>
      <c r="AT297" s="91"/>
      <c r="BA297" s="91"/>
      <c r="BD297" s="89"/>
      <c r="BE297" s="89"/>
      <c r="BF297" s="91"/>
      <c r="BG297" s="91"/>
      <c r="BH297" s="91"/>
      <c r="BO297" s="91"/>
      <c r="BS297" s="91"/>
      <c r="BT297" s="91"/>
      <c r="BV297" s="91"/>
    </row>
    <row r="298" spans="1:74" x14ac:dyDescent="0.3">
      <c r="A298" s="89"/>
      <c r="B298" s="89"/>
      <c r="C298" s="91"/>
      <c r="D298" s="91"/>
      <c r="E298" s="91"/>
      <c r="F298" s="91"/>
      <c r="G298" s="91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89"/>
      <c r="Y298" s="89"/>
      <c r="Z298" s="91"/>
      <c r="AA298" s="91"/>
      <c r="AB298" s="91"/>
      <c r="AC298" s="91"/>
      <c r="AD298" s="91"/>
      <c r="AE298" s="91"/>
      <c r="AF298" s="91"/>
      <c r="AG298" s="91"/>
      <c r="AH298" s="91"/>
      <c r="AI298" s="91"/>
      <c r="AL298" s="89"/>
      <c r="AM298" s="91"/>
      <c r="AN298" s="91"/>
      <c r="AP298" s="91"/>
      <c r="AQ298" s="91"/>
      <c r="AR298" s="91"/>
      <c r="AS298" s="91"/>
      <c r="AT298" s="91"/>
      <c r="BA298" s="91"/>
      <c r="BD298" s="89"/>
      <c r="BE298" s="89"/>
      <c r="BF298" s="91"/>
      <c r="BG298" s="91"/>
      <c r="BH298" s="91"/>
      <c r="BO298" s="91"/>
      <c r="BS298" s="91"/>
      <c r="BT298" s="91"/>
      <c r="BV298" s="91"/>
    </row>
    <row r="299" spans="1:74" x14ac:dyDescent="0.3">
      <c r="A299" s="89"/>
      <c r="B299" s="89"/>
      <c r="C299" s="91"/>
      <c r="D299" s="91"/>
      <c r="E299" s="91"/>
      <c r="F299" s="91"/>
      <c r="G299" s="91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89"/>
      <c r="Y299" s="89"/>
      <c r="Z299" s="91"/>
      <c r="AA299" s="91"/>
      <c r="AB299" s="91"/>
      <c r="AC299" s="91"/>
      <c r="AD299" s="91"/>
      <c r="AE299" s="91"/>
      <c r="AF299" s="91"/>
      <c r="AG299" s="91"/>
      <c r="AH299" s="91"/>
      <c r="AI299" s="91"/>
      <c r="AL299" s="89"/>
      <c r="AM299" s="91"/>
      <c r="AN299" s="91"/>
      <c r="AP299" s="91"/>
      <c r="AQ299" s="91"/>
      <c r="AR299" s="91"/>
      <c r="AS299" s="91"/>
      <c r="AT299" s="91"/>
      <c r="BA299" s="91"/>
      <c r="BD299" s="89"/>
      <c r="BE299" s="89"/>
      <c r="BF299" s="91"/>
      <c r="BG299" s="91"/>
      <c r="BH299" s="91"/>
      <c r="BO299" s="91"/>
      <c r="BS299" s="91"/>
      <c r="BT299" s="91"/>
      <c r="BV299" s="91"/>
    </row>
    <row r="300" spans="1:74" x14ac:dyDescent="0.3">
      <c r="A300" s="89"/>
      <c r="B300" s="89"/>
      <c r="C300" s="91"/>
      <c r="D300" s="91"/>
      <c r="E300" s="91"/>
      <c r="F300" s="91"/>
      <c r="G300" s="91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89"/>
      <c r="Y300" s="89"/>
      <c r="Z300" s="91"/>
      <c r="AA300" s="91"/>
      <c r="AB300" s="91"/>
      <c r="AC300" s="91"/>
      <c r="AD300" s="91"/>
      <c r="AE300" s="91"/>
      <c r="AF300" s="91"/>
      <c r="AG300" s="91"/>
      <c r="AH300" s="91"/>
      <c r="AI300" s="91"/>
      <c r="AL300" s="89"/>
      <c r="AM300" s="91"/>
      <c r="AN300" s="91"/>
      <c r="AP300" s="91"/>
      <c r="AQ300" s="91"/>
      <c r="AR300" s="91"/>
      <c r="AS300" s="91"/>
      <c r="AT300" s="91"/>
      <c r="BA300" s="91"/>
      <c r="BD300" s="89"/>
      <c r="BE300" s="89"/>
      <c r="BF300" s="91"/>
      <c r="BG300" s="91"/>
      <c r="BH300" s="91"/>
      <c r="BO300" s="91"/>
      <c r="BS300" s="91"/>
      <c r="BT300" s="91"/>
      <c r="BV300" s="91"/>
    </row>
    <row r="301" spans="1:74" x14ac:dyDescent="0.3">
      <c r="A301" s="89"/>
      <c r="B301" s="89"/>
      <c r="C301" s="91"/>
      <c r="D301" s="91"/>
      <c r="E301" s="91"/>
      <c r="F301" s="91"/>
      <c r="G301" s="91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89"/>
      <c r="Y301" s="89"/>
      <c r="Z301" s="91"/>
      <c r="AA301" s="91"/>
      <c r="AB301" s="91"/>
      <c r="AC301" s="91"/>
      <c r="AD301" s="91"/>
      <c r="AE301" s="91"/>
      <c r="AF301" s="91"/>
      <c r="AG301" s="91"/>
      <c r="AH301" s="91"/>
      <c r="AI301" s="91"/>
      <c r="AL301" s="89"/>
      <c r="AM301" s="91"/>
      <c r="AN301" s="91"/>
      <c r="AP301" s="91"/>
      <c r="AQ301" s="91"/>
      <c r="AR301" s="91"/>
      <c r="AS301" s="91"/>
      <c r="AT301" s="91"/>
      <c r="BA301" s="91"/>
      <c r="BD301" s="89"/>
      <c r="BE301" s="89"/>
      <c r="BF301" s="91"/>
      <c r="BG301" s="91"/>
      <c r="BH301" s="91"/>
      <c r="BO301" s="91"/>
      <c r="BS301" s="91"/>
      <c r="BT301" s="91"/>
      <c r="BV301" s="91"/>
    </row>
    <row r="302" spans="1:74" x14ac:dyDescent="0.3">
      <c r="A302" s="89"/>
      <c r="B302" s="89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89"/>
      <c r="Y302" s="89"/>
      <c r="Z302" s="91"/>
      <c r="AA302" s="91"/>
      <c r="AB302" s="91"/>
      <c r="AC302" s="91"/>
      <c r="AD302" s="91"/>
      <c r="AE302" s="91"/>
      <c r="AF302" s="91"/>
      <c r="AG302" s="91"/>
      <c r="AH302" s="91"/>
      <c r="AI302" s="91"/>
      <c r="AL302" s="89"/>
      <c r="AM302" s="91"/>
      <c r="AN302" s="91"/>
      <c r="AP302" s="91"/>
      <c r="AQ302" s="91"/>
      <c r="AR302" s="91"/>
      <c r="AS302" s="91"/>
      <c r="AT302" s="91"/>
      <c r="BA302" s="91"/>
      <c r="BD302" s="89"/>
      <c r="BE302" s="89"/>
      <c r="BF302" s="91"/>
      <c r="BG302" s="91"/>
      <c r="BH302" s="91"/>
      <c r="BO302" s="91"/>
      <c r="BS302" s="91"/>
      <c r="BT302" s="91"/>
      <c r="BV302" s="91"/>
    </row>
    <row r="303" spans="1:74" x14ac:dyDescent="0.3">
      <c r="A303" s="89"/>
      <c r="B303" s="89"/>
      <c r="C303" s="91"/>
      <c r="D303" s="91"/>
      <c r="E303" s="91"/>
      <c r="F303" s="91"/>
      <c r="G303" s="91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89"/>
      <c r="Y303" s="89"/>
      <c r="Z303" s="91"/>
      <c r="AA303" s="91"/>
      <c r="AB303" s="91"/>
      <c r="AC303" s="91"/>
      <c r="AD303" s="91"/>
      <c r="AE303" s="91"/>
      <c r="AF303" s="91"/>
      <c r="AG303" s="91"/>
      <c r="AH303" s="91"/>
      <c r="AI303" s="91"/>
      <c r="AL303" s="89"/>
      <c r="AM303" s="91"/>
      <c r="AN303" s="91"/>
      <c r="AP303" s="91"/>
      <c r="AQ303" s="91"/>
      <c r="AR303" s="91"/>
      <c r="AS303" s="91"/>
      <c r="AT303" s="91"/>
      <c r="BA303" s="91"/>
      <c r="BD303" s="89"/>
      <c r="BE303" s="89"/>
      <c r="BF303" s="91"/>
      <c r="BG303" s="91"/>
      <c r="BH303" s="91"/>
      <c r="BO303" s="91"/>
      <c r="BS303" s="91"/>
      <c r="BT303" s="91"/>
      <c r="BV303" s="91"/>
    </row>
    <row r="304" spans="1:74" x14ac:dyDescent="0.3">
      <c r="A304" s="89"/>
      <c r="B304" s="89"/>
      <c r="C304" s="91"/>
      <c r="D304" s="91"/>
      <c r="E304" s="91"/>
      <c r="F304" s="91"/>
      <c r="G304" s="91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89"/>
      <c r="Y304" s="89"/>
      <c r="Z304" s="91"/>
      <c r="AA304" s="91"/>
      <c r="AB304" s="91"/>
      <c r="AC304" s="91"/>
      <c r="AD304" s="91"/>
      <c r="AE304" s="91"/>
      <c r="AF304" s="91"/>
      <c r="AG304" s="91"/>
      <c r="AH304" s="91"/>
      <c r="AI304" s="91"/>
      <c r="AL304" s="89"/>
      <c r="AM304" s="91"/>
      <c r="AN304" s="91"/>
      <c r="AP304" s="91"/>
      <c r="AQ304" s="91"/>
      <c r="AR304" s="91"/>
      <c r="AS304" s="91"/>
      <c r="AT304" s="91"/>
      <c r="BA304" s="91"/>
      <c r="BD304" s="89"/>
      <c r="BE304" s="89"/>
      <c r="BF304" s="91"/>
      <c r="BG304" s="91"/>
      <c r="BH304" s="91"/>
      <c r="BO304" s="91"/>
      <c r="BS304" s="91"/>
      <c r="BT304" s="91"/>
      <c r="BV304" s="91"/>
    </row>
    <row r="305" spans="1:74" x14ac:dyDescent="0.3">
      <c r="A305" s="89"/>
      <c r="B305" s="89"/>
      <c r="C305" s="91"/>
      <c r="D305" s="91"/>
      <c r="E305" s="91"/>
      <c r="F305" s="91"/>
      <c r="G305" s="91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89"/>
      <c r="Y305" s="89"/>
      <c r="Z305" s="91"/>
      <c r="AA305" s="91"/>
      <c r="AB305" s="91"/>
      <c r="AC305" s="91"/>
      <c r="AD305" s="91"/>
      <c r="AE305" s="91"/>
      <c r="AF305" s="91"/>
      <c r="AG305" s="91"/>
      <c r="AH305" s="91"/>
      <c r="AI305" s="91"/>
      <c r="AL305" s="89"/>
      <c r="AM305" s="91"/>
      <c r="AN305" s="91"/>
      <c r="AP305" s="91"/>
      <c r="AQ305" s="91"/>
      <c r="AR305" s="91"/>
      <c r="AS305" s="91"/>
      <c r="AT305" s="91"/>
      <c r="BA305" s="91"/>
      <c r="BD305" s="89"/>
      <c r="BE305" s="89"/>
      <c r="BF305" s="91"/>
      <c r="BG305" s="91"/>
      <c r="BH305" s="91"/>
      <c r="BO305" s="91"/>
      <c r="BS305" s="91"/>
      <c r="BT305" s="91"/>
      <c r="BV305" s="91"/>
    </row>
    <row r="306" spans="1:74" x14ac:dyDescent="0.3">
      <c r="A306" s="89"/>
      <c r="B306" s="89"/>
      <c r="C306" s="91"/>
      <c r="D306" s="91"/>
      <c r="E306" s="91"/>
      <c r="F306" s="91"/>
      <c r="G306" s="91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89"/>
      <c r="Y306" s="89"/>
      <c r="Z306" s="91"/>
      <c r="AA306" s="91"/>
      <c r="AB306" s="91"/>
      <c r="AC306" s="91"/>
      <c r="AD306" s="91"/>
      <c r="AE306" s="91"/>
      <c r="AF306" s="91"/>
      <c r="AG306" s="91"/>
      <c r="AH306" s="91"/>
      <c r="AI306" s="91"/>
      <c r="AL306" s="89"/>
      <c r="AM306" s="91"/>
      <c r="AN306" s="91"/>
      <c r="AP306" s="91"/>
      <c r="AQ306" s="91"/>
      <c r="AR306" s="91"/>
      <c r="AS306" s="91"/>
      <c r="AT306" s="91"/>
      <c r="BA306" s="91"/>
      <c r="BD306" s="89"/>
      <c r="BE306" s="89"/>
      <c r="BF306" s="91"/>
      <c r="BG306" s="91"/>
      <c r="BH306" s="91"/>
      <c r="BO306" s="91"/>
      <c r="BS306" s="91"/>
      <c r="BT306" s="91"/>
      <c r="BV306" s="91"/>
    </row>
    <row r="307" spans="1:74" x14ac:dyDescent="0.3">
      <c r="A307" s="89"/>
      <c r="B307" s="89"/>
      <c r="C307" s="91"/>
      <c r="D307" s="91"/>
      <c r="E307" s="91"/>
      <c r="F307" s="91"/>
      <c r="G307" s="91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89"/>
      <c r="Y307" s="89"/>
      <c r="Z307" s="91"/>
      <c r="AA307" s="91"/>
      <c r="AB307" s="91"/>
      <c r="AC307" s="91"/>
      <c r="AD307" s="91"/>
      <c r="AE307" s="91"/>
      <c r="AF307" s="91"/>
      <c r="AG307" s="91"/>
      <c r="AH307" s="91"/>
      <c r="AI307" s="91"/>
      <c r="AL307" s="89"/>
      <c r="AM307" s="91"/>
      <c r="AN307" s="91"/>
      <c r="AP307" s="91"/>
      <c r="AQ307" s="91"/>
      <c r="AR307" s="91"/>
      <c r="AS307" s="91"/>
      <c r="AT307" s="91"/>
      <c r="BA307" s="91"/>
      <c r="BD307" s="89"/>
      <c r="BE307" s="89"/>
      <c r="BF307" s="91"/>
      <c r="BG307" s="91"/>
      <c r="BH307" s="91"/>
      <c r="BO307" s="91"/>
      <c r="BS307" s="91"/>
      <c r="BT307" s="91"/>
      <c r="BV307" s="91"/>
    </row>
    <row r="308" spans="1:74" x14ac:dyDescent="0.3">
      <c r="A308" s="89"/>
      <c r="B308" s="89"/>
      <c r="C308" s="91"/>
      <c r="D308" s="91"/>
      <c r="E308" s="91"/>
      <c r="F308" s="91"/>
      <c r="G308" s="91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89"/>
      <c r="Y308" s="89"/>
      <c r="Z308" s="91"/>
      <c r="AA308" s="91"/>
      <c r="AB308" s="91"/>
      <c r="AC308" s="91"/>
      <c r="AD308" s="91"/>
      <c r="AE308" s="91"/>
      <c r="AF308" s="91"/>
      <c r="AG308" s="91"/>
      <c r="AH308" s="91"/>
      <c r="AI308" s="91"/>
      <c r="AL308" s="89"/>
      <c r="AM308" s="91"/>
      <c r="AN308" s="91"/>
      <c r="AP308" s="91"/>
      <c r="AQ308" s="91"/>
      <c r="AR308" s="91"/>
      <c r="AS308" s="91"/>
      <c r="AT308" s="91"/>
      <c r="BA308" s="91"/>
      <c r="BD308" s="89"/>
      <c r="BE308" s="89"/>
      <c r="BF308" s="91"/>
      <c r="BG308" s="91"/>
      <c r="BH308" s="91"/>
      <c r="BO308" s="91"/>
      <c r="BS308" s="91"/>
      <c r="BT308" s="91"/>
      <c r="BV308" s="91"/>
    </row>
    <row r="309" spans="1:74" x14ac:dyDescent="0.3">
      <c r="A309" s="89"/>
      <c r="B309" s="89"/>
      <c r="C309" s="91"/>
      <c r="D309" s="91"/>
      <c r="E309" s="91"/>
      <c r="F309" s="91"/>
      <c r="G309" s="91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89"/>
      <c r="Y309" s="89"/>
      <c r="Z309" s="91"/>
      <c r="AA309" s="91"/>
      <c r="AB309" s="91"/>
      <c r="AC309" s="91"/>
      <c r="AD309" s="91"/>
      <c r="AE309" s="91"/>
      <c r="AF309" s="91"/>
      <c r="AG309" s="91"/>
      <c r="AH309" s="91"/>
      <c r="AI309" s="91"/>
      <c r="AL309" s="89"/>
      <c r="AM309" s="91"/>
      <c r="AN309" s="91"/>
      <c r="AP309" s="91"/>
      <c r="AQ309" s="91"/>
      <c r="AR309" s="91"/>
      <c r="AS309" s="91"/>
      <c r="AT309" s="91"/>
      <c r="BA309" s="91"/>
      <c r="BD309" s="89"/>
      <c r="BE309" s="89"/>
      <c r="BF309" s="91"/>
      <c r="BG309" s="91"/>
      <c r="BH309" s="91"/>
      <c r="BO309" s="91"/>
      <c r="BS309" s="91"/>
      <c r="BT309" s="91"/>
      <c r="BV309" s="91"/>
    </row>
    <row r="310" spans="1:74" x14ac:dyDescent="0.3">
      <c r="A310" s="89"/>
      <c r="B310" s="89"/>
      <c r="C310" s="91"/>
      <c r="D310" s="91"/>
      <c r="E310" s="91"/>
      <c r="F310" s="91"/>
      <c r="G310" s="91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89"/>
      <c r="Y310" s="89"/>
      <c r="Z310" s="91"/>
      <c r="AA310" s="91"/>
      <c r="AB310" s="91"/>
      <c r="AC310" s="91"/>
      <c r="AD310" s="91"/>
      <c r="AE310" s="91"/>
      <c r="AF310" s="91"/>
      <c r="AG310" s="91"/>
      <c r="AH310" s="91"/>
      <c r="AI310" s="91"/>
      <c r="AL310" s="89"/>
      <c r="AM310" s="91"/>
      <c r="AN310" s="91"/>
      <c r="AP310" s="91"/>
      <c r="AQ310" s="91"/>
      <c r="AR310" s="91"/>
      <c r="AS310" s="91"/>
      <c r="AT310" s="91"/>
      <c r="BA310" s="91"/>
      <c r="BD310" s="89"/>
      <c r="BE310" s="89"/>
      <c r="BF310" s="91"/>
      <c r="BG310" s="91"/>
      <c r="BH310" s="91"/>
      <c r="BO310" s="91"/>
      <c r="BS310" s="91"/>
      <c r="BT310" s="91"/>
      <c r="BV310" s="91"/>
    </row>
    <row r="311" spans="1:74" x14ac:dyDescent="0.3">
      <c r="A311" s="89"/>
      <c r="B311" s="89"/>
      <c r="C311" s="91"/>
      <c r="D311" s="91"/>
      <c r="E311" s="91"/>
      <c r="F311" s="91"/>
      <c r="G311" s="91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89"/>
      <c r="Y311" s="89"/>
      <c r="Z311" s="91"/>
      <c r="AA311" s="91"/>
      <c r="AB311" s="91"/>
      <c r="AC311" s="91"/>
      <c r="AD311" s="91"/>
      <c r="AE311" s="91"/>
      <c r="AF311" s="91"/>
      <c r="AG311" s="91"/>
      <c r="AH311" s="91"/>
      <c r="AI311" s="91"/>
      <c r="AL311" s="89"/>
      <c r="AM311" s="91"/>
      <c r="AN311" s="91"/>
      <c r="AP311" s="91"/>
      <c r="AQ311" s="91"/>
      <c r="AR311" s="91"/>
      <c r="AS311" s="91"/>
      <c r="AT311" s="91"/>
      <c r="BA311" s="91"/>
      <c r="BD311" s="89"/>
      <c r="BE311" s="89"/>
      <c r="BF311" s="91"/>
      <c r="BG311" s="91"/>
      <c r="BH311" s="91"/>
      <c r="BO311" s="91"/>
      <c r="BS311" s="91"/>
      <c r="BT311" s="91"/>
      <c r="BV311" s="91"/>
    </row>
    <row r="312" spans="1:74" x14ac:dyDescent="0.3">
      <c r="A312" s="89"/>
      <c r="B312" s="89"/>
      <c r="C312" s="91"/>
      <c r="D312" s="91"/>
      <c r="E312" s="91"/>
      <c r="F312" s="91"/>
      <c r="G312" s="91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89"/>
      <c r="Y312" s="89"/>
      <c r="Z312" s="91"/>
      <c r="AA312" s="91"/>
      <c r="AB312" s="91"/>
      <c r="AC312" s="91"/>
      <c r="AD312" s="91"/>
      <c r="AE312" s="91"/>
      <c r="AF312" s="91"/>
      <c r="AG312" s="91"/>
      <c r="AH312" s="91"/>
      <c r="AI312" s="91"/>
      <c r="AL312" s="89"/>
      <c r="AM312" s="91"/>
      <c r="AN312" s="91"/>
      <c r="AP312" s="91"/>
      <c r="AQ312" s="91"/>
      <c r="AR312" s="91"/>
      <c r="AS312" s="91"/>
      <c r="AT312" s="91"/>
      <c r="BA312" s="91"/>
      <c r="BD312" s="89"/>
      <c r="BE312" s="89"/>
      <c r="BF312" s="91"/>
      <c r="BG312" s="91"/>
      <c r="BH312" s="91"/>
      <c r="BO312" s="91"/>
      <c r="BS312" s="91"/>
      <c r="BT312" s="91"/>
      <c r="BV312" s="91"/>
    </row>
    <row r="313" spans="1:74" x14ac:dyDescent="0.3">
      <c r="A313" s="89"/>
      <c r="B313" s="89"/>
      <c r="C313" s="91"/>
      <c r="D313" s="91"/>
      <c r="E313" s="91"/>
      <c r="F313" s="91"/>
      <c r="G313" s="91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89"/>
      <c r="Y313" s="89"/>
      <c r="Z313" s="91"/>
      <c r="AA313" s="91"/>
      <c r="AB313" s="91"/>
      <c r="AC313" s="91"/>
      <c r="AD313" s="91"/>
      <c r="AE313" s="91"/>
      <c r="AF313" s="91"/>
      <c r="AG313" s="91"/>
      <c r="AH313" s="91"/>
      <c r="AI313" s="91"/>
      <c r="AL313" s="89"/>
      <c r="AM313" s="91"/>
      <c r="AN313" s="91"/>
      <c r="AP313" s="91"/>
      <c r="AQ313" s="91"/>
      <c r="AR313" s="91"/>
      <c r="AS313" s="91"/>
      <c r="AT313" s="91"/>
      <c r="BA313" s="91"/>
      <c r="BD313" s="89"/>
      <c r="BE313" s="89"/>
      <c r="BF313" s="91"/>
      <c r="BG313" s="91"/>
      <c r="BH313" s="91"/>
      <c r="BO313" s="91"/>
      <c r="BS313" s="91"/>
      <c r="BT313" s="91"/>
      <c r="BV313" s="91"/>
    </row>
    <row r="314" spans="1:74" x14ac:dyDescent="0.3">
      <c r="A314" s="89"/>
      <c r="B314" s="89"/>
      <c r="C314" s="91"/>
      <c r="D314" s="91"/>
      <c r="E314" s="91"/>
      <c r="F314" s="91"/>
      <c r="G314" s="91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89"/>
      <c r="Y314" s="89"/>
      <c r="Z314" s="91"/>
      <c r="AA314" s="91"/>
      <c r="AB314" s="91"/>
      <c r="AC314" s="91"/>
      <c r="AD314" s="91"/>
      <c r="AE314" s="91"/>
      <c r="AF314" s="91"/>
      <c r="AG314" s="91"/>
      <c r="AH314" s="91"/>
      <c r="AI314" s="91"/>
      <c r="AL314" s="89"/>
      <c r="AM314" s="91"/>
      <c r="AN314" s="91"/>
      <c r="AP314" s="91"/>
      <c r="AQ314" s="91"/>
      <c r="AR314" s="91"/>
      <c r="AS314" s="91"/>
      <c r="AT314" s="91"/>
      <c r="BA314" s="91"/>
      <c r="BD314" s="89"/>
      <c r="BE314" s="89"/>
      <c r="BF314" s="91"/>
      <c r="BG314" s="91"/>
      <c r="BH314" s="91"/>
      <c r="BO314" s="91"/>
      <c r="BS314" s="91"/>
      <c r="BT314" s="91"/>
      <c r="BV314" s="91"/>
    </row>
    <row r="315" spans="1:74" x14ac:dyDescent="0.3">
      <c r="A315" s="89"/>
      <c r="B315" s="89"/>
      <c r="C315" s="91"/>
      <c r="D315" s="91"/>
      <c r="E315" s="91"/>
      <c r="F315" s="91"/>
      <c r="G315" s="91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89"/>
      <c r="Y315" s="89"/>
      <c r="Z315" s="91"/>
      <c r="AA315" s="91"/>
      <c r="AB315" s="91"/>
      <c r="AC315" s="91"/>
      <c r="AD315" s="91"/>
      <c r="AE315" s="91"/>
      <c r="AF315" s="91"/>
      <c r="AG315" s="91"/>
      <c r="AH315" s="91"/>
      <c r="AI315" s="91"/>
      <c r="AL315" s="89"/>
      <c r="AM315" s="91"/>
      <c r="AN315" s="91"/>
      <c r="AP315" s="91"/>
      <c r="AQ315" s="91"/>
      <c r="AR315" s="91"/>
      <c r="AS315" s="91"/>
      <c r="AT315" s="91"/>
      <c r="BA315" s="91"/>
      <c r="BD315" s="89"/>
      <c r="BE315" s="89"/>
      <c r="BF315" s="91"/>
      <c r="BG315" s="91"/>
      <c r="BH315" s="91"/>
      <c r="BO315" s="91"/>
      <c r="BS315" s="91"/>
      <c r="BT315" s="91"/>
      <c r="BV315" s="91"/>
    </row>
    <row r="316" spans="1:74" x14ac:dyDescent="0.3">
      <c r="A316" s="89"/>
      <c r="B316" s="89"/>
      <c r="C316" s="91"/>
      <c r="D316" s="91"/>
      <c r="E316" s="91"/>
      <c r="F316" s="91"/>
      <c r="G316" s="91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89"/>
      <c r="Y316" s="89"/>
      <c r="Z316" s="91"/>
      <c r="AA316" s="91"/>
      <c r="AB316" s="91"/>
      <c r="AC316" s="91"/>
      <c r="AD316" s="91"/>
      <c r="AE316" s="91"/>
      <c r="AF316" s="91"/>
      <c r="AG316" s="91"/>
      <c r="AH316" s="91"/>
      <c r="AI316" s="91"/>
      <c r="AL316" s="89"/>
      <c r="AM316" s="91"/>
      <c r="AN316" s="91"/>
      <c r="AP316" s="91"/>
      <c r="AQ316" s="91"/>
      <c r="AR316" s="91"/>
      <c r="AS316" s="91"/>
      <c r="AT316" s="91"/>
      <c r="BA316" s="91"/>
      <c r="BD316" s="89"/>
      <c r="BE316" s="89"/>
      <c r="BF316" s="91"/>
      <c r="BG316" s="91"/>
      <c r="BH316" s="91"/>
      <c r="BO316" s="91"/>
      <c r="BS316" s="91"/>
      <c r="BT316" s="91"/>
      <c r="BV316" s="91"/>
    </row>
    <row r="317" spans="1:74" x14ac:dyDescent="0.3">
      <c r="A317" s="89"/>
      <c r="B317" s="89"/>
      <c r="C317" s="91"/>
      <c r="D317" s="91"/>
      <c r="E317" s="91"/>
      <c r="F317" s="91"/>
      <c r="G317" s="91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89"/>
      <c r="Y317" s="89"/>
      <c r="Z317" s="91"/>
      <c r="AA317" s="91"/>
      <c r="AB317" s="91"/>
      <c r="AC317" s="91"/>
      <c r="AD317" s="91"/>
      <c r="AE317" s="91"/>
      <c r="AF317" s="91"/>
      <c r="AG317" s="91"/>
      <c r="AH317" s="91"/>
      <c r="AI317" s="91"/>
      <c r="AL317" s="89"/>
      <c r="AM317" s="91"/>
      <c r="AN317" s="91"/>
      <c r="AP317" s="91"/>
      <c r="AQ317" s="91"/>
      <c r="AR317" s="91"/>
      <c r="AS317" s="91"/>
      <c r="AT317" s="91"/>
      <c r="BA317" s="91"/>
      <c r="BD317" s="89"/>
      <c r="BE317" s="89"/>
      <c r="BF317" s="91"/>
      <c r="BG317" s="91"/>
      <c r="BH317" s="91"/>
      <c r="BO317" s="91"/>
      <c r="BS317" s="91"/>
      <c r="BT317" s="91"/>
      <c r="BV317" s="91"/>
    </row>
    <row r="318" spans="1:74" x14ac:dyDescent="0.3">
      <c r="A318" s="89"/>
      <c r="B318" s="89"/>
      <c r="C318" s="91"/>
      <c r="D318" s="91"/>
      <c r="E318" s="91"/>
      <c r="F318" s="91"/>
      <c r="G318" s="91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89"/>
      <c r="Y318" s="89"/>
      <c r="Z318" s="91"/>
      <c r="AA318" s="91"/>
      <c r="AB318" s="91"/>
      <c r="AC318" s="91"/>
      <c r="AD318" s="91"/>
      <c r="AE318" s="91"/>
      <c r="AF318" s="91"/>
      <c r="AG318" s="91"/>
      <c r="AH318" s="91"/>
      <c r="AI318" s="91"/>
      <c r="AL318" s="89"/>
      <c r="AM318" s="91"/>
      <c r="AN318" s="91"/>
      <c r="AP318" s="91"/>
      <c r="AQ318" s="91"/>
      <c r="AR318" s="91"/>
      <c r="AS318" s="91"/>
      <c r="AT318" s="91"/>
      <c r="BA318" s="91"/>
      <c r="BD318" s="89"/>
      <c r="BE318" s="89"/>
      <c r="BF318" s="91"/>
      <c r="BG318" s="91"/>
      <c r="BH318" s="91"/>
      <c r="BO318" s="91"/>
      <c r="BS318" s="91"/>
      <c r="BT318" s="91"/>
      <c r="BV318" s="91"/>
    </row>
    <row r="319" spans="1:74" x14ac:dyDescent="0.3">
      <c r="A319" s="89"/>
      <c r="B319" s="89"/>
      <c r="C319" s="91"/>
      <c r="D319" s="91"/>
      <c r="E319" s="91"/>
      <c r="F319" s="91"/>
      <c r="G319" s="91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89"/>
      <c r="Y319" s="89"/>
      <c r="Z319" s="91"/>
      <c r="AA319" s="91"/>
      <c r="AB319" s="91"/>
      <c r="AC319" s="91"/>
      <c r="AD319" s="91"/>
      <c r="AE319" s="91"/>
      <c r="AF319" s="91"/>
      <c r="AG319" s="91"/>
      <c r="AH319" s="91"/>
      <c r="AI319" s="91"/>
      <c r="AL319" s="89"/>
      <c r="AM319" s="91"/>
      <c r="AN319" s="91"/>
      <c r="AP319" s="91"/>
      <c r="AQ319" s="91"/>
      <c r="AR319" s="91"/>
      <c r="AS319" s="91"/>
      <c r="AT319" s="91"/>
      <c r="BA319" s="91"/>
      <c r="BD319" s="89"/>
      <c r="BE319" s="89"/>
      <c r="BF319" s="91"/>
      <c r="BG319" s="91"/>
      <c r="BH319" s="91"/>
      <c r="BO319" s="91"/>
      <c r="BS319" s="91"/>
      <c r="BT319" s="91"/>
      <c r="BV319" s="91"/>
    </row>
    <row r="320" spans="1:74" x14ac:dyDescent="0.3">
      <c r="A320" s="89"/>
      <c r="B320" s="89"/>
      <c r="C320" s="91"/>
      <c r="D320" s="91"/>
      <c r="E320" s="91"/>
      <c r="F320" s="91"/>
      <c r="G320" s="91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89"/>
      <c r="Y320" s="89"/>
      <c r="Z320" s="91"/>
      <c r="AA320" s="91"/>
      <c r="AB320" s="91"/>
      <c r="AC320" s="91"/>
      <c r="AD320" s="91"/>
      <c r="AE320" s="91"/>
      <c r="AF320" s="91"/>
      <c r="AG320" s="91"/>
      <c r="AH320" s="91"/>
      <c r="AI320" s="91"/>
      <c r="AL320" s="89"/>
      <c r="AM320" s="91"/>
      <c r="AN320" s="91"/>
      <c r="AP320" s="91"/>
      <c r="AQ320" s="91"/>
      <c r="AR320" s="91"/>
      <c r="AS320" s="91"/>
      <c r="AT320" s="91"/>
      <c r="BA320" s="91"/>
      <c r="BD320" s="89"/>
      <c r="BE320" s="89"/>
      <c r="BF320" s="91"/>
      <c r="BG320" s="91"/>
      <c r="BH320" s="91"/>
      <c r="BO320" s="91"/>
      <c r="BS320" s="91"/>
      <c r="BT320" s="91"/>
      <c r="BV320" s="91"/>
    </row>
    <row r="321" spans="1:74" x14ac:dyDescent="0.3">
      <c r="A321" s="89"/>
      <c r="B321" s="89"/>
      <c r="C321" s="91"/>
      <c r="D321" s="91"/>
      <c r="E321" s="91"/>
      <c r="F321" s="91"/>
      <c r="G321" s="91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89"/>
      <c r="Y321" s="89"/>
      <c r="Z321" s="91"/>
      <c r="AA321" s="91"/>
      <c r="AB321" s="91"/>
      <c r="AC321" s="91"/>
      <c r="AD321" s="91"/>
      <c r="AE321" s="91"/>
      <c r="AF321" s="91"/>
      <c r="AG321" s="91"/>
      <c r="AH321" s="91"/>
      <c r="AI321" s="91"/>
      <c r="AL321" s="89"/>
      <c r="AM321" s="91"/>
      <c r="AN321" s="91"/>
      <c r="AP321" s="91"/>
      <c r="AQ321" s="91"/>
      <c r="AR321" s="91"/>
      <c r="AS321" s="91"/>
      <c r="AT321" s="91"/>
      <c r="BA321" s="91"/>
      <c r="BD321" s="89"/>
      <c r="BE321" s="89"/>
      <c r="BF321" s="91"/>
      <c r="BG321" s="91"/>
      <c r="BH321" s="91"/>
      <c r="BO321" s="91"/>
      <c r="BS321" s="91"/>
      <c r="BT321" s="91"/>
      <c r="BV321" s="91"/>
    </row>
    <row r="322" spans="1:74" x14ac:dyDescent="0.3">
      <c r="A322" s="89"/>
      <c r="B322" s="89"/>
      <c r="C322" s="91"/>
      <c r="D322" s="91"/>
      <c r="E322" s="91"/>
      <c r="F322" s="91"/>
      <c r="G322" s="91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89"/>
      <c r="Y322" s="89"/>
      <c r="Z322" s="91"/>
      <c r="AA322" s="91"/>
      <c r="AB322" s="91"/>
      <c r="AC322" s="91"/>
      <c r="AD322" s="91"/>
      <c r="AE322" s="91"/>
      <c r="AF322" s="91"/>
      <c r="AG322" s="91"/>
      <c r="AH322" s="91"/>
      <c r="AI322" s="91"/>
      <c r="AL322" s="89"/>
      <c r="AM322" s="91"/>
      <c r="AN322" s="91"/>
      <c r="AP322" s="91"/>
      <c r="AQ322" s="91"/>
      <c r="AR322" s="91"/>
      <c r="AS322" s="91"/>
      <c r="AT322" s="91"/>
      <c r="BA322" s="91"/>
      <c r="BD322" s="89"/>
      <c r="BE322" s="89"/>
      <c r="BF322" s="91"/>
      <c r="BG322" s="91"/>
      <c r="BH322" s="91"/>
      <c r="BO322" s="91"/>
      <c r="BS322" s="91"/>
      <c r="BT322" s="91"/>
      <c r="BV322" s="91"/>
    </row>
    <row r="323" spans="1:74" x14ac:dyDescent="0.3">
      <c r="A323" s="89"/>
      <c r="B323" s="89"/>
      <c r="C323" s="91"/>
      <c r="D323" s="91"/>
      <c r="E323" s="91"/>
      <c r="F323" s="91"/>
      <c r="G323" s="91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89"/>
      <c r="Y323" s="89"/>
      <c r="Z323" s="91"/>
      <c r="AA323" s="91"/>
      <c r="AB323" s="91"/>
      <c r="AC323" s="91"/>
      <c r="AD323" s="91"/>
      <c r="AE323" s="91"/>
      <c r="AF323" s="91"/>
      <c r="AG323" s="91"/>
      <c r="AH323" s="91"/>
      <c r="AI323" s="91"/>
      <c r="AL323" s="89"/>
      <c r="AM323" s="91"/>
      <c r="AN323" s="91"/>
      <c r="AP323" s="91"/>
      <c r="AQ323" s="91"/>
      <c r="AR323" s="91"/>
      <c r="AS323" s="91"/>
      <c r="AT323" s="91"/>
      <c r="BA323" s="91"/>
      <c r="BD323" s="89"/>
      <c r="BE323" s="89"/>
      <c r="BF323" s="91"/>
      <c r="BG323" s="91"/>
      <c r="BH323" s="91"/>
      <c r="BO323" s="91"/>
      <c r="BS323" s="91"/>
      <c r="BT323" s="91"/>
      <c r="BV323" s="91"/>
    </row>
    <row r="324" spans="1:74" x14ac:dyDescent="0.3">
      <c r="A324" s="89"/>
      <c r="B324" s="89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89"/>
      <c r="Y324" s="89"/>
      <c r="Z324" s="91"/>
      <c r="AA324" s="91"/>
      <c r="AB324" s="91"/>
      <c r="AC324" s="91"/>
      <c r="AD324" s="91"/>
      <c r="AE324" s="91"/>
      <c r="AF324" s="91"/>
      <c r="AG324" s="91"/>
      <c r="AH324" s="91"/>
      <c r="AI324" s="91"/>
      <c r="AL324" s="89"/>
      <c r="AM324" s="91"/>
      <c r="AN324" s="91"/>
      <c r="AP324" s="91"/>
      <c r="AQ324" s="91"/>
      <c r="AR324" s="91"/>
      <c r="AS324" s="91"/>
      <c r="AT324" s="91"/>
      <c r="BA324" s="91"/>
      <c r="BD324" s="89"/>
      <c r="BE324" s="89"/>
      <c r="BF324" s="91"/>
      <c r="BG324" s="91"/>
      <c r="BH324" s="91"/>
      <c r="BO324" s="91"/>
      <c r="BS324" s="91"/>
      <c r="BT324" s="91"/>
      <c r="BV324" s="91"/>
    </row>
    <row r="325" spans="1:74" x14ac:dyDescent="0.3">
      <c r="A325" s="89"/>
      <c r="B325" s="89"/>
      <c r="C325" s="91"/>
      <c r="D325" s="91"/>
      <c r="E325" s="91"/>
      <c r="F325" s="91"/>
      <c r="G325" s="91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89"/>
      <c r="Y325" s="89"/>
      <c r="Z325" s="91"/>
      <c r="AA325" s="91"/>
      <c r="AB325" s="91"/>
      <c r="AC325" s="91"/>
      <c r="AD325" s="91"/>
      <c r="AE325" s="91"/>
      <c r="AF325" s="91"/>
      <c r="AG325" s="91"/>
      <c r="AH325" s="91"/>
      <c r="AI325" s="91"/>
      <c r="AL325" s="89"/>
      <c r="AM325" s="91"/>
      <c r="AN325" s="91"/>
      <c r="AP325" s="91"/>
      <c r="AQ325" s="91"/>
      <c r="AR325" s="91"/>
      <c r="AS325" s="91"/>
      <c r="AT325" s="91"/>
      <c r="BA325" s="91"/>
      <c r="BD325" s="89"/>
      <c r="BE325" s="89"/>
      <c r="BF325" s="91"/>
      <c r="BG325" s="91"/>
      <c r="BH325" s="91"/>
      <c r="BO325" s="91"/>
      <c r="BS325" s="91"/>
      <c r="BT325" s="91"/>
      <c r="BV325" s="91"/>
    </row>
    <row r="326" spans="1:74" x14ac:dyDescent="0.3">
      <c r="A326" s="89"/>
      <c r="B326" s="89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89"/>
      <c r="Y326" s="89"/>
      <c r="Z326" s="91"/>
      <c r="AA326" s="91"/>
      <c r="AB326" s="91"/>
      <c r="AC326" s="91"/>
      <c r="AD326" s="91"/>
      <c r="AE326" s="91"/>
      <c r="AF326" s="91"/>
      <c r="AG326" s="91"/>
      <c r="AH326" s="91"/>
      <c r="AI326" s="91"/>
      <c r="AL326" s="89"/>
      <c r="AM326" s="91"/>
      <c r="AN326" s="91"/>
      <c r="AP326" s="91"/>
      <c r="AQ326" s="91"/>
      <c r="AR326" s="91"/>
      <c r="AS326" s="91"/>
      <c r="AT326" s="91"/>
      <c r="BA326" s="91"/>
      <c r="BD326" s="89"/>
      <c r="BE326" s="89"/>
      <c r="BF326" s="91"/>
      <c r="BG326" s="91"/>
      <c r="BH326" s="91"/>
      <c r="BO326" s="91"/>
      <c r="BS326" s="91"/>
      <c r="BT326" s="91"/>
      <c r="BV326" s="91"/>
    </row>
    <row r="327" spans="1:74" x14ac:dyDescent="0.3">
      <c r="A327" s="89"/>
      <c r="B327" s="89"/>
      <c r="C327" s="91"/>
      <c r="D327" s="91"/>
      <c r="E327" s="91"/>
      <c r="F327" s="91"/>
      <c r="G327" s="91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89"/>
      <c r="Y327" s="89"/>
      <c r="Z327" s="91"/>
      <c r="AA327" s="91"/>
      <c r="AB327" s="91"/>
      <c r="AC327" s="91"/>
      <c r="AD327" s="91"/>
      <c r="AE327" s="91"/>
      <c r="AF327" s="91"/>
      <c r="AG327" s="91"/>
      <c r="AH327" s="91"/>
      <c r="AI327" s="91"/>
      <c r="AL327" s="89"/>
      <c r="AM327" s="91"/>
      <c r="AN327" s="91"/>
      <c r="AP327" s="91"/>
      <c r="AQ327" s="91"/>
      <c r="AR327" s="91"/>
      <c r="AS327" s="91"/>
      <c r="AT327" s="91"/>
      <c r="BA327" s="91"/>
      <c r="BD327" s="89"/>
      <c r="BE327" s="89"/>
      <c r="BF327" s="91"/>
      <c r="BG327" s="91"/>
      <c r="BH327" s="91"/>
      <c r="BO327" s="91"/>
      <c r="BS327" s="91"/>
      <c r="BT327" s="91"/>
      <c r="BV327" s="91"/>
    </row>
    <row r="328" spans="1:74" x14ac:dyDescent="0.3">
      <c r="A328" s="89"/>
      <c r="B328" s="89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89"/>
      <c r="Y328" s="89"/>
      <c r="Z328" s="91"/>
      <c r="AA328" s="91"/>
      <c r="AB328" s="91"/>
      <c r="AC328" s="91"/>
      <c r="AD328" s="91"/>
      <c r="AE328" s="91"/>
      <c r="AF328" s="91"/>
      <c r="AG328" s="91"/>
      <c r="AH328" s="91"/>
      <c r="AI328" s="91"/>
      <c r="AL328" s="89"/>
      <c r="AM328" s="91"/>
      <c r="AN328" s="91"/>
      <c r="AP328" s="91"/>
      <c r="AQ328" s="91"/>
      <c r="AR328" s="91"/>
      <c r="AS328" s="91"/>
      <c r="AT328" s="91"/>
      <c r="BA328" s="91"/>
      <c r="BD328" s="89"/>
      <c r="BE328" s="89"/>
      <c r="BF328" s="91"/>
      <c r="BG328" s="91"/>
      <c r="BH328" s="91"/>
      <c r="BO328" s="91"/>
      <c r="BS328" s="91"/>
      <c r="BT328" s="91"/>
      <c r="BV328" s="91"/>
    </row>
    <row r="329" spans="1:74" x14ac:dyDescent="0.3">
      <c r="A329" s="89"/>
      <c r="B329" s="89"/>
      <c r="C329" s="91"/>
      <c r="D329" s="91"/>
      <c r="E329" s="91"/>
      <c r="F329" s="91"/>
      <c r="G329" s="91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89"/>
      <c r="Y329" s="89"/>
      <c r="Z329" s="91"/>
      <c r="AA329" s="91"/>
      <c r="AB329" s="91"/>
      <c r="AC329" s="91"/>
      <c r="AD329" s="91"/>
      <c r="AE329" s="91"/>
      <c r="AF329" s="91"/>
      <c r="AG329" s="91"/>
      <c r="AH329" s="91"/>
      <c r="AI329" s="91"/>
      <c r="AL329" s="89"/>
      <c r="AM329" s="91"/>
      <c r="AN329" s="91"/>
      <c r="AP329" s="91"/>
      <c r="AQ329" s="91"/>
      <c r="AR329" s="91"/>
      <c r="AS329" s="91"/>
      <c r="AT329" s="91"/>
      <c r="BA329" s="91"/>
      <c r="BD329" s="89"/>
      <c r="BE329" s="89"/>
      <c r="BF329" s="91"/>
      <c r="BG329" s="91"/>
      <c r="BH329" s="91"/>
      <c r="BO329" s="91"/>
      <c r="BS329" s="91"/>
      <c r="BT329" s="91"/>
      <c r="BV329" s="91"/>
    </row>
    <row r="330" spans="1:74" x14ac:dyDescent="0.3">
      <c r="A330" s="89"/>
      <c r="B330" s="89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89"/>
      <c r="Y330" s="89"/>
      <c r="Z330" s="91"/>
      <c r="AA330" s="91"/>
      <c r="AB330" s="91"/>
      <c r="AC330" s="91"/>
      <c r="AD330" s="91"/>
      <c r="AE330" s="91"/>
      <c r="AF330" s="91"/>
      <c r="AG330" s="91"/>
      <c r="AH330" s="91"/>
      <c r="AI330" s="91"/>
      <c r="AL330" s="89"/>
      <c r="AM330" s="91"/>
      <c r="AN330" s="91"/>
      <c r="AP330" s="91"/>
      <c r="AQ330" s="91"/>
      <c r="AR330" s="91"/>
      <c r="AS330" s="91"/>
      <c r="AT330" s="91"/>
      <c r="BA330" s="91"/>
      <c r="BD330" s="89"/>
      <c r="BE330" s="89"/>
      <c r="BF330" s="91"/>
      <c r="BG330" s="91"/>
      <c r="BH330" s="91"/>
      <c r="BO330" s="91"/>
      <c r="BS330" s="91"/>
      <c r="BT330" s="91"/>
      <c r="BV330" s="91"/>
    </row>
    <row r="331" spans="1:74" x14ac:dyDescent="0.3">
      <c r="A331" s="89"/>
      <c r="B331" s="89"/>
      <c r="C331" s="91"/>
      <c r="D331" s="91"/>
      <c r="E331" s="91"/>
      <c r="F331" s="91"/>
      <c r="G331" s="91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89"/>
      <c r="Y331" s="89"/>
      <c r="Z331" s="91"/>
      <c r="AA331" s="91"/>
      <c r="AB331" s="91"/>
      <c r="AC331" s="91"/>
      <c r="AD331" s="91"/>
      <c r="AE331" s="91"/>
      <c r="AF331" s="91"/>
      <c r="AG331" s="91"/>
      <c r="AH331" s="91"/>
      <c r="AI331" s="91"/>
      <c r="AL331" s="89"/>
      <c r="AM331" s="91"/>
      <c r="AN331" s="91"/>
      <c r="AP331" s="91"/>
      <c r="AQ331" s="91"/>
      <c r="AR331" s="91"/>
      <c r="AS331" s="91"/>
      <c r="AT331" s="91"/>
      <c r="BA331" s="91"/>
      <c r="BD331" s="89"/>
      <c r="BE331" s="89"/>
      <c r="BF331" s="91"/>
      <c r="BG331" s="91"/>
      <c r="BH331" s="91"/>
      <c r="BO331" s="91"/>
      <c r="BS331" s="91"/>
      <c r="BT331" s="91"/>
      <c r="BV331" s="91"/>
    </row>
    <row r="332" spans="1:74" x14ac:dyDescent="0.3">
      <c r="A332" s="89"/>
      <c r="B332" s="89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89"/>
      <c r="Y332" s="89"/>
      <c r="Z332" s="91"/>
      <c r="AA332" s="91"/>
      <c r="AB332" s="91"/>
      <c r="AC332" s="91"/>
      <c r="AD332" s="91"/>
      <c r="AE332" s="91"/>
      <c r="AF332" s="91"/>
      <c r="AG332" s="91"/>
      <c r="AH332" s="91"/>
      <c r="AI332" s="91"/>
      <c r="AL332" s="89"/>
      <c r="AM332" s="91"/>
      <c r="AN332" s="91"/>
      <c r="AP332" s="91"/>
      <c r="AQ332" s="91"/>
      <c r="AR332" s="91"/>
      <c r="AS332" s="91"/>
      <c r="AT332" s="91"/>
      <c r="BA332" s="91"/>
      <c r="BD332" s="89"/>
      <c r="BE332" s="89"/>
      <c r="BF332" s="91"/>
      <c r="BG332" s="91"/>
      <c r="BH332" s="91"/>
      <c r="BO332" s="91"/>
      <c r="BS332" s="91"/>
      <c r="BT332" s="91"/>
      <c r="BV332" s="91"/>
    </row>
    <row r="333" spans="1:74" x14ac:dyDescent="0.3">
      <c r="A333" s="89"/>
      <c r="B333" s="89"/>
      <c r="C333" s="91"/>
      <c r="D333" s="91"/>
      <c r="E333" s="91"/>
      <c r="F333" s="91"/>
      <c r="G333" s="91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89"/>
      <c r="Y333" s="89"/>
      <c r="Z333" s="91"/>
      <c r="AA333" s="91"/>
      <c r="AB333" s="91"/>
      <c r="AC333" s="91"/>
      <c r="AD333" s="91"/>
      <c r="AE333" s="91"/>
      <c r="AF333" s="91"/>
      <c r="AG333" s="91"/>
      <c r="AH333" s="91"/>
      <c r="AI333" s="91"/>
      <c r="AL333" s="89"/>
      <c r="AM333" s="91"/>
      <c r="AN333" s="91"/>
      <c r="AP333" s="91"/>
      <c r="AQ333" s="91"/>
      <c r="AR333" s="91"/>
      <c r="AS333" s="91"/>
      <c r="AT333" s="91"/>
      <c r="BA333" s="91"/>
      <c r="BD333" s="89"/>
      <c r="BE333" s="89"/>
      <c r="BF333" s="91"/>
      <c r="BG333" s="91"/>
      <c r="BH333" s="91"/>
      <c r="BO333" s="91"/>
      <c r="BS333" s="91"/>
      <c r="BT333" s="91"/>
      <c r="BV333" s="91"/>
    </row>
    <row r="334" spans="1:74" x14ac:dyDescent="0.3">
      <c r="A334" s="89"/>
      <c r="B334" s="89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89"/>
      <c r="Y334" s="89"/>
      <c r="Z334" s="91"/>
      <c r="AA334" s="91"/>
      <c r="AB334" s="91"/>
      <c r="AC334" s="91"/>
      <c r="AD334" s="91"/>
      <c r="AE334" s="91"/>
      <c r="AF334" s="91"/>
      <c r="AG334" s="91"/>
      <c r="AH334" s="91"/>
      <c r="AI334" s="91"/>
      <c r="AL334" s="89"/>
      <c r="AM334" s="91"/>
      <c r="AN334" s="91"/>
      <c r="AP334" s="91"/>
      <c r="AQ334" s="91"/>
      <c r="AR334" s="91"/>
      <c r="AS334" s="91"/>
      <c r="AT334" s="91"/>
      <c r="BA334" s="91"/>
      <c r="BD334" s="89"/>
      <c r="BE334" s="89"/>
      <c r="BF334" s="91"/>
      <c r="BG334" s="91"/>
      <c r="BH334" s="91"/>
      <c r="BO334" s="91"/>
      <c r="BS334" s="91"/>
      <c r="BT334" s="91"/>
      <c r="BV334" s="91"/>
    </row>
    <row r="335" spans="1:74" x14ac:dyDescent="0.3">
      <c r="A335" s="89"/>
      <c r="B335" s="89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89"/>
      <c r="Y335" s="89"/>
      <c r="Z335" s="91"/>
      <c r="AA335" s="91"/>
      <c r="AB335" s="91"/>
      <c r="AC335" s="91"/>
      <c r="AD335" s="91"/>
      <c r="AE335" s="91"/>
      <c r="AF335" s="91"/>
      <c r="AG335" s="91"/>
      <c r="AH335" s="91"/>
      <c r="AI335" s="91"/>
      <c r="AL335" s="89"/>
      <c r="AM335" s="91"/>
      <c r="AN335" s="91"/>
      <c r="AP335" s="91"/>
      <c r="AQ335" s="91"/>
      <c r="AR335" s="91"/>
      <c r="AS335" s="91"/>
      <c r="AT335" s="91"/>
      <c r="BA335" s="91"/>
      <c r="BD335" s="89"/>
      <c r="BE335" s="89"/>
      <c r="BF335" s="91"/>
      <c r="BG335" s="91"/>
      <c r="BH335" s="91"/>
      <c r="BO335" s="91"/>
      <c r="BS335" s="91"/>
      <c r="BT335" s="91"/>
      <c r="BV335" s="91"/>
    </row>
    <row r="336" spans="1:74" x14ac:dyDescent="0.3">
      <c r="A336" s="89"/>
      <c r="B336" s="89"/>
      <c r="C336" s="91"/>
      <c r="D336" s="91"/>
      <c r="E336" s="91"/>
      <c r="F336" s="91"/>
      <c r="G336" s="91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89"/>
      <c r="Y336" s="89"/>
      <c r="Z336" s="91"/>
      <c r="AA336" s="91"/>
      <c r="AB336" s="91"/>
      <c r="AC336" s="91"/>
      <c r="AD336" s="91"/>
      <c r="AE336" s="91"/>
      <c r="AF336" s="91"/>
      <c r="AG336" s="91"/>
      <c r="AH336" s="91"/>
      <c r="AI336" s="91"/>
      <c r="AL336" s="89"/>
      <c r="AM336" s="91"/>
      <c r="AN336" s="91"/>
      <c r="AP336" s="91"/>
      <c r="AQ336" s="91"/>
      <c r="AR336" s="91"/>
      <c r="AS336" s="91"/>
      <c r="AT336" s="91"/>
      <c r="BA336" s="91"/>
      <c r="BD336" s="89"/>
      <c r="BE336" s="89"/>
      <c r="BF336" s="91"/>
      <c r="BG336" s="91"/>
      <c r="BH336" s="91"/>
      <c r="BO336" s="91"/>
      <c r="BS336" s="91"/>
      <c r="BT336" s="91"/>
      <c r="BV336" s="91"/>
    </row>
    <row r="337" spans="1:74" x14ac:dyDescent="0.3">
      <c r="A337" s="89"/>
      <c r="B337" s="89"/>
      <c r="C337" s="91"/>
      <c r="D337" s="91"/>
      <c r="E337" s="91"/>
      <c r="F337" s="91"/>
      <c r="G337" s="91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89"/>
      <c r="Y337" s="89"/>
      <c r="Z337" s="91"/>
      <c r="AA337" s="91"/>
      <c r="AB337" s="91"/>
      <c r="AC337" s="91"/>
      <c r="AD337" s="91"/>
      <c r="AE337" s="91"/>
      <c r="AF337" s="91"/>
      <c r="AG337" s="91"/>
      <c r="AH337" s="91"/>
      <c r="AI337" s="91"/>
      <c r="AL337" s="89"/>
      <c r="AM337" s="91"/>
      <c r="AN337" s="91"/>
      <c r="AP337" s="91"/>
      <c r="AQ337" s="91"/>
      <c r="AR337" s="91"/>
      <c r="AS337" s="91"/>
      <c r="AT337" s="91"/>
      <c r="BA337" s="91"/>
      <c r="BD337" s="89"/>
      <c r="BE337" s="89"/>
      <c r="BF337" s="91"/>
      <c r="BG337" s="91"/>
      <c r="BH337" s="91"/>
      <c r="BO337" s="91"/>
      <c r="BS337" s="91"/>
      <c r="BT337" s="91"/>
      <c r="BV337" s="91"/>
    </row>
    <row r="338" spans="1:74" x14ac:dyDescent="0.3">
      <c r="A338" s="89"/>
      <c r="B338" s="89"/>
      <c r="C338" s="91"/>
      <c r="D338" s="91"/>
      <c r="E338" s="91"/>
      <c r="F338" s="91"/>
      <c r="G338" s="91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89"/>
      <c r="Y338" s="89"/>
      <c r="Z338" s="91"/>
      <c r="AA338" s="91"/>
      <c r="AB338" s="91"/>
      <c r="AC338" s="91"/>
      <c r="AD338" s="91"/>
      <c r="AE338" s="91"/>
      <c r="AF338" s="91"/>
      <c r="AG338" s="91"/>
      <c r="AH338" s="91"/>
      <c r="AI338" s="91"/>
      <c r="AL338" s="89"/>
      <c r="AM338" s="91"/>
      <c r="AN338" s="91"/>
      <c r="AP338" s="91"/>
      <c r="AQ338" s="91"/>
      <c r="AR338" s="91"/>
      <c r="AS338" s="91"/>
      <c r="AT338" s="91"/>
      <c r="BA338" s="91"/>
      <c r="BD338" s="89"/>
      <c r="BE338" s="89"/>
      <c r="BF338" s="91"/>
      <c r="BG338" s="91"/>
      <c r="BH338" s="91"/>
      <c r="BO338" s="91"/>
      <c r="BS338" s="91"/>
      <c r="BT338" s="91"/>
      <c r="BV338" s="91"/>
    </row>
    <row r="339" spans="1:74" x14ac:dyDescent="0.3">
      <c r="A339" s="89"/>
      <c r="B339" s="89"/>
      <c r="C339" s="91"/>
      <c r="D339" s="91"/>
      <c r="E339" s="91"/>
      <c r="F339" s="91"/>
      <c r="G339" s="91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89"/>
      <c r="Y339" s="89"/>
      <c r="Z339" s="91"/>
      <c r="AA339" s="91"/>
      <c r="AB339" s="91"/>
      <c r="AC339" s="91"/>
      <c r="AD339" s="91"/>
      <c r="AE339" s="91"/>
      <c r="AF339" s="91"/>
      <c r="AG339" s="91"/>
      <c r="AH339" s="91"/>
      <c r="AI339" s="91"/>
      <c r="AL339" s="89"/>
      <c r="AM339" s="91"/>
      <c r="AN339" s="91"/>
      <c r="AP339" s="91"/>
      <c r="AQ339" s="91"/>
      <c r="AR339" s="91"/>
      <c r="AS339" s="91"/>
      <c r="AT339" s="91"/>
      <c r="BA339" s="91"/>
      <c r="BD339" s="89"/>
      <c r="BE339" s="89"/>
      <c r="BF339" s="91"/>
      <c r="BG339" s="91"/>
      <c r="BH339" s="91"/>
      <c r="BO339" s="91"/>
      <c r="BS339" s="91"/>
      <c r="BT339" s="91"/>
      <c r="BV339" s="91"/>
    </row>
    <row r="340" spans="1:74" x14ac:dyDescent="0.3">
      <c r="A340" s="89"/>
      <c r="B340" s="89"/>
      <c r="C340" s="91"/>
      <c r="D340" s="91"/>
      <c r="E340" s="91"/>
      <c r="F340" s="91"/>
      <c r="G340" s="91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89"/>
      <c r="Y340" s="89"/>
      <c r="Z340" s="91"/>
      <c r="AA340" s="91"/>
      <c r="AB340" s="91"/>
      <c r="AC340" s="91"/>
      <c r="AD340" s="91"/>
      <c r="AE340" s="91"/>
      <c r="AF340" s="91"/>
      <c r="AG340" s="91"/>
      <c r="AH340" s="91"/>
      <c r="AI340" s="91"/>
      <c r="AL340" s="89"/>
      <c r="AM340" s="91"/>
      <c r="AN340" s="91"/>
      <c r="AP340" s="91"/>
      <c r="AQ340" s="91"/>
      <c r="AR340" s="91"/>
      <c r="AS340" s="91"/>
      <c r="AT340" s="91"/>
      <c r="BA340" s="91"/>
      <c r="BD340" s="89"/>
      <c r="BE340" s="89"/>
      <c r="BF340" s="91"/>
      <c r="BG340" s="91"/>
      <c r="BH340" s="91"/>
      <c r="BO340" s="91"/>
      <c r="BS340" s="91"/>
      <c r="BT340" s="91"/>
      <c r="BV340" s="91"/>
    </row>
    <row r="341" spans="1:74" x14ac:dyDescent="0.3">
      <c r="A341" s="89"/>
      <c r="B341" s="89"/>
      <c r="C341" s="91"/>
      <c r="D341" s="91"/>
      <c r="E341" s="91"/>
      <c r="F341" s="91"/>
      <c r="G341" s="91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89"/>
      <c r="Y341" s="89"/>
      <c r="Z341" s="91"/>
      <c r="AA341" s="91"/>
      <c r="AB341" s="91"/>
      <c r="AC341" s="91"/>
      <c r="AD341" s="91"/>
      <c r="AE341" s="91"/>
      <c r="AF341" s="91"/>
      <c r="AG341" s="91"/>
      <c r="AH341" s="91"/>
      <c r="AI341" s="91"/>
      <c r="AL341" s="89"/>
      <c r="AM341" s="91"/>
      <c r="AN341" s="91"/>
      <c r="AP341" s="91"/>
      <c r="AQ341" s="91"/>
      <c r="AR341" s="91"/>
      <c r="AS341" s="91"/>
      <c r="AT341" s="91"/>
      <c r="BA341" s="91"/>
      <c r="BD341" s="89"/>
      <c r="BE341" s="89"/>
      <c r="BF341" s="91"/>
      <c r="BG341" s="91"/>
      <c r="BH341" s="91"/>
      <c r="BO341" s="91"/>
      <c r="BS341" s="91"/>
      <c r="BT341" s="91"/>
      <c r="BV341" s="91"/>
    </row>
    <row r="342" spans="1:74" x14ac:dyDescent="0.3">
      <c r="A342" s="89"/>
      <c r="B342" s="89"/>
      <c r="C342" s="91"/>
      <c r="D342" s="91"/>
      <c r="E342" s="91"/>
      <c r="F342" s="91"/>
      <c r="G342" s="91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89"/>
      <c r="Y342" s="89"/>
      <c r="Z342" s="91"/>
      <c r="AA342" s="91"/>
      <c r="AB342" s="91"/>
      <c r="AC342" s="91"/>
      <c r="AD342" s="91"/>
      <c r="AE342" s="91"/>
      <c r="AF342" s="91"/>
      <c r="AG342" s="91"/>
      <c r="AH342" s="91"/>
      <c r="AI342" s="91"/>
      <c r="AL342" s="89"/>
      <c r="AM342" s="91"/>
      <c r="AN342" s="91"/>
      <c r="AP342" s="91"/>
      <c r="AQ342" s="91"/>
      <c r="AR342" s="91"/>
      <c r="AS342" s="91"/>
      <c r="AT342" s="91"/>
      <c r="BA342" s="91"/>
      <c r="BD342" s="89"/>
      <c r="BE342" s="89"/>
      <c r="BF342" s="91"/>
      <c r="BG342" s="91"/>
      <c r="BH342" s="91"/>
      <c r="BO342" s="91"/>
      <c r="BS342" s="91"/>
      <c r="BT342" s="91"/>
      <c r="BV342" s="91"/>
    </row>
    <row r="343" spans="1:74" x14ac:dyDescent="0.3">
      <c r="A343" s="89"/>
      <c r="B343" s="89"/>
      <c r="C343" s="91"/>
      <c r="D343" s="91"/>
      <c r="E343" s="91"/>
      <c r="F343" s="91"/>
      <c r="G343" s="91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89"/>
      <c r="Y343" s="89"/>
      <c r="Z343" s="91"/>
      <c r="AA343" s="91"/>
      <c r="AB343" s="91"/>
      <c r="AC343" s="91"/>
      <c r="AD343" s="91"/>
      <c r="AE343" s="91"/>
      <c r="AF343" s="91"/>
      <c r="AG343" s="91"/>
      <c r="AH343" s="91"/>
      <c r="AI343" s="91"/>
      <c r="AL343" s="89"/>
      <c r="AM343" s="91"/>
      <c r="AN343" s="91"/>
      <c r="AP343" s="91"/>
      <c r="AQ343" s="91"/>
      <c r="AR343" s="91"/>
      <c r="AS343" s="91"/>
      <c r="AT343" s="91"/>
      <c r="BA343" s="91"/>
      <c r="BD343" s="89"/>
      <c r="BE343" s="89"/>
      <c r="BF343" s="91"/>
      <c r="BG343" s="91"/>
      <c r="BH343" s="91"/>
      <c r="BO343" s="91"/>
      <c r="BS343" s="91"/>
      <c r="BT343" s="91"/>
      <c r="BV343" s="91"/>
    </row>
    <row r="344" spans="1:74" x14ac:dyDescent="0.3">
      <c r="A344" s="89"/>
      <c r="B344" s="89"/>
      <c r="C344" s="91"/>
      <c r="D344" s="91"/>
      <c r="E344" s="91"/>
      <c r="F344" s="91"/>
      <c r="G344" s="91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89"/>
      <c r="Y344" s="89"/>
      <c r="Z344" s="91"/>
      <c r="AA344" s="91"/>
      <c r="AB344" s="91"/>
      <c r="AC344" s="91"/>
      <c r="AD344" s="91"/>
      <c r="AE344" s="91"/>
      <c r="AF344" s="91"/>
      <c r="AG344" s="91"/>
      <c r="AH344" s="91"/>
      <c r="AI344" s="91"/>
      <c r="AL344" s="89"/>
      <c r="AM344" s="91"/>
      <c r="AN344" s="91"/>
      <c r="AP344" s="91"/>
      <c r="AQ344" s="91"/>
      <c r="AR344" s="91"/>
      <c r="AS344" s="91"/>
      <c r="AT344" s="91"/>
      <c r="BA344" s="91"/>
      <c r="BD344" s="89"/>
      <c r="BE344" s="89"/>
      <c r="BF344" s="91"/>
      <c r="BG344" s="91"/>
      <c r="BH344" s="91"/>
      <c r="BO344" s="91"/>
      <c r="BS344" s="91"/>
      <c r="BT344" s="91"/>
      <c r="BV344" s="91"/>
    </row>
    <row r="345" spans="1:74" x14ac:dyDescent="0.3">
      <c r="A345" s="89"/>
      <c r="B345" s="89"/>
      <c r="C345" s="91"/>
      <c r="D345" s="91"/>
      <c r="E345" s="91"/>
      <c r="F345" s="91"/>
      <c r="G345" s="91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89"/>
      <c r="Y345" s="89"/>
      <c r="Z345" s="91"/>
      <c r="AA345" s="91"/>
      <c r="AB345" s="91"/>
      <c r="AC345" s="91"/>
      <c r="AD345" s="91"/>
      <c r="AE345" s="91"/>
      <c r="AF345" s="91"/>
      <c r="AG345" s="91"/>
      <c r="AH345" s="91"/>
      <c r="AI345" s="91"/>
      <c r="AL345" s="89"/>
      <c r="AM345" s="91"/>
      <c r="AN345" s="91"/>
      <c r="AP345" s="91"/>
      <c r="AQ345" s="91"/>
      <c r="AR345" s="91"/>
      <c r="AS345" s="91"/>
      <c r="AT345" s="91"/>
      <c r="BA345" s="91"/>
      <c r="BD345" s="89"/>
      <c r="BE345" s="89"/>
      <c r="BF345" s="91"/>
      <c r="BG345" s="91"/>
      <c r="BH345" s="91"/>
      <c r="BO345" s="91"/>
      <c r="BS345" s="91"/>
      <c r="BT345" s="91"/>
      <c r="BV345" s="91"/>
    </row>
    <row r="346" spans="1:74" x14ac:dyDescent="0.3">
      <c r="A346" s="89"/>
      <c r="B346" s="89"/>
      <c r="C346" s="91"/>
      <c r="D346" s="91"/>
      <c r="E346" s="91"/>
      <c r="F346" s="91"/>
      <c r="G346" s="91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89"/>
      <c r="Y346" s="89"/>
      <c r="Z346" s="91"/>
      <c r="AA346" s="91"/>
      <c r="AB346" s="91"/>
      <c r="AC346" s="91"/>
      <c r="AD346" s="91"/>
      <c r="AE346" s="91"/>
      <c r="AF346" s="91"/>
      <c r="AG346" s="91"/>
      <c r="AH346" s="91"/>
      <c r="AI346" s="91"/>
      <c r="AL346" s="89"/>
      <c r="AM346" s="91"/>
      <c r="AN346" s="91"/>
      <c r="AP346" s="91"/>
      <c r="AQ346" s="91"/>
      <c r="AR346" s="91"/>
      <c r="AS346" s="91"/>
      <c r="AT346" s="91"/>
      <c r="BA346" s="91"/>
      <c r="BD346" s="89"/>
      <c r="BE346" s="89"/>
      <c r="BF346" s="91"/>
      <c r="BG346" s="91"/>
      <c r="BH346" s="91"/>
      <c r="BO346" s="91"/>
      <c r="BS346" s="91"/>
      <c r="BT346" s="91"/>
      <c r="BV346" s="91"/>
    </row>
    <row r="347" spans="1:74" x14ac:dyDescent="0.3">
      <c r="A347" s="89"/>
      <c r="B347" s="89"/>
      <c r="C347" s="91"/>
      <c r="D347" s="91"/>
      <c r="E347" s="91"/>
      <c r="F347" s="91"/>
      <c r="G347" s="91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89"/>
      <c r="Y347" s="89"/>
      <c r="Z347" s="91"/>
      <c r="AA347" s="91"/>
      <c r="AB347" s="91"/>
      <c r="AC347" s="91"/>
      <c r="AD347" s="91"/>
      <c r="AE347" s="91"/>
      <c r="AF347" s="91"/>
      <c r="AG347" s="91"/>
      <c r="AH347" s="91"/>
      <c r="AI347" s="91"/>
      <c r="AL347" s="89"/>
      <c r="AM347" s="91"/>
      <c r="AN347" s="91"/>
      <c r="AP347" s="91"/>
      <c r="AQ347" s="91"/>
      <c r="AR347" s="91"/>
      <c r="AS347" s="91"/>
      <c r="AT347" s="91"/>
      <c r="BA347" s="91"/>
      <c r="BD347" s="89"/>
      <c r="BE347" s="89"/>
      <c r="BF347" s="91"/>
      <c r="BG347" s="91"/>
      <c r="BH347" s="91"/>
      <c r="BO347" s="91"/>
      <c r="BS347" s="91"/>
      <c r="BT347" s="91"/>
      <c r="BV347" s="91"/>
    </row>
    <row r="348" spans="1:74" x14ac:dyDescent="0.3">
      <c r="A348" s="89"/>
      <c r="B348" s="89"/>
      <c r="C348" s="91"/>
      <c r="D348" s="91"/>
      <c r="E348" s="91"/>
      <c r="F348" s="91"/>
      <c r="G348" s="91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89"/>
      <c r="Y348" s="89"/>
      <c r="Z348" s="91"/>
      <c r="AA348" s="91"/>
      <c r="AB348" s="91"/>
      <c r="AC348" s="91"/>
      <c r="AD348" s="91"/>
      <c r="AE348" s="91"/>
      <c r="AF348" s="91"/>
      <c r="AG348" s="91"/>
      <c r="AH348" s="91"/>
      <c r="AI348" s="91"/>
      <c r="AL348" s="89"/>
      <c r="AM348" s="91"/>
      <c r="AN348" s="91"/>
      <c r="AP348" s="91"/>
      <c r="AQ348" s="91"/>
      <c r="AR348" s="91"/>
      <c r="AS348" s="91"/>
      <c r="AT348" s="91"/>
      <c r="BA348" s="91"/>
      <c r="BD348" s="89"/>
      <c r="BE348" s="89"/>
      <c r="BF348" s="91"/>
      <c r="BG348" s="91"/>
      <c r="BH348" s="91"/>
      <c r="BO348" s="91"/>
      <c r="BS348" s="91"/>
      <c r="BT348" s="91"/>
      <c r="BV348" s="91"/>
    </row>
    <row r="349" spans="1:74" x14ac:dyDescent="0.3">
      <c r="A349" s="89"/>
      <c r="B349" s="89"/>
      <c r="C349" s="91"/>
      <c r="D349" s="91"/>
      <c r="E349" s="91"/>
      <c r="F349" s="91"/>
      <c r="G349" s="91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89"/>
      <c r="Y349" s="89"/>
      <c r="Z349" s="91"/>
      <c r="AA349" s="91"/>
      <c r="AB349" s="91"/>
      <c r="AC349" s="91"/>
      <c r="AD349" s="91"/>
      <c r="AE349" s="91"/>
      <c r="AF349" s="91"/>
      <c r="AG349" s="91"/>
      <c r="AH349" s="91"/>
      <c r="AI349" s="91"/>
      <c r="AL349" s="89"/>
      <c r="AM349" s="91"/>
      <c r="AN349" s="91"/>
      <c r="AP349" s="91"/>
      <c r="AQ349" s="91"/>
      <c r="AR349" s="91"/>
      <c r="AS349" s="91"/>
      <c r="AT349" s="91"/>
      <c r="BA349" s="91"/>
      <c r="BD349" s="89"/>
      <c r="BE349" s="89"/>
      <c r="BF349" s="91"/>
      <c r="BG349" s="91"/>
      <c r="BH349" s="91"/>
      <c r="BO349" s="91"/>
      <c r="BS349" s="91"/>
      <c r="BT349" s="91"/>
      <c r="BV349" s="91"/>
    </row>
    <row r="350" spans="1:74" x14ac:dyDescent="0.3">
      <c r="A350" s="89"/>
      <c r="B350" s="89"/>
      <c r="C350" s="91"/>
      <c r="D350" s="91"/>
      <c r="E350" s="91"/>
      <c r="F350" s="91"/>
      <c r="G350" s="91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89"/>
      <c r="Y350" s="89"/>
      <c r="Z350" s="91"/>
      <c r="AA350" s="91"/>
      <c r="AB350" s="91"/>
      <c r="AC350" s="91"/>
      <c r="AD350" s="91"/>
      <c r="AE350" s="91"/>
      <c r="AF350" s="91"/>
      <c r="AG350" s="91"/>
      <c r="AH350" s="91"/>
      <c r="AI350" s="91"/>
      <c r="AL350" s="89"/>
      <c r="AM350" s="91"/>
      <c r="AN350" s="91"/>
      <c r="AP350" s="91"/>
      <c r="AQ350" s="91"/>
      <c r="AR350" s="91"/>
      <c r="AS350" s="91"/>
      <c r="AT350" s="91"/>
      <c r="BA350" s="91"/>
      <c r="BD350" s="89"/>
      <c r="BE350" s="89"/>
      <c r="BF350" s="91"/>
      <c r="BG350" s="91"/>
      <c r="BH350" s="91"/>
      <c r="BO350" s="91"/>
      <c r="BS350" s="91"/>
      <c r="BT350" s="91"/>
      <c r="BV350" s="91"/>
    </row>
    <row r="351" spans="1:74" x14ac:dyDescent="0.3">
      <c r="A351" s="89"/>
      <c r="B351" s="89"/>
      <c r="C351" s="91"/>
      <c r="D351" s="91"/>
      <c r="E351" s="91"/>
      <c r="F351" s="91"/>
      <c r="G351" s="91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89"/>
      <c r="Y351" s="89"/>
      <c r="Z351" s="91"/>
      <c r="AA351" s="91"/>
      <c r="AB351" s="91"/>
      <c r="AC351" s="91"/>
      <c r="AD351" s="91"/>
      <c r="AE351" s="91"/>
      <c r="AF351" s="91"/>
      <c r="AG351" s="91"/>
      <c r="AH351" s="91"/>
      <c r="AI351" s="91"/>
      <c r="AL351" s="89"/>
      <c r="AM351" s="91"/>
      <c r="AN351" s="91"/>
      <c r="AP351" s="91"/>
      <c r="AQ351" s="91"/>
      <c r="AR351" s="91"/>
      <c r="AS351" s="91"/>
      <c r="AT351" s="91"/>
      <c r="BA351" s="91"/>
      <c r="BD351" s="89"/>
      <c r="BE351" s="89"/>
      <c r="BF351" s="91"/>
      <c r="BG351" s="91"/>
      <c r="BH351" s="91"/>
      <c r="BO351" s="91"/>
      <c r="BS351" s="91"/>
      <c r="BT351" s="91"/>
      <c r="BV351" s="91"/>
    </row>
    <row r="352" spans="1:74" x14ac:dyDescent="0.3">
      <c r="A352" s="89"/>
      <c r="B352" s="89"/>
      <c r="C352" s="91"/>
      <c r="D352" s="91"/>
      <c r="E352" s="91"/>
      <c r="F352" s="91"/>
      <c r="G352" s="91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89"/>
      <c r="Y352" s="89"/>
      <c r="Z352" s="91"/>
      <c r="AA352" s="91"/>
      <c r="AB352" s="91"/>
      <c r="AC352" s="91"/>
      <c r="AD352" s="91"/>
      <c r="AE352" s="91"/>
      <c r="AF352" s="91"/>
      <c r="AG352" s="91"/>
      <c r="AH352" s="91"/>
      <c r="AI352" s="91"/>
      <c r="AL352" s="89"/>
      <c r="AM352" s="91"/>
      <c r="AN352" s="91"/>
      <c r="AP352" s="91"/>
      <c r="AQ352" s="91"/>
      <c r="AR352" s="91"/>
      <c r="AS352" s="91"/>
      <c r="AT352" s="91"/>
      <c r="BA352" s="91"/>
      <c r="BD352" s="89"/>
      <c r="BE352" s="89"/>
      <c r="BF352" s="91"/>
      <c r="BG352" s="91"/>
      <c r="BH352" s="91"/>
      <c r="BO352" s="91"/>
      <c r="BS352" s="91"/>
      <c r="BT352" s="91"/>
      <c r="BV352" s="91"/>
    </row>
    <row r="353" spans="1:74" x14ac:dyDescent="0.3">
      <c r="A353" s="89"/>
      <c r="B353" s="89"/>
      <c r="C353" s="91"/>
      <c r="D353" s="91"/>
      <c r="E353" s="91"/>
      <c r="F353" s="91"/>
      <c r="G353" s="91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89"/>
      <c r="Y353" s="89"/>
      <c r="Z353" s="91"/>
      <c r="AA353" s="91"/>
      <c r="AB353" s="91"/>
      <c r="AC353" s="91"/>
      <c r="AD353" s="91"/>
      <c r="AE353" s="91"/>
      <c r="AF353" s="91"/>
      <c r="AG353" s="91"/>
      <c r="AH353" s="91"/>
      <c r="AI353" s="91"/>
      <c r="AL353" s="89"/>
      <c r="AM353" s="91"/>
      <c r="AN353" s="91"/>
      <c r="AP353" s="91"/>
      <c r="AQ353" s="91"/>
      <c r="AR353" s="91"/>
      <c r="AS353" s="91"/>
      <c r="AT353" s="91"/>
      <c r="BA353" s="91"/>
      <c r="BD353" s="89"/>
      <c r="BE353" s="89"/>
      <c r="BF353" s="91"/>
      <c r="BG353" s="91"/>
      <c r="BH353" s="91"/>
      <c r="BO353" s="91"/>
      <c r="BS353" s="91"/>
      <c r="BT353" s="91"/>
      <c r="BV353" s="91"/>
    </row>
    <row r="354" spans="1:74" x14ac:dyDescent="0.3">
      <c r="A354" s="89"/>
      <c r="B354" s="89"/>
      <c r="C354" s="91"/>
      <c r="D354" s="91"/>
      <c r="E354" s="91"/>
      <c r="F354" s="91"/>
      <c r="G354" s="91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89"/>
      <c r="Y354" s="89"/>
      <c r="Z354" s="91"/>
      <c r="AA354" s="91"/>
      <c r="AB354" s="91"/>
      <c r="AC354" s="91"/>
      <c r="AD354" s="91"/>
      <c r="AE354" s="91"/>
      <c r="AF354" s="91"/>
      <c r="AG354" s="91"/>
      <c r="AH354" s="91"/>
      <c r="AI354" s="91"/>
      <c r="AL354" s="89"/>
      <c r="AM354" s="91"/>
      <c r="AN354" s="91"/>
      <c r="AP354" s="91"/>
      <c r="AQ354" s="91"/>
      <c r="AR354" s="91"/>
      <c r="AS354" s="91"/>
      <c r="AT354" s="91"/>
      <c r="BA354" s="91"/>
      <c r="BD354" s="89"/>
      <c r="BE354" s="89"/>
      <c r="BF354" s="91"/>
      <c r="BG354" s="91"/>
      <c r="BH354" s="91"/>
      <c r="BO354" s="91"/>
      <c r="BS354" s="91"/>
      <c r="BT354" s="91"/>
      <c r="BV354" s="91"/>
    </row>
    <row r="355" spans="1:74" x14ac:dyDescent="0.3">
      <c r="A355" s="89"/>
      <c r="B355" s="89"/>
      <c r="C355" s="91"/>
      <c r="D355" s="91"/>
      <c r="E355" s="91"/>
      <c r="F355" s="91"/>
      <c r="G355" s="91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89"/>
      <c r="Y355" s="89"/>
      <c r="Z355" s="91"/>
      <c r="AA355" s="91"/>
      <c r="AB355" s="91"/>
      <c r="AC355" s="91"/>
      <c r="AD355" s="91"/>
      <c r="AE355" s="91"/>
      <c r="AF355" s="91"/>
      <c r="AG355" s="91"/>
      <c r="AH355" s="91"/>
      <c r="AI355" s="91"/>
      <c r="AL355" s="89"/>
      <c r="AM355" s="91"/>
      <c r="AN355" s="91"/>
      <c r="AP355" s="91"/>
      <c r="AQ355" s="91"/>
      <c r="AR355" s="91"/>
      <c r="AS355" s="91"/>
      <c r="AT355" s="91"/>
      <c r="BA355" s="91"/>
      <c r="BD355" s="89"/>
      <c r="BE355" s="89"/>
      <c r="BF355" s="91"/>
      <c r="BG355" s="91"/>
      <c r="BH355" s="91"/>
      <c r="BO355" s="91"/>
      <c r="BS355" s="91"/>
      <c r="BT355" s="91"/>
      <c r="BV355" s="91"/>
    </row>
    <row r="356" spans="1:74" x14ac:dyDescent="0.3">
      <c r="A356" s="89"/>
      <c r="B356" s="89"/>
      <c r="C356" s="91"/>
      <c r="D356" s="91"/>
      <c r="E356" s="91"/>
      <c r="F356" s="91"/>
      <c r="G356" s="91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89"/>
      <c r="Y356" s="89"/>
      <c r="Z356" s="91"/>
      <c r="AA356" s="91"/>
      <c r="AB356" s="91"/>
      <c r="AC356" s="91"/>
      <c r="AD356" s="91"/>
      <c r="AE356" s="91"/>
      <c r="AF356" s="91"/>
      <c r="AG356" s="91"/>
      <c r="AH356" s="91"/>
      <c r="AI356" s="91"/>
      <c r="AL356" s="89"/>
      <c r="AM356" s="91"/>
      <c r="AN356" s="91"/>
      <c r="AP356" s="91"/>
      <c r="AQ356" s="91"/>
      <c r="AR356" s="91"/>
      <c r="AS356" s="91"/>
      <c r="AT356" s="91"/>
      <c r="BA356" s="91"/>
      <c r="BD356" s="89"/>
      <c r="BE356" s="89"/>
      <c r="BF356" s="91"/>
      <c r="BG356" s="91"/>
      <c r="BH356" s="91"/>
      <c r="BO356" s="91"/>
      <c r="BS356" s="91"/>
      <c r="BT356" s="91"/>
      <c r="BV356" s="91"/>
    </row>
    <row r="357" spans="1:74" x14ac:dyDescent="0.3">
      <c r="A357" s="89"/>
      <c r="B357" s="89"/>
      <c r="C357" s="91"/>
      <c r="D357" s="91"/>
      <c r="E357" s="91"/>
      <c r="F357" s="91"/>
      <c r="G357" s="91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89"/>
      <c r="Y357" s="89"/>
      <c r="Z357" s="91"/>
      <c r="AA357" s="91"/>
      <c r="AB357" s="91"/>
      <c r="AC357" s="91"/>
      <c r="AD357" s="91"/>
      <c r="AE357" s="91"/>
      <c r="AF357" s="91"/>
      <c r="AG357" s="91"/>
      <c r="AH357" s="91"/>
      <c r="AI357" s="91"/>
      <c r="AL357" s="89"/>
      <c r="AM357" s="91"/>
      <c r="AN357" s="91"/>
      <c r="AP357" s="91"/>
      <c r="AQ357" s="91"/>
      <c r="AR357" s="91"/>
      <c r="AS357" s="91"/>
      <c r="AT357" s="91"/>
      <c r="BA357" s="91"/>
      <c r="BD357" s="89"/>
      <c r="BE357" s="89"/>
      <c r="BF357" s="91"/>
      <c r="BG357" s="91"/>
      <c r="BH357" s="91"/>
      <c r="BO357" s="91"/>
      <c r="BS357" s="91"/>
      <c r="BT357" s="91"/>
      <c r="BV357" s="91"/>
    </row>
    <row r="358" spans="1:74" x14ac:dyDescent="0.3">
      <c r="A358" s="89"/>
      <c r="B358" s="89"/>
      <c r="C358" s="91"/>
      <c r="D358" s="91"/>
      <c r="E358" s="91"/>
      <c r="F358" s="91"/>
      <c r="G358" s="91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89"/>
      <c r="Y358" s="89"/>
      <c r="Z358" s="91"/>
      <c r="AA358" s="91"/>
      <c r="AB358" s="91"/>
      <c r="AC358" s="91"/>
      <c r="AD358" s="91"/>
      <c r="AE358" s="91"/>
      <c r="AF358" s="91"/>
      <c r="AG358" s="91"/>
      <c r="AH358" s="91"/>
      <c r="AI358" s="91"/>
      <c r="AL358" s="89"/>
      <c r="AM358" s="91"/>
      <c r="AN358" s="91"/>
      <c r="AP358" s="91"/>
      <c r="AQ358" s="91"/>
      <c r="AR358" s="91"/>
      <c r="AS358" s="91"/>
      <c r="AT358" s="91"/>
      <c r="BA358" s="91"/>
      <c r="BD358" s="89"/>
      <c r="BE358" s="89"/>
      <c r="BF358" s="91"/>
      <c r="BG358" s="91"/>
      <c r="BH358" s="91"/>
      <c r="BO358" s="91"/>
      <c r="BS358" s="91"/>
      <c r="BT358" s="91"/>
      <c r="BV358" s="91"/>
    </row>
    <row r="359" spans="1:74" x14ac:dyDescent="0.3">
      <c r="A359" s="89"/>
      <c r="B359" s="89"/>
      <c r="C359" s="91"/>
      <c r="D359" s="91"/>
      <c r="E359" s="91"/>
      <c r="F359" s="91"/>
      <c r="G359" s="91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89"/>
      <c r="Y359" s="89"/>
      <c r="Z359" s="91"/>
      <c r="AA359" s="91"/>
      <c r="AB359" s="91"/>
      <c r="AC359" s="91"/>
      <c r="AD359" s="91"/>
      <c r="AE359" s="91"/>
      <c r="AF359" s="91"/>
      <c r="AG359" s="91"/>
      <c r="AH359" s="91"/>
      <c r="AI359" s="91"/>
      <c r="AL359" s="89"/>
      <c r="AM359" s="91"/>
      <c r="AN359" s="91"/>
      <c r="AP359" s="91"/>
      <c r="AQ359" s="91"/>
      <c r="AR359" s="91"/>
      <c r="AS359" s="91"/>
      <c r="AT359" s="91"/>
      <c r="BA359" s="91"/>
      <c r="BD359" s="89"/>
      <c r="BE359" s="89"/>
      <c r="BF359" s="91"/>
      <c r="BG359" s="91"/>
      <c r="BH359" s="91"/>
      <c r="BO359" s="91"/>
      <c r="BS359" s="91"/>
      <c r="BT359" s="91"/>
      <c r="BV359" s="91"/>
    </row>
    <row r="360" spans="1:74" x14ac:dyDescent="0.3">
      <c r="A360" s="89"/>
      <c r="B360" s="89"/>
      <c r="C360" s="91"/>
      <c r="D360" s="91"/>
      <c r="E360" s="91"/>
      <c r="F360" s="91"/>
      <c r="G360" s="91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89"/>
      <c r="Y360" s="89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L360" s="89"/>
      <c r="AM360" s="91"/>
      <c r="AN360" s="91"/>
      <c r="AP360" s="91"/>
      <c r="AQ360" s="91"/>
      <c r="AR360" s="91"/>
      <c r="AS360" s="91"/>
      <c r="AT360" s="91"/>
      <c r="BA360" s="91"/>
      <c r="BD360" s="89"/>
      <c r="BE360" s="89"/>
      <c r="BF360" s="91"/>
      <c r="BG360" s="91"/>
      <c r="BH360" s="91"/>
      <c r="BO360" s="91"/>
      <c r="BS360" s="91"/>
      <c r="BT360" s="91"/>
      <c r="BV360" s="91"/>
    </row>
    <row r="361" spans="1:74" x14ac:dyDescent="0.3">
      <c r="A361" s="89"/>
      <c r="B361" s="89"/>
      <c r="C361" s="91"/>
      <c r="D361" s="91"/>
      <c r="E361" s="91"/>
      <c r="F361" s="91"/>
      <c r="G361" s="91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89"/>
      <c r="Y361" s="89"/>
      <c r="Z361" s="91"/>
      <c r="AA361" s="91"/>
      <c r="AB361" s="91"/>
      <c r="AC361" s="91"/>
      <c r="AD361" s="91"/>
      <c r="AE361" s="91"/>
      <c r="AF361" s="91"/>
      <c r="AG361" s="91"/>
      <c r="AH361" s="91"/>
      <c r="AI361" s="91"/>
      <c r="AL361" s="89"/>
      <c r="AM361" s="91"/>
      <c r="AN361" s="91"/>
      <c r="AP361" s="91"/>
      <c r="AQ361" s="91"/>
      <c r="AR361" s="91"/>
      <c r="AS361" s="91"/>
      <c r="AT361" s="91"/>
      <c r="BA361" s="91"/>
      <c r="BD361" s="89"/>
      <c r="BE361" s="89"/>
      <c r="BF361" s="91"/>
      <c r="BG361" s="91"/>
      <c r="BH361" s="91"/>
      <c r="BO361" s="91"/>
      <c r="BS361" s="91"/>
      <c r="BT361" s="91"/>
      <c r="BV361" s="91"/>
    </row>
    <row r="362" spans="1:74" x14ac:dyDescent="0.3">
      <c r="A362" s="89"/>
      <c r="B362" s="89"/>
      <c r="C362" s="91"/>
      <c r="D362" s="91"/>
      <c r="E362" s="91"/>
      <c r="F362" s="91"/>
      <c r="G362" s="91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89"/>
      <c r="Y362" s="89"/>
      <c r="Z362" s="91"/>
      <c r="AA362" s="91"/>
      <c r="AB362" s="91"/>
      <c r="AC362" s="91"/>
      <c r="AD362" s="91"/>
      <c r="AE362" s="91"/>
      <c r="AF362" s="91"/>
      <c r="AG362" s="91"/>
      <c r="AH362" s="91"/>
      <c r="AI362" s="91"/>
      <c r="AL362" s="89"/>
      <c r="AM362" s="91"/>
      <c r="AN362" s="91"/>
      <c r="AP362" s="91"/>
      <c r="AQ362" s="91"/>
      <c r="AR362" s="91"/>
      <c r="AS362" s="91"/>
      <c r="AT362" s="91"/>
      <c r="BA362" s="91"/>
      <c r="BD362" s="89"/>
      <c r="BE362" s="89"/>
      <c r="BF362" s="91"/>
      <c r="BG362" s="91"/>
      <c r="BH362" s="91"/>
      <c r="BO362" s="91"/>
      <c r="BS362" s="91"/>
      <c r="BT362" s="91"/>
      <c r="BV362" s="91"/>
    </row>
    <row r="363" spans="1:74" x14ac:dyDescent="0.3">
      <c r="A363" s="89"/>
      <c r="B363" s="89"/>
      <c r="C363" s="91"/>
      <c r="D363" s="91"/>
      <c r="E363" s="91"/>
      <c r="F363" s="91"/>
      <c r="G363" s="91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89"/>
      <c r="Y363" s="89"/>
      <c r="Z363" s="91"/>
      <c r="AA363" s="91"/>
      <c r="AB363" s="91"/>
      <c r="AC363" s="91"/>
      <c r="AD363" s="91"/>
      <c r="AE363" s="91"/>
      <c r="AF363" s="91"/>
      <c r="AG363" s="91"/>
      <c r="AH363" s="91"/>
      <c r="AI363" s="91"/>
      <c r="AL363" s="89"/>
      <c r="AM363" s="91"/>
      <c r="AN363" s="91"/>
      <c r="AP363" s="91"/>
      <c r="AQ363" s="91"/>
      <c r="AR363" s="91"/>
      <c r="AS363" s="91"/>
      <c r="AT363" s="91"/>
      <c r="BA363" s="91"/>
      <c r="BD363" s="89"/>
      <c r="BE363" s="89"/>
      <c r="BF363" s="91"/>
      <c r="BG363" s="91"/>
      <c r="BH363" s="91"/>
      <c r="BO363" s="91"/>
      <c r="BS363" s="91"/>
      <c r="BT363" s="91"/>
      <c r="BV363" s="91"/>
    </row>
    <row r="364" spans="1:74" x14ac:dyDescent="0.3">
      <c r="A364" s="89"/>
      <c r="B364" s="89"/>
      <c r="C364" s="91"/>
      <c r="D364" s="91"/>
      <c r="E364" s="91"/>
      <c r="F364" s="91"/>
      <c r="G364" s="91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89"/>
      <c r="Y364" s="89"/>
      <c r="Z364" s="91"/>
      <c r="AA364" s="91"/>
      <c r="AB364" s="91"/>
      <c r="AC364" s="91"/>
      <c r="AD364" s="91"/>
      <c r="AE364" s="91"/>
      <c r="AF364" s="91"/>
      <c r="AG364" s="91"/>
      <c r="AH364" s="91"/>
      <c r="AI364" s="91"/>
      <c r="AL364" s="89"/>
      <c r="AM364" s="91"/>
      <c r="AN364" s="91"/>
      <c r="AP364" s="91"/>
      <c r="AQ364" s="91"/>
      <c r="AR364" s="91"/>
      <c r="AS364" s="91"/>
      <c r="AT364" s="91"/>
      <c r="BA364" s="91"/>
      <c r="BD364" s="89"/>
      <c r="BE364" s="89"/>
      <c r="BF364" s="91"/>
      <c r="BG364" s="91"/>
      <c r="BH364" s="91"/>
      <c r="BO364" s="91"/>
      <c r="BS364" s="91"/>
      <c r="BT364" s="91"/>
      <c r="BV364" s="91"/>
    </row>
    <row r="365" spans="1:74" x14ac:dyDescent="0.3">
      <c r="A365" s="89"/>
      <c r="B365" s="89"/>
      <c r="C365" s="91"/>
      <c r="D365" s="91"/>
      <c r="E365" s="91"/>
      <c r="F365" s="91"/>
      <c r="G365" s="91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89"/>
      <c r="Y365" s="89"/>
      <c r="Z365" s="91"/>
      <c r="AA365" s="91"/>
      <c r="AB365" s="91"/>
      <c r="AC365" s="91"/>
      <c r="AD365" s="91"/>
      <c r="AE365" s="91"/>
      <c r="AF365" s="91"/>
      <c r="AG365" s="91"/>
      <c r="AH365" s="91"/>
      <c r="AI365" s="91"/>
      <c r="AL365" s="89"/>
      <c r="AM365" s="91"/>
      <c r="AN365" s="91"/>
      <c r="AP365" s="91"/>
      <c r="AQ365" s="91"/>
      <c r="AR365" s="91"/>
      <c r="AS365" s="91"/>
      <c r="AT365" s="91"/>
      <c r="BA365" s="91"/>
      <c r="BD365" s="89"/>
      <c r="BE365" s="89"/>
      <c r="BF365" s="91"/>
      <c r="BG365" s="91"/>
      <c r="BH365" s="91"/>
      <c r="BO365" s="91"/>
      <c r="BS365" s="91"/>
      <c r="BT365" s="91"/>
      <c r="BV365" s="91"/>
    </row>
    <row r="366" spans="1:74" x14ac:dyDescent="0.3">
      <c r="A366" s="89"/>
      <c r="B366" s="89"/>
      <c r="C366" s="91"/>
      <c r="D366" s="91"/>
      <c r="E366" s="91"/>
      <c r="F366" s="91"/>
      <c r="G366" s="91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89"/>
      <c r="Y366" s="89"/>
      <c r="Z366" s="91"/>
      <c r="AA366" s="91"/>
      <c r="AB366" s="91"/>
      <c r="AC366" s="91"/>
      <c r="AD366" s="91"/>
      <c r="AE366" s="91"/>
      <c r="AF366" s="91"/>
      <c r="AG366" s="91"/>
      <c r="AH366" s="91"/>
      <c r="AI366" s="91"/>
      <c r="AL366" s="89"/>
      <c r="AM366" s="91"/>
      <c r="AN366" s="91"/>
      <c r="AP366" s="91"/>
      <c r="AQ366" s="91"/>
      <c r="AR366" s="91"/>
      <c r="AS366" s="91"/>
      <c r="AT366" s="91"/>
      <c r="BA366" s="91"/>
      <c r="BD366" s="89"/>
      <c r="BE366" s="89"/>
      <c r="BF366" s="91"/>
      <c r="BG366" s="91"/>
      <c r="BH366" s="91"/>
      <c r="BO366" s="91"/>
      <c r="BS366" s="91"/>
      <c r="BT366" s="91"/>
      <c r="BV366" s="91"/>
    </row>
    <row r="367" spans="1:74" x14ac:dyDescent="0.3">
      <c r="A367" s="89"/>
      <c r="B367" s="89"/>
      <c r="C367" s="91"/>
      <c r="D367" s="91"/>
      <c r="E367" s="91"/>
      <c r="F367" s="91"/>
      <c r="G367" s="91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89"/>
      <c r="Y367" s="89"/>
      <c r="Z367" s="91"/>
      <c r="AA367" s="91"/>
      <c r="AB367" s="91"/>
      <c r="AC367" s="91"/>
      <c r="AD367" s="91"/>
      <c r="AE367" s="91"/>
      <c r="AF367" s="91"/>
      <c r="AG367" s="91"/>
      <c r="AH367" s="91"/>
      <c r="AI367" s="91"/>
      <c r="AL367" s="89"/>
      <c r="AM367" s="91"/>
      <c r="AN367" s="91"/>
      <c r="AP367" s="91"/>
      <c r="AQ367" s="91"/>
      <c r="AR367" s="91"/>
      <c r="AS367" s="91"/>
      <c r="AT367" s="91"/>
      <c r="BA367" s="91"/>
      <c r="BD367" s="89"/>
      <c r="BE367" s="89"/>
      <c r="BF367" s="91"/>
      <c r="BG367" s="91"/>
      <c r="BH367" s="91"/>
      <c r="BO367" s="91"/>
      <c r="BS367" s="91"/>
      <c r="BT367" s="91"/>
      <c r="BV367" s="91"/>
    </row>
    <row r="368" spans="1:74" x14ac:dyDescent="0.3">
      <c r="A368" s="89"/>
      <c r="B368" s="89"/>
      <c r="C368" s="91"/>
      <c r="D368" s="91"/>
      <c r="E368" s="91"/>
      <c r="F368" s="91"/>
      <c r="G368" s="91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89"/>
      <c r="Y368" s="89"/>
      <c r="Z368" s="91"/>
      <c r="AA368" s="91"/>
      <c r="AB368" s="91"/>
      <c r="AC368" s="91"/>
      <c r="AD368" s="91"/>
      <c r="AE368" s="91"/>
      <c r="AF368" s="91"/>
      <c r="AG368" s="91"/>
      <c r="AH368" s="91"/>
      <c r="AI368" s="91"/>
      <c r="AL368" s="89"/>
      <c r="AM368" s="91"/>
      <c r="AN368" s="91"/>
      <c r="AP368" s="91"/>
      <c r="AQ368" s="91"/>
      <c r="AR368" s="91"/>
      <c r="AS368" s="91"/>
      <c r="AT368" s="91"/>
      <c r="BA368" s="91"/>
      <c r="BD368" s="89"/>
      <c r="BE368" s="89"/>
      <c r="BF368" s="91"/>
      <c r="BG368" s="91"/>
      <c r="BH368" s="91"/>
      <c r="BO368" s="91"/>
      <c r="BS368" s="91"/>
      <c r="BT368" s="91"/>
      <c r="BV368" s="91"/>
    </row>
    <row r="369" spans="1:74" x14ac:dyDescent="0.3">
      <c r="A369" s="89"/>
      <c r="B369" s="89"/>
      <c r="C369" s="91"/>
      <c r="D369" s="91"/>
      <c r="E369" s="91"/>
      <c r="F369" s="91"/>
      <c r="G369" s="91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89"/>
      <c r="Y369" s="89"/>
      <c r="Z369" s="91"/>
      <c r="AA369" s="91"/>
      <c r="AB369" s="91"/>
      <c r="AC369" s="91"/>
      <c r="AD369" s="91"/>
      <c r="AE369" s="91"/>
      <c r="AF369" s="91"/>
      <c r="AG369" s="91"/>
      <c r="AH369" s="91"/>
      <c r="AI369" s="91"/>
      <c r="AL369" s="89"/>
      <c r="AM369" s="91"/>
      <c r="AN369" s="91"/>
      <c r="AP369" s="91"/>
      <c r="AQ369" s="91"/>
      <c r="AR369" s="91"/>
      <c r="AS369" s="91"/>
      <c r="AT369" s="91"/>
      <c r="BA369" s="91"/>
      <c r="BD369" s="89"/>
      <c r="BE369" s="89"/>
      <c r="BF369" s="91"/>
      <c r="BG369" s="91"/>
      <c r="BH369" s="91"/>
      <c r="BO369" s="91"/>
      <c r="BS369" s="91"/>
      <c r="BT369" s="91"/>
      <c r="BV369" s="91"/>
    </row>
    <row r="370" spans="1:74" x14ac:dyDescent="0.3">
      <c r="A370" s="89"/>
      <c r="B370" s="89"/>
      <c r="C370" s="91"/>
      <c r="D370" s="91"/>
      <c r="E370" s="91"/>
      <c r="F370" s="91"/>
      <c r="G370" s="91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89"/>
      <c r="Y370" s="89"/>
      <c r="Z370" s="91"/>
      <c r="AA370" s="91"/>
      <c r="AB370" s="91"/>
      <c r="AC370" s="91"/>
      <c r="AD370" s="91"/>
      <c r="AE370" s="91"/>
      <c r="AF370" s="91"/>
      <c r="AG370" s="91"/>
      <c r="AH370" s="91"/>
      <c r="AI370" s="91"/>
      <c r="AL370" s="89"/>
      <c r="AM370" s="91"/>
      <c r="AN370" s="91"/>
      <c r="AP370" s="91"/>
      <c r="AQ370" s="91"/>
      <c r="AR370" s="91"/>
      <c r="AS370" s="91"/>
      <c r="AT370" s="91"/>
      <c r="BA370" s="91"/>
      <c r="BD370" s="89"/>
      <c r="BE370" s="89"/>
      <c r="BF370" s="91"/>
      <c r="BG370" s="91"/>
      <c r="BH370" s="91"/>
      <c r="BO370" s="91"/>
      <c r="BS370" s="91"/>
      <c r="BT370" s="91"/>
      <c r="BV370" s="91"/>
    </row>
    <row r="371" spans="1:74" x14ac:dyDescent="0.3">
      <c r="A371" s="89"/>
      <c r="B371" s="89"/>
      <c r="C371" s="91"/>
      <c r="D371" s="91"/>
      <c r="E371" s="91"/>
      <c r="F371" s="91"/>
      <c r="G371" s="91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89"/>
      <c r="Y371" s="89"/>
      <c r="Z371" s="91"/>
      <c r="AA371" s="91"/>
      <c r="AB371" s="91"/>
      <c r="AC371" s="91"/>
      <c r="AD371" s="91"/>
      <c r="AE371" s="91"/>
      <c r="AF371" s="91"/>
      <c r="AG371" s="91"/>
      <c r="AH371" s="91"/>
      <c r="AI371" s="91"/>
      <c r="AL371" s="89"/>
      <c r="AM371" s="91"/>
      <c r="AN371" s="91"/>
      <c r="AP371" s="91"/>
      <c r="AQ371" s="91"/>
      <c r="AR371" s="91"/>
      <c r="AS371" s="91"/>
      <c r="AT371" s="91"/>
      <c r="BA371" s="91"/>
      <c r="BD371" s="89"/>
      <c r="BE371" s="89"/>
      <c r="BF371" s="91"/>
      <c r="BG371" s="91"/>
      <c r="BH371" s="91"/>
      <c r="BO371" s="91"/>
      <c r="BS371" s="91"/>
      <c r="BT371" s="91"/>
      <c r="BV371" s="91"/>
    </row>
    <row r="372" spans="1:74" x14ac:dyDescent="0.3">
      <c r="A372" s="89"/>
      <c r="B372" s="89"/>
      <c r="C372" s="91"/>
      <c r="D372" s="91"/>
      <c r="E372" s="91"/>
      <c r="F372" s="91"/>
      <c r="G372" s="91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89"/>
      <c r="Y372" s="89"/>
      <c r="Z372" s="91"/>
      <c r="AA372" s="91"/>
      <c r="AB372" s="91"/>
      <c r="AC372" s="91"/>
      <c r="AD372" s="91"/>
      <c r="AE372" s="91"/>
      <c r="AF372" s="91"/>
      <c r="AG372" s="91"/>
      <c r="AH372" s="91"/>
      <c r="AI372" s="91"/>
      <c r="AL372" s="89"/>
      <c r="AM372" s="91"/>
      <c r="AN372" s="91"/>
      <c r="AP372" s="91"/>
      <c r="AQ372" s="91"/>
      <c r="AR372" s="91"/>
      <c r="AS372" s="91"/>
      <c r="AT372" s="91"/>
      <c r="BA372" s="91"/>
      <c r="BD372" s="89"/>
      <c r="BE372" s="89"/>
      <c r="BF372" s="91"/>
      <c r="BG372" s="91"/>
      <c r="BH372" s="91"/>
      <c r="BO372" s="91"/>
      <c r="BS372" s="91"/>
      <c r="BT372" s="91"/>
      <c r="BV372" s="91"/>
    </row>
    <row r="373" spans="1:74" x14ac:dyDescent="0.3">
      <c r="A373" s="89"/>
      <c r="B373" s="89"/>
      <c r="C373" s="91"/>
      <c r="D373" s="91"/>
      <c r="E373" s="91"/>
      <c r="F373" s="91"/>
      <c r="G373" s="91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89"/>
      <c r="Y373" s="89"/>
      <c r="Z373" s="91"/>
      <c r="AA373" s="91"/>
      <c r="AB373" s="91"/>
      <c r="AC373" s="91"/>
      <c r="AD373" s="91"/>
      <c r="AE373" s="91"/>
      <c r="AF373" s="91"/>
      <c r="AG373" s="91"/>
      <c r="AH373" s="91"/>
      <c r="AI373" s="91"/>
      <c r="AL373" s="89"/>
      <c r="AM373" s="91"/>
      <c r="AN373" s="91"/>
      <c r="AP373" s="91"/>
      <c r="AQ373" s="91"/>
      <c r="AR373" s="91"/>
      <c r="AS373" s="91"/>
      <c r="AT373" s="91"/>
      <c r="BA373" s="91"/>
      <c r="BD373" s="89"/>
      <c r="BE373" s="89"/>
      <c r="BF373" s="91"/>
      <c r="BG373" s="91"/>
      <c r="BH373" s="91"/>
      <c r="BO373" s="91"/>
      <c r="BS373" s="91"/>
      <c r="BT373" s="91"/>
      <c r="BV373" s="91"/>
    </row>
    <row r="374" spans="1:74" x14ac:dyDescent="0.3">
      <c r="A374" s="89"/>
      <c r="B374" s="89"/>
      <c r="C374" s="91"/>
      <c r="D374" s="91"/>
      <c r="E374" s="91"/>
      <c r="F374" s="91"/>
      <c r="G374" s="91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89"/>
      <c r="Y374" s="89"/>
      <c r="Z374" s="91"/>
      <c r="AA374" s="91"/>
      <c r="AB374" s="91"/>
      <c r="AC374" s="91"/>
      <c r="AD374" s="91"/>
      <c r="AE374" s="91"/>
      <c r="AF374" s="91"/>
      <c r="AG374" s="91"/>
      <c r="AH374" s="91"/>
      <c r="AI374" s="91"/>
      <c r="AL374" s="89"/>
      <c r="AM374" s="91"/>
      <c r="AN374" s="91"/>
      <c r="AP374" s="91"/>
      <c r="AQ374" s="91"/>
      <c r="AR374" s="91"/>
      <c r="AS374" s="91"/>
      <c r="AT374" s="91"/>
      <c r="BA374" s="91"/>
      <c r="BD374" s="89"/>
      <c r="BE374" s="89"/>
      <c r="BF374" s="91"/>
      <c r="BG374" s="91"/>
      <c r="BH374" s="91"/>
      <c r="BO374" s="91"/>
      <c r="BS374" s="91"/>
      <c r="BT374" s="91"/>
      <c r="BV374" s="91"/>
    </row>
    <row r="375" spans="1:74" x14ac:dyDescent="0.3">
      <c r="A375" s="89"/>
      <c r="B375" s="89"/>
      <c r="C375" s="91"/>
      <c r="D375" s="91"/>
      <c r="E375" s="91"/>
      <c r="F375" s="91"/>
      <c r="G375" s="91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89"/>
      <c r="Y375" s="89"/>
      <c r="Z375" s="91"/>
      <c r="AA375" s="91"/>
      <c r="AB375" s="91"/>
      <c r="AC375" s="91"/>
      <c r="AD375" s="91"/>
      <c r="AE375" s="91"/>
      <c r="AF375" s="91"/>
      <c r="AG375" s="91"/>
      <c r="AH375" s="91"/>
      <c r="AI375" s="91"/>
      <c r="AL375" s="89"/>
      <c r="AM375" s="91"/>
      <c r="AN375" s="91"/>
      <c r="AP375" s="91"/>
      <c r="AQ375" s="91"/>
      <c r="AR375" s="91"/>
      <c r="AS375" s="91"/>
      <c r="AT375" s="91"/>
      <c r="BA375" s="91"/>
      <c r="BD375" s="89"/>
      <c r="BE375" s="89"/>
      <c r="BF375" s="91"/>
      <c r="BG375" s="91"/>
      <c r="BH375" s="91"/>
      <c r="BO375" s="91"/>
      <c r="BS375" s="91"/>
      <c r="BT375" s="91"/>
      <c r="BV375" s="91"/>
    </row>
    <row r="376" spans="1:74" x14ac:dyDescent="0.3">
      <c r="A376" s="89"/>
      <c r="B376" s="89"/>
      <c r="C376" s="91"/>
      <c r="D376" s="91"/>
      <c r="E376" s="91"/>
      <c r="F376" s="91"/>
      <c r="G376" s="91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89"/>
      <c r="Y376" s="89"/>
      <c r="Z376" s="91"/>
      <c r="AA376" s="91"/>
      <c r="AB376" s="91"/>
      <c r="AC376" s="91"/>
      <c r="AD376" s="91"/>
      <c r="AE376" s="91"/>
      <c r="AF376" s="91"/>
      <c r="AG376" s="91"/>
      <c r="AH376" s="91"/>
      <c r="AI376" s="91"/>
      <c r="AL376" s="89"/>
      <c r="AM376" s="91"/>
      <c r="AN376" s="91"/>
      <c r="AP376" s="91"/>
      <c r="AQ376" s="91"/>
      <c r="AR376" s="91"/>
      <c r="AS376" s="91"/>
      <c r="AT376" s="91"/>
      <c r="BA376" s="91"/>
      <c r="BD376" s="89"/>
      <c r="BE376" s="89"/>
      <c r="BF376" s="91"/>
      <c r="BG376" s="91"/>
      <c r="BH376" s="91"/>
      <c r="BO376" s="91"/>
      <c r="BS376" s="91"/>
      <c r="BT376" s="91"/>
      <c r="BV376" s="91"/>
    </row>
    <row r="377" spans="1:74" x14ac:dyDescent="0.3">
      <c r="A377" s="89"/>
      <c r="B377" s="89"/>
      <c r="C377" s="91"/>
      <c r="D377" s="91"/>
      <c r="E377" s="91"/>
      <c r="F377" s="91"/>
      <c r="G377" s="91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89"/>
      <c r="Y377" s="89"/>
      <c r="Z377" s="91"/>
      <c r="AA377" s="91"/>
      <c r="AB377" s="91"/>
      <c r="AC377" s="91"/>
      <c r="AD377" s="91"/>
      <c r="AE377" s="91"/>
      <c r="AF377" s="91"/>
      <c r="AG377" s="91"/>
      <c r="AH377" s="91"/>
      <c r="AI377" s="91"/>
      <c r="AL377" s="89"/>
      <c r="AM377" s="91"/>
      <c r="AN377" s="91"/>
      <c r="AP377" s="91"/>
      <c r="AQ377" s="91"/>
      <c r="AR377" s="91"/>
      <c r="AS377" s="91"/>
      <c r="AT377" s="91"/>
      <c r="BA377" s="91"/>
      <c r="BD377" s="89"/>
      <c r="BE377" s="89"/>
      <c r="BF377" s="91"/>
      <c r="BG377" s="91"/>
      <c r="BH377" s="91"/>
      <c r="BO377" s="91"/>
      <c r="BS377" s="91"/>
      <c r="BT377" s="91"/>
      <c r="BV377" s="91"/>
    </row>
    <row r="378" spans="1:74" x14ac:dyDescent="0.3">
      <c r="A378" s="89"/>
      <c r="B378" s="89"/>
      <c r="C378" s="91"/>
      <c r="D378" s="91"/>
      <c r="E378" s="91"/>
      <c r="F378" s="91"/>
      <c r="G378" s="91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89"/>
      <c r="Y378" s="89"/>
      <c r="Z378" s="91"/>
      <c r="AA378" s="91"/>
      <c r="AB378" s="91"/>
      <c r="AC378" s="91"/>
      <c r="AD378" s="91"/>
      <c r="AE378" s="91"/>
      <c r="AF378" s="91"/>
      <c r="AG378" s="91"/>
      <c r="AH378" s="91"/>
      <c r="AI378" s="91"/>
      <c r="AL378" s="89"/>
      <c r="AM378" s="91"/>
      <c r="AN378" s="91"/>
      <c r="AP378" s="91"/>
      <c r="AQ378" s="91"/>
      <c r="AR378" s="91"/>
      <c r="AS378" s="91"/>
      <c r="AT378" s="91"/>
      <c r="BA378" s="91"/>
      <c r="BD378" s="89"/>
      <c r="BE378" s="89"/>
      <c r="BF378" s="91"/>
      <c r="BG378" s="91"/>
      <c r="BH378" s="91"/>
      <c r="BO378" s="91"/>
      <c r="BS378" s="91"/>
      <c r="BT378" s="91"/>
      <c r="BV378" s="91"/>
    </row>
    <row r="379" spans="1:74" x14ac:dyDescent="0.3">
      <c r="A379" s="89"/>
      <c r="B379" s="89"/>
      <c r="C379" s="91"/>
      <c r="D379" s="91"/>
      <c r="E379" s="91"/>
      <c r="F379" s="91"/>
      <c r="G379" s="91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89"/>
      <c r="Y379" s="89"/>
      <c r="Z379" s="91"/>
      <c r="AA379" s="91"/>
      <c r="AB379" s="91"/>
      <c r="AC379" s="91"/>
      <c r="AD379" s="91"/>
      <c r="AE379" s="91"/>
      <c r="AF379" s="91"/>
      <c r="AG379" s="91"/>
      <c r="AH379" s="91"/>
      <c r="AI379" s="91"/>
      <c r="AL379" s="89"/>
      <c r="AM379" s="91"/>
      <c r="AN379" s="91"/>
      <c r="AP379" s="91"/>
      <c r="AQ379" s="91"/>
      <c r="AR379" s="91"/>
      <c r="AS379" s="91"/>
      <c r="AT379" s="91"/>
      <c r="BA379" s="91"/>
      <c r="BD379" s="89"/>
      <c r="BE379" s="89"/>
      <c r="BF379" s="91"/>
      <c r="BG379" s="91"/>
      <c r="BH379" s="91"/>
      <c r="BO379" s="91"/>
      <c r="BS379" s="91"/>
      <c r="BT379" s="91"/>
      <c r="BV379" s="91"/>
    </row>
    <row r="380" spans="1:74" x14ac:dyDescent="0.3">
      <c r="A380" s="89"/>
      <c r="B380" s="89"/>
      <c r="C380" s="91"/>
      <c r="D380" s="91"/>
      <c r="E380" s="91"/>
      <c r="F380" s="91"/>
      <c r="G380" s="91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89"/>
      <c r="Y380" s="89"/>
      <c r="Z380" s="91"/>
      <c r="AA380" s="91"/>
      <c r="AB380" s="91"/>
      <c r="AC380" s="91"/>
      <c r="AD380" s="91"/>
      <c r="AE380" s="91"/>
      <c r="AF380" s="91"/>
      <c r="AG380" s="91"/>
      <c r="AH380" s="91"/>
      <c r="AI380" s="91"/>
      <c r="AL380" s="89"/>
      <c r="AM380" s="91"/>
      <c r="AN380" s="91"/>
      <c r="AP380" s="91"/>
      <c r="AQ380" s="91"/>
      <c r="AR380" s="91"/>
      <c r="AS380" s="91"/>
      <c r="AT380" s="91"/>
      <c r="BA380" s="91"/>
      <c r="BD380" s="89"/>
      <c r="BE380" s="89"/>
      <c r="BF380" s="91"/>
      <c r="BG380" s="91"/>
      <c r="BH380" s="91"/>
      <c r="BO380" s="91"/>
      <c r="BS380" s="91"/>
      <c r="BT380" s="91"/>
      <c r="BV380" s="91"/>
    </row>
    <row r="381" spans="1:74" x14ac:dyDescent="0.3">
      <c r="A381" s="89"/>
      <c r="B381" s="89"/>
      <c r="C381" s="91"/>
      <c r="D381" s="91"/>
      <c r="E381" s="91"/>
      <c r="F381" s="91"/>
      <c r="G381" s="91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89"/>
      <c r="Y381" s="89"/>
      <c r="Z381" s="91"/>
      <c r="AA381" s="91"/>
      <c r="AB381" s="91"/>
      <c r="AC381" s="91"/>
      <c r="AD381" s="91"/>
      <c r="AE381" s="91"/>
      <c r="AF381" s="91"/>
      <c r="AG381" s="91"/>
      <c r="AH381" s="91"/>
      <c r="AI381" s="91"/>
      <c r="AL381" s="89"/>
      <c r="AM381" s="91"/>
      <c r="AN381" s="91"/>
      <c r="AP381" s="91"/>
      <c r="AQ381" s="91"/>
      <c r="AR381" s="91"/>
      <c r="AS381" s="91"/>
      <c r="AT381" s="91"/>
      <c r="BA381" s="91"/>
      <c r="BD381" s="89"/>
      <c r="BE381" s="89"/>
      <c r="BF381" s="91"/>
      <c r="BG381" s="91"/>
      <c r="BH381" s="91"/>
      <c r="BO381" s="91"/>
      <c r="BS381" s="91"/>
      <c r="BT381" s="91"/>
      <c r="BV381" s="91"/>
    </row>
    <row r="382" spans="1:74" x14ac:dyDescent="0.3">
      <c r="A382" s="89"/>
      <c r="B382" s="89"/>
      <c r="C382" s="91"/>
      <c r="D382" s="91"/>
      <c r="E382" s="91"/>
      <c r="F382" s="91"/>
      <c r="G382" s="91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89"/>
      <c r="Y382" s="89"/>
      <c r="Z382" s="91"/>
      <c r="AA382" s="91"/>
      <c r="AB382" s="91"/>
      <c r="AC382" s="91"/>
      <c r="AD382" s="91"/>
      <c r="AE382" s="91"/>
      <c r="AF382" s="91"/>
      <c r="AG382" s="91"/>
      <c r="AH382" s="91"/>
      <c r="AI382" s="91"/>
      <c r="AL382" s="89"/>
      <c r="AM382" s="91"/>
      <c r="AN382" s="91"/>
      <c r="AP382" s="91"/>
      <c r="AQ382" s="91"/>
      <c r="AR382" s="91"/>
      <c r="AS382" s="91"/>
      <c r="AT382" s="91"/>
      <c r="BA382" s="91"/>
      <c r="BD382" s="89"/>
      <c r="BE382" s="89"/>
      <c r="BF382" s="91"/>
      <c r="BG382" s="91"/>
      <c r="BH382" s="91"/>
      <c r="BO382" s="91"/>
      <c r="BS382" s="91"/>
      <c r="BT382" s="91"/>
      <c r="BV382" s="91"/>
    </row>
    <row r="383" spans="1:74" x14ac:dyDescent="0.3">
      <c r="A383" s="89"/>
      <c r="B383" s="89"/>
      <c r="C383" s="91"/>
      <c r="D383" s="91"/>
      <c r="E383" s="91"/>
      <c r="F383" s="91"/>
      <c r="G383" s="91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89"/>
      <c r="Y383" s="89"/>
      <c r="Z383" s="91"/>
      <c r="AA383" s="91"/>
      <c r="AB383" s="91"/>
      <c r="AC383" s="91"/>
      <c r="AD383" s="91"/>
      <c r="AE383" s="91"/>
      <c r="AF383" s="91"/>
      <c r="AG383" s="91"/>
      <c r="AH383" s="91"/>
      <c r="AI383" s="91"/>
      <c r="AL383" s="89"/>
      <c r="AM383" s="91"/>
      <c r="AN383" s="91"/>
      <c r="AP383" s="91"/>
      <c r="AQ383" s="91"/>
      <c r="AR383" s="91"/>
      <c r="AS383" s="91"/>
      <c r="AT383" s="91"/>
      <c r="BA383" s="91"/>
      <c r="BD383" s="89"/>
      <c r="BE383" s="89"/>
      <c r="BF383" s="91"/>
      <c r="BG383" s="91"/>
      <c r="BH383" s="91"/>
      <c r="BO383" s="91"/>
      <c r="BS383" s="91"/>
      <c r="BT383" s="91"/>
      <c r="BV383" s="91"/>
    </row>
    <row r="384" spans="1:74" x14ac:dyDescent="0.3">
      <c r="A384" s="89"/>
      <c r="B384" s="89"/>
      <c r="C384" s="91"/>
      <c r="D384" s="91"/>
      <c r="E384" s="91"/>
      <c r="F384" s="91"/>
      <c r="G384" s="91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89"/>
      <c r="Y384" s="89"/>
      <c r="Z384" s="91"/>
      <c r="AA384" s="91"/>
      <c r="AB384" s="91"/>
      <c r="AC384" s="91"/>
      <c r="AD384" s="91"/>
      <c r="AE384" s="91"/>
      <c r="AF384" s="91"/>
      <c r="AG384" s="91"/>
      <c r="AH384" s="91"/>
      <c r="AI384" s="91"/>
      <c r="AL384" s="89"/>
      <c r="AM384" s="91"/>
      <c r="AN384" s="91"/>
      <c r="AP384" s="91"/>
      <c r="AQ384" s="91"/>
      <c r="AR384" s="91"/>
      <c r="AS384" s="91"/>
      <c r="AT384" s="91"/>
      <c r="BA384" s="91"/>
      <c r="BD384" s="89"/>
      <c r="BE384" s="89"/>
      <c r="BF384" s="91"/>
      <c r="BG384" s="91"/>
      <c r="BH384" s="91"/>
      <c r="BO384" s="91"/>
      <c r="BS384" s="91"/>
      <c r="BT384" s="91"/>
      <c r="BV384" s="91"/>
    </row>
    <row r="385" spans="1:74" x14ac:dyDescent="0.3">
      <c r="A385" s="89"/>
      <c r="B385" s="89"/>
      <c r="C385" s="91"/>
      <c r="D385" s="91"/>
      <c r="E385" s="91"/>
      <c r="F385" s="91"/>
      <c r="G385" s="91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89"/>
      <c r="Y385" s="89"/>
      <c r="Z385" s="91"/>
      <c r="AA385" s="91"/>
      <c r="AB385" s="91"/>
      <c r="AC385" s="91"/>
      <c r="AD385" s="91"/>
      <c r="AE385" s="91"/>
      <c r="AF385" s="91"/>
      <c r="AG385" s="91"/>
      <c r="AH385" s="91"/>
      <c r="AI385" s="91"/>
      <c r="AL385" s="89"/>
      <c r="AM385" s="91"/>
      <c r="AN385" s="91"/>
      <c r="AP385" s="91"/>
      <c r="AQ385" s="91"/>
      <c r="AR385" s="91"/>
      <c r="AS385" s="91"/>
      <c r="AT385" s="91"/>
      <c r="BA385" s="91"/>
      <c r="BD385" s="89"/>
      <c r="BE385" s="89"/>
      <c r="BF385" s="91"/>
      <c r="BG385" s="91"/>
      <c r="BH385" s="91"/>
      <c r="BO385" s="91"/>
      <c r="BS385" s="91"/>
      <c r="BT385" s="91"/>
      <c r="BV385" s="91"/>
    </row>
    <row r="386" spans="1:74" x14ac:dyDescent="0.3">
      <c r="A386" s="89"/>
      <c r="B386" s="89"/>
      <c r="C386" s="91"/>
      <c r="D386" s="91"/>
      <c r="E386" s="91"/>
      <c r="F386" s="91"/>
      <c r="G386" s="91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89"/>
      <c r="Y386" s="89"/>
      <c r="Z386" s="91"/>
      <c r="AA386" s="91"/>
      <c r="AB386" s="91"/>
      <c r="AC386" s="91"/>
      <c r="AD386" s="91"/>
      <c r="AE386" s="91"/>
      <c r="AF386" s="91"/>
      <c r="AG386" s="91"/>
      <c r="AH386" s="91"/>
      <c r="AI386" s="91"/>
      <c r="AL386" s="89"/>
      <c r="AM386" s="91"/>
      <c r="AN386" s="91"/>
      <c r="AP386" s="91"/>
      <c r="AQ386" s="91"/>
      <c r="AR386" s="91"/>
      <c r="AS386" s="91"/>
      <c r="AT386" s="91"/>
      <c r="BA386" s="91"/>
      <c r="BD386" s="89"/>
      <c r="BE386" s="89"/>
      <c r="BF386" s="91"/>
      <c r="BG386" s="91"/>
      <c r="BH386" s="91"/>
      <c r="BO386" s="91"/>
      <c r="BS386" s="91"/>
      <c r="BT386" s="91"/>
      <c r="BV386" s="91"/>
    </row>
    <row r="387" spans="1:74" x14ac:dyDescent="0.3">
      <c r="A387" s="89"/>
      <c r="B387" s="89"/>
      <c r="C387" s="91"/>
      <c r="D387" s="91"/>
      <c r="E387" s="91"/>
      <c r="F387" s="91"/>
      <c r="G387" s="91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89"/>
      <c r="Y387" s="89"/>
      <c r="Z387" s="91"/>
      <c r="AA387" s="91"/>
      <c r="AB387" s="91"/>
      <c r="AC387" s="91"/>
      <c r="AD387" s="91"/>
      <c r="AE387" s="91"/>
      <c r="AF387" s="91"/>
      <c r="AG387" s="91"/>
      <c r="AH387" s="91"/>
      <c r="AI387" s="91"/>
      <c r="AL387" s="89"/>
      <c r="AM387" s="91"/>
      <c r="AN387" s="91"/>
      <c r="AP387" s="91"/>
      <c r="AQ387" s="91"/>
      <c r="AR387" s="91"/>
      <c r="AS387" s="91"/>
      <c r="AT387" s="91"/>
      <c r="BA387" s="91"/>
      <c r="BD387" s="89"/>
      <c r="BE387" s="89"/>
      <c r="BF387" s="91"/>
      <c r="BG387" s="91"/>
      <c r="BH387" s="91"/>
      <c r="BO387" s="91"/>
      <c r="BS387" s="91"/>
      <c r="BT387" s="91"/>
      <c r="BV387" s="91"/>
    </row>
    <row r="388" spans="1:74" x14ac:dyDescent="0.3">
      <c r="A388" s="89"/>
      <c r="B388" s="89"/>
      <c r="C388" s="91"/>
      <c r="D388" s="91"/>
      <c r="E388" s="91"/>
      <c r="F388" s="91"/>
      <c r="G388" s="91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89"/>
      <c r="Y388" s="89"/>
      <c r="Z388" s="91"/>
      <c r="AA388" s="91"/>
      <c r="AB388" s="91"/>
      <c r="AC388" s="91"/>
      <c r="AD388" s="91"/>
      <c r="AE388" s="91"/>
      <c r="AF388" s="91"/>
      <c r="AG388" s="91"/>
      <c r="AH388" s="91"/>
      <c r="AI388" s="91"/>
      <c r="AL388" s="89"/>
      <c r="AM388" s="91"/>
      <c r="AN388" s="91"/>
      <c r="AP388" s="91"/>
      <c r="AQ388" s="91"/>
      <c r="AR388" s="91"/>
      <c r="AS388" s="91"/>
      <c r="AT388" s="91"/>
      <c r="BA388" s="91"/>
      <c r="BD388" s="89"/>
      <c r="BE388" s="89"/>
      <c r="BF388" s="91"/>
      <c r="BG388" s="91"/>
      <c r="BH388" s="91"/>
      <c r="BO388" s="91"/>
      <c r="BS388" s="91"/>
      <c r="BT388" s="91"/>
      <c r="BV388" s="91"/>
    </row>
    <row r="389" spans="1:74" x14ac:dyDescent="0.3">
      <c r="A389" s="89"/>
      <c r="B389" s="89"/>
      <c r="C389" s="91"/>
      <c r="D389" s="91"/>
      <c r="E389" s="91"/>
      <c r="F389" s="91"/>
      <c r="G389" s="91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89"/>
      <c r="Y389" s="89"/>
      <c r="Z389" s="91"/>
      <c r="AA389" s="91"/>
      <c r="AB389" s="91"/>
      <c r="AC389" s="91"/>
      <c r="AD389" s="91"/>
      <c r="AE389" s="91"/>
      <c r="AF389" s="91"/>
      <c r="AG389" s="91"/>
      <c r="AH389" s="91"/>
      <c r="AI389" s="91"/>
      <c r="AL389" s="89"/>
      <c r="AM389" s="91"/>
      <c r="AN389" s="91"/>
      <c r="AP389" s="91"/>
      <c r="AQ389" s="91"/>
      <c r="AR389" s="91"/>
      <c r="AS389" s="91"/>
      <c r="AT389" s="91"/>
      <c r="BA389" s="91"/>
      <c r="BD389" s="89"/>
      <c r="BE389" s="89"/>
      <c r="BF389" s="91"/>
      <c r="BG389" s="91"/>
      <c r="BH389" s="91"/>
      <c r="BO389" s="91"/>
      <c r="BS389" s="91"/>
      <c r="BT389" s="91"/>
      <c r="BV389" s="91"/>
    </row>
    <row r="390" spans="1:74" x14ac:dyDescent="0.3">
      <c r="A390" s="89"/>
      <c r="B390" s="89"/>
      <c r="C390" s="91"/>
      <c r="D390" s="91"/>
      <c r="E390" s="91"/>
      <c r="F390" s="91"/>
      <c r="G390" s="91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89"/>
      <c r="Y390" s="89"/>
      <c r="Z390" s="91"/>
      <c r="AA390" s="91"/>
      <c r="AB390" s="91"/>
      <c r="AC390" s="91"/>
      <c r="AD390" s="91"/>
      <c r="AE390" s="91"/>
      <c r="AF390" s="91"/>
      <c r="AG390" s="91"/>
      <c r="AH390" s="91"/>
      <c r="AI390" s="91"/>
      <c r="AL390" s="89"/>
      <c r="AM390" s="91"/>
      <c r="AN390" s="91"/>
      <c r="AP390" s="91"/>
      <c r="AQ390" s="91"/>
      <c r="AR390" s="91"/>
      <c r="AS390" s="91"/>
      <c r="AT390" s="91"/>
      <c r="BA390" s="91"/>
      <c r="BD390" s="89"/>
      <c r="BE390" s="89"/>
      <c r="BF390" s="91"/>
      <c r="BG390" s="91"/>
      <c r="BH390" s="91"/>
      <c r="BO390" s="91"/>
      <c r="BS390" s="91"/>
      <c r="BT390" s="91"/>
      <c r="BV390" s="91"/>
    </row>
    <row r="391" spans="1:74" x14ac:dyDescent="0.3">
      <c r="A391" s="89"/>
      <c r="B391" s="89"/>
      <c r="C391" s="91"/>
      <c r="D391" s="91"/>
      <c r="E391" s="91"/>
      <c r="F391" s="91"/>
      <c r="G391" s="91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89"/>
      <c r="Y391" s="89"/>
      <c r="Z391" s="91"/>
      <c r="AA391" s="91"/>
      <c r="AB391" s="91"/>
      <c r="AC391" s="91"/>
      <c r="AD391" s="91"/>
      <c r="AE391" s="91"/>
      <c r="AF391" s="91"/>
      <c r="AG391" s="91"/>
      <c r="AH391" s="91"/>
      <c r="AI391" s="91"/>
      <c r="AL391" s="89"/>
      <c r="AM391" s="91"/>
      <c r="AN391" s="91"/>
      <c r="AP391" s="91"/>
      <c r="AQ391" s="91"/>
      <c r="AR391" s="91"/>
      <c r="AS391" s="91"/>
      <c r="AT391" s="91"/>
      <c r="BA391" s="91"/>
      <c r="BD391" s="89"/>
      <c r="BE391" s="89"/>
      <c r="BF391" s="91"/>
      <c r="BG391" s="91"/>
      <c r="BH391" s="91"/>
      <c r="BO391" s="91"/>
      <c r="BS391" s="91"/>
      <c r="BT391" s="91"/>
      <c r="BV391" s="91"/>
    </row>
    <row r="392" spans="1:74" x14ac:dyDescent="0.3">
      <c r="A392" s="89"/>
      <c r="B392" s="89"/>
      <c r="C392" s="91"/>
      <c r="D392" s="91"/>
      <c r="E392" s="91"/>
      <c r="F392" s="91"/>
      <c r="G392" s="91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89"/>
      <c r="Y392" s="89"/>
      <c r="Z392" s="91"/>
      <c r="AA392" s="91"/>
      <c r="AB392" s="91"/>
      <c r="AC392" s="91"/>
      <c r="AD392" s="91"/>
      <c r="AE392" s="91"/>
      <c r="AF392" s="91"/>
      <c r="AG392" s="91"/>
      <c r="AH392" s="91"/>
      <c r="AI392" s="91"/>
      <c r="AL392" s="89"/>
      <c r="AM392" s="91"/>
      <c r="AN392" s="91"/>
      <c r="AP392" s="91"/>
      <c r="AQ392" s="91"/>
      <c r="AR392" s="91"/>
      <c r="AS392" s="91"/>
      <c r="AT392" s="91"/>
      <c r="BA392" s="91"/>
      <c r="BD392" s="89"/>
      <c r="BE392" s="89"/>
      <c r="BF392" s="91"/>
      <c r="BG392" s="91"/>
      <c r="BH392" s="91"/>
      <c r="BO392" s="91"/>
      <c r="BS392" s="91"/>
      <c r="BT392" s="91"/>
      <c r="BV392" s="91"/>
    </row>
    <row r="393" spans="1:74" x14ac:dyDescent="0.3">
      <c r="A393" s="89"/>
      <c r="B393" s="89"/>
      <c r="C393" s="91"/>
      <c r="D393" s="91"/>
      <c r="E393" s="91"/>
      <c r="F393" s="91"/>
      <c r="G393" s="91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89"/>
      <c r="Y393" s="89"/>
      <c r="Z393" s="91"/>
      <c r="AA393" s="91"/>
      <c r="AB393" s="91"/>
      <c r="AC393" s="91"/>
      <c r="AD393" s="91"/>
      <c r="AE393" s="91"/>
      <c r="AF393" s="91"/>
      <c r="AG393" s="91"/>
      <c r="AH393" s="91"/>
      <c r="AI393" s="91"/>
      <c r="AL393" s="89"/>
      <c r="AM393" s="91"/>
      <c r="AN393" s="91"/>
      <c r="AP393" s="91"/>
      <c r="AQ393" s="91"/>
      <c r="AR393" s="91"/>
      <c r="AS393" s="91"/>
      <c r="AT393" s="91"/>
      <c r="BA393" s="91"/>
      <c r="BD393" s="89"/>
      <c r="BE393" s="89"/>
      <c r="BF393" s="91"/>
      <c r="BG393" s="91"/>
      <c r="BH393" s="91"/>
      <c r="BO393" s="91"/>
      <c r="BS393" s="91"/>
      <c r="BT393" s="91"/>
      <c r="BV393" s="91"/>
    </row>
    <row r="394" spans="1:74" x14ac:dyDescent="0.3">
      <c r="A394" s="89"/>
      <c r="B394" s="89"/>
      <c r="C394" s="91"/>
      <c r="D394" s="91"/>
      <c r="E394" s="91"/>
      <c r="F394" s="91"/>
      <c r="G394" s="91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89"/>
      <c r="Y394" s="89"/>
      <c r="Z394" s="91"/>
      <c r="AA394" s="91"/>
      <c r="AB394" s="91"/>
      <c r="AC394" s="91"/>
      <c r="AD394" s="91"/>
      <c r="AE394" s="91"/>
      <c r="AF394" s="91"/>
      <c r="AG394" s="91"/>
      <c r="AH394" s="91"/>
      <c r="AI394" s="91"/>
      <c r="AL394" s="89"/>
      <c r="AM394" s="91"/>
      <c r="AN394" s="91"/>
      <c r="AP394" s="91"/>
      <c r="AQ394" s="91"/>
      <c r="AR394" s="91"/>
      <c r="AS394" s="91"/>
      <c r="AT394" s="91"/>
      <c r="BA394" s="91"/>
      <c r="BD394" s="89"/>
      <c r="BE394" s="89"/>
      <c r="BF394" s="91"/>
      <c r="BG394" s="91"/>
      <c r="BH394" s="91"/>
      <c r="BO394" s="91"/>
      <c r="BS394" s="91"/>
      <c r="BT394" s="91"/>
      <c r="BV394" s="91"/>
    </row>
    <row r="395" spans="1:74" x14ac:dyDescent="0.3">
      <c r="A395" s="89"/>
      <c r="B395" s="89"/>
      <c r="C395" s="91"/>
      <c r="D395" s="91"/>
      <c r="E395" s="91"/>
      <c r="F395" s="91"/>
      <c r="G395" s="91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89"/>
      <c r="Y395" s="89"/>
      <c r="Z395" s="91"/>
      <c r="AA395" s="91"/>
      <c r="AB395" s="91"/>
      <c r="AC395" s="91"/>
      <c r="AD395" s="91"/>
      <c r="AE395" s="91"/>
      <c r="AF395" s="91"/>
      <c r="AG395" s="91"/>
      <c r="AH395" s="91"/>
      <c r="AI395" s="91"/>
      <c r="AL395" s="89"/>
      <c r="AM395" s="91"/>
      <c r="AN395" s="91"/>
      <c r="AP395" s="91"/>
      <c r="AQ395" s="91"/>
      <c r="AR395" s="91"/>
      <c r="AS395" s="91"/>
      <c r="AT395" s="91"/>
      <c r="BA395" s="91"/>
      <c r="BD395" s="89"/>
      <c r="BE395" s="89"/>
      <c r="BF395" s="91"/>
      <c r="BG395" s="91"/>
      <c r="BH395" s="91"/>
      <c r="BO395" s="91"/>
      <c r="BS395" s="91"/>
      <c r="BT395" s="91"/>
      <c r="BV395" s="91"/>
    </row>
    <row r="396" spans="1:74" x14ac:dyDescent="0.3">
      <c r="A396" s="89"/>
      <c r="B396" s="89"/>
      <c r="C396" s="91"/>
      <c r="D396" s="91"/>
      <c r="E396" s="91"/>
      <c r="F396" s="91"/>
      <c r="G396" s="91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89"/>
      <c r="Y396" s="89"/>
      <c r="Z396" s="91"/>
      <c r="AA396" s="91"/>
      <c r="AB396" s="91"/>
      <c r="AC396" s="91"/>
      <c r="AD396" s="91"/>
      <c r="AE396" s="91"/>
      <c r="AF396" s="91"/>
      <c r="AG396" s="91"/>
      <c r="AH396" s="91"/>
      <c r="AI396" s="91"/>
      <c r="AL396" s="89"/>
      <c r="AM396" s="91"/>
      <c r="AN396" s="91"/>
      <c r="AP396" s="91"/>
      <c r="AQ396" s="91"/>
      <c r="AR396" s="91"/>
      <c r="AS396" s="91"/>
      <c r="AT396" s="91"/>
      <c r="BA396" s="91"/>
      <c r="BD396" s="89"/>
      <c r="BE396" s="89"/>
      <c r="BF396" s="91"/>
      <c r="BG396" s="91"/>
      <c r="BH396" s="91"/>
      <c r="BO396" s="91"/>
      <c r="BS396" s="91"/>
      <c r="BT396" s="91"/>
      <c r="BV396" s="91"/>
    </row>
    <row r="397" spans="1:74" x14ac:dyDescent="0.3">
      <c r="A397" s="89"/>
      <c r="B397" s="89"/>
      <c r="C397" s="91"/>
      <c r="D397" s="91"/>
      <c r="E397" s="91"/>
      <c r="F397" s="91"/>
      <c r="G397" s="91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89"/>
      <c r="Y397" s="89"/>
      <c r="Z397" s="91"/>
      <c r="AA397" s="91"/>
      <c r="AB397" s="91"/>
      <c r="AC397" s="91"/>
      <c r="AD397" s="91"/>
      <c r="AE397" s="91"/>
      <c r="AF397" s="91"/>
      <c r="AG397" s="91"/>
      <c r="AH397" s="91"/>
      <c r="AI397" s="91"/>
      <c r="AL397" s="89"/>
      <c r="AM397" s="91"/>
      <c r="AN397" s="91"/>
      <c r="AP397" s="91"/>
      <c r="AQ397" s="91"/>
      <c r="AR397" s="91"/>
      <c r="AS397" s="91"/>
      <c r="AT397" s="91"/>
      <c r="BA397" s="91"/>
      <c r="BD397" s="89"/>
      <c r="BE397" s="89"/>
      <c r="BF397" s="91"/>
      <c r="BG397" s="91"/>
      <c r="BH397" s="91"/>
      <c r="BO397" s="91"/>
      <c r="BS397" s="91"/>
      <c r="BT397" s="91"/>
      <c r="BV397" s="91"/>
    </row>
    <row r="398" spans="1:74" x14ac:dyDescent="0.3">
      <c r="A398" s="89"/>
      <c r="B398" s="89"/>
      <c r="C398" s="91"/>
      <c r="D398" s="91"/>
      <c r="E398" s="91"/>
      <c r="F398" s="91"/>
      <c r="G398" s="91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89"/>
      <c r="Y398" s="89"/>
      <c r="Z398" s="91"/>
      <c r="AA398" s="91"/>
      <c r="AB398" s="91"/>
      <c r="AC398" s="91"/>
      <c r="AD398" s="91"/>
      <c r="AE398" s="91"/>
      <c r="AF398" s="91"/>
      <c r="AG398" s="91"/>
      <c r="AH398" s="91"/>
      <c r="AI398" s="91"/>
      <c r="AL398" s="89"/>
      <c r="AM398" s="91"/>
      <c r="AN398" s="91"/>
      <c r="AP398" s="91"/>
      <c r="AQ398" s="91"/>
      <c r="AR398" s="91"/>
      <c r="AS398" s="91"/>
      <c r="AT398" s="91"/>
      <c r="BA398" s="91"/>
      <c r="BD398" s="89"/>
      <c r="BE398" s="89"/>
      <c r="BF398" s="91"/>
      <c r="BG398" s="91"/>
      <c r="BH398" s="91"/>
      <c r="BO398" s="91"/>
      <c r="BS398" s="91"/>
      <c r="BT398" s="91"/>
      <c r="BV398" s="91"/>
    </row>
    <row r="399" spans="1:74" x14ac:dyDescent="0.3">
      <c r="A399" s="89"/>
      <c r="B399" s="89"/>
      <c r="C399" s="91"/>
      <c r="D399" s="91"/>
      <c r="E399" s="91"/>
      <c r="F399" s="91"/>
      <c r="G399" s="91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89"/>
      <c r="Y399" s="89"/>
      <c r="Z399" s="91"/>
      <c r="AA399" s="91"/>
      <c r="AB399" s="91"/>
      <c r="AC399" s="91"/>
      <c r="AD399" s="91"/>
      <c r="AE399" s="91"/>
      <c r="AF399" s="91"/>
      <c r="AG399" s="91"/>
      <c r="AH399" s="91"/>
      <c r="AI399" s="91"/>
      <c r="AL399" s="89"/>
      <c r="AM399" s="91"/>
      <c r="AN399" s="91"/>
      <c r="AP399" s="91"/>
      <c r="AQ399" s="91"/>
      <c r="AR399" s="91"/>
      <c r="AS399" s="91"/>
      <c r="AT399" s="91"/>
      <c r="BA399" s="91"/>
      <c r="BD399" s="89"/>
      <c r="BE399" s="89"/>
      <c r="BF399" s="91"/>
      <c r="BG399" s="91"/>
      <c r="BH399" s="91"/>
      <c r="BO399" s="91"/>
      <c r="BS399" s="91"/>
      <c r="BT399" s="91"/>
      <c r="BV399" s="91"/>
    </row>
    <row r="400" spans="1:74" x14ac:dyDescent="0.3">
      <c r="A400" s="89"/>
      <c r="B400" s="89"/>
      <c r="C400" s="91"/>
      <c r="D400" s="91"/>
      <c r="E400" s="91"/>
      <c r="F400" s="91"/>
      <c r="G400" s="91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89"/>
      <c r="Y400" s="89"/>
      <c r="Z400" s="91"/>
      <c r="AA400" s="91"/>
      <c r="AB400" s="91"/>
      <c r="AC400" s="91"/>
      <c r="AD400" s="91"/>
      <c r="AE400" s="91"/>
      <c r="AF400" s="91"/>
      <c r="AG400" s="91"/>
      <c r="AH400" s="91"/>
      <c r="AI400" s="91"/>
      <c r="AL400" s="89"/>
      <c r="AM400" s="91"/>
      <c r="AN400" s="91"/>
      <c r="AP400" s="91"/>
      <c r="AQ400" s="91"/>
      <c r="AR400" s="91"/>
      <c r="AS400" s="91"/>
      <c r="AT400" s="91"/>
      <c r="BA400" s="91"/>
      <c r="BD400" s="89"/>
      <c r="BE400" s="89"/>
      <c r="BF400" s="91"/>
      <c r="BG400" s="91"/>
      <c r="BH400" s="91"/>
      <c r="BO400" s="91"/>
      <c r="BS400" s="91"/>
      <c r="BT400" s="91"/>
      <c r="BV400" s="91"/>
    </row>
    <row r="401" spans="1:74" x14ac:dyDescent="0.3">
      <c r="A401" s="89"/>
      <c r="B401" s="89"/>
      <c r="C401" s="91"/>
      <c r="D401" s="91"/>
      <c r="E401" s="91"/>
      <c r="F401" s="91"/>
      <c r="G401" s="91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89"/>
      <c r="Y401" s="89"/>
      <c r="Z401" s="91"/>
      <c r="AA401" s="91"/>
      <c r="AB401" s="91"/>
      <c r="AC401" s="91"/>
      <c r="AD401" s="91"/>
      <c r="AE401" s="91"/>
      <c r="AF401" s="91"/>
      <c r="AG401" s="91"/>
      <c r="AH401" s="91"/>
      <c r="AI401" s="91"/>
      <c r="AL401" s="89"/>
      <c r="AM401" s="91"/>
      <c r="AN401" s="91"/>
      <c r="AP401" s="91"/>
      <c r="AQ401" s="91"/>
      <c r="AR401" s="91"/>
      <c r="AS401" s="91"/>
      <c r="AT401" s="91"/>
      <c r="BA401" s="91"/>
      <c r="BD401" s="89"/>
      <c r="BE401" s="89"/>
      <c r="BF401" s="91"/>
      <c r="BG401" s="91"/>
      <c r="BH401" s="91"/>
      <c r="BO401" s="91"/>
      <c r="BS401" s="91"/>
      <c r="BT401" s="91"/>
      <c r="BV401" s="91"/>
    </row>
    <row r="402" spans="1:74" x14ac:dyDescent="0.3">
      <c r="A402" s="89"/>
      <c r="B402" s="89"/>
      <c r="C402" s="91"/>
      <c r="D402" s="91"/>
      <c r="E402" s="91"/>
      <c r="F402" s="91"/>
      <c r="G402" s="91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89"/>
      <c r="Y402" s="89"/>
      <c r="Z402" s="91"/>
      <c r="AA402" s="91"/>
      <c r="AB402" s="91"/>
      <c r="AC402" s="91"/>
      <c r="AD402" s="91"/>
      <c r="AE402" s="91"/>
      <c r="AF402" s="91"/>
      <c r="AG402" s="91"/>
      <c r="AH402" s="91"/>
      <c r="AI402" s="91"/>
      <c r="AL402" s="89"/>
      <c r="AM402" s="91"/>
      <c r="AN402" s="91"/>
      <c r="AP402" s="91"/>
      <c r="AQ402" s="91"/>
      <c r="AR402" s="91"/>
      <c r="AS402" s="91"/>
      <c r="AT402" s="91"/>
      <c r="BA402" s="91"/>
      <c r="BD402" s="89"/>
      <c r="BE402" s="89"/>
      <c r="BF402" s="91"/>
      <c r="BG402" s="91"/>
      <c r="BH402" s="91"/>
      <c r="BO402" s="91"/>
      <c r="BS402" s="91"/>
      <c r="BT402" s="91"/>
      <c r="BV402" s="91"/>
    </row>
    <row r="403" spans="1:74" x14ac:dyDescent="0.3">
      <c r="A403" s="89"/>
      <c r="B403" s="89"/>
      <c r="C403" s="91"/>
      <c r="D403" s="91"/>
      <c r="E403" s="91"/>
      <c r="F403" s="91"/>
      <c r="G403" s="91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89"/>
      <c r="Y403" s="89"/>
      <c r="Z403" s="91"/>
      <c r="AA403" s="91"/>
      <c r="AB403" s="91"/>
      <c r="AC403" s="91"/>
      <c r="AD403" s="91"/>
      <c r="AE403" s="91"/>
      <c r="AF403" s="91"/>
      <c r="AG403" s="91"/>
      <c r="AH403" s="91"/>
      <c r="AI403" s="91"/>
      <c r="AL403" s="89"/>
      <c r="AM403" s="91"/>
      <c r="AN403" s="91"/>
      <c r="AP403" s="91"/>
      <c r="AQ403" s="91"/>
      <c r="AR403" s="91"/>
      <c r="AS403" s="91"/>
      <c r="AT403" s="91"/>
      <c r="BA403" s="91"/>
      <c r="BD403" s="89"/>
      <c r="BE403" s="89"/>
      <c r="BF403" s="91"/>
      <c r="BG403" s="91"/>
      <c r="BH403" s="91"/>
      <c r="BO403" s="91"/>
      <c r="BS403" s="91"/>
      <c r="BT403" s="91"/>
      <c r="BV403" s="91"/>
    </row>
    <row r="404" spans="1:74" x14ac:dyDescent="0.3">
      <c r="A404" s="89"/>
      <c r="B404" s="89"/>
      <c r="C404" s="91"/>
      <c r="D404" s="91"/>
      <c r="E404" s="91"/>
      <c r="F404" s="91"/>
      <c r="G404" s="91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89"/>
      <c r="Y404" s="89"/>
      <c r="Z404" s="91"/>
      <c r="AA404" s="91"/>
      <c r="AB404" s="91"/>
      <c r="AC404" s="91"/>
      <c r="AD404" s="91"/>
      <c r="AE404" s="91"/>
      <c r="AF404" s="91"/>
      <c r="AG404" s="91"/>
      <c r="AH404" s="91"/>
      <c r="AI404" s="91"/>
      <c r="AL404" s="89"/>
      <c r="AM404" s="91"/>
      <c r="AN404" s="91"/>
      <c r="AP404" s="91"/>
      <c r="AQ404" s="91"/>
      <c r="AR404" s="91"/>
      <c r="AS404" s="91"/>
      <c r="AT404" s="91"/>
      <c r="BA404" s="91"/>
      <c r="BD404" s="89"/>
      <c r="BE404" s="89"/>
      <c r="BF404" s="91"/>
      <c r="BG404" s="91"/>
      <c r="BH404" s="91"/>
      <c r="BO404" s="91"/>
      <c r="BS404" s="91"/>
      <c r="BT404" s="91"/>
      <c r="BV404" s="91"/>
    </row>
    <row r="405" spans="1:74" x14ac:dyDescent="0.3">
      <c r="A405" s="89"/>
      <c r="B405" s="89"/>
      <c r="C405" s="91"/>
      <c r="D405" s="91"/>
      <c r="E405" s="91"/>
      <c r="F405" s="91"/>
      <c r="G405" s="91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89"/>
      <c r="Y405" s="89"/>
      <c r="Z405" s="91"/>
      <c r="AA405" s="91"/>
      <c r="AB405" s="91"/>
      <c r="AC405" s="91"/>
      <c r="AD405" s="91"/>
      <c r="AE405" s="91"/>
      <c r="AF405" s="91"/>
      <c r="AG405" s="91"/>
      <c r="AH405" s="91"/>
      <c r="AI405" s="91"/>
      <c r="AL405" s="89"/>
      <c r="AM405" s="91"/>
      <c r="AN405" s="91"/>
      <c r="AP405" s="91"/>
      <c r="AQ405" s="91"/>
      <c r="AR405" s="91"/>
      <c r="AS405" s="91"/>
      <c r="AT405" s="91"/>
      <c r="BA405" s="91"/>
      <c r="BD405" s="89"/>
      <c r="BE405" s="89"/>
      <c r="BF405" s="91"/>
      <c r="BG405" s="91"/>
      <c r="BH405" s="91"/>
      <c r="BO405" s="91"/>
      <c r="BS405" s="91"/>
      <c r="BT405" s="91"/>
      <c r="BV405" s="91"/>
    </row>
    <row r="406" spans="1:74" x14ac:dyDescent="0.3">
      <c r="A406" s="89"/>
      <c r="B406" s="89"/>
      <c r="C406" s="91"/>
      <c r="D406" s="91"/>
      <c r="E406" s="91"/>
      <c r="F406" s="91"/>
      <c r="G406" s="91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89"/>
      <c r="Y406" s="89"/>
      <c r="Z406" s="91"/>
      <c r="AA406" s="91"/>
      <c r="AB406" s="91"/>
      <c r="AC406" s="91"/>
      <c r="AD406" s="91"/>
      <c r="AE406" s="91"/>
      <c r="AF406" s="91"/>
      <c r="AG406" s="91"/>
      <c r="AH406" s="91"/>
      <c r="AI406" s="91"/>
      <c r="AL406" s="89"/>
      <c r="AM406" s="91"/>
      <c r="AN406" s="91"/>
      <c r="AP406" s="91"/>
      <c r="AQ406" s="91"/>
      <c r="AR406" s="91"/>
      <c r="AS406" s="91"/>
      <c r="AT406" s="91"/>
      <c r="BA406" s="91"/>
      <c r="BD406" s="89"/>
      <c r="BE406" s="89"/>
      <c r="BF406" s="91"/>
      <c r="BG406" s="91"/>
      <c r="BH406" s="91"/>
      <c r="BO406" s="91"/>
      <c r="BS406" s="91"/>
      <c r="BT406" s="91"/>
      <c r="BV406" s="91"/>
    </row>
    <row r="407" spans="1:74" x14ac:dyDescent="0.3">
      <c r="A407" s="89"/>
      <c r="B407" s="89"/>
      <c r="C407" s="91"/>
      <c r="D407" s="91"/>
      <c r="E407" s="91"/>
      <c r="F407" s="91"/>
      <c r="G407" s="91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89"/>
      <c r="Y407" s="89"/>
      <c r="Z407" s="91"/>
      <c r="AA407" s="91"/>
      <c r="AB407" s="91"/>
      <c r="AC407" s="91"/>
      <c r="AD407" s="91"/>
      <c r="AE407" s="91"/>
      <c r="AF407" s="91"/>
      <c r="AG407" s="91"/>
      <c r="AH407" s="91"/>
      <c r="AI407" s="91"/>
      <c r="AL407" s="89"/>
      <c r="AM407" s="91"/>
      <c r="AN407" s="91"/>
      <c r="AP407" s="91"/>
      <c r="AQ407" s="91"/>
      <c r="AR407" s="91"/>
      <c r="AS407" s="91"/>
      <c r="AT407" s="91"/>
      <c r="BA407" s="91"/>
      <c r="BD407" s="89"/>
      <c r="BE407" s="89"/>
      <c r="BF407" s="91"/>
      <c r="BG407" s="91"/>
      <c r="BH407" s="91"/>
      <c r="BO407" s="91"/>
      <c r="BS407" s="91"/>
      <c r="BT407" s="91"/>
      <c r="BV407" s="91"/>
    </row>
    <row r="408" spans="1:74" x14ac:dyDescent="0.3">
      <c r="A408" s="89"/>
      <c r="B408" s="89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89"/>
      <c r="Y408" s="89"/>
      <c r="Z408" s="91"/>
      <c r="AA408" s="91"/>
      <c r="AB408" s="91"/>
      <c r="AC408" s="91"/>
      <c r="AD408" s="91"/>
      <c r="AE408" s="91"/>
      <c r="AF408" s="91"/>
      <c r="AG408" s="91"/>
      <c r="AH408" s="91"/>
      <c r="AI408" s="91"/>
      <c r="AL408" s="89"/>
      <c r="AM408" s="91"/>
      <c r="AN408" s="91"/>
      <c r="AP408" s="91"/>
      <c r="AQ408" s="91"/>
      <c r="AR408" s="91"/>
      <c r="AS408" s="91"/>
      <c r="AT408" s="91"/>
      <c r="BA408" s="91"/>
      <c r="BD408" s="89"/>
      <c r="BE408" s="89"/>
      <c r="BF408" s="91"/>
      <c r="BG408" s="91"/>
      <c r="BH408" s="91"/>
      <c r="BO408" s="91"/>
      <c r="BS408" s="91"/>
      <c r="BT408" s="91"/>
      <c r="BV408" s="91"/>
    </row>
    <row r="409" spans="1:74" x14ac:dyDescent="0.3">
      <c r="A409" s="89"/>
      <c r="B409" s="89"/>
      <c r="C409" s="91"/>
      <c r="D409" s="91"/>
      <c r="E409" s="91"/>
      <c r="F409" s="91"/>
      <c r="G409" s="91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89"/>
      <c r="Y409" s="89"/>
      <c r="Z409" s="91"/>
      <c r="AA409" s="91"/>
      <c r="AB409" s="91"/>
      <c r="AC409" s="91"/>
      <c r="AD409" s="91"/>
      <c r="AE409" s="91"/>
      <c r="AF409" s="91"/>
      <c r="AG409" s="91"/>
      <c r="AH409" s="91"/>
      <c r="AI409" s="91"/>
      <c r="AL409" s="89"/>
      <c r="AM409" s="91"/>
      <c r="AN409" s="91"/>
      <c r="AP409" s="91"/>
      <c r="AQ409" s="91"/>
      <c r="AR409" s="91"/>
      <c r="AS409" s="91"/>
      <c r="AT409" s="91"/>
      <c r="BA409" s="91"/>
      <c r="BD409" s="89"/>
      <c r="BE409" s="89"/>
      <c r="BF409" s="91"/>
      <c r="BG409" s="91"/>
      <c r="BH409" s="91"/>
      <c r="BO409" s="91"/>
      <c r="BS409" s="91"/>
      <c r="BT409" s="91"/>
      <c r="BV409" s="91"/>
    </row>
    <row r="410" spans="1:74" x14ac:dyDescent="0.3">
      <c r="A410" s="89"/>
      <c r="B410" s="89"/>
      <c r="C410" s="91"/>
      <c r="D410" s="91"/>
      <c r="E410" s="91"/>
      <c r="F410" s="91"/>
      <c r="G410" s="91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89"/>
      <c r="Y410" s="89"/>
      <c r="Z410" s="91"/>
      <c r="AA410" s="91"/>
      <c r="AB410" s="91"/>
      <c r="AC410" s="91"/>
      <c r="AD410" s="91"/>
      <c r="AE410" s="91"/>
      <c r="AF410" s="91"/>
      <c r="AG410" s="91"/>
      <c r="AH410" s="91"/>
      <c r="AI410" s="91"/>
      <c r="AL410" s="89"/>
      <c r="AM410" s="91"/>
      <c r="AN410" s="91"/>
      <c r="AP410" s="91"/>
      <c r="AQ410" s="91"/>
      <c r="AR410" s="91"/>
      <c r="AS410" s="91"/>
      <c r="AT410" s="91"/>
      <c r="BA410" s="91"/>
      <c r="BD410" s="89"/>
      <c r="BE410" s="89"/>
      <c r="BF410" s="91"/>
      <c r="BG410" s="91"/>
      <c r="BH410" s="91"/>
      <c r="BO410" s="91"/>
      <c r="BS410" s="91"/>
      <c r="BT410" s="91"/>
      <c r="BV410" s="91"/>
    </row>
    <row r="411" spans="1:74" x14ac:dyDescent="0.3">
      <c r="A411" s="89"/>
      <c r="B411" s="89"/>
      <c r="C411" s="91"/>
      <c r="D411" s="91"/>
      <c r="E411" s="91"/>
      <c r="F411" s="91"/>
      <c r="G411" s="91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89"/>
      <c r="Y411" s="89"/>
      <c r="Z411" s="91"/>
      <c r="AA411" s="91"/>
      <c r="AB411" s="91"/>
      <c r="AC411" s="91"/>
      <c r="AD411" s="91"/>
      <c r="AE411" s="91"/>
      <c r="AF411" s="91"/>
      <c r="AG411" s="91"/>
      <c r="AH411" s="91"/>
      <c r="AI411" s="91"/>
      <c r="AL411" s="89"/>
      <c r="AM411" s="91"/>
      <c r="AN411" s="91"/>
      <c r="AP411" s="91"/>
      <c r="AQ411" s="91"/>
      <c r="AR411" s="91"/>
      <c r="AS411" s="91"/>
      <c r="AT411" s="91"/>
      <c r="BA411" s="91"/>
      <c r="BD411" s="89"/>
      <c r="BE411" s="89"/>
      <c r="BF411" s="91"/>
      <c r="BG411" s="91"/>
      <c r="BH411" s="91"/>
      <c r="BO411" s="91"/>
      <c r="BS411" s="91"/>
      <c r="BT411" s="91"/>
      <c r="BV411" s="91"/>
    </row>
    <row r="412" spans="1:74" x14ac:dyDescent="0.3">
      <c r="A412" s="89"/>
      <c r="B412" s="89"/>
      <c r="C412" s="91"/>
      <c r="D412" s="91"/>
      <c r="E412" s="91"/>
      <c r="F412" s="91"/>
      <c r="G412" s="91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89"/>
      <c r="Y412" s="89"/>
      <c r="Z412" s="91"/>
      <c r="AA412" s="91"/>
      <c r="AB412" s="91"/>
      <c r="AC412" s="91"/>
      <c r="AD412" s="91"/>
      <c r="AE412" s="91"/>
      <c r="AF412" s="91"/>
      <c r="AG412" s="91"/>
      <c r="AH412" s="91"/>
      <c r="AI412" s="91"/>
      <c r="AL412" s="89"/>
      <c r="AM412" s="91"/>
      <c r="AN412" s="91"/>
      <c r="AP412" s="91"/>
      <c r="AQ412" s="91"/>
      <c r="AR412" s="91"/>
      <c r="AS412" s="91"/>
      <c r="AT412" s="91"/>
      <c r="BA412" s="91"/>
      <c r="BD412" s="89"/>
      <c r="BE412" s="89"/>
      <c r="BF412" s="91"/>
      <c r="BG412" s="91"/>
      <c r="BH412" s="91"/>
      <c r="BO412" s="91"/>
      <c r="BS412" s="91"/>
      <c r="BT412" s="91"/>
      <c r="BV412" s="91"/>
    </row>
    <row r="413" spans="1:74" x14ac:dyDescent="0.3">
      <c r="A413" s="89"/>
      <c r="B413" s="89"/>
      <c r="C413" s="91"/>
      <c r="D413" s="91"/>
      <c r="E413" s="91"/>
      <c r="F413" s="91"/>
      <c r="G413" s="91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89"/>
      <c r="Y413" s="89"/>
      <c r="Z413" s="91"/>
      <c r="AA413" s="91"/>
      <c r="AB413" s="91"/>
      <c r="AC413" s="91"/>
      <c r="AD413" s="91"/>
      <c r="AE413" s="91"/>
      <c r="AF413" s="91"/>
      <c r="AG413" s="91"/>
      <c r="AH413" s="91"/>
      <c r="AI413" s="91"/>
      <c r="AL413" s="89"/>
      <c r="AM413" s="91"/>
      <c r="AN413" s="91"/>
      <c r="AP413" s="91"/>
      <c r="AQ413" s="91"/>
      <c r="AR413" s="91"/>
      <c r="AS413" s="91"/>
      <c r="AT413" s="91"/>
      <c r="BA413" s="91"/>
      <c r="BD413" s="89"/>
      <c r="BE413" s="89"/>
      <c r="BF413" s="91"/>
      <c r="BG413" s="91"/>
      <c r="BH413" s="91"/>
      <c r="BO413" s="91"/>
      <c r="BS413" s="91"/>
      <c r="BT413" s="91"/>
      <c r="BV413" s="91"/>
    </row>
    <row r="414" spans="1:74" x14ac:dyDescent="0.3">
      <c r="A414" s="89"/>
      <c r="B414" s="89"/>
      <c r="C414" s="91"/>
      <c r="D414" s="91"/>
      <c r="E414" s="91"/>
      <c r="F414" s="91"/>
      <c r="G414" s="91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89"/>
      <c r="Y414" s="89"/>
      <c r="Z414" s="91"/>
      <c r="AA414" s="91"/>
      <c r="AB414" s="91"/>
      <c r="AC414" s="91"/>
      <c r="AD414" s="91"/>
      <c r="AE414" s="91"/>
      <c r="AF414" s="91"/>
      <c r="AG414" s="91"/>
      <c r="AH414" s="91"/>
      <c r="AI414" s="91"/>
      <c r="AL414" s="89"/>
      <c r="AM414" s="91"/>
      <c r="AN414" s="91"/>
      <c r="AP414" s="91"/>
      <c r="AQ414" s="91"/>
      <c r="AR414" s="91"/>
      <c r="AS414" s="91"/>
      <c r="AT414" s="91"/>
      <c r="BA414" s="91"/>
      <c r="BD414" s="89"/>
      <c r="BE414" s="89"/>
      <c r="BF414" s="91"/>
      <c r="BG414" s="91"/>
      <c r="BH414" s="91"/>
      <c r="BO414" s="91"/>
      <c r="BS414" s="91"/>
      <c r="BT414" s="91"/>
      <c r="BV414" s="91"/>
    </row>
    <row r="415" spans="1:74" x14ac:dyDescent="0.3">
      <c r="A415" s="89"/>
      <c r="B415" s="89"/>
      <c r="C415" s="91"/>
      <c r="D415" s="91"/>
      <c r="E415" s="91"/>
      <c r="F415" s="91"/>
      <c r="G415" s="91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89"/>
      <c r="Y415" s="89"/>
      <c r="Z415" s="91"/>
      <c r="AA415" s="91"/>
      <c r="AB415" s="91"/>
      <c r="AC415" s="91"/>
      <c r="AD415" s="91"/>
      <c r="AE415" s="91"/>
      <c r="AF415" s="91"/>
      <c r="AG415" s="91"/>
      <c r="AH415" s="91"/>
      <c r="AI415" s="91"/>
      <c r="AL415" s="89"/>
      <c r="AM415" s="91"/>
      <c r="AN415" s="91"/>
      <c r="AP415" s="91"/>
      <c r="AQ415" s="91"/>
      <c r="AR415" s="91"/>
      <c r="AS415" s="91"/>
      <c r="AT415" s="91"/>
      <c r="BA415" s="91"/>
      <c r="BD415" s="89"/>
      <c r="BE415" s="89"/>
      <c r="BF415" s="91"/>
      <c r="BG415" s="91"/>
      <c r="BH415" s="91"/>
      <c r="BO415" s="91"/>
      <c r="BS415" s="91"/>
      <c r="BT415" s="91"/>
      <c r="BV415" s="91"/>
    </row>
    <row r="416" spans="1:74" x14ac:dyDescent="0.3">
      <c r="A416" s="89"/>
      <c r="B416" s="89"/>
      <c r="C416" s="91"/>
      <c r="D416" s="91"/>
      <c r="E416" s="91"/>
      <c r="F416" s="91"/>
      <c r="G416" s="91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89"/>
      <c r="Y416" s="89"/>
      <c r="Z416" s="91"/>
      <c r="AA416" s="91"/>
      <c r="AB416" s="91"/>
      <c r="AC416" s="91"/>
      <c r="AD416" s="91"/>
      <c r="AE416" s="91"/>
      <c r="AF416" s="91"/>
      <c r="AG416" s="91"/>
      <c r="AH416" s="91"/>
      <c r="AI416" s="91"/>
      <c r="AL416" s="89"/>
      <c r="AM416" s="91"/>
      <c r="AN416" s="91"/>
      <c r="AP416" s="91"/>
      <c r="AQ416" s="91"/>
      <c r="AR416" s="91"/>
      <c r="AS416" s="91"/>
      <c r="AT416" s="91"/>
      <c r="BA416" s="91"/>
      <c r="BD416" s="89"/>
      <c r="BE416" s="89"/>
      <c r="BF416" s="91"/>
      <c r="BG416" s="91"/>
      <c r="BH416" s="91"/>
      <c r="BO416" s="91"/>
      <c r="BS416" s="91"/>
      <c r="BT416" s="91"/>
      <c r="BV416" s="91"/>
    </row>
    <row r="417" spans="1:74" x14ac:dyDescent="0.3">
      <c r="A417" s="89"/>
      <c r="B417" s="89"/>
      <c r="C417" s="91"/>
      <c r="D417" s="91"/>
      <c r="E417" s="91"/>
      <c r="F417" s="91"/>
      <c r="G417" s="91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89"/>
      <c r="Y417" s="89"/>
      <c r="Z417" s="91"/>
      <c r="AA417" s="91"/>
      <c r="AB417" s="91"/>
      <c r="AC417" s="91"/>
      <c r="AD417" s="91"/>
      <c r="AE417" s="91"/>
      <c r="AF417" s="91"/>
      <c r="AG417" s="91"/>
      <c r="AH417" s="91"/>
      <c r="AI417" s="91"/>
      <c r="AL417" s="89"/>
      <c r="AM417" s="91"/>
      <c r="AN417" s="91"/>
      <c r="AP417" s="91"/>
      <c r="AQ417" s="91"/>
      <c r="AR417" s="91"/>
      <c r="AS417" s="91"/>
      <c r="AT417" s="91"/>
      <c r="BA417" s="91"/>
      <c r="BD417" s="89"/>
      <c r="BE417" s="89"/>
      <c r="BF417" s="91"/>
      <c r="BG417" s="91"/>
      <c r="BH417" s="91"/>
      <c r="BO417" s="91"/>
      <c r="BS417" s="91"/>
      <c r="BT417" s="91"/>
      <c r="BV417" s="91"/>
    </row>
    <row r="418" spans="1:74" x14ac:dyDescent="0.3">
      <c r="A418" s="89"/>
      <c r="B418" s="89"/>
      <c r="C418" s="91"/>
      <c r="D418" s="91"/>
      <c r="E418" s="91"/>
      <c r="F418" s="91"/>
      <c r="G418" s="91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89"/>
      <c r="Y418" s="89"/>
      <c r="Z418" s="91"/>
      <c r="AA418" s="91"/>
      <c r="AB418" s="91"/>
      <c r="AC418" s="91"/>
      <c r="AD418" s="91"/>
      <c r="AE418" s="91"/>
      <c r="AF418" s="91"/>
      <c r="AG418" s="91"/>
      <c r="AH418" s="91"/>
      <c r="AI418" s="91"/>
      <c r="AL418" s="89"/>
      <c r="AM418" s="91"/>
      <c r="AN418" s="91"/>
      <c r="AP418" s="91"/>
      <c r="AQ418" s="91"/>
      <c r="AR418" s="91"/>
      <c r="AS418" s="91"/>
      <c r="AT418" s="91"/>
      <c r="BA418" s="91"/>
      <c r="BD418" s="89"/>
      <c r="BE418" s="89"/>
      <c r="BF418" s="91"/>
      <c r="BG418" s="91"/>
      <c r="BH418" s="91"/>
      <c r="BO418" s="91"/>
      <c r="BS418" s="91"/>
      <c r="BT418" s="91"/>
      <c r="BV418" s="91"/>
    </row>
    <row r="419" spans="1:74" x14ac:dyDescent="0.3">
      <c r="A419" s="89"/>
      <c r="B419" s="89"/>
      <c r="C419" s="91"/>
      <c r="D419" s="91"/>
      <c r="E419" s="91"/>
      <c r="F419" s="91"/>
      <c r="G419" s="91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89"/>
      <c r="Y419" s="89"/>
      <c r="Z419" s="91"/>
      <c r="AA419" s="91"/>
      <c r="AB419" s="91"/>
      <c r="AC419" s="91"/>
      <c r="AD419" s="91"/>
      <c r="AE419" s="91"/>
      <c r="AF419" s="91"/>
      <c r="AG419" s="91"/>
      <c r="AH419" s="91"/>
      <c r="AI419" s="91"/>
      <c r="AL419" s="89"/>
      <c r="AM419" s="91"/>
      <c r="AN419" s="91"/>
      <c r="AP419" s="91"/>
      <c r="AQ419" s="91"/>
      <c r="AR419" s="91"/>
      <c r="AS419" s="91"/>
      <c r="AT419" s="91"/>
      <c r="BA419" s="91"/>
      <c r="BD419" s="89"/>
      <c r="BE419" s="89"/>
      <c r="BF419" s="91"/>
      <c r="BG419" s="91"/>
      <c r="BH419" s="91"/>
      <c r="BO419" s="91"/>
      <c r="BS419" s="91"/>
      <c r="BT419" s="91"/>
      <c r="BV419" s="91"/>
    </row>
    <row r="420" spans="1:74" x14ac:dyDescent="0.3">
      <c r="A420" s="89"/>
      <c r="B420" s="89"/>
      <c r="C420" s="91"/>
      <c r="D420" s="91"/>
      <c r="E420" s="91"/>
      <c r="F420" s="91"/>
      <c r="G420" s="91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89"/>
      <c r="Y420" s="89"/>
      <c r="Z420" s="91"/>
      <c r="AA420" s="91"/>
      <c r="AB420" s="91"/>
      <c r="AC420" s="91"/>
      <c r="AD420" s="91"/>
      <c r="AE420" s="91"/>
      <c r="AF420" s="91"/>
      <c r="AG420" s="91"/>
      <c r="AH420" s="91"/>
      <c r="AI420" s="91"/>
      <c r="AL420" s="89"/>
      <c r="AM420" s="91"/>
      <c r="AN420" s="91"/>
      <c r="AP420" s="91"/>
      <c r="AQ420" s="91"/>
      <c r="AR420" s="91"/>
      <c r="AS420" s="91"/>
      <c r="AT420" s="91"/>
      <c r="BA420" s="91"/>
      <c r="BD420" s="89"/>
      <c r="BE420" s="89"/>
      <c r="BF420" s="91"/>
      <c r="BG420" s="91"/>
      <c r="BH420" s="91"/>
      <c r="BO420" s="91"/>
      <c r="BS420" s="91"/>
      <c r="BT420" s="91"/>
      <c r="BV420" s="91"/>
    </row>
    <row r="421" spans="1:74" x14ac:dyDescent="0.3">
      <c r="A421" s="89"/>
      <c r="B421" s="89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89"/>
      <c r="Y421" s="89"/>
      <c r="Z421" s="91"/>
      <c r="AA421" s="91"/>
      <c r="AB421" s="91"/>
      <c r="AC421" s="91"/>
      <c r="AD421" s="91"/>
      <c r="AE421" s="91"/>
      <c r="AF421" s="91"/>
      <c r="AG421" s="91"/>
      <c r="AH421" s="91"/>
      <c r="AI421" s="91"/>
      <c r="AL421" s="89"/>
      <c r="AM421" s="91"/>
      <c r="AN421" s="91"/>
      <c r="AP421" s="91"/>
      <c r="AQ421" s="91"/>
      <c r="AR421" s="91"/>
      <c r="AS421" s="91"/>
      <c r="AT421" s="91"/>
      <c r="BA421" s="91"/>
      <c r="BD421" s="89"/>
      <c r="BE421" s="89"/>
      <c r="BF421" s="91"/>
      <c r="BG421" s="91"/>
      <c r="BH421" s="91"/>
      <c r="BO421" s="91"/>
      <c r="BS421" s="91"/>
      <c r="BT421" s="91"/>
      <c r="BV421" s="91"/>
    </row>
    <row r="422" spans="1:74" x14ac:dyDescent="0.3">
      <c r="A422" s="89"/>
      <c r="B422" s="89"/>
      <c r="C422" s="91"/>
      <c r="D422" s="91"/>
      <c r="E422" s="91"/>
      <c r="F422" s="91"/>
      <c r="G422" s="91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89"/>
      <c r="Y422" s="89"/>
      <c r="Z422" s="91"/>
      <c r="AA422" s="91"/>
      <c r="AB422" s="91"/>
      <c r="AC422" s="91"/>
      <c r="AD422" s="91"/>
      <c r="AE422" s="91"/>
      <c r="AF422" s="91"/>
      <c r="AG422" s="91"/>
      <c r="AH422" s="91"/>
      <c r="AI422" s="91"/>
      <c r="AL422" s="89"/>
      <c r="AM422" s="91"/>
      <c r="AN422" s="91"/>
      <c r="AP422" s="91"/>
      <c r="AQ422" s="91"/>
      <c r="AR422" s="91"/>
      <c r="AS422" s="91"/>
      <c r="AT422" s="91"/>
      <c r="BA422" s="91"/>
      <c r="BD422" s="89"/>
      <c r="BE422" s="89"/>
      <c r="BF422" s="91"/>
      <c r="BG422" s="91"/>
      <c r="BH422" s="91"/>
      <c r="BO422" s="91"/>
      <c r="BS422" s="91"/>
      <c r="BT422" s="91"/>
      <c r="BV422" s="91"/>
    </row>
    <row r="423" spans="1:74" x14ac:dyDescent="0.3">
      <c r="A423" s="89"/>
      <c r="B423" s="89"/>
      <c r="C423" s="91"/>
      <c r="D423" s="91"/>
      <c r="E423" s="91"/>
      <c r="F423" s="91"/>
      <c r="G423" s="91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89"/>
      <c r="Y423" s="89"/>
      <c r="Z423" s="91"/>
      <c r="AA423" s="91"/>
      <c r="AB423" s="91"/>
      <c r="AC423" s="91"/>
      <c r="AD423" s="91"/>
      <c r="AE423" s="91"/>
      <c r="AF423" s="91"/>
      <c r="AG423" s="91"/>
      <c r="AH423" s="91"/>
      <c r="AI423" s="91"/>
      <c r="AL423" s="89"/>
      <c r="AM423" s="91"/>
      <c r="AN423" s="91"/>
      <c r="AP423" s="91"/>
      <c r="AQ423" s="91"/>
      <c r="AR423" s="91"/>
      <c r="AS423" s="91"/>
      <c r="AT423" s="91"/>
      <c r="BA423" s="91"/>
      <c r="BD423" s="89"/>
      <c r="BE423" s="89"/>
      <c r="BF423" s="91"/>
      <c r="BG423" s="91"/>
      <c r="BH423" s="91"/>
      <c r="BO423" s="91"/>
      <c r="BS423" s="91"/>
      <c r="BT423" s="91"/>
      <c r="BV423" s="91"/>
    </row>
    <row r="424" spans="1:74" x14ac:dyDescent="0.3">
      <c r="A424" s="89"/>
      <c r="B424" s="89"/>
      <c r="C424" s="91"/>
      <c r="D424" s="91"/>
      <c r="E424" s="91"/>
      <c r="F424" s="91"/>
      <c r="G424" s="91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89"/>
      <c r="Y424" s="89"/>
      <c r="Z424" s="91"/>
      <c r="AA424" s="91"/>
      <c r="AB424" s="91"/>
      <c r="AC424" s="91"/>
      <c r="AD424" s="91"/>
      <c r="AE424" s="91"/>
      <c r="AF424" s="91"/>
      <c r="AG424" s="91"/>
      <c r="AH424" s="91"/>
      <c r="AI424" s="91"/>
      <c r="AL424" s="89"/>
      <c r="AM424" s="91"/>
      <c r="AN424" s="91"/>
      <c r="AP424" s="91"/>
      <c r="AQ424" s="91"/>
      <c r="AR424" s="91"/>
      <c r="AS424" s="91"/>
      <c r="AT424" s="91"/>
      <c r="BA424" s="91"/>
      <c r="BD424" s="89"/>
      <c r="BE424" s="89"/>
      <c r="BF424" s="91"/>
      <c r="BG424" s="91"/>
      <c r="BH424" s="91"/>
      <c r="BO424" s="91"/>
      <c r="BS424" s="91"/>
      <c r="BT424" s="91"/>
      <c r="BV424" s="91"/>
    </row>
    <row r="425" spans="1:74" x14ac:dyDescent="0.3">
      <c r="A425" s="89"/>
      <c r="B425" s="89"/>
      <c r="C425" s="91"/>
      <c r="D425" s="91"/>
      <c r="E425" s="91"/>
      <c r="F425" s="91"/>
      <c r="G425" s="91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89"/>
      <c r="Y425" s="89"/>
      <c r="Z425" s="91"/>
      <c r="AA425" s="91"/>
      <c r="AB425" s="91"/>
      <c r="AC425" s="91"/>
      <c r="AD425" s="91"/>
      <c r="AE425" s="91"/>
      <c r="AF425" s="91"/>
      <c r="AG425" s="91"/>
      <c r="AH425" s="91"/>
      <c r="AI425" s="91"/>
      <c r="AL425" s="89"/>
      <c r="AM425" s="91"/>
      <c r="AN425" s="91"/>
      <c r="AP425" s="91"/>
      <c r="AQ425" s="91"/>
      <c r="AR425" s="91"/>
      <c r="AS425" s="91"/>
      <c r="AT425" s="91"/>
      <c r="BA425" s="91"/>
      <c r="BD425" s="89"/>
      <c r="BE425" s="89"/>
      <c r="BF425" s="91"/>
      <c r="BG425" s="91"/>
      <c r="BH425" s="91"/>
      <c r="BO425" s="91"/>
      <c r="BS425" s="91"/>
      <c r="BT425" s="91"/>
      <c r="BV425" s="91"/>
    </row>
    <row r="426" spans="1:74" x14ac:dyDescent="0.3">
      <c r="A426" s="89"/>
      <c r="B426" s="89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89"/>
      <c r="Y426" s="89"/>
      <c r="Z426" s="91"/>
      <c r="AA426" s="91"/>
      <c r="AB426" s="91"/>
      <c r="AC426" s="91"/>
      <c r="AD426" s="91"/>
      <c r="AE426" s="91"/>
      <c r="AF426" s="91"/>
      <c r="AG426" s="91"/>
      <c r="AH426" s="91"/>
      <c r="AI426" s="91"/>
      <c r="AL426" s="89"/>
      <c r="AM426" s="91"/>
      <c r="AN426" s="91"/>
      <c r="AP426" s="91"/>
      <c r="AQ426" s="91"/>
      <c r="AR426" s="91"/>
      <c r="AS426" s="91"/>
      <c r="AT426" s="91"/>
      <c r="BA426" s="91"/>
      <c r="BD426" s="89"/>
      <c r="BE426" s="89"/>
      <c r="BF426" s="91"/>
      <c r="BG426" s="91"/>
      <c r="BH426" s="91"/>
      <c r="BO426" s="91"/>
      <c r="BS426" s="91"/>
      <c r="BT426" s="91"/>
      <c r="BV426" s="91"/>
    </row>
    <row r="427" spans="1:74" x14ac:dyDescent="0.3">
      <c r="A427" s="89"/>
      <c r="B427" s="89"/>
      <c r="C427" s="91"/>
      <c r="D427" s="91"/>
      <c r="E427" s="91"/>
      <c r="F427" s="91"/>
      <c r="G427" s="91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89"/>
      <c r="Y427" s="89"/>
      <c r="Z427" s="91"/>
      <c r="AA427" s="91"/>
      <c r="AB427" s="91"/>
      <c r="AC427" s="91"/>
      <c r="AD427" s="91"/>
      <c r="AE427" s="91"/>
      <c r="AF427" s="91"/>
      <c r="AG427" s="91"/>
      <c r="AH427" s="91"/>
      <c r="AI427" s="91"/>
      <c r="AL427" s="89"/>
      <c r="AM427" s="91"/>
      <c r="AN427" s="91"/>
      <c r="AP427" s="91"/>
      <c r="AQ427" s="91"/>
      <c r="AR427" s="91"/>
      <c r="AS427" s="91"/>
      <c r="AT427" s="91"/>
      <c r="BA427" s="91"/>
      <c r="BD427" s="89"/>
      <c r="BE427" s="89"/>
      <c r="BF427" s="91"/>
      <c r="BG427" s="91"/>
      <c r="BH427" s="91"/>
      <c r="BO427" s="91"/>
      <c r="BS427" s="91"/>
      <c r="BT427" s="91"/>
      <c r="BV427" s="91"/>
    </row>
    <row r="428" spans="1:74" x14ac:dyDescent="0.3">
      <c r="A428" s="89"/>
      <c r="B428" s="89"/>
      <c r="C428" s="91"/>
      <c r="D428" s="91"/>
      <c r="E428" s="91"/>
      <c r="F428" s="91"/>
      <c r="G428" s="91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89"/>
      <c r="Y428" s="89"/>
      <c r="Z428" s="91"/>
      <c r="AA428" s="91"/>
      <c r="AB428" s="91"/>
      <c r="AC428" s="91"/>
      <c r="AD428" s="91"/>
      <c r="AE428" s="91"/>
      <c r="AF428" s="91"/>
      <c r="AG428" s="91"/>
      <c r="AH428" s="91"/>
      <c r="AI428" s="91"/>
      <c r="AL428" s="89"/>
      <c r="AM428" s="91"/>
      <c r="AN428" s="91"/>
      <c r="AP428" s="91"/>
      <c r="AQ428" s="91"/>
      <c r="AR428" s="91"/>
      <c r="AS428" s="91"/>
      <c r="AT428" s="91"/>
      <c r="BA428" s="91"/>
      <c r="BD428" s="89"/>
      <c r="BE428" s="89"/>
      <c r="BF428" s="91"/>
      <c r="BG428" s="91"/>
      <c r="BH428" s="91"/>
      <c r="BO428" s="91"/>
      <c r="BS428" s="91"/>
      <c r="BT428" s="91"/>
      <c r="BV428" s="91"/>
    </row>
    <row r="429" spans="1:74" x14ac:dyDescent="0.3">
      <c r="A429" s="89"/>
      <c r="B429" s="89"/>
      <c r="C429" s="91"/>
      <c r="D429" s="91"/>
      <c r="E429" s="91"/>
      <c r="F429" s="91"/>
      <c r="G429" s="91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89"/>
      <c r="Y429" s="89"/>
      <c r="Z429" s="91"/>
      <c r="AA429" s="91"/>
      <c r="AB429" s="91"/>
      <c r="AC429" s="91"/>
      <c r="AD429" s="91"/>
      <c r="AE429" s="91"/>
      <c r="AF429" s="91"/>
      <c r="AG429" s="91"/>
      <c r="AH429" s="91"/>
      <c r="AI429" s="91"/>
      <c r="AL429" s="89"/>
      <c r="AM429" s="91"/>
      <c r="AN429" s="91"/>
      <c r="AP429" s="91"/>
      <c r="AQ429" s="91"/>
      <c r="AR429" s="91"/>
      <c r="AS429" s="91"/>
      <c r="AT429" s="91"/>
      <c r="BA429" s="91"/>
      <c r="BD429" s="89"/>
      <c r="BE429" s="89"/>
      <c r="BF429" s="91"/>
      <c r="BG429" s="91"/>
      <c r="BH429" s="91"/>
      <c r="BO429" s="91"/>
      <c r="BS429" s="91"/>
      <c r="BT429" s="91"/>
      <c r="BV429" s="91"/>
    </row>
    <row r="430" spans="1:74" x14ac:dyDescent="0.3">
      <c r="A430" s="89"/>
      <c r="B430" s="89"/>
      <c r="C430" s="91"/>
      <c r="D430" s="91"/>
      <c r="E430" s="91"/>
      <c r="F430" s="91"/>
      <c r="G430" s="91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89"/>
      <c r="Y430" s="89"/>
      <c r="Z430" s="91"/>
      <c r="AA430" s="91"/>
      <c r="AB430" s="91"/>
      <c r="AC430" s="91"/>
      <c r="AD430" s="91"/>
      <c r="AE430" s="91"/>
      <c r="AF430" s="91"/>
      <c r="AG430" s="91"/>
      <c r="AH430" s="91"/>
      <c r="AI430" s="91"/>
      <c r="AL430" s="89"/>
      <c r="AM430" s="91"/>
      <c r="AN430" s="91"/>
      <c r="AP430" s="91"/>
      <c r="AQ430" s="91"/>
      <c r="AR430" s="91"/>
      <c r="AS430" s="91"/>
      <c r="AT430" s="91"/>
      <c r="BA430" s="91"/>
      <c r="BD430" s="89"/>
      <c r="BE430" s="89"/>
      <c r="BF430" s="91"/>
      <c r="BG430" s="91"/>
      <c r="BH430" s="91"/>
      <c r="BO430" s="91"/>
      <c r="BS430" s="91"/>
      <c r="BT430" s="91"/>
      <c r="BV430" s="91"/>
    </row>
    <row r="431" spans="1:74" x14ac:dyDescent="0.3">
      <c r="A431" s="89"/>
      <c r="B431" s="89"/>
      <c r="C431" s="91"/>
      <c r="D431" s="91"/>
      <c r="E431" s="91"/>
      <c r="F431" s="91"/>
      <c r="G431" s="91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89"/>
      <c r="Y431" s="89"/>
      <c r="Z431" s="91"/>
      <c r="AA431" s="91"/>
      <c r="AB431" s="91"/>
      <c r="AC431" s="91"/>
      <c r="AD431" s="91"/>
      <c r="AE431" s="91"/>
      <c r="AF431" s="91"/>
      <c r="AG431" s="91"/>
      <c r="AH431" s="91"/>
      <c r="AI431" s="91"/>
      <c r="AL431" s="89"/>
      <c r="AM431" s="91"/>
      <c r="AN431" s="91"/>
      <c r="AP431" s="91"/>
      <c r="AQ431" s="91"/>
      <c r="AR431" s="91"/>
      <c r="AS431" s="91"/>
      <c r="AT431" s="91"/>
      <c r="BA431" s="91"/>
      <c r="BD431" s="89"/>
      <c r="BE431" s="89"/>
      <c r="BF431" s="91"/>
      <c r="BG431" s="91"/>
      <c r="BH431" s="91"/>
      <c r="BO431" s="91"/>
      <c r="BS431" s="91"/>
      <c r="BT431" s="91"/>
      <c r="BV431" s="91"/>
    </row>
    <row r="432" spans="1:74" x14ac:dyDescent="0.3">
      <c r="A432" s="89"/>
      <c r="B432" s="89"/>
      <c r="C432" s="91"/>
      <c r="D432" s="91"/>
      <c r="E432" s="91"/>
      <c r="F432" s="91"/>
      <c r="G432" s="91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89"/>
      <c r="Y432" s="89"/>
      <c r="Z432" s="91"/>
      <c r="AA432" s="91"/>
      <c r="AB432" s="91"/>
      <c r="AC432" s="91"/>
      <c r="AD432" s="91"/>
      <c r="AE432" s="91"/>
      <c r="AF432" s="91"/>
      <c r="AG432" s="91"/>
      <c r="AH432" s="91"/>
      <c r="AI432" s="91"/>
      <c r="AL432" s="89"/>
      <c r="AM432" s="91"/>
      <c r="AN432" s="91"/>
      <c r="AP432" s="91"/>
      <c r="AQ432" s="91"/>
      <c r="AR432" s="91"/>
      <c r="AS432" s="91"/>
      <c r="AT432" s="91"/>
      <c r="BA432" s="91"/>
      <c r="BD432" s="89"/>
      <c r="BE432" s="89"/>
      <c r="BF432" s="91"/>
      <c r="BG432" s="91"/>
      <c r="BH432" s="91"/>
      <c r="BO432" s="91"/>
      <c r="BS432" s="91"/>
      <c r="BT432" s="91"/>
      <c r="BV432" s="91"/>
    </row>
    <row r="433" spans="1:74" x14ac:dyDescent="0.3">
      <c r="A433" s="89"/>
      <c r="B433" s="89"/>
      <c r="C433" s="91"/>
      <c r="D433" s="91"/>
      <c r="E433" s="91"/>
      <c r="F433" s="91"/>
      <c r="G433" s="91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89"/>
      <c r="Y433" s="89"/>
      <c r="Z433" s="91"/>
      <c r="AA433" s="91"/>
      <c r="AB433" s="91"/>
      <c r="AC433" s="91"/>
      <c r="AD433" s="91"/>
      <c r="AE433" s="91"/>
      <c r="AF433" s="91"/>
      <c r="AG433" s="91"/>
      <c r="AH433" s="91"/>
      <c r="AI433" s="91"/>
      <c r="AL433" s="89"/>
      <c r="AM433" s="91"/>
      <c r="AN433" s="91"/>
      <c r="AP433" s="91"/>
      <c r="AQ433" s="91"/>
      <c r="AR433" s="91"/>
      <c r="AS433" s="91"/>
      <c r="AT433" s="91"/>
      <c r="BA433" s="91"/>
      <c r="BD433" s="89"/>
      <c r="BE433" s="89"/>
      <c r="BF433" s="91"/>
      <c r="BG433" s="91"/>
      <c r="BH433" s="91"/>
      <c r="BO433" s="91"/>
      <c r="BS433" s="91"/>
      <c r="BT433" s="91"/>
      <c r="BV433" s="91"/>
    </row>
    <row r="434" spans="1:74" x14ac:dyDescent="0.3">
      <c r="A434" s="89"/>
      <c r="B434" s="89"/>
      <c r="C434" s="91"/>
      <c r="D434" s="91"/>
      <c r="E434" s="91"/>
      <c r="F434" s="91"/>
      <c r="G434" s="91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89"/>
      <c r="Y434" s="89"/>
      <c r="Z434" s="91"/>
      <c r="AA434" s="91"/>
      <c r="AB434" s="91"/>
      <c r="AC434" s="91"/>
      <c r="AD434" s="91"/>
      <c r="AE434" s="91"/>
      <c r="AF434" s="91"/>
      <c r="AG434" s="91"/>
      <c r="AH434" s="91"/>
      <c r="AI434" s="91"/>
      <c r="AL434" s="89"/>
      <c r="AM434" s="91"/>
      <c r="AN434" s="91"/>
      <c r="AP434" s="91"/>
      <c r="AQ434" s="91"/>
      <c r="AR434" s="91"/>
      <c r="AS434" s="91"/>
      <c r="AT434" s="91"/>
      <c r="BA434" s="91"/>
      <c r="BD434" s="89"/>
      <c r="BE434" s="89"/>
      <c r="BF434" s="91"/>
      <c r="BG434" s="91"/>
      <c r="BH434" s="91"/>
      <c r="BO434" s="91"/>
      <c r="BS434" s="91"/>
      <c r="BT434" s="91"/>
      <c r="BV434" s="91"/>
    </row>
    <row r="435" spans="1:74" x14ac:dyDescent="0.3">
      <c r="A435" s="89"/>
      <c r="B435" s="89"/>
      <c r="C435" s="91"/>
      <c r="D435" s="91"/>
      <c r="E435" s="91"/>
      <c r="F435" s="91"/>
      <c r="G435" s="91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89"/>
      <c r="Y435" s="89"/>
      <c r="Z435" s="91"/>
      <c r="AA435" s="91"/>
      <c r="AB435" s="91"/>
      <c r="AC435" s="91"/>
      <c r="AD435" s="91"/>
      <c r="AE435" s="91"/>
      <c r="AF435" s="91"/>
      <c r="AG435" s="91"/>
      <c r="AH435" s="91"/>
      <c r="AI435" s="91"/>
      <c r="AL435" s="89"/>
      <c r="AM435" s="91"/>
      <c r="AN435" s="91"/>
      <c r="AP435" s="91"/>
      <c r="AQ435" s="91"/>
      <c r="AR435" s="91"/>
      <c r="AS435" s="91"/>
      <c r="AT435" s="91"/>
      <c r="BA435" s="91"/>
      <c r="BD435" s="89"/>
      <c r="BE435" s="89"/>
      <c r="BF435" s="91"/>
      <c r="BG435" s="91"/>
      <c r="BH435" s="91"/>
      <c r="BO435" s="91"/>
      <c r="BS435" s="91"/>
      <c r="BT435" s="91"/>
      <c r="BV435" s="91"/>
    </row>
    <row r="436" spans="1:74" x14ac:dyDescent="0.3">
      <c r="A436" s="89"/>
      <c r="B436" s="89"/>
      <c r="C436" s="91"/>
      <c r="D436" s="91"/>
      <c r="E436" s="91"/>
      <c r="F436" s="91"/>
      <c r="G436" s="91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89"/>
      <c r="Y436" s="89"/>
      <c r="Z436" s="91"/>
      <c r="AA436" s="91"/>
      <c r="AB436" s="91"/>
      <c r="AC436" s="91"/>
      <c r="AD436" s="91"/>
      <c r="AE436" s="91"/>
      <c r="AF436" s="91"/>
      <c r="AG436" s="91"/>
      <c r="AH436" s="91"/>
      <c r="AI436" s="91"/>
      <c r="AL436" s="89"/>
      <c r="AM436" s="91"/>
      <c r="AN436" s="91"/>
      <c r="AP436" s="91"/>
      <c r="AQ436" s="91"/>
      <c r="AR436" s="91"/>
      <c r="AS436" s="91"/>
      <c r="AT436" s="91"/>
      <c r="BA436" s="91"/>
      <c r="BD436" s="89"/>
      <c r="BE436" s="89"/>
      <c r="BF436" s="91"/>
      <c r="BG436" s="91"/>
      <c r="BH436" s="91"/>
      <c r="BO436" s="91"/>
      <c r="BS436" s="91"/>
      <c r="BT436" s="91"/>
      <c r="BV436" s="91"/>
    </row>
    <row r="437" spans="1:74" x14ac:dyDescent="0.3">
      <c r="A437" s="89"/>
      <c r="B437" s="89"/>
      <c r="C437" s="91"/>
      <c r="D437" s="91"/>
      <c r="E437" s="91"/>
      <c r="F437" s="91"/>
      <c r="G437" s="91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89"/>
      <c r="Y437" s="89"/>
      <c r="Z437" s="91"/>
      <c r="AA437" s="91"/>
      <c r="AB437" s="91"/>
      <c r="AC437" s="91"/>
      <c r="AD437" s="91"/>
      <c r="AE437" s="91"/>
      <c r="AF437" s="91"/>
      <c r="AG437" s="91"/>
      <c r="AH437" s="91"/>
      <c r="AI437" s="91"/>
      <c r="AL437" s="89"/>
      <c r="AM437" s="91"/>
      <c r="AN437" s="91"/>
      <c r="AP437" s="91"/>
      <c r="AQ437" s="91"/>
      <c r="AR437" s="91"/>
      <c r="AS437" s="91"/>
      <c r="AT437" s="91"/>
      <c r="BA437" s="91"/>
      <c r="BD437" s="89"/>
      <c r="BE437" s="89"/>
      <c r="BF437" s="91"/>
      <c r="BG437" s="91"/>
      <c r="BH437" s="91"/>
      <c r="BO437" s="91"/>
      <c r="BS437" s="91"/>
      <c r="BT437" s="91"/>
      <c r="BV437" s="91"/>
    </row>
    <row r="438" spans="1:74" x14ac:dyDescent="0.3">
      <c r="A438" s="89"/>
      <c r="B438" s="89"/>
      <c r="C438" s="91"/>
      <c r="D438" s="91"/>
      <c r="E438" s="91"/>
      <c r="F438" s="91"/>
      <c r="G438" s="91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89"/>
      <c r="Y438" s="89"/>
      <c r="Z438" s="91"/>
      <c r="AA438" s="91"/>
      <c r="AB438" s="91"/>
      <c r="AC438" s="91"/>
      <c r="AD438" s="91"/>
      <c r="AE438" s="91"/>
      <c r="AF438" s="91"/>
      <c r="AG438" s="91"/>
      <c r="AH438" s="91"/>
      <c r="AI438" s="91"/>
      <c r="AL438" s="89"/>
      <c r="AM438" s="91"/>
      <c r="AN438" s="91"/>
      <c r="AP438" s="91"/>
      <c r="AQ438" s="91"/>
      <c r="AR438" s="91"/>
      <c r="AS438" s="91"/>
      <c r="AT438" s="91"/>
      <c r="BA438" s="91"/>
      <c r="BD438" s="89"/>
      <c r="BE438" s="89"/>
      <c r="BF438" s="91"/>
      <c r="BG438" s="91"/>
      <c r="BH438" s="91"/>
      <c r="BO438" s="91"/>
      <c r="BS438" s="91"/>
      <c r="BT438" s="91"/>
      <c r="BV438" s="91"/>
    </row>
    <row r="439" spans="1:74" x14ac:dyDescent="0.3">
      <c r="A439" s="89"/>
      <c r="B439" s="89"/>
      <c r="C439" s="91"/>
      <c r="D439" s="91"/>
      <c r="E439" s="91"/>
      <c r="F439" s="91"/>
      <c r="G439" s="91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89"/>
      <c r="Y439" s="89"/>
      <c r="Z439" s="91"/>
      <c r="AA439" s="91"/>
      <c r="AB439" s="91"/>
      <c r="AC439" s="91"/>
      <c r="AD439" s="91"/>
      <c r="AE439" s="91"/>
      <c r="AF439" s="91"/>
      <c r="AG439" s="91"/>
      <c r="AH439" s="91"/>
      <c r="AI439" s="91"/>
      <c r="AL439" s="89"/>
      <c r="AM439" s="91"/>
      <c r="AN439" s="91"/>
      <c r="AP439" s="91"/>
      <c r="AQ439" s="91"/>
      <c r="AR439" s="91"/>
      <c r="AS439" s="91"/>
      <c r="AT439" s="91"/>
      <c r="BA439" s="91"/>
      <c r="BD439" s="89"/>
      <c r="BE439" s="89"/>
      <c r="BF439" s="91"/>
      <c r="BG439" s="91"/>
      <c r="BH439" s="91"/>
      <c r="BO439" s="91"/>
      <c r="BS439" s="91"/>
      <c r="BT439" s="91"/>
      <c r="BV439" s="91"/>
    </row>
    <row r="440" spans="1:74" x14ac:dyDescent="0.3">
      <c r="A440" s="89"/>
      <c r="B440" s="89"/>
      <c r="C440" s="91"/>
      <c r="D440" s="91"/>
      <c r="E440" s="91"/>
      <c r="F440" s="91"/>
      <c r="G440" s="91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89"/>
      <c r="Y440" s="89"/>
      <c r="Z440" s="91"/>
      <c r="AA440" s="91"/>
      <c r="AB440" s="91"/>
      <c r="AC440" s="91"/>
      <c r="AD440" s="91"/>
      <c r="AE440" s="91"/>
      <c r="AF440" s="91"/>
      <c r="AG440" s="91"/>
      <c r="AH440" s="91"/>
      <c r="AI440" s="91"/>
      <c r="AL440" s="89"/>
      <c r="AM440" s="91"/>
      <c r="AN440" s="91"/>
      <c r="AP440" s="91"/>
      <c r="AQ440" s="91"/>
      <c r="AR440" s="91"/>
      <c r="AS440" s="91"/>
      <c r="AT440" s="91"/>
      <c r="BA440" s="91"/>
      <c r="BD440" s="89"/>
      <c r="BE440" s="89"/>
      <c r="BF440" s="91"/>
      <c r="BG440" s="91"/>
      <c r="BH440" s="91"/>
      <c r="BO440" s="91"/>
      <c r="BS440" s="91"/>
      <c r="BT440" s="91"/>
      <c r="BV440" s="91"/>
    </row>
    <row r="441" spans="1:74" x14ac:dyDescent="0.3">
      <c r="A441" s="89"/>
      <c r="B441" s="89"/>
      <c r="C441" s="91"/>
      <c r="D441" s="91"/>
      <c r="E441" s="91"/>
      <c r="F441" s="91"/>
      <c r="G441" s="91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89"/>
      <c r="Y441" s="89"/>
      <c r="Z441" s="91"/>
      <c r="AA441" s="91"/>
      <c r="AB441" s="91"/>
      <c r="AC441" s="91"/>
      <c r="AD441" s="91"/>
      <c r="AE441" s="91"/>
      <c r="AF441" s="91"/>
      <c r="AG441" s="91"/>
      <c r="AH441" s="91"/>
      <c r="AI441" s="91"/>
      <c r="AL441" s="89"/>
      <c r="AM441" s="91"/>
      <c r="AN441" s="91"/>
      <c r="AP441" s="91"/>
      <c r="AQ441" s="91"/>
      <c r="AR441" s="91"/>
      <c r="AS441" s="91"/>
      <c r="AT441" s="91"/>
      <c r="BA441" s="91"/>
      <c r="BD441" s="89"/>
      <c r="BE441" s="89"/>
      <c r="BF441" s="91"/>
      <c r="BG441" s="91"/>
      <c r="BH441" s="91"/>
      <c r="BO441" s="91"/>
      <c r="BS441" s="91"/>
      <c r="BT441" s="91"/>
      <c r="BV441" s="91"/>
    </row>
    <row r="442" spans="1:74" x14ac:dyDescent="0.3">
      <c r="A442" s="89"/>
      <c r="B442" s="89"/>
      <c r="C442" s="91"/>
      <c r="D442" s="91"/>
      <c r="E442" s="91"/>
      <c r="F442" s="91"/>
      <c r="G442" s="91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89"/>
      <c r="Y442" s="89"/>
      <c r="Z442" s="91"/>
      <c r="AA442" s="91"/>
      <c r="AB442" s="91"/>
      <c r="AC442" s="91"/>
      <c r="AD442" s="91"/>
      <c r="AE442" s="91"/>
      <c r="AF442" s="91"/>
      <c r="AG442" s="91"/>
      <c r="AH442" s="91"/>
      <c r="AI442" s="91"/>
      <c r="AL442" s="89"/>
      <c r="AM442" s="91"/>
      <c r="AN442" s="91"/>
      <c r="AP442" s="91"/>
      <c r="AQ442" s="91"/>
      <c r="AR442" s="91"/>
      <c r="AS442" s="91"/>
      <c r="AT442" s="91"/>
      <c r="BA442" s="91"/>
      <c r="BD442" s="89"/>
      <c r="BE442" s="89"/>
      <c r="BF442" s="91"/>
      <c r="BG442" s="91"/>
      <c r="BH442" s="91"/>
      <c r="BO442" s="91"/>
      <c r="BS442" s="91"/>
      <c r="BT442" s="91"/>
      <c r="BV442" s="91"/>
    </row>
    <row r="443" spans="1:74" x14ac:dyDescent="0.3">
      <c r="A443" s="89"/>
      <c r="B443" s="89"/>
      <c r="C443" s="91"/>
      <c r="D443" s="91"/>
      <c r="E443" s="91"/>
      <c r="F443" s="91"/>
      <c r="G443" s="91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89"/>
      <c r="Y443" s="89"/>
      <c r="Z443" s="91"/>
      <c r="AA443" s="91"/>
      <c r="AB443" s="91"/>
      <c r="AC443" s="91"/>
      <c r="AD443" s="91"/>
      <c r="AE443" s="91"/>
      <c r="AF443" s="91"/>
      <c r="AG443" s="91"/>
      <c r="AH443" s="91"/>
      <c r="AI443" s="91"/>
      <c r="AL443" s="89"/>
      <c r="AM443" s="91"/>
      <c r="AN443" s="91"/>
      <c r="AP443" s="91"/>
      <c r="AQ443" s="91"/>
      <c r="AR443" s="91"/>
      <c r="AS443" s="91"/>
      <c r="AT443" s="91"/>
      <c r="BA443" s="91"/>
      <c r="BD443" s="89"/>
      <c r="BE443" s="89"/>
      <c r="BF443" s="91"/>
      <c r="BG443" s="91"/>
      <c r="BH443" s="91"/>
      <c r="BO443" s="91"/>
      <c r="BS443" s="91"/>
      <c r="BT443" s="91"/>
      <c r="BV443" s="91"/>
    </row>
    <row r="444" spans="1:74" x14ac:dyDescent="0.3">
      <c r="A444" s="89"/>
      <c r="B444" s="89"/>
      <c r="C444" s="91"/>
      <c r="D444" s="91"/>
      <c r="E444" s="91"/>
      <c r="F444" s="91"/>
      <c r="G444" s="91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89"/>
      <c r="Y444" s="89"/>
      <c r="Z444" s="91"/>
      <c r="AA444" s="91"/>
      <c r="AB444" s="91"/>
      <c r="AC444" s="91"/>
      <c r="AD444" s="91"/>
      <c r="AE444" s="91"/>
      <c r="AF444" s="91"/>
      <c r="AG444" s="91"/>
      <c r="AH444" s="91"/>
      <c r="AI444" s="91"/>
      <c r="AL444" s="89"/>
      <c r="AM444" s="91"/>
      <c r="AN444" s="91"/>
      <c r="AP444" s="91"/>
      <c r="AQ444" s="91"/>
      <c r="AR444" s="91"/>
      <c r="AS444" s="91"/>
      <c r="AT444" s="91"/>
      <c r="BA444" s="91"/>
      <c r="BD444" s="89"/>
      <c r="BE444" s="89"/>
      <c r="BF444" s="91"/>
      <c r="BG444" s="91"/>
      <c r="BH444" s="91"/>
      <c r="BO444" s="91"/>
      <c r="BS444" s="91"/>
      <c r="BT444" s="91"/>
      <c r="BV444" s="91"/>
    </row>
    <row r="445" spans="1:74" x14ac:dyDescent="0.3">
      <c r="A445" s="89"/>
      <c r="B445" s="89"/>
      <c r="C445" s="91"/>
      <c r="D445" s="91"/>
      <c r="E445" s="91"/>
      <c r="F445" s="91"/>
      <c r="G445" s="91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89"/>
      <c r="Y445" s="89"/>
      <c r="Z445" s="91"/>
      <c r="AA445" s="91"/>
      <c r="AB445" s="91"/>
      <c r="AC445" s="91"/>
      <c r="AD445" s="91"/>
      <c r="AE445" s="91"/>
      <c r="AF445" s="91"/>
      <c r="AG445" s="91"/>
      <c r="AH445" s="91"/>
      <c r="AI445" s="91"/>
      <c r="AL445" s="89"/>
      <c r="AM445" s="91"/>
      <c r="AN445" s="91"/>
      <c r="AP445" s="91"/>
      <c r="AQ445" s="91"/>
      <c r="AR445" s="91"/>
      <c r="AS445" s="91"/>
      <c r="AT445" s="91"/>
      <c r="BA445" s="91"/>
      <c r="BD445" s="89"/>
      <c r="BE445" s="89"/>
      <c r="BF445" s="91"/>
      <c r="BG445" s="91"/>
      <c r="BH445" s="91"/>
      <c r="BO445" s="91"/>
      <c r="BS445" s="91"/>
      <c r="BT445" s="91"/>
      <c r="BV445" s="91"/>
    </row>
    <row r="446" spans="1:74" x14ac:dyDescent="0.3">
      <c r="A446" s="89"/>
      <c r="B446" s="89"/>
      <c r="C446" s="91"/>
      <c r="D446" s="91"/>
      <c r="E446" s="91"/>
      <c r="F446" s="91"/>
      <c r="G446" s="91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89"/>
      <c r="Y446" s="89"/>
      <c r="Z446" s="91"/>
      <c r="AA446" s="91"/>
      <c r="AB446" s="91"/>
      <c r="AC446" s="91"/>
      <c r="AD446" s="91"/>
      <c r="AE446" s="91"/>
      <c r="AF446" s="91"/>
      <c r="AG446" s="91"/>
      <c r="AH446" s="91"/>
      <c r="AI446" s="91"/>
      <c r="AL446" s="89"/>
      <c r="AM446" s="91"/>
      <c r="AN446" s="91"/>
      <c r="AP446" s="91"/>
      <c r="AQ446" s="91"/>
      <c r="AR446" s="91"/>
      <c r="AS446" s="91"/>
      <c r="AT446" s="91"/>
      <c r="BA446" s="91"/>
      <c r="BD446" s="89"/>
      <c r="BE446" s="89"/>
      <c r="BF446" s="91"/>
      <c r="BG446" s="91"/>
      <c r="BH446" s="91"/>
      <c r="BO446" s="91"/>
      <c r="BS446" s="91"/>
      <c r="BT446" s="91"/>
      <c r="BV446" s="91"/>
    </row>
    <row r="447" spans="1:74" x14ac:dyDescent="0.3">
      <c r="A447" s="89"/>
      <c r="B447" s="89"/>
      <c r="C447" s="91"/>
      <c r="D447" s="91"/>
      <c r="E447" s="91"/>
      <c r="F447" s="91"/>
      <c r="G447" s="91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89"/>
      <c r="Y447" s="89"/>
      <c r="Z447" s="91"/>
      <c r="AA447" s="91"/>
      <c r="AB447" s="91"/>
      <c r="AC447" s="91"/>
      <c r="AD447" s="91"/>
      <c r="AE447" s="91"/>
      <c r="AF447" s="91"/>
      <c r="AG447" s="91"/>
      <c r="AH447" s="91"/>
      <c r="AI447" s="91"/>
      <c r="AL447" s="89"/>
      <c r="AM447" s="91"/>
      <c r="AN447" s="91"/>
      <c r="AP447" s="91"/>
      <c r="AQ447" s="91"/>
      <c r="AR447" s="91"/>
      <c r="AS447" s="91"/>
      <c r="AT447" s="91"/>
      <c r="BA447" s="91"/>
      <c r="BD447" s="89"/>
      <c r="BE447" s="89"/>
      <c r="BF447" s="91"/>
      <c r="BG447" s="91"/>
      <c r="BH447" s="91"/>
      <c r="BO447" s="91"/>
      <c r="BS447" s="91"/>
      <c r="BT447" s="91"/>
      <c r="BV447" s="91"/>
    </row>
    <row r="448" spans="1:74" x14ac:dyDescent="0.3">
      <c r="A448" s="89"/>
      <c r="B448" s="89"/>
      <c r="C448" s="91"/>
      <c r="D448" s="91"/>
      <c r="E448" s="91"/>
      <c r="F448" s="91"/>
      <c r="G448" s="91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89"/>
      <c r="Y448" s="89"/>
      <c r="Z448" s="91"/>
      <c r="AA448" s="91"/>
      <c r="AB448" s="91"/>
      <c r="AC448" s="91"/>
      <c r="AD448" s="91"/>
      <c r="AE448" s="91"/>
      <c r="AF448" s="91"/>
      <c r="AG448" s="91"/>
      <c r="AH448" s="91"/>
      <c r="AI448" s="91"/>
      <c r="AL448" s="89"/>
      <c r="AM448" s="91"/>
      <c r="AN448" s="91"/>
      <c r="AP448" s="91"/>
      <c r="AQ448" s="91"/>
      <c r="AR448" s="91"/>
      <c r="AS448" s="91"/>
      <c r="AT448" s="91"/>
      <c r="BA448" s="91"/>
      <c r="BD448" s="89"/>
      <c r="BE448" s="89"/>
      <c r="BF448" s="91"/>
      <c r="BG448" s="91"/>
      <c r="BH448" s="91"/>
      <c r="BO448" s="91"/>
      <c r="BS448" s="91"/>
      <c r="BT448" s="91"/>
      <c r="BV448" s="91"/>
    </row>
    <row r="449" spans="1:74" x14ac:dyDescent="0.3">
      <c r="A449" s="89"/>
      <c r="B449" s="89"/>
      <c r="C449" s="91"/>
      <c r="D449" s="91"/>
      <c r="E449" s="91"/>
      <c r="F449" s="91"/>
      <c r="G449" s="91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89"/>
      <c r="Y449" s="89"/>
      <c r="Z449" s="91"/>
      <c r="AA449" s="91"/>
      <c r="AB449" s="91"/>
      <c r="AC449" s="91"/>
      <c r="AD449" s="91"/>
      <c r="AE449" s="91"/>
      <c r="AF449" s="91"/>
      <c r="AG449" s="91"/>
      <c r="AH449" s="91"/>
      <c r="AI449" s="91"/>
      <c r="AL449" s="89"/>
      <c r="AM449" s="91"/>
      <c r="AN449" s="91"/>
      <c r="AP449" s="91"/>
      <c r="AQ449" s="91"/>
      <c r="AR449" s="91"/>
      <c r="AS449" s="91"/>
      <c r="AT449" s="91"/>
      <c r="BA449" s="91"/>
      <c r="BD449" s="89"/>
      <c r="BE449" s="89"/>
      <c r="BF449" s="91"/>
      <c r="BG449" s="91"/>
      <c r="BH449" s="91"/>
      <c r="BO449" s="91"/>
      <c r="BS449" s="91"/>
      <c r="BT449" s="91"/>
      <c r="BV449" s="91"/>
    </row>
    <row r="450" spans="1:74" x14ac:dyDescent="0.3">
      <c r="A450" s="89"/>
      <c r="B450" s="89"/>
      <c r="C450" s="91"/>
      <c r="D450" s="91"/>
      <c r="E450" s="91"/>
      <c r="F450" s="91"/>
      <c r="G450" s="91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89"/>
      <c r="Y450" s="89"/>
      <c r="Z450" s="91"/>
      <c r="AA450" s="91"/>
      <c r="AB450" s="91"/>
      <c r="AC450" s="91"/>
      <c r="AD450" s="91"/>
      <c r="AE450" s="91"/>
      <c r="AF450" s="91"/>
      <c r="AG450" s="91"/>
      <c r="AH450" s="91"/>
      <c r="AI450" s="91"/>
      <c r="AL450" s="89"/>
      <c r="AM450" s="91"/>
      <c r="AN450" s="91"/>
      <c r="AP450" s="91"/>
      <c r="AQ450" s="91"/>
      <c r="AR450" s="91"/>
      <c r="AS450" s="91"/>
      <c r="AT450" s="91"/>
      <c r="BA450" s="91"/>
      <c r="BD450" s="89"/>
      <c r="BE450" s="89"/>
      <c r="BF450" s="91"/>
      <c r="BG450" s="91"/>
      <c r="BH450" s="91"/>
      <c r="BO450" s="91"/>
      <c r="BS450" s="91"/>
      <c r="BT450" s="91"/>
      <c r="BV450" s="91"/>
    </row>
    <row r="451" spans="1:74" x14ac:dyDescent="0.3">
      <c r="A451" s="89"/>
      <c r="B451" s="89"/>
      <c r="C451" s="91"/>
      <c r="D451" s="91"/>
      <c r="E451" s="91"/>
      <c r="F451" s="91"/>
      <c r="G451" s="91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89"/>
      <c r="Y451" s="89"/>
      <c r="Z451" s="91"/>
      <c r="AA451" s="91"/>
      <c r="AB451" s="91"/>
      <c r="AC451" s="91"/>
      <c r="AD451" s="91"/>
      <c r="AE451" s="91"/>
      <c r="AF451" s="91"/>
      <c r="AG451" s="91"/>
      <c r="AH451" s="91"/>
      <c r="AI451" s="91"/>
      <c r="AL451" s="89"/>
      <c r="AM451" s="91"/>
      <c r="AN451" s="91"/>
      <c r="AP451" s="91"/>
      <c r="AQ451" s="91"/>
      <c r="AR451" s="91"/>
      <c r="AS451" s="91"/>
      <c r="AT451" s="91"/>
      <c r="BA451" s="91"/>
      <c r="BD451" s="89"/>
      <c r="BE451" s="89"/>
      <c r="BF451" s="91"/>
      <c r="BG451" s="91"/>
      <c r="BH451" s="91"/>
      <c r="BO451" s="91"/>
      <c r="BS451" s="91"/>
      <c r="BT451" s="91"/>
      <c r="BV451" s="91"/>
    </row>
    <row r="452" spans="1:74" x14ac:dyDescent="0.3">
      <c r="A452" s="89"/>
      <c r="B452" s="89"/>
      <c r="C452" s="91"/>
      <c r="D452" s="91"/>
      <c r="E452" s="91"/>
      <c r="F452" s="91"/>
      <c r="G452" s="91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89"/>
      <c r="Y452" s="89"/>
      <c r="Z452" s="91"/>
      <c r="AA452" s="91"/>
      <c r="AB452" s="91"/>
      <c r="AC452" s="91"/>
      <c r="AD452" s="91"/>
      <c r="AE452" s="91"/>
      <c r="AF452" s="91"/>
      <c r="AG452" s="91"/>
      <c r="AH452" s="91"/>
      <c r="AI452" s="91"/>
      <c r="AL452" s="89"/>
      <c r="AM452" s="91"/>
      <c r="AN452" s="91"/>
      <c r="AP452" s="91"/>
      <c r="AQ452" s="91"/>
      <c r="AR452" s="91"/>
      <c r="AS452" s="91"/>
      <c r="AT452" s="91"/>
      <c r="BA452" s="91"/>
      <c r="BD452" s="89"/>
      <c r="BE452" s="89"/>
      <c r="BF452" s="91"/>
      <c r="BG452" s="91"/>
      <c r="BH452" s="91"/>
      <c r="BO452" s="91"/>
      <c r="BS452" s="91"/>
      <c r="BT452" s="91"/>
      <c r="BV452" s="91"/>
    </row>
    <row r="453" spans="1:74" x14ac:dyDescent="0.3">
      <c r="A453" s="89"/>
      <c r="B453" s="89"/>
      <c r="C453" s="91"/>
      <c r="D453" s="91"/>
      <c r="E453" s="91"/>
      <c r="F453" s="91"/>
      <c r="G453" s="91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89"/>
      <c r="Y453" s="89"/>
      <c r="Z453" s="91"/>
      <c r="AA453" s="91"/>
      <c r="AB453" s="91"/>
      <c r="AC453" s="91"/>
      <c r="AD453" s="91"/>
      <c r="AE453" s="91"/>
      <c r="AF453" s="91"/>
      <c r="AG453" s="91"/>
      <c r="AH453" s="91"/>
      <c r="AI453" s="91"/>
      <c r="AL453" s="89"/>
      <c r="AM453" s="91"/>
      <c r="AN453" s="91"/>
      <c r="AP453" s="91"/>
      <c r="AQ453" s="91"/>
      <c r="AR453" s="91"/>
      <c r="AS453" s="91"/>
      <c r="AT453" s="91"/>
      <c r="BA453" s="91"/>
      <c r="BD453" s="89"/>
      <c r="BE453" s="89"/>
      <c r="BF453" s="91"/>
      <c r="BG453" s="91"/>
      <c r="BH453" s="91"/>
      <c r="BO453" s="91"/>
      <c r="BS453" s="91"/>
      <c r="BT453" s="91"/>
      <c r="BV453" s="91"/>
    </row>
    <row r="454" spans="1:74" x14ac:dyDescent="0.3">
      <c r="A454" s="89"/>
      <c r="B454" s="89"/>
      <c r="C454" s="91"/>
      <c r="D454" s="91"/>
      <c r="E454" s="91"/>
      <c r="F454" s="91"/>
      <c r="G454" s="91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89"/>
      <c r="Y454" s="89"/>
      <c r="Z454" s="91"/>
      <c r="AA454" s="91"/>
      <c r="AB454" s="91"/>
      <c r="AC454" s="91"/>
      <c r="AD454" s="91"/>
      <c r="AE454" s="91"/>
      <c r="AF454" s="91"/>
      <c r="AG454" s="91"/>
      <c r="AH454" s="91"/>
      <c r="AI454" s="91"/>
      <c r="AL454" s="89"/>
      <c r="AM454" s="91"/>
      <c r="AN454" s="91"/>
      <c r="AP454" s="91"/>
      <c r="AQ454" s="91"/>
      <c r="AR454" s="91"/>
      <c r="AS454" s="91"/>
      <c r="AT454" s="91"/>
      <c r="BA454" s="91"/>
      <c r="BD454" s="89"/>
      <c r="BE454" s="89"/>
      <c r="BF454" s="91"/>
      <c r="BG454" s="91"/>
      <c r="BH454" s="91"/>
      <c r="BO454" s="91"/>
      <c r="BS454" s="91"/>
      <c r="BT454" s="91"/>
      <c r="BV454" s="91"/>
    </row>
    <row r="455" spans="1:74" x14ac:dyDescent="0.3">
      <c r="A455" s="89"/>
      <c r="B455" s="89"/>
      <c r="C455" s="91"/>
      <c r="D455" s="91"/>
      <c r="E455" s="91"/>
      <c r="F455" s="91"/>
      <c r="G455" s="91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89"/>
      <c r="Y455" s="89"/>
      <c r="Z455" s="91"/>
      <c r="AA455" s="91"/>
      <c r="AB455" s="91"/>
      <c r="AC455" s="91"/>
      <c r="AD455" s="91"/>
      <c r="AE455" s="91"/>
      <c r="AF455" s="91"/>
      <c r="AG455" s="91"/>
      <c r="AH455" s="91"/>
      <c r="AI455" s="91"/>
      <c r="AL455" s="89"/>
      <c r="AM455" s="91"/>
      <c r="AN455" s="91"/>
      <c r="AP455" s="91"/>
      <c r="AQ455" s="91"/>
      <c r="AR455" s="91"/>
      <c r="AS455" s="91"/>
      <c r="AT455" s="91"/>
      <c r="BA455" s="91"/>
      <c r="BD455" s="89"/>
      <c r="BE455" s="89"/>
      <c r="BF455" s="91"/>
      <c r="BG455" s="91"/>
      <c r="BH455" s="91"/>
      <c r="BO455" s="91"/>
      <c r="BS455" s="91"/>
      <c r="BT455" s="91"/>
      <c r="BV455" s="91"/>
    </row>
    <row r="456" spans="1:74" x14ac:dyDescent="0.3">
      <c r="A456" s="89"/>
      <c r="B456" s="89"/>
      <c r="C456" s="91"/>
      <c r="D456" s="91"/>
      <c r="E456" s="91"/>
      <c r="F456" s="91"/>
      <c r="G456" s="91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89"/>
      <c r="Y456" s="89"/>
      <c r="Z456" s="91"/>
      <c r="AA456" s="91"/>
      <c r="AB456" s="91"/>
      <c r="AC456" s="91"/>
      <c r="AD456" s="91"/>
      <c r="AE456" s="91"/>
      <c r="AF456" s="91"/>
      <c r="AG456" s="91"/>
      <c r="AH456" s="91"/>
      <c r="AI456" s="91"/>
      <c r="AL456" s="89"/>
      <c r="AM456" s="91"/>
      <c r="AN456" s="91"/>
      <c r="AP456" s="91"/>
      <c r="AQ456" s="91"/>
      <c r="AR456" s="91"/>
      <c r="AS456" s="91"/>
      <c r="AT456" s="91"/>
      <c r="BA456" s="91"/>
      <c r="BD456" s="89"/>
      <c r="BE456" s="89"/>
      <c r="BF456" s="91"/>
      <c r="BG456" s="91"/>
      <c r="BH456" s="91"/>
      <c r="BO456" s="91"/>
      <c r="BS456" s="91"/>
      <c r="BT456" s="91"/>
      <c r="BV456" s="91"/>
    </row>
    <row r="457" spans="1:74" x14ac:dyDescent="0.3">
      <c r="A457" s="89"/>
      <c r="B457" s="89"/>
      <c r="C457" s="91"/>
      <c r="D457" s="91"/>
      <c r="E457" s="91"/>
      <c r="F457" s="91"/>
      <c r="G457" s="91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89"/>
      <c r="Y457" s="89"/>
      <c r="Z457" s="91"/>
      <c r="AA457" s="91"/>
      <c r="AB457" s="91"/>
      <c r="AC457" s="91"/>
      <c r="AD457" s="91"/>
      <c r="AE457" s="91"/>
      <c r="AF457" s="91"/>
      <c r="AG457" s="91"/>
      <c r="AH457" s="91"/>
      <c r="AI457" s="91"/>
      <c r="AL457" s="89"/>
      <c r="AM457" s="91"/>
      <c r="AN457" s="91"/>
      <c r="AP457" s="91"/>
      <c r="AQ457" s="91"/>
      <c r="AR457" s="91"/>
      <c r="AS457" s="91"/>
      <c r="AT457" s="91"/>
      <c r="BA457" s="91"/>
      <c r="BD457" s="89"/>
      <c r="BE457" s="89"/>
      <c r="BF457" s="91"/>
      <c r="BG457" s="91"/>
      <c r="BH457" s="91"/>
      <c r="BO457" s="91"/>
      <c r="BS457" s="91"/>
      <c r="BT457" s="91"/>
      <c r="BV457" s="91"/>
    </row>
    <row r="458" spans="1:74" x14ac:dyDescent="0.3">
      <c r="A458" s="89"/>
      <c r="B458" s="89"/>
      <c r="C458" s="91"/>
      <c r="D458" s="91"/>
      <c r="E458" s="91"/>
      <c r="F458" s="91"/>
      <c r="G458" s="91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89"/>
      <c r="Y458" s="89"/>
      <c r="Z458" s="91"/>
      <c r="AA458" s="91"/>
      <c r="AB458" s="91"/>
      <c r="AC458" s="91"/>
      <c r="AD458" s="91"/>
      <c r="AE458" s="91"/>
      <c r="AF458" s="91"/>
      <c r="AG458" s="91"/>
      <c r="AH458" s="91"/>
      <c r="AI458" s="91"/>
      <c r="AL458" s="89"/>
      <c r="AM458" s="91"/>
      <c r="AN458" s="91"/>
      <c r="AP458" s="91"/>
      <c r="AQ458" s="91"/>
      <c r="AR458" s="91"/>
      <c r="AS458" s="91"/>
      <c r="AT458" s="91"/>
      <c r="BA458" s="91"/>
      <c r="BD458" s="89"/>
      <c r="BE458" s="89"/>
      <c r="BF458" s="91"/>
      <c r="BG458" s="91"/>
      <c r="BH458" s="91"/>
      <c r="BO458" s="91"/>
      <c r="BS458" s="91"/>
      <c r="BT458" s="91"/>
      <c r="BV458" s="91"/>
    </row>
    <row r="459" spans="1:74" x14ac:dyDescent="0.3">
      <c r="A459" s="89"/>
      <c r="B459" s="89"/>
      <c r="C459" s="91"/>
      <c r="D459" s="91"/>
      <c r="E459" s="91"/>
      <c r="F459" s="91"/>
      <c r="G459" s="91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89"/>
      <c r="Y459" s="89"/>
      <c r="Z459" s="91"/>
      <c r="AA459" s="91"/>
      <c r="AB459" s="91"/>
      <c r="AC459" s="91"/>
      <c r="AD459" s="91"/>
      <c r="AE459" s="91"/>
      <c r="AF459" s="91"/>
      <c r="AG459" s="91"/>
      <c r="AH459" s="91"/>
      <c r="AI459" s="91"/>
      <c r="AL459" s="89"/>
      <c r="AM459" s="91"/>
      <c r="AN459" s="91"/>
      <c r="AP459" s="91"/>
      <c r="AQ459" s="91"/>
      <c r="AR459" s="91"/>
      <c r="AS459" s="91"/>
      <c r="AT459" s="91"/>
      <c r="BA459" s="91"/>
      <c r="BD459" s="89"/>
      <c r="BE459" s="89"/>
      <c r="BF459" s="91"/>
      <c r="BG459" s="91"/>
      <c r="BH459" s="91"/>
      <c r="BO459" s="91"/>
      <c r="BS459" s="91"/>
      <c r="BT459" s="91"/>
      <c r="BV459" s="91"/>
    </row>
    <row r="460" spans="1:74" x14ac:dyDescent="0.3">
      <c r="A460" s="89"/>
      <c r="B460" s="89"/>
      <c r="C460" s="91"/>
      <c r="D460" s="91"/>
      <c r="E460" s="91"/>
      <c r="F460" s="91"/>
      <c r="G460" s="91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89"/>
      <c r="Y460" s="89"/>
      <c r="Z460" s="91"/>
      <c r="AA460" s="91"/>
      <c r="AB460" s="91"/>
      <c r="AC460" s="91"/>
      <c r="AD460" s="91"/>
      <c r="AE460" s="91"/>
      <c r="AF460" s="91"/>
      <c r="AG460" s="91"/>
      <c r="AH460" s="91"/>
      <c r="AI460" s="91"/>
      <c r="AL460" s="89"/>
      <c r="AM460" s="91"/>
      <c r="AN460" s="91"/>
      <c r="AP460" s="91"/>
      <c r="AQ460" s="91"/>
      <c r="AR460" s="91"/>
      <c r="AS460" s="91"/>
      <c r="AT460" s="91"/>
      <c r="BA460" s="91"/>
      <c r="BD460" s="89"/>
      <c r="BE460" s="89"/>
      <c r="BF460" s="91"/>
      <c r="BG460" s="91"/>
      <c r="BH460" s="91"/>
      <c r="BO460" s="91"/>
      <c r="BS460" s="91"/>
      <c r="BT460" s="91"/>
      <c r="BV460" s="91"/>
    </row>
    <row r="461" spans="1:74" x14ac:dyDescent="0.3">
      <c r="A461" s="89"/>
      <c r="B461" s="89"/>
      <c r="C461" s="91"/>
      <c r="D461" s="91"/>
      <c r="E461" s="91"/>
      <c r="F461" s="91"/>
      <c r="G461" s="91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89"/>
      <c r="Y461" s="89"/>
      <c r="Z461" s="91"/>
      <c r="AA461" s="91"/>
      <c r="AB461" s="91"/>
      <c r="AC461" s="91"/>
      <c r="AD461" s="91"/>
      <c r="AE461" s="91"/>
      <c r="AF461" s="91"/>
      <c r="AG461" s="91"/>
      <c r="AH461" s="91"/>
      <c r="AI461" s="91"/>
      <c r="AL461" s="89"/>
      <c r="AM461" s="91"/>
      <c r="AN461" s="91"/>
      <c r="AP461" s="91"/>
      <c r="AQ461" s="91"/>
      <c r="AR461" s="91"/>
      <c r="AS461" s="91"/>
      <c r="AT461" s="91"/>
      <c r="BA461" s="91"/>
      <c r="BD461" s="89"/>
      <c r="BE461" s="89"/>
      <c r="BF461" s="91"/>
      <c r="BG461" s="91"/>
      <c r="BH461" s="91"/>
      <c r="BO461" s="91"/>
      <c r="BS461" s="91"/>
      <c r="BT461" s="91"/>
      <c r="BV461" s="91"/>
    </row>
    <row r="462" spans="1:74" x14ac:dyDescent="0.3">
      <c r="A462" s="89"/>
      <c r="B462" s="89"/>
      <c r="C462" s="91"/>
      <c r="D462" s="91"/>
      <c r="E462" s="91"/>
      <c r="F462" s="91"/>
      <c r="G462" s="91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89"/>
      <c r="Y462" s="89"/>
      <c r="Z462" s="91"/>
      <c r="AA462" s="91"/>
      <c r="AB462" s="91"/>
      <c r="AC462" s="91"/>
      <c r="AD462" s="91"/>
      <c r="AE462" s="91"/>
      <c r="AF462" s="91"/>
      <c r="AG462" s="91"/>
      <c r="AH462" s="91"/>
      <c r="AI462" s="91"/>
      <c r="AL462" s="89"/>
      <c r="AM462" s="91"/>
      <c r="AN462" s="91"/>
      <c r="AP462" s="91"/>
      <c r="AQ462" s="91"/>
      <c r="AR462" s="91"/>
      <c r="AS462" s="91"/>
      <c r="AT462" s="91"/>
      <c r="BA462" s="91"/>
      <c r="BD462" s="89"/>
      <c r="BE462" s="89"/>
      <c r="BF462" s="91"/>
      <c r="BG462" s="91"/>
      <c r="BH462" s="91"/>
      <c r="BO462" s="91"/>
      <c r="BS462" s="91"/>
      <c r="BT462" s="91"/>
      <c r="BV462" s="91"/>
    </row>
    <row r="463" spans="1:74" x14ac:dyDescent="0.3">
      <c r="A463" s="89"/>
      <c r="B463" s="89"/>
      <c r="C463" s="91"/>
      <c r="D463" s="91"/>
      <c r="E463" s="91"/>
      <c r="F463" s="91"/>
      <c r="G463" s="91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89"/>
      <c r="Y463" s="89"/>
      <c r="Z463" s="91"/>
      <c r="AA463" s="91"/>
      <c r="AB463" s="91"/>
      <c r="AC463" s="91"/>
      <c r="AD463" s="91"/>
      <c r="AE463" s="91"/>
      <c r="AF463" s="91"/>
      <c r="AG463" s="91"/>
      <c r="AH463" s="91"/>
      <c r="AI463" s="91"/>
      <c r="AL463" s="89"/>
      <c r="AM463" s="91"/>
      <c r="AN463" s="91"/>
      <c r="AP463" s="91"/>
      <c r="AQ463" s="91"/>
      <c r="AR463" s="91"/>
      <c r="AS463" s="91"/>
      <c r="AT463" s="91"/>
      <c r="BA463" s="91"/>
      <c r="BD463" s="89"/>
      <c r="BE463" s="89"/>
      <c r="BF463" s="91"/>
      <c r="BG463" s="91"/>
      <c r="BH463" s="91"/>
      <c r="BO463" s="91"/>
      <c r="BS463" s="91"/>
      <c r="BT463" s="91"/>
      <c r="BV463" s="91"/>
    </row>
    <row r="464" spans="1:74" x14ac:dyDescent="0.3">
      <c r="A464" s="89"/>
      <c r="B464" s="89"/>
      <c r="C464" s="91"/>
      <c r="D464" s="91"/>
      <c r="E464" s="91"/>
      <c r="F464" s="91"/>
      <c r="G464" s="91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89"/>
      <c r="Y464" s="89"/>
      <c r="Z464" s="91"/>
      <c r="AA464" s="91"/>
      <c r="AB464" s="91"/>
      <c r="AC464" s="91"/>
      <c r="AD464" s="91"/>
      <c r="AE464" s="91"/>
      <c r="AF464" s="91"/>
      <c r="AG464" s="91"/>
      <c r="AH464" s="91"/>
      <c r="AI464" s="91"/>
      <c r="AL464" s="89"/>
      <c r="AM464" s="91"/>
      <c r="AN464" s="91"/>
      <c r="AP464" s="91"/>
      <c r="AQ464" s="91"/>
      <c r="AR464" s="91"/>
      <c r="AS464" s="91"/>
      <c r="AT464" s="91"/>
      <c r="BA464" s="91"/>
      <c r="BD464" s="89"/>
      <c r="BE464" s="89"/>
      <c r="BF464" s="91"/>
      <c r="BG464" s="91"/>
      <c r="BH464" s="91"/>
      <c r="BO464" s="91"/>
      <c r="BS464" s="91"/>
      <c r="BT464" s="91"/>
      <c r="BV464" s="91"/>
    </row>
    <row r="465" spans="1:74" x14ac:dyDescent="0.3">
      <c r="A465" s="89"/>
      <c r="B465" s="89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89"/>
      <c r="Y465" s="89"/>
      <c r="Z465" s="91"/>
      <c r="AA465" s="91"/>
      <c r="AB465" s="91"/>
      <c r="AC465" s="91"/>
      <c r="AD465" s="91"/>
      <c r="AE465" s="91"/>
      <c r="AF465" s="91"/>
      <c r="AG465" s="91"/>
      <c r="AH465" s="91"/>
      <c r="AI465" s="91"/>
      <c r="AL465" s="89"/>
      <c r="AM465" s="91"/>
      <c r="AN465" s="91"/>
      <c r="AP465" s="91"/>
      <c r="AQ465" s="91"/>
      <c r="AR465" s="91"/>
      <c r="AS465" s="91"/>
      <c r="AT465" s="91"/>
      <c r="BA465" s="91"/>
      <c r="BD465" s="89"/>
      <c r="BE465" s="89"/>
      <c r="BF465" s="91"/>
      <c r="BG465" s="91"/>
      <c r="BH465" s="91"/>
      <c r="BO465" s="91"/>
      <c r="BS465" s="91"/>
      <c r="BT465" s="91"/>
      <c r="BV465" s="91"/>
    </row>
    <row r="466" spans="1:74" x14ac:dyDescent="0.3">
      <c r="A466" s="89"/>
      <c r="B466" s="89"/>
      <c r="C466" s="91"/>
      <c r="D466" s="91"/>
      <c r="E466" s="91"/>
      <c r="F466" s="91"/>
      <c r="G466" s="91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89"/>
      <c r="Y466" s="89"/>
      <c r="Z466" s="91"/>
      <c r="AA466" s="91"/>
      <c r="AB466" s="91"/>
      <c r="AC466" s="91"/>
      <c r="AD466" s="91"/>
      <c r="AE466" s="91"/>
      <c r="AF466" s="91"/>
      <c r="AG466" s="91"/>
      <c r="AH466" s="91"/>
      <c r="AI466" s="91"/>
      <c r="AL466" s="89"/>
      <c r="AM466" s="91"/>
      <c r="AN466" s="91"/>
      <c r="AP466" s="91"/>
      <c r="AQ466" s="91"/>
      <c r="AR466" s="91"/>
      <c r="AS466" s="91"/>
      <c r="AT466" s="91"/>
      <c r="BA466" s="91"/>
      <c r="BD466" s="89"/>
      <c r="BE466" s="89"/>
      <c r="BF466" s="91"/>
      <c r="BG466" s="91"/>
      <c r="BH466" s="91"/>
      <c r="BO466" s="91"/>
      <c r="BS466" s="91"/>
      <c r="BT466" s="91"/>
      <c r="BV466" s="91"/>
    </row>
    <row r="467" spans="1:74" x14ac:dyDescent="0.3">
      <c r="A467" s="89"/>
      <c r="B467" s="89"/>
      <c r="C467" s="91"/>
      <c r="D467" s="91"/>
      <c r="E467" s="91"/>
      <c r="F467" s="91"/>
      <c r="G467" s="91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89"/>
      <c r="Y467" s="89"/>
      <c r="Z467" s="91"/>
      <c r="AA467" s="91"/>
      <c r="AB467" s="91"/>
      <c r="AC467" s="91"/>
      <c r="AD467" s="91"/>
      <c r="AE467" s="91"/>
      <c r="AF467" s="91"/>
      <c r="AG467" s="91"/>
      <c r="AH467" s="91"/>
      <c r="AI467" s="91"/>
      <c r="AL467" s="89"/>
      <c r="AM467" s="91"/>
      <c r="AN467" s="91"/>
      <c r="AP467" s="91"/>
      <c r="AQ467" s="91"/>
      <c r="AR467" s="91"/>
      <c r="AS467" s="91"/>
      <c r="AT467" s="91"/>
      <c r="BA467" s="91"/>
      <c r="BD467" s="89"/>
      <c r="BE467" s="89"/>
      <c r="BF467" s="91"/>
      <c r="BG467" s="91"/>
      <c r="BH467" s="91"/>
      <c r="BO467" s="91"/>
      <c r="BS467" s="91"/>
      <c r="BT467" s="91"/>
      <c r="BV467" s="91"/>
    </row>
    <row r="468" spans="1:74" x14ac:dyDescent="0.3">
      <c r="A468" s="89"/>
      <c r="B468" s="89"/>
      <c r="C468" s="91"/>
      <c r="D468" s="91"/>
      <c r="E468" s="91"/>
      <c r="F468" s="91"/>
      <c r="G468" s="91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89"/>
      <c r="Y468" s="89"/>
      <c r="Z468" s="91"/>
      <c r="AA468" s="91"/>
      <c r="AB468" s="91"/>
      <c r="AC468" s="91"/>
      <c r="AD468" s="91"/>
      <c r="AE468" s="91"/>
      <c r="AF468" s="91"/>
      <c r="AG468" s="91"/>
      <c r="AH468" s="91"/>
      <c r="AI468" s="91"/>
      <c r="AL468" s="89"/>
      <c r="AM468" s="91"/>
      <c r="AN468" s="91"/>
      <c r="AP468" s="91"/>
      <c r="AQ468" s="91"/>
      <c r="AR468" s="91"/>
      <c r="AS468" s="91"/>
      <c r="AT468" s="91"/>
      <c r="BA468" s="91"/>
      <c r="BD468" s="89"/>
      <c r="BE468" s="89"/>
      <c r="BF468" s="91"/>
      <c r="BG468" s="91"/>
      <c r="BH468" s="91"/>
      <c r="BO468" s="91"/>
      <c r="BS468" s="91"/>
      <c r="BT468" s="91"/>
      <c r="BV468" s="91"/>
    </row>
    <row r="469" spans="1:74" x14ac:dyDescent="0.3">
      <c r="A469" s="89"/>
      <c r="B469" s="89"/>
      <c r="C469" s="91"/>
      <c r="D469" s="91"/>
      <c r="E469" s="91"/>
      <c r="F469" s="91"/>
      <c r="G469" s="91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89"/>
      <c r="Y469" s="89"/>
      <c r="Z469" s="91"/>
      <c r="AA469" s="91"/>
      <c r="AB469" s="91"/>
      <c r="AC469" s="91"/>
      <c r="AD469" s="91"/>
      <c r="AE469" s="91"/>
      <c r="AF469" s="91"/>
      <c r="AG469" s="91"/>
      <c r="AH469" s="91"/>
      <c r="AI469" s="91"/>
      <c r="AL469" s="89"/>
      <c r="AM469" s="91"/>
      <c r="AN469" s="91"/>
      <c r="AP469" s="91"/>
      <c r="AQ469" s="91"/>
      <c r="AR469" s="91"/>
      <c r="AS469" s="91"/>
      <c r="AT469" s="91"/>
      <c r="BA469" s="91"/>
      <c r="BD469" s="89"/>
      <c r="BE469" s="89"/>
      <c r="BF469" s="91"/>
      <c r="BG469" s="91"/>
      <c r="BH469" s="91"/>
      <c r="BO469" s="91"/>
      <c r="BS469" s="91"/>
      <c r="BT469" s="91"/>
      <c r="BV469" s="91"/>
    </row>
    <row r="470" spans="1:74" x14ac:dyDescent="0.3">
      <c r="A470" s="89"/>
      <c r="B470" s="89"/>
      <c r="C470" s="91"/>
      <c r="D470" s="91"/>
      <c r="E470" s="91"/>
      <c r="F470" s="91"/>
      <c r="G470" s="91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89"/>
      <c r="Y470" s="89"/>
      <c r="Z470" s="91"/>
      <c r="AA470" s="91"/>
      <c r="AB470" s="91"/>
      <c r="AC470" s="91"/>
      <c r="AD470" s="91"/>
      <c r="AE470" s="91"/>
      <c r="AF470" s="91"/>
      <c r="AG470" s="91"/>
      <c r="AH470" s="91"/>
      <c r="AI470" s="91"/>
      <c r="AL470" s="89"/>
      <c r="AM470" s="91"/>
      <c r="AN470" s="91"/>
      <c r="AP470" s="91"/>
      <c r="AQ470" s="91"/>
      <c r="AR470" s="91"/>
      <c r="AS470" s="91"/>
      <c r="AT470" s="91"/>
      <c r="BA470" s="91"/>
      <c r="BD470" s="89"/>
      <c r="BE470" s="89"/>
      <c r="BF470" s="91"/>
      <c r="BG470" s="91"/>
      <c r="BH470" s="91"/>
      <c r="BO470" s="91"/>
      <c r="BS470" s="91"/>
      <c r="BT470" s="91"/>
      <c r="BV470" s="91"/>
    </row>
    <row r="471" spans="1:74" x14ac:dyDescent="0.3">
      <c r="A471" s="89"/>
      <c r="B471" s="89"/>
      <c r="C471" s="91"/>
      <c r="D471" s="91"/>
      <c r="E471" s="91"/>
      <c r="F471" s="91"/>
      <c r="G471" s="91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89"/>
      <c r="Y471" s="89"/>
      <c r="Z471" s="91"/>
      <c r="AA471" s="91"/>
      <c r="AB471" s="91"/>
      <c r="AC471" s="91"/>
      <c r="AD471" s="91"/>
      <c r="AE471" s="91"/>
      <c r="AF471" s="91"/>
      <c r="AG471" s="91"/>
      <c r="AH471" s="91"/>
      <c r="AI471" s="91"/>
      <c r="AL471" s="89"/>
      <c r="AM471" s="91"/>
      <c r="AN471" s="91"/>
      <c r="AP471" s="91"/>
      <c r="AQ471" s="91"/>
      <c r="AR471" s="91"/>
      <c r="AS471" s="91"/>
      <c r="AT471" s="91"/>
      <c r="BA471" s="91"/>
      <c r="BD471" s="89"/>
      <c r="BE471" s="89"/>
      <c r="BF471" s="91"/>
      <c r="BG471" s="91"/>
      <c r="BH471" s="91"/>
      <c r="BO471" s="91"/>
      <c r="BS471" s="91"/>
      <c r="BT471" s="91"/>
      <c r="BV471" s="91"/>
    </row>
    <row r="472" spans="1:74" x14ac:dyDescent="0.3">
      <c r="A472" s="89"/>
      <c r="B472" s="89"/>
      <c r="C472" s="91"/>
      <c r="D472" s="91"/>
      <c r="E472" s="91"/>
      <c r="F472" s="91"/>
      <c r="G472" s="91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89"/>
      <c r="Y472" s="89"/>
      <c r="Z472" s="91"/>
      <c r="AA472" s="91"/>
      <c r="AB472" s="91"/>
      <c r="AC472" s="91"/>
      <c r="AD472" s="91"/>
      <c r="AE472" s="91"/>
      <c r="AF472" s="91"/>
      <c r="AG472" s="91"/>
      <c r="AH472" s="91"/>
      <c r="AI472" s="91"/>
      <c r="AL472" s="89"/>
      <c r="AM472" s="91"/>
      <c r="AN472" s="91"/>
      <c r="AP472" s="91"/>
      <c r="AQ472" s="91"/>
      <c r="AR472" s="91"/>
      <c r="AS472" s="91"/>
      <c r="AT472" s="91"/>
      <c r="BA472" s="91"/>
      <c r="BD472" s="89"/>
      <c r="BE472" s="89"/>
      <c r="BF472" s="91"/>
      <c r="BG472" s="91"/>
      <c r="BH472" s="91"/>
      <c r="BO472" s="91"/>
      <c r="BS472" s="91"/>
      <c r="BT472" s="91"/>
      <c r="BV472" s="91"/>
    </row>
    <row r="473" spans="1:74" x14ac:dyDescent="0.3">
      <c r="A473" s="89"/>
      <c r="B473" s="89"/>
      <c r="C473" s="91"/>
      <c r="D473" s="91"/>
      <c r="E473" s="91"/>
      <c r="F473" s="91"/>
      <c r="G473" s="91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89"/>
      <c r="Y473" s="89"/>
      <c r="Z473" s="91"/>
      <c r="AA473" s="91"/>
      <c r="AB473" s="91"/>
      <c r="AC473" s="91"/>
      <c r="AD473" s="91"/>
      <c r="AE473" s="91"/>
      <c r="AF473" s="91"/>
      <c r="AG473" s="91"/>
      <c r="AH473" s="91"/>
      <c r="AI473" s="91"/>
      <c r="AL473" s="89"/>
      <c r="AM473" s="91"/>
      <c r="AN473" s="91"/>
      <c r="AP473" s="91"/>
      <c r="AQ473" s="91"/>
      <c r="AR473" s="91"/>
      <c r="AS473" s="91"/>
      <c r="AT473" s="91"/>
      <c r="BA473" s="91"/>
      <c r="BD473" s="89"/>
      <c r="BE473" s="89"/>
      <c r="BF473" s="91"/>
      <c r="BG473" s="91"/>
      <c r="BH473" s="91"/>
      <c r="BO473" s="91"/>
      <c r="BS473" s="91"/>
      <c r="BT473" s="91"/>
      <c r="BV473" s="91"/>
    </row>
    <row r="474" spans="1:74" x14ac:dyDescent="0.3">
      <c r="A474" s="89"/>
      <c r="B474" s="89"/>
      <c r="C474" s="91"/>
      <c r="D474" s="91"/>
      <c r="E474" s="91"/>
      <c r="F474" s="91"/>
      <c r="G474" s="91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89"/>
      <c r="Y474" s="89"/>
      <c r="Z474" s="91"/>
      <c r="AA474" s="91"/>
      <c r="AB474" s="91"/>
      <c r="AC474" s="91"/>
      <c r="AD474" s="91"/>
      <c r="AE474" s="91"/>
      <c r="AF474" s="91"/>
      <c r="AG474" s="91"/>
      <c r="AH474" s="91"/>
      <c r="AI474" s="91"/>
      <c r="AL474" s="89"/>
      <c r="AM474" s="91"/>
      <c r="AN474" s="91"/>
      <c r="AP474" s="91"/>
      <c r="AQ474" s="91"/>
      <c r="AR474" s="91"/>
      <c r="AS474" s="91"/>
      <c r="AT474" s="91"/>
      <c r="BA474" s="91"/>
      <c r="BD474" s="89"/>
      <c r="BE474" s="89"/>
      <c r="BF474" s="91"/>
      <c r="BG474" s="91"/>
      <c r="BH474" s="91"/>
      <c r="BO474" s="91"/>
      <c r="BS474" s="91"/>
      <c r="BT474" s="91"/>
      <c r="BV474" s="91"/>
    </row>
    <row r="475" spans="1:74" x14ac:dyDescent="0.3">
      <c r="A475" s="89"/>
      <c r="B475" s="89"/>
      <c r="C475" s="91"/>
      <c r="D475" s="91"/>
      <c r="E475" s="91"/>
      <c r="F475" s="91"/>
      <c r="G475" s="91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89"/>
      <c r="Y475" s="89"/>
      <c r="Z475" s="91"/>
      <c r="AA475" s="91"/>
      <c r="AB475" s="91"/>
      <c r="AC475" s="91"/>
      <c r="AD475" s="91"/>
      <c r="AE475" s="91"/>
      <c r="AF475" s="91"/>
      <c r="AG475" s="91"/>
      <c r="AH475" s="91"/>
      <c r="AI475" s="91"/>
      <c r="AL475" s="89"/>
      <c r="AM475" s="91"/>
      <c r="AN475" s="91"/>
      <c r="AP475" s="91"/>
      <c r="AQ475" s="91"/>
      <c r="AR475" s="91"/>
      <c r="AS475" s="91"/>
      <c r="AT475" s="91"/>
      <c r="BA475" s="91"/>
      <c r="BD475" s="89"/>
      <c r="BE475" s="89"/>
      <c r="BF475" s="91"/>
      <c r="BG475" s="91"/>
      <c r="BH475" s="91"/>
      <c r="BO475" s="91"/>
      <c r="BS475" s="91"/>
      <c r="BT475" s="91"/>
      <c r="BV475" s="91"/>
    </row>
    <row r="476" spans="1:74" x14ac:dyDescent="0.3">
      <c r="A476" s="89"/>
      <c r="B476" s="89"/>
      <c r="C476" s="91"/>
      <c r="D476" s="91"/>
      <c r="E476" s="91"/>
      <c r="F476" s="91"/>
      <c r="G476" s="91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89"/>
      <c r="Y476" s="89"/>
      <c r="Z476" s="91"/>
      <c r="AA476" s="91"/>
      <c r="AB476" s="91"/>
      <c r="AC476" s="91"/>
      <c r="AD476" s="91"/>
      <c r="AE476" s="91"/>
      <c r="AF476" s="91"/>
      <c r="AG476" s="91"/>
      <c r="AH476" s="91"/>
      <c r="AI476" s="91"/>
      <c r="AL476" s="89"/>
      <c r="AM476" s="91"/>
      <c r="AN476" s="91"/>
      <c r="AP476" s="91"/>
      <c r="AQ476" s="91"/>
      <c r="AR476" s="91"/>
      <c r="AS476" s="91"/>
      <c r="AT476" s="91"/>
      <c r="BA476" s="91"/>
      <c r="BD476" s="89"/>
      <c r="BE476" s="89"/>
      <c r="BF476" s="91"/>
      <c r="BG476" s="91"/>
      <c r="BH476" s="91"/>
      <c r="BO476" s="91"/>
      <c r="BS476" s="91"/>
      <c r="BT476" s="91"/>
      <c r="BV476" s="91"/>
    </row>
    <row r="477" spans="1:74" x14ac:dyDescent="0.3">
      <c r="A477" s="89"/>
      <c r="B477" s="89"/>
      <c r="C477" s="91"/>
      <c r="D477" s="91"/>
      <c r="E477" s="91"/>
      <c r="F477" s="91"/>
      <c r="G477" s="91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89"/>
      <c r="Y477" s="89"/>
      <c r="Z477" s="91"/>
      <c r="AA477" s="91"/>
      <c r="AB477" s="91"/>
      <c r="AC477" s="91"/>
      <c r="AD477" s="91"/>
      <c r="AE477" s="91"/>
      <c r="AF477" s="91"/>
      <c r="AG477" s="91"/>
      <c r="AH477" s="91"/>
      <c r="AI477" s="91"/>
      <c r="AL477" s="89"/>
      <c r="AM477" s="91"/>
      <c r="AN477" s="91"/>
      <c r="AP477" s="91"/>
      <c r="AQ477" s="91"/>
      <c r="AR477" s="91"/>
      <c r="AS477" s="91"/>
      <c r="AT477" s="91"/>
      <c r="BA477" s="91"/>
      <c r="BD477" s="89"/>
      <c r="BE477" s="89"/>
      <c r="BF477" s="91"/>
      <c r="BG477" s="91"/>
      <c r="BH477" s="91"/>
      <c r="BO477" s="91"/>
      <c r="BS477" s="91"/>
      <c r="BT477" s="91"/>
      <c r="BV477" s="91"/>
    </row>
    <row r="478" spans="1:74" x14ac:dyDescent="0.3">
      <c r="A478" s="89"/>
      <c r="B478" s="89"/>
      <c r="C478" s="91"/>
      <c r="D478" s="91"/>
      <c r="E478" s="91"/>
      <c r="F478" s="91"/>
      <c r="G478" s="91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89"/>
      <c r="Y478" s="89"/>
      <c r="Z478" s="91"/>
      <c r="AA478" s="91"/>
      <c r="AB478" s="91"/>
      <c r="AC478" s="91"/>
      <c r="AD478" s="91"/>
      <c r="AE478" s="91"/>
      <c r="AF478" s="91"/>
      <c r="AG478" s="91"/>
      <c r="AH478" s="91"/>
      <c r="AI478" s="91"/>
      <c r="AL478" s="89"/>
      <c r="AM478" s="91"/>
      <c r="AN478" s="91"/>
      <c r="AP478" s="91"/>
      <c r="AQ478" s="91"/>
      <c r="AR478" s="91"/>
      <c r="AS478" s="91"/>
      <c r="AT478" s="91"/>
      <c r="BA478" s="91"/>
      <c r="BD478" s="89"/>
      <c r="BE478" s="89"/>
      <c r="BF478" s="91"/>
      <c r="BG478" s="91"/>
      <c r="BH478" s="91"/>
      <c r="BO478" s="91"/>
      <c r="BS478" s="91"/>
      <c r="BT478" s="91"/>
      <c r="BV478" s="91"/>
    </row>
    <row r="479" spans="1:74" x14ac:dyDescent="0.3">
      <c r="A479" s="89"/>
      <c r="B479" s="89"/>
      <c r="C479" s="91"/>
      <c r="D479" s="91"/>
      <c r="E479" s="91"/>
      <c r="F479" s="91"/>
      <c r="G479" s="91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89"/>
      <c r="Y479" s="89"/>
      <c r="Z479" s="91"/>
      <c r="AA479" s="91"/>
      <c r="AB479" s="91"/>
      <c r="AC479" s="91"/>
      <c r="AD479" s="91"/>
      <c r="AE479" s="91"/>
      <c r="AF479" s="91"/>
      <c r="AG479" s="91"/>
      <c r="AH479" s="91"/>
      <c r="AI479" s="91"/>
      <c r="AL479" s="89"/>
      <c r="AM479" s="91"/>
      <c r="AN479" s="91"/>
      <c r="AP479" s="91"/>
      <c r="AQ479" s="91"/>
      <c r="AR479" s="91"/>
      <c r="AS479" s="91"/>
      <c r="AT479" s="91"/>
      <c r="BA479" s="91"/>
      <c r="BD479" s="89"/>
      <c r="BE479" s="89"/>
      <c r="BF479" s="91"/>
      <c r="BG479" s="91"/>
      <c r="BH479" s="91"/>
      <c r="BO479" s="91"/>
      <c r="BS479" s="91"/>
      <c r="BT479" s="91"/>
      <c r="BV479" s="91"/>
    </row>
    <row r="480" spans="1:74" x14ac:dyDescent="0.3">
      <c r="A480" s="89"/>
      <c r="B480" s="89"/>
      <c r="C480" s="91"/>
      <c r="D480" s="91"/>
      <c r="E480" s="91"/>
      <c r="F480" s="91"/>
      <c r="G480" s="91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89"/>
      <c r="Y480" s="89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L480" s="89"/>
      <c r="AM480" s="91"/>
      <c r="AN480" s="91"/>
      <c r="AP480" s="91"/>
      <c r="AQ480" s="91"/>
      <c r="AR480" s="91"/>
      <c r="AS480" s="91"/>
      <c r="AT480" s="91"/>
      <c r="BA480" s="91"/>
      <c r="BD480" s="89"/>
      <c r="BE480" s="89"/>
      <c r="BF480" s="91"/>
      <c r="BG480" s="91"/>
      <c r="BH480" s="91"/>
      <c r="BO480" s="91"/>
      <c r="BS480" s="91"/>
      <c r="BT480" s="91"/>
      <c r="BV480" s="91"/>
    </row>
    <row r="481" spans="1:74" x14ac:dyDescent="0.3">
      <c r="A481" s="89"/>
      <c r="B481" s="89"/>
      <c r="C481" s="91"/>
      <c r="D481" s="91"/>
      <c r="E481" s="91"/>
      <c r="F481" s="91"/>
      <c r="G481" s="91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89"/>
      <c r="Y481" s="89"/>
      <c r="Z481" s="91"/>
      <c r="AA481" s="91"/>
      <c r="AB481" s="91"/>
      <c r="AC481" s="91"/>
      <c r="AD481" s="91"/>
      <c r="AE481" s="91"/>
      <c r="AF481" s="91"/>
      <c r="AG481" s="91"/>
      <c r="AH481" s="91"/>
      <c r="AI481" s="91"/>
      <c r="AL481" s="89"/>
      <c r="AM481" s="91"/>
      <c r="AN481" s="91"/>
      <c r="AP481" s="91"/>
      <c r="AQ481" s="91"/>
      <c r="AR481" s="91"/>
      <c r="AS481" s="91"/>
      <c r="AT481" s="91"/>
      <c r="BA481" s="91"/>
      <c r="BD481" s="89"/>
      <c r="BE481" s="89"/>
      <c r="BF481" s="91"/>
      <c r="BG481" s="91"/>
      <c r="BH481" s="91"/>
      <c r="BO481" s="91"/>
      <c r="BS481" s="91"/>
      <c r="BT481" s="91"/>
      <c r="BV481" s="91"/>
    </row>
    <row r="482" spans="1:74" x14ac:dyDescent="0.3">
      <c r="A482" s="89"/>
      <c r="B482" s="89"/>
      <c r="C482" s="91"/>
      <c r="D482" s="91"/>
      <c r="E482" s="91"/>
      <c r="F482" s="91"/>
      <c r="G482" s="91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89"/>
      <c r="Y482" s="89"/>
      <c r="Z482" s="91"/>
      <c r="AA482" s="91"/>
      <c r="AB482" s="91"/>
      <c r="AC482" s="91"/>
      <c r="AD482" s="91"/>
      <c r="AE482" s="91"/>
      <c r="AF482" s="91"/>
      <c r="AG482" s="91"/>
      <c r="AH482" s="91"/>
      <c r="AI482" s="91"/>
      <c r="AL482" s="89"/>
      <c r="AM482" s="91"/>
      <c r="AN482" s="91"/>
      <c r="AP482" s="91"/>
      <c r="AQ482" s="91"/>
      <c r="AR482" s="91"/>
      <c r="AS482" s="91"/>
      <c r="AT482" s="91"/>
      <c r="BA482" s="91"/>
      <c r="BD482" s="89"/>
      <c r="BE482" s="89"/>
      <c r="BF482" s="91"/>
      <c r="BG482" s="91"/>
      <c r="BH482" s="91"/>
      <c r="BO482" s="91"/>
      <c r="BS482" s="91"/>
      <c r="BT482" s="91"/>
      <c r="BV482" s="91"/>
    </row>
    <row r="483" spans="1:74" x14ac:dyDescent="0.3">
      <c r="A483" s="89"/>
      <c r="B483" s="89"/>
      <c r="C483" s="91"/>
      <c r="D483" s="91"/>
      <c r="E483" s="91"/>
      <c r="F483" s="91"/>
      <c r="G483" s="91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89"/>
      <c r="Y483" s="89"/>
      <c r="Z483" s="91"/>
      <c r="AA483" s="91"/>
      <c r="AB483" s="91"/>
      <c r="AC483" s="91"/>
      <c r="AD483" s="91"/>
      <c r="AE483" s="91"/>
      <c r="AF483" s="91"/>
      <c r="AG483" s="91"/>
      <c r="AH483" s="91"/>
      <c r="AI483" s="91"/>
      <c r="AL483" s="89"/>
      <c r="AM483" s="91"/>
      <c r="AN483" s="91"/>
      <c r="AP483" s="91"/>
      <c r="AQ483" s="91"/>
      <c r="AR483" s="91"/>
      <c r="AS483" s="91"/>
      <c r="AT483" s="91"/>
      <c r="BA483" s="91"/>
      <c r="BD483" s="89"/>
      <c r="BE483" s="89"/>
      <c r="BF483" s="91"/>
      <c r="BG483" s="91"/>
      <c r="BH483" s="91"/>
      <c r="BO483" s="91"/>
      <c r="BS483" s="91"/>
      <c r="BT483" s="91"/>
      <c r="BV483" s="91"/>
    </row>
    <row r="484" spans="1:74" x14ac:dyDescent="0.3">
      <c r="A484" s="89"/>
      <c r="B484" s="89"/>
      <c r="C484" s="91"/>
      <c r="D484" s="91"/>
      <c r="E484" s="91"/>
      <c r="F484" s="91"/>
      <c r="G484" s="91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89"/>
      <c r="Y484" s="89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L484" s="89"/>
      <c r="AM484" s="91"/>
      <c r="AN484" s="91"/>
      <c r="AP484" s="91"/>
      <c r="AQ484" s="91"/>
      <c r="AR484" s="91"/>
      <c r="AS484" s="91"/>
      <c r="AT484" s="91"/>
      <c r="BA484" s="91"/>
      <c r="BD484" s="89"/>
      <c r="BE484" s="89"/>
      <c r="BF484" s="91"/>
      <c r="BG484" s="91"/>
      <c r="BH484" s="91"/>
      <c r="BO484" s="91"/>
      <c r="BS484" s="91"/>
      <c r="BT484" s="91"/>
      <c r="BV484" s="91"/>
    </row>
    <row r="485" spans="1:74" x14ac:dyDescent="0.3">
      <c r="A485" s="89"/>
      <c r="B485" s="89"/>
      <c r="C485" s="91"/>
      <c r="D485" s="91"/>
      <c r="E485" s="91"/>
      <c r="F485" s="91"/>
      <c r="G485" s="91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89"/>
      <c r="Y485" s="89"/>
      <c r="Z485" s="91"/>
      <c r="AA485" s="91"/>
      <c r="AB485" s="91"/>
      <c r="AC485" s="91"/>
      <c r="AD485" s="91"/>
      <c r="AE485" s="91"/>
      <c r="AF485" s="91"/>
      <c r="AG485" s="91"/>
      <c r="AH485" s="91"/>
      <c r="AI485" s="91"/>
      <c r="AL485" s="89"/>
      <c r="AM485" s="91"/>
      <c r="AN485" s="91"/>
      <c r="AP485" s="91"/>
      <c r="AQ485" s="91"/>
      <c r="AR485" s="91"/>
      <c r="AS485" s="91"/>
      <c r="AT485" s="91"/>
      <c r="BA485" s="91"/>
      <c r="BD485" s="89"/>
      <c r="BE485" s="89"/>
      <c r="BF485" s="91"/>
      <c r="BG485" s="91"/>
      <c r="BH485" s="91"/>
      <c r="BO485" s="91"/>
      <c r="BS485" s="91"/>
      <c r="BT485" s="91"/>
      <c r="BV485" s="91"/>
    </row>
    <row r="486" spans="1:74" x14ac:dyDescent="0.3">
      <c r="A486" s="89"/>
      <c r="B486" s="89"/>
      <c r="C486" s="91"/>
      <c r="D486" s="91"/>
      <c r="E486" s="91"/>
      <c r="F486" s="91"/>
      <c r="G486" s="91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89"/>
      <c r="Y486" s="89"/>
      <c r="Z486" s="91"/>
      <c r="AA486" s="91"/>
      <c r="AB486" s="91"/>
      <c r="AC486" s="91"/>
      <c r="AD486" s="91"/>
      <c r="AE486" s="91"/>
      <c r="AF486" s="91"/>
      <c r="AG486" s="91"/>
      <c r="AH486" s="91"/>
      <c r="AI486" s="91"/>
      <c r="AL486" s="89"/>
      <c r="AM486" s="91"/>
      <c r="AN486" s="91"/>
      <c r="AP486" s="91"/>
      <c r="AQ486" s="91"/>
      <c r="AR486" s="91"/>
      <c r="AS486" s="91"/>
      <c r="AT486" s="91"/>
      <c r="BA486" s="91"/>
      <c r="BD486" s="89"/>
      <c r="BE486" s="89"/>
      <c r="BF486" s="91"/>
      <c r="BG486" s="91"/>
      <c r="BH486" s="91"/>
      <c r="BO486" s="91"/>
      <c r="BS486" s="91"/>
      <c r="BT486" s="91"/>
      <c r="BV486" s="91"/>
    </row>
    <row r="487" spans="1:74" x14ac:dyDescent="0.3">
      <c r="A487" s="89"/>
      <c r="B487" s="89"/>
      <c r="C487" s="91"/>
      <c r="D487" s="91"/>
      <c r="E487" s="91"/>
      <c r="F487" s="91"/>
      <c r="G487" s="91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89"/>
      <c r="Y487" s="89"/>
      <c r="Z487" s="91"/>
      <c r="AA487" s="91"/>
      <c r="AB487" s="91"/>
      <c r="AC487" s="91"/>
      <c r="AD487" s="91"/>
      <c r="AE487" s="91"/>
      <c r="AF487" s="91"/>
      <c r="AG487" s="91"/>
      <c r="AH487" s="91"/>
      <c r="AI487" s="91"/>
      <c r="AL487" s="89"/>
      <c r="AM487" s="91"/>
      <c r="AN487" s="91"/>
      <c r="AP487" s="91"/>
      <c r="AQ487" s="91"/>
      <c r="AR487" s="91"/>
      <c r="AS487" s="91"/>
      <c r="AT487" s="91"/>
      <c r="BA487" s="91"/>
      <c r="BD487" s="89"/>
      <c r="BE487" s="89"/>
      <c r="BF487" s="91"/>
      <c r="BG487" s="91"/>
      <c r="BH487" s="91"/>
      <c r="BO487" s="91"/>
      <c r="BS487" s="91"/>
      <c r="BT487" s="91"/>
      <c r="BV487" s="91"/>
    </row>
    <row r="488" spans="1:74" x14ac:dyDescent="0.3">
      <c r="A488" s="89"/>
      <c r="B488" s="89"/>
      <c r="C488" s="91"/>
      <c r="D488" s="91"/>
      <c r="E488" s="91"/>
      <c r="F488" s="91"/>
      <c r="G488" s="91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89"/>
      <c r="Y488" s="89"/>
      <c r="Z488" s="91"/>
      <c r="AA488" s="91"/>
      <c r="AB488" s="91"/>
      <c r="AC488" s="91"/>
      <c r="AD488" s="91"/>
      <c r="AE488" s="91"/>
      <c r="AF488" s="91"/>
      <c r="AG488" s="91"/>
      <c r="AH488" s="91"/>
      <c r="AI488" s="91"/>
      <c r="AL488" s="89"/>
      <c r="AM488" s="91"/>
      <c r="AN488" s="91"/>
      <c r="AP488" s="91"/>
      <c r="AQ488" s="91"/>
      <c r="AR488" s="91"/>
      <c r="AS488" s="91"/>
      <c r="AT488" s="91"/>
      <c r="BA488" s="91"/>
      <c r="BD488" s="89"/>
      <c r="BE488" s="89"/>
      <c r="BF488" s="91"/>
      <c r="BG488" s="91"/>
      <c r="BH488" s="91"/>
      <c r="BO488" s="91"/>
      <c r="BS488" s="91"/>
      <c r="BT488" s="91"/>
      <c r="BV488" s="91"/>
    </row>
    <row r="489" spans="1:74" x14ac:dyDescent="0.3">
      <c r="A489" s="89"/>
      <c r="B489" s="89"/>
      <c r="C489" s="91"/>
      <c r="D489" s="91"/>
      <c r="E489" s="91"/>
      <c r="F489" s="91"/>
      <c r="G489" s="91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89"/>
      <c r="Y489" s="89"/>
      <c r="Z489" s="91"/>
      <c r="AA489" s="91"/>
      <c r="AB489" s="91"/>
      <c r="AC489" s="91"/>
      <c r="AD489" s="91"/>
      <c r="AE489" s="91"/>
      <c r="AF489" s="91"/>
      <c r="AG489" s="91"/>
      <c r="AH489" s="91"/>
      <c r="AI489" s="91"/>
      <c r="AL489" s="89"/>
      <c r="AM489" s="91"/>
      <c r="AN489" s="91"/>
      <c r="AP489" s="91"/>
      <c r="AQ489" s="91"/>
      <c r="AR489" s="91"/>
      <c r="AS489" s="91"/>
      <c r="AT489" s="91"/>
      <c r="BA489" s="91"/>
      <c r="BD489" s="89"/>
      <c r="BE489" s="89"/>
      <c r="BF489" s="91"/>
      <c r="BG489" s="91"/>
      <c r="BH489" s="91"/>
      <c r="BO489" s="91"/>
      <c r="BS489" s="91"/>
      <c r="BT489" s="91"/>
      <c r="BV489" s="91"/>
    </row>
    <row r="490" spans="1:74" x14ac:dyDescent="0.3">
      <c r="A490" s="89"/>
      <c r="B490" s="89"/>
      <c r="C490" s="91"/>
      <c r="D490" s="91"/>
      <c r="E490" s="91"/>
      <c r="F490" s="91"/>
      <c r="G490" s="91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89"/>
      <c r="Y490" s="89"/>
      <c r="Z490" s="91"/>
      <c r="AA490" s="91"/>
      <c r="AB490" s="91"/>
      <c r="AC490" s="91"/>
      <c r="AD490" s="91"/>
      <c r="AE490" s="91"/>
      <c r="AF490" s="91"/>
      <c r="AG490" s="91"/>
      <c r="AH490" s="91"/>
      <c r="AI490" s="91"/>
      <c r="AL490" s="89"/>
      <c r="AM490" s="91"/>
      <c r="AN490" s="91"/>
      <c r="AP490" s="91"/>
      <c r="AQ490" s="91"/>
      <c r="AR490" s="91"/>
      <c r="AS490" s="91"/>
      <c r="AT490" s="91"/>
      <c r="BA490" s="91"/>
      <c r="BD490" s="89"/>
      <c r="BE490" s="89"/>
      <c r="BF490" s="91"/>
      <c r="BG490" s="91"/>
      <c r="BH490" s="91"/>
      <c r="BO490" s="91"/>
      <c r="BS490" s="91"/>
      <c r="BT490" s="91"/>
      <c r="BV490" s="91"/>
    </row>
    <row r="491" spans="1:74" x14ac:dyDescent="0.3">
      <c r="A491" s="89"/>
      <c r="B491" s="89"/>
      <c r="C491" s="91"/>
      <c r="D491" s="91"/>
      <c r="E491" s="91"/>
      <c r="F491" s="91"/>
      <c r="G491" s="91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89"/>
      <c r="Y491" s="89"/>
      <c r="Z491" s="91"/>
      <c r="AA491" s="91"/>
      <c r="AB491" s="91"/>
      <c r="AC491" s="91"/>
      <c r="AD491" s="91"/>
      <c r="AE491" s="91"/>
      <c r="AF491" s="91"/>
      <c r="AG491" s="91"/>
      <c r="AH491" s="91"/>
      <c r="AI491" s="91"/>
      <c r="AL491" s="89"/>
      <c r="AM491" s="91"/>
      <c r="AN491" s="91"/>
      <c r="AP491" s="91"/>
      <c r="AQ491" s="91"/>
      <c r="AR491" s="91"/>
      <c r="AS491" s="91"/>
      <c r="AT491" s="91"/>
      <c r="BA491" s="91"/>
      <c r="BD491" s="89"/>
      <c r="BE491" s="89"/>
      <c r="BF491" s="91"/>
      <c r="BG491" s="91"/>
      <c r="BH491" s="91"/>
      <c r="BO491" s="91"/>
      <c r="BS491" s="91"/>
      <c r="BT491" s="91"/>
      <c r="BV491" s="91"/>
    </row>
    <row r="492" spans="1:74" x14ac:dyDescent="0.3">
      <c r="A492" s="89"/>
      <c r="B492" s="89"/>
      <c r="C492" s="91"/>
      <c r="D492" s="91"/>
      <c r="E492" s="91"/>
      <c r="F492" s="91"/>
      <c r="G492" s="91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89"/>
      <c r="Y492" s="89"/>
      <c r="Z492" s="91"/>
      <c r="AA492" s="91"/>
      <c r="AB492" s="91"/>
      <c r="AC492" s="91"/>
      <c r="AD492" s="91"/>
      <c r="AE492" s="91"/>
      <c r="AF492" s="91"/>
      <c r="AG492" s="91"/>
      <c r="AH492" s="91"/>
      <c r="AI492" s="91"/>
      <c r="AL492" s="89"/>
      <c r="AM492" s="91"/>
      <c r="AN492" s="91"/>
      <c r="AP492" s="91"/>
      <c r="AQ492" s="91"/>
      <c r="AR492" s="91"/>
      <c r="AS492" s="91"/>
      <c r="AT492" s="91"/>
      <c r="BA492" s="91"/>
      <c r="BD492" s="89"/>
      <c r="BE492" s="89"/>
      <c r="BF492" s="91"/>
      <c r="BG492" s="91"/>
      <c r="BH492" s="91"/>
      <c r="BO492" s="91"/>
      <c r="BS492" s="91"/>
      <c r="BT492" s="91"/>
      <c r="BV492" s="91"/>
    </row>
    <row r="493" spans="1:74" x14ac:dyDescent="0.3">
      <c r="A493" s="89"/>
      <c r="B493" s="89"/>
      <c r="C493" s="91"/>
      <c r="D493" s="91"/>
      <c r="E493" s="91"/>
      <c r="F493" s="91"/>
      <c r="G493" s="91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89"/>
      <c r="Y493" s="89"/>
      <c r="Z493" s="91"/>
      <c r="AA493" s="91"/>
      <c r="AB493" s="91"/>
      <c r="AC493" s="91"/>
      <c r="AD493" s="91"/>
      <c r="AE493" s="91"/>
      <c r="AF493" s="91"/>
      <c r="AG493" s="91"/>
      <c r="AH493" s="91"/>
      <c r="AI493" s="91"/>
      <c r="AL493" s="89"/>
      <c r="AM493" s="91"/>
      <c r="AN493" s="91"/>
      <c r="AP493" s="91"/>
      <c r="AQ493" s="91"/>
      <c r="AR493" s="91"/>
      <c r="AS493" s="91"/>
      <c r="AT493" s="91"/>
      <c r="BA493" s="91"/>
      <c r="BD493" s="89"/>
      <c r="BE493" s="89"/>
      <c r="BF493" s="91"/>
      <c r="BG493" s="91"/>
      <c r="BH493" s="91"/>
      <c r="BO493" s="91"/>
      <c r="BS493" s="91"/>
      <c r="BT493" s="91"/>
      <c r="BV493" s="91"/>
    </row>
    <row r="494" spans="1:74" x14ac:dyDescent="0.3">
      <c r="A494" s="89"/>
      <c r="B494" s="89"/>
      <c r="C494" s="91"/>
      <c r="D494" s="91"/>
      <c r="E494" s="91"/>
      <c r="F494" s="91"/>
      <c r="G494" s="91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89"/>
      <c r="Y494" s="89"/>
      <c r="Z494" s="91"/>
      <c r="AA494" s="91"/>
      <c r="AB494" s="91"/>
      <c r="AC494" s="91"/>
      <c r="AD494" s="91"/>
      <c r="AE494" s="91"/>
      <c r="AF494" s="91"/>
      <c r="AG494" s="91"/>
      <c r="AH494" s="91"/>
      <c r="AI494" s="91"/>
      <c r="AL494" s="89"/>
      <c r="AM494" s="91"/>
      <c r="AN494" s="91"/>
      <c r="AP494" s="91"/>
      <c r="AQ494" s="91"/>
      <c r="AR494" s="91"/>
      <c r="AS494" s="91"/>
      <c r="AT494" s="91"/>
      <c r="BA494" s="91"/>
      <c r="BD494" s="89"/>
      <c r="BE494" s="89"/>
      <c r="BF494" s="91"/>
      <c r="BG494" s="91"/>
      <c r="BH494" s="91"/>
      <c r="BO494" s="91"/>
      <c r="BS494" s="91"/>
      <c r="BT494" s="91"/>
      <c r="BV494" s="91"/>
    </row>
    <row r="495" spans="1:74" x14ac:dyDescent="0.3">
      <c r="A495" s="89"/>
      <c r="B495" s="89"/>
      <c r="C495" s="91"/>
      <c r="D495" s="91"/>
      <c r="E495" s="91"/>
      <c r="F495" s="91"/>
      <c r="G495" s="91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89"/>
      <c r="Y495" s="89"/>
      <c r="Z495" s="91"/>
      <c r="AA495" s="91"/>
      <c r="AB495" s="91"/>
      <c r="AC495" s="91"/>
      <c r="AD495" s="91"/>
      <c r="AE495" s="91"/>
      <c r="AF495" s="91"/>
      <c r="AG495" s="91"/>
      <c r="AH495" s="91"/>
      <c r="AI495" s="91"/>
      <c r="AL495" s="89"/>
      <c r="AM495" s="91"/>
      <c r="AN495" s="91"/>
      <c r="AP495" s="91"/>
      <c r="AQ495" s="91"/>
      <c r="AR495" s="91"/>
      <c r="AS495" s="91"/>
      <c r="AT495" s="91"/>
      <c r="BA495" s="91"/>
      <c r="BD495" s="89"/>
      <c r="BE495" s="89"/>
      <c r="BF495" s="91"/>
      <c r="BG495" s="91"/>
      <c r="BH495" s="91"/>
      <c r="BO495" s="91"/>
      <c r="BS495" s="91"/>
      <c r="BT495" s="91"/>
      <c r="BV495" s="91"/>
    </row>
    <row r="496" spans="1:74" x14ac:dyDescent="0.3">
      <c r="A496" s="89"/>
      <c r="B496" s="89"/>
      <c r="C496" s="91"/>
      <c r="D496" s="91"/>
      <c r="E496" s="91"/>
      <c r="F496" s="91"/>
      <c r="G496" s="91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89"/>
      <c r="Y496" s="89"/>
      <c r="Z496" s="91"/>
      <c r="AA496" s="91"/>
      <c r="AB496" s="91"/>
      <c r="AC496" s="91"/>
      <c r="AD496" s="91"/>
      <c r="AE496" s="91"/>
      <c r="AF496" s="91"/>
      <c r="AG496" s="91"/>
      <c r="AH496" s="91"/>
      <c r="AI496" s="91"/>
      <c r="AL496" s="89"/>
      <c r="AM496" s="91"/>
      <c r="AN496" s="91"/>
      <c r="AP496" s="91"/>
      <c r="AQ496" s="91"/>
      <c r="AR496" s="91"/>
      <c r="AS496" s="91"/>
      <c r="AT496" s="91"/>
      <c r="BA496" s="91"/>
      <c r="BD496" s="89"/>
      <c r="BE496" s="89"/>
      <c r="BF496" s="91"/>
      <c r="BG496" s="91"/>
      <c r="BH496" s="91"/>
      <c r="BO496" s="91"/>
      <c r="BS496" s="91"/>
      <c r="BT496" s="91"/>
      <c r="BV496" s="91"/>
    </row>
    <row r="497" spans="1:74" x14ac:dyDescent="0.3">
      <c r="A497" s="89"/>
      <c r="B497" s="89"/>
      <c r="C497" s="91"/>
      <c r="D497" s="91"/>
      <c r="E497" s="91"/>
      <c r="F497" s="91"/>
      <c r="G497" s="91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89"/>
      <c r="Y497" s="89"/>
      <c r="Z497" s="91"/>
      <c r="AA497" s="91"/>
      <c r="AB497" s="91"/>
      <c r="AC497" s="91"/>
      <c r="AD497" s="91"/>
      <c r="AE497" s="91"/>
      <c r="AF497" s="91"/>
      <c r="AG497" s="91"/>
      <c r="AH497" s="91"/>
      <c r="AI497" s="91"/>
      <c r="AL497" s="89"/>
      <c r="AM497" s="91"/>
      <c r="AN497" s="91"/>
      <c r="AP497" s="91"/>
      <c r="AQ497" s="91"/>
      <c r="AR497" s="91"/>
      <c r="AS497" s="91"/>
      <c r="AT497" s="91"/>
      <c r="BA497" s="91"/>
      <c r="BD497" s="89"/>
      <c r="BE497" s="89"/>
      <c r="BF497" s="91"/>
      <c r="BG497" s="91"/>
      <c r="BH497" s="91"/>
      <c r="BO497" s="91"/>
      <c r="BS497" s="91"/>
      <c r="BT497" s="91"/>
      <c r="BV497" s="91"/>
    </row>
    <row r="498" spans="1:74" x14ac:dyDescent="0.3">
      <c r="A498" s="89"/>
      <c r="B498" s="89"/>
      <c r="C498" s="91"/>
      <c r="D498" s="91"/>
      <c r="E498" s="91"/>
      <c r="F498" s="91"/>
      <c r="G498" s="91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89"/>
      <c r="Y498" s="89"/>
      <c r="Z498" s="91"/>
      <c r="AA498" s="91"/>
      <c r="AB498" s="91"/>
      <c r="AC498" s="91"/>
      <c r="AD498" s="91"/>
      <c r="AE498" s="91"/>
      <c r="AF498" s="91"/>
      <c r="AG498" s="91"/>
      <c r="AH498" s="91"/>
      <c r="AI498" s="91"/>
      <c r="AL498" s="89"/>
      <c r="AM498" s="91"/>
      <c r="AN498" s="91"/>
      <c r="AP498" s="91"/>
      <c r="AQ498" s="91"/>
      <c r="AR498" s="91"/>
      <c r="AS498" s="91"/>
      <c r="AT498" s="91"/>
      <c r="BA498" s="91"/>
      <c r="BD498" s="89"/>
      <c r="BE498" s="89"/>
      <c r="BF498" s="91"/>
      <c r="BG498" s="91"/>
      <c r="BH498" s="91"/>
      <c r="BO498" s="91"/>
      <c r="BS498" s="91"/>
      <c r="BT498" s="91"/>
      <c r="BV498" s="91"/>
    </row>
    <row r="499" spans="1:74" x14ac:dyDescent="0.3">
      <c r="A499" s="89"/>
      <c r="B499" s="89"/>
      <c r="C499" s="91"/>
      <c r="D499" s="91"/>
      <c r="E499" s="91"/>
      <c r="F499" s="91"/>
      <c r="G499" s="91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89"/>
      <c r="Y499" s="89"/>
      <c r="Z499" s="91"/>
      <c r="AA499" s="91"/>
      <c r="AB499" s="91"/>
      <c r="AC499" s="91"/>
      <c r="AD499" s="91"/>
      <c r="AE499" s="91"/>
      <c r="AF499" s="91"/>
      <c r="AG499" s="91"/>
      <c r="AH499" s="91"/>
      <c r="AI499" s="91"/>
      <c r="AL499" s="89"/>
      <c r="AM499" s="91"/>
      <c r="AN499" s="91"/>
      <c r="AP499" s="91"/>
      <c r="AQ499" s="91"/>
      <c r="AR499" s="91"/>
      <c r="AS499" s="91"/>
      <c r="AT499" s="91"/>
      <c r="BA499" s="91"/>
      <c r="BD499" s="89"/>
      <c r="BE499" s="89"/>
      <c r="BF499" s="91"/>
      <c r="BG499" s="91"/>
      <c r="BH499" s="91"/>
      <c r="BO499" s="91"/>
      <c r="BS499" s="91"/>
      <c r="BT499" s="91"/>
      <c r="BV499" s="91"/>
    </row>
    <row r="500" spans="1:74" x14ac:dyDescent="0.3">
      <c r="A500" s="89"/>
      <c r="B500" s="89"/>
      <c r="C500" s="91"/>
      <c r="D500" s="91"/>
      <c r="E500" s="91"/>
      <c r="F500" s="91"/>
      <c r="G500" s="91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89"/>
      <c r="Y500" s="89"/>
      <c r="Z500" s="91"/>
      <c r="AA500" s="91"/>
      <c r="AB500" s="91"/>
      <c r="AC500" s="91"/>
      <c r="AD500" s="91"/>
      <c r="AE500" s="91"/>
      <c r="AF500" s="91"/>
      <c r="AG500" s="91"/>
      <c r="AH500" s="91"/>
      <c r="AI500" s="91"/>
      <c r="AL500" s="89"/>
      <c r="AM500" s="91"/>
      <c r="AN500" s="91"/>
      <c r="AP500" s="91"/>
      <c r="AQ500" s="91"/>
      <c r="AR500" s="91"/>
      <c r="AS500" s="91"/>
      <c r="AT500" s="91"/>
      <c r="BA500" s="91"/>
      <c r="BD500" s="89"/>
      <c r="BE500" s="89"/>
      <c r="BF500" s="91"/>
      <c r="BG500" s="91"/>
      <c r="BH500" s="91"/>
      <c r="BO500" s="91"/>
      <c r="BS500" s="91"/>
      <c r="BT500" s="91"/>
      <c r="BV500" s="91"/>
    </row>
    <row r="501" spans="1:74" x14ac:dyDescent="0.3">
      <c r="A501" s="89"/>
      <c r="B501" s="89"/>
      <c r="C501" s="91"/>
      <c r="D501" s="91"/>
      <c r="E501" s="91"/>
      <c r="F501" s="91"/>
      <c r="G501" s="91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89"/>
      <c r="Y501" s="89"/>
      <c r="Z501" s="91"/>
      <c r="AA501" s="91"/>
      <c r="AB501" s="91"/>
      <c r="AC501" s="91"/>
      <c r="AD501" s="91"/>
      <c r="AE501" s="91"/>
      <c r="AF501" s="91"/>
      <c r="AG501" s="91"/>
      <c r="AH501" s="91"/>
      <c r="AI501" s="91"/>
      <c r="AL501" s="89"/>
      <c r="AM501" s="91"/>
      <c r="AN501" s="91"/>
      <c r="AP501" s="91"/>
      <c r="AQ501" s="91"/>
      <c r="AR501" s="91"/>
      <c r="AS501" s="91"/>
      <c r="AT501" s="91"/>
      <c r="BA501" s="91"/>
      <c r="BD501" s="89"/>
      <c r="BE501" s="89"/>
      <c r="BF501" s="91"/>
      <c r="BG501" s="91"/>
      <c r="BH501" s="91"/>
      <c r="BO501" s="91"/>
      <c r="BS501" s="91"/>
      <c r="BT501" s="91"/>
      <c r="BV501" s="91"/>
    </row>
    <row r="502" spans="1:74" x14ac:dyDescent="0.3">
      <c r="A502" s="89"/>
      <c r="B502" s="89"/>
      <c r="C502" s="91"/>
      <c r="D502" s="91"/>
      <c r="E502" s="91"/>
      <c r="F502" s="91"/>
      <c r="G502" s="91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89"/>
      <c r="Y502" s="89"/>
      <c r="Z502" s="91"/>
      <c r="AA502" s="91"/>
      <c r="AB502" s="91"/>
      <c r="AC502" s="91"/>
      <c r="AD502" s="91"/>
      <c r="AE502" s="91"/>
      <c r="AF502" s="91"/>
      <c r="AG502" s="91"/>
      <c r="AH502" s="91"/>
      <c r="AI502" s="91"/>
      <c r="AL502" s="89"/>
      <c r="AM502" s="91"/>
      <c r="AN502" s="91"/>
      <c r="AP502" s="91"/>
      <c r="AQ502" s="91"/>
      <c r="AR502" s="91"/>
      <c r="AS502" s="91"/>
      <c r="AT502" s="91"/>
      <c r="BA502" s="91"/>
      <c r="BD502" s="89"/>
      <c r="BE502" s="89"/>
      <c r="BF502" s="91"/>
      <c r="BG502" s="91"/>
      <c r="BH502" s="91"/>
      <c r="BO502" s="91"/>
      <c r="BS502" s="91"/>
      <c r="BT502" s="91"/>
      <c r="BV502" s="91"/>
    </row>
    <row r="503" spans="1:74" x14ac:dyDescent="0.3">
      <c r="A503" s="89"/>
      <c r="B503" s="89"/>
      <c r="C503" s="91"/>
      <c r="D503" s="91"/>
      <c r="E503" s="91"/>
      <c r="F503" s="91"/>
      <c r="G503" s="91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89"/>
      <c r="Y503" s="89"/>
      <c r="Z503" s="91"/>
      <c r="AA503" s="91"/>
      <c r="AB503" s="91"/>
      <c r="AC503" s="91"/>
      <c r="AD503" s="91"/>
      <c r="AE503" s="91"/>
      <c r="AF503" s="91"/>
      <c r="AG503" s="91"/>
      <c r="AH503" s="91"/>
      <c r="AI503" s="91"/>
      <c r="AL503" s="89"/>
      <c r="AM503" s="91"/>
      <c r="AN503" s="91"/>
      <c r="AP503" s="91"/>
      <c r="AQ503" s="91"/>
      <c r="AR503" s="91"/>
      <c r="AS503" s="91"/>
      <c r="AT503" s="91"/>
      <c r="BA503" s="91"/>
      <c r="BD503" s="89"/>
      <c r="BE503" s="89"/>
      <c r="BF503" s="91"/>
      <c r="BG503" s="91"/>
      <c r="BH503" s="91"/>
      <c r="BO503" s="91"/>
      <c r="BS503" s="91"/>
      <c r="BT503" s="91"/>
      <c r="BV503" s="91"/>
    </row>
    <row r="504" spans="1:74" x14ac:dyDescent="0.3">
      <c r="A504" s="89"/>
      <c r="B504" s="89"/>
      <c r="C504" s="91"/>
      <c r="D504" s="91"/>
      <c r="E504" s="91"/>
      <c r="F504" s="91"/>
      <c r="G504" s="91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89"/>
      <c r="Y504" s="89"/>
      <c r="Z504" s="91"/>
      <c r="AA504" s="91"/>
      <c r="AB504" s="91"/>
      <c r="AC504" s="91"/>
      <c r="AD504" s="91"/>
      <c r="AE504" s="91"/>
      <c r="AF504" s="91"/>
      <c r="AG504" s="91"/>
      <c r="AH504" s="91"/>
      <c r="AI504" s="91"/>
      <c r="AL504" s="89"/>
      <c r="AM504" s="91"/>
      <c r="AN504" s="91"/>
      <c r="AP504" s="91"/>
      <c r="AQ504" s="91"/>
      <c r="AR504" s="91"/>
      <c r="AS504" s="91"/>
      <c r="AT504" s="91"/>
      <c r="BA504" s="91"/>
      <c r="BD504" s="89"/>
      <c r="BE504" s="89"/>
      <c r="BF504" s="91"/>
      <c r="BG504" s="91"/>
      <c r="BH504" s="91"/>
      <c r="BO504" s="91"/>
      <c r="BS504" s="91"/>
      <c r="BT504" s="91"/>
      <c r="BV504" s="91"/>
    </row>
    <row r="505" spans="1:74" x14ac:dyDescent="0.3">
      <c r="A505" s="89"/>
      <c r="B505" s="89"/>
      <c r="C505" s="91"/>
      <c r="D505" s="91"/>
      <c r="E505" s="91"/>
      <c r="F505" s="91"/>
      <c r="G505" s="91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89"/>
      <c r="Y505" s="89"/>
      <c r="Z505" s="91"/>
      <c r="AA505" s="91"/>
      <c r="AB505" s="91"/>
      <c r="AC505" s="91"/>
      <c r="AD505" s="91"/>
      <c r="AE505" s="91"/>
      <c r="AF505" s="91"/>
      <c r="AG505" s="91"/>
      <c r="AH505" s="91"/>
      <c r="AI505" s="91"/>
      <c r="AL505" s="89"/>
      <c r="AM505" s="91"/>
      <c r="AN505" s="91"/>
      <c r="AP505" s="91"/>
      <c r="AQ505" s="91"/>
      <c r="AR505" s="91"/>
      <c r="AS505" s="91"/>
      <c r="AT505" s="91"/>
      <c r="BA505" s="91"/>
      <c r="BD505" s="89"/>
      <c r="BE505" s="89"/>
      <c r="BF505" s="91"/>
      <c r="BG505" s="91"/>
      <c r="BH505" s="91"/>
      <c r="BO505" s="91"/>
      <c r="BS505" s="91"/>
      <c r="BT505" s="91"/>
      <c r="BV505" s="91"/>
    </row>
    <row r="506" spans="1:74" x14ac:dyDescent="0.3">
      <c r="A506" s="89"/>
      <c r="B506" s="89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89"/>
      <c r="Y506" s="89"/>
      <c r="Z506" s="91"/>
      <c r="AA506" s="91"/>
      <c r="AB506" s="91"/>
      <c r="AC506" s="91"/>
      <c r="AD506" s="91"/>
      <c r="AE506" s="91"/>
      <c r="AF506" s="91"/>
      <c r="AG506" s="91"/>
      <c r="AH506" s="91"/>
      <c r="AI506" s="91"/>
      <c r="AL506" s="89"/>
      <c r="AM506" s="91"/>
      <c r="AN506" s="91"/>
      <c r="AP506" s="91"/>
      <c r="AQ506" s="91"/>
      <c r="AR506" s="91"/>
      <c r="AS506" s="91"/>
      <c r="AT506" s="91"/>
      <c r="BA506" s="91"/>
      <c r="BD506" s="89"/>
      <c r="BE506" s="89"/>
      <c r="BF506" s="91"/>
      <c r="BG506" s="91"/>
      <c r="BH506" s="91"/>
      <c r="BO506" s="91"/>
      <c r="BS506" s="91"/>
      <c r="BT506" s="91"/>
      <c r="BV506" s="91"/>
    </row>
    <row r="507" spans="1:74" x14ac:dyDescent="0.3">
      <c r="A507" s="89"/>
      <c r="B507" s="89"/>
      <c r="C507" s="91"/>
      <c r="D507" s="91"/>
      <c r="E507" s="91"/>
      <c r="F507" s="91"/>
      <c r="G507" s="91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89"/>
      <c r="Y507" s="89"/>
      <c r="Z507" s="91"/>
      <c r="AA507" s="91"/>
      <c r="AB507" s="91"/>
      <c r="AC507" s="91"/>
      <c r="AD507" s="91"/>
      <c r="AE507" s="91"/>
      <c r="AF507" s="91"/>
      <c r="AG507" s="91"/>
      <c r="AH507" s="91"/>
      <c r="AI507" s="91"/>
      <c r="AL507" s="89"/>
      <c r="AM507" s="91"/>
      <c r="AN507" s="91"/>
      <c r="AP507" s="91"/>
      <c r="AQ507" s="91"/>
      <c r="AR507" s="91"/>
      <c r="AS507" s="91"/>
      <c r="AT507" s="91"/>
      <c r="BA507" s="91"/>
      <c r="BD507" s="89"/>
      <c r="BE507" s="89"/>
      <c r="BF507" s="91"/>
      <c r="BG507" s="91"/>
      <c r="BH507" s="91"/>
      <c r="BO507" s="91"/>
      <c r="BS507" s="91"/>
      <c r="BT507" s="91"/>
      <c r="BV507" s="91"/>
    </row>
    <row r="508" spans="1:74" x14ac:dyDescent="0.3">
      <c r="A508" s="89"/>
      <c r="B508" s="89"/>
      <c r="C508" s="91"/>
      <c r="D508" s="91"/>
      <c r="E508" s="91"/>
      <c r="F508" s="91"/>
      <c r="G508" s="91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89"/>
      <c r="Y508" s="89"/>
      <c r="Z508" s="91"/>
      <c r="AA508" s="91"/>
      <c r="AB508" s="91"/>
      <c r="AC508" s="91"/>
      <c r="AD508" s="91"/>
      <c r="AE508" s="91"/>
      <c r="AF508" s="91"/>
      <c r="AG508" s="91"/>
      <c r="AH508" s="91"/>
      <c r="AI508" s="91"/>
      <c r="AL508" s="89"/>
      <c r="AM508" s="91"/>
      <c r="AN508" s="91"/>
      <c r="AP508" s="91"/>
      <c r="AQ508" s="91"/>
      <c r="AR508" s="91"/>
      <c r="AS508" s="91"/>
      <c r="AT508" s="91"/>
      <c r="BA508" s="91"/>
      <c r="BD508" s="89"/>
      <c r="BE508" s="89"/>
      <c r="BF508" s="91"/>
      <c r="BG508" s="91"/>
      <c r="BH508" s="91"/>
      <c r="BO508" s="91"/>
      <c r="BS508" s="91"/>
      <c r="BT508" s="91"/>
      <c r="BV508" s="91"/>
    </row>
    <row r="509" spans="1:74" x14ac:dyDescent="0.3">
      <c r="A509" s="89"/>
      <c r="B509" s="89"/>
      <c r="C509" s="91"/>
      <c r="D509" s="91"/>
      <c r="E509" s="91"/>
      <c r="F509" s="91"/>
      <c r="G509" s="91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89"/>
      <c r="Y509" s="89"/>
      <c r="Z509" s="91"/>
      <c r="AA509" s="91"/>
      <c r="AB509" s="91"/>
      <c r="AC509" s="91"/>
      <c r="AD509" s="91"/>
      <c r="AE509" s="91"/>
      <c r="AF509" s="91"/>
      <c r="AG509" s="91"/>
      <c r="AH509" s="91"/>
      <c r="AI509" s="91"/>
      <c r="AL509" s="89"/>
      <c r="AM509" s="91"/>
      <c r="AN509" s="91"/>
      <c r="AP509" s="91"/>
      <c r="AQ509" s="91"/>
      <c r="AR509" s="91"/>
      <c r="AS509" s="91"/>
      <c r="AT509" s="91"/>
      <c r="BA509" s="91"/>
      <c r="BD509" s="89"/>
      <c r="BE509" s="89"/>
      <c r="BF509" s="91"/>
      <c r="BG509" s="91"/>
      <c r="BH509" s="91"/>
      <c r="BO509" s="91"/>
      <c r="BS509" s="91"/>
      <c r="BT509" s="91"/>
      <c r="BV509" s="91"/>
    </row>
    <row r="510" spans="1:74" x14ac:dyDescent="0.3">
      <c r="A510" s="89"/>
      <c r="B510" s="89"/>
      <c r="C510" s="91"/>
      <c r="D510" s="91"/>
      <c r="E510" s="91"/>
      <c r="F510" s="91"/>
      <c r="G510" s="91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89"/>
      <c r="Y510" s="89"/>
      <c r="Z510" s="91"/>
      <c r="AA510" s="91"/>
      <c r="AB510" s="91"/>
      <c r="AC510" s="91"/>
      <c r="AD510" s="91"/>
      <c r="AE510" s="91"/>
      <c r="AF510" s="91"/>
      <c r="AG510" s="91"/>
      <c r="AH510" s="91"/>
      <c r="AI510" s="91"/>
      <c r="AL510" s="89"/>
      <c r="AM510" s="91"/>
      <c r="AN510" s="91"/>
      <c r="AP510" s="91"/>
      <c r="AQ510" s="91"/>
      <c r="AR510" s="91"/>
      <c r="AS510" s="91"/>
      <c r="AT510" s="91"/>
      <c r="BA510" s="91"/>
      <c r="BD510" s="89"/>
      <c r="BE510" s="89"/>
      <c r="BF510" s="91"/>
      <c r="BG510" s="91"/>
      <c r="BH510" s="91"/>
      <c r="BO510" s="91"/>
      <c r="BS510" s="91"/>
      <c r="BT510" s="91"/>
      <c r="BV510" s="91"/>
    </row>
    <row r="511" spans="1:74" x14ac:dyDescent="0.3">
      <c r="A511" s="89"/>
      <c r="B511" s="89"/>
      <c r="C511" s="91"/>
      <c r="D511" s="91"/>
      <c r="E511" s="91"/>
      <c r="F511" s="91"/>
      <c r="G511" s="91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89"/>
      <c r="Y511" s="89"/>
      <c r="Z511" s="91"/>
      <c r="AA511" s="91"/>
      <c r="AB511" s="91"/>
      <c r="AC511" s="91"/>
      <c r="AD511" s="91"/>
      <c r="AE511" s="91"/>
      <c r="AF511" s="91"/>
      <c r="AG511" s="91"/>
      <c r="AH511" s="91"/>
      <c r="AI511" s="91"/>
      <c r="AL511" s="89"/>
      <c r="AM511" s="91"/>
      <c r="AN511" s="91"/>
      <c r="AP511" s="91"/>
      <c r="AQ511" s="91"/>
      <c r="AR511" s="91"/>
      <c r="AS511" s="91"/>
      <c r="AT511" s="91"/>
      <c r="BA511" s="91"/>
      <c r="BD511" s="89"/>
      <c r="BE511" s="89"/>
      <c r="BF511" s="91"/>
      <c r="BG511" s="91"/>
      <c r="BH511" s="91"/>
      <c r="BO511" s="91"/>
      <c r="BS511" s="91"/>
      <c r="BT511" s="91"/>
      <c r="BV511" s="91"/>
    </row>
    <row r="512" spans="1:74" x14ac:dyDescent="0.3">
      <c r="A512" s="89"/>
      <c r="B512" s="89"/>
      <c r="C512" s="91"/>
      <c r="D512" s="91"/>
      <c r="E512" s="91"/>
      <c r="F512" s="91"/>
      <c r="G512" s="91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89"/>
      <c r="Y512" s="89"/>
      <c r="Z512" s="91"/>
      <c r="AA512" s="91"/>
      <c r="AB512" s="91"/>
      <c r="AC512" s="91"/>
      <c r="AD512" s="91"/>
      <c r="AE512" s="91"/>
      <c r="AF512" s="91"/>
      <c r="AG512" s="91"/>
      <c r="AH512" s="91"/>
      <c r="AI512" s="91"/>
      <c r="AL512" s="89"/>
      <c r="AM512" s="91"/>
      <c r="AN512" s="91"/>
      <c r="AP512" s="91"/>
      <c r="AQ512" s="91"/>
      <c r="AR512" s="91"/>
      <c r="AS512" s="91"/>
      <c r="AT512" s="91"/>
      <c r="BA512" s="91"/>
      <c r="BD512" s="89"/>
      <c r="BE512" s="89"/>
      <c r="BF512" s="91"/>
      <c r="BG512" s="91"/>
      <c r="BH512" s="91"/>
      <c r="BO512" s="91"/>
      <c r="BS512" s="91"/>
      <c r="BT512" s="91"/>
      <c r="BV512" s="91"/>
    </row>
    <row r="513" spans="1:74" x14ac:dyDescent="0.3">
      <c r="A513" s="89"/>
      <c r="B513" s="89"/>
      <c r="C513" s="91"/>
      <c r="D513" s="91"/>
      <c r="E513" s="91"/>
      <c r="F513" s="91"/>
      <c r="G513" s="91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89"/>
      <c r="Y513" s="89"/>
      <c r="Z513" s="91"/>
      <c r="AA513" s="91"/>
      <c r="AB513" s="91"/>
      <c r="AC513" s="91"/>
      <c r="AD513" s="91"/>
      <c r="AE513" s="91"/>
      <c r="AF513" s="91"/>
      <c r="AG513" s="91"/>
      <c r="AH513" s="91"/>
      <c r="AI513" s="91"/>
      <c r="AL513" s="89"/>
      <c r="AM513" s="91"/>
      <c r="AN513" s="91"/>
      <c r="AP513" s="91"/>
      <c r="AQ513" s="91"/>
      <c r="AR513" s="91"/>
      <c r="AS513" s="91"/>
      <c r="AT513" s="91"/>
      <c r="BA513" s="91"/>
      <c r="BD513" s="89"/>
      <c r="BE513" s="89"/>
      <c r="BF513" s="91"/>
      <c r="BG513" s="91"/>
      <c r="BH513" s="91"/>
      <c r="BO513" s="91"/>
      <c r="BS513" s="91"/>
      <c r="BT513" s="91"/>
      <c r="BV513" s="91"/>
    </row>
    <row r="514" spans="1:74" x14ac:dyDescent="0.3">
      <c r="A514" s="89"/>
      <c r="B514" s="89"/>
      <c r="C514" s="91"/>
      <c r="D514" s="91"/>
      <c r="E514" s="91"/>
      <c r="F514" s="91"/>
      <c r="G514" s="91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89"/>
      <c r="Y514" s="89"/>
      <c r="Z514" s="91"/>
      <c r="AA514" s="91"/>
      <c r="AB514" s="91"/>
      <c r="AC514" s="91"/>
      <c r="AD514" s="91"/>
      <c r="AE514" s="91"/>
      <c r="AF514" s="91"/>
      <c r="AG514" s="91"/>
      <c r="AH514" s="91"/>
      <c r="AI514" s="91"/>
      <c r="AL514" s="89"/>
      <c r="AM514" s="91"/>
      <c r="AN514" s="91"/>
      <c r="AP514" s="91"/>
      <c r="AQ514" s="91"/>
      <c r="AR514" s="91"/>
      <c r="AS514" s="91"/>
      <c r="AT514" s="91"/>
      <c r="BA514" s="91"/>
      <c r="BD514" s="89"/>
      <c r="BE514" s="89"/>
      <c r="BF514" s="91"/>
      <c r="BG514" s="91"/>
      <c r="BH514" s="91"/>
      <c r="BO514" s="91"/>
      <c r="BS514" s="91"/>
      <c r="BT514" s="91"/>
      <c r="BV514" s="91"/>
    </row>
    <row r="515" spans="1:74" x14ac:dyDescent="0.3">
      <c r="A515" s="89"/>
      <c r="B515" s="89"/>
      <c r="C515" s="91"/>
      <c r="D515" s="91"/>
      <c r="E515" s="91"/>
      <c r="F515" s="91"/>
      <c r="G515" s="91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89"/>
      <c r="Y515" s="89"/>
      <c r="Z515" s="91"/>
      <c r="AA515" s="91"/>
      <c r="AB515" s="91"/>
      <c r="AC515" s="91"/>
      <c r="AD515" s="91"/>
      <c r="AE515" s="91"/>
      <c r="AF515" s="91"/>
      <c r="AG515" s="91"/>
      <c r="AH515" s="91"/>
      <c r="AI515" s="91"/>
      <c r="AL515" s="89"/>
      <c r="AM515" s="91"/>
      <c r="AN515" s="91"/>
      <c r="AP515" s="91"/>
      <c r="AQ515" s="91"/>
      <c r="AR515" s="91"/>
      <c r="AS515" s="91"/>
      <c r="AT515" s="91"/>
      <c r="BA515" s="91"/>
      <c r="BD515" s="89"/>
      <c r="BE515" s="89"/>
      <c r="BF515" s="91"/>
      <c r="BG515" s="91"/>
      <c r="BH515" s="91"/>
      <c r="BO515" s="91"/>
      <c r="BS515" s="91"/>
      <c r="BT515" s="91"/>
      <c r="BV515" s="91"/>
    </row>
    <row r="516" spans="1:74" x14ac:dyDescent="0.3">
      <c r="A516" s="89"/>
      <c r="B516" s="89"/>
      <c r="C516" s="91"/>
      <c r="D516" s="91"/>
      <c r="E516" s="91"/>
      <c r="F516" s="91"/>
      <c r="G516" s="91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89"/>
      <c r="Y516" s="89"/>
      <c r="Z516" s="91"/>
      <c r="AA516" s="91"/>
      <c r="AB516" s="91"/>
      <c r="AC516" s="91"/>
      <c r="AD516" s="91"/>
      <c r="AE516" s="91"/>
      <c r="AF516" s="91"/>
      <c r="AG516" s="91"/>
      <c r="AH516" s="91"/>
      <c r="AI516" s="91"/>
      <c r="AL516" s="89"/>
      <c r="AM516" s="91"/>
      <c r="AN516" s="91"/>
      <c r="AP516" s="91"/>
      <c r="AQ516" s="91"/>
      <c r="AR516" s="91"/>
      <c r="AS516" s="91"/>
      <c r="AT516" s="91"/>
      <c r="BA516" s="91"/>
      <c r="BD516" s="89"/>
      <c r="BE516" s="89"/>
      <c r="BF516" s="91"/>
      <c r="BG516" s="91"/>
      <c r="BH516" s="91"/>
      <c r="BO516" s="91"/>
      <c r="BS516" s="91"/>
      <c r="BT516" s="91"/>
      <c r="BV516" s="91"/>
    </row>
    <row r="517" spans="1:74" x14ac:dyDescent="0.3">
      <c r="A517" s="89"/>
      <c r="B517" s="89"/>
      <c r="C517" s="91"/>
      <c r="D517" s="91"/>
      <c r="E517" s="91"/>
      <c r="F517" s="91"/>
      <c r="G517" s="91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89"/>
      <c r="Y517" s="89"/>
      <c r="Z517" s="91"/>
      <c r="AA517" s="91"/>
      <c r="AB517" s="91"/>
      <c r="AC517" s="91"/>
      <c r="AD517" s="91"/>
      <c r="AE517" s="91"/>
      <c r="AF517" s="91"/>
      <c r="AG517" s="91"/>
      <c r="AH517" s="91"/>
      <c r="AI517" s="91"/>
      <c r="AL517" s="89"/>
      <c r="AM517" s="91"/>
      <c r="AN517" s="91"/>
      <c r="AP517" s="91"/>
      <c r="AQ517" s="91"/>
      <c r="AR517" s="91"/>
      <c r="AS517" s="91"/>
      <c r="AT517" s="91"/>
      <c r="BA517" s="91"/>
      <c r="BD517" s="89"/>
      <c r="BE517" s="89"/>
      <c r="BF517" s="91"/>
      <c r="BG517" s="91"/>
      <c r="BH517" s="91"/>
      <c r="BO517" s="91"/>
      <c r="BS517" s="91"/>
      <c r="BT517" s="91"/>
      <c r="BV517" s="91"/>
    </row>
    <row r="518" spans="1:74" x14ac:dyDescent="0.3">
      <c r="A518" s="89"/>
      <c r="B518" s="89"/>
      <c r="C518" s="91"/>
      <c r="D518" s="91"/>
      <c r="E518" s="91"/>
      <c r="F518" s="91"/>
      <c r="G518" s="91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89"/>
      <c r="Y518" s="89"/>
      <c r="Z518" s="91"/>
      <c r="AA518" s="91"/>
      <c r="AB518" s="91"/>
      <c r="AC518" s="91"/>
      <c r="AD518" s="91"/>
      <c r="AE518" s="91"/>
      <c r="AF518" s="91"/>
      <c r="AG518" s="91"/>
      <c r="AH518" s="91"/>
      <c r="AI518" s="91"/>
      <c r="AL518" s="89"/>
      <c r="AM518" s="91"/>
      <c r="AN518" s="91"/>
      <c r="AP518" s="91"/>
      <c r="AQ518" s="91"/>
      <c r="AR518" s="91"/>
      <c r="AS518" s="91"/>
      <c r="AT518" s="91"/>
      <c r="BA518" s="91"/>
      <c r="BD518" s="89"/>
      <c r="BE518" s="89"/>
      <c r="BF518" s="91"/>
      <c r="BG518" s="91"/>
      <c r="BH518" s="91"/>
      <c r="BO518" s="91"/>
      <c r="BS518" s="91"/>
      <c r="BT518" s="91"/>
      <c r="BV518" s="91"/>
    </row>
    <row r="519" spans="1:74" x14ac:dyDescent="0.3">
      <c r="A519" s="89"/>
      <c r="B519" s="89"/>
      <c r="C519" s="91"/>
      <c r="D519" s="91"/>
      <c r="E519" s="91"/>
      <c r="F519" s="91"/>
      <c r="G519" s="91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89"/>
      <c r="Y519" s="89"/>
      <c r="Z519" s="91"/>
      <c r="AA519" s="91"/>
      <c r="AB519" s="91"/>
      <c r="AC519" s="91"/>
      <c r="AD519" s="91"/>
      <c r="AE519" s="91"/>
      <c r="AF519" s="91"/>
      <c r="AG519" s="91"/>
      <c r="AH519" s="91"/>
      <c r="AI519" s="91"/>
      <c r="AL519" s="89"/>
      <c r="AM519" s="91"/>
      <c r="AN519" s="91"/>
      <c r="AP519" s="91"/>
      <c r="AQ519" s="91"/>
      <c r="AR519" s="91"/>
      <c r="AS519" s="91"/>
      <c r="AT519" s="91"/>
      <c r="BA519" s="91"/>
      <c r="BD519" s="89"/>
      <c r="BE519" s="89"/>
      <c r="BF519" s="91"/>
      <c r="BG519" s="91"/>
      <c r="BH519" s="91"/>
      <c r="BO519" s="91"/>
      <c r="BS519" s="91"/>
      <c r="BT519" s="91"/>
      <c r="BV519" s="91"/>
    </row>
    <row r="520" spans="1:74" x14ac:dyDescent="0.3">
      <c r="A520" s="89"/>
      <c r="B520" s="89"/>
      <c r="C520" s="91"/>
      <c r="D520" s="91"/>
      <c r="E520" s="91"/>
      <c r="F520" s="91"/>
      <c r="G520" s="91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89"/>
      <c r="Y520" s="89"/>
      <c r="Z520" s="91"/>
      <c r="AA520" s="91"/>
      <c r="AB520" s="91"/>
      <c r="AC520" s="91"/>
      <c r="AD520" s="91"/>
      <c r="AE520" s="91"/>
      <c r="AF520" s="91"/>
      <c r="AG520" s="91"/>
      <c r="AH520" s="91"/>
      <c r="AI520" s="91"/>
      <c r="AL520" s="89"/>
      <c r="AM520" s="91"/>
      <c r="AN520" s="91"/>
      <c r="AP520" s="91"/>
      <c r="AQ520" s="91"/>
      <c r="AR520" s="91"/>
      <c r="AS520" s="91"/>
      <c r="AT520" s="91"/>
      <c r="BA520" s="91"/>
      <c r="BD520" s="89"/>
      <c r="BE520" s="89"/>
      <c r="BF520" s="91"/>
      <c r="BG520" s="91"/>
      <c r="BH520" s="91"/>
      <c r="BO520" s="91"/>
      <c r="BS520" s="91"/>
      <c r="BT520" s="91"/>
      <c r="BV520" s="91"/>
    </row>
    <row r="521" spans="1:74" x14ac:dyDescent="0.3">
      <c r="A521" s="89"/>
      <c r="B521" s="89"/>
      <c r="C521" s="91"/>
      <c r="D521" s="91"/>
      <c r="E521" s="91"/>
      <c r="F521" s="91"/>
      <c r="G521" s="91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89"/>
      <c r="Y521" s="89"/>
      <c r="Z521" s="91"/>
      <c r="AA521" s="91"/>
      <c r="AB521" s="91"/>
      <c r="AC521" s="91"/>
      <c r="AD521" s="91"/>
      <c r="AE521" s="91"/>
      <c r="AF521" s="91"/>
      <c r="AG521" s="91"/>
      <c r="AH521" s="91"/>
      <c r="AI521" s="91"/>
      <c r="AL521" s="89"/>
      <c r="AM521" s="91"/>
      <c r="AN521" s="91"/>
      <c r="AP521" s="91"/>
      <c r="AQ521" s="91"/>
      <c r="AR521" s="91"/>
      <c r="AS521" s="91"/>
      <c r="AT521" s="91"/>
      <c r="BA521" s="91"/>
      <c r="BD521" s="89"/>
      <c r="BE521" s="89"/>
      <c r="BF521" s="91"/>
      <c r="BG521" s="91"/>
      <c r="BH521" s="91"/>
      <c r="BO521" s="91"/>
      <c r="BS521" s="91"/>
      <c r="BT521" s="91"/>
      <c r="BV521" s="91"/>
    </row>
    <row r="522" spans="1:74" x14ac:dyDescent="0.3">
      <c r="A522" s="89"/>
      <c r="B522" s="89"/>
      <c r="C522" s="91"/>
      <c r="D522" s="91"/>
      <c r="E522" s="91"/>
      <c r="F522" s="91"/>
      <c r="G522" s="91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89"/>
      <c r="Y522" s="89"/>
      <c r="Z522" s="91"/>
      <c r="AA522" s="91"/>
      <c r="AB522" s="91"/>
      <c r="AC522" s="91"/>
      <c r="AD522" s="91"/>
      <c r="AE522" s="91"/>
      <c r="AF522" s="91"/>
      <c r="AG522" s="91"/>
      <c r="AH522" s="91"/>
      <c r="AI522" s="91"/>
      <c r="AL522" s="89"/>
      <c r="AM522" s="91"/>
      <c r="AN522" s="91"/>
      <c r="AP522" s="91"/>
      <c r="AQ522" s="91"/>
      <c r="AR522" s="91"/>
      <c r="AS522" s="91"/>
      <c r="AT522" s="91"/>
      <c r="BA522" s="91"/>
      <c r="BD522" s="89"/>
      <c r="BE522" s="89"/>
      <c r="BF522" s="91"/>
      <c r="BG522" s="91"/>
      <c r="BH522" s="91"/>
      <c r="BO522" s="91"/>
      <c r="BS522" s="91"/>
      <c r="BT522" s="91"/>
      <c r="BV522" s="91"/>
    </row>
    <row r="523" spans="1:74" x14ac:dyDescent="0.3">
      <c r="A523" s="89"/>
      <c r="B523" s="89"/>
      <c r="C523" s="91"/>
      <c r="D523" s="91"/>
      <c r="E523" s="91"/>
      <c r="F523" s="91"/>
      <c r="G523" s="91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89"/>
      <c r="Y523" s="89"/>
      <c r="Z523" s="91"/>
      <c r="AA523" s="91"/>
      <c r="AB523" s="91"/>
      <c r="AC523" s="91"/>
      <c r="AD523" s="91"/>
      <c r="AE523" s="91"/>
      <c r="AF523" s="91"/>
      <c r="AG523" s="91"/>
      <c r="AH523" s="91"/>
      <c r="AI523" s="91"/>
      <c r="AL523" s="89"/>
      <c r="AM523" s="91"/>
      <c r="AN523" s="91"/>
      <c r="AP523" s="91"/>
      <c r="AQ523" s="91"/>
      <c r="AR523" s="91"/>
      <c r="AS523" s="91"/>
      <c r="AT523" s="91"/>
      <c r="BA523" s="91"/>
      <c r="BD523" s="89"/>
      <c r="BE523" s="89"/>
      <c r="BF523" s="91"/>
      <c r="BG523" s="91"/>
      <c r="BH523" s="91"/>
      <c r="BO523" s="91"/>
      <c r="BS523" s="91"/>
      <c r="BT523" s="91"/>
      <c r="BV523" s="91"/>
    </row>
    <row r="524" spans="1:74" x14ac:dyDescent="0.3">
      <c r="A524" s="89"/>
      <c r="B524" s="89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89"/>
      <c r="Y524" s="89"/>
      <c r="Z524" s="91"/>
      <c r="AA524" s="91"/>
      <c r="AB524" s="91"/>
      <c r="AC524" s="91"/>
      <c r="AD524" s="91"/>
      <c r="AE524" s="91"/>
      <c r="AF524" s="91"/>
      <c r="AG524" s="91"/>
      <c r="AH524" s="91"/>
      <c r="AI524" s="91"/>
      <c r="AL524" s="89"/>
      <c r="AM524" s="91"/>
      <c r="AN524" s="91"/>
      <c r="AP524" s="91"/>
      <c r="AQ524" s="91"/>
      <c r="AR524" s="91"/>
      <c r="AS524" s="91"/>
      <c r="AT524" s="91"/>
      <c r="BA524" s="91"/>
      <c r="BD524" s="89"/>
      <c r="BE524" s="89"/>
      <c r="BF524" s="91"/>
      <c r="BG524" s="91"/>
      <c r="BH524" s="91"/>
      <c r="BO524" s="91"/>
      <c r="BS524" s="91"/>
      <c r="BT524" s="91"/>
      <c r="BV524" s="91"/>
    </row>
    <row r="525" spans="1:74" x14ac:dyDescent="0.3">
      <c r="A525" s="89"/>
      <c r="B525" s="89"/>
      <c r="C525" s="91"/>
      <c r="D525" s="91"/>
      <c r="E525" s="91"/>
      <c r="F525" s="91"/>
      <c r="G525" s="91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89"/>
      <c r="Y525" s="89"/>
      <c r="Z525" s="91"/>
      <c r="AA525" s="91"/>
      <c r="AB525" s="91"/>
      <c r="AC525" s="91"/>
      <c r="AD525" s="91"/>
      <c r="AE525" s="91"/>
      <c r="AF525" s="91"/>
      <c r="AG525" s="91"/>
      <c r="AH525" s="91"/>
      <c r="AI525" s="91"/>
      <c r="AL525" s="89"/>
      <c r="AM525" s="91"/>
      <c r="AN525" s="91"/>
      <c r="AP525" s="91"/>
      <c r="AQ525" s="91"/>
      <c r="AR525" s="91"/>
      <c r="AS525" s="91"/>
      <c r="AT525" s="91"/>
      <c r="BA525" s="91"/>
      <c r="BD525" s="89"/>
      <c r="BE525" s="89"/>
      <c r="BF525" s="91"/>
      <c r="BG525" s="91"/>
      <c r="BH525" s="91"/>
      <c r="BO525" s="91"/>
      <c r="BS525" s="91"/>
      <c r="BT525" s="91"/>
      <c r="BV525" s="91"/>
    </row>
    <row r="526" spans="1:74" x14ac:dyDescent="0.3">
      <c r="A526" s="89"/>
      <c r="B526" s="89"/>
      <c r="C526" s="91"/>
      <c r="D526" s="91"/>
      <c r="E526" s="91"/>
      <c r="F526" s="91"/>
      <c r="G526" s="91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89"/>
      <c r="Y526" s="89"/>
      <c r="Z526" s="91"/>
      <c r="AA526" s="91"/>
      <c r="AB526" s="91"/>
      <c r="AC526" s="91"/>
      <c r="AD526" s="91"/>
      <c r="AE526" s="91"/>
      <c r="AF526" s="91"/>
      <c r="AG526" s="91"/>
      <c r="AH526" s="91"/>
      <c r="AI526" s="91"/>
      <c r="AL526" s="89"/>
      <c r="AM526" s="91"/>
      <c r="AN526" s="91"/>
      <c r="AP526" s="91"/>
      <c r="AQ526" s="91"/>
      <c r="AR526" s="91"/>
      <c r="AS526" s="91"/>
      <c r="AT526" s="91"/>
      <c r="BA526" s="91"/>
      <c r="BD526" s="89"/>
      <c r="BE526" s="89"/>
      <c r="BF526" s="91"/>
      <c r="BG526" s="91"/>
      <c r="BH526" s="91"/>
      <c r="BO526" s="91"/>
      <c r="BS526" s="91"/>
      <c r="BT526" s="91"/>
      <c r="BV526" s="91"/>
    </row>
    <row r="527" spans="1:74" x14ac:dyDescent="0.3">
      <c r="A527" s="89"/>
      <c r="B527" s="89"/>
      <c r="C527" s="91"/>
      <c r="D527" s="91"/>
      <c r="E527" s="91"/>
      <c r="F527" s="91"/>
      <c r="G527" s="91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89"/>
      <c r="Y527" s="89"/>
      <c r="Z527" s="91"/>
      <c r="AA527" s="91"/>
      <c r="AB527" s="91"/>
      <c r="AC527" s="91"/>
      <c r="AD527" s="91"/>
      <c r="AE527" s="91"/>
      <c r="AF527" s="91"/>
      <c r="AG527" s="91"/>
      <c r="AH527" s="91"/>
      <c r="AI527" s="91"/>
      <c r="AL527" s="89"/>
      <c r="AM527" s="91"/>
      <c r="AN527" s="91"/>
      <c r="AP527" s="91"/>
      <c r="AQ527" s="91"/>
      <c r="AR527" s="91"/>
      <c r="AS527" s="91"/>
      <c r="AT527" s="91"/>
      <c r="BA527" s="91"/>
      <c r="BD527" s="89"/>
      <c r="BE527" s="89"/>
      <c r="BF527" s="91"/>
      <c r="BG527" s="91"/>
      <c r="BH527" s="91"/>
      <c r="BO527" s="91"/>
      <c r="BS527" s="91"/>
      <c r="BT527" s="91"/>
      <c r="BV527" s="91"/>
    </row>
    <row r="528" spans="1:74" x14ac:dyDescent="0.3">
      <c r="A528" s="89"/>
      <c r="B528" s="89"/>
      <c r="C528" s="91"/>
      <c r="D528" s="91"/>
      <c r="E528" s="91"/>
      <c r="F528" s="91"/>
      <c r="G528" s="91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89"/>
      <c r="Y528" s="89"/>
      <c r="Z528" s="91"/>
      <c r="AA528" s="91"/>
      <c r="AB528" s="91"/>
      <c r="AC528" s="91"/>
      <c r="AD528" s="91"/>
      <c r="AE528" s="91"/>
      <c r="AF528" s="91"/>
      <c r="AG528" s="91"/>
      <c r="AH528" s="91"/>
      <c r="AI528" s="91"/>
      <c r="AL528" s="89"/>
      <c r="AM528" s="91"/>
      <c r="AN528" s="91"/>
      <c r="AP528" s="91"/>
      <c r="AQ528" s="91"/>
      <c r="AR528" s="91"/>
      <c r="AS528" s="91"/>
      <c r="AT528" s="91"/>
      <c r="BA528" s="91"/>
      <c r="BD528" s="89"/>
      <c r="BE528" s="89"/>
      <c r="BF528" s="91"/>
      <c r="BG528" s="91"/>
      <c r="BH528" s="91"/>
      <c r="BO528" s="91"/>
      <c r="BS528" s="91"/>
      <c r="BT528" s="91"/>
      <c r="BV528" s="91"/>
    </row>
    <row r="529" spans="1:74" x14ac:dyDescent="0.3">
      <c r="A529" s="89"/>
      <c r="B529" s="89"/>
      <c r="C529" s="91"/>
      <c r="D529" s="91"/>
      <c r="E529" s="91"/>
      <c r="F529" s="91"/>
      <c r="G529" s="91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89"/>
      <c r="Y529" s="89"/>
      <c r="Z529" s="91"/>
      <c r="AA529" s="91"/>
      <c r="AB529" s="91"/>
      <c r="AC529" s="91"/>
      <c r="AD529" s="91"/>
      <c r="AE529" s="91"/>
      <c r="AF529" s="91"/>
      <c r="AG529" s="91"/>
      <c r="AH529" s="91"/>
      <c r="AI529" s="91"/>
      <c r="AL529" s="89"/>
      <c r="AM529" s="91"/>
      <c r="AN529" s="91"/>
      <c r="AP529" s="91"/>
      <c r="AQ529" s="91"/>
      <c r="AR529" s="91"/>
      <c r="AS529" s="91"/>
      <c r="AT529" s="91"/>
      <c r="BA529" s="91"/>
      <c r="BD529" s="89"/>
      <c r="BE529" s="89"/>
      <c r="BF529" s="91"/>
      <c r="BG529" s="91"/>
      <c r="BH529" s="91"/>
      <c r="BO529" s="91"/>
      <c r="BS529" s="91"/>
      <c r="BT529" s="91"/>
      <c r="BV529" s="91"/>
    </row>
    <row r="530" spans="1:74" x14ac:dyDescent="0.3">
      <c r="A530" s="89"/>
      <c r="B530" s="89"/>
      <c r="C530" s="91"/>
      <c r="D530" s="91"/>
      <c r="E530" s="91"/>
      <c r="F530" s="91"/>
      <c r="G530" s="91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89"/>
      <c r="Y530" s="89"/>
      <c r="Z530" s="91"/>
      <c r="AA530" s="91"/>
      <c r="AB530" s="91"/>
      <c r="AC530" s="91"/>
      <c r="AD530" s="91"/>
      <c r="AE530" s="91"/>
      <c r="AF530" s="91"/>
      <c r="AG530" s="91"/>
      <c r="AH530" s="91"/>
      <c r="AI530" s="91"/>
      <c r="AL530" s="89"/>
      <c r="AM530" s="91"/>
      <c r="AN530" s="91"/>
      <c r="AP530" s="91"/>
      <c r="AQ530" s="91"/>
      <c r="AR530" s="91"/>
      <c r="AS530" s="91"/>
      <c r="AT530" s="91"/>
      <c r="BA530" s="91"/>
      <c r="BD530" s="89"/>
      <c r="BE530" s="89"/>
      <c r="BF530" s="91"/>
      <c r="BG530" s="91"/>
      <c r="BH530" s="91"/>
      <c r="BO530" s="91"/>
      <c r="BS530" s="91"/>
      <c r="BT530" s="91"/>
      <c r="BV530" s="91"/>
    </row>
    <row r="531" spans="1:74" x14ac:dyDescent="0.3">
      <c r="A531" s="89"/>
      <c r="B531" s="89"/>
      <c r="C531" s="91"/>
      <c r="D531" s="91"/>
      <c r="E531" s="91"/>
      <c r="F531" s="91"/>
      <c r="G531" s="91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89"/>
      <c r="Y531" s="89"/>
      <c r="Z531" s="91"/>
      <c r="AA531" s="91"/>
      <c r="AB531" s="91"/>
      <c r="AC531" s="91"/>
      <c r="AD531" s="91"/>
      <c r="AE531" s="91"/>
      <c r="AF531" s="91"/>
      <c r="AG531" s="91"/>
      <c r="AH531" s="91"/>
      <c r="AI531" s="91"/>
      <c r="AL531" s="89"/>
      <c r="AM531" s="91"/>
      <c r="AN531" s="91"/>
      <c r="AP531" s="91"/>
      <c r="AQ531" s="91"/>
      <c r="AR531" s="91"/>
      <c r="AS531" s="91"/>
      <c r="AT531" s="91"/>
      <c r="BA531" s="91"/>
      <c r="BD531" s="89"/>
      <c r="BE531" s="89"/>
      <c r="BF531" s="91"/>
      <c r="BG531" s="91"/>
      <c r="BH531" s="91"/>
      <c r="BO531" s="91"/>
      <c r="BS531" s="91"/>
      <c r="BT531" s="91"/>
      <c r="BV531" s="91"/>
    </row>
    <row r="532" spans="1:74" x14ac:dyDescent="0.3">
      <c r="A532" s="89"/>
      <c r="B532" s="89"/>
      <c r="C532" s="91"/>
      <c r="D532" s="91"/>
      <c r="E532" s="91"/>
      <c r="F532" s="91"/>
      <c r="G532" s="91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89"/>
      <c r="Y532" s="89"/>
      <c r="Z532" s="91"/>
      <c r="AA532" s="91"/>
      <c r="AB532" s="91"/>
      <c r="AC532" s="91"/>
      <c r="AD532" s="91"/>
      <c r="AE532" s="91"/>
      <c r="AF532" s="91"/>
      <c r="AG532" s="91"/>
      <c r="AH532" s="91"/>
      <c r="AI532" s="91"/>
      <c r="AL532" s="89"/>
      <c r="AM532" s="91"/>
      <c r="AN532" s="91"/>
      <c r="AP532" s="91"/>
      <c r="AQ532" s="91"/>
      <c r="AR532" s="91"/>
      <c r="AS532" s="91"/>
      <c r="AT532" s="91"/>
      <c r="BA532" s="91"/>
      <c r="BD532" s="89"/>
      <c r="BE532" s="89"/>
      <c r="BF532" s="91"/>
      <c r="BG532" s="91"/>
      <c r="BH532" s="91"/>
      <c r="BO532" s="91"/>
      <c r="BS532" s="91"/>
      <c r="BT532" s="91"/>
      <c r="BV532" s="91"/>
    </row>
    <row r="533" spans="1:74" x14ac:dyDescent="0.3">
      <c r="A533" s="89"/>
      <c r="B533" s="89"/>
      <c r="C533" s="91"/>
      <c r="D533" s="91"/>
      <c r="E533" s="91"/>
      <c r="F533" s="91"/>
      <c r="G533" s="91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89"/>
      <c r="Y533" s="89"/>
      <c r="Z533" s="91"/>
      <c r="AA533" s="91"/>
      <c r="AB533" s="91"/>
      <c r="AC533" s="91"/>
      <c r="AD533" s="91"/>
      <c r="AE533" s="91"/>
      <c r="AF533" s="91"/>
      <c r="AG533" s="91"/>
      <c r="AH533" s="91"/>
      <c r="AI533" s="91"/>
      <c r="AL533" s="89"/>
      <c r="AM533" s="91"/>
      <c r="AN533" s="91"/>
      <c r="AP533" s="91"/>
      <c r="AQ533" s="91"/>
      <c r="AR533" s="91"/>
      <c r="AS533" s="91"/>
      <c r="AT533" s="91"/>
      <c r="BA533" s="91"/>
      <c r="BD533" s="89"/>
      <c r="BE533" s="89"/>
      <c r="BF533" s="91"/>
      <c r="BG533" s="91"/>
      <c r="BH533" s="91"/>
      <c r="BO533" s="91"/>
      <c r="BS533" s="91"/>
      <c r="BT533" s="91"/>
      <c r="BV533" s="91"/>
    </row>
    <row r="534" spans="1:74" x14ac:dyDescent="0.3">
      <c r="A534" s="89"/>
      <c r="B534" s="89"/>
      <c r="C534" s="91"/>
      <c r="D534" s="91"/>
      <c r="E534" s="91"/>
      <c r="F534" s="91"/>
      <c r="G534" s="91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89"/>
      <c r="Y534" s="89"/>
      <c r="Z534" s="91"/>
      <c r="AA534" s="91"/>
      <c r="AB534" s="91"/>
      <c r="AC534" s="91"/>
      <c r="AD534" s="91"/>
      <c r="AE534" s="91"/>
      <c r="AF534" s="91"/>
      <c r="AG534" s="91"/>
      <c r="AH534" s="91"/>
      <c r="AI534" s="91"/>
      <c r="AL534" s="89"/>
      <c r="AM534" s="91"/>
      <c r="AN534" s="91"/>
      <c r="AP534" s="91"/>
      <c r="AQ534" s="91"/>
      <c r="AR534" s="91"/>
      <c r="AS534" s="91"/>
      <c r="AT534" s="91"/>
      <c r="BA534" s="91"/>
      <c r="BD534" s="89"/>
      <c r="BE534" s="89"/>
      <c r="BF534" s="91"/>
      <c r="BG534" s="91"/>
      <c r="BH534" s="91"/>
      <c r="BO534" s="91"/>
      <c r="BS534" s="91"/>
      <c r="BT534" s="91"/>
      <c r="BV534" s="91"/>
    </row>
    <row r="535" spans="1:74" x14ac:dyDescent="0.3">
      <c r="A535" s="89"/>
      <c r="B535" s="89"/>
      <c r="C535" s="91"/>
      <c r="D535" s="91"/>
      <c r="E535" s="91"/>
      <c r="F535" s="91"/>
      <c r="G535" s="91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89"/>
      <c r="Y535" s="89"/>
      <c r="Z535" s="91"/>
      <c r="AA535" s="91"/>
      <c r="AB535" s="91"/>
      <c r="AC535" s="91"/>
      <c r="AD535" s="91"/>
      <c r="AE535" s="91"/>
      <c r="AF535" s="91"/>
      <c r="AG535" s="91"/>
      <c r="AH535" s="91"/>
      <c r="AI535" s="91"/>
      <c r="AL535" s="89"/>
      <c r="AM535" s="91"/>
      <c r="AN535" s="91"/>
      <c r="AP535" s="91"/>
      <c r="AQ535" s="91"/>
      <c r="AR535" s="91"/>
      <c r="AS535" s="91"/>
      <c r="AT535" s="91"/>
      <c r="BA535" s="91"/>
      <c r="BD535" s="89"/>
      <c r="BE535" s="89"/>
      <c r="BF535" s="91"/>
      <c r="BG535" s="91"/>
      <c r="BH535" s="91"/>
      <c r="BO535" s="91"/>
      <c r="BS535" s="91"/>
      <c r="BT535" s="91"/>
      <c r="BV535" s="91"/>
    </row>
    <row r="536" spans="1:74" x14ac:dyDescent="0.3">
      <c r="A536" s="89"/>
      <c r="B536" s="89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89"/>
      <c r="Y536" s="89"/>
      <c r="Z536" s="91"/>
      <c r="AA536" s="91"/>
      <c r="AB536" s="91"/>
      <c r="AC536" s="91"/>
      <c r="AD536" s="91"/>
      <c r="AE536" s="91"/>
      <c r="AF536" s="91"/>
      <c r="AG536" s="91"/>
      <c r="AH536" s="91"/>
      <c r="AI536" s="91"/>
      <c r="AL536" s="89"/>
      <c r="AM536" s="91"/>
      <c r="AN536" s="91"/>
      <c r="AP536" s="91"/>
      <c r="AQ536" s="91"/>
      <c r="AR536" s="91"/>
      <c r="AS536" s="91"/>
      <c r="AT536" s="91"/>
      <c r="BA536" s="91"/>
      <c r="BD536" s="89"/>
      <c r="BE536" s="89"/>
      <c r="BF536" s="91"/>
      <c r="BG536" s="91"/>
      <c r="BH536" s="91"/>
      <c r="BO536" s="91"/>
      <c r="BS536" s="91"/>
      <c r="BT536" s="91"/>
      <c r="BV536" s="91"/>
    </row>
    <row r="537" spans="1:74" x14ac:dyDescent="0.3">
      <c r="A537" s="89"/>
      <c r="B537" s="89"/>
      <c r="C537" s="91"/>
      <c r="D537" s="91"/>
      <c r="E537" s="91"/>
      <c r="F537" s="91"/>
      <c r="G537" s="91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89"/>
      <c r="Y537" s="89"/>
      <c r="Z537" s="91"/>
      <c r="AA537" s="91"/>
      <c r="AB537" s="91"/>
      <c r="AC537" s="91"/>
      <c r="AD537" s="91"/>
      <c r="AE537" s="91"/>
      <c r="AF537" s="91"/>
      <c r="AG537" s="91"/>
      <c r="AH537" s="91"/>
      <c r="AI537" s="91"/>
      <c r="AL537" s="89"/>
      <c r="AM537" s="91"/>
      <c r="AN537" s="91"/>
      <c r="AP537" s="91"/>
      <c r="AQ537" s="91"/>
      <c r="AR537" s="91"/>
      <c r="AS537" s="91"/>
      <c r="AT537" s="91"/>
      <c r="BA537" s="91"/>
      <c r="BD537" s="89"/>
      <c r="BE537" s="89"/>
      <c r="BF537" s="91"/>
      <c r="BG537" s="91"/>
      <c r="BH537" s="91"/>
      <c r="BO537" s="91"/>
      <c r="BS537" s="91"/>
      <c r="BT537" s="91"/>
      <c r="BV537" s="91"/>
    </row>
    <row r="538" spans="1:74" x14ac:dyDescent="0.3">
      <c r="A538" s="89"/>
      <c r="B538" s="89"/>
      <c r="C538" s="91"/>
      <c r="D538" s="91"/>
      <c r="E538" s="91"/>
      <c r="F538" s="91"/>
      <c r="G538" s="91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89"/>
      <c r="Y538" s="89"/>
      <c r="Z538" s="91"/>
      <c r="AA538" s="91"/>
      <c r="AB538" s="91"/>
      <c r="AC538" s="91"/>
      <c r="AD538" s="91"/>
      <c r="AE538" s="91"/>
      <c r="AF538" s="91"/>
      <c r="AG538" s="91"/>
      <c r="AH538" s="91"/>
      <c r="AI538" s="91"/>
      <c r="AL538" s="89"/>
      <c r="AM538" s="91"/>
      <c r="AN538" s="91"/>
      <c r="AP538" s="91"/>
      <c r="AQ538" s="91"/>
      <c r="AR538" s="91"/>
      <c r="AS538" s="91"/>
      <c r="AT538" s="91"/>
      <c r="BA538" s="91"/>
      <c r="BD538" s="89"/>
      <c r="BE538" s="89"/>
      <c r="BF538" s="91"/>
      <c r="BG538" s="91"/>
      <c r="BH538" s="91"/>
      <c r="BO538" s="91"/>
      <c r="BS538" s="91"/>
      <c r="BT538" s="91"/>
      <c r="BV538" s="91"/>
    </row>
    <row r="539" spans="1:74" x14ac:dyDescent="0.3">
      <c r="A539" s="89"/>
      <c r="B539" s="89"/>
      <c r="C539" s="91"/>
      <c r="D539" s="91"/>
      <c r="E539" s="91"/>
      <c r="F539" s="91"/>
      <c r="G539" s="91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89"/>
      <c r="Y539" s="89"/>
      <c r="Z539" s="91"/>
      <c r="AA539" s="91"/>
      <c r="AB539" s="91"/>
      <c r="AC539" s="91"/>
      <c r="AD539" s="91"/>
      <c r="AE539" s="91"/>
      <c r="AF539" s="91"/>
      <c r="AG539" s="91"/>
      <c r="AH539" s="91"/>
      <c r="AI539" s="91"/>
      <c r="AL539" s="89"/>
      <c r="AM539" s="91"/>
      <c r="AN539" s="91"/>
      <c r="AP539" s="91"/>
      <c r="AQ539" s="91"/>
      <c r="AR539" s="91"/>
      <c r="AS539" s="91"/>
      <c r="AT539" s="91"/>
      <c r="BA539" s="91"/>
      <c r="BD539" s="89"/>
      <c r="BE539" s="89"/>
      <c r="BF539" s="91"/>
      <c r="BG539" s="91"/>
      <c r="BH539" s="91"/>
      <c r="BO539" s="91"/>
      <c r="BS539" s="91"/>
      <c r="BT539" s="91"/>
      <c r="BV539" s="91"/>
    </row>
    <row r="540" spans="1:74" x14ac:dyDescent="0.3">
      <c r="A540" s="89"/>
      <c r="B540" s="89"/>
      <c r="C540" s="91"/>
      <c r="D540" s="91"/>
      <c r="E540" s="91"/>
      <c r="F540" s="91"/>
      <c r="G540" s="91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89"/>
      <c r="Y540" s="89"/>
      <c r="Z540" s="91"/>
      <c r="AA540" s="91"/>
      <c r="AB540" s="91"/>
      <c r="AC540" s="91"/>
      <c r="AD540" s="91"/>
      <c r="AE540" s="91"/>
      <c r="AF540" s="91"/>
      <c r="AG540" s="91"/>
      <c r="AH540" s="91"/>
      <c r="AI540" s="91"/>
      <c r="AL540" s="89"/>
      <c r="AM540" s="91"/>
      <c r="AN540" s="91"/>
      <c r="AP540" s="91"/>
      <c r="AQ540" s="91"/>
      <c r="AR540" s="91"/>
      <c r="AS540" s="91"/>
      <c r="AT540" s="91"/>
      <c r="BA540" s="91"/>
      <c r="BD540" s="89"/>
      <c r="BE540" s="89"/>
      <c r="BF540" s="91"/>
      <c r="BG540" s="91"/>
      <c r="BH540" s="91"/>
      <c r="BO540" s="91"/>
      <c r="BS540" s="91"/>
      <c r="BT540" s="91"/>
      <c r="BV540" s="91"/>
    </row>
    <row r="541" spans="1:74" x14ac:dyDescent="0.3">
      <c r="A541" s="89"/>
      <c r="B541" s="89"/>
      <c r="C541" s="91"/>
      <c r="D541" s="91"/>
      <c r="E541" s="91"/>
      <c r="F541" s="91"/>
      <c r="G541" s="91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89"/>
      <c r="Y541" s="89"/>
      <c r="Z541" s="91"/>
      <c r="AA541" s="91"/>
      <c r="AB541" s="91"/>
      <c r="AC541" s="91"/>
      <c r="AD541" s="91"/>
      <c r="AE541" s="91"/>
      <c r="AF541" s="91"/>
      <c r="AG541" s="91"/>
      <c r="AH541" s="91"/>
      <c r="AI541" s="91"/>
      <c r="AL541" s="89"/>
      <c r="AM541" s="91"/>
      <c r="AN541" s="91"/>
      <c r="AP541" s="91"/>
      <c r="AQ541" s="91"/>
      <c r="AR541" s="91"/>
      <c r="AS541" s="91"/>
      <c r="AT541" s="91"/>
      <c r="BA541" s="91"/>
      <c r="BD541" s="89"/>
      <c r="BE541" s="89"/>
      <c r="BF541" s="91"/>
      <c r="BG541" s="91"/>
      <c r="BH541" s="91"/>
      <c r="BO541" s="91"/>
      <c r="BS541" s="91"/>
      <c r="BT541" s="91"/>
      <c r="BV541" s="91"/>
    </row>
    <row r="542" spans="1:74" x14ac:dyDescent="0.3">
      <c r="A542" s="89"/>
      <c r="B542" s="89"/>
      <c r="C542" s="91"/>
      <c r="D542" s="91"/>
      <c r="E542" s="91"/>
      <c r="F542" s="91"/>
      <c r="G542" s="91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89"/>
      <c r="Y542" s="89"/>
      <c r="Z542" s="91"/>
      <c r="AA542" s="91"/>
      <c r="AB542" s="91"/>
      <c r="AC542" s="91"/>
      <c r="AD542" s="91"/>
      <c r="AE542" s="91"/>
      <c r="AF542" s="91"/>
      <c r="AG542" s="91"/>
      <c r="AH542" s="91"/>
      <c r="AI542" s="91"/>
      <c r="AL542" s="89"/>
      <c r="AM542" s="91"/>
      <c r="AN542" s="91"/>
      <c r="AP542" s="91"/>
      <c r="AQ542" s="91"/>
      <c r="AR542" s="91"/>
      <c r="AS542" s="91"/>
      <c r="AT542" s="91"/>
      <c r="BA542" s="91"/>
      <c r="BD542" s="89"/>
      <c r="BE542" s="89"/>
      <c r="BF542" s="91"/>
      <c r="BG542" s="91"/>
      <c r="BH542" s="91"/>
      <c r="BO542" s="91"/>
      <c r="BS542" s="91"/>
      <c r="BT542" s="91"/>
      <c r="BV542" s="91"/>
    </row>
    <row r="543" spans="1:74" x14ac:dyDescent="0.3">
      <c r="A543" s="89"/>
      <c r="B543" s="89"/>
      <c r="C543" s="91"/>
      <c r="D543" s="91"/>
      <c r="E543" s="91"/>
      <c r="F543" s="91"/>
      <c r="G543" s="91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89"/>
      <c r="Y543" s="89"/>
      <c r="Z543" s="91"/>
      <c r="AA543" s="91"/>
      <c r="AB543" s="91"/>
      <c r="AC543" s="91"/>
      <c r="AD543" s="91"/>
      <c r="AE543" s="91"/>
      <c r="AF543" s="91"/>
      <c r="AG543" s="91"/>
      <c r="AH543" s="91"/>
      <c r="AI543" s="91"/>
      <c r="AL543" s="89"/>
      <c r="AM543" s="91"/>
      <c r="AN543" s="91"/>
      <c r="AP543" s="91"/>
      <c r="AQ543" s="91"/>
      <c r="AR543" s="91"/>
      <c r="AS543" s="91"/>
      <c r="AT543" s="91"/>
      <c r="BA543" s="91"/>
      <c r="BD543" s="89"/>
      <c r="BE543" s="89"/>
      <c r="BF543" s="91"/>
      <c r="BG543" s="91"/>
      <c r="BH543" s="91"/>
      <c r="BO543" s="91"/>
      <c r="BS543" s="91"/>
      <c r="BT543" s="91"/>
      <c r="BV543" s="91"/>
    </row>
    <row r="544" spans="1:74" x14ac:dyDescent="0.3">
      <c r="A544" s="89"/>
      <c r="B544" s="89"/>
      <c r="C544" s="91"/>
      <c r="D544" s="91"/>
      <c r="E544" s="91"/>
      <c r="F544" s="91"/>
      <c r="G544" s="91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89"/>
      <c r="Y544" s="89"/>
      <c r="Z544" s="91"/>
      <c r="AA544" s="91"/>
      <c r="AB544" s="91"/>
      <c r="AC544" s="91"/>
      <c r="AD544" s="91"/>
      <c r="AE544" s="91"/>
      <c r="AF544" s="91"/>
      <c r="AG544" s="91"/>
      <c r="AH544" s="91"/>
      <c r="AI544" s="91"/>
      <c r="AL544" s="89"/>
      <c r="AM544" s="91"/>
      <c r="AN544" s="91"/>
      <c r="AP544" s="91"/>
      <c r="AQ544" s="91"/>
      <c r="AR544" s="91"/>
      <c r="AS544" s="91"/>
      <c r="AT544" s="91"/>
      <c r="BA544" s="91"/>
      <c r="BD544" s="89"/>
      <c r="BE544" s="89"/>
      <c r="BF544" s="91"/>
      <c r="BG544" s="91"/>
      <c r="BH544" s="91"/>
      <c r="BO544" s="91"/>
      <c r="BS544" s="91"/>
      <c r="BT544" s="91"/>
      <c r="BV544" s="91"/>
    </row>
    <row r="545" spans="1:74" x14ac:dyDescent="0.3">
      <c r="A545" s="89"/>
      <c r="B545" s="89"/>
      <c r="C545" s="91"/>
      <c r="D545" s="91"/>
      <c r="E545" s="91"/>
      <c r="F545" s="91"/>
      <c r="G545" s="91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89"/>
      <c r="Y545" s="89"/>
      <c r="Z545" s="91"/>
      <c r="AA545" s="91"/>
      <c r="AB545" s="91"/>
      <c r="AC545" s="91"/>
      <c r="AD545" s="91"/>
      <c r="AE545" s="91"/>
      <c r="AF545" s="91"/>
      <c r="AG545" s="91"/>
      <c r="AH545" s="91"/>
      <c r="AI545" s="91"/>
      <c r="AL545" s="89"/>
      <c r="AM545" s="91"/>
      <c r="AN545" s="91"/>
      <c r="AP545" s="91"/>
      <c r="AQ545" s="91"/>
      <c r="AR545" s="91"/>
      <c r="AS545" s="91"/>
      <c r="AT545" s="91"/>
      <c r="BA545" s="91"/>
      <c r="BD545" s="89"/>
      <c r="BE545" s="89"/>
      <c r="BF545" s="91"/>
      <c r="BG545" s="91"/>
      <c r="BH545" s="91"/>
      <c r="BO545" s="91"/>
      <c r="BS545" s="91"/>
      <c r="BT545" s="91"/>
      <c r="BV545" s="91"/>
    </row>
    <row r="546" spans="1:74" x14ac:dyDescent="0.3">
      <c r="A546" s="89"/>
      <c r="B546" s="89"/>
      <c r="C546" s="91"/>
      <c r="D546" s="91"/>
      <c r="E546" s="91"/>
      <c r="F546" s="91"/>
      <c r="G546" s="91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89"/>
      <c r="Y546" s="89"/>
      <c r="Z546" s="91"/>
      <c r="AA546" s="91"/>
      <c r="AB546" s="91"/>
      <c r="AC546" s="91"/>
      <c r="AD546" s="91"/>
      <c r="AE546" s="91"/>
      <c r="AF546" s="91"/>
      <c r="AG546" s="91"/>
      <c r="AH546" s="91"/>
      <c r="AI546" s="91"/>
      <c r="AL546" s="89"/>
      <c r="AM546" s="91"/>
      <c r="AN546" s="91"/>
      <c r="AP546" s="91"/>
      <c r="AQ546" s="91"/>
      <c r="AR546" s="91"/>
      <c r="AS546" s="91"/>
      <c r="AT546" s="91"/>
      <c r="BA546" s="91"/>
      <c r="BD546" s="89"/>
      <c r="BE546" s="89"/>
      <c r="BF546" s="91"/>
      <c r="BG546" s="91"/>
      <c r="BH546" s="91"/>
      <c r="BO546" s="91"/>
      <c r="BS546" s="91"/>
      <c r="BT546" s="91"/>
      <c r="BV546" s="91"/>
    </row>
    <row r="547" spans="1:74" x14ac:dyDescent="0.3">
      <c r="A547" s="89"/>
      <c r="B547" s="89"/>
      <c r="C547" s="91"/>
      <c r="D547" s="91"/>
      <c r="E547" s="91"/>
      <c r="F547" s="91"/>
      <c r="G547" s="91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89"/>
      <c r="Y547" s="89"/>
      <c r="Z547" s="91"/>
      <c r="AA547" s="91"/>
      <c r="AB547" s="91"/>
      <c r="AC547" s="91"/>
      <c r="AD547" s="91"/>
      <c r="AE547" s="91"/>
      <c r="AF547" s="91"/>
      <c r="AG547" s="91"/>
      <c r="AH547" s="91"/>
      <c r="AI547" s="91"/>
      <c r="AL547" s="89"/>
      <c r="AM547" s="91"/>
      <c r="AN547" s="91"/>
      <c r="AP547" s="91"/>
      <c r="AQ547" s="91"/>
      <c r="AR547" s="91"/>
      <c r="AS547" s="91"/>
      <c r="AT547" s="91"/>
      <c r="BA547" s="91"/>
      <c r="BD547" s="89"/>
      <c r="BE547" s="89"/>
      <c r="BF547" s="91"/>
      <c r="BG547" s="91"/>
      <c r="BH547" s="91"/>
      <c r="BO547" s="91"/>
      <c r="BS547" s="91"/>
      <c r="BT547" s="91"/>
      <c r="BV547" s="91"/>
    </row>
    <row r="548" spans="1:74" x14ac:dyDescent="0.3">
      <c r="A548" s="89"/>
      <c r="B548" s="89"/>
      <c r="C548" s="91"/>
      <c r="D548" s="91"/>
      <c r="E548" s="91"/>
      <c r="F548" s="91"/>
      <c r="G548" s="91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89"/>
      <c r="Y548" s="89"/>
      <c r="Z548" s="91"/>
      <c r="AA548" s="91"/>
      <c r="AB548" s="91"/>
      <c r="AC548" s="91"/>
      <c r="AD548" s="91"/>
      <c r="AE548" s="91"/>
      <c r="AF548" s="91"/>
      <c r="AG548" s="91"/>
      <c r="AH548" s="91"/>
      <c r="AI548" s="91"/>
      <c r="AL548" s="89"/>
      <c r="AM548" s="91"/>
      <c r="AN548" s="91"/>
      <c r="AP548" s="91"/>
      <c r="AQ548" s="91"/>
      <c r="AR548" s="91"/>
      <c r="AS548" s="91"/>
      <c r="AT548" s="91"/>
      <c r="BA548" s="91"/>
      <c r="BD548" s="89"/>
      <c r="BE548" s="89"/>
      <c r="BF548" s="91"/>
      <c r="BG548" s="91"/>
      <c r="BH548" s="91"/>
      <c r="BO548" s="91"/>
      <c r="BS548" s="91"/>
      <c r="BT548" s="91"/>
      <c r="BV548" s="91"/>
    </row>
    <row r="549" spans="1:74" x14ac:dyDescent="0.3">
      <c r="A549" s="89"/>
      <c r="B549" s="89"/>
      <c r="C549" s="91"/>
      <c r="D549" s="91"/>
      <c r="E549" s="91"/>
      <c r="F549" s="91"/>
      <c r="G549" s="91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89"/>
      <c r="Y549" s="89"/>
      <c r="Z549" s="91"/>
      <c r="AA549" s="91"/>
      <c r="AB549" s="91"/>
      <c r="AC549" s="91"/>
      <c r="AD549" s="91"/>
      <c r="AE549" s="91"/>
      <c r="AF549" s="91"/>
      <c r="AG549" s="91"/>
      <c r="AH549" s="91"/>
      <c r="AI549" s="91"/>
      <c r="AL549" s="89"/>
      <c r="AM549" s="91"/>
      <c r="AN549" s="91"/>
      <c r="AP549" s="91"/>
      <c r="AQ549" s="91"/>
      <c r="AR549" s="91"/>
      <c r="AS549" s="91"/>
      <c r="AT549" s="91"/>
      <c r="BA549" s="91"/>
      <c r="BD549" s="89"/>
      <c r="BE549" s="89"/>
      <c r="BF549" s="91"/>
      <c r="BG549" s="91"/>
      <c r="BH549" s="91"/>
      <c r="BO549" s="91"/>
      <c r="BS549" s="91"/>
      <c r="BT549" s="91"/>
      <c r="BV549" s="91"/>
    </row>
    <row r="550" spans="1:74" x14ac:dyDescent="0.3">
      <c r="A550" s="89"/>
      <c r="B550" s="89"/>
      <c r="C550" s="91"/>
      <c r="D550" s="91"/>
      <c r="E550" s="91"/>
      <c r="F550" s="91"/>
      <c r="G550" s="91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89"/>
      <c r="Y550" s="89"/>
      <c r="Z550" s="91"/>
      <c r="AA550" s="91"/>
      <c r="AB550" s="91"/>
      <c r="AC550" s="91"/>
      <c r="AD550" s="91"/>
      <c r="AE550" s="91"/>
      <c r="AF550" s="91"/>
      <c r="AG550" s="91"/>
      <c r="AH550" s="91"/>
      <c r="AI550" s="91"/>
      <c r="AL550" s="89"/>
      <c r="AM550" s="91"/>
      <c r="AN550" s="91"/>
      <c r="AP550" s="91"/>
      <c r="AQ550" s="91"/>
      <c r="AR550" s="91"/>
      <c r="AS550" s="91"/>
      <c r="AT550" s="91"/>
      <c r="BA550" s="91"/>
      <c r="BD550" s="89"/>
      <c r="BE550" s="89"/>
      <c r="BF550" s="91"/>
      <c r="BG550" s="91"/>
      <c r="BH550" s="91"/>
      <c r="BO550" s="91"/>
      <c r="BS550" s="91"/>
      <c r="BT550" s="91"/>
      <c r="BV550" s="91"/>
    </row>
    <row r="551" spans="1:74" x14ac:dyDescent="0.3">
      <c r="A551" s="89"/>
      <c r="B551" s="89"/>
      <c r="C551" s="91"/>
      <c r="D551" s="91"/>
      <c r="E551" s="91"/>
      <c r="F551" s="91"/>
      <c r="G551" s="91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89"/>
      <c r="Y551" s="89"/>
      <c r="Z551" s="91"/>
      <c r="AA551" s="91"/>
      <c r="AB551" s="91"/>
      <c r="AC551" s="91"/>
      <c r="AD551" s="91"/>
      <c r="AE551" s="91"/>
      <c r="AF551" s="91"/>
      <c r="AG551" s="91"/>
      <c r="AH551" s="91"/>
      <c r="AI551" s="91"/>
      <c r="AL551" s="89"/>
      <c r="AM551" s="91"/>
      <c r="AN551" s="91"/>
      <c r="AP551" s="91"/>
      <c r="AQ551" s="91"/>
      <c r="AR551" s="91"/>
      <c r="AS551" s="91"/>
      <c r="AT551" s="91"/>
      <c r="BA551" s="91"/>
      <c r="BD551" s="89"/>
      <c r="BE551" s="89"/>
      <c r="BF551" s="91"/>
      <c r="BG551" s="91"/>
      <c r="BH551" s="91"/>
      <c r="BO551" s="91"/>
      <c r="BS551" s="91"/>
      <c r="BT551" s="91"/>
      <c r="BV551" s="91"/>
    </row>
    <row r="552" spans="1:74" x14ac:dyDescent="0.3">
      <c r="A552" s="89"/>
      <c r="B552" s="89"/>
      <c r="C552" s="91"/>
      <c r="D552" s="91"/>
      <c r="E552" s="91"/>
      <c r="F552" s="91"/>
      <c r="G552" s="91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89"/>
      <c r="Y552" s="89"/>
      <c r="Z552" s="91"/>
      <c r="AA552" s="91"/>
      <c r="AB552" s="91"/>
      <c r="AC552" s="91"/>
      <c r="AD552" s="91"/>
      <c r="AE552" s="91"/>
      <c r="AF552" s="91"/>
      <c r="AG552" s="91"/>
      <c r="AH552" s="91"/>
      <c r="AI552" s="91"/>
      <c r="AL552" s="89"/>
      <c r="AM552" s="91"/>
      <c r="AN552" s="91"/>
      <c r="AP552" s="91"/>
      <c r="AQ552" s="91"/>
      <c r="AR552" s="91"/>
      <c r="AS552" s="91"/>
      <c r="AT552" s="91"/>
      <c r="BA552" s="91"/>
      <c r="BD552" s="89"/>
      <c r="BE552" s="89"/>
      <c r="BF552" s="91"/>
      <c r="BG552" s="91"/>
      <c r="BH552" s="91"/>
      <c r="BO552" s="91"/>
      <c r="BS552" s="91"/>
      <c r="BT552" s="91"/>
      <c r="BV552" s="91"/>
    </row>
    <row r="553" spans="1:74" x14ac:dyDescent="0.3">
      <c r="A553" s="89"/>
      <c r="B553" s="89"/>
      <c r="C553" s="91"/>
      <c r="D553" s="91"/>
      <c r="E553" s="91"/>
      <c r="F553" s="91"/>
      <c r="G553" s="91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89"/>
      <c r="Y553" s="89"/>
      <c r="Z553" s="91"/>
      <c r="AA553" s="91"/>
      <c r="AB553" s="91"/>
      <c r="AC553" s="91"/>
      <c r="AD553" s="91"/>
      <c r="AE553" s="91"/>
      <c r="AF553" s="91"/>
      <c r="AG553" s="91"/>
      <c r="AH553" s="91"/>
      <c r="AI553" s="91"/>
      <c r="AL553" s="89"/>
      <c r="AM553" s="91"/>
      <c r="AN553" s="91"/>
      <c r="AP553" s="91"/>
      <c r="AQ553" s="91"/>
      <c r="AR553" s="91"/>
      <c r="AS553" s="91"/>
      <c r="AT553" s="91"/>
      <c r="BA553" s="91"/>
      <c r="BD553" s="89"/>
      <c r="BE553" s="89"/>
      <c r="BF553" s="91"/>
      <c r="BG553" s="91"/>
      <c r="BH553" s="91"/>
      <c r="BO553" s="91"/>
      <c r="BS553" s="91"/>
      <c r="BT553" s="91"/>
      <c r="BV553" s="91"/>
    </row>
    <row r="554" spans="1:74" x14ac:dyDescent="0.3">
      <c r="A554" s="89"/>
      <c r="B554" s="89"/>
      <c r="C554" s="91"/>
      <c r="D554" s="91"/>
      <c r="E554" s="91"/>
      <c r="F554" s="91"/>
      <c r="G554" s="91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89"/>
      <c r="Y554" s="89"/>
      <c r="Z554" s="91"/>
      <c r="AA554" s="91"/>
      <c r="AB554" s="91"/>
      <c r="AC554" s="91"/>
      <c r="AD554" s="91"/>
      <c r="AE554" s="91"/>
      <c r="AF554" s="91"/>
      <c r="AG554" s="91"/>
      <c r="AH554" s="91"/>
      <c r="AI554" s="91"/>
      <c r="AL554" s="89"/>
      <c r="AM554" s="91"/>
      <c r="AN554" s="91"/>
      <c r="AP554" s="91"/>
      <c r="AQ554" s="91"/>
      <c r="AR554" s="91"/>
      <c r="AS554" s="91"/>
      <c r="AT554" s="91"/>
      <c r="BA554" s="91"/>
      <c r="BD554" s="89"/>
      <c r="BE554" s="89"/>
      <c r="BF554" s="91"/>
      <c r="BG554" s="91"/>
      <c r="BH554" s="91"/>
      <c r="BO554" s="91"/>
      <c r="BS554" s="91"/>
      <c r="BT554" s="91"/>
      <c r="BV554" s="91"/>
    </row>
    <row r="555" spans="1:74" x14ac:dyDescent="0.3">
      <c r="A555" s="89"/>
      <c r="B555" s="89"/>
      <c r="C555" s="91"/>
      <c r="D555" s="91"/>
      <c r="E555" s="91"/>
      <c r="F555" s="91"/>
      <c r="G555" s="91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89"/>
      <c r="Y555" s="89"/>
      <c r="Z555" s="91"/>
      <c r="AA555" s="91"/>
      <c r="AB555" s="91"/>
      <c r="AC555" s="91"/>
      <c r="AD555" s="91"/>
      <c r="AE555" s="91"/>
      <c r="AF555" s="91"/>
      <c r="AG555" s="91"/>
      <c r="AH555" s="91"/>
      <c r="AI555" s="91"/>
      <c r="AL555" s="89"/>
      <c r="AM555" s="91"/>
      <c r="AN555" s="91"/>
      <c r="AP555" s="91"/>
      <c r="AQ555" s="91"/>
      <c r="AR555" s="91"/>
      <c r="AS555" s="91"/>
      <c r="AT555" s="91"/>
      <c r="BA555" s="91"/>
      <c r="BD555" s="89"/>
      <c r="BE555" s="89"/>
      <c r="BF555" s="91"/>
      <c r="BG555" s="91"/>
      <c r="BH555" s="91"/>
      <c r="BO555" s="91"/>
      <c r="BS555" s="91"/>
      <c r="BT555" s="91"/>
      <c r="BV555" s="91"/>
    </row>
    <row r="556" spans="1:74" x14ac:dyDescent="0.3">
      <c r="A556" s="89"/>
      <c r="B556" s="89"/>
      <c r="C556" s="91"/>
      <c r="D556" s="91"/>
      <c r="E556" s="91"/>
      <c r="F556" s="91"/>
      <c r="G556" s="91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89"/>
      <c r="Y556" s="89"/>
      <c r="Z556" s="91"/>
      <c r="AA556" s="91"/>
      <c r="AB556" s="91"/>
      <c r="AC556" s="91"/>
      <c r="AD556" s="91"/>
      <c r="AE556" s="91"/>
      <c r="AF556" s="91"/>
      <c r="AG556" s="91"/>
      <c r="AH556" s="91"/>
      <c r="AI556" s="91"/>
      <c r="AL556" s="89"/>
      <c r="AM556" s="91"/>
      <c r="AN556" s="91"/>
      <c r="AP556" s="91"/>
      <c r="AQ556" s="91"/>
      <c r="AR556" s="91"/>
      <c r="AS556" s="91"/>
      <c r="AT556" s="91"/>
      <c r="BA556" s="91"/>
      <c r="BD556" s="89"/>
      <c r="BE556" s="89"/>
      <c r="BF556" s="91"/>
      <c r="BG556" s="91"/>
      <c r="BH556" s="91"/>
      <c r="BO556" s="91"/>
      <c r="BS556" s="91"/>
      <c r="BT556" s="91"/>
      <c r="BV556" s="91"/>
    </row>
    <row r="557" spans="1:74" x14ac:dyDescent="0.3">
      <c r="A557" s="89"/>
      <c r="B557" s="89"/>
      <c r="C557" s="91"/>
      <c r="D557" s="91"/>
      <c r="E557" s="91"/>
      <c r="F557" s="91"/>
      <c r="G557" s="91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89"/>
      <c r="Y557" s="89"/>
      <c r="Z557" s="91"/>
      <c r="AA557" s="91"/>
      <c r="AB557" s="91"/>
      <c r="AC557" s="91"/>
      <c r="AD557" s="91"/>
      <c r="AE557" s="91"/>
      <c r="AF557" s="91"/>
      <c r="AG557" s="91"/>
      <c r="AH557" s="91"/>
      <c r="AI557" s="91"/>
      <c r="AL557" s="89"/>
      <c r="AM557" s="91"/>
      <c r="AN557" s="91"/>
      <c r="AP557" s="91"/>
      <c r="AQ557" s="91"/>
      <c r="AR557" s="91"/>
      <c r="AS557" s="91"/>
      <c r="AT557" s="91"/>
      <c r="BA557" s="91"/>
      <c r="BD557" s="89"/>
      <c r="BE557" s="89"/>
      <c r="BF557" s="91"/>
      <c r="BG557" s="91"/>
      <c r="BH557" s="91"/>
      <c r="BO557" s="91"/>
      <c r="BS557" s="91"/>
      <c r="BT557" s="91"/>
      <c r="BV557" s="91"/>
    </row>
    <row r="558" spans="1:74" x14ac:dyDescent="0.3">
      <c r="A558" s="89"/>
      <c r="B558" s="89"/>
      <c r="C558" s="91"/>
      <c r="D558" s="91"/>
      <c r="E558" s="91"/>
      <c r="F558" s="91"/>
      <c r="G558" s="91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89"/>
      <c r="Y558" s="89"/>
      <c r="Z558" s="91"/>
      <c r="AA558" s="91"/>
      <c r="AB558" s="91"/>
      <c r="AC558" s="91"/>
      <c r="AD558" s="91"/>
      <c r="AE558" s="91"/>
      <c r="AF558" s="91"/>
      <c r="AG558" s="91"/>
      <c r="AH558" s="91"/>
      <c r="AI558" s="91"/>
      <c r="AL558" s="89"/>
      <c r="AM558" s="91"/>
      <c r="AN558" s="91"/>
      <c r="AP558" s="91"/>
      <c r="AQ558" s="91"/>
      <c r="AR558" s="91"/>
      <c r="AS558" s="91"/>
      <c r="AT558" s="91"/>
      <c r="BA558" s="91"/>
      <c r="BD558" s="89"/>
      <c r="BE558" s="89"/>
      <c r="BF558" s="91"/>
      <c r="BG558" s="91"/>
      <c r="BH558" s="91"/>
      <c r="BO558" s="91"/>
      <c r="BS558" s="91"/>
      <c r="BT558" s="91"/>
      <c r="BV558" s="91"/>
    </row>
    <row r="559" spans="1:74" x14ac:dyDescent="0.3">
      <c r="A559" s="89"/>
      <c r="B559" s="89"/>
      <c r="C559" s="91"/>
      <c r="D559" s="91"/>
      <c r="E559" s="91"/>
      <c r="F559" s="91"/>
      <c r="G559" s="91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89"/>
      <c r="Y559" s="89"/>
      <c r="Z559" s="91"/>
      <c r="AA559" s="91"/>
      <c r="AB559" s="91"/>
      <c r="AC559" s="91"/>
      <c r="AD559" s="91"/>
      <c r="AE559" s="91"/>
      <c r="AF559" s="91"/>
      <c r="AG559" s="91"/>
      <c r="AH559" s="91"/>
      <c r="AI559" s="91"/>
      <c r="AL559" s="89"/>
      <c r="AM559" s="91"/>
      <c r="AN559" s="91"/>
      <c r="AP559" s="91"/>
      <c r="AQ559" s="91"/>
      <c r="AR559" s="91"/>
      <c r="AS559" s="91"/>
      <c r="AT559" s="91"/>
      <c r="BA559" s="91"/>
      <c r="BD559" s="89"/>
      <c r="BE559" s="89"/>
      <c r="BF559" s="91"/>
      <c r="BG559" s="91"/>
      <c r="BH559" s="91"/>
      <c r="BO559" s="91"/>
      <c r="BS559" s="91"/>
      <c r="BT559" s="91"/>
      <c r="BV559" s="91"/>
    </row>
    <row r="560" spans="1:74" x14ac:dyDescent="0.3">
      <c r="A560" s="89"/>
      <c r="B560" s="89"/>
      <c r="C560" s="91"/>
      <c r="D560" s="91"/>
      <c r="E560" s="91"/>
      <c r="F560" s="91"/>
      <c r="G560" s="91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89"/>
      <c r="Y560" s="89"/>
      <c r="Z560" s="91"/>
      <c r="AA560" s="91"/>
      <c r="AB560" s="91"/>
      <c r="AC560" s="91"/>
      <c r="AD560" s="91"/>
      <c r="AE560" s="91"/>
      <c r="AF560" s="91"/>
      <c r="AG560" s="91"/>
      <c r="AH560" s="91"/>
      <c r="AI560" s="91"/>
      <c r="AL560" s="89"/>
      <c r="AM560" s="91"/>
      <c r="AN560" s="91"/>
      <c r="AP560" s="91"/>
      <c r="AQ560" s="91"/>
      <c r="AR560" s="91"/>
      <c r="AS560" s="91"/>
      <c r="AT560" s="91"/>
      <c r="BA560" s="91"/>
      <c r="BD560" s="89"/>
      <c r="BE560" s="89"/>
      <c r="BF560" s="91"/>
      <c r="BG560" s="91"/>
      <c r="BH560" s="91"/>
      <c r="BO560" s="91"/>
      <c r="BS560" s="91"/>
      <c r="BT560" s="91"/>
      <c r="BV560" s="91"/>
    </row>
    <row r="561" spans="1:74" x14ac:dyDescent="0.3">
      <c r="A561" s="89"/>
      <c r="B561" s="89"/>
      <c r="C561" s="91"/>
      <c r="D561" s="91"/>
      <c r="E561" s="91"/>
      <c r="F561" s="91"/>
      <c r="G561" s="91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89"/>
      <c r="Y561" s="89"/>
      <c r="Z561" s="91"/>
      <c r="AA561" s="91"/>
      <c r="AB561" s="91"/>
      <c r="AC561" s="91"/>
      <c r="AD561" s="91"/>
      <c r="AE561" s="91"/>
      <c r="AF561" s="91"/>
      <c r="AG561" s="91"/>
      <c r="AH561" s="91"/>
      <c r="AI561" s="91"/>
      <c r="AL561" s="89"/>
      <c r="AM561" s="91"/>
      <c r="AN561" s="91"/>
      <c r="AP561" s="91"/>
      <c r="AQ561" s="91"/>
      <c r="AR561" s="91"/>
      <c r="AS561" s="91"/>
      <c r="AT561" s="91"/>
      <c r="BA561" s="91"/>
      <c r="BD561" s="89"/>
      <c r="BE561" s="89"/>
      <c r="BF561" s="91"/>
      <c r="BG561" s="91"/>
      <c r="BH561" s="91"/>
      <c r="BO561" s="91"/>
      <c r="BS561" s="91"/>
      <c r="BT561" s="91"/>
      <c r="BV561" s="91"/>
    </row>
    <row r="562" spans="1:74" x14ac:dyDescent="0.3">
      <c r="A562" s="89"/>
      <c r="B562" s="89"/>
      <c r="C562" s="91"/>
      <c r="D562" s="91"/>
      <c r="E562" s="91"/>
      <c r="F562" s="91"/>
      <c r="G562" s="91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89"/>
      <c r="Y562" s="89"/>
      <c r="Z562" s="91"/>
      <c r="AA562" s="91"/>
      <c r="AB562" s="91"/>
      <c r="AC562" s="91"/>
      <c r="AD562" s="91"/>
      <c r="AE562" s="91"/>
      <c r="AF562" s="91"/>
      <c r="AG562" s="91"/>
      <c r="AH562" s="91"/>
      <c r="AI562" s="91"/>
      <c r="AL562" s="89"/>
      <c r="AM562" s="91"/>
      <c r="AN562" s="91"/>
      <c r="AP562" s="91"/>
      <c r="AQ562" s="91"/>
      <c r="AR562" s="91"/>
      <c r="AS562" s="91"/>
      <c r="AT562" s="91"/>
      <c r="BA562" s="91"/>
      <c r="BD562" s="89"/>
      <c r="BE562" s="89"/>
      <c r="BF562" s="91"/>
      <c r="BG562" s="91"/>
      <c r="BH562" s="91"/>
      <c r="BO562" s="91"/>
      <c r="BS562" s="91"/>
      <c r="BT562" s="91"/>
      <c r="BV562" s="91"/>
    </row>
    <row r="563" spans="1:74" x14ac:dyDescent="0.3">
      <c r="A563" s="89"/>
      <c r="B563" s="89"/>
      <c r="C563" s="91"/>
      <c r="D563" s="91"/>
      <c r="E563" s="91"/>
      <c r="F563" s="91"/>
      <c r="G563" s="91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89"/>
      <c r="Y563" s="89"/>
      <c r="Z563" s="91"/>
      <c r="AA563" s="91"/>
      <c r="AB563" s="91"/>
      <c r="AC563" s="91"/>
      <c r="AD563" s="91"/>
      <c r="AE563" s="91"/>
      <c r="AF563" s="91"/>
      <c r="AG563" s="91"/>
      <c r="AH563" s="91"/>
      <c r="AI563" s="91"/>
      <c r="AL563" s="89"/>
      <c r="AM563" s="91"/>
      <c r="AN563" s="91"/>
      <c r="AP563" s="91"/>
      <c r="AQ563" s="91"/>
      <c r="AR563" s="91"/>
      <c r="AS563" s="91"/>
      <c r="AT563" s="91"/>
      <c r="BA563" s="91"/>
      <c r="BD563" s="89"/>
      <c r="BE563" s="89"/>
      <c r="BF563" s="91"/>
      <c r="BG563" s="91"/>
      <c r="BH563" s="91"/>
      <c r="BO563" s="91"/>
      <c r="BS563" s="91"/>
      <c r="BT563" s="91"/>
      <c r="BV563" s="91"/>
    </row>
    <row r="564" spans="1:74" x14ac:dyDescent="0.3">
      <c r="A564" s="89"/>
      <c r="B564" s="89"/>
      <c r="C564" s="91"/>
      <c r="D564" s="91"/>
      <c r="E564" s="91"/>
      <c r="F564" s="91"/>
      <c r="G564" s="91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89"/>
      <c r="Y564" s="89"/>
      <c r="Z564" s="91"/>
      <c r="AA564" s="91"/>
      <c r="AB564" s="91"/>
      <c r="AC564" s="91"/>
      <c r="AD564" s="91"/>
      <c r="AE564" s="91"/>
      <c r="AF564" s="91"/>
      <c r="AG564" s="91"/>
      <c r="AH564" s="91"/>
      <c r="AI564" s="91"/>
      <c r="AL564" s="89"/>
      <c r="AM564" s="91"/>
      <c r="AN564" s="91"/>
      <c r="AP564" s="91"/>
      <c r="AQ564" s="91"/>
      <c r="AR564" s="91"/>
      <c r="AS564" s="91"/>
      <c r="AT564" s="91"/>
      <c r="BA564" s="91"/>
      <c r="BD564" s="89"/>
      <c r="BE564" s="89"/>
      <c r="BF564" s="91"/>
      <c r="BG564" s="91"/>
      <c r="BH564" s="91"/>
      <c r="BO564" s="91"/>
      <c r="BS564" s="91"/>
      <c r="BT564" s="91"/>
      <c r="BV564" s="91"/>
    </row>
    <row r="565" spans="1:74" x14ac:dyDescent="0.3">
      <c r="A565" s="89"/>
      <c r="B565" s="89"/>
      <c r="C565" s="91"/>
      <c r="D565" s="91"/>
      <c r="E565" s="91"/>
      <c r="F565" s="91"/>
      <c r="G565" s="91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89"/>
      <c r="Y565" s="89"/>
      <c r="Z565" s="91"/>
      <c r="AA565" s="91"/>
      <c r="AB565" s="91"/>
      <c r="AC565" s="91"/>
      <c r="AD565" s="91"/>
      <c r="AE565" s="91"/>
      <c r="AF565" s="91"/>
      <c r="AG565" s="91"/>
      <c r="AH565" s="91"/>
      <c r="AI565" s="91"/>
      <c r="AL565" s="89"/>
      <c r="AM565" s="91"/>
      <c r="AN565" s="91"/>
      <c r="AP565" s="91"/>
      <c r="AQ565" s="91"/>
      <c r="AR565" s="91"/>
      <c r="AS565" s="91"/>
      <c r="AT565" s="91"/>
      <c r="BA565" s="91"/>
      <c r="BD565" s="89"/>
      <c r="BE565" s="89"/>
      <c r="BF565" s="91"/>
      <c r="BG565" s="91"/>
      <c r="BH565" s="91"/>
      <c r="BO565" s="91"/>
      <c r="BS565" s="91"/>
      <c r="BT565" s="91"/>
      <c r="BV565" s="91"/>
    </row>
    <row r="566" spans="1:74" x14ac:dyDescent="0.3">
      <c r="A566" s="89"/>
      <c r="B566" s="89"/>
      <c r="C566" s="91"/>
      <c r="D566" s="91"/>
      <c r="E566" s="91"/>
      <c r="F566" s="91"/>
      <c r="G566" s="91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89"/>
      <c r="Y566" s="89"/>
      <c r="Z566" s="91"/>
      <c r="AA566" s="91"/>
      <c r="AB566" s="91"/>
      <c r="AC566" s="91"/>
      <c r="AD566" s="91"/>
      <c r="AE566" s="91"/>
      <c r="AF566" s="91"/>
      <c r="AG566" s="91"/>
      <c r="AH566" s="91"/>
      <c r="AI566" s="91"/>
      <c r="AL566" s="89"/>
      <c r="AM566" s="91"/>
      <c r="AN566" s="91"/>
      <c r="AP566" s="91"/>
      <c r="AQ566" s="91"/>
      <c r="AR566" s="91"/>
      <c r="AS566" s="91"/>
      <c r="AT566" s="91"/>
      <c r="BA566" s="91"/>
      <c r="BD566" s="89"/>
      <c r="BE566" s="89"/>
      <c r="BF566" s="91"/>
      <c r="BG566" s="91"/>
      <c r="BH566" s="91"/>
      <c r="BO566" s="91"/>
      <c r="BS566" s="91"/>
      <c r="BT566" s="91"/>
      <c r="BV566" s="91"/>
    </row>
    <row r="567" spans="1:74" x14ac:dyDescent="0.3">
      <c r="A567" s="89"/>
      <c r="B567" s="89"/>
      <c r="C567" s="91"/>
      <c r="D567" s="91"/>
      <c r="E567" s="91"/>
      <c r="F567" s="91"/>
      <c r="G567" s="91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89"/>
      <c r="Y567" s="89"/>
      <c r="Z567" s="91"/>
      <c r="AA567" s="91"/>
      <c r="AB567" s="91"/>
      <c r="AC567" s="91"/>
      <c r="AD567" s="91"/>
      <c r="AE567" s="91"/>
      <c r="AF567" s="91"/>
      <c r="AG567" s="91"/>
      <c r="AH567" s="91"/>
      <c r="AI567" s="91"/>
      <c r="AL567" s="89"/>
      <c r="AM567" s="91"/>
      <c r="AN567" s="91"/>
      <c r="AP567" s="91"/>
      <c r="AQ567" s="91"/>
      <c r="AR567" s="91"/>
      <c r="AS567" s="91"/>
      <c r="AT567" s="91"/>
      <c r="BA567" s="91"/>
      <c r="BD567" s="89"/>
      <c r="BE567" s="89"/>
      <c r="BF567" s="91"/>
      <c r="BG567" s="91"/>
      <c r="BH567" s="91"/>
      <c r="BO567" s="91"/>
      <c r="BS567" s="91"/>
      <c r="BT567" s="91"/>
      <c r="BV567" s="91"/>
    </row>
    <row r="568" spans="1:74" x14ac:dyDescent="0.3">
      <c r="A568" s="89"/>
      <c r="B568" s="89"/>
      <c r="C568" s="91"/>
      <c r="D568" s="91"/>
      <c r="E568" s="91"/>
      <c r="F568" s="91"/>
      <c r="G568" s="91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89"/>
      <c r="Y568" s="89"/>
      <c r="Z568" s="91"/>
      <c r="AA568" s="91"/>
      <c r="AB568" s="91"/>
      <c r="AC568" s="91"/>
      <c r="AD568" s="91"/>
      <c r="AE568" s="91"/>
      <c r="AF568" s="91"/>
      <c r="AG568" s="91"/>
      <c r="AH568" s="91"/>
      <c r="AI568" s="91"/>
      <c r="AL568" s="89"/>
      <c r="AM568" s="91"/>
      <c r="AN568" s="91"/>
      <c r="AP568" s="91"/>
      <c r="AQ568" s="91"/>
      <c r="AR568" s="91"/>
      <c r="AS568" s="91"/>
      <c r="AT568" s="91"/>
      <c r="BA568" s="91"/>
      <c r="BD568" s="89"/>
      <c r="BE568" s="89"/>
      <c r="BF568" s="91"/>
      <c r="BG568" s="91"/>
      <c r="BH568" s="91"/>
      <c r="BO568" s="91"/>
      <c r="BS568" s="91"/>
      <c r="BT568" s="91"/>
      <c r="BV568" s="91"/>
    </row>
    <row r="569" spans="1:74" x14ac:dyDescent="0.3">
      <c r="A569" s="89"/>
      <c r="B569" s="89"/>
      <c r="C569" s="91"/>
      <c r="D569" s="91"/>
      <c r="E569" s="91"/>
      <c r="F569" s="91"/>
      <c r="G569" s="91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89"/>
      <c r="Y569" s="89"/>
      <c r="Z569" s="91"/>
      <c r="AA569" s="91"/>
      <c r="AB569" s="91"/>
      <c r="AC569" s="91"/>
      <c r="AD569" s="91"/>
      <c r="AE569" s="91"/>
      <c r="AF569" s="91"/>
      <c r="AG569" s="91"/>
      <c r="AH569" s="91"/>
      <c r="AI569" s="91"/>
      <c r="AL569" s="89"/>
      <c r="AM569" s="91"/>
      <c r="AN569" s="91"/>
      <c r="AP569" s="91"/>
      <c r="AQ569" s="91"/>
      <c r="AR569" s="91"/>
      <c r="AS569" s="91"/>
      <c r="AT569" s="91"/>
      <c r="BA569" s="91"/>
      <c r="BD569" s="89"/>
      <c r="BE569" s="89"/>
      <c r="BF569" s="91"/>
      <c r="BG569" s="91"/>
      <c r="BH569" s="91"/>
      <c r="BO569" s="91"/>
      <c r="BS569" s="91"/>
      <c r="BT569" s="91"/>
      <c r="BV569" s="91"/>
    </row>
    <row r="570" spans="1:74" x14ac:dyDescent="0.3">
      <c r="A570" s="89"/>
      <c r="B570" s="89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89"/>
      <c r="Y570" s="89"/>
      <c r="Z570" s="91"/>
      <c r="AA570" s="91"/>
      <c r="AB570" s="91"/>
      <c r="AC570" s="91"/>
      <c r="AD570" s="91"/>
      <c r="AE570" s="91"/>
      <c r="AF570" s="91"/>
      <c r="AG570" s="91"/>
      <c r="AH570" s="91"/>
      <c r="AI570" s="91"/>
      <c r="AL570" s="89"/>
      <c r="AM570" s="91"/>
      <c r="AN570" s="91"/>
      <c r="AP570" s="91"/>
      <c r="AQ570" s="91"/>
      <c r="AR570" s="91"/>
      <c r="AS570" s="91"/>
      <c r="AT570" s="91"/>
      <c r="BA570" s="91"/>
      <c r="BD570" s="89"/>
      <c r="BE570" s="89"/>
      <c r="BF570" s="91"/>
      <c r="BG570" s="91"/>
      <c r="BH570" s="91"/>
      <c r="BO570" s="91"/>
      <c r="BS570" s="91"/>
      <c r="BT570" s="91"/>
      <c r="BV570" s="91"/>
    </row>
    <row r="571" spans="1:74" x14ac:dyDescent="0.3">
      <c r="A571" s="89"/>
      <c r="B571" s="89"/>
      <c r="C571" s="91"/>
      <c r="D571" s="91"/>
      <c r="E571" s="91"/>
      <c r="F571" s="91"/>
      <c r="G571" s="91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89"/>
      <c r="Y571" s="89"/>
      <c r="Z571" s="91"/>
      <c r="AA571" s="91"/>
      <c r="AB571" s="91"/>
      <c r="AC571" s="91"/>
      <c r="AD571" s="91"/>
      <c r="AE571" s="91"/>
      <c r="AF571" s="91"/>
      <c r="AG571" s="91"/>
      <c r="AH571" s="91"/>
      <c r="AI571" s="91"/>
      <c r="AL571" s="89"/>
      <c r="AM571" s="91"/>
      <c r="AN571" s="91"/>
      <c r="AP571" s="91"/>
      <c r="AQ571" s="91"/>
      <c r="AR571" s="91"/>
      <c r="AS571" s="91"/>
      <c r="AT571" s="91"/>
      <c r="BA571" s="91"/>
      <c r="BD571" s="89"/>
      <c r="BE571" s="89"/>
      <c r="BF571" s="91"/>
      <c r="BG571" s="91"/>
      <c r="BH571" s="91"/>
      <c r="BO571" s="91"/>
      <c r="BS571" s="91"/>
      <c r="BT571" s="91"/>
      <c r="BV571" s="91"/>
    </row>
    <row r="572" spans="1:74" x14ac:dyDescent="0.3">
      <c r="A572" s="89"/>
      <c r="B572" s="89"/>
      <c r="C572" s="91"/>
      <c r="D572" s="91"/>
      <c r="E572" s="91"/>
      <c r="F572" s="91"/>
      <c r="G572" s="91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89"/>
      <c r="Y572" s="89"/>
      <c r="Z572" s="91"/>
      <c r="AA572" s="91"/>
      <c r="AB572" s="91"/>
      <c r="AC572" s="91"/>
      <c r="AD572" s="91"/>
      <c r="AE572" s="91"/>
      <c r="AF572" s="91"/>
      <c r="AG572" s="91"/>
      <c r="AH572" s="91"/>
      <c r="AI572" s="91"/>
      <c r="AL572" s="89"/>
      <c r="AM572" s="91"/>
      <c r="AN572" s="91"/>
      <c r="AP572" s="91"/>
      <c r="AQ572" s="91"/>
      <c r="AR572" s="91"/>
      <c r="AS572" s="91"/>
      <c r="AT572" s="91"/>
      <c r="BA572" s="91"/>
      <c r="BD572" s="89"/>
      <c r="BE572" s="89"/>
      <c r="BF572" s="91"/>
      <c r="BG572" s="91"/>
      <c r="BH572" s="91"/>
      <c r="BO572" s="91"/>
      <c r="BS572" s="91"/>
      <c r="BT572" s="91"/>
      <c r="BV572" s="91"/>
    </row>
    <row r="573" spans="1:74" x14ac:dyDescent="0.3">
      <c r="A573" s="89"/>
      <c r="B573" s="89"/>
      <c r="C573" s="91"/>
      <c r="D573" s="91"/>
      <c r="E573" s="91"/>
      <c r="F573" s="91"/>
      <c r="G573" s="91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89"/>
      <c r="Y573" s="89"/>
      <c r="Z573" s="91"/>
      <c r="AA573" s="91"/>
      <c r="AB573" s="91"/>
      <c r="AC573" s="91"/>
      <c r="AD573" s="91"/>
      <c r="AE573" s="91"/>
      <c r="AF573" s="91"/>
      <c r="AG573" s="91"/>
      <c r="AH573" s="91"/>
      <c r="AI573" s="91"/>
      <c r="AL573" s="89"/>
      <c r="AM573" s="91"/>
      <c r="AN573" s="91"/>
      <c r="AP573" s="91"/>
      <c r="AQ573" s="91"/>
      <c r="AR573" s="91"/>
      <c r="AS573" s="91"/>
      <c r="AT573" s="91"/>
      <c r="BA573" s="91"/>
      <c r="BD573" s="89"/>
      <c r="BE573" s="89"/>
      <c r="BF573" s="91"/>
      <c r="BG573" s="91"/>
      <c r="BH573" s="91"/>
      <c r="BO573" s="91"/>
      <c r="BS573" s="91"/>
      <c r="BT573" s="91"/>
      <c r="BV573" s="91"/>
    </row>
    <row r="574" spans="1:74" x14ac:dyDescent="0.3">
      <c r="A574" s="89"/>
      <c r="B574" s="89"/>
      <c r="C574" s="91"/>
      <c r="D574" s="91"/>
      <c r="E574" s="91"/>
      <c r="F574" s="91"/>
      <c r="G574" s="91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89"/>
      <c r="Y574" s="89"/>
      <c r="Z574" s="91"/>
      <c r="AA574" s="91"/>
      <c r="AB574" s="91"/>
      <c r="AC574" s="91"/>
      <c r="AD574" s="91"/>
      <c r="AE574" s="91"/>
      <c r="AF574" s="91"/>
      <c r="AG574" s="91"/>
      <c r="AH574" s="91"/>
      <c r="AI574" s="91"/>
      <c r="AL574" s="89"/>
      <c r="AM574" s="91"/>
      <c r="AN574" s="91"/>
      <c r="AP574" s="91"/>
      <c r="AQ574" s="91"/>
      <c r="AR574" s="91"/>
      <c r="AS574" s="91"/>
      <c r="AT574" s="91"/>
      <c r="BA574" s="91"/>
      <c r="BD574" s="89"/>
      <c r="BE574" s="89"/>
      <c r="BF574" s="91"/>
      <c r="BG574" s="91"/>
      <c r="BH574" s="91"/>
      <c r="BO574" s="91"/>
      <c r="BS574" s="91"/>
      <c r="BT574" s="91"/>
      <c r="BV574" s="91"/>
    </row>
    <row r="575" spans="1:74" x14ac:dyDescent="0.3">
      <c r="A575" s="89"/>
      <c r="B575" s="89"/>
      <c r="C575" s="91"/>
      <c r="D575" s="91"/>
      <c r="E575" s="91"/>
      <c r="F575" s="91"/>
      <c r="G575" s="91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89"/>
      <c r="Y575" s="89"/>
      <c r="Z575" s="91"/>
      <c r="AA575" s="91"/>
      <c r="AB575" s="91"/>
      <c r="AC575" s="91"/>
      <c r="AD575" s="91"/>
      <c r="AE575" s="91"/>
      <c r="AF575" s="91"/>
      <c r="AG575" s="91"/>
      <c r="AH575" s="91"/>
      <c r="AI575" s="91"/>
      <c r="AL575" s="89"/>
      <c r="AM575" s="91"/>
      <c r="AN575" s="91"/>
      <c r="AP575" s="91"/>
      <c r="AQ575" s="91"/>
      <c r="AR575" s="91"/>
      <c r="AS575" s="91"/>
      <c r="AT575" s="91"/>
      <c r="BA575" s="91"/>
      <c r="BD575" s="89"/>
      <c r="BE575" s="89"/>
      <c r="BF575" s="91"/>
      <c r="BG575" s="91"/>
      <c r="BH575" s="91"/>
      <c r="BO575" s="91"/>
      <c r="BS575" s="91"/>
      <c r="BT575" s="91"/>
      <c r="BV575" s="91"/>
    </row>
    <row r="576" spans="1:74" x14ac:dyDescent="0.3">
      <c r="A576" s="89"/>
      <c r="B576" s="89"/>
      <c r="C576" s="91"/>
      <c r="D576" s="91"/>
      <c r="E576" s="91"/>
      <c r="F576" s="91"/>
      <c r="G576" s="91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89"/>
      <c r="Y576" s="89"/>
      <c r="Z576" s="91"/>
      <c r="AA576" s="91"/>
      <c r="AB576" s="91"/>
      <c r="AC576" s="91"/>
      <c r="AD576" s="91"/>
      <c r="AE576" s="91"/>
      <c r="AF576" s="91"/>
      <c r="AG576" s="91"/>
      <c r="AH576" s="91"/>
      <c r="AI576" s="91"/>
      <c r="AL576" s="89"/>
      <c r="AM576" s="91"/>
      <c r="AN576" s="91"/>
      <c r="AP576" s="91"/>
      <c r="AQ576" s="91"/>
      <c r="AR576" s="91"/>
      <c r="AS576" s="91"/>
      <c r="AT576" s="91"/>
      <c r="BA576" s="91"/>
      <c r="BD576" s="89"/>
      <c r="BE576" s="89"/>
      <c r="BF576" s="91"/>
      <c r="BG576" s="91"/>
      <c r="BH576" s="91"/>
      <c r="BO576" s="91"/>
      <c r="BS576" s="91"/>
      <c r="BT576" s="91"/>
      <c r="BV576" s="91"/>
    </row>
    <row r="577" spans="1:74" x14ac:dyDescent="0.3">
      <c r="A577" s="89"/>
      <c r="B577" s="89"/>
      <c r="C577" s="91"/>
      <c r="D577" s="91"/>
      <c r="E577" s="91"/>
      <c r="F577" s="91"/>
      <c r="G577" s="91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89"/>
      <c r="Y577" s="89"/>
      <c r="Z577" s="91"/>
      <c r="AA577" s="91"/>
      <c r="AB577" s="91"/>
      <c r="AC577" s="91"/>
      <c r="AD577" s="91"/>
      <c r="AE577" s="91"/>
      <c r="AF577" s="91"/>
      <c r="AG577" s="91"/>
      <c r="AH577" s="91"/>
      <c r="AI577" s="91"/>
      <c r="AL577" s="89"/>
      <c r="AM577" s="91"/>
      <c r="AN577" s="91"/>
      <c r="AP577" s="91"/>
      <c r="AQ577" s="91"/>
      <c r="AR577" s="91"/>
      <c r="AS577" s="91"/>
      <c r="AT577" s="91"/>
      <c r="BA577" s="91"/>
      <c r="BD577" s="89"/>
      <c r="BE577" s="89"/>
      <c r="BF577" s="91"/>
      <c r="BG577" s="91"/>
      <c r="BH577" s="91"/>
      <c r="BO577" s="91"/>
      <c r="BS577" s="91"/>
      <c r="BT577" s="91"/>
      <c r="BV577" s="91"/>
    </row>
    <row r="578" spans="1:74" x14ac:dyDescent="0.3">
      <c r="A578" s="89"/>
      <c r="B578" s="89"/>
      <c r="C578" s="91"/>
      <c r="D578" s="91"/>
      <c r="E578" s="91"/>
      <c r="F578" s="91"/>
      <c r="G578" s="91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89"/>
      <c r="Y578" s="89"/>
      <c r="Z578" s="91"/>
      <c r="AA578" s="91"/>
      <c r="AB578" s="91"/>
      <c r="AC578" s="91"/>
      <c r="AD578" s="91"/>
      <c r="AE578" s="91"/>
      <c r="AF578" s="91"/>
      <c r="AG578" s="91"/>
      <c r="AH578" s="91"/>
      <c r="AI578" s="91"/>
      <c r="AL578" s="89"/>
      <c r="AM578" s="91"/>
      <c r="AN578" s="91"/>
      <c r="AP578" s="91"/>
      <c r="AQ578" s="91"/>
      <c r="AR578" s="91"/>
      <c r="AS578" s="91"/>
      <c r="AT578" s="91"/>
      <c r="BA578" s="91"/>
      <c r="BD578" s="89"/>
      <c r="BE578" s="89"/>
      <c r="BF578" s="91"/>
      <c r="BG578" s="91"/>
      <c r="BH578" s="91"/>
      <c r="BO578" s="91"/>
      <c r="BS578" s="91"/>
      <c r="BT578" s="91"/>
      <c r="BV578" s="91"/>
    </row>
    <row r="579" spans="1:74" x14ac:dyDescent="0.3">
      <c r="A579" s="89"/>
      <c r="B579" s="89"/>
      <c r="C579" s="91"/>
      <c r="D579" s="91"/>
      <c r="E579" s="91"/>
      <c r="F579" s="91"/>
      <c r="G579" s="91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89"/>
      <c r="Y579" s="89"/>
      <c r="Z579" s="91"/>
      <c r="AA579" s="91"/>
      <c r="AB579" s="91"/>
      <c r="AC579" s="91"/>
      <c r="AD579" s="91"/>
      <c r="AE579" s="91"/>
      <c r="AF579" s="91"/>
      <c r="AG579" s="91"/>
      <c r="AH579" s="91"/>
      <c r="AI579" s="91"/>
      <c r="AL579" s="89"/>
      <c r="AM579" s="91"/>
      <c r="AN579" s="91"/>
      <c r="AP579" s="91"/>
      <c r="AQ579" s="91"/>
      <c r="AR579" s="91"/>
      <c r="AS579" s="91"/>
      <c r="AT579" s="91"/>
      <c r="BA579" s="91"/>
      <c r="BD579" s="89"/>
      <c r="BE579" s="89"/>
      <c r="BF579" s="91"/>
      <c r="BG579" s="91"/>
      <c r="BH579" s="91"/>
      <c r="BO579" s="91"/>
      <c r="BS579" s="91"/>
      <c r="BT579" s="91"/>
      <c r="BV579" s="91"/>
    </row>
    <row r="580" spans="1:74" x14ac:dyDescent="0.3">
      <c r="A580" s="89"/>
      <c r="B580" s="89"/>
      <c r="C580" s="91"/>
      <c r="D580" s="91"/>
      <c r="E580" s="91"/>
      <c r="F580" s="91"/>
      <c r="G580" s="91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89"/>
      <c r="Y580" s="89"/>
      <c r="Z580" s="91"/>
      <c r="AA580" s="91"/>
      <c r="AB580" s="91"/>
      <c r="AC580" s="91"/>
      <c r="AD580" s="91"/>
      <c r="AE580" s="91"/>
      <c r="AF580" s="91"/>
      <c r="AG580" s="91"/>
      <c r="AH580" s="91"/>
      <c r="AI580" s="91"/>
      <c r="AL580" s="89"/>
      <c r="AM580" s="91"/>
      <c r="AN580" s="91"/>
      <c r="AP580" s="91"/>
      <c r="AQ580" s="91"/>
      <c r="AR580" s="91"/>
      <c r="AS580" s="91"/>
      <c r="AT580" s="91"/>
      <c r="BA580" s="91"/>
      <c r="BD580" s="89"/>
      <c r="BE580" s="89"/>
      <c r="BF580" s="91"/>
      <c r="BG580" s="91"/>
      <c r="BH580" s="91"/>
      <c r="BO580" s="91"/>
      <c r="BS580" s="91"/>
      <c r="BT580" s="91"/>
      <c r="BV580" s="91"/>
    </row>
    <row r="581" spans="1:74" x14ac:dyDescent="0.3">
      <c r="A581" s="89"/>
      <c r="B581" s="89"/>
      <c r="C581" s="91"/>
      <c r="D581" s="91"/>
      <c r="E581" s="91"/>
      <c r="F581" s="91"/>
      <c r="G581" s="91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89"/>
      <c r="Y581" s="89"/>
      <c r="Z581" s="91"/>
      <c r="AA581" s="91"/>
      <c r="AB581" s="91"/>
      <c r="AC581" s="91"/>
      <c r="AD581" s="91"/>
      <c r="AE581" s="91"/>
      <c r="AF581" s="91"/>
      <c r="AG581" s="91"/>
      <c r="AH581" s="91"/>
      <c r="AI581" s="91"/>
      <c r="AL581" s="89"/>
      <c r="AM581" s="91"/>
      <c r="AN581" s="91"/>
      <c r="AP581" s="91"/>
      <c r="AQ581" s="91"/>
      <c r="AR581" s="91"/>
      <c r="AS581" s="91"/>
      <c r="AT581" s="91"/>
      <c r="BA581" s="91"/>
      <c r="BD581" s="89"/>
      <c r="BE581" s="89"/>
      <c r="BF581" s="91"/>
      <c r="BG581" s="91"/>
      <c r="BH581" s="91"/>
      <c r="BO581" s="91"/>
      <c r="BS581" s="91"/>
      <c r="BT581" s="91"/>
      <c r="BV581" s="91"/>
    </row>
    <row r="582" spans="1:74" x14ac:dyDescent="0.3">
      <c r="A582" s="89"/>
      <c r="B582" s="89"/>
      <c r="C582" s="91"/>
      <c r="D582" s="91"/>
      <c r="E582" s="91"/>
      <c r="F582" s="91"/>
      <c r="G582" s="91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89"/>
      <c r="Y582" s="89"/>
      <c r="Z582" s="91"/>
      <c r="AA582" s="91"/>
      <c r="AB582" s="91"/>
      <c r="AC582" s="91"/>
      <c r="AD582" s="91"/>
      <c r="AE582" s="91"/>
      <c r="AF582" s="91"/>
      <c r="AG582" s="91"/>
      <c r="AH582" s="91"/>
      <c r="AI582" s="91"/>
      <c r="AL582" s="89"/>
      <c r="AM582" s="91"/>
      <c r="AN582" s="91"/>
      <c r="AP582" s="91"/>
      <c r="AQ582" s="91"/>
      <c r="AR582" s="91"/>
      <c r="AS582" s="91"/>
      <c r="AT582" s="91"/>
      <c r="BA582" s="91"/>
      <c r="BD582" s="89"/>
      <c r="BE582" s="89"/>
      <c r="BF582" s="91"/>
      <c r="BG582" s="91"/>
      <c r="BH582" s="91"/>
      <c r="BO582" s="91"/>
      <c r="BS582" s="91"/>
      <c r="BT582" s="91"/>
      <c r="BV582" s="91"/>
    </row>
    <row r="583" spans="1:74" x14ac:dyDescent="0.3">
      <c r="A583" s="89"/>
      <c r="B583" s="89"/>
      <c r="C583" s="91"/>
      <c r="D583" s="91"/>
      <c r="E583" s="91"/>
      <c r="F583" s="91"/>
      <c r="G583" s="91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89"/>
      <c r="Y583" s="89"/>
      <c r="Z583" s="91"/>
      <c r="AA583" s="91"/>
      <c r="AB583" s="91"/>
      <c r="AC583" s="91"/>
      <c r="AD583" s="91"/>
      <c r="AE583" s="91"/>
      <c r="AF583" s="91"/>
      <c r="AG583" s="91"/>
      <c r="AH583" s="91"/>
      <c r="AI583" s="91"/>
      <c r="AL583" s="89"/>
      <c r="AM583" s="91"/>
      <c r="AN583" s="91"/>
      <c r="AP583" s="91"/>
      <c r="AQ583" s="91"/>
      <c r="AR583" s="91"/>
      <c r="AS583" s="91"/>
      <c r="AT583" s="91"/>
      <c r="BA583" s="91"/>
      <c r="BD583" s="89"/>
      <c r="BE583" s="89"/>
      <c r="BF583" s="91"/>
      <c r="BG583" s="91"/>
      <c r="BH583" s="91"/>
      <c r="BO583" s="91"/>
      <c r="BS583" s="91"/>
      <c r="BT583" s="91"/>
      <c r="BV583" s="91"/>
    </row>
    <row r="584" spans="1:74" x14ac:dyDescent="0.3">
      <c r="A584" s="89"/>
      <c r="B584" s="89"/>
      <c r="C584" s="91"/>
      <c r="D584" s="91"/>
      <c r="E584" s="91"/>
      <c r="F584" s="91"/>
      <c r="G584" s="91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89"/>
      <c r="Y584" s="89"/>
      <c r="Z584" s="91"/>
      <c r="AA584" s="91"/>
      <c r="AB584" s="91"/>
      <c r="AC584" s="91"/>
      <c r="AD584" s="91"/>
      <c r="AE584" s="91"/>
      <c r="AF584" s="91"/>
      <c r="AG584" s="91"/>
      <c r="AH584" s="91"/>
      <c r="AI584" s="91"/>
      <c r="AL584" s="89"/>
      <c r="AM584" s="91"/>
      <c r="AN584" s="91"/>
      <c r="AP584" s="91"/>
      <c r="AQ584" s="91"/>
      <c r="AR584" s="91"/>
      <c r="AS584" s="91"/>
      <c r="AT584" s="91"/>
      <c r="BA584" s="91"/>
      <c r="BD584" s="89"/>
      <c r="BE584" s="89"/>
      <c r="BF584" s="91"/>
      <c r="BG584" s="91"/>
      <c r="BH584" s="91"/>
      <c r="BO584" s="91"/>
      <c r="BS584" s="91"/>
      <c r="BT584" s="91"/>
      <c r="BV584" s="91"/>
    </row>
    <row r="585" spans="1:74" x14ac:dyDescent="0.3">
      <c r="A585" s="89"/>
      <c r="B585" s="89"/>
      <c r="C585" s="91"/>
      <c r="D585" s="91"/>
      <c r="E585" s="91"/>
      <c r="F585" s="91"/>
      <c r="G585" s="91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89"/>
      <c r="Y585" s="89"/>
      <c r="Z585" s="91"/>
      <c r="AA585" s="91"/>
      <c r="AB585" s="91"/>
      <c r="AC585" s="91"/>
      <c r="AD585" s="91"/>
      <c r="AE585" s="91"/>
      <c r="AF585" s="91"/>
      <c r="AG585" s="91"/>
      <c r="AH585" s="91"/>
      <c r="AI585" s="91"/>
      <c r="AL585" s="89"/>
      <c r="AM585" s="91"/>
      <c r="AN585" s="91"/>
      <c r="AP585" s="91"/>
      <c r="AQ585" s="91"/>
      <c r="AR585" s="91"/>
      <c r="AS585" s="91"/>
      <c r="AT585" s="91"/>
      <c r="BA585" s="91"/>
      <c r="BD585" s="89"/>
      <c r="BE585" s="89"/>
      <c r="BF585" s="91"/>
      <c r="BG585" s="91"/>
      <c r="BH585" s="91"/>
      <c r="BO585" s="91"/>
      <c r="BS585" s="91"/>
      <c r="BT585" s="91"/>
      <c r="BV585" s="91"/>
    </row>
    <row r="586" spans="1:74" x14ac:dyDescent="0.3">
      <c r="A586" s="89"/>
      <c r="B586" s="89"/>
      <c r="C586" s="91"/>
      <c r="D586" s="91"/>
      <c r="E586" s="91"/>
      <c r="F586" s="91"/>
      <c r="G586" s="91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89"/>
      <c r="Y586" s="89"/>
      <c r="Z586" s="91"/>
      <c r="AA586" s="91"/>
      <c r="AB586" s="91"/>
      <c r="AC586" s="91"/>
      <c r="AD586" s="91"/>
      <c r="AE586" s="91"/>
      <c r="AF586" s="91"/>
      <c r="AG586" s="91"/>
      <c r="AH586" s="91"/>
      <c r="AI586" s="91"/>
      <c r="AL586" s="89"/>
      <c r="AM586" s="91"/>
      <c r="AN586" s="91"/>
      <c r="AP586" s="91"/>
      <c r="AQ586" s="91"/>
      <c r="AR586" s="91"/>
      <c r="AS586" s="91"/>
      <c r="AT586" s="91"/>
      <c r="BA586" s="91"/>
      <c r="BD586" s="89"/>
      <c r="BE586" s="89"/>
      <c r="BF586" s="91"/>
      <c r="BG586" s="91"/>
      <c r="BH586" s="91"/>
      <c r="BO586" s="91"/>
      <c r="BS586" s="91"/>
      <c r="BT586" s="91"/>
      <c r="BV586" s="91"/>
    </row>
    <row r="587" spans="1:74" x14ac:dyDescent="0.3">
      <c r="A587" s="89"/>
      <c r="B587" s="89"/>
      <c r="C587" s="91"/>
      <c r="D587" s="91"/>
      <c r="E587" s="91"/>
      <c r="F587" s="91"/>
      <c r="G587" s="91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89"/>
      <c r="Y587" s="89"/>
      <c r="Z587" s="91"/>
      <c r="AA587" s="91"/>
      <c r="AB587" s="91"/>
      <c r="AC587" s="91"/>
      <c r="AD587" s="91"/>
      <c r="AE587" s="91"/>
      <c r="AF587" s="91"/>
      <c r="AG587" s="91"/>
      <c r="AH587" s="91"/>
      <c r="AI587" s="91"/>
      <c r="AL587" s="89"/>
      <c r="AM587" s="91"/>
      <c r="AN587" s="91"/>
      <c r="AP587" s="91"/>
      <c r="AQ587" s="91"/>
      <c r="AR587" s="91"/>
      <c r="AS587" s="91"/>
      <c r="AT587" s="91"/>
      <c r="BA587" s="91"/>
      <c r="BD587" s="89"/>
      <c r="BE587" s="89"/>
      <c r="BF587" s="91"/>
      <c r="BG587" s="91"/>
      <c r="BH587" s="91"/>
      <c r="BO587" s="91"/>
      <c r="BS587" s="91"/>
      <c r="BT587" s="91"/>
      <c r="BV587" s="91"/>
    </row>
    <row r="588" spans="1:74" x14ac:dyDescent="0.3">
      <c r="A588" s="89"/>
      <c r="B588" s="89"/>
      <c r="C588" s="91"/>
      <c r="D588" s="91"/>
      <c r="E588" s="91"/>
      <c r="F588" s="91"/>
      <c r="G588" s="91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89"/>
      <c r="Y588" s="89"/>
      <c r="Z588" s="91"/>
      <c r="AA588" s="91"/>
      <c r="AB588" s="91"/>
      <c r="AC588" s="91"/>
      <c r="AD588" s="91"/>
      <c r="AE588" s="91"/>
      <c r="AF588" s="91"/>
      <c r="AG588" s="91"/>
      <c r="AH588" s="91"/>
      <c r="AI588" s="91"/>
      <c r="AL588" s="89"/>
      <c r="AM588" s="91"/>
      <c r="AN588" s="91"/>
      <c r="AP588" s="91"/>
      <c r="AQ588" s="91"/>
      <c r="AR588" s="91"/>
      <c r="AS588" s="91"/>
      <c r="AT588" s="91"/>
      <c r="BA588" s="91"/>
      <c r="BD588" s="89"/>
      <c r="BE588" s="89"/>
      <c r="BF588" s="91"/>
      <c r="BG588" s="91"/>
      <c r="BH588" s="91"/>
      <c r="BO588" s="91"/>
      <c r="BS588" s="91"/>
      <c r="BT588" s="91"/>
      <c r="BV588" s="91"/>
    </row>
    <row r="589" spans="1:74" x14ac:dyDescent="0.3">
      <c r="A589" s="89"/>
      <c r="B589" s="89"/>
      <c r="C589" s="91"/>
      <c r="D589" s="91"/>
      <c r="E589" s="91"/>
      <c r="F589" s="91"/>
      <c r="G589" s="91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89"/>
      <c r="Y589" s="89"/>
      <c r="Z589" s="91"/>
      <c r="AA589" s="91"/>
      <c r="AB589" s="91"/>
      <c r="AC589" s="91"/>
      <c r="AD589" s="91"/>
      <c r="AE589" s="91"/>
      <c r="AF589" s="91"/>
      <c r="AG589" s="91"/>
      <c r="AH589" s="91"/>
      <c r="AI589" s="91"/>
      <c r="AL589" s="89"/>
      <c r="AM589" s="91"/>
      <c r="AN589" s="91"/>
      <c r="AP589" s="91"/>
      <c r="AQ589" s="91"/>
      <c r="AR589" s="91"/>
      <c r="AS589" s="91"/>
      <c r="AT589" s="91"/>
      <c r="BA589" s="91"/>
      <c r="BD589" s="89"/>
      <c r="BE589" s="89"/>
      <c r="BF589" s="91"/>
      <c r="BG589" s="91"/>
      <c r="BH589" s="91"/>
      <c r="BO589" s="91"/>
      <c r="BS589" s="91"/>
      <c r="BT589" s="91"/>
      <c r="BV589" s="91"/>
    </row>
    <row r="590" spans="1:74" x14ac:dyDescent="0.3">
      <c r="A590" s="89"/>
      <c r="B590" s="89"/>
      <c r="C590" s="91"/>
      <c r="D590" s="91"/>
      <c r="E590" s="91"/>
      <c r="F590" s="91"/>
      <c r="G590" s="91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89"/>
      <c r="Y590" s="89"/>
      <c r="Z590" s="91"/>
      <c r="AA590" s="91"/>
      <c r="AB590" s="91"/>
      <c r="AC590" s="91"/>
      <c r="AD590" s="91"/>
      <c r="AE590" s="91"/>
      <c r="AF590" s="91"/>
      <c r="AG590" s="91"/>
      <c r="AH590" s="91"/>
      <c r="AI590" s="91"/>
      <c r="AL590" s="89"/>
      <c r="AM590" s="91"/>
      <c r="AN590" s="91"/>
      <c r="AP590" s="91"/>
      <c r="AQ590" s="91"/>
      <c r="AR590" s="91"/>
      <c r="AS590" s="91"/>
      <c r="AT590" s="91"/>
      <c r="BA590" s="91"/>
      <c r="BD590" s="89"/>
      <c r="BE590" s="89"/>
      <c r="BF590" s="91"/>
      <c r="BG590" s="91"/>
      <c r="BH590" s="91"/>
      <c r="BO590" s="91"/>
      <c r="BS590" s="91"/>
      <c r="BT590" s="91"/>
      <c r="BV590" s="91"/>
    </row>
    <row r="591" spans="1:74" x14ac:dyDescent="0.3">
      <c r="A591" s="89"/>
      <c r="B591" s="89"/>
      <c r="C591" s="91"/>
      <c r="D591" s="91"/>
      <c r="E591" s="91"/>
      <c r="F591" s="91"/>
      <c r="G591" s="91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89"/>
      <c r="Y591" s="89"/>
      <c r="Z591" s="91"/>
      <c r="AA591" s="91"/>
      <c r="AB591" s="91"/>
      <c r="AC591" s="91"/>
      <c r="AD591" s="91"/>
      <c r="AE591" s="91"/>
      <c r="AF591" s="91"/>
      <c r="AG591" s="91"/>
      <c r="AH591" s="91"/>
      <c r="AI591" s="91"/>
      <c r="AL591" s="89"/>
      <c r="AM591" s="91"/>
      <c r="AN591" s="91"/>
      <c r="AP591" s="91"/>
      <c r="AQ591" s="91"/>
      <c r="AR591" s="91"/>
      <c r="AS591" s="91"/>
      <c r="AT591" s="91"/>
      <c r="BA591" s="91"/>
      <c r="BD591" s="89"/>
      <c r="BE591" s="89"/>
      <c r="BF591" s="91"/>
      <c r="BG591" s="91"/>
      <c r="BH591" s="91"/>
      <c r="BO591" s="91"/>
      <c r="BS591" s="91"/>
      <c r="BT591" s="91"/>
      <c r="BV591" s="91"/>
    </row>
  </sheetData>
  <autoFilter ref="A12:BP62" xr:uid="{00000000-0009-0000-0000-000001000000}"/>
  <pageMargins left="0.70866141732283472" right="0.70866141732283472" top="0.74803149606299213" bottom="0.74803149606299213" header="0.31496062992125984" footer="0.31496062992125984"/>
  <pageSetup paperSize="8" scale="49" orientation="landscape" r:id="rId1"/>
  <colBreaks count="3" manualBreakCount="3">
    <brk id="21" max="1048575" man="1"/>
    <brk id="45" max="1048575" man="1"/>
    <brk id="70" max="1048575" man="1"/>
  </colBreak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574E246-BBD5-42E7-A815-6A181A876FDA}">
          <x14:formula1>
            <xm:f>Hulp!$B$47:$B$49</xm:f>
          </x14:formula1>
          <xm:sqref>BP14:BP29 AY14:AY31 BW14:BW48 AR14:AR48</xm:sqref>
        </x14:dataValidation>
        <x14:dataValidation type="list" allowBlank="1" showInputMessage="1" showErrorMessage="1" xr:uid="{89C35E35-B6EE-4F57-B29B-E6A41B91D866}">
          <x14:formula1>
            <xm:f>Hulp!$B$21:$B$24</xm:f>
          </x14:formula1>
          <xm:sqref>BJ14:BJ29</xm:sqref>
        </x14:dataValidation>
        <x14:dataValidation type="list" allowBlank="1" showInputMessage="1" showErrorMessage="1" xr:uid="{8B2356F4-2B99-489E-8A50-DF13A621AE6F}">
          <x14:formula1>
            <xm:f>Hulp!$B$28:$B$31</xm:f>
          </x14:formula1>
          <xm:sqref>BL14:BL29</xm:sqref>
        </x14:dataValidation>
        <x14:dataValidation type="list" allowBlank="1" showInputMessage="1" showErrorMessage="1" xr:uid="{43D581E5-4B33-4785-B0A6-58D4AA3F89E6}">
          <x14:formula1>
            <xm:f>Hulp!$B$41:$B$43</xm:f>
          </x14:formula1>
          <xm:sqref>BM14:BM29</xm:sqref>
        </x14:dataValidation>
        <x14:dataValidation type="list" allowBlank="1" showInputMessage="1" showErrorMessage="1" xr:uid="{0FC6245F-9757-476F-8512-184014D88DC9}">
          <x14:formula1>
            <xm:f>Hulp!$B$35:$B$37</xm:f>
          </x14:formula1>
          <xm:sqref>BN14:BN29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BC84-BE67-4341-812A-C4B8F2455C49}">
  <dimension ref="A1:H61"/>
  <sheetViews>
    <sheetView workbookViewId="0">
      <selection activeCell="C12" sqref="C12"/>
    </sheetView>
  </sheetViews>
  <sheetFormatPr defaultRowHeight="14.4" x14ac:dyDescent="0.3"/>
  <cols>
    <col min="1" max="1" width="6.21875" customWidth="1"/>
    <col min="2" max="2" width="22.77734375" customWidth="1"/>
    <col min="3" max="3" width="54.33203125" customWidth="1"/>
    <col min="6" max="6" width="6.6640625" customWidth="1"/>
    <col min="7" max="7" width="30.44140625" customWidth="1"/>
    <col min="8" max="8" width="26.5546875" customWidth="1"/>
    <col min="9" max="9" width="22.33203125" customWidth="1"/>
  </cols>
  <sheetData>
    <row r="1" spans="1:3" x14ac:dyDescent="0.3">
      <c r="B1" s="112" t="s">
        <v>1305</v>
      </c>
      <c r="C1" t="str">
        <f t="array" aca="1" ref="C1" ca="1">MID(CELL("filename",H27),1,FIND("[",CELL("filename",H27),1)-1)</f>
        <v>C:\Users\deenekat7271\Documents\GitHub\PV-tool\pv_tool_logic\templates\</v>
      </c>
    </row>
    <row r="2" spans="1:3" x14ac:dyDescent="0.3">
      <c r="B2" t="s">
        <v>1304</v>
      </c>
    </row>
    <row r="3" spans="1:3" x14ac:dyDescent="0.3">
      <c r="A3" t="s">
        <v>1296</v>
      </c>
      <c r="B3" s="111" t="s">
        <v>1310</v>
      </c>
      <c r="C3" s="109" t="str">
        <f ca="1">$C$1&amp;B3</f>
        <v>C:\Users\deenekat7271\Documents\GitHub\PV-tool\pv_tool_logic\templates\Labonderzoek\DSS\</v>
      </c>
    </row>
    <row r="4" spans="1:3" x14ac:dyDescent="0.3">
      <c r="A4" t="s">
        <v>1309</v>
      </c>
      <c r="B4" s="111" t="s">
        <v>1308</v>
      </c>
      <c r="C4" s="109" t="str">
        <f ca="1">$C$1&amp;B4</f>
        <v>C:\Users\deenekat7271\Documents\GitHub\PV-tool\pv_tool_logic\templates\Labonderzoek\TX\</v>
      </c>
    </row>
    <row r="5" spans="1:3" x14ac:dyDescent="0.3">
      <c r="A5" t="s">
        <v>1307</v>
      </c>
      <c r="B5" s="111" t="s">
        <v>1306</v>
      </c>
      <c r="C5" s="109" t="str">
        <f ca="1">$C$1&amp;B5</f>
        <v>C:\Users\deenekat7271\Documents\GitHub\PV-tool\pv_tool_logic\templates\labonderzoek\CRS\</v>
      </c>
    </row>
    <row r="18" spans="2:8" x14ac:dyDescent="0.3">
      <c r="B18" s="107" t="s">
        <v>1303</v>
      </c>
    </row>
    <row r="20" spans="2:8" x14ac:dyDescent="0.3">
      <c r="B20" s="110" t="s">
        <v>1302</v>
      </c>
    </row>
    <row r="21" spans="2:8" x14ac:dyDescent="0.3">
      <c r="B21" t="s">
        <v>1103</v>
      </c>
    </row>
    <row r="22" spans="2:8" x14ac:dyDescent="0.3">
      <c r="B22" t="s">
        <v>1108</v>
      </c>
    </row>
    <row r="23" spans="2:8" x14ac:dyDescent="0.3">
      <c r="B23" t="s">
        <v>1301</v>
      </c>
    </row>
    <row r="24" spans="2:8" x14ac:dyDescent="0.3">
      <c r="B24" t="s">
        <v>1300</v>
      </c>
    </row>
    <row r="25" spans="2:8" x14ac:dyDescent="0.3">
      <c r="G25" s="109"/>
      <c r="H25" s="109"/>
    </row>
    <row r="27" spans="2:8" x14ac:dyDescent="0.3">
      <c r="B27" s="107" t="s">
        <v>1083</v>
      </c>
      <c r="G27" s="108"/>
      <c r="H27" s="109"/>
    </row>
    <row r="28" spans="2:8" x14ac:dyDescent="0.3">
      <c r="B28" t="s">
        <v>1104</v>
      </c>
      <c r="G28" s="108"/>
    </row>
    <row r="29" spans="2:8" x14ac:dyDescent="0.3">
      <c r="B29" t="s">
        <v>1110</v>
      </c>
    </row>
    <row r="30" spans="2:8" x14ac:dyDescent="0.3">
      <c r="B30" t="s">
        <v>1299</v>
      </c>
    </row>
    <row r="31" spans="2:8" x14ac:dyDescent="0.3">
      <c r="B31" t="s">
        <v>1114</v>
      </c>
    </row>
    <row r="34" spans="2:2" x14ac:dyDescent="0.3">
      <c r="B34" s="107" t="s">
        <v>1101</v>
      </c>
    </row>
    <row r="35" spans="2:2" x14ac:dyDescent="0.3">
      <c r="B35" t="s">
        <v>1106</v>
      </c>
    </row>
    <row r="36" spans="2:2" x14ac:dyDescent="0.3">
      <c r="B36" t="s">
        <v>1112</v>
      </c>
    </row>
    <row r="37" spans="2:2" x14ac:dyDescent="0.3">
      <c r="B37" t="s">
        <v>1298</v>
      </c>
    </row>
    <row r="38" spans="2:2" ht="15" customHeight="1" x14ac:dyDescent="0.3"/>
    <row r="39" spans="2:2" ht="15" customHeight="1" x14ac:dyDescent="0.3"/>
    <row r="40" spans="2:2" x14ac:dyDescent="0.3">
      <c r="B40" s="107" t="s">
        <v>1100</v>
      </c>
    </row>
    <row r="41" spans="2:2" x14ac:dyDescent="0.3">
      <c r="B41" t="s">
        <v>1109</v>
      </c>
    </row>
    <row r="42" spans="2:2" x14ac:dyDescent="0.3">
      <c r="B42" t="s">
        <v>1105</v>
      </c>
    </row>
    <row r="43" spans="2:2" x14ac:dyDescent="0.3">
      <c r="B43" t="s">
        <v>1111</v>
      </c>
    </row>
    <row r="46" spans="2:2" x14ac:dyDescent="0.3">
      <c r="B46" s="107" t="s">
        <v>1297</v>
      </c>
    </row>
    <row r="47" spans="2:2" x14ac:dyDescent="0.3">
      <c r="B47" t="s">
        <v>1102</v>
      </c>
    </row>
    <row r="48" spans="2:2" x14ac:dyDescent="0.3">
      <c r="B48" t="s">
        <v>1107</v>
      </c>
    </row>
    <row r="49" spans="2:2" x14ac:dyDescent="0.3">
      <c r="B49" t="s">
        <v>1113</v>
      </c>
    </row>
    <row r="61" spans="2:2" ht="15" customHeight="1" x14ac:dyDescent="0.3"/>
  </sheetData>
  <conditionalFormatting sqref="G27:G28">
    <cfRule type="expression" dxfId="0" priority="2">
      <formula>NOT(#REF!=#REF!)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8" sqref="A8"/>
    </sheetView>
  </sheetViews>
  <sheetFormatPr defaultRowHeight="14.4" x14ac:dyDescent="0.3"/>
  <cols>
    <col min="1" max="1" width="45" customWidth="1"/>
    <col min="2" max="2" width="28" customWidth="1"/>
    <col min="3" max="3" width="10.6640625" customWidth="1"/>
    <col min="4" max="4" width="15" customWidth="1"/>
    <col min="5" max="5" width="12" customWidth="1"/>
    <col min="6" max="6" width="21" customWidth="1"/>
    <col min="7" max="7" width="23" customWidth="1"/>
    <col min="8" max="8" width="21" customWidth="1"/>
    <col min="9" max="9" width="23" customWidth="1"/>
    <col min="10" max="11" width="16" customWidth="1"/>
    <col min="12" max="12" width="20" customWidth="1"/>
    <col min="13" max="13" width="18" customWidth="1"/>
    <col min="14" max="14" width="21" customWidth="1"/>
    <col min="15" max="15" width="18" customWidth="1"/>
    <col min="16" max="18" width="21" customWidth="1"/>
    <col min="19" max="19" width="23" customWidth="1"/>
    <col min="20" max="20" width="22" customWidth="1"/>
    <col min="21" max="21" width="21" customWidth="1"/>
    <col min="22" max="22" width="20" customWidth="1"/>
    <col min="23" max="23" width="21" customWidth="1"/>
  </cols>
  <sheetData>
    <row r="2" spans="1:23" x14ac:dyDescent="0.3">
      <c r="A2" s="35" t="s">
        <v>907</v>
      </c>
      <c r="B2" s="36"/>
      <c r="C2" s="36"/>
      <c r="D2" s="36"/>
      <c r="E2" s="3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spans="1:23" ht="54.6" customHeight="1" x14ac:dyDescent="0.3">
      <c r="A4" s="30" t="s">
        <v>908</v>
      </c>
      <c r="B4" s="30" t="s">
        <v>909</v>
      </c>
      <c r="C4" s="30" t="s">
        <v>910</v>
      </c>
      <c r="D4" s="30" t="s">
        <v>330</v>
      </c>
      <c r="E4" s="30" t="s">
        <v>911</v>
      </c>
      <c r="F4" s="30" t="s">
        <v>912</v>
      </c>
      <c r="G4" s="30" t="s">
        <v>913</v>
      </c>
      <c r="H4" s="30" t="s">
        <v>914</v>
      </c>
      <c r="I4" s="30" t="s">
        <v>915</v>
      </c>
      <c r="J4" s="30" t="s">
        <v>916</v>
      </c>
      <c r="K4" s="30" t="s">
        <v>917</v>
      </c>
      <c r="L4" s="30" t="s">
        <v>918</v>
      </c>
      <c r="M4" s="30" t="s">
        <v>919</v>
      </c>
      <c r="N4" s="30" t="s">
        <v>920</v>
      </c>
      <c r="O4" s="30" t="s">
        <v>921</v>
      </c>
      <c r="P4" s="30" t="s">
        <v>922</v>
      </c>
      <c r="Q4" s="30" t="s">
        <v>923</v>
      </c>
      <c r="R4" s="30" t="s">
        <v>924</v>
      </c>
      <c r="S4" s="30" t="s">
        <v>925</v>
      </c>
      <c r="T4" s="30" t="s">
        <v>926</v>
      </c>
      <c r="U4" s="30" t="s">
        <v>927</v>
      </c>
      <c r="V4" s="30" t="s">
        <v>928</v>
      </c>
      <c r="W4" s="30" t="s">
        <v>929</v>
      </c>
    </row>
    <row r="5" spans="1:23" x14ac:dyDescent="0.3">
      <c r="A5" s="34" t="s">
        <v>406</v>
      </c>
      <c r="B5" s="34" t="s">
        <v>406</v>
      </c>
      <c r="C5" s="34" t="s">
        <v>406</v>
      </c>
      <c r="D5" s="34" t="s">
        <v>406</v>
      </c>
      <c r="E5" s="34" t="s">
        <v>406</v>
      </c>
      <c r="F5" s="34" t="s">
        <v>413</v>
      </c>
      <c r="G5" s="34" t="s">
        <v>406</v>
      </c>
      <c r="H5" s="34" t="s">
        <v>413</v>
      </c>
      <c r="I5" s="34" t="s">
        <v>406</v>
      </c>
      <c r="J5" s="34" t="s">
        <v>406</v>
      </c>
      <c r="K5" s="34" t="s">
        <v>406</v>
      </c>
      <c r="L5" s="34" t="s">
        <v>406</v>
      </c>
      <c r="M5" s="34" t="s">
        <v>413</v>
      </c>
      <c r="N5" s="34" t="s">
        <v>930</v>
      </c>
      <c r="O5" s="34" t="s">
        <v>413</v>
      </c>
      <c r="P5" s="34" t="s">
        <v>930</v>
      </c>
      <c r="Q5" s="34" t="s">
        <v>406</v>
      </c>
      <c r="R5" s="34" t="s">
        <v>406</v>
      </c>
      <c r="S5" s="34" t="s">
        <v>410</v>
      </c>
      <c r="T5" s="34" t="s">
        <v>410</v>
      </c>
      <c r="U5" s="34" t="s">
        <v>406</v>
      </c>
      <c r="V5" s="34" t="s">
        <v>406</v>
      </c>
      <c r="W5" s="34" t="s">
        <v>406</v>
      </c>
    </row>
    <row r="7" spans="1:23" x14ac:dyDescent="0.3">
      <c r="A7" s="30" t="s">
        <v>931</v>
      </c>
      <c r="B7" s="30" t="s">
        <v>888</v>
      </c>
      <c r="C7" s="30" t="s">
        <v>932</v>
      </c>
      <c r="D7" s="30" t="s">
        <v>933</v>
      </c>
      <c r="E7" s="30" t="s">
        <v>934</v>
      </c>
      <c r="F7" s="30" t="s">
        <v>982</v>
      </c>
      <c r="G7" s="30" t="s">
        <v>1026</v>
      </c>
      <c r="H7" s="30" t="s">
        <v>1027</v>
      </c>
      <c r="I7" s="30" t="s">
        <v>1028</v>
      </c>
      <c r="J7" s="30" t="s">
        <v>1029</v>
      </c>
      <c r="K7" s="30" t="s">
        <v>1030</v>
      </c>
      <c r="L7" s="30" t="s">
        <v>935</v>
      </c>
      <c r="M7" s="30" t="s">
        <v>1031</v>
      </c>
      <c r="N7" s="30" t="s">
        <v>1032</v>
      </c>
      <c r="O7" s="30" t="s">
        <v>1033</v>
      </c>
      <c r="P7" s="30" t="s">
        <v>1034</v>
      </c>
      <c r="Q7" s="30" t="s">
        <v>1035</v>
      </c>
      <c r="R7" s="30" t="s">
        <v>1036</v>
      </c>
      <c r="S7" s="30" t="s">
        <v>994</v>
      </c>
      <c r="T7" s="30" t="s">
        <v>995</v>
      </c>
      <c r="U7" s="30" t="s">
        <v>936</v>
      </c>
      <c r="V7" s="30" t="s">
        <v>937</v>
      </c>
      <c r="W7" s="30" t="s">
        <v>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8" sqref="A8"/>
    </sheetView>
  </sheetViews>
  <sheetFormatPr defaultRowHeight="14.4" x14ac:dyDescent="0.3"/>
  <cols>
    <col min="1" max="1" width="15" customWidth="1"/>
    <col min="2" max="2" width="9" customWidth="1"/>
    <col min="3" max="3" width="15" customWidth="1"/>
    <col min="4" max="4" width="12" customWidth="1"/>
    <col min="5" max="5" width="33" customWidth="1"/>
    <col min="6" max="6" width="20" customWidth="1"/>
    <col min="7" max="7" width="28" customWidth="1"/>
    <col min="8" max="8" width="17" customWidth="1"/>
    <col min="9" max="9" width="14" customWidth="1"/>
    <col min="10" max="10" width="18" customWidth="1"/>
    <col min="11" max="11" width="28" customWidth="1"/>
    <col min="12" max="12" width="17" customWidth="1"/>
    <col min="13" max="13" width="14" customWidth="1"/>
    <col min="14" max="14" width="18" customWidth="1"/>
    <col min="15" max="16" width="19" customWidth="1"/>
    <col min="17" max="17" width="21" customWidth="1"/>
    <col min="18" max="18" width="23" customWidth="1"/>
    <col min="19" max="19" width="22" customWidth="1"/>
    <col min="20" max="20" width="21" customWidth="1"/>
    <col min="21" max="21" width="20" customWidth="1"/>
    <col min="22" max="22" width="21" customWidth="1"/>
  </cols>
  <sheetData>
    <row r="2" spans="1:22" x14ac:dyDescent="0.3">
      <c r="A2" s="4" t="s">
        <v>939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4" spans="1:22" ht="36" customHeight="1" x14ac:dyDescent="0.3">
      <c r="A4" s="30" t="s">
        <v>909</v>
      </c>
      <c r="B4" s="30" t="s">
        <v>910</v>
      </c>
      <c r="C4" s="30" t="s">
        <v>330</v>
      </c>
      <c r="D4" s="30" t="s">
        <v>911</v>
      </c>
      <c r="E4" s="30" t="s">
        <v>908</v>
      </c>
      <c r="F4" s="30" t="s">
        <v>918</v>
      </c>
      <c r="G4" s="30" t="s">
        <v>940</v>
      </c>
      <c r="H4" s="30" t="s">
        <v>941</v>
      </c>
      <c r="I4" s="30" t="s">
        <v>942</v>
      </c>
      <c r="J4" s="30" t="s">
        <v>943</v>
      </c>
      <c r="K4" s="30" t="s">
        <v>944</v>
      </c>
      <c r="L4" s="30" t="s">
        <v>945</v>
      </c>
      <c r="M4" s="30" t="s">
        <v>946</v>
      </c>
      <c r="N4" s="30" t="s">
        <v>947</v>
      </c>
      <c r="O4" s="30" t="s">
        <v>948</v>
      </c>
      <c r="P4" s="30" t="s">
        <v>949</v>
      </c>
      <c r="Q4" s="30" t="s">
        <v>950</v>
      </c>
      <c r="R4" s="30" t="s">
        <v>925</v>
      </c>
      <c r="S4" s="30" t="s">
        <v>926</v>
      </c>
      <c r="T4" s="30" t="s">
        <v>927</v>
      </c>
      <c r="U4" s="30" t="s">
        <v>928</v>
      </c>
      <c r="V4" s="30" t="s">
        <v>929</v>
      </c>
    </row>
    <row r="5" spans="1:22" x14ac:dyDescent="0.3">
      <c r="A5" s="34" t="s">
        <v>406</v>
      </c>
      <c r="B5" s="34" t="s">
        <v>406</v>
      </c>
      <c r="C5" s="34" t="s">
        <v>406</v>
      </c>
      <c r="D5" s="34" t="s">
        <v>406</v>
      </c>
      <c r="E5" s="34" t="s">
        <v>406</v>
      </c>
      <c r="F5" s="34" t="s">
        <v>406</v>
      </c>
      <c r="G5" s="34" t="s">
        <v>406</v>
      </c>
      <c r="H5" s="34" t="s">
        <v>406</v>
      </c>
      <c r="I5" s="34" t="s">
        <v>406</v>
      </c>
      <c r="J5" s="34" t="s">
        <v>413</v>
      </c>
      <c r="K5" s="34" t="s">
        <v>406</v>
      </c>
      <c r="L5" s="34" t="s">
        <v>406</v>
      </c>
      <c r="M5" s="34" t="s">
        <v>406</v>
      </c>
      <c r="N5" s="34" t="s">
        <v>413</v>
      </c>
      <c r="O5" s="34" t="s">
        <v>406</v>
      </c>
      <c r="P5" s="34" t="s">
        <v>406</v>
      </c>
      <c r="Q5" s="34" t="s">
        <v>406</v>
      </c>
      <c r="R5" s="34" t="s">
        <v>410</v>
      </c>
      <c r="S5" s="34" t="s">
        <v>410</v>
      </c>
      <c r="T5" s="34" t="s">
        <v>406</v>
      </c>
      <c r="U5" s="34" t="s">
        <v>406</v>
      </c>
      <c r="V5" s="34" t="s">
        <v>406</v>
      </c>
    </row>
    <row r="7" spans="1:22" x14ac:dyDescent="0.3">
      <c r="A7" s="30" t="s">
        <v>888</v>
      </c>
      <c r="B7" s="30" t="s">
        <v>932</v>
      </c>
      <c r="C7" s="30" t="s">
        <v>933</v>
      </c>
      <c r="D7" s="30" t="s">
        <v>934</v>
      </c>
      <c r="E7" s="30" t="s">
        <v>931</v>
      </c>
      <c r="F7" s="30" t="s">
        <v>935</v>
      </c>
      <c r="G7" s="30" t="s">
        <v>1017</v>
      </c>
      <c r="H7" s="30" t="s">
        <v>1018</v>
      </c>
      <c r="I7" s="30" t="s">
        <v>986</v>
      </c>
      <c r="J7" s="30" t="s">
        <v>1019</v>
      </c>
      <c r="K7" s="30" t="s">
        <v>1020</v>
      </c>
      <c r="L7" s="30" t="s">
        <v>1021</v>
      </c>
      <c r="M7" s="30" t="s">
        <v>990</v>
      </c>
      <c r="N7" s="30" t="s">
        <v>1022</v>
      </c>
      <c r="O7" s="30" t="s">
        <v>1023</v>
      </c>
      <c r="P7" s="30" t="s">
        <v>1024</v>
      </c>
      <c r="Q7" s="30" t="s">
        <v>1025</v>
      </c>
      <c r="R7" s="30" t="s">
        <v>994</v>
      </c>
      <c r="S7" s="30" t="s">
        <v>995</v>
      </c>
      <c r="T7" s="30" t="s">
        <v>936</v>
      </c>
      <c r="U7" s="30" t="s">
        <v>937</v>
      </c>
      <c r="V7" s="30" t="s">
        <v>938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Q7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8" sqref="A8"/>
    </sheetView>
  </sheetViews>
  <sheetFormatPr defaultRowHeight="14.4" x14ac:dyDescent="0.3"/>
  <cols>
    <col min="1" max="1" width="15" customWidth="1"/>
    <col min="2" max="2" width="9.6640625" customWidth="1"/>
    <col min="3" max="3" width="15" customWidth="1"/>
    <col min="4" max="4" width="12" customWidth="1"/>
    <col min="5" max="5" width="36" customWidth="1"/>
    <col min="6" max="6" width="20" customWidth="1"/>
    <col min="7" max="8" width="17" customWidth="1"/>
    <col min="9" max="9" width="19" customWidth="1"/>
    <col min="10" max="10" width="14" customWidth="1"/>
    <col min="11" max="12" width="15" customWidth="1"/>
    <col min="13" max="13" width="19" customWidth="1"/>
    <col min="14" max="14" width="14" customWidth="1"/>
    <col min="15" max="15" width="19" customWidth="1"/>
    <col min="16" max="16" width="22" customWidth="1"/>
    <col min="17" max="17" width="14" customWidth="1"/>
    <col min="18" max="18" width="23" customWidth="1"/>
    <col min="19" max="19" width="22" customWidth="1"/>
    <col min="20" max="20" width="21" customWidth="1"/>
    <col min="21" max="21" width="20" customWidth="1"/>
    <col min="22" max="31" width="21" customWidth="1"/>
    <col min="32" max="32" width="20.33203125" customWidth="1"/>
    <col min="33" max="33" width="21" customWidth="1"/>
    <col min="34" max="34" width="20.109375" customWidth="1"/>
    <col min="35" max="35" width="20" customWidth="1"/>
    <col min="36" max="43" width="21.109375" customWidth="1"/>
  </cols>
  <sheetData>
    <row r="2" spans="1:43" x14ac:dyDescent="0.3">
      <c r="A2" s="39" t="s">
        <v>951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1" t="s">
        <v>981</v>
      </c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</row>
    <row r="4" spans="1:43" ht="36" customHeight="1" x14ac:dyDescent="0.3">
      <c r="A4" s="30" t="s">
        <v>909</v>
      </c>
      <c r="B4" s="30" t="s">
        <v>910</v>
      </c>
      <c r="C4" s="30" t="s">
        <v>330</v>
      </c>
      <c r="D4" s="30" t="s">
        <v>911</v>
      </c>
      <c r="E4" s="30" t="s">
        <v>908</v>
      </c>
      <c r="F4" s="30" t="s">
        <v>918</v>
      </c>
      <c r="G4" s="30" t="s">
        <v>952</v>
      </c>
      <c r="H4" s="30" t="s">
        <v>953</v>
      </c>
      <c r="I4" s="30" t="s">
        <v>954</v>
      </c>
      <c r="J4" s="30" t="s">
        <v>942</v>
      </c>
      <c r="K4" s="30" t="s">
        <v>944</v>
      </c>
      <c r="L4" s="30" t="s">
        <v>955</v>
      </c>
      <c r="M4" s="30" t="s">
        <v>956</v>
      </c>
      <c r="N4" s="30" t="s">
        <v>946</v>
      </c>
      <c r="O4" s="30" t="s">
        <v>957</v>
      </c>
      <c r="P4" s="30" t="s">
        <v>958</v>
      </c>
      <c r="Q4" s="30" t="s">
        <v>959</v>
      </c>
      <c r="R4" s="30" t="s">
        <v>925</v>
      </c>
      <c r="S4" s="30" t="s">
        <v>926</v>
      </c>
      <c r="T4" s="30" t="s">
        <v>927</v>
      </c>
      <c r="U4" s="30" t="s">
        <v>928</v>
      </c>
      <c r="V4" s="30" t="s">
        <v>929</v>
      </c>
      <c r="W4" s="30" t="s">
        <v>960</v>
      </c>
      <c r="X4" s="30" t="s">
        <v>961</v>
      </c>
      <c r="Y4" s="30" t="s">
        <v>962</v>
      </c>
      <c r="Z4" s="30" t="s">
        <v>963</v>
      </c>
      <c r="AA4" s="30" t="s">
        <v>964</v>
      </c>
      <c r="AB4" s="30" t="s">
        <v>965</v>
      </c>
      <c r="AC4" s="30" t="s">
        <v>966</v>
      </c>
      <c r="AD4" s="30" t="s">
        <v>967</v>
      </c>
      <c r="AE4" s="30" t="s">
        <v>968</v>
      </c>
      <c r="AF4" s="30" t="s">
        <v>969</v>
      </c>
      <c r="AG4" s="30" t="s">
        <v>970</v>
      </c>
      <c r="AH4" s="30" t="s">
        <v>971</v>
      </c>
      <c r="AI4" s="30" t="s">
        <v>972</v>
      </c>
      <c r="AJ4" s="30" t="s">
        <v>973</v>
      </c>
      <c r="AK4" s="30" t="s">
        <v>974</v>
      </c>
      <c r="AL4" s="30" t="s">
        <v>975</v>
      </c>
      <c r="AM4" s="30" t="s">
        <v>976</v>
      </c>
      <c r="AN4" s="30" t="s">
        <v>977</v>
      </c>
      <c r="AO4" s="30" t="s">
        <v>978</v>
      </c>
      <c r="AP4" s="30" t="s">
        <v>979</v>
      </c>
      <c r="AQ4" s="30" t="s">
        <v>980</v>
      </c>
    </row>
    <row r="5" spans="1:43" x14ac:dyDescent="0.3">
      <c r="A5" s="34" t="s">
        <v>406</v>
      </c>
      <c r="B5" s="34" t="s">
        <v>406</v>
      </c>
      <c r="C5" s="34" t="s">
        <v>406</v>
      </c>
      <c r="D5" s="34" t="s">
        <v>406</v>
      </c>
      <c r="E5" s="34" t="s">
        <v>406</v>
      </c>
      <c r="F5" s="34" t="s">
        <v>406</v>
      </c>
      <c r="G5" s="34" t="s">
        <v>406</v>
      </c>
      <c r="H5" s="34" t="s">
        <v>406</v>
      </c>
      <c r="I5" s="34" t="s">
        <v>413</v>
      </c>
      <c r="J5" s="34" t="s">
        <v>406</v>
      </c>
      <c r="K5" s="34" t="s">
        <v>406</v>
      </c>
      <c r="L5" s="34" t="s">
        <v>406</v>
      </c>
      <c r="M5" s="34" t="s">
        <v>413</v>
      </c>
      <c r="N5" s="34" t="s">
        <v>406</v>
      </c>
      <c r="O5" s="34" t="s">
        <v>406</v>
      </c>
      <c r="P5" s="34" t="s">
        <v>406</v>
      </c>
      <c r="Q5" s="34" t="s">
        <v>406</v>
      </c>
      <c r="R5" s="34" t="s">
        <v>410</v>
      </c>
      <c r="S5" s="34" t="s">
        <v>410</v>
      </c>
      <c r="T5" s="34" t="s">
        <v>406</v>
      </c>
      <c r="U5" s="34" t="s">
        <v>406</v>
      </c>
      <c r="V5" s="34" t="s">
        <v>406</v>
      </c>
      <c r="W5" s="34" t="s">
        <v>406</v>
      </c>
      <c r="X5" s="34" t="s">
        <v>406</v>
      </c>
      <c r="Y5" s="34" t="s">
        <v>406</v>
      </c>
      <c r="Z5" s="34" t="s">
        <v>406</v>
      </c>
      <c r="AA5" s="34" t="s">
        <v>406</v>
      </c>
      <c r="AB5" s="34" t="s">
        <v>406</v>
      </c>
      <c r="AC5" s="34" t="s">
        <v>406</v>
      </c>
      <c r="AD5" s="34" t="s">
        <v>406</v>
      </c>
      <c r="AE5" s="34" t="s">
        <v>406</v>
      </c>
      <c r="AF5" s="34" t="s">
        <v>406</v>
      </c>
      <c r="AG5" s="34" t="s">
        <v>406</v>
      </c>
      <c r="AH5" s="34" t="s">
        <v>406</v>
      </c>
      <c r="AI5" s="34" t="s">
        <v>406</v>
      </c>
      <c r="AJ5" s="34" t="s">
        <v>406</v>
      </c>
      <c r="AK5" s="34" t="s">
        <v>406</v>
      </c>
      <c r="AL5" s="34" t="s">
        <v>406</v>
      </c>
      <c r="AM5" s="34" t="s">
        <v>406</v>
      </c>
      <c r="AN5" s="34" t="s">
        <v>406</v>
      </c>
      <c r="AO5" s="34" t="s">
        <v>406</v>
      </c>
      <c r="AP5" s="34" t="s">
        <v>406</v>
      </c>
      <c r="AQ5" s="34" t="s">
        <v>406</v>
      </c>
    </row>
    <row r="7" spans="1:43" x14ac:dyDescent="0.3">
      <c r="A7" s="30" t="s">
        <v>888</v>
      </c>
      <c r="B7" s="30" t="s">
        <v>932</v>
      </c>
      <c r="C7" s="30" t="s">
        <v>933</v>
      </c>
      <c r="D7" s="30" t="s">
        <v>934</v>
      </c>
      <c r="E7" s="30" t="s">
        <v>931</v>
      </c>
      <c r="F7" s="30" t="s">
        <v>935</v>
      </c>
      <c r="G7" s="30" t="s">
        <v>983</v>
      </c>
      <c r="H7" s="30" t="s">
        <v>984</v>
      </c>
      <c r="I7" s="30" t="s">
        <v>985</v>
      </c>
      <c r="J7" s="30" t="s">
        <v>986</v>
      </c>
      <c r="K7" s="30" t="s">
        <v>987</v>
      </c>
      <c r="L7" s="30" t="s">
        <v>988</v>
      </c>
      <c r="M7" s="30" t="s">
        <v>989</v>
      </c>
      <c r="N7" s="30" t="s">
        <v>990</v>
      </c>
      <c r="O7" s="30" t="s">
        <v>991</v>
      </c>
      <c r="P7" s="30" t="s">
        <v>992</v>
      </c>
      <c r="Q7" s="30" t="s">
        <v>993</v>
      </c>
      <c r="R7" s="30" t="s">
        <v>994</v>
      </c>
      <c r="S7" s="30" t="s">
        <v>995</v>
      </c>
      <c r="T7" s="30" t="s">
        <v>936</v>
      </c>
      <c r="U7" s="30" t="s">
        <v>937</v>
      </c>
      <c r="V7" s="30" t="s">
        <v>938</v>
      </c>
      <c r="W7" s="30" t="s">
        <v>996</v>
      </c>
      <c r="X7" s="30" t="s">
        <v>997</v>
      </c>
      <c r="Y7" s="30" t="s">
        <v>998</v>
      </c>
      <c r="Z7" s="30" t="s">
        <v>999</v>
      </c>
      <c r="AA7" s="30" t="s">
        <v>1000</v>
      </c>
      <c r="AB7" s="30" t="s">
        <v>1001</v>
      </c>
      <c r="AC7" s="30" t="s">
        <v>1002</v>
      </c>
      <c r="AD7" s="30" t="s">
        <v>1003</v>
      </c>
      <c r="AE7" s="30" t="s">
        <v>1004</v>
      </c>
      <c r="AF7" s="30" t="s">
        <v>1005</v>
      </c>
      <c r="AG7" s="30" t="s">
        <v>1006</v>
      </c>
      <c r="AH7" s="30" t="s">
        <v>1007</v>
      </c>
      <c r="AI7" s="30" t="s">
        <v>1008</v>
      </c>
      <c r="AJ7" s="30" t="s">
        <v>1009</v>
      </c>
      <c r="AK7" s="30" t="s">
        <v>1010</v>
      </c>
      <c r="AL7" s="30" t="s">
        <v>1011</v>
      </c>
      <c r="AM7" s="30" t="s">
        <v>1012</v>
      </c>
      <c r="AN7" s="30" t="s">
        <v>1013</v>
      </c>
      <c r="AO7" s="30" t="s">
        <v>1014</v>
      </c>
      <c r="AP7" s="30" t="s">
        <v>1015</v>
      </c>
      <c r="AQ7" s="30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Dbase5_0</vt:lpstr>
      <vt:lpstr>Beoordeling</vt:lpstr>
      <vt:lpstr>Hulp</vt:lpstr>
      <vt:lpstr>Resultaten c-phi</vt:lpstr>
      <vt:lpstr>Resultaten SHANSEP</vt:lpstr>
      <vt:lpstr>Resultaten SU-tabel-m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Deenekamp, Tjalda</cp:lastModifiedBy>
  <cp:lastPrinted>2026-07-09T11:30:39Z</cp:lastPrinted>
  <dcterms:created xsi:type="dcterms:W3CDTF">2025-10-17T10:36:45Z</dcterms:created>
  <dcterms:modified xsi:type="dcterms:W3CDTF">2026-07-13T10:05:05Z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0x010100B461F6A611BD4B3683134864140FA54600EBB84E5E44029A4F872709951E179ED6</vt:lpwstr>
  </property>
  <property fmtid="{D5CDD505-2E9C-101B-9397-08002B2CF9AE}" pid="3" name="_dlc_DocIdItemGuid">
    <vt:lpwstr>ea6d4e30-e5ef-4276-89d6-26cd93deeb4b</vt:lpwstr>
  </property>
  <property fmtid="{D5CDD505-2E9C-101B-9397-08002B2CF9AE}" pid="4" name="MediaServiceImageTags">
    <vt:lpwstr/>
  </property>
  <property fmtid="{D5CDD505-2E9C-101B-9397-08002B2CF9AE}" pid="5" name="PH_DocumentType">
    <vt:lpwstr/>
  </property>
</Properties>
</file>